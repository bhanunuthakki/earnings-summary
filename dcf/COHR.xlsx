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Opus: 13.0%</t>
      </text>
    </comment>
    <comment ref="B30" authorId="0" shapeId="0">
      <text>
        <t>Opus: 18.0%</t>
      </text>
    </comment>
    <comment ref="B31" authorId="0" shapeId="0">
      <text>
        <t>Opus: 21.0%</t>
      </text>
    </comment>
    <comment ref="B34" authorId="0" shapeId="0">
      <text>
        <t>Opus: —
set from Opus 8% of FY1E revenue; edits not tracked (unit differs from the JSON)</t>
      </text>
    </comment>
    <comment ref="B35" authorId="0" shapeId="0">
      <text>
        <t>User-edited — overridden from Opus 1.1x on 2026-06-12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12.0x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Coherent, Inc. (COHR)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Coherent is an optical/photonics and compound-semiconductor supplier whose near-term growth is dominated by AI datacenter transceiver demand, with legacy Lasers and Materials segments growing more modestly and cyclically. We anchor 2026-2028 to consensus that implies ~20-35% top-line growth, then fade toward a low-single-digit mature rate as datacenter buildout normalizes, while operating margins expand from 9.4% (FY25) toward ~18% via mix shift to high-value optics and operating leverage. We value the firm on a mature ~12x EV/EBITDA exit, reflecting a normalized hardware/photonics business rather than peak-cycle multiples.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Coherent, Inc. (COHR)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0.3716519173065007</v>
      </c>
      <c r="C20" s="15" t="n">
        <v>0.05000000000000004</v>
      </c>
      <c r="D20" s="16" t="n">
        <v>0.3716519173065007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0.13</v>
      </c>
      <c r="D29" s="16" t="n">
        <v>0.13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0.21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529.3050387</v>
      </c>
      <c r="D34" s="18" t="n">
        <v>529.3050387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2.053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0.006635189405260012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333.3599853515625</v>
      </c>
    </row>
    <row r="49">
      <c r="A49" s="4" t="inlineStr">
        <is>
          <t>Growth fade curvature</t>
        </is>
      </c>
      <c r="B49" s="20" t="n">
        <v>1.15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276.8770501743193</v>
      </c>
      <c r="C58" s="28" t="n">
        <v>390.2804655194591</v>
      </c>
      <c r="D58" s="28" t="n">
        <v>191.3334811891783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0.04763612269292432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0.02858167361575459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COHR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Coherent is an optical/photonics and compound-semiconductor supplier whose near-term growth is dominated by AI datacenter transceiver demand, with legacy Lasers and Materials segments growing more modestly and cyclically. We anchor 2026-2028 to consensus that implies ~20-35% top-line growth, then fade toward a low-single-digit mature rate as datacenter buildout normalizes, while operating margins expand from 9.4% (FY25) toward ~18% via mix shift to high-value optics and operating leverage. We value the firm on a mature ~12x EV/EBITDA exit, reflecting a normalized hardware/photonics business rather than peak-cycle multiples.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the two listed segments (Lasers, Materials) are the slower-growth legacy pieces, so I set their growth well below the consensus-implied total-company trajectory that the AI/datacenter optics business drives. I kept terminal margins (18%) and the exit multiple (12x EV/EBITDA) conservative given high cyclicality and a 2.05 beta, and converged capex/D&amp;A to ~1.1x to reflect a shift from expansion to maintenance capex at maturity.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13.0%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18.0%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21.0%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s="32" t="inlineStr">
        <is>
          <t>user-edited</t>
        </is>
      </c>
      <c r="E25" t="inlineStr">
        <is>
          <t>1.1x</t>
        </is>
      </c>
      <c r="F25" s="31" t="inlineStr">
        <is>
          <t>overridden from Opus 1.1x on 2026-06-12</t>
        </is>
      </c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3">
        <f>Dashboard!B40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12.0x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4.0%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4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8%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5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5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5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5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5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5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5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5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6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6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5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5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SUM(Financials!G3:J3)</f>
        <v/>
      </c>
      <c r="C4" s="34">
        <f>SUM(Financials!K3:N3)</f>
        <v/>
      </c>
      <c r="D4" s="34">
        <f>SUM(Financials!O3:R3)</f>
        <v/>
      </c>
      <c r="E4" s="34">
        <f>SUM(Financials!S3:V3)</f>
        <v/>
      </c>
      <c r="F4" s="34">
        <f>SUM(Financials!W3:Z3)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SUM(Financials!G5:J5)</f>
        <v/>
      </c>
      <c r="C10" s="34">
        <f>SUM(Financials!K5:N5)</f>
        <v/>
      </c>
      <c r="D10" s="34">
        <f>SUM(Financials!O5:R5)</f>
        <v/>
      </c>
      <c r="E10" s="34">
        <f>SUM(Financials!S5:V5)</f>
        <v/>
      </c>
      <c r="F10" s="34">
        <f>SUM(Financials!W5:Z5)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0.6459068366116677</v>
      </c>
      <c r="H11" s="15" t="n">
        <v>0.6459068366116677</v>
      </c>
      <c r="I11" s="15" t="n">
        <v>0.6459068366116677</v>
      </c>
      <c r="J11" s="15" t="n">
        <v>0.6459068366116677</v>
      </c>
      <c r="K11" s="15" t="n">
        <v>0.6459068366116677</v>
      </c>
      <c r="L11" s="15" t="n">
        <v>0.6459068366116677</v>
      </c>
      <c r="M11" s="15" t="n">
        <v>0.6459068366116677</v>
      </c>
      <c r="N11" s="15" t="n">
        <v>0.6459068366116677</v>
      </c>
      <c r="O11" s="15" t="n">
        <v>0.6459068366116677</v>
      </c>
      <c r="P11" s="15" t="n">
        <v>0.6459068366116677</v>
      </c>
    </row>
    <row r="12">
      <c r="A12" s="4" t="inlineStr">
        <is>
          <t>R&amp;D / Technology</t>
        </is>
      </c>
      <c r="B12" s="34">
        <f>SUM(Financials!G7:J7)</f>
        <v/>
      </c>
      <c r="C12" s="34">
        <f>SUM(Financials!K7:N7)</f>
        <v/>
      </c>
      <c r="D12" s="34">
        <f>SUM(Financials!O7:R7)</f>
        <v/>
      </c>
      <c r="E12" s="34">
        <f>SUM(Financials!S7:V7)</f>
        <v/>
      </c>
      <c r="F12" s="34">
        <f>SUM(Financials!W7:Z7)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0.1001570536899872</v>
      </c>
      <c r="H13" s="15" t="n">
        <v>0.1001570536899872</v>
      </c>
      <c r="I13" s="15" t="n">
        <v>0.1001570536899872</v>
      </c>
      <c r="J13" s="15" t="n">
        <v>0.1001570536899872</v>
      </c>
      <c r="K13" s="15" t="n">
        <v>0.1001570536899872</v>
      </c>
      <c r="L13" s="15" t="n">
        <v>0.1001570536899872</v>
      </c>
      <c r="M13" s="15" t="n">
        <v>0.1001570536899872</v>
      </c>
      <c r="N13" s="15" t="n">
        <v>0.1001570536899872</v>
      </c>
      <c r="O13" s="15" t="n">
        <v>0.1001570536899872</v>
      </c>
      <c r="P13" s="15" t="n">
        <v>0.1001570536899872</v>
      </c>
    </row>
    <row r="14">
      <c r="A14" s="4" t="inlineStr">
        <is>
          <t>SG&amp;A</t>
        </is>
      </c>
      <c r="B14" s="34">
        <f>SUM(Financials!G9:J9)</f>
        <v/>
      </c>
      <c r="C14" s="34">
        <f>SUM(Financials!K9:N9)</f>
        <v/>
      </c>
      <c r="D14" s="34">
        <f>SUM(Financials!O9:R9)</f>
        <v/>
      </c>
      <c r="E14" s="34">
        <f>SUM(Financials!S9:V9)</f>
        <v/>
      </c>
      <c r="F14" s="34">
        <f>SUM(Financials!W9:Z9)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Other opex (fulfilment, etc.)</t>
        </is>
      </c>
      <c r="B16" s="34">
        <f>B6-(B10+B12+B14)-SUM(Financials!G13:J13)</f>
        <v/>
      </c>
      <c r="C16" s="34">
        <f>C6-(C10+C12+C14)-SUM(Financials!K13:N13)</f>
        <v/>
      </c>
      <c r="D16" s="34">
        <f>D6-(D10+D12+D14)-SUM(Financials!O13:R13)</f>
        <v/>
      </c>
      <c r="E16" s="34">
        <f>E6-(E10+E12+E14)-SUM(Financials!S13:V13)</f>
        <v/>
      </c>
      <c r="F16" s="34">
        <f>F6-(F10+F12+F14)-SUM(Financials!W13:Z13)</f>
        <v/>
      </c>
      <c r="G16" s="34">
        <f>G6*(1-(Dashboard!$B$29+(Dashboard!$B$30-Dashboard!$B$29)*MIN(1,0/3)))-(G10+G12+G14)</f>
        <v/>
      </c>
      <c r="H16" s="34">
        <f>H6*(1-(Dashboard!$B$29+(Dashboard!$B$30-Dashboard!$B$29)*MIN(1,1/3)))-(H10+H12+H14)</f>
        <v/>
      </c>
      <c r="I16" s="34">
        <f>I6*(1-(Dashboard!$B$29+(Dashboard!$B$30-Dashboard!$B$29)*MIN(1,2/3)))-(I10+I12+I14)</f>
        <v/>
      </c>
      <c r="J16" s="34">
        <f>J6*(1-(Dashboard!$B$29+(Dashboard!$B$30-Dashboard!$B$29)*MIN(1,3/3)))-(J10+J12+J14)</f>
        <v/>
      </c>
      <c r="K16" s="34">
        <f>K6*(1-(Dashboard!$B$29+(Dashboard!$B$30-Dashboard!$B$29)*MIN(1,4/3)))-(K10+K12+K14)</f>
        <v/>
      </c>
      <c r="L16" s="34">
        <f>L6*(1-(Dashboard!$B$29+(Dashboard!$B$30-Dashboard!$B$29)*MIN(1,5/3)))-(L10+L12+L14)</f>
        <v/>
      </c>
      <c r="M16" s="34">
        <f>M6*(1-(Dashboard!$B$29+(Dashboard!$B$30-Dashboard!$B$29)*MIN(1,6/3)))-(M10+M12+M14)</f>
        <v/>
      </c>
      <c r="N16" s="34">
        <f>N6*(1-(Dashboard!$B$29+(Dashboard!$B$30-Dashboard!$B$29)*MIN(1,7/3)))-(N10+N12+N14)</f>
        <v/>
      </c>
      <c r="O16" s="34">
        <f>O6*(1-(Dashboard!$B$29+(Dashboard!$B$30-Dashboard!$B$29)*MIN(1,8/3)))-(O10+O12+O14)</f>
        <v/>
      </c>
      <c r="P16" s="34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SUM(Financials!G43:J43)</f>
        <v/>
      </c>
      <c r="C24" s="34">
        <f>SUM(Financials!K43:N43)</f>
        <v/>
      </c>
      <c r="D24" s="34">
        <f>SUM(Financials!O43:R43)</f>
        <v/>
      </c>
      <c r="E24" s="34">
        <f>SUM(Financials!S43:V43)</f>
        <v/>
      </c>
      <c r="F24" s="34">
        <f>SUM(Financials!W43:Z43)</f>
        <v/>
      </c>
      <c r="G24" s="42">
        <f>G6*0.1152</f>
        <v/>
      </c>
      <c r="H24" s="42">
        <f>H6*0.1152</f>
        <v/>
      </c>
      <c r="I24" s="42">
        <f>I6*0.1152</f>
        <v/>
      </c>
      <c r="J24" s="42">
        <f>J6*0.1152</f>
        <v/>
      </c>
      <c r="K24" s="42">
        <f>K6*0.1152</f>
        <v/>
      </c>
      <c r="L24" s="42">
        <f>L6*0.1152</f>
        <v/>
      </c>
      <c r="M24" s="42">
        <f>M6*0.1152</f>
        <v/>
      </c>
      <c r="N24" s="42">
        <f>N6*0.1152</f>
        <v/>
      </c>
      <c r="O24" s="42">
        <f>O6*0.1152</f>
        <v/>
      </c>
      <c r="P24" s="42">
        <f>P6*0.1152</f>
        <v/>
      </c>
    </row>
    <row r="25">
      <c r="A25" s="4" t="inlineStr">
        <is>
          <t>+ SBC (non-cash)</t>
        </is>
      </c>
      <c r="B25" s="34">
        <f>SUM(Financials!G44:J44)</f>
        <v/>
      </c>
      <c r="C25" s="34">
        <f>SUM(Financials!K44:N44)</f>
        <v/>
      </c>
      <c r="D25" s="34">
        <f>SUM(Financials!O44:R44)</f>
        <v/>
      </c>
      <c r="E25" s="34">
        <f>SUM(Financials!S44:V44)</f>
        <v/>
      </c>
      <c r="F25" s="34">
        <f>SUM(Financials!W44:Z44)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-SUM(Financials!G47:J47)</f>
        <v/>
      </c>
      <c r="C27" s="34">
        <f>-SUM(Financials!K47:N47)</f>
        <v/>
      </c>
      <c r="D27" s="34">
        <f>-SUM(Financials!O47:R47)</f>
        <v/>
      </c>
      <c r="E27" s="34">
        <f>-SUM(Financials!S47:V47)</f>
        <v/>
      </c>
      <c r="F27" s="34">
        <f>-SUM(Financials!W47:Z47)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Financials!J41+Financials!J40-Financials!J35</f>
        <v/>
      </c>
      <c r="C34" s="34">
        <f>Financials!N41+Financials!N40-Financials!N35</f>
        <v/>
      </c>
      <c r="D34" s="34">
        <f>Financials!R41+Financials!R40-Financials!R35</f>
        <v/>
      </c>
      <c r="E34" s="34">
        <f>Financials!V41+Financials!V40-Financials!V35</f>
        <v/>
      </c>
      <c r="F34" s="34">
        <f>Financials!Z41+Financials!Z40-Financials!Z35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Financials!J41</f>
        <v/>
      </c>
      <c r="C35" s="34">
        <f>Financials!N41</f>
        <v/>
      </c>
      <c r="D35" s="34">
        <f>Financials!R41</f>
        <v/>
      </c>
      <c r="E35" s="34">
        <f>Financials!V41</f>
        <v/>
      </c>
      <c r="F35" s="34">
        <f>Financials!Z41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IFERROR(SUM(Financials!K15:N15)/B35,"")</f>
        <v/>
      </c>
      <c r="D37" s="11">
        <f>IFERROR(SUM(Financials!O15:R15)/C35,"")</f>
        <v/>
      </c>
      <c r="E37" s="11">
        <f>IFERROR(SUM(Financials!S15:V15)/D35,"")</f>
        <v/>
      </c>
      <c r="F37" s="11">
        <f>IFERROR(SUM(Financials!W15:Z15)/E35,"")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Q4 2019</t>
        </is>
      </c>
      <c r="C1" s="46" t="inlineStr">
        <is>
          <t>Q1 2020</t>
        </is>
      </c>
      <c r="D1" s="46" t="inlineStr">
        <is>
          <t>Q2 2020</t>
        </is>
      </c>
      <c r="E1" s="46" t="inlineStr">
        <is>
          <t>Q3 2020</t>
        </is>
      </c>
      <c r="F1" s="46" t="inlineStr">
        <is>
          <t>Q4 2020</t>
        </is>
      </c>
      <c r="G1" s="46" t="inlineStr">
        <is>
          <t>Q1 2021</t>
        </is>
      </c>
      <c r="H1" s="46" t="inlineStr">
        <is>
          <t>Q2 2021</t>
        </is>
      </c>
      <c r="I1" s="46" t="inlineStr">
        <is>
          <t>Q3 2021</t>
        </is>
      </c>
      <c r="J1" s="46" t="inlineStr">
        <is>
          <t>Q4 2021</t>
        </is>
      </c>
      <c r="K1" s="46" t="inlineStr">
        <is>
          <t>Q1 2022</t>
        </is>
      </c>
      <c r="L1" s="46" t="inlineStr">
        <is>
          <t>Q2 2022</t>
        </is>
      </c>
      <c r="M1" s="46" t="inlineStr">
        <is>
          <t>Q3 2022</t>
        </is>
      </c>
      <c r="N1" s="46" t="inlineStr">
        <is>
          <t>Q4 2022</t>
        </is>
      </c>
      <c r="O1" s="46" t="inlineStr">
        <is>
          <t>Q1 2023</t>
        </is>
      </c>
      <c r="P1" s="46" t="inlineStr">
        <is>
          <t>Q2 2023</t>
        </is>
      </c>
      <c r="Q1" s="46" t="inlineStr">
        <is>
          <t>Q3 2023</t>
        </is>
      </c>
      <c r="R1" s="46" t="inlineStr">
        <is>
          <t>Q4 2023</t>
        </is>
      </c>
      <c r="S1" s="46" t="inlineStr">
        <is>
          <t>Q1 2024</t>
        </is>
      </c>
      <c r="T1" s="46" t="inlineStr">
        <is>
          <t>Q2 2024</t>
        </is>
      </c>
      <c r="U1" s="46" t="inlineStr">
        <is>
          <t>Q3 2024</t>
        </is>
      </c>
      <c r="V1" s="46" t="inlineStr">
        <is>
          <t>Q4 2024</t>
        </is>
      </c>
      <c r="W1" s="46" t="inlineStr">
        <is>
          <t>Q1 2025</t>
        </is>
      </c>
      <c r="X1" s="46" t="inlineStr">
        <is>
          <t>Q2 2025</t>
        </is>
      </c>
      <c r="Y1" s="46" t="inlineStr">
        <is>
          <t>Q3 2025</t>
        </is>
      </c>
      <c r="Z1" s="46" t="inlineStr">
        <is>
          <t>Q4 2025</t>
        </is>
      </c>
      <c r="AA1" s="46" t="inlineStr">
        <is>
          <t>Q1 2026</t>
        </is>
      </c>
      <c r="AB1" s="46" t="inlineStr">
        <is>
          <t>Q2 2026</t>
        </is>
      </c>
      <c r="AC1" s="4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362.728</v>
      </c>
      <c r="C3" s="18" t="n">
        <v>340.409</v>
      </c>
      <c r="D3" s="18" t="n">
        <v>666.331</v>
      </c>
      <c r="E3" s="18" t="n">
        <v>627.0410000000001</v>
      </c>
      <c r="F3" s="18" t="n">
        <v>746.29</v>
      </c>
      <c r="G3" s="18" t="n">
        <v>728.0839999999999</v>
      </c>
      <c r="H3" s="18" t="n">
        <v>786.569</v>
      </c>
      <c r="I3" s="18" t="n">
        <v>783.232</v>
      </c>
      <c r="J3" s="18" t="n">
        <v>808.006</v>
      </c>
      <c r="K3" s="18" t="n">
        <v>795.111</v>
      </c>
      <c r="L3" s="18" t="n">
        <v>806.819</v>
      </c>
      <c r="M3" s="18" t="n">
        <v>827.724</v>
      </c>
      <c r="N3" s="18" t="n">
        <v>886.962</v>
      </c>
      <c r="O3" s="18" t="n">
        <v>1344.57</v>
      </c>
      <c r="P3" s="18" t="n">
        <v>1370.285</v>
      </c>
      <c r="Q3" s="18" t="n">
        <v>1240.194</v>
      </c>
      <c r="R3" s="18" t="n">
        <v>1205.051</v>
      </c>
      <c r="S3" s="18" t="n">
        <v>1053.083</v>
      </c>
      <c r="T3" s="18" t="n">
        <v>1131.434</v>
      </c>
      <c r="U3" s="18" t="n">
        <v>1208.809</v>
      </c>
      <c r="V3" s="18" t="n">
        <v>1314.362</v>
      </c>
      <c r="W3" s="18" t="n">
        <v>1348.135</v>
      </c>
      <c r="X3" s="18" t="n">
        <v>1434.665</v>
      </c>
      <c r="Y3" s="18" t="n">
        <v>1497.879</v>
      </c>
      <c r="Z3" s="18" t="n">
        <v>1529.436</v>
      </c>
      <c r="AA3" s="18" t="n">
        <v>1581.378</v>
      </c>
      <c r="AB3" s="18" t="n">
        <v>1686</v>
      </c>
      <c r="AC3" s="18" t="n">
        <v>1805.6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224.076</v>
      </c>
      <c r="C5" s="18" t="n">
        <v>210.169</v>
      </c>
      <c r="D5" s="18" t="n">
        <v>437.391</v>
      </c>
      <c r="E5" s="18" t="n">
        <v>381.108</v>
      </c>
      <c r="F5" s="18" t="n">
        <v>444.153</v>
      </c>
      <c r="G5" s="18" t="n">
        <v>441.52</v>
      </c>
      <c r="H5" s="18" t="n">
        <v>473.863</v>
      </c>
      <c r="I5" s="18" t="n">
        <v>493.242</v>
      </c>
      <c r="J5" s="18" t="n">
        <v>510.213</v>
      </c>
      <c r="K5" s="18" t="n">
        <v>488.487</v>
      </c>
      <c r="L5" s="18" t="n">
        <v>495.652</v>
      </c>
      <c r="M5" s="18" t="n">
        <v>506.051</v>
      </c>
      <c r="N5" s="18" t="n">
        <v>560.9299999999999</v>
      </c>
      <c r="O5" s="18" t="n">
        <v>900.996</v>
      </c>
      <c r="P5" s="18" t="n">
        <v>959.097</v>
      </c>
      <c r="Q5" s="18" t="n">
        <v>820.038</v>
      </c>
      <c r="R5" s="18" t="n">
        <v>853.686</v>
      </c>
      <c r="S5" s="18" t="n">
        <v>746.188</v>
      </c>
      <c r="T5" s="18" t="n">
        <v>780.793</v>
      </c>
      <c r="U5" s="18" t="n">
        <v>842.322</v>
      </c>
      <c r="V5" s="18" t="n">
        <v>882.421</v>
      </c>
      <c r="W5" s="18" t="n">
        <v>888.003</v>
      </c>
      <c r="X5" s="18" t="n">
        <v>925.314</v>
      </c>
      <c r="Y5" s="18" t="n">
        <v>970.189</v>
      </c>
      <c r="Z5" s="18" t="n">
        <v>969.287</v>
      </c>
      <c r="AA5" s="18" t="n">
        <v>1002.178</v>
      </c>
      <c r="AB5" s="18" t="n">
        <v>1063</v>
      </c>
      <c r="AC5" s="18" t="n">
        <v>1125.7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36.202</v>
      </c>
      <c r="C7" s="18" t="n">
        <v>36.12</v>
      </c>
      <c r="D7" s="18" t="n">
        <v>107.7</v>
      </c>
      <c r="E7" s="18" t="n">
        <v>94.764</v>
      </c>
      <c r="F7" s="18" t="n">
        <v>100.489</v>
      </c>
      <c r="G7" s="18" t="n">
        <v>78.248</v>
      </c>
      <c r="H7" s="18" t="n">
        <v>84.858</v>
      </c>
      <c r="I7" s="18" t="n">
        <v>83.23099999999999</v>
      </c>
      <c r="J7" s="18" t="n">
        <v>83.768</v>
      </c>
      <c r="K7" s="18" t="n">
        <v>88.96599999999999</v>
      </c>
      <c r="L7" s="18" t="n">
        <v>95.328</v>
      </c>
      <c r="M7" s="18" t="n">
        <v>96.895</v>
      </c>
      <c r="N7" s="18" t="n">
        <v>95.917</v>
      </c>
      <c r="O7" s="18" t="n">
        <v>121.084</v>
      </c>
      <c r="P7" s="18" t="n">
        <v>128.791</v>
      </c>
      <c r="Q7" s="18" t="n">
        <v>126.382</v>
      </c>
      <c r="R7" s="18" t="n">
        <v>123.346</v>
      </c>
      <c r="S7" s="18" t="n">
        <v>113.488</v>
      </c>
      <c r="T7" s="18" t="n">
        <v>111.163</v>
      </c>
      <c r="U7" s="18" t="n">
        <v>127.485</v>
      </c>
      <c r="V7" s="18" t="n">
        <v>126.652</v>
      </c>
      <c r="W7" s="18" t="n">
        <v>131.602</v>
      </c>
      <c r="X7" s="18" t="n">
        <v>143.852</v>
      </c>
      <c r="Y7" s="18" t="n">
        <v>150.731</v>
      </c>
      <c r="Z7" s="18" t="n">
        <v>155.739</v>
      </c>
      <c r="AA7" s="18" t="n">
        <v>154.877</v>
      </c>
      <c r="AB7" s="18" t="n">
        <v>166</v>
      </c>
      <c r="AC7" s="18" t="n">
        <v>186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61.731</v>
      </c>
      <c r="C9" s="18" t="n">
        <v>65.295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258</v>
      </c>
      <c r="AC9" s="18" t="n">
        <v>267.6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138.652</v>
      </c>
      <c r="C11" s="18" t="n">
        <v>130.24</v>
      </c>
      <c r="D11" s="18" t="n">
        <v>228.94</v>
      </c>
      <c r="E11" s="18" t="n">
        <v>245.933</v>
      </c>
      <c r="F11" s="18" t="n">
        <v>302.137</v>
      </c>
      <c r="G11" s="18" t="n">
        <v>286.564</v>
      </c>
      <c r="H11" s="18" t="n">
        <v>312.706</v>
      </c>
      <c r="I11" s="18" t="n">
        <v>289.99</v>
      </c>
      <c r="J11" s="18" t="n">
        <v>297.793</v>
      </c>
      <c r="K11" s="18" t="n">
        <v>306.624</v>
      </c>
      <c r="L11" s="18" t="n">
        <v>311.167</v>
      </c>
      <c r="M11" s="18" t="n">
        <v>321.673</v>
      </c>
      <c r="N11" s="18" t="n">
        <v>326.032</v>
      </c>
      <c r="O11" s="18" t="n">
        <v>443.574</v>
      </c>
      <c r="P11" s="18" t="n">
        <v>411.188</v>
      </c>
      <c r="Q11" s="18" t="n">
        <v>420.156</v>
      </c>
      <c r="R11" s="18" t="n">
        <v>351.365</v>
      </c>
      <c r="S11" s="18" t="n">
        <v>306.895</v>
      </c>
      <c r="T11" s="18" t="n">
        <v>350.641</v>
      </c>
      <c r="U11" s="18" t="n">
        <v>366.487</v>
      </c>
      <c r="V11" s="18" t="n">
        <v>431.941</v>
      </c>
      <c r="W11" s="18" t="n">
        <v>460.132</v>
      </c>
      <c r="X11" s="18" t="n">
        <v>509.351</v>
      </c>
      <c r="Y11" s="18" t="n">
        <v>527.6900000000001</v>
      </c>
      <c r="Z11" s="18" t="n">
        <v>560.149</v>
      </c>
      <c r="AA11" s="18" t="n">
        <v>579.2</v>
      </c>
      <c r="AB11" s="18" t="n">
        <v>623</v>
      </c>
      <c r="AC11" s="18" t="n">
        <v>679.9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40.719</v>
      </c>
      <c r="C13" s="18" t="n">
        <v>28.825</v>
      </c>
      <c r="D13" s="18" t="n">
        <v>2.022</v>
      </c>
      <c r="E13" s="18" t="n">
        <v>74.93600000000001</v>
      </c>
      <c r="F13" s="18" t="n">
        <v>0.796</v>
      </c>
      <c r="G13" s="18" t="n">
        <v>103.13</v>
      </c>
      <c r="H13" s="18" t="n">
        <v>118.715</v>
      </c>
      <c r="I13" s="18" t="n">
        <v>85.081</v>
      </c>
      <c r="J13" s="18" t="n">
        <v>97.193</v>
      </c>
      <c r="K13" s="18" t="n">
        <v>95.05</v>
      </c>
      <c r="L13" s="18" t="n">
        <v>98.22199999999999</v>
      </c>
      <c r="M13" s="18" t="n">
        <v>106.769</v>
      </c>
      <c r="N13" s="18" t="n">
        <v>114.253</v>
      </c>
      <c r="O13" s="18" t="n">
        <v>42.476</v>
      </c>
      <c r="P13" s="18" t="n">
        <v>8.246</v>
      </c>
      <c r="Q13" s="18" t="n">
        <v>67.38800000000001</v>
      </c>
      <c r="R13" s="18" t="n">
        <v>40.871</v>
      </c>
      <c r="S13" s="18" t="n">
        <v>-18.29</v>
      </c>
      <c r="T13" s="18" t="n">
        <v>30.315</v>
      </c>
      <c r="U13" s="18" t="n">
        <v>33.835</v>
      </c>
      <c r="V13" s="18" t="n">
        <v>77.315</v>
      </c>
      <c r="W13" s="18" t="n">
        <v>99.562</v>
      </c>
      <c r="X13" s="18" t="n">
        <v>144.887</v>
      </c>
      <c r="Y13" s="18" t="n">
        <v>145.52</v>
      </c>
      <c r="Z13" s="18" t="n">
        <v>158.978</v>
      </c>
      <c r="AA13" s="18" t="n">
        <v>172.239</v>
      </c>
      <c r="AB13" s="18" t="n">
        <v>199</v>
      </c>
      <c r="AC13" s="18" t="n">
        <v>148.6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28.028</v>
      </c>
      <c r="C15" s="18" t="n">
        <v>-25.998</v>
      </c>
      <c r="D15" s="18" t="n">
        <v>-98.21299999999999</v>
      </c>
      <c r="E15" s="18" t="n">
        <v>5.921</v>
      </c>
      <c r="F15" s="18" t="n">
        <v>51.261</v>
      </c>
      <c r="G15" s="18" t="n">
        <v>46.266</v>
      </c>
      <c r="H15" s="18" t="n">
        <v>87.90000000000001</v>
      </c>
      <c r="I15" s="18" t="n">
        <v>81.092</v>
      </c>
      <c r="J15" s="18" t="n">
        <v>82.294</v>
      </c>
      <c r="K15" s="18" t="n">
        <v>74.464</v>
      </c>
      <c r="L15" s="18" t="n">
        <v>67.657</v>
      </c>
      <c r="M15" s="18" t="n">
        <v>49.002</v>
      </c>
      <c r="N15" s="18" t="n">
        <v>43.636</v>
      </c>
      <c r="O15" s="18" t="n">
        <v>-38.698</v>
      </c>
      <c r="P15" s="18" t="n">
        <v>-45.072</v>
      </c>
      <c r="Q15" s="18" t="n">
        <v>2.546</v>
      </c>
      <c r="R15" s="18" t="n">
        <v>-178.234</v>
      </c>
      <c r="S15" s="18" t="n">
        <v>-67.53400000000001</v>
      </c>
      <c r="T15" s="18" t="n">
        <v>-26.991</v>
      </c>
      <c r="U15" s="18" t="n">
        <v>-13.187</v>
      </c>
      <c r="V15" s="18" t="n">
        <v>-48.442</v>
      </c>
      <c r="W15" s="18" t="n">
        <v>25.887</v>
      </c>
      <c r="X15" s="18" t="n">
        <v>103.385</v>
      </c>
      <c r="Y15" s="18" t="n">
        <v>15.711</v>
      </c>
      <c r="Z15" s="18" t="n">
        <v>-95.619</v>
      </c>
      <c r="AA15" s="18" t="n">
        <v>226.349</v>
      </c>
      <c r="AB15" s="18" t="n">
        <v>147</v>
      </c>
      <c r="AC15" s="18" t="n">
        <v>191.3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65.68600000000001</v>
      </c>
      <c r="C17" s="18" t="n">
        <v>65.97</v>
      </c>
      <c r="D17" s="18" t="n">
        <v>90.886</v>
      </c>
      <c r="E17" s="18" t="n">
        <v>93.435</v>
      </c>
      <c r="F17" s="18" t="n">
        <v>102.142</v>
      </c>
      <c r="G17" s="18" t="n">
        <v>105.247</v>
      </c>
      <c r="H17" s="18" t="n">
        <v>115.053</v>
      </c>
      <c r="I17" s="18" t="n">
        <v>116.302</v>
      </c>
      <c r="J17" s="18" t="n">
        <v>116.225</v>
      </c>
      <c r="K17" s="18" t="n">
        <v>115.849</v>
      </c>
      <c r="L17" s="18" t="n">
        <v>116.44</v>
      </c>
      <c r="M17" s="18" t="n">
        <v>116.949</v>
      </c>
      <c r="N17" s="18" t="n">
        <v>116.949</v>
      </c>
      <c r="O17" s="18" t="n">
        <v>133.28</v>
      </c>
      <c r="P17" s="18" t="n">
        <v>138.623</v>
      </c>
      <c r="Q17" s="18" t="n">
        <v>139.113</v>
      </c>
      <c r="R17" s="18" t="n">
        <v>139.342</v>
      </c>
      <c r="S17" s="18" t="n">
        <v>150.328</v>
      </c>
      <c r="T17" s="18" t="n">
        <v>151.564</v>
      </c>
      <c r="U17" s="18" t="n">
        <v>152.138</v>
      </c>
      <c r="V17" s="18" t="n">
        <v>152.6</v>
      </c>
      <c r="W17" s="18" t="n">
        <v>153.626</v>
      </c>
      <c r="X17" s="18" t="n">
        <v>159.989</v>
      </c>
      <c r="Y17" s="18" t="n">
        <v>155.2</v>
      </c>
      <c r="Z17" s="18" t="n">
        <v>155.5</v>
      </c>
      <c r="AA17" s="18" t="n">
        <v>155.5</v>
      </c>
      <c r="AB17" s="18" t="n">
        <v>155.5</v>
      </c>
      <c r="AC17" s="18" t="n">
        <v>155.5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AC19" s="18" t="n">
        <v>1163.467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Europe</t>
        </is>
      </c>
      <c r="AC22" s="18" t="n">
        <v>214.873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CHINA</t>
        </is>
      </c>
      <c r="AC25" s="18" t="n">
        <v>206.011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Other Countries</t>
        </is>
      </c>
      <c r="AC28" s="18" t="n">
        <v>136.872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JAPAN</t>
        </is>
      </c>
      <c r="AC31" s="18" t="n">
        <v>84.41800000000001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Cash &amp; ST Investments</t>
        </is>
      </c>
      <c r="B35" s="18" t="n">
        <v>204.872</v>
      </c>
      <c r="C35" s="18" t="n">
        <v>439.551</v>
      </c>
      <c r="D35" s="18" t="n">
        <v>376.84</v>
      </c>
      <c r="E35" s="18" t="n">
        <v>388.107</v>
      </c>
      <c r="F35" s="18" t="n">
        <v>493.046</v>
      </c>
      <c r="G35" s="18" t="n">
        <v>683.985</v>
      </c>
      <c r="H35" s="18" t="n">
        <v>834.54</v>
      </c>
      <c r="I35" s="18" t="n">
        <v>1535.31</v>
      </c>
      <c r="J35" s="18" t="n">
        <v>1591.892</v>
      </c>
      <c r="K35" s="18" t="n">
        <v>1560.175</v>
      </c>
      <c r="L35" s="18" t="n">
        <v>2649.716</v>
      </c>
      <c r="M35" s="18" t="n">
        <v>2600.315</v>
      </c>
      <c r="N35" s="18" t="n">
        <v>2582.371</v>
      </c>
      <c r="O35" s="18" t="n">
        <v>898.501</v>
      </c>
      <c r="P35" s="18" t="n">
        <v>913.2859999999999</v>
      </c>
      <c r="Q35" s="18" t="n">
        <v>901.028</v>
      </c>
      <c r="R35" s="18" t="n">
        <v>821.3099999999999</v>
      </c>
      <c r="S35" s="18" t="n">
        <v>941.081</v>
      </c>
      <c r="T35" s="18" t="n">
        <v>856.255</v>
      </c>
      <c r="U35" s="18" t="n">
        <v>898.578</v>
      </c>
      <c r="V35" s="18" t="n">
        <v>926.033</v>
      </c>
      <c r="W35" s="18" t="n">
        <v>1019.648</v>
      </c>
      <c r="X35" s="18" t="n">
        <v>917.8150000000001</v>
      </c>
      <c r="Y35" s="18" t="n">
        <v>890.258</v>
      </c>
      <c r="Z35" s="18" t="n">
        <v>909.2</v>
      </c>
      <c r="AA35" s="18" t="n">
        <v>852.778</v>
      </c>
      <c r="AB35" s="18" t="n">
        <v>863.739</v>
      </c>
      <c r="AC35" s="18" t="n">
        <v>2417.7</v>
      </c>
    </row>
    <row r="36">
      <c r="A36" s="4" t="inlineStr">
        <is>
          <t>Total Current Assets</t>
        </is>
      </c>
      <c r="B36" s="18" t="n">
        <v>812.9109999999999</v>
      </c>
      <c r="C36" s="18" t="n">
        <v>1756.199</v>
      </c>
      <c r="D36" s="18" t="n">
        <v>1589.189</v>
      </c>
      <c r="E36" s="18" t="n">
        <v>1591.088</v>
      </c>
      <c r="F36" s="18" t="n">
        <v>1788.969</v>
      </c>
      <c r="G36" s="18" t="n">
        <v>1991.742</v>
      </c>
      <c r="H36" s="18" t="n">
        <v>2137.723</v>
      </c>
      <c r="I36" s="18" t="n">
        <v>2888.766</v>
      </c>
      <c r="J36" s="18" t="n">
        <v>3027.394</v>
      </c>
      <c r="K36" s="18" t="n">
        <v>3050.951</v>
      </c>
      <c r="L36" s="18" t="n">
        <v>4165.795</v>
      </c>
      <c r="M36" s="18" t="n">
        <v>4233.799</v>
      </c>
      <c r="N36" s="18" t="n">
        <v>4305.192</v>
      </c>
      <c r="O36" s="18" t="n">
        <v>3394.63</v>
      </c>
      <c r="P36" s="18" t="n">
        <v>3416.4</v>
      </c>
      <c r="Q36" s="18" t="n">
        <v>3406.644</v>
      </c>
      <c r="R36" s="18" t="n">
        <v>3251.998</v>
      </c>
      <c r="S36" s="18" t="n">
        <v>3243.731</v>
      </c>
      <c r="T36" s="18" t="n">
        <v>3421.603</v>
      </c>
      <c r="U36" s="18" t="n">
        <v>3550.234</v>
      </c>
      <c r="V36" s="18" t="n">
        <v>3660.099</v>
      </c>
      <c r="W36" s="18" t="n">
        <v>3630.287</v>
      </c>
      <c r="X36" s="18" t="n">
        <v>3497.442</v>
      </c>
      <c r="Y36" s="18" t="n">
        <v>3699.857</v>
      </c>
      <c r="Z36" s="18" t="n">
        <v>3927.154</v>
      </c>
      <c r="AA36" s="18" t="n">
        <v>4041.955</v>
      </c>
      <c r="AB36" s="18" t="n">
        <v>4393.387</v>
      </c>
      <c r="AC36" s="18" t="n">
        <v>6445.2</v>
      </c>
    </row>
    <row r="37">
      <c r="A37" s="4" t="inlineStr">
        <is>
          <t>PP&amp;E (net)</t>
        </is>
      </c>
      <c r="B37" s="18" t="n">
        <v>582.79</v>
      </c>
      <c r="C37" s="18" t="n">
        <v>1335.622</v>
      </c>
      <c r="D37" s="18" t="n">
        <v>1347.147</v>
      </c>
      <c r="E37" s="18" t="n">
        <v>1247.167</v>
      </c>
      <c r="F37" s="18" t="n">
        <v>1214.772</v>
      </c>
      <c r="G37" s="18" t="n">
        <v>1218.575</v>
      </c>
      <c r="H37" s="18" t="n">
        <v>1250.48</v>
      </c>
      <c r="I37" s="18" t="n">
        <v>1232.146</v>
      </c>
      <c r="J37" s="18" t="n">
        <v>1242.906</v>
      </c>
      <c r="K37" s="18" t="n">
        <v>1242.093</v>
      </c>
      <c r="L37" s="18" t="n">
        <v>1272.377</v>
      </c>
      <c r="M37" s="18" t="n">
        <v>1320.191</v>
      </c>
      <c r="N37" s="18" t="n">
        <v>1363.195</v>
      </c>
      <c r="O37" s="18" t="n">
        <v>1803.646</v>
      </c>
      <c r="P37" s="18" t="n">
        <v>1875.558</v>
      </c>
      <c r="Q37" s="18" t="n">
        <v>1910.561</v>
      </c>
      <c r="R37" s="18" t="n">
        <v>1782.035</v>
      </c>
      <c r="S37" s="18" t="n">
        <v>1775.384</v>
      </c>
      <c r="T37" s="18" t="n">
        <v>1849.119</v>
      </c>
      <c r="U37" s="18" t="n">
        <v>1851.383</v>
      </c>
      <c r="V37" s="18" t="n">
        <v>1817.259</v>
      </c>
      <c r="W37" s="18" t="n">
        <v>1875.314</v>
      </c>
      <c r="X37" s="18" t="n">
        <v>1889.578</v>
      </c>
      <c r="Y37" s="18" t="n">
        <v>1936.436</v>
      </c>
      <c r="Z37" s="18" t="n">
        <v>1877.507</v>
      </c>
      <c r="AA37" s="18" t="n">
        <v>1944.353</v>
      </c>
      <c r="AB37" s="18" t="n">
        <v>2116.957</v>
      </c>
      <c r="AC37" s="18" t="n">
        <v>2420.1</v>
      </c>
    </row>
    <row r="38">
      <c r="A38" s="4" t="inlineStr">
        <is>
          <t>Total Assets</t>
        </is>
      </c>
      <c r="B38" s="18" t="n">
        <v>1953.773</v>
      </c>
      <c r="C38" s="18" t="n">
        <v>5370.686</v>
      </c>
      <c r="D38" s="18" t="n">
        <v>5208.209</v>
      </c>
      <c r="E38" s="18" t="n">
        <v>5106.823</v>
      </c>
      <c r="F38" s="18" t="n">
        <v>5234.714</v>
      </c>
      <c r="G38" s="18" t="n">
        <v>5470.619</v>
      </c>
      <c r="H38" s="18" t="n">
        <v>5646.563</v>
      </c>
      <c r="I38" s="18" t="n">
        <v>6361.72</v>
      </c>
      <c r="J38" s="18" t="n">
        <v>6512.65</v>
      </c>
      <c r="K38" s="18" t="n">
        <v>6515.862</v>
      </c>
      <c r="L38" s="18" t="n">
        <v>7649.283</v>
      </c>
      <c r="M38" s="18" t="n">
        <v>7767.196</v>
      </c>
      <c r="N38" s="18" t="n">
        <v>7844.846</v>
      </c>
      <c r="O38" s="18" t="n">
        <v>13830.559</v>
      </c>
      <c r="P38" s="18" t="n">
        <v>14108.894</v>
      </c>
      <c r="Q38" s="18" t="n">
        <v>14117.632</v>
      </c>
      <c r="R38" s="18" t="n">
        <v>13711.133</v>
      </c>
      <c r="S38" s="18" t="n">
        <v>13521.298</v>
      </c>
      <c r="T38" s="18" t="n">
        <v>14662.88</v>
      </c>
      <c r="U38" s="18" t="n">
        <v>14520.412</v>
      </c>
      <c r="V38" s="18" t="n">
        <v>14488.634</v>
      </c>
      <c r="W38" s="18" t="n">
        <v>14699.3</v>
      </c>
      <c r="X38" s="18" t="n">
        <v>14197.334</v>
      </c>
      <c r="Y38" s="18" t="n">
        <v>14444.825</v>
      </c>
      <c r="Z38" s="18" t="n">
        <v>14910.936</v>
      </c>
      <c r="AA38" s="18" t="n">
        <v>14698.845</v>
      </c>
      <c r="AB38" s="18" t="n">
        <v>15087.717</v>
      </c>
      <c r="AC38" s="18" t="n">
        <v>17286.7</v>
      </c>
    </row>
    <row r="39">
      <c r="A39" s="4" t="inlineStr">
        <is>
          <t>Total Current Liabilities</t>
        </is>
      </c>
      <c r="B39" s="18" t="n">
        <v>270.563</v>
      </c>
      <c r="C39" s="18" t="n">
        <v>545.777</v>
      </c>
      <c r="D39" s="18" t="n">
        <v>571.599</v>
      </c>
      <c r="E39" s="18" t="n">
        <v>569.171</v>
      </c>
      <c r="F39" s="18" t="n">
        <v>672.893</v>
      </c>
      <c r="G39" s="18" t="n">
        <v>644.893</v>
      </c>
      <c r="H39" s="18" t="n">
        <v>664.474</v>
      </c>
      <c r="I39" s="18" t="n">
        <v>678.837</v>
      </c>
      <c r="J39" s="18" t="n">
        <v>729.5890000000001</v>
      </c>
      <c r="K39" s="18" t="n">
        <v>1028.657</v>
      </c>
      <c r="L39" s="18" t="n">
        <v>2083.24</v>
      </c>
      <c r="M39" s="18" t="n">
        <v>2123.881</v>
      </c>
      <c r="N39" s="18" t="n">
        <v>1266.959</v>
      </c>
      <c r="O39" s="18" t="n">
        <v>1183.084</v>
      </c>
      <c r="P39" s="18" t="n">
        <v>1132.916</v>
      </c>
      <c r="Q39" s="18" t="n">
        <v>1107.456</v>
      </c>
      <c r="R39" s="18" t="n">
        <v>1078.748</v>
      </c>
      <c r="S39" s="18" t="n">
        <v>1083.136</v>
      </c>
      <c r="T39" s="18" t="n">
        <v>1187.773</v>
      </c>
      <c r="U39" s="18" t="n">
        <v>1310.628</v>
      </c>
      <c r="V39" s="18" t="n">
        <v>1343.767</v>
      </c>
      <c r="W39" s="18" t="n">
        <v>1357.99</v>
      </c>
      <c r="X39" s="18" t="n">
        <v>1309.288</v>
      </c>
      <c r="Y39" s="18" t="n">
        <v>1497.004</v>
      </c>
      <c r="Z39" s="18" t="n">
        <v>1794.841</v>
      </c>
      <c r="AA39" s="18" t="n">
        <v>1735.975</v>
      </c>
      <c r="AB39" s="18" t="n">
        <v>1951.088</v>
      </c>
      <c r="AC39" s="18" t="n">
        <v>2113.4</v>
      </c>
    </row>
    <row r="40">
      <c r="A40" s="4" t="inlineStr">
        <is>
          <t>Long-term Debt</t>
        </is>
      </c>
      <c r="B40" s="18" t="n">
        <v>443.163</v>
      </c>
      <c r="C40" s="18" t="n">
        <v>2332.612</v>
      </c>
      <c r="D40" s="18" t="n">
        <v>2228.207</v>
      </c>
      <c r="E40" s="18" t="n">
        <v>2213.175</v>
      </c>
      <c r="F40" s="18" t="n">
        <v>2186.092</v>
      </c>
      <c r="G40" s="18" t="n">
        <v>1468.096</v>
      </c>
      <c r="H40" s="18" t="n">
        <v>1408.79</v>
      </c>
      <c r="I40" s="18" t="n">
        <v>1323.402</v>
      </c>
      <c r="J40" s="18" t="n">
        <v>1313.091</v>
      </c>
      <c r="K40" s="18" t="n">
        <v>956.377</v>
      </c>
      <c r="L40" s="18" t="n">
        <v>942.579</v>
      </c>
      <c r="M40" s="18" t="n">
        <v>928.745</v>
      </c>
      <c r="N40" s="18" t="n">
        <v>1897.214</v>
      </c>
      <c r="O40" s="18" t="n">
        <v>4494.282</v>
      </c>
      <c r="P40" s="18" t="n">
        <v>4422.817</v>
      </c>
      <c r="Q40" s="18" t="n">
        <v>4349.923</v>
      </c>
      <c r="R40" s="18" t="n">
        <v>4234.962</v>
      </c>
      <c r="S40" s="18" t="n">
        <v>4219.366</v>
      </c>
      <c r="T40" s="18" t="n">
        <v>4137.009</v>
      </c>
      <c r="U40" s="18" t="n">
        <v>4082.656</v>
      </c>
      <c r="V40" s="18" t="n">
        <v>4026.448</v>
      </c>
      <c r="W40" s="18" t="n">
        <v>3918.841</v>
      </c>
      <c r="X40" s="18" t="n">
        <v>3832.694</v>
      </c>
      <c r="Y40" s="18" t="n">
        <v>3727.13</v>
      </c>
      <c r="Z40" s="18" t="n">
        <v>3498.615</v>
      </c>
      <c r="AA40" s="18" t="n">
        <v>3259.406</v>
      </c>
      <c r="AB40" s="18" t="n">
        <v>3245.403</v>
      </c>
      <c r="AC40" s="18" t="n">
        <v>3184.8</v>
      </c>
    </row>
    <row r="41">
      <c r="A41" s="4" t="inlineStr">
        <is>
          <t>Total Equity</t>
        </is>
      </c>
      <c r="B41" s="18" t="n">
        <v>1133.209</v>
      </c>
      <c r="C41" s="18" t="n">
        <v>2131.194</v>
      </c>
      <c r="D41" s="18" t="n">
        <v>2065.697</v>
      </c>
      <c r="E41" s="18" t="n">
        <v>2017.907</v>
      </c>
      <c r="F41" s="18" t="n">
        <v>2076.803</v>
      </c>
      <c r="G41" s="18" t="n">
        <v>3046.677</v>
      </c>
      <c r="H41" s="18" t="n">
        <v>3236.813</v>
      </c>
      <c r="I41" s="18" t="n">
        <v>3325.148</v>
      </c>
      <c r="J41" s="18" t="n">
        <v>4132.348</v>
      </c>
      <c r="K41" s="18" t="n">
        <v>4194.372</v>
      </c>
      <c r="L41" s="18" t="n">
        <v>4283.576</v>
      </c>
      <c r="M41" s="18" t="n">
        <v>4384.176</v>
      </c>
      <c r="N41" s="18" t="n">
        <v>4383.278</v>
      </c>
      <c r="O41" s="18" t="n">
        <v>7162.518</v>
      </c>
      <c r="P41" s="18" t="n">
        <v>7361.261</v>
      </c>
      <c r="Q41" s="18" t="n">
        <v>7451.078</v>
      </c>
      <c r="R41" s="18" t="n">
        <v>7228.966</v>
      </c>
      <c r="S41" s="18" t="n">
        <v>7103.574</v>
      </c>
      <c r="T41" s="18" t="n">
        <v>7773.07</v>
      </c>
      <c r="U41" s="18" t="n">
        <v>7668.813</v>
      </c>
      <c r="V41" s="18" t="n">
        <v>7574.887</v>
      </c>
      <c r="W41" s="18" t="n">
        <v>5501.077</v>
      </c>
      <c r="X41" s="18" t="n">
        <v>7597.09</v>
      </c>
      <c r="Y41" s="18" t="n">
        <v>7814.182</v>
      </c>
      <c r="Z41" s="18" t="n">
        <v>8127.775</v>
      </c>
      <c r="AA41" s="18" t="n">
        <v>8335.501</v>
      </c>
      <c r="AB41" s="18" t="n">
        <v>8539.296</v>
      </c>
      <c r="AC41" s="18" t="n">
        <v>10677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A43" s="4" t="inlineStr">
        <is>
          <t>D&amp;A</t>
        </is>
      </c>
      <c r="B43" s="18" t="n">
        <v>24.738</v>
      </c>
      <c r="C43" s="18" t="n">
        <v>26.948</v>
      </c>
      <c r="D43" s="18" t="n">
        <v>82.152</v>
      </c>
      <c r="E43" s="18" t="n">
        <v>38.024</v>
      </c>
      <c r="F43" s="18" t="n">
        <v>73.758</v>
      </c>
      <c r="G43" s="18" t="n">
        <v>64.685</v>
      </c>
      <c r="H43" s="18" t="n">
        <v>67.20099999999999</v>
      </c>
      <c r="I43" s="18" t="n">
        <v>67.98399999999999</v>
      </c>
      <c r="J43" s="18" t="n">
        <v>70.199</v>
      </c>
      <c r="K43" s="18" t="n">
        <v>69.69199999999999</v>
      </c>
      <c r="L43" s="18" t="n">
        <v>71.027</v>
      </c>
      <c r="M43" s="18" t="n">
        <v>72.815</v>
      </c>
      <c r="N43" s="18" t="n">
        <v>73.245</v>
      </c>
      <c r="O43" s="18" t="n">
        <v>147.286</v>
      </c>
      <c r="P43" s="18" t="n">
        <v>169.909</v>
      </c>
      <c r="Q43" s="18" t="n">
        <v>160.941</v>
      </c>
      <c r="R43" s="18" t="n">
        <v>203.551</v>
      </c>
      <c r="S43" s="18" t="n">
        <v>138.359</v>
      </c>
      <c r="T43" s="18" t="n">
        <v>138.019</v>
      </c>
      <c r="U43" s="18" t="n">
        <v>139.735</v>
      </c>
      <c r="V43" s="18" t="n">
        <v>143.648</v>
      </c>
      <c r="W43" s="18" t="n">
        <v>137.744</v>
      </c>
      <c r="X43" s="18" t="n">
        <v>134.461</v>
      </c>
      <c r="Y43" s="18" t="n">
        <v>146.57</v>
      </c>
      <c r="Z43" s="18" t="n">
        <v>250.391225</v>
      </c>
      <c r="AA43" s="18" t="n">
        <v>122.429</v>
      </c>
      <c r="AB43" s="18" t="n">
        <v>108.371571</v>
      </c>
      <c r="AC43" s="18" t="n">
        <v>132.878</v>
      </c>
    </row>
    <row r="44">
      <c r="A44" s="4" t="inlineStr">
        <is>
          <t>Stock-based Compensation</t>
        </is>
      </c>
      <c r="B44" s="18" t="n">
        <v>6.166</v>
      </c>
      <c r="C44" s="18" t="n">
        <v>15.603</v>
      </c>
      <c r="D44" s="18" t="n">
        <v>18.777</v>
      </c>
      <c r="E44" s="18" t="n">
        <v>14.38</v>
      </c>
      <c r="F44" s="18" t="n">
        <v>24.027</v>
      </c>
      <c r="G44" s="18" t="n">
        <v>15.757</v>
      </c>
      <c r="H44" s="18" t="n">
        <v>22.261</v>
      </c>
      <c r="I44" s="18" t="n">
        <v>16.737</v>
      </c>
      <c r="J44" s="18" t="n">
        <v>16.536</v>
      </c>
      <c r="K44" s="18" t="n">
        <v>23.796</v>
      </c>
      <c r="L44" s="18" t="n">
        <v>17.742</v>
      </c>
      <c r="M44" s="18" t="n">
        <v>17.566</v>
      </c>
      <c r="N44" s="18" t="n">
        <v>15.79</v>
      </c>
      <c r="O44" s="18" t="n">
        <v>54.185</v>
      </c>
      <c r="P44" s="18" t="n">
        <v>34.917</v>
      </c>
      <c r="Q44" s="18" t="n">
        <v>34.722</v>
      </c>
      <c r="R44" s="18" t="n">
        <v>25.198</v>
      </c>
      <c r="S44" s="18" t="n">
        <v>45.957</v>
      </c>
      <c r="T44" s="18" t="n">
        <v>26.508</v>
      </c>
      <c r="U44" s="18" t="n">
        <v>25.287</v>
      </c>
      <c r="V44" s="18" t="n">
        <v>28.706</v>
      </c>
      <c r="W44" s="18" t="n">
        <v>34.96</v>
      </c>
      <c r="X44" s="18" t="n">
        <v>40.729</v>
      </c>
      <c r="Y44" s="18" t="n">
        <v>40.96</v>
      </c>
      <c r="Z44" s="18" t="n">
        <v>160.122351</v>
      </c>
      <c r="AA44" s="18" t="n">
        <v>44.134</v>
      </c>
      <c r="AB44" s="18" t="n">
        <v>86.857866</v>
      </c>
      <c r="AC44" s="18" t="n">
        <v>49.147</v>
      </c>
    </row>
    <row r="45">
      <c r="A45" s="4" t="inlineStr">
        <is>
          <t>Change in Working Capital</t>
        </is>
      </c>
      <c r="B45" s="18" t="n">
        <v>-4.731</v>
      </c>
      <c r="C45" s="18" t="n">
        <v>-33.795</v>
      </c>
      <c r="D45" s="18" t="n">
        <v>95.60599999999999</v>
      </c>
      <c r="E45" s="18" t="n">
        <v>-17.603</v>
      </c>
      <c r="F45" s="18" t="n">
        <v>31.909</v>
      </c>
      <c r="G45" s="18" t="n">
        <v>-48.151</v>
      </c>
      <c r="H45" s="18" t="n">
        <v>45.778</v>
      </c>
      <c r="I45" s="18" t="n">
        <v>-59.869</v>
      </c>
      <c r="J45" s="18" t="n">
        <v>-40.923</v>
      </c>
      <c r="K45" s="18" t="n">
        <v>-122.662</v>
      </c>
      <c r="L45" s="18" t="n">
        <v>34.98</v>
      </c>
      <c r="M45" s="18" t="n">
        <v>-98.797</v>
      </c>
      <c r="N45" s="18" t="n">
        <v>-4.904</v>
      </c>
      <c r="O45" s="18" t="n">
        <v>-57.131</v>
      </c>
      <c r="P45" s="18" t="n">
        <v>102.695</v>
      </c>
      <c r="Q45" s="18" t="n">
        <v>-11.525</v>
      </c>
      <c r="R45" s="18" t="n">
        <v>90.589</v>
      </c>
      <c r="S45" s="18" t="n">
        <v>132.082</v>
      </c>
      <c r="T45" s="18" t="n">
        <v>-32.408</v>
      </c>
      <c r="U45" s="18" t="n">
        <v>7.284</v>
      </c>
      <c r="V45" s="18" t="n">
        <v>-2.617</v>
      </c>
      <c r="W45" s="18" t="n">
        <v>-46.843</v>
      </c>
      <c r="X45" s="18" t="n">
        <v>-46.302</v>
      </c>
      <c r="Y45" s="18" t="n">
        <v>-44.02</v>
      </c>
      <c r="Z45" s="18" t="n">
        <v>0.137165</v>
      </c>
      <c r="AA45" s="18" t="n">
        <v>-158.602</v>
      </c>
      <c r="AB45" s="18" t="n">
        <v>-259.376</v>
      </c>
      <c r="AC45" s="18" t="n">
        <v>-392.293</v>
      </c>
    </row>
    <row r="46">
      <c r="A46" s="4" t="inlineStr">
        <is>
          <t>Operating Cash Flow</t>
        </is>
      </c>
      <c r="B46" s="18" t="n">
        <v>64.083</v>
      </c>
      <c r="C46" s="18" t="n">
        <v>-25.615</v>
      </c>
      <c r="D46" s="18" t="n">
        <v>81.875</v>
      </c>
      <c r="E46" s="18" t="n">
        <v>64.232</v>
      </c>
      <c r="F46" s="18" t="n">
        <v>176.8</v>
      </c>
      <c r="G46" s="18" t="n">
        <v>134.327</v>
      </c>
      <c r="H46" s="18" t="n">
        <v>221.372</v>
      </c>
      <c r="I46" s="18" t="n">
        <v>91.15300000000001</v>
      </c>
      <c r="J46" s="18" t="n">
        <v>127.501</v>
      </c>
      <c r="K46" s="18" t="n">
        <v>52.336</v>
      </c>
      <c r="L46" s="18" t="n">
        <v>187.749</v>
      </c>
      <c r="M46" s="18" t="n">
        <v>35.922</v>
      </c>
      <c r="N46" s="18" t="n">
        <v>137.325</v>
      </c>
      <c r="O46" s="18" t="n">
        <v>79.577</v>
      </c>
      <c r="P46" s="18" t="n">
        <v>220.491</v>
      </c>
      <c r="Q46" s="18" t="n">
        <v>152.425</v>
      </c>
      <c r="R46" s="18" t="n">
        <v>181.532</v>
      </c>
      <c r="S46" s="18" t="n">
        <v>198.803</v>
      </c>
      <c r="T46" s="18" t="n">
        <v>67.16800000000001</v>
      </c>
      <c r="U46" s="18" t="n">
        <v>117.433</v>
      </c>
      <c r="V46" s="18" t="n">
        <v>162.327</v>
      </c>
      <c r="W46" s="18" t="n">
        <v>152.98</v>
      </c>
      <c r="X46" s="18" t="n">
        <v>187.379</v>
      </c>
      <c r="Y46" s="18" t="n">
        <v>162.957</v>
      </c>
      <c r="Z46" s="18" t="n">
        <v>130.284</v>
      </c>
      <c r="AA46" s="18" t="n">
        <v>45.955</v>
      </c>
      <c r="AB46" s="18" t="n">
        <v>57.9</v>
      </c>
      <c r="AC46" s="18" t="n">
        <v>-93.797</v>
      </c>
    </row>
    <row r="47">
      <c r="A47" s="4" t="inlineStr">
        <is>
          <t>Capex</t>
        </is>
      </c>
      <c r="B47" s="18" t="n">
        <v>-28.952</v>
      </c>
      <c r="C47" s="18" t="n">
        <v>-25.636</v>
      </c>
      <c r="D47" s="18" t="n">
        <v>-54.652</v>
      </c>
      <c r="E47" s="18" t="n">
        <v>-27.687</v>
      </c>
      <c r="F47" s="18" t="n">
        <v>-32.652</v>
      </c>
      <c r="G47" s="18" t="n">
        <v>-33.792</v>
      </c>
      <c r="H47" s="18" t="n">
        <v>-45.537</v>
      </c>
      <c r="I47" s="18" t="n">
        <v>-26.002</v>
      </c>
      <c r="J47" s="18" t="n">
        <v>-41.006</v>
      </c>
      <c r="K47" s="18" t="n">
        <v>-47.565</v>
      </c>
      <c r="L47" s="18" t="n">
        <v>-54.124</v>
      </c>
      <c r="M47" s="18" t="n">
        <v>-94.30200000000001</v>
      </c>
      <c r="N47" s="18" t="n">
        <v>-118.341</v>
      </c>
      <c r="O47" s="18" t="n">
        <v>-138.99</v>
      </c>
      <c r="P47" s="18" t="n">
        <v>-106.864</v>
      </c>
      <c r="Q47" s="18" t="n">
        <v>-97.145</v>
      </c>
      <c r="R47" s="18" t="n">
        <v>-93.06100000000001</v>
      </c>
      <c r="S47" s="18" t="n">
        <v>-62.197</v>
      </c>
      <c r="T47" s="18" t="n">
        <v>-91.47</v>
      </c>
      <c r="U47" s="18" t="n">
        <v>-93.242</v>
      </c>
      <c r="V47" s="18" t="n">
        <v>-99.907</v>
      </c>
      <c r="W47" s="18" t="n">
        <v>-91.98399999999999</v>
      </c>
      <c r="X47" s="18" t="n">
        <v>-105.683</v>
      </c>
      <c r="Y47" s="18" t="n">
        <v>-111.819</v>
      </c>
      <c r="Z47" s="18" t="n">
        <v>-131.35</v>
      </c>
      <c r="AA47" s="18" t="n">
        <v>-103.946</v>
      </c>
      <c r="AB47" s="18" t="n">
        <v>-153.598</v>
      </c>
      <c r="AC47" s="18" t="n">
        <v>-289.684</v>
      </c>
    </row>
    <row r="48">
      <c r="A48" s="4" t="inlineStr">
        <is>
          <t>Free Cash Flow</t>
        </is>
      </c>
      <c r="B48" s="18" t="n">
        <v>35.131</v>
      </c>
      <c r="C48" s="18" t="n">
        <v>-51.251</v>
      </c>
      <c r="D48" s="18" t="n">
        <v>27.223</v>
      </c>
      <c r="E48" s="18" t="n">
        <v>36.545</v>
      </c>
      <c r="F48" s="18" t="n">
        <v>144.148</v>
      </c>
      <c r="G48" s="18" t="n">
        <v>100.535</v>
      </c>
      <c r="H48" s="18" t="n">
        <v>175.835</v>
      </c>
      <c r="I48" s="18" t="n">
        <v>65.151</v>
      </c>
      <c r="J48" s="18" t="n">
        <v>86.495</v>
      </c>
      <c r="K48" s="18" t="n">
        <v>4.771</v>
      </c>
      <c r="L48" s="18" t="n">
        <v>133.625</v>
      </c>
      <c r="M48" s="18" t="n">
        <v>-58.38</v>
      </c>
      <c r="N48" s="18" t="n">
        <v>18.984</v>
      </c>
      <c r="O48" s="18" t="n">
        <v>-59.413</v>
      </c>
      <c r="P48" s="18" t="n">
        <v>113.627</v>
      </c>
      <c r="Q48" s="18" t="n">
        <v>55.28</v>
      </c>
      <c r="R48" s="18" t="n">
        <v>88.471</v>
      </c>
      <c r="S48" s="18" t="n">
        <v>136.606</v>
      </c>
      <c r="T48" s="18" t="n">
        <v>-24.302</v>
      </c>
      <c r="U48" s="18" t="n">
        <v>24.191</v>
      </c>
      <c r="V48" s="18" t="n">
        <v>62.42</v>
      </c>
      <c r="W48" s="18" t="n">
        <v>60.996</v>
      </c>
      <c r="X48" s="18" t="n">
        <v>81.696</v>
      </c>
      <c r="Y48" s="18" t="n">
        <v>51.138</v>
      </c>
      <c r="Z48" s="18" t="n">
        <v>-1.066</v>
      </c>
      <c r="AA48" s="18" t="n">
        <v>-57.991</v>
      </c>
      <c r="AB48" s="18" t="n">
        <v>-95.69799999999999</v>
      </c>
      <c r="AC48" s="18" t="n">
        <v>-383.481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7057.400516</v>
      </c>
      <c r="C4" s="18" t="n">
        <v>9615.718712</v>
      </c>
      <c r="D4" s="18" t="n">
        <v>12751.606542</v>
      </c>
      <c r="E4" s="18" t="n">
        <v>20189.750437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1335.447143</v>
      </c>
      <c r="C8" s="18" t="n">
        <v>1819.548721</v>
      </c>
      <c r="D8" s="18" t="n">
        <v>2412.941774</v>
      </c>
      <c r="E8" s="18" t="n">
        <v>3820.435651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601.881428</v>
      </c>
      <c r="C12" s="18" t="n">
        <v>820.064342</v>
      </c>
      <c r="D12" s="18" t="n">
        <v>1087.504548</v>
      </c>
      <c r="E12" s="18" t="n">
        <v>1721.857192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201.765013</v>
      </c>
      <c r="C16" s="18" t="n">
        <v>274.90513</v>
      </c>
      <c r="D16" s="18" t="n">
        <v>364.557467</v>
      </c>
      <c r="E16" s="18" t="n">
        <v>577.2076060000001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847.660037</v>
      </c>
      <c r="C20" s="18" t="n">
        <v>1184.2</v>
      </c>
      <c r="D20" s="18" t="n">
        <v>1787.16667</v>
      </c>
      <c r="E20" s="18" t="n">
        <v>0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5.45593</v>
      </c>
      <c r="C24" s="48" t="n">
        <v>8.21542</v>
      </c>
      <c r="D24" s="48" t="n">
        <v>12.07792</v>
      </c>
      <c r="E24" s="48" t="n">
        <v>0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Coherent,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Financials!AC35</f>
        <v/>
      </c>
    </row>
    <row r="33">
      <c r="A33" s="4" t="inlineStr">
        <is>
          <t>- Long-term debt</t>
        </is>
      </c>
      <c r="B33" s="34">
        <f>-Financials!AC40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0.1208574808941716</v>
      </c>
      <c r="C4" s="52" t="n">
        <v>0.1258574808941716</v>
      </c>
      <c r="D4" s="52" t="n">
        <v>0.1308574808941716</v>
      </c>
      <c r="E4" s="52" t="n">
        <v>0.1358574808941716</v>
      </c>
      <c r="F4" s="52" t="n">
        <v>0.1408574808941716</v>
      </c>
      <c r="G4" s="52" t="n">
        <v>0.1458574808941716</v>
      </c>
      <c r="H4" s="52" t="n">
        <v>0.1508574808941716</v>
      </c>
    </row>
    <row r="5">
      <c r="A5" s="53" t="n">
        <v>9</v>
      </c>
      <c r="B5" s="54" t="n">
        <v>254.5063395369442</v>
      </c>
      <c r="C5" s="54" t="n">
        <v>244.7905821586782</v>
      </c>
      <c r="D5" s="54" t="n">
        <v>235.5096340892605</v>
      </c>
      <c r="E5" s="54" t="n">
        <v>226.6417484658326</v>
      </c>
      <c r="F5" s="54" t="n">
        <v>218.1663669035222</v>
      </c>
      <c r="G5" s="54" t="n">
        <v>210.0640493648717</v>
      </c>
      <c r="H5" s="54" t="n">
        <v>202.3164084624591</v>
      </c>
    </row>
    <row r="6">
      <c r="A6" s="53" t="n">
        <v>10</v>
      </c>
      <c r="B6" s="54" t="n">
        <v>273.6322553394109</v>
      </c>
      <c r="C6" s="54" t="n">
        <v>263.0838801212474</v>
      </c>
      <c r="D6" s="54" t="n">
        <v>253.0100122661128</v>
      </c>
      <c r="E6" s="54" t="n">
        <v>243.3868490353282</v>
      </c>
      <c r="F6" s="54" t="n">
        <v>234.1918910127532</v>
      </c>
      <c r="G6" s="54" t="n">
        <v>225.4038650949753</v>
      </c>
      <c r="H6" s="54" t="n">
        <v>217.0026523543065</v>
      </c>
    </row>
    <row r="7">
      <c r="A7" s="53" t="n">
        <v>11</v>
      </c>
      <c r="B7" s="54" t="n">
        <v>292.7581711418777</v>
      </c>
      <c r="C7" s="54" t="n">
        <v>281.3771780838167</v>
      </c>
      <c r="D7" s="54" t="n">
        <v>270.5103904429652</v>
      </c>
      <c r="E7" s="54" t="n">
        <v>260.1319496048237</v>
      </c>
      <c r="F7" s="54" t="n">
        <v>250.2174151219842</v>
      </c>
      <c r="G7" s="54" t="n">
        <v>240.743680825079</v>
      </c>
      <c r="H7" s="54" t="n">
        <v>231.6888962461539</v>
      </c>
    </row>
    <row r="8">
      <c r="A8" s="53" t="n">
        <v>12</v>
      </c>
      <c r="B8" s="54" t="n">
        <v>311.8840869443444</v>
      </c>
      <c r="C8" s="54" t="n">
        <v>299.6704760463859</v>
      </c>
      <c r="D8" s="54" t="n">
        <v>288.0107686198176</v>
      </c>
      <c r="E8" s="55" t="n">
        <v>276.8770501743193</v>
      </c>
      <c r="F8" s="54" t="n">
        <v>266.2429392312152</v>
      </c>
      <c r="G8" s="54" t="n">
        <v>256.0834965551827</v>
      </c>
      <c r="H8" s="54" t="n">
        <v>246.3751401380013</v>
      </c>
    </row>
    <row r="9">
      <c r="A9" s="53" t="n">
        <v>13</v>
      </c>
      <c r="B9" s="54" t="n">
        <v>331.010002746811</v>
      </c>
      <c r="C9" s="54" t="n">
        <v>317.9637740089551</v>
      </c>
      <c r="D9" s="54" t="n">
        <v>305.5111467966699</v>
      </c>
      <c r="E9" s="54" t="n">
        <v>293.6221507438148</v>
      </c>
      <c r="F9" s="54" t="n">
        <v>282.2684633404462</v>
      </c>
      <c r="G9" s="54" t="n">
        <v>271.4233122852863</v>
      </c>
      <c r="H9" s="54" t="n">
        <v>261.0613840298487</v>
      </c>
    </row>
    <row r="10">
      <c r="A10" s="53" t="n">
        <v>14</v>
      </c>
      <c r="B10" s="8" t="n">
        <v>350.1359185492778</v>
      </c>
      <c r="C10" s="8" t="n">
        <v>336.2570719715243</v>
      </c>
      <c r="D10" s="54" t="n">
        <v>323.0115249735222</v>
      </c>
      <c r="E10" s="54" t="n">
        <v>310.3672513133104</v>
      </c>
      <c r="F10" s="54" t="n">
        <v>298.2939874496773</v>
      </c>
      <c r="G10" s="54" t="n">
        <v>286.7631280153901</v>
      </c>
      <c r="H10" s="54" t="n">
        <v>275.7476279216961</v>
      </c>
    </row>
    <row r="11">
      <c r="A11" s="53" t="n">
        <v>15</v>
      </c>
      <c r="B11" s="8" t="n">
        <v>369.2618343517445</v>
      </c>
      <c r="C11" s="8" t="n">
        <v>354.5503699340935</v>
      </c>
      <c r="D11" s="8" t="n">
        <v>340.5119031503746</v>
      </c>
      <c r="E11" s="54" t="n">
        <v>327.1123518828059</v>
      </c>
      <c r="F11" s="54" t="n">
        <v>314.3195115589083</v>
      </c>
      <c r="G11" s="54" t="n">
        <v>302.1029437454937</v>
      </c>
      <c r="H11" s="54" t="n">
        <v>290.4338718135435</v>
      </c>
    </row>
    <row r="13">
      <c r="A13" s="3" t="inlineStr">
        <is>
          <t>Current price</t>
        </is>
      </c>
      <c r="B13" s="54" t="n">
        <v>333.3599853515625</v>
      </c>
    </row>
    <row r="14">
      <c r="A14" s="3" t="inlineStr">
        <is>
          <t>Base WACC / multiple</t>
        </is>
      </c>
      <c r="B14" s="56" t="n">
        <v>0.1358574808941716</v>
      </c>
      <c r="C14" s="57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0.1151726299737613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0.6511963824832909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0.9749960948047653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2026-07-06T20:34:32Z</dcterms:created>
  <dcterms:modified xmlns:dcterms="http://purl.org/dc/terms/" xmlns:xsi="http://www.w3.org/2001/XMLSchema-instance" xsi:type="dcterms:W3CDTF">2026-07-06T20:34:33Z</dcterms:modified>
</cp:coreProperties>
</file>