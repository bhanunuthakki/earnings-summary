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Toll Brothers, Inc. (TOL)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Toll Brothers, Inc. (TOL)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Home Building</t>
        </is>
      </c>
      <c r="B20" s="15" t="n">
        <v>0.02678862552499208</v>
      </c>
      <c r="C20" s="15" t="n">
        <v>0.05</v>
      </c>
      <c r="D20" s="16" t="n">
        <v>0.02678862552499208</v>
      </c>
      <c r="E20" s="2" t="inlineStr"/>
    </row>
    <row r="21">
      <c r="A21" s="4" t="inlineStr">
        <is>
          <t>Land</t>
        </is>
      </c>
      <c r="B21" s="15" t="n">
        <v>-0.04112240439961458</v>
      </c>
      <c r="C21" s="15" t="n">
        <v>0.05</v>
      </c>
      <c r="D21" s="16" t="n">
        <v>-0.04112240439961458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0.1586361638561085</v>
      </c>
      <c r="D29" s="16" t="n">
        <v>0.1586361638561085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0.1721627720639887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94.8145</v>
      </c>
      <c r="D34" s="18" t="n">
        <v>94.8145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152.6600036621094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233.8195788643848</v>
      </c>
      <c r="C58" s="28" t="n">
        <v>342.0648087159275</v>
      </c>
      <c r="D58" s="28" t="n">
        <v>155.6611955324681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0.00281159649970187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0.001686957899821122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TOL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Home Building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Home Building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Land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Land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builder default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Home Building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Land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0.742976457051026</v>
      </c>
      <c r="H13" s="15" t="n">
        <v>0.742976457051026</v>
      </c>
      <c r="I13" s="15" t="n">
        <v>0.742976457051026</v>
      </c>
      <c r="J13" s="15" t="n">
        <v>0.742976457051026</v>
      </c>
      <c r="K13" s="15" t="n">
        <v>0.742976457051026</v>
      </c>
      <c r="L13" s="15" t="n">
        <v>0.742976457051026</v>
      </c>
      <c r="M13" s="15" t="n">
        <v>0.742976457051026</v>
      </c>
      <c r="N13" s="15" t="n">
        <v>0.742976457051026</v>
      </c>
      <c r="O13" s="15" t="n">
        <v>0.742976457051026</v>
      </c>
      <c r="P13" s="15" t="n">
        <v>0.742976457051026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0.094250762055356</v>
      </c>
      <c r="H17" s="15" t="n">
        <v>0.094250762055356</v>
      </c>
      <c r="I17" s="15" t="n">
        <v>0.094250762055356</v>
      </c>
      <c r="J17" s="15" t="n">
        <v>0.094250762055356</v>
      </c>
      <c r="K17" s="15" t="n">
        <v>0.094250762055356</v>
      </c>
      <c r="L17" s="15" t="n">
        <v>0.094250762055356</v>
      </c>
      <c r="M17" s="15" t="n">
        <v>0.094250762055356</v>
      </c>
      <c r="N17" s="15" t="n">
        <v>0.094250762055356</v>
      </c>
      <c r="O17" s="15" t="n">
        <v>0.094250762055356</v>
      </c>
      <c r="P17" s="15" t="n">
        <v>0.094250762055356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G8*(1-(Dashboard!$B$29+(Dashboard!$B$30-Dashboard!$B$29)*MIN(1,0/2)))-(G12+G14+G16)</f>
        <v/>
      </c>
      <c r="H18" s="33">
        <f>H8*(1-(Dashboard!$B$29+(Dashboard!$B$30-Dashboard!$B$29)*MIN(1,1/2)))-(H12+H14+H16)</f>
        <v/>
      </c>
      <c r="I18" s="33">
        <f>I8*(1-(Dashboard!$B$29+(Dashboard!$B$30-Dashboard!$B$29)*MIN(1,2/2)))-(I12+I14+I16)</f>
        <v/>
      </c>
      <c r="J18" s="33">
        <f>J8*(1-(Dashboard!$B$29+(Dashboard!$B$30-Dashboard!$B$29)*MIN(1,3/2)))-(J12+J14+J16)</f>
        <v/>
      </c>
      <c r="K18" s="33">
        <f>K8*(1-(Dashboard!$B$29+(Dashboard!$B$30-Dashboard!$B$29)*MIN(1,4/2)))-(K12+K14+K16)</f>
        <v/>
      </c>
      <c r="L18" s="33">
        <f>L8*(1-(Dashboard!$B$29+(Dashboard!$B$30-Dashboard!$B$29)*MIN(1,5/2)))-(L12+L14+L16)</f>
        <v/>
      </c>
      <c r="M18" s="33">
        <f>M8*(1-(Dashboard!$B$29+(Dashboard!$B$30-Dashboard!$B$29)*MIN(1,6/2)))-(M12+M14+M16)</f>
        <v/>
      </c>
      <c r="N18" s="33">
        <f>N8*(1-(Dashboard!$B$29+(Dashboard!$B$30-Dashboard!$B$29)*MIN(1,7/2)))-(N12+N14+N16)</f>
        <v/>
      </c>
      <c r="O18" s="33">
        <f>O8*(1-(Dashboard!$B$29+(Dashboard!$B$30-Dashboard!$B$29)*MIN(1,8/2)))-(O12+O14+O16)</f>
        <v/>
      </c>
      <c r="P18" s="33">
        <f>P8*(1-(Dashboard!$B$29+(Dashboard!$B$30-Dashboard!$B$29)*MIN(1,9/2)))-(P12+P14+P16)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SUM(Financials!I50:L50)</f>
        <v/>
      </c>
      <c r="C26" s="33">
        <f>SUM(Financials!M50:P50)</f>
        <v/>
      </c>
      <c r="D26" s="33">
        <f>SUM(Financials!Q50:T50)</f>
        <v/>
      </c>
      <c r="E26" s="33">
        <f>SUM(Financials!U50:X50)</f>
        <v/>
      </c>
      <c r="F26" s="33">
        <f>SUM(Financials!Y50:AB50)</f>
        <v/>
      </c>
      <c r="G26" s="41">
        <f>G8*0.0075</f>
        <v/>
      </c>
      <c r="H26" s="41">
        <f>H8*0.0075</f>
        <v/>
      </c>
      <c r="I26" s="41">
        <f>I8*0.0075</f>
        <v/>
      </c>
      <c r="J26" s="41">
        <f>J8*0.0075</f>
        <v/>
      </c>
      <c r="K26" s="41">
        <f>K8*0.0075</f>
        <v/>
      </c>
      <c r="L26" s="41">
        <f>L8*0.0075</f>
        <v/>
      </c>
      <c r="M26" s="41">
        <f>M8*0.0075</f>
        <v/>
      </c>
      <c r="N26" s="41">
        <f>N8*0.0075</f>
        <v/>
      </c>
      <c r="O26" s="41">
        <f>O8*0.0075</f>
        <v/>
      </c>
      <c r="P26" s="41">
        <f>P8*0.0075</f>
        <v/>
      </c>
    </row>
    <row r="27">
      <c r="A27" s="4" t="inlineStr">
        <is>
          <t>+ SBC (non-cash)</t>
        </is>
      </c>
      <c r="B27" s="33">
        <f>SUM(Financials!I51:L51)</f>
        <v/>
      </c>
      <c r="C27" s="33">
        <f>SUM(Financials!M51:P51)</f>
        <v/>
      </c>
      <c r="D27" s="33">
        <f>SUM(Financials!Q51:T51)</f>
        <v/>
      </c>
      <c r="E27" s="33">
        <f>SUM(Financials!U51:X51)</f>
        <v/>
      </c>
      <c r="F27" s="33">
        <f>SUM(Financials!Y51:AB51)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-SUM(Financials!I54:L54)</f>
        <v/>
      </c>
      <c r="C29" s="33">
        <f>-SUM(Financials!M54:P54)</f>
        <v/>
      </c>
      <c r="D29" s="33">
        <f>-SUM(Financials!Q54:T54)</f>
        <v/>
      </c>
      <c r="E29" s="33">
        <f>-SUM(Financials!U54:X54)</f>
        <v/>
      </c>
      <c r="F29" s="33">
        <f>-SUM(Financials!Y54:AB54)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Financials!L48+Financials!L47-Financials!L42</f>
        <v/>
      </c>
      <c r="C36" s="33">
        <f>Financials!P48+Financials!P47-Financials!P42</f>
        <v/>
      </c>
      <c r="D36" s="33">
        <f>Financials!T48+Financials!T47-Financials!T42</f>
        <v/>
      </c>
      <c r="E36" s="33">
        <f>Financials!X48+Financials!X47-Financials!X42</f>
        <v/>
      </c>
      <c r="F36" s="33">
        <f>Financials!AB48+Financials!AB47-Financials!AB42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Financials!L48</f>
        <v/>
      </c>
      <c r="C37" s="33">
        <f>Financials!P48</f>
        <v/>
      </c>
      <c r="D37" s="33">
        <f>Financials!T48</f>
        <v/>
      </c>
      <c r="E37" s="33">
        <f>Financials!X48</f>
        <v/>
      </c>
      <c r="F37" s="33">
        <f>Financials!AB48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1716.094</v>
      </c>
      <c r="C3" s="18" t="n">
        <v>1765.691</v>
      </c>
      <c r="D3" s="18" t="n">
        <v>2379</v>
      </c>
      <c r="E3" s="18" t="n">
        <v>1331.431</v>
      </c>
      <c r="F3" s="18" t="n">
        <v>1549.072</v>
      </c>
      <c r="G3" s="18" t="n">
        <v>1651.489</v>
      </c>
      <c r="H3" s="18" t="n">
        <v>2545.667</v>
      </c>
      <c r="I3" s="18" t="n">
        <v>1563.376</v>
      </c>
      <c r="J3" s="18" t="n">
        <v>1930.124</v>
      </c>
      <c r="K3" s="18" t="n">
        <v>2255.481</v>
      </c>
      <c r="L3" s="18" t="n">
        <v>3041.38</v>
      </c>
      <c r="M3" s="18" t="n">
        <v>1791.081</v>
      </c>
      <c r="N3" s="18" t="n">
        <v>2277.541</v>
      </c>
      <c r="O3" s="18" t="n">
        <v>2494.802</v>
      </c>
      <c r="P3" s="18" t="n">
        <v>3712.134</v>
      </c>
      <c r="Q3" s="18" t="n">
        <v>1780.169</v>
      </c>
      <c r="R3" s="18" t="n">
        <v>2506.979</v>
      </c>
      <c r="S3" s="18" t="n">
        <v>2687.642</v>
      </c>
      <c r="T3" s="18" t="n">
        <v>3020.147</v>
      </c>
      <c r="U3" s="18" t="n">
        <v>1947.848</v>
      </c>
      <c r="V3" s="18" t="n">
        <v>2837.486</v>
      </c>
      <c r="W3" s="18" t="n">
        <v>2727.944</v>
      </c>
      <c r="X3" s="18" t="n">
        <v>3333.462</v>
      </c>
      <c r="Y3" s="18" t="n">
        <v>1859.131</v>
      </c>
      <c r="Z3" s="18" t="n">
        <v>2739.077</v>
      </c>
      <c r="AA3" s="18" t="n">
        <v>2945.117</v>
      </c>
      <c r="AB3" s="18" t="n">
        <v>3423.398</v>
      </c>
      <c r="AC3" s="18" t="n">
        <v>2145.627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1377.268</v>
      </c>
      <c r="C5" s="18" t="n">
        <v>1407.987</v>
      </c>
      <c r="D5" s="18" t="n">
        <v>1946.865</v>
      </c>
      <c r="E5" s="18" t="n">
        <v>1092.182</v>
      </c>
      <c r="F5" s="18" t="n">
        <v>1277.107</v>
      </c>
      <c r="G5" s="18" t="n">
        <v>1341.195</v>
      </c>
      <c r="H5" s="18" t="n">
        <v>2038.79</v>
      </c>
      <c r="I5" s="18" t="n">
        <v>1233.527</v>
      </c>
      <c r="J5" s="18" t="n">
        <v>1526.584</v>
      </c>
      <c r="K5" s="18" t="n">
        <v>1744.833</v>
      </c>
      <c r="L5" s="18" t="n">
        <v>2342.517</v>
      </c>
      <c r="M5" s="18" t="n">
        <v>1389.144</v>
      </c>
      <c r="N5" s="18" t="n">
        <v>1752.246</v>
      </c>
      <c r="O5" s="18" t="n">
        <v>1900.264</v>
      </c>
      <c r="P5" s="18" t="n">
        <v>2747.525</v>
      </c>
      <c r="Q5" s="18" t="n">
        <v>1343.358</v>
      </c>
      <c r="R5" s="18" t="n">
        <v>1853.728</v>
      </c>
      <c r="S5" s="18" t="n">
        <v>1943.527</v>
      </c>
      <c r="T5" s="18" t="n">
        <v>2220.123</v>
      </c>
      <c r="U5" s="18" t="n">
        <v>1407.916</v>
      </c>
      <c r="V5" s="18" t="n">
        <v>1977.776</v>
      </c>
      <c r="W5" s="18" t="n">
        <v>1985.94</v>
      </c>
      <c r="X5" s="18" t="n">
        <v>2452.673</v>
      </c>
      <c r="Y5" s="18" t="n">
        <v>1399.835</v>
      </c>
      <c r="Z5" s="18" t="n">
        <v>2033.639</v>
      </c>
      <c r="AA5" s="18" t="n">
        <v>2179.691</v>
      </c>
      <c r="AB5" s="18" t="n">
        <v>2534.852</v>
      </c>
      <c r="AC5" s="18" t="n">
        <v>1655.57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178.371</v>
      </c>
      <c r="C9" s="18" t="n">
        <v>186.709</v>
      </c>
      <c r="D9" s="18" t="n">
        <v>207.23</v>
      </c>
      <c r="E9" s="18" t="n">
        <v>191.753</v>
      </c>
      <c r="F9" s="18" t="n">
        <v>179.417</v>
      </c>
      <c r="G9" s="18" t="n">
        <v>160.649</v>
      </c>
      <c r="H9" s="18" t="n">
        <v>246.306</v>
      </c>
      <c r="I9" s="18" t="n">
        <v>210.739</v>
      </c>
      <c r="J9" s="18" t="n">
        <v>219.17</v>
      </c>
      <c r="K9" s="18" t="n">
        <v>233.915</v>
      </c>
      <c r="L9" s="18" t="n">
        <v>258.199</v>
      </c>
      <c r="M9" s="18" t="n">
        <v>226.87</v>
      </c>
      <c r="N9" s="18" t="n">
        <v>243.637</v>
      </c>
      <c r="O9" s="18" t="n">
        <v>232.865</v>
      </c>
      <c r="P9" s="18" t="n">
        <v>274.381</v>
      </c>
      <c r="Q9" s="18" t="n">
        <v>211.497</v>
      </c>
      <c r="R9" s="18" t="n">
        <v>227.537</v>
      </c>
      <c r="S9" s="18" t="n">
        <v>229.004</v>
      </c>
      <c r="T9" s="18" t="n">
        <v>241.408</v>
      </c>
      <c r="U9" s="18" t="n">
        <v>230.046</v>
      </c>
      <c r="V9" s="18" t="n">
        <v>237.698</v>
      </c>
      <c r="W9" s="18" t="n">
        <v>244.813</v>
      </c>
      <c r="X9" s="18" t="n">
        <v>269.734</v>
      </c>
      <c r="Y9" s="18" t="n">
        <v>240.414</v>
      </c>
      <c r="Z9" s="18" t="n">
        <v>255.76</v>
      </c>
      <c r="AA9" s="18" t="n">
        <v>253.672</v>
      </c>
      <c r="AB9" s="18" t="n">
        <v>283.776</v>
      </c>
      <c r="AC9" s="18" t="n">
        <v>257.936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338.826</v>
      </c>
      <c r="C11" s="18" t="n">
        <v>357.704</v>
      </c>
      <c r="D11" s="18" t="n">
        <v>432.135</v>
      </c>
      <c r="E11" s="18" t="n">
        <v>239.249</v>
      </c>
      <c r="F11" s="18" t="n">
        <v>271.965</v>
      </c>
      <c r="G11" s="18" t="n">
        <v>310.294</v>
      </c>
      <c r="H11" s="18" t="n">
        <v>506.877</v>
      </c>
      <c r="I11" s="18" t="n">
        <v>329.849</v>
      </c>
      <c r="J11" s="18" t="n">
        <v>403.54</v>
      </c>
      <c r="K11" s="18" t="n">
        <v>510.648</v>
      </c>
      <c r="L11" s="18" t="n">
        <v>698.8630000000001</v>
      </c>
      <c r="M11" s="18" t="n">
        <v>401.937</v>
      </c>
      <c r="N11" s="18" t="n">
        <v>525.295</v>
      </c>
      <c r="O11" s="18" t="n">
        <v>594.538</v>
      </c>
      <c r="P11" s="18" t="n">
        <v>964.609</v>
      </c>
      <c r="Q11" s="18" t="n">
        <v>436.811</v>
      </c>
      <c r="R11" s="18" t="n">
        <v>653.251</v>
      </c>
      <c r="S11" s="18" t="n">
        <v>744.115</v>
      </c>
      <c r="T11" s="18" t="n">
        <v>800.024</v>
      </c>
      <c r="U11" s="18" t="n">
        <v>539.932</v>
      </c>
      <c r="V11" s="18" t="n">
        <v>859.71</v>
      </c>
      <c r="W11" s="18" t="n">
        <v>742.004</v>
      </c>
      <c r="X11" s="18" t="n">
        <v>880.789</v>
      </c>
      <c r="Y11" s="18" t="n">
        <v>459.296</v>
      </c>
      <c r="Z11" s="18" t="n">
        <v>705.438</v>
      </c>
      <c r="AA11" s="18" t="n">
        <v>765.426</v>
      </c>
      <c r="AB11" s="18" t="n">
        <v>888.546</v>
      </c>
      <c r="AC11" s="18" t="n">
        <v>490.057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160.455</v>
      </c>
      <c r="C13" s="18" t="n">
        <v>170.995</v>
      </c>
      <c r="D13" s="18" t="n">
        <v>224.905</v>
      </c>
      <c r="E13" s="18" t="n">
        <v>47.496</v>
      </c>
      <c r="F13" s="18" t="n">
        <v>92.548</v>
      </c>
      <c r="G13" s="18" t="n">
        <v>149.645</v>
      </c>
      <c r="H13" s="18" t="n">
        <v>260.571</v>
      </c>
      <c r="I13" s="18" t="n">
        <v>119.11</v>
      </c>
      <c r="J13" s="18" t="n">
        <v>184.37</v>
      </c>
      <c r="K13" s="18" t="n">
        <v>276.733</v>
      </c>
      <c r="L13" s="18" t="n">
        <v>440.664</v>
      </c>
      <c r="M13" s="18" t="n">
        <v>175.067</v>
      </c>
      <c r="N13" s="18" t="n">
        <v>281.658</v>
      </c>
      <c r="O13" s="18" t="n">
        <v>361.673</v>
      </c>
      <c r="P13" s="18" t="n">
        <v>690.228</v>
      </c>
      <c r="Q13" s="18" t="n">
        <v>225.314</v>
      </c>
      <c r="R13" s="18" t="n">
        <v>425.714</v>
      </c>
      <c r="S13" s="18" t="n">
        <v>515.111</v>
      </c>
      <c r="T13" s="18" t="n">
        <v>558.616</v>
      </c>
      <c r="U13" s="18" t="n">
        <v>308.415</v>
      </c>
      <c r="V13" s="18" t="n">
        <v>623.526</v>
      </c>
      <c r="W13" s="18" t="n">
        <v>497.191</v>
      </c>
      <c r="X13" s="18" t="n">
        <v>611.0549999999999</v>
      </c>
      <c r="Y13" s="18" t="n">
        <v>219.131</v>
      </c>
      <c r="Z13" s="18" t="n">
        <v>449.678</v>
      </c>
      <c r="AA13" s="18" t="n">
        <v>487.719</v>
      </c>
      <c r="AB13" s="18" t="n">
        <v>564.087</v>
      </c>
      <c r="AC13" s="18" t="n">
        <v>219.055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129.324</v>
      </c>
      <c r="C15" s="18" t="n">
        <v>146.318</v>
      </c>
      <c r="D15" s="18" t="n">
        <v>202.315</v>
      </c>
      <c r="E15" s="18" t="n">
        <v>56.876</v>
      </c>
      <c r="F15" s="18" t="n">
        <v>75.67</v>
      </c>
      <c r="G15" s="18" t="n">
        <v>114.761</v>
      </c>
      <c r="H15" s="18" t="n">
        <v>199.317</v>
      </c>
      <c r="I15" s="18" t="n">
        <v>96.499</v>
      </c>
      <c r="J15" s="18" t="n">
        <v>127.866</v>
      </c>
      <c r="K15" s="18" t="n">
        <v>234.932</v>
      </c>
      <c r="L15" s="18" t="n">
        <v>374.33</v>
      </c>
      <c r="M15" s="18" t="n">
        <v>151.904</v>
      </c>
      <c r="N15" s="18" t="n">
        <v>220.593</v>
      </c>
      <c r="O15" s="18" t="n">
        <v>273.467</v>
      </c>
      <c r="P15" s="18" t="n">
        <v>640.5359999999999</v>
      </c>
      <c r="Q15" s="18" t="n">
        <v>191.53</v>
      </c>
      <c r="R15" s="18" t="n">
        <v>320.216</v>
      </c>
      <c r="S15" s="18" t="n">
        <v>414.789</v>
      </c>
      <c r="T15" s="18" t="n">
        <v>445.536</v>
      </c>
      <c r="U15" s="18" t="n">
        <v>239.558</v>
      </c>
      <c r="V15" s="18" t="n">
        <v>481.617</v>
      </c>
      <c r="W15" s="18" t="n">
        <v>374.611</v>
      </c>
      <c r="X15" s="18" t="n">
        <v>475.409</v>
      </c>
      <c r="Y15" s="18" t="n">
        <v>177.703</v>
      </c>
      <c r="Z15" s="18" t="n">
        <v>352.447</v>
      </c>
      <c r="AA15" s="18" t="n">
        <v>369.621</v>
      </c>
      <c r="AB15" s="18" t="n">
        <v>446.716</v>
      </c>
      <c r="AC15" s="18" t="n">
        <v>210.932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148.129</v>
      </c>
      <c r="C17" s="18" t="n">
        <v>146.275</v>
      </c>
      <c r="D17" s="18" t="n">
        <v>143.567</v>
      </c>
      <c r="E17" s="18" t="n">
        <v>139.889</v>
      </c>
      <c r="F17" s="18" t="n">
        <v>128.809</v>
      </c>
      <c r="G17" s="18" t="n">
        <v>127.399</v>
      </c>
      <c r="H17" s="18" t="n">
        <v>128.892</v>
      </c>
      <c r="I17" s="18" t="n">
        <v>127.562</v>
      </c>
      <c r="J17" s="18" t="n">
        <v>125.999</v>
      </c>
      <c r="K17" s="18" t="n">
        <v>125.61</v>
      </c>
      <c r="L17" s="18" t="n">
        <v>124.057</v>
      </c>
      <c r="M17" s="18" t="n">
        <v>122.858</v>
      </c>
      <c r="N17" s="18" t="n">
        <v>118.925</v>
      </c>
      <c r="O17" s="18" t="n">
        <v>116.326</v>
      </c>
      <c r="P17" s="18" t="n">
        <v>113.793</v>
      </c>
      <c r="Q17" s="18" t="n">
        <v>112.336</v>
      </c>
      <c r="R17" s="18" t="n">
        <v>112.184</v>
      </c>
      <c r="S17" s="18" t="n">
        <v>111.123</v>
      </c>
      <c r="T17" s="18" t="n">
        <v>108.388</v>
      </c>
      <c r="U17" s="18" t="n">
        <v>106.265</v>
      </c>
      <c r="V17" s="18" t="n">
        <v>105.803</v>
      </c>
      <c r="W17" s="18" t="n">
        <v>104.014</v>
      </c>
      <c r="X17" s="18" t="n">
        <v>102.676</v>
      </c>
      <c r="Y17" s="18" t="n">
        <v>101.83</v>
      </c>
      <c r="Z17" s="18" t="n">
        <v>100.585</v>
      </c>
      <c r="AA17" s="18" t="n">
        <v>100.529</v>
      </c>
      <c r="AB17" s="18" t="n">
        <v>97.53100000000001</v>
      </c>
      <c r="AC17" s="18" t="n">
        <v>96.504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Home Building</t>
        </is>
      </c>
      <c r="B19" s="18" t="n">
        <v>1712.057</v>
      </c>
      <c r="C19" s="18" t="n">
        <v>1756.97</v>
      </c>
      <c r="D19" s="18" t="n">
        <v>2292.044</v>
      </c>
      <c r="E19" s="18" t="n">
        <v>1297.337</v>
      </c>
      <c r="F19" s="18" t="n">
        <v>1516.234</v>
      </c>
      <c r="G19" s="18" t="n">
        <v>1627.812</v>
      </c>
      <c r="H19" s="18" t="n">
        <v>2495.974</v>
      </c>
      <c r="I19" s="18" t="n">
        <v>1410.704</v>
      </c>
      <c r="J19" s="18" t="n">
        <v>1836.26</v>
      </c>
      <c r="K19" s="18" t="n">
        <v>2234.365</v>
      </c>
      <c r="L19" s="18" t="n">
        <v>2950.417</v>
      </c>
      <c r="M19" s="18" t="n">
        <v>1687.352</v>
      </c>
      <c r="N19" s="18" t="n">
        <v>2186.529</v>
      </c>
      <c r="O19" s="18" t="n">
        <v>2256.337</v>
      </c>
      <c r="P19" s="18" t="n">
        <v>3580.952</v>
      </c>
      <c r="Q19" s="18" t="n">
        <v>1749.422</v>
      </c>
      <c r="T19" s="18" t="n">
        <v>2951.904</v>
      </c>
      <c r="U19" s="18" t="n">
        <v>1931.836</v>
      </c>
      <c r="V19" s="18" t="n">
        <v>2647.02</v>
      </c>
      <c r="W19" s="18" t="n">
        <v>2724.472</v>
      </c>
      <c r="X19" s="18" t="n">
        <v>3260.004</v>
      </c>
      <c r="Y19" s="18" t="n">
        <v>1840.776</v>
      </c>
      <c r="Z19" s="18" t="n">
        <v>2706.453</v>
      </c>
      <c r="AA19" s="18" t="n">
        <v>2880.975</v>
      </c>
      <c r="AB19" s="18" t="n">
        <v>3413.999</v>
      </c>
      <c r="AC19" s="18" t="n">
        <v>1854.985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Land</t>
        </is>
      </c>
      <c r="B22" s="18" t="n">
        <v>34.329</v>
      </c>
      <c r="C22" s="18" t="n">
        <v>37.269</v>
      </c>
      <c r="D22" s="18" t="n">
        <v>86.956</v>
      </c>
      <c r="E22" s="18" t="n">
        <v>34.094</v>
      </c>
      <c r="F22" s="18" t="n">
        <v>32.838</v>
      </c>
      <c r="G22" s="18" t="n">
        <v>23.677</v>
      </c>
      <c r="H22" s="18" t="n">
        <v>49.693</v>
      </c>
      <c r="I22" s="18" t="n">
        <v>152.672</v>
      </c>
      <c r="J22" s="18" t="n">
        <v>93.864</v>
      </c>
      <c r="K22" s="18" t="n">
        <v>21.116</v>
      </c>
      <c r="L22" s="18" t="n">
        <v>90.96299999999999</v>
      </c>
      <c r="M22" s="18" t="n">
        <v>103.729</v>
      </c>
      <c r="N22" s="18" t="n">
        <v>91.012</v>
      </c>
      <c r="O22" s="18" t="n">
        <v>238.465</v>
      </c>
      <c r="P22" s="18" t="n">
        <v>131.182</v>
      </c>
      <c r="Q22" s="18" t="n">
        <v>30.747</v>
      </c>
      <c r="R22" s="18" t="n">
        <v>16.881</v>
      </c>
      <c r="S22" s="18" t="n">
        <v>13.04</v>
      </c>
      <c r="T22" s="18" t="n">
        <v>68.24299999999999</v>
      </c>
      <c r="U22" s="18" t="n">
        <v>16.012</v>
      </c>
      <c r="V22" s="18" t="n">
        <v>190.466</v>
      </c>
      <c r="W22" s="18" t="n">
        <v>3.472</v>
      </c>
      <c r="X22" s="18" t="n">
        <v>73.458</v>
      </c>
      <c r="Y22" s="18" t="n">
        <v>18.355</v>
      </c>
      <c r="Z22" s="18" t="n">
        <v>32.624</v>
      </c>
      <c r="AA22" s="18" t="n">
        <v>64.142</v>
      </c>
      <c r="AB22" s="18" t="n">
        <v>9.398999999999999</v>
      </c>
      <c r="AC22" s="18" t="n">
        <v>290.642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Mountain</t>
        </is>
      </c>
      <c r="AA26" s="18" t="n">
        <v>44.41</v>
      </c>
      <c r="AB26" s="18" t="n">
        <v>2931.808</v>
      </c>
      <c r="AC26" s="18" t="n">
        <v>480.352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South</t>
        </is>
      </c>
      <c r="B29" s="18" t="n">
        <v>284.352</v>
      </c>
      <c r="C29" s="18" t="n">
        <v>318.53</v>
      </c>
      <c r="D29" s="18" t="n">
        <v>433.542</v>
      </c>
      <c r="AA29" s="18" t="n">
        <v>9.301</v>
      </c>
      <c r="AB29" s="18" t="n">
        <v>2709.613</v>
      </c>
      <c r="AC29" s="18" t="n">
        <v>469.548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Pacific</t>
        </is>
      </c>
      <c r="AA32" s="18" t="n">
        <v>1.387</v>
      </c>
      <c r="AB32" s="18" t="n">
        <v>2122.34</v>
      </c>
      <c r="AC32" s="18" t="n">
        <v>393.089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North</t>
        </is>
      </c>
      <c r="B35" s="18" t="n">
        <v>221.896</v>
      </c>
      <c r="C35" s="18" t="n">
        <v>210.919</v>
      </c>
      <c r="D35" s="18" t="n">
        <v>320.983</v>
      </c>
      <c r="AC35" s="18" t="n">
        <v>278.449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Mid-Atlantic</t>
        </is>
      </c>
      <c r="B38" s="18" t="n">
        <v>255.692</v>
      </c>
      <c r="C38" s="18" t="n">
        <v>287.695</v>
      </c>
      <c r="D38" s="18" t="n">
        <v>363.734</v>
      </c>
      <c r="AA38" s="18" t="n">
        <v>8.791</v>
      </c>
      <c r="AB38" s="18" t="n">
        <v>1457.029</v>
      </c>
      <c r="AC38" s="18" t="n">
        <v>240.154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5" t="inlineStr">
        <is>
          <t xml:space="preserve">  BALANCE SHEET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</row>
    <row r="42">
      <c r="A42" s="4" t="inlineStr">
        <is>
          <t>Cash &amp; ST Investments</t>
        </is>
      </c>
      <c r="B42" s="18" t="n">
        <v>924.448</v>
      </c>
      <c r="C42" s="18" t="n">
        <v>836.258</v>
      </c>
      <c r="D42" s="18" t="n">
        <v>1286.014</v>
      </c>
      <c r="E42" s="18" t="n">
        <v>519.793</v>
      </c>
      <c r="F42" s="18" t="n">
        <v>741.222</v>
      </c>
      <c r="G42" s="18" t="n">
        <v>559.348</v>
      </c>
      <c r="H42" s="18" t="n">
        <v>1370.944</v>
      </c>
      <c r="I42" s="18" t="n">
        <v>949.696</v>
      </c>
      <c r="J42" s="18" t="n">
        <v>714.968</v>
      </c>
      <c r="K42" s="18" t="n">
        <v>946.097</v>
      </c>
      <c r="L42" s="18" t="n">
        <v>1638.494</v>
      </c>
      <c r="M42" s="18" t="n">
        <v>671.365</v>
      </c>
      <c r="N42" s="18" t="n">
        <v>535.038</v>
      </c>
      <c r="O42" s="18" t="n">
        <v>316.471</v>
      </c>
      <c r="P42" s="18" t="n">
        <v>1346.754</v>
      </c>
      <c r="Q42" s="18" t="n">
        <v>791.609</v>
      </c>
      <c r="R42" s="18" t="n">
        <v>761.9450000000001</v>
      </c>
      <c r="S42" s="18" t="n">
        <v>1033.369</v>
      </c>
      <c r="T42" s="18" t="n">
        <v>1300.068</v>
      </c>
      <c r="U42" s="18" t="n">
        <v>754.793</v>
      </c>
      <c r="V42" s="18" t="n">
        <v>1030.53</v>
      </c>
      <c r="W42" s="18" t="n">
        <v>893.422</v>
      </c>
      <c r="X42" s="18" t="n">
        <v>1303.039</v>
      </c>
      <c r="Y42" s="18" t="n">
        <v>574.8339999999999</v>
      </c>
      <c r="Z42" s="18" t="n">
        <v>686.466</v>
      </c>
      <c r="AA42" s="18" t="n">
        <v>852.311</v>
      </c>
      <c r="AB42" s="18" t="n">
        <v>1258.997</v>
      </c>
      <c r="AC42" s="18" t="n">
        <v>1202.828</v>
      </c>
    </row>
    <row r="43">
      <c r="A43" s="4" t="inlineStr">
        <is>
          <t>Total Current Assets</t>
        </is>
      </c>
      <c r="B43" s="18" t="n">
        <v>9214.626</v>
      </c>
      <c r="C43" s="18" t="n">
        <v>9371.262000000001</v>
      </c>
      <c r="D43" s="18" t="n">
        <v>9746.963</v>
      </c>
      <c r="E43" s="18" t="n">
        <v>9235.126</v>
      </c>
      <c r="F43" s="18" t="n">
        <v>9439.626</v>
      </c>
      <c r="G43" s="18" t="n">
        <v>9081.625</v>
      </c>
      <c r="H43" s="18" t="n">
        <v>9580.814</v>
      </c>
      <c r="I43" s="18" t="n">
        <v>9327.620999999999</v>
      </c>
      <c r="J43" s="18" t="n">
        <v>9529.231</v>
      </c>
      <c r="K43" s="18" t="n">
        <v>9777.576999999999</v>
      </c>
      <c r="L43" s="18" t="n">
        <v>10051.004</v>
      </c>
      <c r="M43" s="18" t="n">
        <v>9719.684999999999</v>
      </c>
      <c r="N43" s="18" t="n">
        <v>9994.477000000001</v>
      </c>
      <c r="O43" s="18" t="n">
        <v>10246.212</v>
      </c>
      <c r="P43" s="18" t="n">
        <v>10599.787</v>
      </c>
      <c r="Q43" s="18" t="n">
        <v>10287.105</v>
      </c>
      <c r="R43" s="18" t="n">
        <v>10275.144</v>
      </c>
      <c r="S43" s="18" t="n">
        <v>10592.087</v>
      </c>
      <c r="T43" s="18" t="n">
        <v>10776.746</v>
      </c>
      <c r="U43" s="18" t="n">
        <v>10722.51</v>
      </c>
      <c r="V43" s="18" t="n">
        <v>11434.322</v>
      </c>
      <c r="W43" s="18" t="n">
        <v>11570.747</v>
      </c>
      <c r="X43" s="18" t="n">
        <v>11570.119</v>
      </c>
      <c r="Y43" s="18" t="n">
        <v>11721.6</v>
      </c>
      <c r="Z43" s="18" t="n">
        <v>12242.337</v>
      </c>
      <c r="AA43" s="18" t="n">
        <v>12490.233</v>
      </c>
      <c r="AB43" s="18" t="n">
        <v>12943.876</v>
      </c>
      <c r="AC43" s="18" t="n">
        <v>12406.357</v>
      </c>
    </row>
    <row r="44">
      <c r="A44" s="4" t="inlineStr">
        <is>
          <t>PP&amp;E (net)</t>
        </is>
      </c>
      <c r="B44" s="18" t="n">
        <v>289.186</v>
      </c>
      <c r="C44" s="18" t="n">
        <v>288.742</v>
      </c>
      <c r="D44" s="18" t="n">
        <v>273.412</v>
      </c>
      <c r="E44" s="18" t="n">
        <v>394.554</v>
      </c>
      <c r="F44" s="18" t="n">
        <v>387.976</v>
      </c>
      <c r="G44" s="18" t="n">
        <v>419.562</v>
      </c>
      <c r="H44" s="18" t="n">
        <v>421.129</v>
      </c>
      <c r="I44" s="18" t="n">
        <v>379.191</v>
      </c>
      <c r="J44" s="18" t="n">
        <v>377.975</v>
      </c>
      <c r="K44" s="18" t="n">
        <v>400.762</v>
      </c>
      <c r="L44" s="18" t="n">
        <v>406.731</v>
      </c>
      <c r="M44" s="18" t="n">
        <v>414.021</v>
      </c>
      <c r="N44" s="18" t="n">
        <v>411.561</v>
      </c>
      <c r="O44" s="18" t="n">
        <v>393.39</v>
      </c>
      <c r="P44" s="18" t="n">
        <v>404.487</v>
      </c>
      <c r="Q44" s="18" t="n">
        <v>415.108</v>
      </c>
      <c r="R44" s="18" t="n">
        <v>416.971</v>
      </c>
      <c r="S44" s="18" t="n">
        <v>415.237</v>
      </c>
      <c r="T44" s="18" t="n">
        <v>426.777</v>
      </c>
      <c r="U44" s="18" t="n">
        <v>424.536</v>
      </c>
      <c r="V44" s="18" t="n">
        <v>422.881</v>
      </c>
      <c r="W44" s="18" t="n">
        <v>566.239</v>
      </c>
      <c r="X44" s="18" t="n">
        <v>561.318</v>
      </c>
      <c r="Y44" s="18" t="n">
        <v>562.635</v>
      </c>
      <c r="Z44" s="18" t="n">
        <v>559.579</v>
      </c>
      <c r="AA44" s="18" t="n">
        <v>558.3869999999999</v>
      </c>
      <c r="AB44" s="18" t="n">
        <v>382.41</v>
      </c>
      <c r="AC44" s="18" t="n">
        <v>276.669</v>
      </c>
    </row>
    <row r="45">
      <c r="A45" s="4" t="inlineStr">
        <is>
          <t>Total Assets</t>
        </is>
      </c>
      <c r="B45" s="18" t="n">
        <v>10276.729</v>
      </c>
      <c r="C45" s="18" t="n">
        <v>10452.117</v>
      </c>
      <c r="D45" s="18" t="n">
        <v>10828.138</v>
      </c>
      <c r="E45" s="18" t="n">
        <v>10587.206</v>
      </c>
      <c r="F45" s="18" t="n">
        <v>10810.811</v>
      </c>
      <c r="G45" s="18" t="n">
        <v>10537.431</v>
      </c>
      <c r="H45" s="18" t="n">
        <v>11065.733</v>
      </c>
      <c r="I45" s="18" t="n">
        <v>10863.993</v>
      </c>
      <c r="J45" s="18" t="n">
        <v>10975.019</v>
      </c>
      <c r="K45" s="18" t="n">
        <v>11264.059</v>
      </c>
      <c r="L45" s="18" t="n">
        <v>11537.85</v>
      </c>
      <c r="M45" s="18" t="n">
        <v>11283.879</v>
      </c>
      <c r="N45" s="18" t="n">
        <v>11544.611</v>
      </c>
      <c r="O45" s="18" t="n">
        <v>11743.253</v>
      </c>
      <c r="P45" s="18" t="n">
        <v>12288.714</v>
      </c>
      <c r="Q45" s="18" t="n">
        <v>11984.883</v>
      </c>
      <c r="R45" s="18" t="n">
        <v>11989.476</v>
      </c>
      <c r="S45" s="18" t="n">
        <v>12353.674</v>
      </c>
      <c r="T45" s="18" t="n">
        <v>12527.018</v>
      </c>
      <c r="U45" s="18" t="n">
        <v>12521.955</v>
      </c>
      <c r="V45" s="18" t="n">
        <v>13250.359</v>
      </c>
      <c r="W45" s="18" t="n">
        <v>13359.711</v>
      </c>
      <c r="X45" s="18" t="n">
        <v>13367.932</v>
      </c>
      <c r="Y45" s="18" t="n">
        <v>13622.103</v>
      </c>
      <c r="Z45" s="18" t="n">
        <v>14195.824</v>
      </c>
      <c r="AA45" s="18" t="n">
        <v>14396.821</v>
      </c>
      <c r="AB45" s="18" t="n">
        <v>14519.866</v>
      </c>
      <c r="AC45" s="18" t="n">
        <v>14432.038</v>
      </c>
    </row>
    <row r="46">
      <c r="A46" s="4" t="inlineStr">
        <is>
          <t>Total Current Liabilities</t>
        </is>
      </c>
      <c r="B46" s="18" t="n">
        <v>1503.95</v>
      </c>
      <c r="C46" s="18" t="n">
        <v>1556.563</v>
      </c>
      <c r="D46" s="18" t="n">
        <v>1604.506</v>
      </c>
      <c r="E46" s="18" t="n">
        <v>1583.768</v>
      </c>
      <c r="F46" s="18" t="n">
        <v>1576.971</v>
      </c>
      <c r="G46" s="18" t="n">
        <v>1636.533</v>
      </c>
      <c r="H46" s="18" t="n">
        <v>1835.252</v>
      </c>
      <c r="I46" s="18" t="n">
        <v>1988.175</v>
      </c>
      <c r="J46" s="18" t="n">
        <v>2106.467</v>
      </c>
      <c r="K46" s="18" t="n">
        <v>2264.763</v>
      </c>
      <c r="L46" s="18" t="n">
        <v>2285.951</v>
      </c>
      <c r="M46" s="18" t="n">
        <v>2446.915</v>
      </c>
      <c r="N46" s="18" t="n">
        <v>2542.404</v>
      </c>
      <c r="O46" s="18" t="n">
        <v>2567.832</v>
      </c>
      <c r="P46" s="18" t="n">
        <v>2574.192</v>
      </c>
      <c r="Q46" s="18" t="n">
        <v>2264.096</v>
      </c>
      <c r="R46" s="18" t="n">
        <v>2405.95</v>
      </c>
      <c r="S46" s="18" t="n">
        <v>2492.68</v>
      </c>
      <c r="T46" s="18" t="n">
        <v>2516.799</v>
      </c>
      <c r="U46" s="18" t="n">
        <v>2479.522</v>
      </c>
      <c r="V46" s="18" t="n">
        <v>2781.735</v>
      </c>
      <c r="W46" s="18" t="n">
        <v>2785.241</v>
      </c>
      <c r="X46" s="18" t="n">
        <v>2511.316</v>
      </c>
      <c r="Y46" s="18" t="n">
        <v>2765.292</v>
      </c>
      <c r="Z46" s="18" t="n">
        <v>3122.497</v>
      </c>
      <c r="AA46" s="18" t="n">
        <v>3017.114</v>
      </c>
      <c r="AB46" s="18" t="n">
        <v>3107.727</v>
      </c>
      <c r="AC46" s="18" t="n">
        <v>3290.795</v>
      </c>
    </row>
    <row r="47">
      <c r="A47" s="4" t="inlineStr">
        <is>
          <t>Long-term Debt</t>
        </is>
      </c>
      <c r="B47" s="18" t="n">
        <v>3649.824</v>
      </c>
      <c r="C47" s="18" t="n">
        <v>3752.014</v>
      </c>
      <c r="D47" s="18" t="n">
        <v>3921.347</v>
      </c>
      <c r="E47" s="18" t="n">
        <v>4035.188</v>
      </c>
      <c r="F47" s="18" t="n">
        <v>4323.405</v>
      </c>
      <c r="G47" s="18" t="n">
        <v>3865.515</v>
      </c>
      <c r="H47" s="18" t="n">
        <v>3958.284</v>
      </c>
      <c r="I47" s="18" t="n">
        <v>3736.285</v>
      </c>
      <c r="J47" s="18" t="n">
        <v>3583.26</v>
      </c>
      <c r="K47" s="18" t="n">
        <v>3588.863</v>
      </c>
      <c r="L47" s="18" t="n">
        <v>3563.035</v>
      </c>
      <c r="M47" s="18" t="n">
        <v>3239.407</v>
      </c>
      <c r="N47" s="18" t="n">
        <v>3304.889</v>
      </c>
      <c r="O47" s="18" t="n">
        <v>3308.912</v>
      </c>
      <c r="P47" s="18" t="n">
        <v>3329.409</v>
      </c>
      <c r="Q47" s="18" t="n">
        <v>3212.272</v>
      </c>
      <c r="R47" s="18" t="n">
        <v>2834.451</v>
      </c>
      <c r="S47" s="18" t="n">
        <v>2829.589</v>
      </c>
      <c r="T47" s="18" t="n">
        <v>2860.467</v>
      </c>
      <c r="U47" s="18" t="n">
        <v>2723.757</v>
      </c>
      <c r="V47" s="18" t="n">
        <v>2837.311</v>
      </c>
      <c r="W47" s="18" t="n">
        <v>2822.077</v>
      </c>
      <c r="X47" s="18" t="n">
        <v>2832.919</v>
      </c>
      <c r="Y47" s="18" t="n">
        <v>2746.039</v>
      </c>
      <c r="Z47" s="18" t="n">
        <v>2800.254</v>
      </c>
      <c r="AA47" s="18" t="n">
        <v>2942.519</v>
      </c>
      <c r="AB47" s="18" t="n">
        <v>2787.913</v>
      </c>
      <c r="AC47" s="18" t="n">
        <v>2721.319</v>
      </c>
    </row>
    <row r="48">
      <c r="A48" s="4" t="inlineStr">
        <is>
          <t>Total Equity</t>
        </is>
      </c>
      <c r="B48" s="18" t="n">
        <v>4941.154</v>
      </c>
      <c r="C48" s="18" t="n">
        <v>4939.085</v>
      </c>
      <c r="D48" s="18" t="n">
        <v>5071.816</v>
      </c>
      <c r="E48" s="18" t="n">
        <v>4655.551</v>
      </c>
      <c r="F48" s="18" t="n">
        <v>4564.518</v>
      </c>
      <c r="G48" s="18" t="n">
        <v>4675.074</v>
      </c>
      <c r="H48" s="18" t="n">
        <v>4875.235</v>
      </c>
      <c r="I48" s="18" t="n">
        <v>4786.835</v>
      </c>
      <c r="J48" s="18" t="n">
        <v>4913.07</v>
      </c>
      <c r="K48" s="18" t="n">
        <v>5034.913</v>
      </c>
      <c r="L48" s="18" t="n">
        <v>5295.024</v>
      </c>
      <c r="M48" s="18" t="n">
        <v>5255.871</v>
      </c>
      <c r="N48" s="18" t="n">
        <v>5363.892</v>
      </c>
      <c r="O48" s="18" t="n">
        <v>5523.273</v>
      </c>
      <c r="P48" s="18" t="n">
        <v>6006.088</v>
      </c>
      <c r="Q48" s="18" t="n">
        <v>6201.347</v>
      </c>
      <c r="R48" s="18" t="n">
        <v>6420.22</v>
      </c>
      <c r="S48" s="18" t="n">
        <v>6693.393</v>
      </c>
      <c r="T48" s="18" t="n">
        <v>6797.156</v>
      </c>
      <c r="U48" s="18" t="n">
        <v>7019.271</v>
      </c>
      <c r="V48" s="18" t="n">
        <v>7307.974</v>
      </c>
      <c r="W48" s="18" t="n">
        <v>7414.864</v>
      </c>
      <c r="X48" s="18" t="n">
        <v>7670.928</v>
      </c>
      <c r="Y48" s="18" t="n">
        <v>7795.606</v>
      </c>
      <c r="Z48" s="18" t="n">
        <v>7948.725</v>
      </c>
      <c r="AA48" s="18" t="n">
        <v>8095.572</v>
      </c>
      <c r="AB48" s="18" t="n">
        <v>8270.663</v>
      </c>
      <c r="AC48" s="18" t="n">
        <v>8409.092000000001</v>
      </c>
    </row>
    <row r="49">
      <c r="A49" s="5" t="inlineStr">
        <is>
          <t xml:space="preserve">  CASH FLOW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D&amp;A</t>
        </is>
      </c>
      <c r="B50" s="18" t="n">
        <v>17.645</v>
      </c>
      <c r="C50" s="18" t="n">
        <v>18.109</v>
      </c>
      <c r="D50" s="18" t="n">
        <v>20.726</v>
      </c>
      <c r="E50" s="18" t="n">
        <v>14.667</v>
      </c>
      <c r="F50" s="18" t="n">
        <v>15.618</v>
      </c>
      <c r="G50" s="18" t="n">
        <v>16.415</v>
      </c>
      <c r="H50" s="18" t="n">
        <v>22.173</v>
      </c>
      <c r="I50" s="18" t="n">
        <v>16.876</v>
      </c>
      <c r="J50" s="18" t="n">
        <v>16.305</v>
      </c>
      <c r="K50" s="18" t="n">
        <v>20.757</v>
      </c>
      <c r="L50" s="18" t="n">
        <v>22.312</v>
      </c>
      <c r="M50" s="18" t="n">
        <v>14.679</v>
      </c>
      <c r="N50" s="18" t="n">
        <v>18.857</v>
      </c>
      <c r="O50" s="18" t="n">
        <v>19.731</v>
      </c>
      <c r="P50" s="18" t="n">
        <v>23.549</v>
      </c>
      <c r="Q50" s="18" t="n">
        <v>15.482</v>
      </c>
      <c r="R50" s="18" t="n">
        <v>18.611</v>
      </c>
      <c r="S50" s="18" t="n">
        <v>20.156</v>
      </c>
      <c r="T50" s="18" t="n">
        <v>22.224</v>
      </c>
      <c r="U50" s="18" t="n">
        <v>16.143</v>
      </c>
      <c r="V50" s="18" t="n">
        <v>19.14</v>
      </c>
      <c r="W50" s="18" t="n">
        <v>20.145</v>
      </c>
      <c r="X50" s="18" t="n">
        <v>25.773</v>
      </c>
      <c r="Y50" s="18" t="n">
        <v>17.165</v>
      </c>
      <c r="Z50" s="18" t="n">
        <v>20.775</v>
      </c>
      <c r="AA50" s="18" t="n">
        <v>22.337</v>
      </c>
      <c r="AB50" s="18" t="n">
        <v>21.808</v>
      </c>
      <c r="AC50" s="18" t="n">
        <v>16.236</v>
      </c>
    </row>
    <row r="51">
      <c r="A51" s="4" t="inlineStr">
        <is>
          <t>Stock-based Compensation</t>
        </is>
      </c>
      <c r="B51" s="18" t="n">
        <v>5.331</v>
      </c>
      <c r="C51" s="18" t="n">
        <v>5.435</v>
      </c>
      <c r="D51" s="18" t="n">
        <v>6.829</v>
      </c>
      <c r="E51" s="18" t="n">
        <v>13.383</v>
      </c>
      <c r="F51" s="18" t="n">
        <v>3.419</v>
      </c>
      <c r="G51" s="18" t="n">
        <v>3.834</v>
      </c>
      <c r="H51" s="18" t="n">
        <v>3.69</v>
      </c>
      <c r="I51" s="18" t="n">
        <v>12.834</v>
      </c>
      <c r="J51" s="18" t="n">
        <v>3.445</v>
      </c>
      <c r="K51" s="18" t="n">
        <v>3.663</v>
      </c>
      <c r="L51" s="18" t="n">
        <v>3.245</v>
      </c>
      <c r="M51" s="18" t="n">
        <v>13.615</v>
      </c>
      <c r="N51" s="18" t="n">
        <v>3.405</v>
      </c>
      <c r="O51" s="18" t="n">
        <v>2.238</v>
      </c>
      <c r="P51" s="18" t="n">
        <v>1.837</v>
      </c>
      <c r="Q51" s="18" t="n">
        <v>14.384</v>
      </c>
      <c r="R51" s="18" t="n">
        <v>2.641</v>
      </c>
      <c r="S51" s="18" t="n">
        <v>4.265</v>
      </c>
      <c r="T51" s="18" t="n">
        <v>3.515</v>
      </c>
      <c r="U51" s="18" t="n">
        <v>18.25</v>
      </c>
      <c r="V51" s="18" t="n">
        <v>3.889</v>
      </c>
      <c r="W51" s="18" t="n">
        <v>3.812</v>
      </c>
      <c r="X51" s="18" t="n">
        <v>3.607</v>
      </c>
      <c r="Y51" s="18" t="n">
        <v>18.022</v>
      </c>
      <c r="Z51" s="18" t="n">
        <v>4.773</v>
      </c>
      <c r="AA51" s="18" t="n">
        <v>4.315</v>
      </c>
      <c r="AB51" s="18" t="n">
        <v>3.724</v>
      </c>
      <c r="AC51" s="18" t="n">
        <v>18.809</v>
      </c>
    </row>
    <row r="52">
      <c r="A52" s="4" t="inlineStr">
        <is>
          <t>Change in Working Capital</t>
        </is>
      </c>
      <c r="B52" s="18" t="n">
        <v>-37.873</v>
      </c>
      <c r="C52" s="18" t="n">
        <v>-31.363</v>
      </c>
      <c r="D52" s="18" t="n">
        <v>153.293</v>
      </c>
      <c r="E52" s="18" t="n">
        <v>-562.301</v>
      </c>
      <c r="F52" s="18" t="n">
        <v>100.757</v>
      </c>
      <c r="G52" s="18" t="n">
        <v>193.551</v>
      </c>
      <c r="H52" s="18" t="n">
        <v>582.626</v>
      </c>
      <c r="I52" s="18" t="n">
        <v>-141.6</v>
      </c>
      <c r="J52" s="18" t="n">
        <v>-132.713</v>
      </c>
      <c r="K52" s="18" t="n">
        <v>119.062</v>
      </c>
      <c r="L52" s="18" t="n">
        <v>500.423</v>
      </c>
      <c r="M52" s="18" t="n">
        <v>-576.789</v>
      </c>
      <c r="N52" s="18" t="n">
        <v>-172.493</v>
      </c>
      <c r="O52" s="18" t="n">
        <v>-373.932</v>
      </c>
      <c r="P52" s="18" t="n">
        <v>719.087</v>
      </c>
      <c r="Q52" s="18" t="n">
        <v>-720.096</v>
      </c>
      <c r="R52" s="18" t="n">
        <v>136.372</v>
      </c>
      <c r="S52" s="18" t="n">
        <v>48.723</v>
      </c>
      <c r="T52" s="18" t="n">
        <v>102.336</v>
      </c>
      <c r="U52" s="18" t="n">
        <v>-595.457</v>
      </c>
      <c r="V52" s="18" t="n">
        <v>-96.39400000000001</v>
      </c>
      <c r="W52" s="18" t="n">
        <v>-255.865</v>
      </c>
      <c r="X52" s="18" t="n">
        <v>281.156</v>
      </c>
      <c r="Y52" s="18" t="n">
        <v>-765.054</v>
      </c>
      <c r="Z52" s="18" t="n">
        <v>73.705</v>
      </c>
      <c r="AA52" s="18" t="n">
        <v>-88.736</v>
      </c>
      <c r="AB52" s="18" t="n">
        <v>210.862</v>
      </c>
      <c r="AC52" s="18" t="n">
        <v>-230.122</v>
      </c>
    </row>
    <row r="53">
      <c r="A53" s="4" t="inlineStr">
        <is>
          <t>Operating Cash Flow</t>
        </is>
      </c>
      <c r="B53" s="18" t="n">
        <v>99.547</v>
      </c>
      <c r="C53" s="18" t="n">
        <v>108.139</v>
      </c>
      <c r="D53" s="18" t="n">
        <v>415.2</v>
      </c>
      <c r="E53" s="18" t="n">
        <v>-366.416</v>
      </c>
      <c r="F53" s="18" t="n">
        <v>175.28</v>
      </c>
      <c r="G53" s="18" t="n">
        <v>332.731</v>
      </c>
      <c r="H53" s="18" t="n">
        <v>866.522</v>
      </c>
      <c r="I53" s="18" t="n">
        <v>55.323</v>
      </c>
      <c r="J53" s="18" t="n">
        <v>-28.056</v>
      </c>
      <c r="K53" s="18" t="n">
        <v>421.161</v>
      </c>
      <c r="L53" s="18" t="n">
        <v>854.699</v>
      </c>
      <c r="M53" s="18" t="n">
        <v>-280.698</v>
      </c>
      <c r="N53" s="18" t="n">
        <v>75.726</v>
      </c>
      <c r="O53" s="18" t="n">
        <v>-41.659</v>
      </c>
      <c r="P53" s="18" t="n">
        <v>1233.447</v>
      </c>
      <c r="Q53" s="18" t="n">
        <v>-357.764</v>
      </c>
      <c r="R53" s="18" t="n">
        <v>503.335</v>
      </c>
      <c r="S53" s="18" t="n">
        <v>529.462</v>
      </c>
      <c r="T53" s="18" t="n">
        <v>591.397</v>
      </c>
      <c r="U53" s="18" t="n">
        <v>-306.982</v>
      </c>
      <c r="V53" s="18" t="n">
        <v>459.026</v>
      </c>
      <c r="W53" s="18" t="n">
        <v>175.612</v>
      </c>
      <c r="X53" s="18" t="n">
        <v>682.511</v>
      </c>
      <c r="Y53" s="18" t="n">
        <v>-420.775</v>
      </c>
      <c r="Z53" s="18" t="n">
        <v>362.846</v>
      </c>
      <c r="AA53" s="18" t="n">
        <v>370.31</v>
      </c>
      <c r="AB53" s="18" t="n">
        <v>800.03</v>
      </c>
      <c r="AC53" s="18" t="n">
        <v>7.268</v>
      </c>
    </row>
    <row r="54">
      <c r="A54" s="4" t="inlineStr">
        <is>
          <t>Capex</t>
        </is>
      </c>
      <c r="B54" s="18" t="n">
        <v>-25.365</v>
      </c>
      <c r="C54" s="18" t="n">
        <v>-16.337</v>
      </c>
      <c r="D54" s="18" t="n">
        <v>-25.693</v>
      </c>
      <c r="E54" s="18" t="n">
        <v>-26.839</v>
      </c>
      <c r="F54" s="18" t="n">
        <v>-23.918</v>
      </c>
      <c r="G54" s="18" t="n">
        <v>-24.244</v>
      </c>
      <c r="H54" s="18" t="n">
        <v>-34.563</v>
      </c>
      <c r="I54" s="18" t="n">
        <v>-14.496</v>
      </c>
      <c r="J54" s="18" t="n">
        <v>-15.11</v>
      </c>
      <c r="K54" s="18" t="n">
        <v>-16.166</v>
      </c>
      <c r="L54" s="18" t="n">
        <v>-21.106</v>
      </c>
      <c r="M54" s="18" t="n">
        <v>-18.475</v>
      </c>
      <c r="N54" s="18" t="n">
        <v>-20.665</v>
      </c>
      <c r="O54" s="18" t="n">
        <v>-17.345</v>
      </c>
      <c r="P54" s="18" t="n">
        <v>-15.241</v>
      </c>
      <c r="Q54" s="18" t="n">
        <v>-19.738</v>
      </c>
      <c r="R54" s="18" t="n">
        <v>-19.806</v>
      </c>
      <c r="S54" s="18" t="n">
        <v>-14.556</v>
      </c>
      <c r="T54" s="18" t="n">
        <v>-18.861</v>
      </c>
      <c r="U54" s="18" t="n">
        <v>-13.581</v>
      </c>
      <c r="V54" s="18" t="n">
        <v>-16.12</v>
      </c>
      <c r="W54" s="18" t="n">
        <v>-25.752</v>
      </c>
      <c r="X54" s="18" t="n">
        <v>-18.19</v>
      </c>
      <c r="Y54" s="18" t="n">
        <v>-17.325</v>
      </c>
      <c r="Z54" s="18" t="n">
        <v>-15.591</v>
      </c>
      <c r="AA54" s="18" t="n">
        <v>-25.447</v>
      </c>
      <c r="AB54" s="18" t="n">
        <v>-27.832</v>
      </c>
      <c r="AC54" s="18" t="n">
        <v>-18.862</v>
      </c>
    </row>
    <row r="55">
      <c r="A55" s="4" t="inlineStr">
        <is>
          <t>Free Cash Flow</t>
        </is>
      </c>
      <c r="B55" s="18" t="n">
        <v>74.182</v>
      </c>
      <c r="C55" s="18" t="n">
        <v>91.80200000000001</v>
      </c>
      <c r="D55" s="18" t="n">
        <v>389.507</v>
      </c>
      <c r="E55" s="18" t="n">
        <v>-393.255</v>
      </c>
      <c r="F55" s="18" t="n">
        <v>151.362</v>
      </c>
      <c r="G55" s="18" t="n">
        <v>308.487</v>
      </c>
      <c r="H55" s="18" t="n">
        <v>831.9589999999999</v>
      </c>
      <c r="I55" s="18" t="n">
        <v>40.827</v>
      </c>
      <c r="J55" s="18" t="n">
        <v>-43.166</v>
      </c>
      <c r="K55" s="18" t="n">
        <v>404.995</v>
      </c>
      <c r="L55" s="18" t="n">
        <v>833.593</v>
      </c>
      <c r="M55" s="18" t="n">
        <v>-299.173</v>
      </c>
      <c r="N55" s="18" t="n">
        <v>55.061</v>
      </c>
      <c r="O55" s="18" t="n">
        <v>-59.004</v>
      </c>
      <c r="P55" s="18" t="n">
        <v>1218.206</v>
      </c>
      <c r="Q55" s="18" t="n">
        <v>-377.502</v>
      </c>
      <c r="R55" s="18" t="n">
        <v>483.529</v>
      </c>
      <c r="S55" s="18" t="n">
        <v>514.9059999999999</v>
      </c>
      <c r="T55" s="18" t="n">
        <v>572.5359999999999</v>
      </c>
      <c r="U55" s="18" t="n">
        <v>-320.563</v>
      </c>
      <c r="V55" s="18" t="n">
        <v>442.906</v>
      </c>
      <c r="W55" s="18" t="n">
        <v>149.86</v>
      </c>
      <c r="X55" s="18" t="n">
        <v>664.321</v>
      </c>
      <c r="Y55" s="18" t="n">
        <v>-438.1</v>
      </c>
      <c r="Z55" s="18" t="n">
        <v>347.255</v>
      </c>
      <c r="AA55" s="18" t="n">
        <v>344.863</v>
      </c>
      <c r="AB55" s="18" t="n">
        <v>772.198</v>
      </c>
      <c r="AC55" s="18" t="n">
        <v>-11.594</v>
      </c>
    </row>
    <row r="57">
      <c r="A5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10599.594479</v>
      </c>
      <c r="C4" s="18" t="n">
        <v>11238.987421</v>
      </c>
      <c r="D4" s="18" t="n">
        <v>11816.213062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</row>
    <row r="8">
      <c r="A8" s="3" t="inlineStr">
        <is>
          <t>EBITDA* — consensus</t>
        </is>
      </c>
      <c r="B8" s="18" t="n">
        <v>2465.705601</v>
      </c>
      <c r="C8" s="18" t="n">
        <v>2614.442872</v>
      </c>
      <c r="D8" s="18" t="n">
        <v>2748.718622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</row>
    <row r="12">
      <c r="A12" s="3" t="inlineStr">
        <is>
          <t>EBIT* — consensus</t>
        </is>
      </c>
      <c r="B12" s="18" t="n">
        <v>2397.687317</v>
      </c>
      <c r="C12" s="18" t="n">
        <v>2542.321562</v>
      </c>
      <c r="D12" s="18" t="n">
        <v>2672.893217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</row>
    <row r="16">
      <c r="A16" s="3" t="inlineStr">
        <is>
          <t>SG&amp;A — consensus</t>
        </is>
      </c>
      <c r="B16" s="18" t="n">
        <v>1008.754672</v>
      </c>
      <c r="C16" s="18" t="n">
        <v>1069.605172</v>
      </c>
      <c r="D16" s="18" t="n">
        <v>1124.539261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</row>
    <row r="20">
      <c r="A20" s="3" t="inlineStr">
        <is>
          <t>Net income (NOPAT) — consensus</t>
        </is>
      </c>
      <c r="B20" s="18" t="n">
        <v>1277.924045</v>
      </c>
      <c r="C20" s="18" t="n">
        <v>1412.7095105</v>
      </c>
      <c r="D20" s="18" t="n">
        <v>1546.077117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</row>
    <row r="24">
      <c r="A24" s="3" t="inlineStr">
        <is>
          <t>EPS — consensus</t>
        </is>
      </c>
      <c r="B24" s="47" t="n">
        <v>12.75219</v>
      </c>
      <c r="C24" s="47" t="n">
        <v>14.13868</v>
      </c>
      <c r="D24" s="47" t="n">
        <v>15.83899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Toll Brothers,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Financials!AC42</f>
        <v/>
      </c>
    </row>
    <row r="33">
      <c r="A33" s="4" t="inlineStr">
        <is>
          <t>- Long-term debt</t>
        </is>
      </c>
      <c r="B33" s="33">
        <f>-Financials!AC47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0.07923539142893564</v>
      </c>
      <c r="C4" s="51" t="n">
        <v>0.08423539142893564</v>
      </c>
      <c r="D4" s="51" t="n">
        <v>0.08923539142893563</v>
      </c>
      <c r="E4" s="51" t="n">
        <v>0.09423539142893564</v>
      </c>
      <c r="F4" s="51" t="n">
        <v>0.09923539142893564</v>
      </c>
      <c r="G4" s="51" t="n">
        <v>0.1042353914289356</v>
      </c>
      <c r="H4" s="51" t="n">
        <v>0.1092353914289356</v>
      </c>
    </row>
    <row r="5">
      <c r="A5" s="52" t="n">
        <v>9</v>
      </c>
      <c r="B5" s="8" t="n">
        <v>221.8186724757793</v>
      </c>
      <c r="C5" s="8" t="n">
        <v>213.517818889172</v>
      </c>
      <c r="D5" s="8" t="n">
        <v>205.5886865195911</v>
      </c>
      <c r="E5" s="8" t="n">
        <v>198.012329315692</v>
      </c>
      <c r="F5" s="8" t="n">
        <v>190.770863854583</v>
      </c>
      <c r="G5" s="8" t="n">
        <v>183.8474047721812</v>
      </c>
      <c r="H5" s="8" t="n">
        <v>177.2260044043268</v>
      </c>
    </row>
    <row r="6">
      <c r="A6" s="52" t="n">
        <v>10</v>
      </c>
      <c r="B6" s="8" t="n">
        <v>235.5210362672562</v>
      </c>
      <c r="C6" s="8" t="n">
        <v>226.6012450478223</v>
      </c>
      <c r="D6" s="8" t="n">
        <v>218.0837895397268</v>
      </c>
      <c r="E6" s="8" t="n">
        <v>209.9480791652562</v>
      </c>
      <c r="F6" s="8" t="n">
        <v>202.1746812482897</v>
      </c>
      <c r="G6" s="8" t="n">
        <v>194.7452505270326</v>
      </c>
      <c r="H6" s="8" t="n">
        <v>187.6424632695725</v>
      </c>
    </row>
    <row r="7">
      <c r="A7" s="52" t="n">
        <v>11</v>
      </c>
      <c r="B7" s="8" t="n">
        <v>249.2234000587331</v>
      </c>
      <c r="C7" s="8" t="n">
        <v>239.6846712064725</v>
      </c>
      <c r="D7" s="8" t="n">
        <v>230.5788925598625</v>
      </c>
      <c r="E7" s="8" t="n">
        <v>221.8838290148205</v>
      </c>
      <c r="F7" s="8" t="n">
        <v>213.5784986419965</v>
      </c>
      <c r="G7" s="8" t="n">
        <v>205.6430962818839</v>
      </c>
      <c r="H7" s="8" t="n">
        <v>198.0589221348182</v>
      </c>
    </row>
    <row r="8">
      <c r="A8" s="52" t="n">
        <v>12</v>
      </c>
      <c r="B8" s="8" t="n">
        <v>262.9257638502101</v>
      </c>
      <c r="C8" s="8" t="n">
        <v>252.7680973651227</v>
      </c>
      <c r="D8" s="8" t="n">
        <v>243.0739955799982</v>
      </c>
      <c r="E8" s="53" t="n">
        <v>233.8195788643848</v>
      </c>
      <c r="F8" s="8" t="n">
        <v>224.9823160357032</v>
      </c>
      <c r="G8" s="8" t="n">
        <v>216.5409420367353</v>
      </c>
      <c r="H8" s="8" t="n">
        <v>208.475381000064</v>
      </c>
    </row>
    <row r="9">
      <c r="A9" s="52" t="n">
        <v>13</v>
      </c>
      <c r="B9" s="8" t="n">
        <v>276.6281276416871</v>
      </c>
      <c r="C9" s="8" t="n">
        <v>265.8515235237729</v>
      </c>
      <c r="D9" s="8" t="n">
        <v>255.5690986001339</v>
      </c>
      <c r="E9" s="8" t="n">
        <v>245.7553287139491</v>
      </c>
      <c r="F9" s="8" t="n">
        <v>236.38613342941</v>
      </c>
      <c r="G9" s="8" t="n">
        <v>227.4387877915867</v>
      </c>
      <c r="H9" s="8" t="n">
        <v>218.8918398653097</v>
      </c>
    </row>
    <row r="10">
      <c r="A10" s="52" t="n">
        <v>14</v>
      </c>
      <c r="B10" s="8" t="n">
        <v>290.330491433164</v>
      </c>
      <c r="C10" s="8" t="n">
        <v>278.9349496824231</v>
      </c>
      <c r="D10" s="8" t="n">
        <v>268.0642016202696</v>
      </c>
      <c r="E10" s="8" t="n">
        <v>257.6910785635133</v>
      </c>
      <c r="F10" s="8" t="n">
        <v>247.7899508231167</v>
      </c>
      <c r="G10" s="8" t="n">
        <v>238.3366335464381</v>
      </c>
      <c r="H10" s="8" t="n">
        <v>229.3082987305554</v>
      </c>
    </row>
    <row r="11">
      <c r="A11" s="52" t="n">
        <v>15</v>
      </c>
      <c r="B11" s="8" t="n">
        <v>304.0328552246409</v>
      </c>
      <c r="C11" s="8" t="n">
        <v>292.0183758410734</v>
      </c>
      <c r="D11" s="8" t="n">
        <v>280.5593046404053</v>
      </c>
      <c r="E11" s="8" t="n">
        <v>269.6268284130776</v>
      </c>
      <c r="F11" s="8" t="n">
        <v>259.1937682168235</v>
      </c>
      <c r="G11" s="8" t="n">
        <v>249.2344793012895</v>
      </c>
      <c r="H11" s="8" t="n">
        <v>239.7247575958012</v>
      </c>
    </row>
    <row r="13">
      <c r="A13" s="3" t="inlineStr">
        <is>
          <t>Current price</t>
        </is>
      </c>
      <c r="B13" s="54" t="n">
        <v>152.6600036621094</v>
      </c>
    </row>
    <row r="14">
      <c r="A14" s="3" t="inlineStr">
        <is>
          <t>Base WACC / multiple</t>
        </is>
      </c>
      <c r="B14" s="55" t="n">
        <v>0.09423539142893564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0.007484915958942338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1.195084408461554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0.02440678713499133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0.9917385223243105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2026-07-08T07:04:19Z</dcterms:created>
  <dcterms:modified xmlns:dcterms="http://purl.org/dc/terms/" xmlns:xsi="http://www.w3.org/2001/XMLSchema-instance" xsi:type="dcterms:W3CDTF">2026-07-08T07:04:19Z</dcterms:modified>
</cp:coreProperties>
</file>