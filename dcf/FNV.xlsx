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Franco-Nevada Corporation (FNV)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2026-06-03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2026-06-03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Franco-Nevada is a capital-light gold and diversified-commodity streaming/royalty company that converts top-line into cash at very high operating margins with minimal recurring capex, deploying capital counter-cyclically into new streams. Consensus implies a step-up to ~$2.7-3.2B revenue in 2026-27 as recent stream additions ramp, before settling into mid-single-digit growth as the portfolio matures. The investment case rests on durable free cash flow and optionality, valued as a perpetual cash generator rather than a capital-intensive miner.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Franco-Nevada Corporation (FNV)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</v>
      </c>
      <c r="C20" s="15" t="n">
        <v>0.025</v>
      </c>
      <c r="D20" s="16" t="n">
        <v>0.1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0.72</v>
      </c>
      <c r="D29" s="16" t="n">
        <v>0.72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274.3412005</v>
      </c>
      <c r="D34" s="18" t="n">
        <v>274.3412005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0.892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16</v>
      </c>
    </row>
    <row r="46">
      <c r="A46" s="4" t="inlineStr">
        <is>
          <t>Terminal growth (g)</t>
        </is>
      </c>
      <c r="B46" s="15" t="n">
        <v>0.025</v>
      </c>
    </row>
    <row r="48">
      <c r="A48" s="4" t="inlineStr">
        <is>
          <t>Current price</t>
        </is>
      </c>
      <c r="B48" s="23" t="n">
        <v>225.41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0.2609351149269396</v>
      </c>
      <c r="H11" s="15" t="n">
        <v>0.2609351149269396</v>
      </c>
      <c r="I11" s="15" t="n">
        <v>0.2609351149269396</v>
      </c>
      <c r="J11" s="15" t="n">
        <v>0.2609351149269396</v>
      </c>
      <c r="K11" s="15" t="n">
        <v>0.2609351149269396</v>
      </c>
      <c r="L11" s="15" t="n">
        <v>0.2609351149269396</v>
      </c>
      <c r="M11" s="15" t="n">
        <v>0.2609351149269396</v>
      </c>
      <c r="N11" s="15" t="n">
        <v>0.2609351149269396</v>
      </c>
      <c r="O11" s="15" t="n">
        <v>0.2609351149269396</v>
      </c>
      <c r="P11" s="15" t="n">
        <v>0.2609351149269396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0.02607640296921234</v>
      </c>
      <c r="H15" s="15" t="n">
        <v>0.02607640296921234</v>
      </c>
      <c r="I15" s="15" t="n">
        <v>0.02607640296921234</v>
      </c>
      <c r="J15" s="15" t="n">
        <v>0.02607640296921234</v>
      </c>
      <c r="K15" s="15" t="n">
        <v>0.02607640296921234</v>
      </c>
      <c r="L15" s="15" t="n">
        <v>0.02607640296921234</v>
      </c>
      <c r="M15" s="15" t="n">
        <v>0.02607640296921234</v>
      </c>
      <c r="N15" s="15" t="n">
        <v>0.02607640296921234</v>
      </c>
      <c r="O15" s="15" t="n">
        <v>0.02607640296921234</v>
      </c>
      <c r="P15" s="15" t="n">
        <v>0.02607640296921234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G6*0.1676</f>
        <v/>
      </c>
      <c r="H24" s="32">
        <f>H6*0.1676</f>
        <v/>
      </c>
      <c r="I24" s="32">
        <f>I6*0.1676</f>
        <v/>
      </c>
      <c r="J24" s="32">
        <f>J6*0.1676</f>
        <v/>
      </c>
      <c r="K24" s="32">
        <f>K6*0.1676</f>
        <v/>
      </c>
      <c r="L24" s="32">
        <f>L6*0.1676</f>
        <v/>
      </c>
      <c r="M24" s="32">
        <f>M6*0.1676</f>
        <v/>
      </c>
      <c r="N24" s="32">
        <f>N6*0.1676</f>
        <v/>
      </c>
      <c r="O24" s="32">
        <f>O6*0.1676</f>
        <v/>
      </c>
      <c r="P24" s="32">
        <f>P6*0.1676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G6*0.0034</f>
        <v/>
      </c>
      <c r="H25" s="32">
        <f>H6*0.0033</f>
        <v/>
      </c>
      <c r="I25" s="32">
        <f>I6*0.0031</f>
        <v/>
      </c>
      <c r="J25" s="32">
        <f>J6*0.0030</f>
        <v/>
      </c>
      <c r="K25" s="32">
        <f>K6*0.0028</f>
        <v/>
      </c>
      <c r="L25" s="32">
        <f>L6*0.0027</f>
        <v/>
      </c>
      <c r="M25" s="32">
        <f>M6*0.0025</f>
        <v/>
      </c>
      <c r="N25" s="32">
        <f>N6*0.0024</f>
        <v/>
      </c>
      <c r="O25" s="32">
        <f>O6*0.0022</f>
        <v/>
      </c>
      <c r="P25" s="32">
        <f>P6*0.0021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174.567702</v>
      </c>
      <c r="C3" s="18" t="n">
        <v>235.095807</v>
      </c>
      <c r="D3" s="18" t="n">
        <v>262.732334</v>
      </c>
      <c r="E3" s="18" t="n">
        <v>227.269046</v>
      </c>
      <c r="F3" s="18" t="n">
        <v>198.762808</v>
      </c>
      <c r="G3" s="18" t="n">
        <v>279.22501</v>
      </c>
      <c r="H3" s="18" t="n">
        <v>312.162179</v>
      </c>
      <c r="I3" s="18" t="n">
        <v>310.804548</v>
      </c>
      <c r="J3" s="18" t="n">
        <v>344.353801</v>
      </c>
      <c r="K3" s="18" t="n">
        <v>314.841772</v>
      </c>
      <c r="L3" s="18" t="n">
        <v>326.297564</v>
      </c>
      <c r="M3" s="18" t="n">
        <v>342.4549</v>
      </c>
      <c r="N3" s="18" t="n">
        <v>349.298618</v>
      </c>
      <c r="O3" s="18" t="n">
        <v>287.864313</v>
      </c>
      <c r="P3" s="18" t="n">
        <v>320.884041</v>
      </c>
      <c r="Q3" s="18" t="n">
        <v>276.3</v>
      </c>
      <c r="R3" s="18" t="n">
        <v>329.9</v>
      </c>
      <c r="S3" s="18" t="n">
        <v>309.5</v>
      </c>
      <c r="T3" s="18" t="n">
        <v>303.3</v>
      </c>
      <c r="U3" s="18" t="n">
        <v>256.8</v>
      </c>
      <c r="V3" s="18" t="n">
        <v>260.1</v>
      </c>
      <c r="W3" s="18" t="n">
        <v>275.7</v>
      </c>
      <c r="X3" s="18" t="n">
        <v>321</v>
      </c>
      <c r="Y3" s="18" t="n">
        <v>368.4</v>
      </c>
      <c r="Z3" s="18" t="n">
        <v>369.4</v>
      </c>
      <c r="AA3" s="18" t="n">
        <v>487.7</v>
      </c>
      <c r="AB3" s="18" t="n">
        <v>604.856666</v>
      </c>
      <c r="AC3" s="18" t="n">
        <v>641.0949900000001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88.358901</v>
      </c>
      <c r="C5" s="18" t="n">
        <v>109.119564</v>
      </c>
      <c r="D5" s="18" t="n">
        <v>121.135791</v>
      </c>
      <c r="E5" s="18" t="n">
        <v>102.058449</v>
      </c>
      <c r="F5" s="18" t="n">
        <v>81.681952</v>
      </c>
      <c r="G5" s="18" t="n">
        <v>97.06535700000001</v>
      </c>
      <c r="H5" s="18" t="n">
        <v>116.805114</v>
      </c>
      <c r="I5" s="18" t="n">
        <v>112.635165</v>
      </c>
      <c r="J5" s="18" t="n">
        <v>123.443847</v>
      </c>
      <c r="K5" s="18" t="n">
        <v>114.217046</v>
      </c>
      <c r="L5" s="18" t="n">
        <v>126.173706</v>
      </c>
      <c r="M5" s="18" t="n">
        <v>119.651697</v>
      </c>
      <c r="N5" s="18" t="n">
        <v>114.119418</v>
      </c>
      <c r="O5" s="18" t="n">
        <v>104.291825</v>
      </c>
      <c r="P5" s="18" t="n">
        <v>119.480231</v>
      </c>
      <c r="Q5" s="18" t="n">
        <v>99.2</v>
      </c>
      <c r="R5" s="18" t="n">
        <v>122.2</v>
      </c>
      <c r="S5" s="18" t="n">
        <v>117</v>
      </c>
      <c r="T5" s="18" t="n">
        <v>114</v>
      </c>
      <c r="U5" s="18" t="n">
        <v>91.8</v>
      </c>
      <c r="V5" s="18" t="n">
        <v>82</v>
      </c>
      <c r="W5" s="18" t="n">
        <v>86.09999999999999</v>
      </c>
      <c r="X5" s="18" t="n">
        <v>94.40000000000001</v>
      </c>
      <c r="Y5" s="18" t="n">
        <v>106.9</v>
      </c>
      <c r="Z5" s="18" t="n">
        <v>97.5</v>
      </c>
      <c r="AA5" s="18" t="n">
        <v>134.2</v>
      </c>
      <c r="AB5" s="18" t="n">
        <v>139.004327</v>
      </c>
      <c r="AC5" s="18" t="n">
        <v>122.676844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5.733601</v>
      </c>
      <c r="C9" s="18" t="n">
        <v>5.585644</v>
      </c>
      <c r="D9" s="18" t="n">
        <v>10.892041</v>
      </c>
      <c r="E9" s="18" t="n">
        <v>5.85891</v>
      </c>
      <c r="F9" s="18" t="n">
        <v>11.901355</v>
      </c>
      <c r="G9" s="18" t="n">
        <v>6.284807</v>
      </c>
      <c r="H9" s="18" t="n">
        <v>4.704934</v>
      </c>
      <c r="I9" s="18" t="n">
        <v>6.246315</v>
      </c>
      <c r="J9" s="18" t="n">
        <v>10.311775</v>
      </c>
      <c r="K9" s="18" t="n">
        <v>4.568681</v>
      </c>
      <c r="L9" s="18" t="n">
        <v>9.567674</v>
      </c>
      <c r="M9" s="18" t="n">
        <v>10.021588</v>
      </c>
      <c r="N9" s="18" t="n">
        <v>5.750587</v>
      </c>
      <c r="O9" s="18" t="n">
        <v>4.813468</v>
      </c>
      <c r="P9" s="18" t="n">
        <v>11.817826</v>
      </c>
      <c r="Q9" s="18" t="n">
        <v>9.4</v>
      </c>
      <c r="R9" s="18" t="n">
        <v>8.6</v>
      </c>
      <c r="S9" s="18" t="n">
        <v>5.7</v>
      </c>
      <c r="T9" s="18" t="n">
        <v>5.2</v>
      </c>
      <c r="U9" s="18" t="n">
        <v>7</v>
      </c>
      <c r="V9" s="18" t="n">
        <v>9.4</v>
      </c>
      <c r="W9" s="18" t="n">
        <v>10.2</v>
      </c>
      <c r="X9" s="18" t="n">
        <v>5.7</v>
      </c>
      <c r="Y9" s="18" t="n">
        <v>14.4</v>
      </c>
      <c r="Z9" s="18" t="n">
        <v>8.5</v>
      </c>
      <c r="AA9" s="18" t="n">
        <v>16.3</v>
      </c>
      <c r="AB9" s="18" t="n">
        <v>8.529118</v>
      </c>
      <c r="AC9" s="18" t="n">
        <v>15.186683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86.20880099999999</v>
      </c>
      <c r="C11" s="18" t="n">
        <v>125.976242</v>
      </c>
      <c r="D11" s="18" t="n">
        <v>141.596542</v>
      </c>
      <c r="E11" s="18" t="n">
        <v>125.210597</v>
      </c>
      <c r="F11" s="18" t="n">
        <v>117.080856</v>
      </c>
      <c r="G11" s="18" t="n">
        <v>182.159653</v>
      </c>
      <c r="H11" s="18" t="n">
        <v>195.357064</v>
      </c>
      <c r="I11" s="18" t="n">
        <v>198.169383</v>
      </c>
      <c r="J11" s="18" t="n">
        <v>220.909953</v>
      </c>
      <c r="K11" s="18" t="n">
        <v>200.624725</v>
      </c>
      <c r="L11" s="18" t="n">
        <v>200.123857</v>
      </c>
      <c r="M11" s="18" t="n">
        <v>222.803203</v>
      </c>
      <c r="N11" s="18" t="n">
        <v>235.1792</v>
      </c>
      <c r="O11" s="18" t="n">
        <v>183.572488</v>
      </c>
      <c r="P11" s="18" t="n">
        <v>201.40381</v>
      </c>
      <c r="Q11" s="18" t="n">
        <v>177.1</v>
      </c>
      <c r="R11" s="18" t="n">
        <v>207.7</v>
      </c>
      <c r="S11" s="18" t="n">
        <v>192.5</v>
      </c>
      <c r="T11" s="18" t="n">
        <v>189.3</v>
      </c>
      <c r="U11" s="18" t="n">
        <v>165</v>
      </c>
      <c r="V11" s="18" t="n">
        <v>178.1</v>
      </c>
      <c r="W11" s="18" t="n">
        <v>189.6</v>
      </c>
      <c r="X11" s="18" t="n">
        <v>226.6</v>
      </c>
      <c r="Y11" s="18" t="n">
        <v>261.5</v>
      </c>
      <c r="Z11" s="18" t="n">
        <v>271.9</v>
      </c>
      <c r="AA11" s="18" t="n">
        <v>353.5</v>
      </c>
      <c r="AB11" s="18" t="n">
        <v>465.852339</v>
      </c>
      <c r="AC11" s="18" t="n">
        <v>518.418145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80.475199</v>
      </c>
      <c r="C13" s="18" t="n">
        <v>120.390597</v>
      </c>
      <c r="D13" s="18" t="n">
        <v>130.704501</v>
      </c>
      <c r="E13" s="18" t="n">
        <v>119.351686</v>
      </c>
      <c r="F13" s="18" t="n">
        <v>105.1795</v>
      </c>
      <c r="G13" s="18" t="n">
        <v>175.874845</v>
      </c>
      <c r="H13" s="18" t="n">
        <v>190.65213</v>
      </c>
      <c r="I13" s="18" t="n">
        <v>191.923068</v>
      </c>
      <c r="J13" s="18" t="n">
        <v>210.598178</v>
      </c>
      <c r="K13" s="18" t="n">
        <v>196.056043</v>
      </c>
      <c r="L13" s="18" t="n">
        <v>190.556182</v>
      </c>
      <c r="M13" s="18" t="n">
        <v>212.781614</v>
      </c>
      <c r="N13" s="18" t="n">
        <v>229.428612</v>
      </c>
      <c r="O13" s="18" t="n">
        <v>178.759019</v>
      </c>
      <c r="P13" s="18" t="n">
        <v>189.585983</v>
      </c>
      <c r="Q13" s="18" t="n">
        <v>172.1</v>
      </c>
      <c r="R13" s="18" t="n">
        <v>200.5</v>
      </c>
      <c r="S13" s="18" t="n">
        <v>187</v>
      </c>
      <c r="T13" s="18" t="n">
        <v>-987.6</v>
      </c>
      <c r="U13" s="18" t="n">
        <v>158.2</v>
      </c>
      <c r="V13" s="18" t="n">
        <v>169</v>
      </c>
      <c r="W13" s="18" t="n">
        <v>182</v>
      </c>
      <c r="X13" s="18" t="n">
        <v>217.4</v>
      </c>
      <c r="Y13" s="18" t="n">
        <v>253.5</v>
      </c>
      <c r="Z13" s="18" t="n">
        <v>305.8</v>
      </c>
      <c r="AA13" s="18" t="n">
        <v>341</v>
      </c>
      <c r="AB13" s="18" t="n">
        <v>457.32322</v>
      </c>
      <c r="AC13" s="18" t="n">
        <v>503.231462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65.52687899999999</v>
      </c>
      <c r="C15" s="18" t="n">
        <v>101.339558</v>
      </c>
      <c r="D15" s="18" t="n">
        <v>115.333488</v>
      </c>
      <c r="E15" s="18" t="n">
        <v>-93.364581</v>
      </c>
      <c r="F15" s="18" t="n">
        <v>96.02461099999999</v>
      </c>
      <c r="G15" s="18" t="n">
        <v>153.528864</v>
      </c>
      <c r="H15" s="18" t="n">
        <v>180.730855</v>
      </c>
      <c r="I15" s="18" t="n">
        <v>172.781134</v>
      </c>
      <c r="J15" s="18" t="n">
        <v>173.812903</v>
      </c>
      <c r="K15" s="18" t="n">
        <v>164.869824</v>
      </c>
      <c r="L15" s="18" t="n">
        <v>220.156175</v>
      </c>
      <c r="M15" s="18" t="n">
        <v>184.23527</v>
      </c>
      <c r="N15" s="18" t="n">
        <v>194.825939</v>
      </c>
      <c r="O15" s="18" t="n">
        <v>148.273716</v>
      </c>
      <c r="P15" s="18" t="n">
        <v>165.249272</v>
      </c>
      <c r="Q15" s="18" t="n">
        <v>156.5</v>
      </c>
      <c r="R15" s="18" t="n">
        <v>184.5</v>
      </c>
      <c r="S15" s="18" t="n">
        <v>175.1</v>
      </c>
      <c r="T15" s="18" t="n">
        <v>-982.5</v>
      </c>
      <c r="U15" s="18" t="n">
        <v>144.5</v>
      </c>
      <c r="V15" s="18" t="n">
        <v>79.5</v>
      </c>
      <c r="W15" s="18" t="n">
        <v>152.7</v>
      </c>
      <c r="X15" s="18" t="n">
        <v>175.4</v>
      </c>
      <c r="Y15" s="18" t="n">
        <v>209.8</v>
      </c>
      <c r="Z15" s="18" t="n">
        <v>247.1</v>
      </c>
      <c r="AA15" s="18" t="n">
        <v>287.5</v>
      </c>
      <c r="AB15" s="18" t="n">
        <v>373.352016</v>
      </c>
      <c r="AC15" s="18" t="n">
        <v>462.109079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186.567145</v>
      </c>
      <c r="C17" s="18" t="n">
        <v>187.16416</v>
      </c>
      <c r="D17" s="18" t="n">
        <v>189.2</v>
      </c>
      <c r="E17" s="18" t="n">
        <v>188.855702</v>
      </c>
      <c r="F17" s="18" t="n">
        <v>189.651722</v>
      </c>
      <c r="G17" s="18" t="n">
        <v>189.751224</v>
      </c>
      <c r="H17" s="18" t="n">
        <v>190.6</v>
      </c>
      <c r="I17" s="18" t="n">
        <v>190.348239</v>
      </c>
      <c r="J17" s="18" t="n">
        <v>190.447742</v>
      </c>
      <c r="K17" s="18" t="n">
        <v>190.547244</v>
      </c>
      <c r="L17" s="18" t="n">
        <v>191.334392</v>
      </c>
      <c r="M17" s="18" t="n">
        <v>190.746249</v>
      </c>
      <c r="N17" s="18" t="n">
        <v>190.945254</v>
      </c>
      <c r="O17" s="18" t="n">
        <v>190.945254</v>
      </c>
      <c r="P17" s="18" t="n">
        <v>191.860465</v>
      </c>
      <c r="Q17" s="18" t="n">
        <v>192.2</v>
      </c>
      <c r="R17" s="18" t="n">
        <v>192.2</v>
      </c>
      <c r="S17" s="18" t="n">
        <v>192.4</v>
      </c>
      <c r="T17" s="18" t="n">
        <v>192.175042</v>
      </c>
      <c r="U17" s="18" t="n">
        <v>192.4</v>
      </c>
      <c r="V17" s="18" t="n">
        <v>192.5</v>
      </c>
      <c r="W17" s="18" t="n">
        <v>192.5</v>
      </c>
      <c r="X17" s="18" t="n">
        <v>192.552695</v>
      </c>
      <c r="Y17" s="18" t="n">
        <v>192.9</v>
      </c>
      <c r="Z17" s="18" t="n">
        <v>193</v>
      </c>
      <c r="AA17" s="18" t="n">
        <v>193</v>
      </c>
      <c r="AB17" s="18" t="n">
        <v>192.798692</v>
      </c>
      <c r="AC17" s="18" t="n">
        <v>193.2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432.3</v>
      </c>
      <c r="C19" s="18" t="n">
        <v>91.7</v>
      </c>
      <c r="D19" s="18" t="n">
        <v>132.1</v>
      </c>
      <c r="E19" s="18" t="n">
        <v>209.8</v>
      </c>
      <c r="F19" s="18" t="n">
        <v>378.5</v>
      </c>
      <c r="G19" s="18" t="n">
        <v>466.8</v>
      </c>
      <c r="H19" s="18" t="n">
        <v>534.2</v>
      </c>
      <c r="I19" s="18" t="n">
        <v>538.5</v>
      </c>
      <c r="J19" s="18" t="n">
        <v>197.7</v>
      </c>
      <c r="K19" s="18" t="n">
        <v>346.7</v>
      </c>
      <c r="L19" s="18" t="n">
        <v>539.3</v>
      </c>
      <c r="M19" s="18" t="n">
        <v>722.7</v>
      </c>
      <c r="N19" s="18" t="n">
        <v>910.6</v>
      </c>
      <c r="O19" s="18" t="n">
        <v>1057.4</v>
      </c>
      <c r="P19" s="18" t="n">
        <v>1196.5</v>
      </c>
      <c r="Q19" s="18" t="n">
        <v>1248.4</v>
      </c>
      <c r="R19" s="18" t="n">
        <v>1295.1</v>
      </c>
      <c r="S19" s="18" t="n">
        <v>1297.1</v>
      </c>
      <c r="T19" s="18" t="n">
        <v>1421.9</v>
      </c>
      <c r="U19" s="18" t="n">
        <v>1352</v>
      </c>
      <c r="V19" s="18" t="n">
        <v>1439</v>
      </c>
      <c r="W19" s="18" t="n">
        <v>1317.3</v>
      </c>
      <c r="X19" s="18" t="n">
        <v>1451.3</v>
      </c>
      <c r="Y19" s="18" t="n">
        <v>1128.1</v>
      </c>
      <c r="Z19" s="18" t="n">
        <v>160.3</v>
      </c>
      <c r="AA19" s="18" t="n">
        <v>236.469264</v>
      </c>
      <c r="AB19" s="18" t="n">
        <v>669.679062</v>
      </c>
      <c r="AC19" s="18" t="n">
        <v>717.050509</v>
      </c>
    </row>
    <row r="20">
      <c r="A20" s="4" t="inlineStr">
        <is>
          <t>Total Current Assets</t>
        </is>
      </c>
      <c r="B20" s="18" t="n">
        <v>540.2</v>
      </c>
      <c r="C20" s="18" t="n">
        <v>261</v>
      </c>
      <c r="D20" s="18" t="n">
        <v>278.7</v>
      </c>
      <c r="E20" s="18" t="n">
        <v>340.1</v>
      </c>
      <c r="F20" s="18" t="n">
        <v>515.7</v>
      </c>
      <c r="G20" s="18" t="n">
        <v>601</v>
      </c>
      <c r="H20" s="18" t="n">
        <v>663.7</v>
      </c>
      <c r="I20" s="18" t="n">
        <v>677</v>
      </c>
      <c r="J20" s="18" t="n">
        <v>358.9</v>
      </c>
      <c r="K20" s="18" t="n">
        <v>584.9</v>
      </c>
      <c r="L20" s="18" t="n">
        <v>751.4</v>
      </c>
      <c r="M20" s="18" t="n">
        <v>949.6</v>
      </c>
      <c r="N20" s="18" t="n">
        <v>1102.8</v>
      </c>
      <c r="O20" s="18" t="n">
        <v>1263.2</v>
      </c>
      <c r="P20" s="18" t="n">
        <v>1383.1</v>
      </c>
      <c r="Q20" s="18" t="n">
        <v>1446.4</v>
      </c>
      <c r="R20" s="18" t="n">
        <v>1503.3</v>
      </c>
      <c r="S20" s="18" t="n">
        <v>1516.5</v>
      </c>
      <c r="T20" s="18" t="n">
        <v>1615.3</v>
      </c>
      <c r="U20" s="18" t="n">
        <v>1570.2</v>
      </c>
      <c r="V20" s="18" t="n">
        <v>1668.3</v>
      </c>
      <c r="W20" s="18" t="n">
        <v>1551</v>
      </c>
      <c r="X20" s="18" t="n">
        <v>1716.8</v>
      </c>
      <c r="Y20" s="18" t="n">
        <v>1394.9</v>
      </c>
      <c r="Z20" s="18" t="n">
        <v>357.3</v>
      </c>
      <c r="AA20" s="18" t="n">
        <v>541.57156</v>
      </c>
      <c r="AB20" s="18" t="n">
        <v>1019.141933</v>
      </c>
      <c r="AC20" s="18" t="n">
        <v>1130.907142</v>
      </c>
    </row>
    <row r="21">
      <c r="A21" s="4" t="inlineStr">
        <is>
          <t>PP&amp;E (net)</t>
        </is>
      </c>
      <c r="B21" s="18" t="n">
        <v>4608.8</v>
      </c>
      <c r="C21" s="18" t="n">
        <v>4858.1</v>
      </c>
      <c r="D21" s="18" t="n">
        <v>4810</v>
      </c>
      <c r="E21" s="18" t="n">
        <v>4456.3</v>
      </c>
      <c r="F21" s="18" t="n">
        <v>4431.1</v>
      </c>
      <c r="G21" s="18" t="n">
        <v>4519.7</v>
      </c>
      <c r="H21" s="18" t="n">
        <v>4639.5</v>
      </c>
      <c r="I21" s="18" t="n">
        <v>4756</v>
      </c>
      <c r="J21" s="18" t="n">
        <v>5229.7</v>
      </c>
      <c r="K21" s="18" t="n">
        <v>5131.5</v>
      </c>
      <c r="L21" s="18" t="n">
        <v>5156.4</v>
      </c>
      <c r="M21" s="18" t="n">
        <v>5102.1</v>
      </c>
      <c r="N21" s="18" t="n">
        <v>5005</v>
      </c>
      <c r="O21" s="18" t="n">
        <v>4871.2</v>
      </c>
      <c r="P21" s="18" t="n">
        <v>4934.2</v>
      </c>
      <c r="Q21" s="18" t="n">
        <v>4973.3</v>
      </c>
      <c r="R21" s="18" t="n">
        <v>5086.6</v>
      </c>
      <c r="S21" s="18" t="n">
        <v>5156.9</v>
      </c>
      <c r="T21" s="18" t="n">
        <v>4033.7</v>
      </c>
      <c r="U21" s="18" t="n">
        <v>4078.7</v>
      </c>
      <c r="V21" s="18" t="n">
        <v>4031.1</v>
      </c>
      <c r="W21" s="18" t="n">
        <v>4230.6</v>
      </c>
      <c r="X21" s="18" t="n">
        <v>4109.3</v>
      </c>
      <c r="Y21" s="18" t="n">
        <v>4539</v>
      </c>
      <c r="Z21" s="18" t="n">
        <v>5899.8</v>
      </c>
      <c r="AA21" s="18" t="n">
        <v>6092.155572</v>
      </c>
      <c r="AB21" s="18" t="n">
        <v>6043.3819</v>
      </c>
      <c r="AC21" s="18" t="n">
        <v>6339.079662</v>
      </c>
    </row>
    <row r="22">
      <c r="A22" s="4" t="inlineStr">
        <is>
          <t>Total Assets</t>
        </is>
      </c>
      <c r="B22" s="18" t="n">
        <v>5358.7</v>
      </c>
      <c r="C22" s="18" t="n">
        <v>5270.1</v>
      </c>
      <c r="D22" s="18" t="n">
        <v>5280.6</v>
      </c>
      <c r="E22" s="18" t="n">
        <v>4981.7</v>
      </c>
      <c r="F22" s="18" t="n">
        <v>5182.2</v>
      </c>
      <c r="G22" s="18" t="n">
        <v>5357.5</v>
      </c>
      <c r="H22" s="18" t="n">
        <v>5592.9</v>
      </c>
      <c r="I22" s="18" t="n">
        <v>5747.2</v>
      </c>
      <c r="J22" s="18" t="n">
        <v>5955.1</v>
      </c>
      <c r="K22" s="18" t="n">
        <v>5984.7</v>
      </c>
      <c r="L22" s="18" t="n">
        <v>6209.9</v>
      </c>
      <c r="M22" s="18" t="n">
        <v>6400.4</v>
      </c>
      <c r="N22" s="18" t="n">
        <v>6410.5</v>
      </c>
      <c r="O22" s="18" t="n">
        <v>6443.7</v>
      </c>
      <c r="P22" s="18" t="n">
        <v>6626.8</v>
      </c>
      <c r="Q22" s="18" t="n">
        <v>6740.9</v>
      </c>
      <c r="R22" s="18" t="n">
        <v>6907.2</v>
      </c>
      <c r="S22" s="18" t="n">
        <v>6985.9</v>
      </c>
      <c r="T22" s="18" t="n">
        <v>5994.1</v>
      </c>
      <c r="U22" s="18" t="n">
        <v>6059.3</v>
      </c>
      <c r="V22" s="18" t="n">
        <v>6141.2</v>
      </c>
      <c r="W22" s="18" t="n">
        <v>6299.6</v>
      </c>
      <c r="X22" s="18" t="n">
        <v>6330.4</v>
      </c>
      <c r="Y22" s="18" t="n">
        <v>6653.4</v>
      </c>
      <c r="Z22" s="18" t="n">
        <v>7020.6</v>
      </c>
      <c r="AA22" s="18" t="n">
        <v>7509.572525</v>
      </c>
      <c r="AB22" s="18" t="n">
        <v>8226.401888</v>
      </c>
      <c r="AC22" s="18" t="n">
        <v>8826.533599</v>
      </c>
    </row>
    <row r="23">
      <c r="A23" s="4" t="inlineStr">
        <is>
          <t>Total Current Liabilities</t>
        </is>
      </c>
      <c r="B23" s="18" t="n">
        <v>202</v>
      </c>
      <c r="C23" s="18" t="n">
        <v>41</v>
      </c>
      <c r="D23" s="18" t="n">
        <v>53.4</v>
      </c>
      <c r="E23" s="18" t="n">
        <v>40.6</v>
      </c>
      <c r="F23" s="18" t="n">
        <v>38.1</v>
      </c>
      <c r="G23" s="18" t="n">
        <v>41.8</v>
      </c>
      <c r="H23" s="18" t="n">
        <v>53.2</v>
      </c>
      <c r="I23" s="18" t="n">
        <v>41.3</v>
      </c>
      <c r="J23" s="18" t="n">
        <v>36.4</v>
      </c>
      <c r="K23" s="18" t="n">
        <v>43.1</v>
      </c>
      <c r="L23" s="18" t="n">
        <v>43.2</v>
      </c>
      <c r="M23" s="18" t="n">
        <v>43.7</v>
      </c>
      <c r="N23" s="18" t="n">
        <v>42.4</v>
      </c>
      <c r="O23" s="18" t="n">
        <v>51.9</v>
      </c>
      <c r="P23" s="18" t="n">
        <v>50.2</v>
      </c>
      <c r="Q23" s="18" t="n">
        <v>50.3</v>
      </c>
      <c r="R23" s="18" t="n">
        <v>56.3</v>
      </c>
      <c r="S23" s="18" t="n">
        <v>40.2</v>
      </c>
      <c r="T23" s="18" t="n">
        <v>39.2</v>
      </c>
      <c r="U23" s="18" t="n">
        <v>53.4</v>
      </c>
      <c r="V23" s="18" t="n">
        <v>57.3</v>
      </c>
      <c r="W23" s="18" t="n">
        <v>66.3</v>
      </c>
      <c r="X23" s="18" t="n">
        <v>67.5</v>
      </c>
      <c r="Y23" s="18" t="n">
        <v>60.9</v>
      </c>
      <c r="Z23" s="18" t="n">
        <v>84</v>
      </c>
      <c r="AA23" s="18" t="n">
        <v>116.786045</v>
      </c>
      <c r="AB23" s="18" t="n">
        <v>122.776158</v>
      </c>
      <c r="AC23" s="18" t="n">
        <v>183.802509</v>
      </c>
    </row>
    <row r="24">
      <c r="A24" s="4" t="inlineStr">
        <is>
          <t>Long-term Debt</t>
        </is>
      </c>
      <c r="B24" s="18" t="n">
        <v>272.2</v>
      </c>
      <c r="C24" s="18" t="n">
        <v>242.4</v>
      </c>
      <c r="D24" s="18" t="n">
        <v>80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A25" s="4" t="inlineStr">
        <is>
          <t>Total Equity</t>
        </is>
      </c>
      <c r="B25" s="18" t="n">
        <v>4800.4</v>
      </c>
      <c r="C25" s="18" t="n">
        <v>4905.6</v>
      </c>
      <c r="D25" s="18" t="n">
        <v>5062.2</v>
      </c>
      <c r="E25" s="18" t="n">
        <v>4876.4</v>
      </c>
      <c r="F25" s="18" t="n">
        <v>5070.4</v>
      </c>
      <c r="G25" s="18" t="n">
        <v>5230.5</v>
      </c>
      <c r="H25" s="18" t="n">
        <v>5443.8</v>
      </c>
      <c r="I25" s="18" t="n">
        <v>5603.1</v>
      </c>
      <c r="J25" s="18" t="n">
        <v>5799.5</v>
      </c>
      <c r="K25" s="18" t="n">
        <v>5829.2</v>
      </c>
      <c r="L25" s="18" t="n">
        <v>6025.2</v>
      </c>
      <c r="M25" s="18" t="n">
        <v>6205.7</v>
      </c>
      <c r="N25" s="18" t="n">
        <v>6226.7</v>
      </c>
      <c r="O25" s="18" t="n">
        <v>6251.4</v>
      </c>
      <c r="P25" s="18" t="n">
        <v>6417.6</v>
      </c>
      <c r="Q25" s="18" t="n">
        <v>6525.6</v>
      </c>
      <c r="R25" s="18" t="n">
        <v>6679.5</v>
      </c>
      <c r="S25" s="18" t="n">
        <v>6771.3</v>
      </c>
      <c r="T25" s="18" t="n">
        <v>5769.1</v>
      </c>
      <c r="U25" s="18" t="n">
        <v>5819.5</v>
      </c>
      <c r="V25" s="18" t="n">
        <v>5845.2</v>
      </c>
      <c r="W25" s="18" t="n">
        <v>5986.8</v>
      </c>
      <c r="X25" s="18" t="n">
        <v>5996.6</v>
      </c>
      <c r="Y25" s="18" t="n">
        <v>6292.5</v>
      </c>
      <c r="Z25" s="18" t="n">
        <v>6602</v>
      </c>
      <c r="AA25" s="18" t="n">
        <v>6992.477082</v>
      </c>
      <c r="AB25" s="18" t="n">
        <v>7621.404899</v>
      </c>
      <c r="AC25" s="18" t="n">
        <v>8133.361363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58.9</v>
      </c>
      <c r="C27" s="18" t="n">
        <v>70.7</v>
      </c>
      <c r="D27" s="18" t="n">
        <v>72.7</v>
      </c>
      <c r="E27" s="18" t="n">
        <v>64.40000000000001</v>
      </c>
      <c r="F27" s="18" t="n">
        <v>52.3</v>
      </c>
      <c r="G27" s="18" t="n">
        <v>56.8</v>
      </c>
      <c r="H27" s="18" t="n">
        <v>67.5</v>
      </c>
      <c r="I27" s="18" t="n">
        <v>71.2</v>
      </c>
      <c r="J27" s="18" t="n">
        <v>77.2</v>
      </c>
      <c r="K27" s="18" t="n">
        <v>73</v>
      </c>
      <c r="L27" s="18" t="n">
        <v>78.2</v>
      </c>
      <c r="M27" s="18" t="n">
        <v>74.59999999999999</v>
      </c>
      <c r="N27" s="18" t="n">
        <v>69.59999999999999</v>
      </c>
      <c r="O27" s="18" t="n">
        <v>0.6</v>
      </c>
      <c r="P27" s="18" t="n">
        <v>73.5</v>
      </c>
      <c r="Q27" s="18" t="n">
        <v>61</v>
      </c>
      <c r="R27" s="18" t="n">
        <v>75.09999999999999</v>
      </c>
      <c r="S27" s="18" t="n">
        <v>68.09999999999999</v>
      </c>
      <c r="T27" s="18" t="n">
        <v>68.90000000000001</v>
      </c>
      <c r="U27" s="18" t="n">
        <v>58.2</v>
      </c>
      <c r="V27" s="18" t="n">
        <v>52.9</v>
      </c>
      <c r="W27" s="18" t="n">
        <v>54.2</v>
      </c>
      <c r="X27" s="18" t="n">
        <v>60</v>
      </c>
      <c r="Y27" s="18" t="n">
        <v>68.40000000000001</v>
      </c>
      <c r="Z27" s="18" t="n">
        <v>64</v>
      </c>
      <c r="AA27" s="18" t="n">
        <v>87</v>
      </c>
      <c r="AB27" s="18" t="n">
        <v>87.3</v>
      </c>
      <c r="AC27" s="18" t="n">
        <v>76.82095</v>
      </c>
    </row>
    <row r="28">
      <c r="A28" s="4" t="inlineStr">
        <is>
          <t>Stock-based Compensation</t>
        </is>
      </c>
      <c r="B28" s="18" t="n">
        <v>1.2</v>
      </c>
      <c r="C28" s="18" t="n">
        <v>1.3</v>
      </c>
      <c r="D28" s="18" t="n">
        <v>1</v>
      </c>
      <c r="E28" s="18" t="n">
        <v>1.2</v>
      </c>
      <c r="F28" s="18" t="n">
        <v>1.3</v>
      </c>
      <c r="G28" s="18" t="n">
        <v>1.3</v>
      </c>
      <c r="H28" s="18" t="n">
        <v>1.8</v>
      </c>
      <c r="I28" s="18" t="n">
        <v>1.4</v>
      </c>
      <c r="J28" s="18" t="n">
        <v>1.6</v>
      </c>
      <c r="K28" s="18" t="n">
        <v>1.5</v>
      </c>
      <c r="L28" s="18" t="n">
        <v>3.5</v>
      </c>
      <c r="M28" s="18" t="n">
        <v>1.6</v>
      </c>
      <c r="N28" s="18" t="n">
        <v>1.4</v>
      </c>
      <c r="O28" s="18" t="n">
        <v>1.6</v>
      </c>
      <c r="P28" s="18" t="n">
        <v>3.6</v>
      </c>
      <c r="Q28" s="18" t="n">
        <v>1.5</v>
      </c>
      <c r="R28" s="18" t="n">
        <v>1.7</v>
      </c>
      <c r="S28" s="18" t="n">
        <v>1.5</v>
      </c>
      <c r="T28" s="18" t="n">
        <v>0.8</v>
      </c>
      <c r="U28" s="18" t="n">
        <v>1.4</v>
      </c>
      <c r="V28" s="18" t="n">
        <v>1.5</v>
      </c>
      <c r="W28" s="18" t="n">
        <v>1.3</v>
      </c>
      <c r="X28" s="18" t="n">
        <v>1.2</v>
      </c>
      <c r="Y28" s="18" t="n">
        <v>2.1</v>
      </c>
      <c r="Z28" s="18" t="n">
        <v>1</v>
      </c>
      <c r="AA28" s="18" t="n">
        <v>1.7</v>
      </c>
      <c r="AB28" s="18" t="n">
        <v>1.5</v>
      </c>
      <c r="AC28" s="18" t="n">
        <v>0</v>
      </c>
    </row>
    <row r="29">
      <c r="A29" s="4" t="inlineStr">
        <is>
          <t>Change in Working Capital</t>
        </is>
      </c>
      <c r="B29" s="18" t="n">
        <v>-3.5</v>
      </c>
      <c r="C29" s="18" t="n">
        <v>-17.6</v>
      </c>
      <c r="D29" s="18" t="n">
        <v>-1.7</v>
      </c>
      <c r="E29" s="18" t="n">
        <v>13.3</v>
      </c>
      <c r="F29" s="18" t="n">
        <v>-1.8</v>
      </c>
      <c r="G29" s="18" t="n">
        <v>-19</v>
      </c>
      <c r="H29" s="18" t="n">
        <v>8.5</v>
      </c>
      <c r="I29" s="18" t="n">
        <v>-7.8</v>
      </c>
      <c r="J29" s="18" t="n">
        <v>-28.8</v>
      </c>
      <c r="K29" s="18" t="n">
        <v>-22.6</v>
      </c>
      <c r="L29" s="18" t="n">
        <v>23.8</v>
      </c>
      <c r="M29" s="18" t="n">
        <v>-9.9</v>
      </c>
      <c r="N29" s="18" t="n">
        <v>-11.9</v>
      </c>
      <c r="O29" s="18" t="n">
        <v>-4.8</v>
      </c>
      <c r="P29" s="18" t="n">
        <v>15.7</v>
      </c>
      <c r="Q29" s="18" t="n">
        <v>-14.5</v>
      </c>
      <c r="R29" s="18" t="n">
        <v>6.6</v>
      </c>
      <c r="S29" s="18" t="n">
        <v>-11.7</v>
      </c>
      <c r="T29" s="18" t="n">
        <v>25.7</v>
      </c>
      <c r="U29" s="18" t="n">
        <v>-7.1</v>
      </c>
      <c r="V29" s="18" t="n">
        <v>15.4</v>
      </c>
      <c r="W29" s="18" t="n">
        <v>6.6</v>
      </c>
      <c r="X29" s="18" t="n">
        <v>6.5</v>
      </c>
      <c r="Y29" s="18" t="n">
        <v>1.9</v>
      </c>
      <c r="Z29" s="18" t="n">
        <v>1.6</v>
      </c>
      <c r="AA29" s="18" t="n">
        <v>-44.7</v>
      </c>
      <c r="AB29" s="18" t="n">
        <v>10.2</v>
      </c>
      <c r="AC29" s="18" t="n">
        <v>9.368408000000001</v>
      </c>
    </row>
    <row r="30">
      <c r="A30" s="4" t="inlineStr">
        <is>
          <t>Operating Cash Flow</t>
        </is>
      </c>
      <c r="B30" s="18" t="n">
        <v>119.1</v>
      </c>
      <c r="C30" s="18" t="n">
        <v>170.4</v>
      </c>
      <c r="D30" s="18" t="n">
        <v>184.6</v>
      </c>
      <c r="E30" s="18" t="n">
        <v>195.2</v>
      </c>
      <c r="F30" s="18" t="n">
        <v>150.2</v>
      </c>
      <c r="G30" s="18" t="n">
        <v>212.2</v>
      </c>
      <c r="H30" s="18" t="n">
        <v>246.3</v>
      </c>
      <c r="I30" s="18" t="n">
        <v>224.3</v>
      </c>
      <c r="J30" s="18" t="n">
        <v>245.2</v>
      </c>
      <c r="K30" s="18" t="n">
        <v>206.9</v>
      </c>
      <c r="L30" s="18" t="n">
        <v>279</v>
      </c>
      <c r="M30" s="18" t="n">
        <v>230.6</v>
      </c>
      <c r="N30" s="18" t="n">
        <v>257.3</v>
      </c>
      <c r="O30" s="18" t="n">
        <v>232.3</v>
      </c>
      <c r="P30" s="18" t="n">
        <v>279.3</v>
      </c>
      <c r="Q30" s="18" t="n">
        <v>209.8</v>
      </c>
      <c r="R30" s="18" t="n">
        <v>261.9</v>
      </c>
      <c r="S30" s="18" t="n">
        <v>236</v>
      </c>
      <c r="T30" s="18" t="n">
        <v>283.5</v>
      </c>
      <c r="U30" s="18" t="n">
        <v>178.6</v>
      </c>
      <c r="V30" s="18" t="n">
        <v>194.3</v>
      </c>
      <c r="W30" s="18" t="n">
        <v>213.6</v>
      </c>
      <c r="X30" s="18" t="n">
        <v>243</v>
      </c>
      <c r="Y30" s="18" t="n">
        <v>288.9</v>
      </c>
      <c r="Z30" s="18" t="n">
        <v>430.3</v>
      </c>
      <c r="AA30" s="18" t="n">
        <v>348</v>
      </c>
      <c r="AB30" s="18" t="n">
        <v>426.5</v>
      </c>
      <c r="AC30" s="18" t="n">
        <v>513.191559</v>
      </c>
    </row>
    <row r="31">
      <c r="A31" s="4" t="inlineStr">
        <is>
          <t>Capex</t>
        </is>
      </c>
      <c r="B31" s="18" t="n">
        <v>-38.5</v>
      </c>
      <c r="C31" s="18" t="n">
        <v>-341.1</v>
      </c>
      <c r="D31" s="18" t="n">
        <v>-8</v>
      </c>
      <c r="E31" s="18" t="n">
        <v>-34.5</v>
      </c>
      <c r="F31" s="18" t="n">
        <v>-4</v>
      </c>
      <c r="G31" s="18" t="n">
        <v>-136</v>
      </c>
      <c r="H31" s="18" t="n">
        <v>-138.1</v>
      </c>
      <c r="I31" s="18" t="n">
        <v>-190.6</v>
      </c>
      <c r="J31" s="18" t="n">
        <v>-543.6</v>
      </c>
      <c r="K31" s="18" t="n">
        <v>-7.1</v>
      </c>
      <c r="L31" s="18" t="n">
        <v>-19.2</v>
      </c>
      <c r="M31" s="18" t="n">
        <v>-3.1</v>
      </c>
      <c r="N31" s="18" t="n">
        <v>-10.3</v>
      </c>
      <c r="O31" s="18" t="n">
        <v>-3.1</v>
      </c>
      <c r="P31" s="18" t="n">
        <v>-125</v>
      </c>
      <c r="Q31" s="18" t="n">
        <v>-109.6</v>
      </c>
      <c r="R31" s="18" t="n">
        <v>-162</v>
      </c>
      <c r="S31" s="18" t="n">
        <v>-165.4</v>
      </c>
      <c r="T31" s="18" t="n">
        <v>-84.59999999999999</v>
      </c>
      <c r="U31" s="18" t="n">
        <v>-147.3</v>
      </c>
      <c r="V31" s="18" t="n">
        <v>-16.6</v>
      </c>
      <c r="W31" s="18" t="n">
        <v>-239.3</v>
      </c>
      <c r="X31" s="18" t="n">
        <v>-4.8</v>
      </c>
      <c r="Y31" s="18" t="n">
        <v>-508.4</v>
      </c>
      <c r="Z31" s="18" t="n">
        <v>-1360.9</v>
      </c>
      <c r="AA31" s="18" t="n">
        <v>-292.4</v>
      </c>
      <c r="AB31" s="18" t="n">
        <v>2156.6</v>
      </c>
      <c r="AC31" s="18" t="n">
        <v>-443.668106</v>
      </c>
    </row>
    <row r="32">
      <c r="A32" s="4" t="inlineStr">
        <is>
          <t>Free Cash Flow</t>
        </is>
      </c>
      <c r="B32" s="18" t="n">
        <v>80.59999999999999</v>
      </c>
      <c r="C32" s="18" t="n">
        <v>-170.7</v>
      </c>
      <c r="D32" s="18" t="n">
        <v>176.6</v>
      </c>
      <c r="E32" s="18" t="n">
        <v>160.7</v>
      </c>
      <c r="F32" s="18" t="n">
        <v>146.2</v>
      </c>
      <c r="G32" s="18" t="n">
        <v>76.2</v>
      </c>
      <c r="H32" s="18" t="n">
        <v>108.2</v>
      </c>
      <c r="I32" s="18" t="n">
        <v>33.7</v>
      </c>
      <c r="J32" s="18" t="n">
        <v>-298.4</v>
      </c>
      <c r="K32" s="18" t="n">
        <v>199.8</v>
      </c>
      <c r="L32" s="18" t="n">
        <v>259.8</v>
      </c>
      <c r="M32" s="18" t="n">
        <v>227.5</v>
      </c>
      <c r="N32" s="18" t="n">
        <v>247</v>
      </c>
      <c r="O32" s="18" t="n">
        <v>229.2</v>
      </c>
      <c r="P32" s="18" t="n">
        <v>154.3</v>
      </c>
      <c r="Q32" s="18" t="n">
        <v>100.2</v>
      </c>
      <c r="R32" s="18" t="n">
        <v>99.90000000000001</v>
      </c>
      <c r="S32" s="18" t="n">
        <v>70.59999999999999</v>
      </c>
      <c r="T32" s="18" t="n">
        <v>198.9</v>
      </c>
      <c r="U32" s="18" t="n">
        <v>31.3</v>
      </c>
      <c r="V32" s="18" t="n">
        <v>177.7</v>
      </c>
      <c r="W32" s="18" t="n">
        <v>-25.7</v>
      </c>
      <c r="X32" s="18" t="n">
        <v>238.2</v>
      </c>
      <c r="Y32" s="18" t="n">
        <v>-219.5</v>
      </c>
      <c r="Z32" s="18" t="n">
        <v>-930.6</v>
      </c>
      <c r="AA32" s="18" t="n">
        <v>55.6</v>
      </c>
      <c r="AB32" s="18" t="n">
        <v>2583.1</v>
      </c>
      <c r="AC32" s="18" t="n">
        <v>69.523453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2743.412005</v>
      </c>
      <c r="C4" s="18" t="n">
        <v>3162.413811</v>
      </c>
      <c r="D4" s="18" t="n">
        <v>2925.64969</v>
      </c>
      <c r="E4" s="18" t="n">
        <v>2839.1617</v>
      </c>
      <c r="F4" s="18" t="n">
        <v>2599.5419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1886.318672</v>
      </c>
      <c r="C8" s="18" t="n">
        <v>2174.416461</v>
      </c>
      <c r="D8" s="18" t="n">
        <v>2011.621889</v>
      </c>
      <c r="E8" s="18" t="n">
        <v>1952.154368</v>
      </c>
      <c r="F8" s="18" t="n">
        <v>1787.396285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1314.357156</v>
      </c>
      <c r="C12" s="18" t="n">
        <v>1515.09916</v>
      </c>
      <c r="D12" s="18" t="n">
        <v>1401.666465</v>
      </c>
      <c r="E12" s="18" t="n">
        <v>1360.230433</v>
      </c>
      <c r="F12" s="18" t="n">
        <v>1245.429594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71.906802</v>
      </c>
      <c r="C16" s="18" t="n">
        <v>82.889141</v>
      </c>
      <c r="D16" s="18" t="n">
        <v>76.68338300000001</v>
      </c>
      <c r="E16" s="18" t="n">
        <v>74.41647</v>
      </c>
      <c r="F16" s="18" t="n">
        <v>68.135863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1782.30241</v>
      </c>
      <c r="C20" s="18" t="n">
        <v>2054.34438</v>
      </c>
      <c r="D20" s="18" t="n">
        <v>1878.9621245</v>
      </c>
      <c r="E20" s="18" t="n">
        <v>1708.231428</v>
      </c>
      <c r="F20" s="18" t="n">
        <v>1606.261808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9.00116</v>
      </c>
      <c r="C24" s="38" t="n">
        <v>10.26545</v>
      </c>
      <c r="D24" s="38" t="n">
        <v>9.83433</v>
      </c>
      <c r="E24" s="38" t="n">
        <v>8.85094</v>
      </c>
      <c r="F24" s="38" t="n">
        <v>8.3226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Franco-Nevada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0.1675629704839177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0.596790566025432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1.02097088827971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2026-06-04T06:26:02Z</dcterms:created>
  <dcterms:modified xmlns:dcterms="http://purl.org/dc/terms/" xmlns:xsi="http://www.w3.org/2001/XMLSchema-instance" xsi:type="dcterms:W3CDTF">2026-06-04T06:26:02Z</dcterms:modified>
</cp:coreProperties>
</file>