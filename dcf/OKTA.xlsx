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Okta, Inc. (OKTA)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Okta, Inc. (OKTA)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Subscription and Circulation</t>
        </is>
      </c>
      <c r="B20" s="15" t="n">
        <v>0.08453949291817328</v>
      </c>
      <c r="C20" s="15" t="n">
        <v>0.05</v>
      </c>
      <c r="D20" s="16" t="n">
        <v>0.08453949291817328</v>
      </c>
      <c r="E20" s="2" t="inlineStr"/>
    </row>
    <row r="21">
      <c r="A21" s="4" t="inlineStr">
        <is>
          <t>Technology Service</t>
        </is>
      </c>
      <c r="B21" s="15" t="n">
        <v>0.1375882380639449</v>
      </c>
      <c r="C21" s="15" t="n">
        <v>0.05</v>
      </c>
      <c r="D21" s="16" t="n">
        <v>0.1375882380639449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0.2810658103359837</v>
      </c>
      <c r="D29" s="16" t="n">
        <v>0.2810658103359837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0.286137319873185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15.4</v>
      </c>
      <c r="D34" s="18" t="n">
        <v>15.4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0.592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141.4199981689453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80.5329613705055</v>
      </c>
      <c r="C58" s="28" t="n">
        <v>108.8251393535351</v>
      </c>
      <c r="D58" s="28" t="n">
        <v>59.91212314800111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0.1404590613223707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0.08427543679342239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OKTA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Subscription and Circulation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Subscription and Circulation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Technology Service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Technology Service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builder default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FY2022A</t>
        </is>
      </c>
      <c r="C1" s="39" t="inlineStr">
        <is>
          <t>FY2023A</t>
        </is>
      </c>
      <c r="D1" s="39" t="inlineStr">
        <is>
          <t>FY2024A</t>
        </is>
      </c>
      <c r="E1" s="39" t="inlineStr">
        <is>
          <t>FY2025A</t>
        </is>
      </c>
      <c r="F1" s="39" t="inlineStr">
        <is>
          <t>FY2026A</t>
        </is>
      </c>
      <c r="G1" s="40" t="inlineStr">
        <is>
          <t>FY2027E</t>
        </is>
      </c>
      <c r="H1" s="40" t="inlineStr">
        <is>
          <t>FY2028E</t>
        </is>
      </c>
      <c r="I1" s="40" t="inlineStr">
        <is>
          <t>FY2029E</t>
        </is>
      </c>
      <c r="J1" s="40" t="inlineStr">
        <is>
          <t>FY2030E</t>
        </is>
      </c>
      <c r="K1" s="40" t="inlineStr">
        <is>
          <t>FY2031E</t>
        </is>
      </c>
      <c r="L1" s="40" t="inlineStr">
        <is>
          <t>FY2032E</t>
        </is>
      </c>
      <c r="M1" s="40" t="inlineStr">
        <is>
          <t>FY2033E</t>
        </is>
      </c>
      <c r="N1" s="40" t="inlineStr">
        <is>
          <t>FY2034E</t>
        </is>
      </c>
      <c r="O1" s="40" t="inlineStr">
        <is>
          <t>FY2035E</t>
        </is>
      </c>
      <c r="P1" s="40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Subscription and Circulation</t>
        </is>
      </c>
      <c r="B4" s="33">
        <f>SUM(Financials!J19:M19)</f>
        <v/>
      </c>
      <c r="C4" s="33">
        <f>SUM(Financials!N19:Q19)</f>
        <v/>
      </c>
      <c r="D4" s="33">
        <f>SUM(Financials!R19:U19)</f>
        <v/>
      </c>
      <c r="E4" s="33">
        <f>SUM(Financials!V19:Y19)</f>
        <v/>
      </c>
      <c r="F4" s="33">
        <f>SUM(Financials!Z19:AC19)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Technology Service</t>
        </is>
      </c>
      <c r="B6" s="33">
        <f>SUM(Financials!J22:M22)</f>
        <v/>
      </c>
      <c r="C6" s="33">
        <f>SUM(Financials!N22:Q22)</f>
        <v/>
      </c>
      <c r="D6" s="33">
        <f>SUM(Financials!R22:U22)</f>
        <v/>
      </c>
      <c r="E6" s="33">
        <f>SUM(Financials!V22:Y22)</f>
        <v/>
      </c>
      <c r="F6" s="33">
        <f>SUM(Financials!Z22:AC22)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SUM(Financials!J5:M5)</f>
        <v/>
      </c>
      <c r="C12" s="33">
        <f>SUM(Financials!N5:Q5)</f>
        <v/>
      </c>
      <c r="D12" s="33">
        <f>SUM(Financials!R5:U5)</f>
        <v/>
      </c>
      <c r="E12" s="33">
        <f>SUM(Financials!V5:Y5)</f>
        <v/>
      </c>
      <c r="F12" s="33">
        <f>SUM(Financials!Z5:AC5)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0.2264474134977732</v>
      </c>
      <c r="H13" s="15" t="n">
        <v>0.2264474134977732</v>
      </c>
      <c r="I13" s="15" t="n">
        <v>0.2264474134977732</v>
      </c>
      <c r="J13" s="15" t="n">
        <v>0.2264474134977732</v>
      </c>
      <c r="K13" s="15" t="n">
        <v>0.2264474134977732</v>
      </c>
      <c r="L13" s="15" t="n">
        <v>0.2264474134977732</v>
      </c>
      <c r="M13" s="15" t="n">
        <v>0.2264474134977732</v>
      </c>
      <c r="N13" s="15" t="n">
        <v>0.2264474134977732</v>
      </c>
      <c r="O13" s="15" t="n">
        <v>0.2264474134977732</v>
      </c>
      <c r="P13" s="15" t="n">
        <v>0.2264474134977732</v>
      </c>
    </row>
    <row r="14">
      <c r="A14" s="4" t="inlineStr">
        <is>
          <t>R&amp;D / Technology</t>
        </is>
      </c>
      <c r="B14" s="33">
        <f>SUM(Financials!J7:M7)</f>
        <v/>
      </c>
      <c r="C14" s="33">
        <f>SUM(Financials!N7:Q7)</f>
        <v/>
      </c>
      <c r="D14" s="33">
        <f>SUM(Financials!R7:U7)</f>
        <v/>
      </c>
      <c r="E14" s="33">
        <f>SUM(Financials!V7:Y7)</f>
        <v/>
      </c>
      <c r="F14" s="33">
        <f>SUM(Financials!Z7:AC7)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0.2189105858170606</v>
      </c>
      <c r="H15" s="15" t="n">
        <v>0.2189105858170606</v>
      </c>
      <c r="I15" s="15" t="n">
        <v>0.2189105858170606</v>
      </c>
      <c r="J15" s="15" t="n">
        <v>0.2189105858170606</v>
      </c>
      <c r="K15" s="15" t="n">
        <v>0.2189105858170606</v>
      </c>
      <c r="L15" s="15" t="n">
        <v>0.2189105858170606</v>
      </c>
      <c r="M15" s="15" t="n">
        <v>0.2189105858170606</v>
      </c>
      <c r="N15" s="15" t="n">
        <v>0.2189105858170606</v>
      </c>
      <c r="O15" s="15" t="n">
        <v>0.2189105858170606</v>
      </c>
      <c r="P15" s="15" t="n">
        <v>0.2189105858170606</v>
      </c>
    </row>
    <row r="16">
      <c r="A16" s="4" t="inlineStr">
        <is>
          <t>SG&amp;A</t>
        </is>
      </c>
      <c r="B16" s="33">
        <f>SUM(Financials!J9:M9)</f>
        <v/>
      </c>
      <c r="C16" s="33">
        <f>SUM(Financials!N9:Q9)</f>
        <v/>
      </c>
      <c r="D16" s="33">
        <f>SUM(Financials!R9:U9)</f>
        <v/>
      </c>
      <c r="E16" s="33">
        <f>SUM(Financials!V9:Y9)</f>
        <v/>
      </c>
      <c r="F16" s="33">
        <f>SUM(Financials!Z9:AC9)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0.5022267899965742</v>
      </c>
      <c r="H17" s="15" t="n">
        <v>0.5022267899965742</v>
      </c>
      <c r="I17" s="15" t="n">
        <v>0.5022267899965742</v>
      </c>
      <c r="J17" s="15" t="n">
        <v>0.5022267899965742</v>
      </c>
      <c r="K17" s="15" t="n">
        <v>0.5022267899965742</v>
      </c>
      <c r="L17" s="15" t="n">
        <v>0.5022267899965742</v>
      </c>
      <c r="M17" s="15" t="n">
        <v>0.5022267899965742</v>
      </c>
      <c r="N17" s="15" t="n">
        <v>0.5022267899965742</v>
      </c>
      <c r="O17" s="15" t="n">
        <v>0.5022267899965742</v>
      </c>
      <c r="P17" s="15" t="n">
        <v>0.5022267899965742</v>
      </c>
    </row>
    <row r="18">
      <c r="A18" s="4" t="inlineStr">
        <is>
          <t>Other opex (fulfilment, etc.)</t>
        </is>
      </c>
      <c r="B18" s="33">
        <f>B8-(B12+B14+B16)-SUM(Financials!J13:M13)</f>
        <v/>
      </c>
      <c r="C18" s="33">
        <f>C8-(C12+C14+C16)-SUM(Financials!N13:Q13)</f>
        <v/>
      </c>
      <c r="D18" s="33">
        <f>D8-(D12+D14+D16)-SUM(Financials!R13:U13)</f>
        <v/>
      </c>
      <c r="E18" s="33">
        <f>E8-(E12+E14+E16)-SUM(Financials!V13:Y13)</f>
        <v/>
      </c>
      <c r="F18" s="33">
        <f>F8-(F12+F14+F16)-SUM(Financials!Z13:AC13)</f>
        <v/>
      </c>
      <c r="G18" s="33">
        <f>G8*(1-(Dashboard!$B$29+(Dashboard!$B$30-Dashboard!$B$29)*MIN(1,0/4)))-(G12+G14+G16)</f>
        <v/>
      </c>
      <c r="H18" s="33">
        <f>H8*(1-(Dashboard!$B$29+(Dashboard!$B$30-Dashboard!$B$29)*MIN(1,1/4)))-(H12+H14+H16)</f>
        <v/>
      </c>
      <c r="I18" s="33">
        <f>I8*(1-(Dashboard!$B$29+(Dashboard!$B$30-Dashboard!$B$29)*MIN(1,2/4)))-(I12+I14+I16)</f>
        <v/>
      </c>
      <c r="J18" s="33">
        <f>J8*(1-(Dashboard!$B$29+(Dashboard!$B$30-Dashboard!$B$29)*MIN(1,3/4)))-(J12+J14+J16)</f>
        <v/>
      </c>
      <c r="K18" s="33">
        <f>K8*(1-(Dashboard!$B$29+(Dashboard!$B$30-Dashboard!$B$29)*MIN(1,4/4)))-(K12+K14+K16)</f>
        <v/>
      </c>
      <c r="L18" s="33">
        <f>L8*(1-(Dashboard!$B$29+(Dashboard!$B$30-Dashboard!$B$29)*MIN(1,5/4)))-(L12+L14+L16)</f>
        <v/>
      </c>
      <c r="M18" s="33">
        <f>M8*(1-(Dashboard!$B$29+(Dashboard!$B$30-Dashboard!$B$29)*MIN(1,6/4)))-(M12+M14+M16)</f>
        <v/>
      </c>
      <c r="N18" s="33">
        <f>N8*(1-(Dashboard!$B$29+(Dashboard!$B$30-Dashboard!$B$29)*MIN(1,7/4)))-(N12+N14+N16)</f>
        <v/>
      </c>
      <c r="O18" s="33">
        <f>O8*(1-(Dashboard!$B$29+(Dashboard!$B$30-Dashboard!$B$29)*MIN(1,8/4)))-(O12+O14+O16)</f>
        <v/>
      </c>
      <c r="P18" s="33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SUM(Financials!J34:M34)</f>
        <v/>
      </c>
      <c r="C26" s="33">
        <f>SUM(Financials!N34:Q34)</f>
        <v/>
      </c>
      <c r="D26" s="33">
        <f>SUM(Financials!R34:U34)</f>
        <v/>
      </c>
      <c r="E26" s="33">
        <f>SUM(Financials!V34:Y34)</f>
        <v/>
      </c>
      <c r="F26" s="33">
        <f>SUM(Financials!Z34:AC34)</f>
        <v/>
      </c>
      <c r="G26" s="41">
        <f>G8*0.0247</f>
        <v/>
      </c>
      <c r="H26" s="41">
        <f>H8*0.0247</f>
        <v/>
      </c>
      <c r="I26" s="41">
        <f>I8*0.0247</f>
        <v/>
      </c>
      <c r="J26" s="41">
        <f>J8*0.0247</f>
        <v/>
      </c>
      <c r="K26" s="41">
        <f>K8*0.0247</f>
        <v/>
      </c>
      <c r="L26" s="41">
        <f>L8*0.0247</f>
        <v/>
      </c>
      <c r="M26" s="41">
        <f>M8*0.0247</f>
        <v/>
      </c>
      <c r="N26" s="41">
        <f>N8*0.0247</f>
        <v/>
      </c>
      <c r="O26" s="41">
        <f>O8*0.0247</f>
        <v/>
      </c>
      <c r="P26" s="41">
        <f>P8*0.0247</f>
        <v/>
      </c>
    </row>
    <row r="27">
      <c r="A27" s="4" t="inlineStr">
        <is>
          <t>+ SBC (non-cash)</t>
        </is>
      </c>
      <c r="B27" s="33">
        <f>SUM(Financials!J35:M35)</f>
        <v/>
      </c>
      <c r="C27" s="33">
        <f>SUM(Financials!N35:Q35)</f>
        <v/>
      </c>
      <c r="D27" s="33">
        <f>SUM(Financials!R35:U35)</f>
        <v/>
      </c>
      <c r="E27" s="33">
        <f>SUM(Financials!V35:Y35)</f>
        <v/>
      </c>
      <c r="F27" s="33">
        <f>SUM(Financials!Z35:AC35)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-SUM(Financials!J38:M38)</f>
        <v/>
      </c>
      <c r="C29" s="33">
        <f>-SUM(Financials!N38:Q38)</f>
        <v/>
      </c>
      <c r="D29" s="33">
        <f>-SUM(Financials!R38:U38)</f>
        <v/>
      </c>
      <c r="E29" s="33">
        <f>-SUM(Financials!V38:Y38)</f>
        <v/>
      </c>
      <c r="F29" s="33">
        <f>-SUM(Financials!Z38:AC38)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Financials!M32+Financials!M31-Financials!M26</f>
        <v/>
      </c>
      <c r="C36" s="33">
        <f>Financials!Q32+Financials!Q31-Financials!Q26</f>
        <v/>
      </c>
      <c r="D36" s="33">
        <f>Financials!U32+Financials!U31-Financials!U26</f>
        <v/>
      </c>
      <c r="E36" s="33">
        <f>Financials!Y32+Financials!Y31-Financials!Y26</f>
        <v/>
      </c>
      <c r="F36" s="33">
        <f>Financials!AC32+Financials!AC31-Financials!AC26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Financials!M32</f>
        <v/>
      </c>
      <c r="C37" s="33">
        <f>Financials!Q32</f>
        <v/>
      </c>
      <c r="D37" s="33">
        <f>Financials!U32</f>
        <v/>
      </c>
      <c r="E37" s="33">
        <f>Financials!Y32</f>
        <v/>
      </c>
      <c r="F37" s="33">
        <f>Financials!AC32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IFERROR(SUM(Financials!N15:Q15)/B37,"")</f>
        <v/>
      </c>
      <c r="D39" s="11">
        <f>IFERROR(SUM(Financials!R15:U15)/C37,"")</f>
        <v/>
      </c>
      <c r="E39" s="11">
        <f>IFERROR(SUM(Financials!V15:Y15)/D37,"")</f>
        <v/>
      </c>
      <c r="F39" s="11">
        <f>IFERROR(SUM(Financials!Z15:AC15)/E37,"")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Q1 2020</t>
        </is>
      </c>
      <c r="C1" s="45" t="inlineStr">
        <is>
          <t>Q2 2020</t>
        </is>
      </c>
      <c r="D1" s="45" t="inlineStr">
        <is>
          <t>Q3 2020</t>
        </is>
      </c>
      <c r="E1" s="45" t="inlineStr">
        <is>
          <t>Q4 2020</t>
        </is>
      </c>
      <c r="F1" s="45" t="inlineStr">
        <is>
          <t>Q1 2021</t>
        </is>
      </c>
      <c r="G1" s="45" t="inlineStr">
        <is>
          <t>Q2 2021</t>
        </is>
      </c>
      <c r="H1" s="45" t="inlineStr">
        <is>
          <t>Q3 2021</t>
        </is>
      </c>
      <c r="I1" s="45" t="inlineStr">
        <is>
          <t>Q4 2021</t>
        </is>
      </c>
      <c r="J1" s="45" t="inlineStr">
        <is>
          <t>Q1 2022</t>
        </is>
      </c>
      <c r="K1" s="45" t="inlineStr">
        <is>
          <t>Q2 2022</t>
        </is>
      </c>
      <c r="L1" s="45" t="inlineStr">
        <is>
          <t>Q3 2022</t>
        </is>
      </c>
      <c r="M1" s="45" t="inlineStr">
        <is>
          <t>Q4 2022</t>
        </is>
      </c>
      <c r="N1" s="45" t="inlineStr">
        <is>
          <t>Q1 2023</t>
        </is>
      </c>
      <c r="O1" s="45" t="inlineStr">
        <is>
          <t>Q2 2023</t>
        </is>
      </c>
      <c r="P1" s="45" t="inlineStr">
        <is>
          <t>Q3 2023</t>
        </is>
      </c>
      <c r="Q1" s="45" t="inlineStr">
        <is>
          <t>Q4 2023</t>
        </is>
      </c>
      <c r="R1" s="45" t="inlineStr">
        <is>
          <t>Q1 2024</t>
        </is>
      </c>
      <c r="S1" s="45" t="inlineStr">
        <is>
          <t>Q2 2024</t>
        </is>
      </c>
      <c r="T1" s="45" t="inlineStr">
        <is>
          <t>Q3 2024</t>
        </is>
      </c>
      <c r="U1" s="45" t="inlineStr">
        <is>
          <t>Q4 2024</t>
        </is>
      </c>
      <c r="V1" s="45" t="inlineStr">
        <is>
          <t>Q1 2025</t>
        </is>
      </c>
      <c r="W1" s="45" t="inlineStr">
        <is>
          <t>Q2 2025</t>
        </is>
      </c>
      <c r="X1" s="45" t="inlineStr">
        <is>
          <t>Q3 2025</t>
        </is>
      </c>
      <c r="Y1" s="45" t="inlineStr">
        <is>
          <t>Q4 2025</t>
        </is>
      </c>
      <c r="Z1" s="45" t="inlineStr">
        <is>
          <t>Q1 2026</t>
        </is>
      </c>
      <c r="AA1" s="45" t="inlineStr">
        <is>
          <t>Q2 2026</t>
        </is>
      </c>
      <c r="AB1" s="45" t="inlineStr">
        <is>
          <t>Q3 2026</t>
        </is>
      </c>
      <c r="AC1" s="45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125.223</v>
      </c>
      <c r="C3" s="18" t="n">
        <v>140.48</v>
      </c>
      <c r="D3" s="18" t="n">
        <v>153.037</v>
      </c>
      <c r="E3" s="18" t="n">
        <v>167.327</v>
      </c>
      <c r="F3" s="18" t="n">
        <v>182.859</v>
      </c>
      <c r="G3" s="18" t="n">
        <v>200.446</v>
      </c>
      <c r="H3" s="18" t="n">
        <v>217.379</v>
      </c>
      <c r="I3" s="18" t="n">
        <v>234.74</v>
      </c>
      <c r="J3" s="18" t="n">
        <v>251.006</v>
      </c>
      <c r="K3" s="18" t="n">
        <v>315.5</v>
      </c>
      <c r="L3" s="18" t="n">
        <v>350.68</v>
      </c>
      <c r="M3" s="18" t="n">
        <v>383.015</v>
      </c>
      <c r="N3" s="18" t="n">
        <v>415</v>
      </c>
      <c r="O3" s="18" t="n">
        <v>452</v>
      </c>
      <c r="P3" s="18" t="n">
        <v>481.042</v>
      </c>
      <c r="Q3" s="18" t="n">
        <v>510</v>
      </c>
      <c r="R3" s="18" t="n">
        <v>518</v>
      </c>
      <c r="S3" s="18" t="n">
        <v>556</v>
      </c>
      <c r="T3" s="18" t="n">
        <v>584</v>
      </c>
      <c r="U3" s="18" t="n">
        <v>605</v>
      </c>
      <c r="V3" s="18" t="n">
        <v>617</v>
      </c>
      <c r="W3" s="18" t="n">
        <v>646</v>
      </c>
      <c r="X3" s="18" t="n">
        <v>665</v>
      </c>
      <c r="Y3" s="18" t="n">
        <v>682</v>
      </c>
      <c r="Z3" s="18" t="n">
        <v>688</v>
      </c>
      <c r="AA3" s="18" t="n">
        <v>728</v>
      </c>
      <c r="AB3" s="18" t="n">
        <v>742</v>
      </c>
      <c r="AC3" s="18" t="n">
        <v>761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35.095</v>
      </c>
      <c r="C5" s="18" t="n">
        <v>38.78</v>
      </c>
      <c r="D5" s="18" t="n">
        <v>40.824</v>
      </c>
      <c r="E5" s="18" t="n">
        <v>44.683</v>
      </c>
      <c r="F5" s="18" t="n">
        <v>48.486</v>
      </c>
      <c r="G5" s="18" t="n">
        <v>51.147</v>
      </c>
      <c r="H5" s="18" t="n">
        <v>56.908</v>
      </c>
      <c r="I5" s="18" t="n">
        <v>61.14</v>
      </c>
      <c r="J5" s="18" t="n">
        <v>66.123</v>
      </c>
      <c r="K5" s="18" t="n">
        <v>101.106</v>
      </c>
      <c r="L5" s="18" t="n">
        <v>109.674</v>
      </c>
      <c r="M5" s="18" t="n">
        <v>119.502</v>
      </c>
      <c r="N5" s="18" t="n">
        <v>131.165</v>
      </c>
      <c r="O5" s="18" t="n">
        <v>137.694</v>
      </c>
      <c r="P5" s="18" t="n">
        <v>137.653</v>
      </c>
      <c r="Q5" s="18" t="n">
        <v>139</v>
      </c>
      <c r="R5" s="18" t="n">
        <v>142</v>
      </c>
      <c r="S5" s="18" t="n">
        <v>149</v>
      </c>
      <c r="T5" s="18" t="n">
        <v>145</v>
      </c>
      <c r="U5" s="18" t="n">
        <v>145</v>
      </c>
      <c r="V5" s="18" t="n">
        <v>148</v>
      </c>
      <c r="W5" s="18" t="n">
        <v>155</v>
      </c>
      <c r="X5" s="18" t="n">
        <v>157</v>
      </c>
      <c r="Y5" s="18" t="n">
        <v>158</v>
      </c>
      <c r="Z5" s="18" t="n">
        <v>155</v>
      </c>
      <c r="AA5" s="18" t="n">
        <v>168</v>
      </c>
      <c r="AB5" s="18" t="n">
        <v>170</v>
      </c>
      <c r="AC5" s="18" t="n">
        <v>168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34.032</v>
      </c>
      <c r="C7" s="18" t="n">
        <v>40.045</v>
      </c>
      <c r="D7" s="18" t="n">
        <v>41.832</v>
      </c>
      <c r="E7" s="18" t="n">
        <v>43.36</v>
      </c>
      <c r="F7" s="18" t="n">
        <v>48.494</v>
      </c>
      <c r="G7" s="18" t="n">
        <v>53.866</v>
      </c>
      <c r="H7" s="18" t="n">
        <v>58.15</v>
      </c>
      <c r="I7" s="18" t="n">
        <v>62.316</v>
      </c>
      <c r="J7" s="18" t="n">
        <v>68.863</v>
      </c>
      <c r="K7" s="18" t="n">
        <v>122.407</v>
      </c>
      <c r="L7" s="18" t="n">
        <v>130.535</v>
      </c>
      <c r="M7" s="18" t="n">
        <v>147.454</v>
      </c>
      <c r="N7" s="18" t="n">
        <v>162</v>
      </c>
      <c r="O7" s="18" t="n">
        <v>156</v>
      </c>
      <c r="P7" s="18" t="n">
        <v>148</v>
      </c>
      <c r="Q7" s="18" t="n">
        <v>154</v>
      </c>
      <c r="R7" s="18" t="n">
        <v>163</v>
      </c>
      <c r="S7" s="18" t="n">
        <v>172</v>
      </c>
      <c r="T7" s="18" t="n">
        <v>165</v>
      </c>
      <c r="U7" s="18" t="n">
        <v>156</v>
      </c>
      <c r="V7" s="18" t="n">
        <v>163</v>
      </c>
      <c r="W7" s="18" t="n">
        <v>164</v>
      </c>
      <c r="X7" s="18" t="n">
        <v>158</v>
      </c>
      <c r="Y7" s="18" t="n">
        <v>157</v>
      </c>
      <c r="Z7" s="18" t="n">
        <v>154</v>
      </c>
      <c r="AA7" s="18" t="n">
        <v>160</v>
      </c>
      <c r="AB7" s="18" t="n">
        <v>160</v>
      </c>
      <c r="AC7" s="18" t="n">
        <v>165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107.878</v>
      </c>
      <c r="C9" s="18" t="n">
        <v>105.272</v>
      </c>
      <c r="D9" s="18" t="n">
        <v>116.111</v>
      </c>
      <c r="E9" s="18" t="n">
        <v>123.987</v>
      </c>
      <c r="F9" s="18" t="n">
        <v>138.078</v>
      </c>
      <c r="G9" s="18" t="n">
        <v>140.821</v>
      </c>
      <c r="H9" s="18" t="n">
        <v>154.297</v>
      </c>
      <c r="I9" s="18" t="n">
        <v>165.88</v>
      </c>
      <c r="J9" s="18" t="n">
        <v>206.701</v>
      </c>
      <c r="K9" s="18" t="n">
        <v>355.427</v>
      </c>
      <c r="L9" s="18" t="n">
        <v>309.027</v>
      </c>
      <c r="M9" s="18" t="n">
        <v>330.485</v>
      </c>
      <c r="N9" s="18" t="n">
        <v>362</v>
      </c>
      <c r="O9" s="18" t="n">
        <v>366</v>
      </c>
      <c r="P9" s="18" t="n">
        <v>401.504</v>
      </c>
      <c r="Q9" s="18" t="n">
        <v>359</v>
      </c>
      <c r="R9" s="18" t="n">
        <v>366</v>
      </c>
      <c r="S9" s="18" t="n">
        <v>380</v>
      </c>
      <c r="T9" s="18" t="n">
        <v>381</v>
      </c>
      <c r="U9" s="18" t="n">
        <v>359</v>
      </c>
      <c r="V9" s="18" t="n">
        <v>353</v>
      </c>
      <c r="W9" s="18" t="n">
        <v>346</v>
      </c>
      <c r="X9" s="18" t="n">
        <v>366</v>
      </c>
      <c r="Y9" s="18" t="n">
        <v>348</v>
      </c>
      <c r="Z9" s="18" t="n">
        <v>340</v>
      </c>
      <c r="AA9" s="18" t="n">
        <v>359</v>
      </c>
      <c r="AB9" s="18" t="n">
        <v>389</v>
      </c>
      <c r="AC9" s="18" t="n">
        <v>378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90.128</v>
      </c>
      <c r="C11" s="18" t="n">
        <v>101.7</v>
      </c>
      <c r="D11" s="18" t="n">
        <v>112.213</v>
      </c>
      <c r="E11" s="18" t="n">
        <v>122.644</v>
      </c>
      <c r="F11" s="18" t="n">
        <v>134.373</v>
      </c>
      <c r="G11" s="18" t="n">
        <v>149.299</v>
      </c>
      <c r="H11" s="18" t="n">
        <v>160.471</v>
      </c>
      <c r="I11" s="18" t="n">
        <v>173.6</v>
      </c>
      <c r="J11" s="18" t="n">
        <v>184.883</v>
      </c>
      <c r="K11" s="18" t="n">
        <v>214.394</v>
      </c>
      <c r="L11" s="18" t="n">
        <v>241.006</v>
      </c>
      <c r="M11" s="18" t="n">
        <v>263.513</v>
      </c>
      <c r="N11" s="18" t="n">
        <v>284</v>
      </c>
      <c r="O11" s="18" t="n">
        <v>314</v>
      </c>
      <c r="P11" s="18" t="n">
        <v>343.389</v>
      </c>
      <c r="Q11" s="18" t="n">
        <v>371</v>
      </c>
      <c r="R11" s="18" t="n">
        <v>376</v>
      </c>
      <c r="S11" s="18" t="n">
        <v>407</v>
      </c>
      <c r="T11" s="18" t="n">
        <v>439</v>
      </c>
      <c r="U11" s="18" t="n">
        <v>460</v>
      </c>
      <c r="V11" s="18" t="n">
        <v>469</v>
      </c>
      <c r="W11" s="18" t="n">
        <v>491</v>
      </c>
      <c r="X11" s="18" t="n">
        <v>508</v>
      </c>
      <c r="Y11" s="18" t="n">
        <v>524</v>
      </c>
      <c r="Z11" s="18" t="n">
        <v>533</v>
      </c>
      <c r="AA11" s="18" t="n">
        <v>560</v>
      </c>
      <c r="AB11" s="18" t="n">
        <v>572</v>
      </c>
      <c r="AC11" s="18" t="n">
        <v>593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-51.782</v>
      </c>
      <c r="C13" s="18" t="n">
        <v>-43.617</v>
      </c>
      <c r="D13" s="18" t="n">
        <v>-45.73</v>
      </c>
      <c r="E13" s="18" t="n">
        <v>-44.703</v>
      </c>
      <c r="F13" s="18" t="n">
        <v>-52.199</v>
      </c>
      <c r="G13" s="18" t="n">
        <v>-45.388</v>
      </c>
      <c r="H13" s="18" t="n">
        <v>-51.976</v>
      </c>
      <c r="I13" s="18" t="n">
        <v>-54.596</v>
      </c>
      <c r="J13" s="18" t="n">
        <v>-90.681</v>
      </c>
      <c r="K13" s="18" t="n">
        <v>-263.44</v>
      </c>
      <c r="L13" s="18" t="n">
        <v>-198.556</v>
      </c>
      <c r="M13" s="18" t="n">
        <v>-214.426</v>
      </c>
      <c r="N13" s="18" t="n">
        <v>-240</v>
      </c>
      <c r="O13" s="18" t="n">
        <v>-208</v>
      </c>
      <c r="P13" s="18" t="n">
        <v>-207</v>
      </c>
      <c r="Q13" s="18" t="n">
        <v>-157.65</v>
      </c>
      <c r="R13" s="18" t="n">
        <v>-160</v>
      </c>
      <c r="S13" s="18" t="n">
        <v>-162</v>
      </c>
      <c r="T13" s="18" t="n">
        <v>-111</v>
      </c>
      <c r="U13" s="18" t="n">
        <v>-83</v>
      </c>
      <c r="V13" s="18" t="n">
        <v>-47</v>
      </c>
      <c r="W13" s="18" t="n">
        <v>-19</v>
      </c>
      <c r="X13" s="18" t="n">
        <v>-16</v>
      </c>
      <c r="Y13" s="18" t="n">
        <v>8</v>
      </c>
      <c r="Z13" s="18" t="n">
        <v>39</v>
      </c>
      <c r="AA13" s="18" t="n">
        <v>41</v>
      </c>
      <c r="AB13" s="18" t="n">
        <v>23</v>
      </c>
      <c r="AC13" s="18" t="n">
        <v>50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-51.966</v>
      </c>
      <c r="C15" s="18" t="n">
        <v>-42.98</v>
      </c>
      <c r="D15" s="18" t="n">
        <v>-63.495</v>
      </c>
      <c r="E15" s="18" t="n">
        <v>-50.472</v>
      </c>
      <c r="F15" s="18" t="n">
        <v>-57.662</v>
      </c>
      <c r="G15" s="18" t="n">
        <v>-60.1</v>
      </c>
      <c r="H15" s="18" t="n">
        <v>-72.764</v>
      </c>
      <c r="I15" s="18" t="n">
        <v>-75.806</v>
      </c>
      <c r="J15" s="18" t="n">
        <v>-109.232</v>
      </c>
      <c r="K15" s="18" t="n">
        <v>-276.682</v>
      </c>
      <c r="L15" s="18" t="n">
        <v>-221.311</v>
      </c>
      <c r="M15" s="18" t="n">
        <v>-241.186</v>
      </c>
      <c r="N15" s="18" t="n">
        <v>-243</v>
      </c>
      <c r="O15" s="18" t="n">
        <v>-210</v>
      </c>
      <c r="P15" s="18" t="n">
        <v>-209</v>
      </c>
      <c r="Q15" s="18" t="n">
        <v>-152.918</v>
      </c>
      <c r="R15" s="18" t="n">
        <v>-119</v>
      </c>
      <c r="S15" s="18" t="n">
        <v>-111</v>
      </c>
      <c r="T15" s="18" t="n">
        <v>-81</v>
      </c>
      <c r="U15" s="18" t="n">
        <v>-44</v>
      </c>
      <c r="V15" s="18" t="n">
        <v>-40</v>
      </c>
      <c r="W15" s="18" t="n">
        <v>29</v>
      </c>
      <c r="X15" s="18" t="n">
        <v>16</v>
      </c>
      <c r="Y15" s="18" t="n">
        <v>23</v>
      </c>
      <c r="Z15" s="18" t="n">
        <v>62</v>
      </c>
      <c r="AA15" s="18" t="n">
        <v>67</v>
      </c>
      <c r="AB15" s="18" t="n">
        <v>43</v>
      </c>
      <c r="AC15" s="18" t="n">
        <v>63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112.682</v>
      </c>
      <c r="C17" s="18" t="n">
        <v>115.033</v>
      </c>
      <c r="D17" s="18" t="n">
        <v>118.976</v>
      </c>
      <c r="E17" s="18" t="n">
        <v>121.562</v>
      </c>
      <c r="F17" s="18" t="n">
        <v>123.494</v>
      </c>
      <c r="G17" s="18" t="n">
        <v>126.319</v>
      </c>
      <c r="H17" s="18" t="n">
        <v>128.813</v>
      </c>
      <c r="I17" s="18" t="n">
        <v>130.138</v>
      </c>
      <c r="J17" s="18" t="n">
        <v>131.777</v>
      </c>
      <c r="K17" s="18" t="n">
        <v>151.357</v>
      </c>
      <c r="L17" s="18" t="n">
        <v>153.756</v>
      </c>
      <c r="M17" s="18" t="n">
        <v>154.72</v>
      </c>
      <c r="N17" s="18" t="n">
        <v>155.875</v>
      </c>
      <c r="O17" s="18" t="n">
        <v>157.4</v>
      </c>
      <c r="P17" s="18" t="n">
        <v>158.708</v>
      </c>
      <c r="Q17" s="18" t="n">
        <v>160.038</v>
      </c>
      <c r="R17" s="18" t="n">
        <v>161.323</v>
      </c>
      <c r="S17" s="18" t="n">
        <v>162.755</v>
      </c>
      <c r="T17" s="18" t="n">
        <v>164.381</v>
      </c>
      <c r="U17" s="18" t="n">
        <v>166.002</v>
      </c>
      <c r="V17" s="18" t="n">
        <v>167.465</v>
      </c>
      <c r="W17" s="18" t="n">
        <v>174.443</v>
      </c>
      <c r="X17" s="18" t="n">
        <v>170.673</v>
      </c>
      <c r="Y17" s="18" t="n">
        <v>175.28</v>
      </c>
      <c r="Z17" s="18" t="n">
        <v>181.754</v>
      </c>
      <c r="AA17" s="18" t="n">
        <v>180.966</v>
      </c>
      <c r="AB17" s="18" t="n">
        <v>179.393</v>
      </c>
      <c r="AC17" s="18" t="n">
        <v>180.45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Subscription and Circulation</t>
        </is>
      </c>
      <c r="B19" s="18" t="n">
        <v>117.163</v>
      </c>
      <c r="C19" s="18" t="n">
        <v>132.494</v>
      </c>
      <c r="D19" s="18" t="n">
        <v>144.517</v>
      </c>
      <c r="E19" s="18" t="n">
        <v>158.514</v>
      </c>
      <c r="F19" s="18" t="n">
        <v>173.781</v>
      </c>
      <c r="G19" s="18" t="n">
        <v>190.689</v>
      </c>
      <c r="H19" s="18" t="n">
        <v>206.743</v>
      </c>
      <c r="I19" s="18" t="n">
        <v>225.4</v>
      </c>
      <c r="J19" s="18" t="n">
        <v>240.058</v>
      </c>
      <c r="K19" s="18" t="n">
        <v>303.121</v>
      </c>
      <c r="L19" s="18" t="n">
        <v>336.702</v>
      </c>
      <c r="M19" s="18" t="n">
        <v>369.329</v>
      </c>
      <c r="N19" s="18" t="n">
        <v>397.941</v>
      </c>
      <c r="O19" s="18" t="n">
        <v>435.384</v>
      </c>
      <c r="P19" s="18" t="n">
        <v>465.856</v>
      </c>
      <c r="Q19" s="18" t="n">
        <v>494.819</v>
      </c>
      <c r="R19" s="18" t="n">
        <v>970</v>
      </c>
      <c r="S19" s="18" t="n">
        <v>1032</v>
      </c>
      <c r="T19" s="18" t="n">
        <v>569</v>
      </c>
      <c r="U19" s="18" t="n">
        <v>0</v>
      </c>
      <c r="V19" s="18" t="n">
        <v>603</v>
      </c>
      <c r="W19" s="18" t="n">
        <v>632</v>
      </c>
      <c r="X19" s="18" t="n">
        <v>651</v>
      </c>
      <c r="Y19" s="18" t="n">
        <v>670</v>
      </c>
      <c r="Z19" s="18" t="n">
        <v>673</v>
      </c>
      <c r="AB19" s="18" t="n">
        <v>724</v>
      </c>
      <c r="AC19" s="18" t="n">
        <v>1458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Technology Service</t>
        </is>
      </c>
      <c r="B22" s="18" t="n">
        <v>8.06</v>
      </c>
      <c r="C22" s="18" t="n">
        <v>7.986</v>
      </c>
      <c r="D22" s="18" t="n">
        <v>8.52</v>
      </c>
      <c r="E22" s="18" t="n">
        <v>8.813000000000001</v>
      </c>
      <c r="F22" s="18" t="n">
        <v>9.077999999999999</v>
      </c>
      <c r="G22" s="18" t="n">
        <v>9.757</v>
      </c>
      <c r="H22" s="18" t="n">
        <v>10.636</v>
      </c>
      <c r="I22" s="18" t="n">
        <v>9.34</v>
      </c>
      <c r="J22" s="18" t="n">
        <v>10.948</v>
      </c>
      <c r="K22" s="18" t="n">
        <v>12.379</v>
      </c>
      <c r="L22" s="18" t="n">
        <v>13.978</v>
      </c>
      <c r="M22" s="18" t="n">
        <v>13.686</v>
      </c>
      <c r="N22" s="18" t="n">
        <v>17.002</v>
      </c>
      <c r="O22" s="18" t="n">
        <v>16.423</v>
      </c>
      <c r="P22" s="18" t="n">
        <v>15.186</v>
      </c>
      <c r="Q22" s="18" t="n">
        <v>15.389</v>
      </c>
      <c r="R22" s="18" t="n">
        <v>19</v>
      </c>
      <c r="S22" s="18" t="n">
        <v>18</v>
      </c>
      <c r="T22" s="18" t="n">
        <v>15</v>
      </c>
      <c r="U22" s="18" t="n">
        <v>6</v>
      </c>
      <c r="V22" s="18" t="n">
        <v>14</v>
      </c>
      <c r="W22" s="18" t="n">
        <v>14</v>
      </c>
      <c r="X22" s="18" t="n">
        <v>14</v>
      </c>
      <c r="Y22" s="18" t="n">
        <v>12</v>
      </c>
      <c r="Z22" s="18" t="n">
        <v>15</v>
      </c>
      <c r="AB22" s="18" t="n">
        <v>18</v>
      </c>
      <c r="AC22" s="18" t="n">
        <v>31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B26" s="18" t="n">
        <v>547.4829999999999</v>
      </c>
      <c r="C26" s="18" t="n">
        <v>557.465</v>
      </c>
      <c r="D26" s="18" t="n">
        <v>1366.255</v>
      </c>
      <c r="E26" s="18" t="n">
        <v>1403.024</v>
      </c>
      <c r="F26" s="18" t="n">
        <v>1446.777</v>
      </c>
      <c r="G26" s="18" t="n">
        <v>2514.513</v>
      </c>
      <c r="H26" s="18" t="n">
        <v>2495.142</v>
      </c>
      <c r="I26" s="18" t="n">
        <v>2556.191</v>
      </c>
      <c r="J26" s="18" t="n">
        <v>2690.066</v>
      </c>
      <c r="K26" s="18" t="n">
        <v>2468.903</v>
      </c>
      <c r="L26" s="18" t="n">
        <v>2482.059</v>
      </c>
      <c r="M26" s="18" t="n">
        <v>2502</v>
      </c>
      <c r="N26" s="18" t="n">
        <v>2487.129</v>
      </c>
      <c r="O26" s="18" t="n">
        <v>2476.978</v>
      </c>
      <c r="P26" s="18" t="n">
        <v>2473.162</v>
      </c>
      <c r="Q26" s="18" t="n">
        <v>2580</v>
      </c>
      <c r="R26" s="18" t="n">
        <v>2370</v>
      </c>
      <c r="S26" s="18" t="n">
        <v>2106</v>
      </c>
      <c r="T26" s="18" t="n">
        <v>2130</v>
      </c>
      <c r="U26" s="18" t="n">
        <v>2202</v>
      </c>
      <c r="V26" s="18" t="n">
        <v>2320</v>
      </c>
      <c r="W26" s="18" t="n">
        <v>2358</v>
      </c>
      <c r="X26" s="18" t="n">
        <v>2248</v>
      </c>
      <c r="Y26" s="18" t="n">
        <v>2523</v>
      </c>
      <c r="Z26" s="18" t="n">
        <v>2725</v>
      </c>
      <c r="AA26" s="18" t="n">
        <v>2858</v>
      </c>
      <c r="AB26" s="18" t="n">
        <v>2463</v>
      </c>
      <c r="AC26" s="18" t="n">
        <v>2553</v>
      </c>
    </row>
    <row r="27">
      <c r="A27" s="4" t="inlineStr">
        <is>
          <t>Total Current Assets</t>
        </is>
      </c>
      <c r="B27" s="18" t="n">
        <v>676.929</v>
      </c>
      <c r="C27" s="18" t="n">
        <v>697.02</v>
      </c>
      <c r="D27" s="18" t="n">
        <v>1526.6</v>
      </c>
      <c r="E27" s="18" t="n">
        <v>1599.725</v>
      </c>
      <c r="F27" s="18" t="n">
        <v>1633.523</v>
      </c>
      <c r="G27" s="18" t="n">
        <v>2706.935</v>
      </c>
      <c r="H27" s="18" t="n">
        <v>2757.539</v>
      </c>
      <c r="I27" s="18" t="n">
        <v>2878.567</v>
      </c>
      <c r="J27" s="18" t="n">
        <v>3012.139</v>
      </c>
      <c r="K27" s="18" t="n">
        <v>2877.158</v>
      </c>
      <c r="L27" s="18" t="n">
        <v>2852.868</v>
      </c>
      <c r="M27" s="18" t="n">
        <v>3041</v>
      </c>
      <c r="N27" s="18" t="n">
        <v>2898.643</v>
      </c>
      <c r="O27" s="18" t="n">
        <v>2945.502</v>
      </c>
      <c r="P27" s="18" t="n">
        <v>3006.937</v>
      </c>
      <c r="Q27" s="18" t="n">
        <v>3229</v>
      </c>
      <c r="R27" s="18" t="n">
        <v>2843</v>
      </c>
      <c r="S27" s="18" t="n">
        <v>2686</v>
      </c>
      <c r="T27" s="18" t="n">
        <v>2727</v>
      </c>
      <c r="U27" s="18" t="n">
        <v>2980</v>
      </c>
      <c r="V27" s="18" t="n">
        <v>2917</v>
      </c>
      <c r="W27" s="18" t="n">
        <v>3038</v>
      </c>
      <c r="X27" s="18" t="n">
        <v>3003</v>
      </c>
      <c r="Y27" s="18" t="n">
        <v>3416</v>
      </c>
      <c r="Z27" s="18" t="n">
        <v>3365</v>
      </c>
      <c r="AA27" s="18" t="n">
        <v>3566</v>
      </c>
      <c r="AB27" s="18" t="n">
        <v>3046</v>
      </c>
      <c r="AC27" s="18" t="n">
        <v>3473</v>
      </c>
    </row>
    <row r="28">
      <c r="A28" s="4" t="inlineStr">
        <is>
          <t>PP&amp;E (net)</t>
        </is>
      </c>
      <c r="B28" s="18" t="n">
        <v>172.105</v>
      </c>
      <c r="C28" s="18" t="n">
        <v>168.564</v>
      </c>
      <c r="D28" s="18" t="n">
        <v>178.476</v>
      </c>
      <c r="E28" s="18" t="n">
        <v>178.739</v>
      </c>
      <c r="F28" s="18" t="n">
        <v>224.677</v>
      </c>
      <c r="G28" s="18" t="n">
        <v>221.187</v>
      </c>
      <c r="H28" s="18" t="n">
        <v>217.104</v>
      </c>
      <c r="I28" s="18" t="n">
        <v>212.387</v>
      </c>
      <c r="J28" s="18" t="n">
        <v>207.977</v>
      </c>
      <c r="K28" s="18" t="n">
        <v>208.35</v>
      </c>
      <c r="L28" s="18" t="n">
        <v>215.273</v>
      </c>
      <c r="M28" s="18" t="n">
        <v>213</v>
      </c>
      <c r="N28" s="18" t="n">
        <v>211.149</v>
      </c>
      <c r="O28" s="18" t="n">
        <v>208.898</v>
      </c>
      <c r="P28" s="18" t="n">
        <v>186.091</v>
      </c>
      <c r="Q28" s="18" t="n">
        <v>181</v>
      </c>
      <c r="R28" s="18" t="n">
        <v>168</v>
      </c>
      <c r="S28" s="18" t="n">
        <v>141</v>
      </c>
      <c r="T28" s="18" t="n">
        <v>141</v>
      </c>
      <c r="U28" s="18" t="n">
        <v>131</v>
      </c>
      <c r="V28" s="18" t="n">
        <v>128</v>
      </c>
      <c r="W28" s="18" t="n">
        <v>129</v>
      </c>
      <c r="X28" s="18" t="n">
        <v>125</v>
      </c>
      <c r="Y28" s="18" t="n">
        <v>117</v>
      </c>
      <c r="Z28" s="18" t="n">
        <v>114</v>
      </c>
      <c r="AA28" s="18" t="n">
        <v>107</v>
      </c>
      <c r="AB28" s="18" t="n">
        <v>104</v>
      </c>
      <c r="AC28" s="18" t="n">
        <v>103</v>
      </c>
    </row>
    <row r="29">
      <c r="A29" s="4" t="inlineStr">
        <is>
          <t>Total Assets</t>
        </is>
      </c>
      <c r="B29" s="18" t="n">
        <v>998.542</v>
      </c>
      <c r="C29" s="18" t="n">
        <v>1026.81</v>
      </c>
      <c r="D29" s="18" t="n">
        <v>1870.777</v>
      </c>
      <c r="E29" s="18" t="n">
        <v>1955.395</v>
      </c>
      <c r="F29" s="18" t="n">
        <v>2037.007</v>
      </c>
      <c r="G29" s="18" t="n">
        <v>3115.015</v>
      </c>
      <c r="H29" s="18" t="n">
        <v>3170.279</v>
      </c>
      <c r="I29" s="18" t="n">
        <v>3298.797</v>
      </c>
      <c r="J29" s="18" t="n">
        <v>3430.447</v>
      </c>
      <c r="K29" s="18" t="n">
        <v>8932.094999999999</v>
      </c>
      <c r="L29" s="18" t="n">
        <v>8996.973</v>
      </c>
      <c r="M29" s="18" t="n">
        <v>9206</v>
      </c>
      <c r="N29" s="18" t="n">
        <v>9045.681</v>
      </c>
      <c r="O29" s="18" t="n">
        <v>9074.007</v>
      </c>
      <c r="P29" s="18" t="n">
        <v>9093.736000000001</v>
      </c>
      <c r="Q29" s="18" t="n">
        <v>9307</v>
      </c>
      <c r="R29" s="18" t="n">
        <v>8900</v>
      </c>
      <c r="S29" s="18" t="n">
        <v>8713</v>
      </c>
      <c r="T29" s="18" t="n">
        <v>8740</v>
      </c>
      <c r="U29" s="18" t="n">
        <v>8989</v>
      </c>
      <c r="V29" s="18" t="n">
        <v>8955</v>
      </c>
      <c r="W29" s="18" t="n">
        <v>9067</v>
      </c>
      <c r="X29" s="18" t="n">
        <v>9010</v>
      </c>
      <c r="Y29" s="18" t="n">
        <v>9437</v>
      </c>
      <c r="Z29" s="18" t="n">
        <v>9365</v>
      </c>
      <c r="AA29" s="18" t="n">
        <v>9550</v>
      </c>
      <c r="AB29" s="18" t="n">
        <v>9229</v>
      </c>
      <c r="AC29" s="18" t="n">
        <v>9710</v>
      </c>
    </row>
    <row r="30">
      <c r="A30" s="4" t="inlineStr">
        <is>
          <t>Total Current Liabilities</t>
        </is>
      </c>
      <c r="B30" s="18" t="n">
        <v>601.913</v>
      </c>
      <c r="C30" s="18" t="n">
        <v>620.669</v>
      </c>
      <c r="D30" s="18" t="n">
        <v>478.394</v>
      </c>
      <c r="E30" s="18" t="n">
        <v>546.963</v>
      </c>
      <c r="F30" s="18" t="n">
        <v>570.388</v>
      </c>
      <c r="G30" s="18" t="n">
        <v>533.58</v>
      </c>
      <c r="H30" s="18" t="n">
        <v>573.9400000000001</v>
      </c>
      <c r="I30" s="18" t="n">
        <v>1545.614</v>
      </c>
      <c r="J30" s="18" t="n">
        <v>800.461</v>
      </c>
      <c r="K30" s="18" t="n">
        <v>912.534</v>
      </c>
      <c r="L30" s="18" t="n">
        <v>988.1660000000001</v>
      </c>
      <c r="M30" s="18" t="n">
        <v>1243</v>
      </c>
      <c r="N30" s="18" t="n">
        <v>1185.275</v>
      </c>
      <c r="O30" s="18" t="n">
        <v>1236.585</v>
      </c>
      <c r="P30" s="18" t="n">
        <v>1309.446</v>
      </c>
      <c r="Q30" s="18" t="n">
        <v>1465</v>
      </c>
      <c r="R30" s="18" t="n">
        <v>1362</v>
      </c>
      <c r="S30" s="18" t="n">
        <v>1456</v>
      </c>
      <c r="T30" s="18" t="n">
        <v>1543</v>
      </c>
      <c r="U30" s="18" t="n">
        <v>1782</v>
      </c>
      <c r="V30" s="18" t="n">
        <v>1686</v>
      </c>
      <c r="W30" s="18" t="n">
        <v>1660</v>
      </c>
      <c r="X30" s="18" t="n">
        <v>2234</v>
      </c>
      <c r="Y30" s="18" t="n">
        <v>2523</v>
      </c>
      <c r="Z30" s="18" t="n">
        <v>2296</v>
      </c>
      <c r="AA30" s="18" t="n">
        <v>2647</v>
      </c>
      <c r="AB30" s="18" t="n">
        <v>2184</v>
      </c>
      <c r="AC30" s="18" t="n">
        <v>2554</v>
      </c>
    </row>
    <row r="31">
      <c r="A31" s="4" t="inlineStr">
        <is>
          <t>Long-term Debt</t>
        </is>
      </c>
      <c r="B31" s="18" t="n">
        <v>0</v>
      </c>
      <c r="C31" s="18" t="n">
        <v>0</v>
      </c>
      <c r="D31" s="18" t="n">
        <v>828.237</v>
      </c>
      <c r="E31" s="18" t="n">
        <v>837.002</v>
      </c>
      <c r="F31" s="18" t="n">
        <v>845.862</v>
      </c>
      <c r="G31" s="18" t="n">
        <v>1689.438</v>
      </c>
      <c r="H31" s="18" t="n">
        <v>1709.777</v>
      </c>
      <c r="I31" s="18" t="n">
        <v>857.3869999999999</v>
      </c>
      <c r="J31" s="18" t="n">
        <v>1751.326</v>
      </c>
      <c r="K31" s="18" t="n">
        <v>1772.511</v>
      </c>
      <c r="L31" s="18" t="n">
        <v>1793.97</v>
      </c>
      <c r="M31" s="18" t="n">
        <v>1816</v>
      </c>
      <c r="N31" s="18" t="n">
        <v>2188.675</v>
      </c>
      <c r="O31" s="18" t="n">
        <v>2190.11</v>
      </c>
      <c r="P31" s="18" t="n">
        <v>2191.547</v>
      </c>
      <c r="Q31" s="18" t="n">
        <v>2193</v>
      </c>
      <c r="R31" s="18" t="n">
        <v>1831</v>
      </c>
      <c r="S31" s="18" t="n">
        <v>1451</v>
      </c>
      <c r="T31" s="18" t="n">
        <v>1302</v>
      </c>
      <c r="U31" s="18" t="n">
        <v>1154</v>
      </c>
      <c r="V31" s="18" t="n">
        <v>1155</v>
      </c>
      <c r="W31" s="18" t="n">
        <v>1113</v>
      </c>
      <c r="X31" s="18" t="n">
        <v>349</v>
      </c>
      <c r="Y31" s="18" t="n">
        <v>349</v>
      </c>
      <c r="Z31" s="18" t="n">
        <v>349</v>
      </c>
      <c r="AA31" s="18" t="n">
        <v>0</v>
      </c>
      <c r="AB31" s="18" t="n">
        <v>0</v>
      </c>
      <c r="AC31" s="18" t="n">
        <v>0</v>
      </c>
    </row>
    <row r="32">
      <c r="A32" s="4" t="inlineStr">
        <is>
          <t>Total Equity</t>
        </is>
      </c>
      <c r="B32" s="18" t="n">
        <v>239.444</v>
      </c>
      <c r="C32" s="18" t="n">
        <v>250.725</v>
      </c>
      <c r="D32" s="18" t="n">
        <v>398.394</v>
      </c>
      <c r="E32" s="18" t="n">
        <v>405.344</v>
      </c>
      <c r="F32" s="18" t="n">
        <v>413.096</v>
      </c>
      <c r="G32" s="18" t="n">
        <v>685.197</v>
      </c>
      <c r="H32" s="18" t="n">
        <v>680.648</v>
      </c>
      <c r="I32" s="18" t="n">
        <v>694.043</v>
      </c>
      <c r="J32" s="18" t="n">
        <v>682.778</v>
      </c>
      <c r="K32" s="18" t="n">
        <v>6042.19</v>
      </c>
      <c r="L32" s="18" t="n">
        <v>5984.555</v>
      </c>
      <c r="M32" s="18" t="n">
        <v>5922</v>
      </c>
      <c r="N32" s="18" t="n">
        <v>5472.694</v>
      </c>
      <c r="O32" s="18" t="n">
        <v>5453.016</v>
      </c>
      <c r="P32" s="18" t="n">
        <v>5407.612</v>
      </c>
      <c r="Q32" s="18" t="n">
        <v>5466</v>
      </c>
      <c r="R32" s="18" t="n">
        <v>5534</v>
      </c>
      <c r="S32" s="18" t="n">
        <v>5640</v>
      </c>
      <c r="T32" s="18" t="n">
        <v>5730</v>
      </c>
      <c r="U32" s="18" t="n">
        <v>5888</v>
      </c>
      <c r="V32" s="18" t="n">
        <v>5953</v>
      </c>
      <c r="W32" s="18" t="n">
        <v>6133</v>
      </c>
      <c r="X32" s="18" t="n">
        <v>6265</v>
      </c>
      <c r="Y32" s="18" t="n">
        <v>6405</v>
      </c>
      <c r="Z32" s="18" t="n">
        <v>6567</v>
      </c>
      <c r="AA32" s="18" t="n">
        <v>6754</v>
      </c>
      <c r="AB32" s="18" t="n">
        <v>6893</v>
      </c>
      <c r="AC32" s="18" t="n">
        <v>6999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B34" s="18" t="n">
        <v>3.399</v>
      </c>
      <c r="C34" s="18" t="n">
        <v>4.517</v>
      </c>
      <c r="D34" s="18" t="n">
        <v>4.42</v>
      </c>
      <c r="E34" s="18" t="n">
        <v>5.479</v>
      </c>
      <c r="F34" s="18" t="n">
        <v>5.466</v>
      </c>
      <c r="G34" s="18" t="n">
        <v>7.225</v>
      </c>
      <c r="H34" s="18" t="n">
        <v>11.003</v>
      </c>
      <c r="I34" s="18" t="n">
        <v>13.171</v>
      </c>
      <c r="J34" s="18" t="n">
        <v>13.134</v>
      </c>
      <c r="K34" s="18" t="n">
        <v>31.769</v>
      </c>
      <c r="L34" s="18" t="n">
        <v>31.728</v>
      </c>
      <c r="M34" s="18" t="n">
        <v>30.981</v>
      </c>
      <c r="N34" s="18" t="n">
        <v>30</v>
      </c>
      <c r="O34" s="18" t="n">
        <v>31</v>
      </c>
      <c r="P34" s="18" t="n">
        <v>28</v>
      </c>
      <c r="Q34" s="18" t="n">
        <v>26.001</v>
      </c>
      <c r="R34" s="18" t="n">
        <v>25</v>
      </c>
      <c r="S34" s="18" t="n">
        <v>18</v>
      </c>
      <c r="T34" s="18" t="n">
        <v>21</v>
      </c>
      <c r="U34" s="18" t="n">
        <v>20</v>
      </c>
      <c r="V34" s="18" t="n">
        <v>25</v>
      </c>
      <c r="W34" s="18" t="n">
        <v>25</v>
      </c>
      <c r="X34" s="18" t="n">
        <v>14</v>
      </c>
      <c r="Y34" s="18" t="n">
        <v>24</v>
      </c>
      <c r="Z34" s="18" t="n">
        <v>24</v>
      </c>
      <c r="AA34" s="18" t="n">
        <v>24</v>
      </c>
      <c r="AB34" s="18" t="n">
        <v>24</v>
      </c>
      <c r="AC34" s="18" t="n">
        <v>0</v>
      </c>
    </row>
    <row r="35">
      <c r="A35" s="4" t="inlineStr">
        <is>
          <t>Stock-based Compensation</t>
        </is>
      </c>
      <c r="B35" s="18" t="n">
        <v>22.685</v>
      </c>
      <c r="C35" s="18" t="n">
        <v>31.274</v>
      </c>
      <c r="D35" s="18" t="n">
        <v>35.732</v>
      </c>
      <c r="E35" s="18" t="n">
        <v>36.933</v>
      </c>
      <c r="F35" s="18" t="n">
        <v>37.728</v>
      </c>
      <c r="G35" s="18" t="n">
        <v>48.378</v>
      </c>
      <c r="H35" s="18" t="n">
        <v>53.668</v>
      </c>
      <c r="I35" s="18" t="n">
        <v>56.407</v>
      </c>
      <c r="J35" s="18" t="n">
        <v>64.11199999999999</v>
      </c>
      <c r="K35" s="18" t="n">
        <v>187.714</v>
      </c>
      <c r="L35" s="18" t="n">
        <v>155.785</v>
      </c>
      <c r="M35" s="18" t="n">
        <v>157.869</v>
      </c>
      <c r="N35" s="18" t="n">
        <v>171</v>
      </c>
      <c r="O35" s="18" t="n">
        <v>170</v>
      </c>
      <c r="P35" s="18" t="n">
        <v>172</v>
      </c>
      <c r="Q35" s="18" t="n">
        <v>165.313</v>
      </c>
      <c r="R35" s="18" t="n">
        <v>166</v>
      </c>
      <c r="S35" s="18" t="n">
        <v>185</v>
      </c>
      <c r="T35" s="18" t="n">
        <v>172</v>
      </c>
      <c r="U35" s="18" t="n">
        <v>161</v>
      </c>
      <c r="V35" s="18" t="n">
        <v>151</v>
      </c>
      <c r="W35" s="18" t="n">
        <v>148</v>
      </c>
      <c r="X35" s="18" t="n">
        <v>135</v>
      </c>
      <c r="Y35" s="18" t="n">
        <v>131</v>
      </c>
      <c r="Z35" s="18" t="n">
        <v>128</v>
      </c>
      <c r="AA35" s="18" t="n">
        <v>144</v>
      </c>
      <c r="AB35" s="18" t="n">
        <v>138</v>
      </c>
      <c r="AC35" s="18" t="n">
        <v>0</v>
      </c>
    </row>
    <row r="36">
      <c r="A36" s="4" t="inlineStr">
        <is>
          <t>Change in Working Capital</t>
        </is>
      </c>
      <c r="B36" s="18" t="n">
        <v>38.26</v>
      </c>
      <c r="C36" s="18" t="n">
        <v>-4.045</v>
      </c>
      <c r="D36" s="18" t="n">
        <v>4.024</v>
      </c>
      <c r="E36" s="18" t="n">
        <v>13.304</v>
      </c>
      <c r="F36" s="18" t="n">
        <v>33.582</v>
      </c>
      <c r="G36" s="18" t="n">
        <v>-13.508</v>
      </c>
      <c r="H36" s="18" t="n">
        <v>15.322</v>
      </c>
      <c r="I36" s="18" t="n">
        <v>1.857</v>
      </c>
      <c r="J36" s="18" t="n">
        <v>57.387</v>
      </c>
      <c r="K36" s="18" t="n">
        <v>30.575</v>
      </c>
      <c r="L36" s="18" t="n">
        <v>34.799</v>
      </c>
      <c r="M36" s="18" t="n">
        <v>18.337</v>
      </c>
      <c r="N36" s="18" t="n">
        <v>42</v>
      </c>
      <c r="O36" s="18" t="n">
        <v>-34</v>
      </c>
      <c r="P36" s="18" t="n">
        <v>-21</v>
      </c>
      <c r="Q36" s="18" t="n">
        <v>6.285</v>
      </c>
      <c r="R36" s="18" t="n">
        <v>53</v>
      </c>
      <c r="S36" s="18" t="n">
        <v>-45</v>
      </c>
      <c r="T36" s="18" t="n">
        <v>31</v>
      </c>
      <c r="U36" s="18" t="n">
        <v>15</v>
      </c>
      <c r="V36" s="18" t="n">
        <v>53</v>
      </c>
      <c r="W36" s="18" t="n">
        <v>-140</v>
      </c>
      <c r="X36" s="18" t="n">
        <v>-34</v>
      </c>
      <c r="Y36" s="18" t="n">
        <v>68</v>
      </c>
      <c r="Z36" s="18" t="n">
        <v>-12</v>
      </c>
      <c r="AA36" s="18" t="n">
        <v>-112</v>
      </c>
      <c r="AB36" s="18" t="n">
        <v>-31</v>
      </c>
      <c r="AC36" s="18" t="n">
        <v>12</v>
      </c>
    </row>
    <row r="37">
      <c r="A37" s="4" t="inlineStr">
        <is>
          <t>Operating Cash Flow</t>
        </is>
      </c>
      <c r="B37" s="18" t="n">
        <v>21.262</v>
      </c>
      <c r="C37" s="18" t="n">
        <v>-1.134</v>
      </c>
      <c r="D37" s="18" t="n">
        <v>10.64</v>
      </c>
      <c r="E37" s="18" t="n">
        <v>24.835</v>
      </c>
      <c r="F37" s="18" t="n">
        <v>38.697</v>
      </c>
      <c r="G37" s="18" t="n">
        <v>10.93</v>
      </c>
      <c r="H37" s="18" t="n">
        <v>43.426</v>
      </c>
      <c r="I37" s="18" t="n">
        <v>34.909</v>
      </c>
      <c r="J37" s="18" t="n">
        <v>56.075</v>
      </c>
      <c r="K37" s="18" t="n">
        <v>-2.608</v>
      </c>
      <c r="L37" s="18" t="n">
        <v>37.12</v>
      </c>
      <c r="M37" s="18" t="n">
        <v>13.532</v>
      </c>
      <c r="N37" s="18" t="n">
        <v>19</v>
      </c>
      <c r="O37" s="18" t="n">
        <v>-19</v>
      </c>
      <c r="P37" s="18" t="n">
        <v>10</v>
      </c>
      <c r="Q37" s="18" t="n">
        <v>76.238</v>
      </c>
      <c r="R37" s="18" t="n">
        <v>129</v>
      </c>
      <c r="S37" s="18" t="n">
        <v>53</v>
      </c>
      <c r="T37" s="18" t="n">
        <v>156</v>
      </c>
      <c r="U37" s="18" t="n">
        <v>174</v>
      </c>
      <c r="V37" s="18" t="n">
        <v>219</v>
      </c>
      <c r="W37" s="18" t="n">
        <v>86</v>
      </c>
      <c r="X37" s="18" t="n">
        <v>159</v>
      </c>
      <c r="Y37" s="18" t="n">
        <v>286</v>
      </c>
      <c r="Z37" s="18" t="n">
        <v>241</v>
      </c>
      <c r="AA37" s="18" t="n">
        <v>167</v>
      </c>
      <c r="AB37" s="18" t="n">
        <v>218</v>
      </c>
      <c r="AC37" s="18" t="n">
        <v>288</v>
      </c>
    </row>
    <row r="38">
      <c r="A38" s="4" t="inlineStr">
        <is>
          <t>Capex</t>
        </is>
      </c>
      <c r="B38" s="18" t="n">
        <v>-8.079000000000001</v>
      </c>
      <c r="C38" s="18" t="n">
        <v>-11.668</v>
      </c>
      <c r="D38" s="18" t="n">
        <v>-1.392</v>
      </c>
      <c r="E38" s="18" t="n">
        <v>-6.78</v>
      </c>
      <c r="F38" s="18" t="n">
        <v>-8.93</v>
      </c>
      <c r="G38" s="18" t="n">
        <v>-4.065</v>
      </c>
      <c r="H38" s="18" t="n">
        <v>-1.832</v>
      </c>
      <c r="I38" s="18" t="n">
        <v>-2.541</v>
      </c>
      <c r="J38" s="18" t="n">
        <v>-3.382</v>
      </c>
      <c r="K38" s="18" t="n">
        <v>-1.143</v>
      </c>
      <c r="L38" s="18" t="n">
        <v>-3.736</v>
      </c>
      <c r="M38" s="18" t="n">
        <v>-8.611000000000001</v>
      </c>
      <c r="N38" s="18" t="n">
        <v>-9</v>
      </c>
      <c r="O38" s="18" t="n">
        <v>-6</v>
      </c>
      <c r="P38" s="18" t="n">
        <v>-4</v>
      </c>
      <c r="Q38" s="18" t="n">
        <v>-3.353</v>
      </c>
      <c r="R38" s="18" t="n">
        <v>-5</v>
      </c>
      <c r="S38" s="18" t="n">
        <v>-4</v>
      </c>
      <c r="T38" s="18" t="n">
        <v>-7</v>
      </c>
      <c r="U38" s="18" t="n">
        <v>-8</v>
      </c>
      <c r="V38" s="18" t="n">
        <v>-5</v>
      </c>
      <c r="W38" s="18" t="n">
        <v>-8</v>
      </c>
      <c r="X38" s="18" t="n">
        <v>-5</v>
      </c>
      <c r="Y38" s="18" t="n">
        <v>-2</v>
      </c>
      <c r="Z38" s="18" t="n">
        <v>-3</v>
      </c>
      <c r="AA38" s="18" t="n">
        <v>-5</v>
      </c>
      <c r="AB38" s="18" t="n">
        <v>-4</v>
      </c>
      <c r="AC38" s="18" t="n">
        <v>-2</v>
      </c>
    </row>
    <row r="39">
      <c r="A39" s="4" t="inlineStr">
        <is>
          <t>Free Cash Flow</t>
        </is>
      </c>
      <c r="B39" s="18" t="n">
        <v>13.183</v>
      </c>
      <c r="C39" s="18" t="n">
        <v>-12.802</v>
      </c>
      <c r="D39" s="18" t="n">
        <v>9.247999999999999</v>
      </c>
      <c r="E39" s="18" t="n">
        <v>18.055</v>
      </c>
      <c r="F39" s="18" t="n">
        <v>29.767</v>
      </c>
      <c r="G39" s="18" t="n">
        <v>6.865</v>
      </c>
      <c r="H39" s="18" t="n">
        <v>41.594</v>
      </c>
      <c r="I39" s="18" t="n">
        <v>32.368</v>
      </c>
      <c r="J39" s="18" t="n">
        <v>52.693</v>
      </c>
      <c r="K39" s="18" t="n">
        <v>-3.751</v>
      </c>
      <c r="L39" s="18" t="n">
        <v>33.384</v>
      </c>
      <c r="M39" s="18" t="n">
        <v>4.921</v>
      </c>
      <c r="N39" s="18" t="n">
        <v>10</v>
      </c>
      <c r="O39" s="18" t="n">
        <v>-25</v>
      </c>
      <c r="P39" s="18" t="n">
        <v>6</v>
      </c>
      <c r="Q39" s="18" t="n">
        <v>72.88500000000001</v>
      </c>
      <c r="R39" s="18" t="n">
        <v>124</v>
      </c>
      <c r="S39" s="18" t="n">
        <v>49</v>
      </c>
      <c r="T39" s="18" t="n">
        <v>149</v>
      </c>
      <c r="U39" s="18" t="n">
        <v>166</v>
      </c>
      <c r="V39" s="18" t="n">
        <v>214</v>
      </c>
      <c r="W39" s="18" t="n">
        <v>78</v>
      </c>
      <c r="X39" s="18" t="n">
        <v>154</v>
      </c>
      <c r="Y39" s="18" t="n">
        <v>284</v>
      </c>
      <c r="Z39" s="18" t="n">
        <v>238</v>
      </c>
      <c r="AA39" s="18" t="n">
        <v>162</v>
      </c>
      <c r="AB39" s="18" t="n">
        <v>214</v>
      </c>
      <c r="AC39" s="18" t="n">
        <v>286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2027</v>
      </c>
      <c r="C2" s="45" t="n">
        <v>2028</v>
      </c>
      <c r="D2" s="45" t="n">
        <v>2029</v>
      </c>
      <c r="E2" s="45" t="n">
        <v>2030</v>
      </c>
      <c r="F2" s="45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3183.331038</v>
      </c>
      <c r="C4" s="18" t="n">
        <v>3483.637531</v>
      </c>
      <c r="D4" s="18" t="n">
        <v>3870.179238</v>
      </c>
      <c r="E4" s="18" t="n">
        <v>4089.1</v>
      </c>
      <c r="F4" s="18" t="n">
        <v>4402.6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  <c r="F5" s="33">
        <f>Model!K8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1704.706571</v>
      </c>
      <c r="C8" s="18" t="n">
        <v>1865.523793</v>
      </c>
      <c r="D8" s="18" t="n">
        <v>2072.52086</v>
      </c>
      <c r="E8" s="18" t="n">
        <v>2189.755184</v>
      </c>
      <c r="F8" s="18" t="n">
        <v>2357.637664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  <c r="F9" s="33">
        <f>Model!K21+Model!K26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1686.462277</v>
      </c>
      <c r="C12" s="18" t="n">
        <v>1845.558383</v>
      </c>
      <c r="D12" s="18" t="n">
        <v>2050.340104</v>
      </c>
      <c r="E12" s="18" t="n">
        <v>2166.31975</v>
      </c>
      <c r="F12" s="18" t="n">
        <v>2332.4055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  <c r="F13" s="33">
        <f>Model!K21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2177.08363</v>
      </c>
      <c r="C16" s="18" t="n">
        <v>2382.463574</v>
      </c>
      <c r="D16" s="18" t="n">
        <v>2646.819876</v>
      </c>
      <c r="E16" s="18" t="n">
        <v>2796.540028</v>
      </c>
      <c r="F16" s="18" t="n">
        <v>3010.943026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  <c r="F17" s="33">
        <f>Model!K16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679.9913935</v>
      </c>
      <c r="C20" s="18" t="n">
        <v>777.033899</v>
      </c>
      <c r="D20" s="18" t="n">
        <v>913.5219985</v>
      </c>
      <c r="E20" s="18" t="n">
        <v>878.5210039999999</v>
      </c>
      <c r="F20" s="18" t="n">
        <v>957.408605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  <c r="F21" s="33">
        <f>Model!K25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3.79269</v>
      </c>
      <c r="C24" s="47" t="n">
        <v>4.21898</v>
      </c>
      <c r="D24" s="47" t="n">
        <v>4.81091</v>
      </c>
      <c r="E24" s="47" t="n">
        <v>4.9</v>
      </c>
      <c r="F24" s="47" t="n">
        <v>5.34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Okta,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2027</v>
      </c>
      <c r="D11" s="45" t="n">
        <v>2028</v>
      </c>
      <c r="E11" s="45" t="n">
        <v>2029</v>
      </c>
      <c r="F11" s="45" t="n">
        <v>2030</v>
      </c>
      <c r="G11" s="45" t="n">
        <v>2031</v>
      </c>
      <c r="H11" s="45" t="n">
        <v>2032</v>
      </c>
      <c r="I11" s="45" t="n">
        <v>2033</v>
      </c>
      <c r="J11" s="45" t="n">
        <v>2034</v>
      </c>
      <c r="K11" s="45" t="n">
        <v>2035</v>
      </c>
      <c r="L11" s="45" t="n">
        <v>2036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Financials!AC26</f>
        <v/>
      </c>
    </row>
    <row r="33">
      <c r="A33" s="4" t="inlineStr">
        <is>
          <t>- Long-term debt</t>
        </is>
      </c>
      <c r="B33" s="33">
        <f>-Financials!AC31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0.05463999999999999</v>
      </c>
      <c r="C4" s="51" t="n">
        <v>0.05963999999999999</v>
      </c>
      <c r="D4" s="51" t="n">
        <v>0.06463999999999999</v>
      </c>
      <c r="E4" s="51" t="n">
        <v>0.06963999999999999</v>
      </c>
      <c r="F4" s="51" t="n">
        <v>0.07464</v>
      </c>
      <c r="G4" s="51" t="n">
        <v>0.07963999999999999</v>
      </c>
      <c r="H4" s="51" t="n">
        <v>0.08463999999999999</v>
      </c>
    </row>
    <row r="5">
      <c r="A5" s="52" t="n">
        <v>9</v>
      </c>
      <c r="B5" s="53" t="n">
        <v>76.57928794875288</v>
      </c>
      <c r="C5" s="53" t="n">
        <v>74.18300295563293</v>
      </c>
      <c r="D5" s="53" t="n">
        <v>71.89923389862764</v>
      </c>
      <c r="E5" s="53" t="n">
        <v>69.72204658560028</v>
      </c>
      <c r="F5" s="53" t="n">
        <v>67.64584941536522</v>
      </c>
      <c r="G5" s="53" t="n">
        <v>65.66537200544145</v>
      </c>
      <c r="H5" s="53" t="n">
        <v>63.77564524862242</v>
      </c>
    </row>
    <row r="6">
      <c r="A6" s="52" t="n">
        <v>10</v>
      </c>
      <c r="B6" s="53" t="n">
        <v>80.72954648967266</v>
      </c>
      <c r="C6" s="53" t="n">
        <v>78.14153443528988</v>
      </c>
      <c r="D6" s="53" t="n">
        <v>75.67573617488945</v>
      </c>
      <c r="E6" s="53" t="n">
        <v>73.32568484723535</v>
      </c>
      <c r="F6" s="53" t="n">
        <v>71.08528773290404</v>
      </c>
      <c r="G6" s="53" t="n">
        <v>68.94880287863344</v>
      </c>
      <c r="H6" s="53" t="n">
        <v>66.91081728616865</v>
      </c>
    </row>
    <row r="7">
      <c r="A7" s="52" t="n">
        <v>11</v>
      </c>
      <c r="B7" s="53" t="n">
        <v>84.87980503059244</v>
      </c>
      <c r="C7" s="53" t="n">
        <v>82.10006591494684</v>
      </c>
      <c r="D7" s="53" t="n">
        <v>79.45223845115126</v>
      </c>
      <c r="E7" s="53" t="n">
        <v>76.92932310887043</v>
      </c>
      <c r="F7" s="53" t="n">
        <v>74.52472605044287</v>
      </c>
      <c r="G7" s="53" t="n">
        <v>72.23223375182542</v>
      </c>
      <c r="H7" s="53" t="n">
        <v>70.04598932371488</v>
      </c>
    </row>
    <row r="8">
      <c r="A8" s="52" t="n">
        <v>12</v>
      </c>
      <c r="B8" s="53" t="n">
        <v>89.03006357151222</v>
      </c>
      <c r="C8" s="53" t="n">
        <v>86.05859739460379</v>
      </c>
      <c r="D8" s="53" t="n">
        <v>83.22874072741307</v>
      </c>
      <c r="E8" s="54" t="n">
        <v>80.5329613705055</v>
      </c>
      <c r="F8" s="53" t="n">
        <v>77.96416436798168</v>
      </c>
      <c r="G8" s="53" t="n">
        <v>75.51566462501739</v>
      </c>
      <c r="H8" s="53" t="n">
        <v>73.18116136126109</v>
      </c>
    </row>
    <row r="9">
      <c r="A9" s="52" t="n">
        <v>13</v>
      </c>
      <c r="B9" s="53" t="n">
        <v>93.18032211243201</v>
      </c>
      <c r="C9" s="53" t="n">
        <v>90.01712887426075</v>
      </c>
      <c r="D9" s="53" t="n">
        <v>87.00524300367486</v>
      </c>
      <c r="E9" s="53" t="n">
        <v>84.13659963214057</v>
      </c>
      <c r="F9" s="53" t="n">
        <v>81.40360268552051</v>
      </c>
      <c r="G9" s="53" t="n">
        <v>78.79909549820935</v>
      </c>
      <c r="H9" s="53" t="n">
        <v>76.31633339880732</v>
      </c>
    </row>
    <row r="10">
      <c r="A10" s="52" t="n">
        <v>14</v>
      </c>
      <c r="B10" s="53" t="n">
        <v>97.33058065335179</v>
      </c>
      <c r="C10" s="53" t="n">
        <v>93.9756603539177</v>
      </c>
      <c r="D10" s="53" t="n">
        <v>90.78174527993669</v>
      </c>
      <c r="E10" s="53" t="n">
        <v>87.74023789377566</v>
      </c>
      <c r="F10" s="53" t="n">
        <v>84.84304100305933</v>
      </c>
      <c r="G10" s="53" t="n">
        <v>82.08252637140134</v>
      </c>
      <c r="H10" s="53" t="n">
        <v>79.45150543635354</v>
      </c>
    </row>
    <row r="11">
      <c r="A11" s="52" t="n">
        <v>15</v>
      </c>
      <c r="B11" s="53" t="n">
        <v>101.4808391942716</v>
      </c>
      <c r="C11" s="53" t="n">
        <v>97.93419183357464</v>
      </c>
      <c r="D11" s="53" t="n">
        <v>94.55824755619849</v>
      </c>
      <c r="E11" s="53" t="n">
        <v>91.34387615541071</v>
      </c>
      <c r="F11" s="53" t="n">
        <v>88.28247932059813</v>
      </c>
      <c r="G11" s="53" t="n">
        <v>85.3659572445933</v>
      </c>
      <c r="H11" s="53" t="n">
        <v>82.58667747389977</v>
      </c>
    </row>
    <row r="13">
      <c r="A13" s="3" t="inlineStr">
        <is>
          <t>Current price</t>
        </is>
      </c>
      <c r="B13" s="53" t="n">
        <v>141.4199981689453</v>
      </c>
    </row>
    <row r="14">
      <c r="A14" s="3" t="inlineStr">
        <is>
          <t>Base WACC / multiple</t>
        </is>
      </c>
      <c r="B14" s="55" t="n">
        <v>0.06963999999999999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0.02466598150051387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0.1961284136691369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0.8323176906743555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2026-07-06T20:35:27Z</dcterms:created>
  <dcterms:modified xmlns:dcterms="http://purl.org/dc/terms/" xmlns:xsi="http://www.w3.org/2001/XMLSchema-instance" xsi:type="dcterms:W3CDTF">2026-07-06T20:35:27Z</dcterms:modified>
</cp:coreProperties>
</file>