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38.0%</t>
      </text>
    </comment>
    <comment ref="C20" authorId="0" shapeId="0">
      <text>
        <t>Opus: 4.0%</t>
      </text>
    </comment>
    <comment ref="B21" authorId="0" shapeId="0">
      <text>
        <t>Opus: 12.0%</t>
      </text>
    </comment>
    <comment ref="C21" authorId="0" shapeId="0">
      <text>
        <t>Opus: 3.0%</t>
      </text>
    </comment>
    <comment ref="B22" authorId="0" shapeId="0">
      <text>
        <t>Opus: 8.0%</t>
      </text>
    </comment>
    <comment ref="C22" authorId="0" shapeId="0">
      <text>
        <t>Opus: 3.0%</t>
      </text>
    </comment>
    <comment ref="B29" authorId="0" shapeId="0">
      <text>
        <t>Opus: 20.0%</t>
      </text>
    </comment>
    <comment ref="B30" authorId="0" shapeId="0">
      <text>
        <t>Opus: 25.0%</t>
      </text>
    </comment>
    <comment ref="B31" authorId="0" shapeId="0">
      <text>
        <t>Opus: 15.0%</t>
      </text>
    </comment>
    <comment ref="B34" authorId="0" shapeId="0">
      <text>
        <t>Opus: —
set from Opus 3%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2.399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15.0x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Advanced Micro Devices, Inc. (AMD)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AMD is a fabless share-gainer riding AI accelerator demand (MI3xx) and EPYC server penetration, with a recovering client franchise and stabilizing embedded base. Near-term revenue scales toward the steep Street ramp while operating margins expand from ~11% on operating leverage and richer data-center mix, then fade to a mature ~25% as the AI build-out normalizes and competition (NVDA, custom silicon) caps pricing. Light capex intensity (fabless model) keeps FCFF conversion high, supporting a premium-but-fading terminal value.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Advanced Micro Devices, Inc. (AMD)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Data Center</t>
        </is>
      </c>
      <c r="B20" s="15" t="n">
        <v>0.38</v>
      </c>
      <c r="C20" s="15" t="n">
        <v>0.04</v>
      </c>
      <c r="D20" s="16" t="n">
        <v>0.38</v>
      </c>
      <c r="E20" s="2" t="inlineStr"/>
    </row>
    <row r="21">
      <c r="A21" s="4" t="inlineStr">
        <is>
          <t>Client and Gaming</t>
        </is>
      </c>
      <c r="B21" s="15" t="n">
        <v>0.12</v>
      </c>
      <c r="C21" s="15" t="n">
        <v>0.03</v>
      </c>
      <c r="D21" s="16" t="n">
        <v>0.12</v>
      </c>
      <c r="E21" s="2" t="inlineStr"/>
    </row>
    <row r="22">
      <c r="A22" s="4" t="inlineStr">
        <is>
          <t>Embedded</t>
        </is>
      </c>
      <c r="B22" s="15" t="n">
        <v>0.08</v>
      </c>
      <c r="C22" s="15" t="n">
        <v>0.03</v>
      </c>
      <c r="D22" s="16" t="n">
        <v>0.08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</v>
      </c>
      <c r="D29" s="16" t="n">
        <v>0.2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1490.33575905</v>
      </c>
      <c r="D34" s="18" t="n">
        <v>1490.33575905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2.399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0.002805310663308145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520.9849853515625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114.538154154</v>
      </c>
      <c r="C58" s="28" t="n">
        <v>149.0407632135271</v>
      </c>
      <c r="D58" s="28" t="n">
        <v>87.5230501295156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0.04728773925344265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0.02837264355206559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AMD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AMD is a fabless share-gainer riding AI accelerator demand (MI3xx) and EPYC server penetration, with a recovering client franchise and stabilizing embedded base. Near-term revenue scales toward the steep Street ramp while operating margins expand from ~11% on operating leverage and richer data-center mix, then fade to a mature ~25% as the AI build-out normalizes and competition (NVDA, custom silicon) caps pricing. Light capex intensity (fabless model) keeps FCFF conversion high, supporting a premium-but-fading terminal value.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I anchored near-term growth and the ~20% operating margin to consensus' aggressive ramp but deliberately faded data-center growth from 38% to a mature 4% and held terminal margin to 25% rather than extrapolating peak AI economics. EV/EBITDA at 15x reflects the basis the market actually applies to semis at a mature, normalized multiple rather than today's elevated level, and capex/D&amp;A converging to 1.1x captures the asset-light fabless profile.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Data Center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38.0%</t>
        </is>
      </c>
      <c r="F20" s="31" t="inlineStr"/>
    </row>
    <row r="21">
      <c r="A21" t="inlineStr">
        <is>
          <t>Data Center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Client and Gaming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12.0%</t>
        </is>
      </c>
      <c r="F22" s="31" t="inlineStr"/>
    </row>
    <row r="23">
      <c r="A23" t="inlineStr">
        <is>
          <t>Client and Gaming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3.0%</t>
        </is>
      </c>
      <c r="F23" s="31" t="inlineStr"/>
    </row>
    <row r="24">
      <c r="A24" t="inlineStr">
        <is>
          <t>Embedded — near-term growth</t>
        </is>
      </c>
      <c r="B24" t="inlineStr">
        <is>
          <t>B22</t>
        </is>
      </c>
      <c r="C24" s="11">
        <f>Dashboard!B22</f>
        <v/>
      </c>
      <c r="D24" t="inlineStr">
        <is>
          <t>Opus</t>
        </is>
      </c>
      <c r="E24" t="inlineStr">
        <is>
          <t>8.0%</t>
        </is>
      </c>
      <c r="F24" s="31" t="inlineStr"/>
    </row>
    <row r="25">
      <c r="A25" t="inlineStr">
        <is>
          <t>Embedded — terminal growth</t>
        </is>
      </c>
      <c r="B25" t="inlineStr">
        <is>
          <t>C22</t>
        </is>
      </c>
      <c r="C25" s="11">
        <f>Dashboard!C22</f>
        <v/>
      </c>
      <c r="D25" t="inlineStr">
        <is>
          <t>Opus</t>
        </is>
      </c>
      <c r="E25" t="inlineStr">
        <is>
          <t>3.0%</t>
        </is>
      </c>
      <c r="F25" s="31" t="inlineStr"/>
    </row>
    <row r="26">
      <c r="A26" t="inlineStr">
        <is>
          <t>Near-term operating margin</t>
        </is>
      </c>
      <c r="B26" t="inlineStr">
        <is>
          <t>B29</t>
        </is>
      </c>
      <c r="C26" s="11">
        <f>Dashboard!B29</f>
        <v/>
      </c>
      <c r="D26" t="inlineStr">
        <is>
          <t>Opus</t>
        </is>
      </c>
      <c r="E26" t="inlineStr">
        <is>
          <t>20.0%</t>
        </is>
      </c>
      <c r="F26" s="31" t="inlineStr"/>
    </row>
    <row r="27">
      <c r="A27" t="inlineStr">
        <is>
          <t>Terminal operating margin</t>
        </is>
      </c>
      <c r="B27" t="inlineStr">
        <is>
          <t>B30</t>
        </is>
      </c>
      <c r="C27" s="11">
        <f>Dashboard!B30</f>
        <v/>
      </c>
      <c r="D27" t="inlineStr">
        <is>
          <t>Opus</t>
        </is>
      </c>
      <c r="E27" t="inlineStr">
        <is>
          <t>25.0%</t>
        </is>
      </c>
      <c r="F27" s="31" t="inlineStr"/>
    </row>
    <row r="28">
      <c r="A28" t="inlineStr">
        <is>
          <t>Tax rate</t>
        </is>
      </c>
      <c r="B28" t="inlineStr">
        <is>
          <t>B31</t>
        </is>
      </c>
      <c r="C28" s="11">
        <f>Dashboard!B31</f>
        <v/>
      </c>
      <c r="D28" t="inlineStr">
        <is>
          <t>Opus</t>
        </is>
      </c>
      <c r="E28" t="inlineStr">
        <is>
          <t>15.0%</t>
        </is>
      </c>
      <c r="F28" s="31" t="inlineStr"/>
    </row>
    <row r="29">
      <c r="A29" t="inlineStr">
        <is>
          <t>Terminal capex / D&amp;A</t>
        </is>
      </c>
      <c r="B29" t="inlineStr">
        <is>
          <t>B35</t>
        </is>
      </c>
      <c r="C29" s="13">
        <f>Dashboard!B35</f>
        <v/>
      </c>
      <c r="D29" t="inlineStr">
        <is>
          <t>Opus</t>
        </is>
      </c>
      <c r="E29" t="inlineStr">
        <is>
          <t>1.1x</t>
        </is>
      </c>
      <c r="F29" s="31" t="inlineStr"/>
    </row>
    <row r="30">
      <c r="A30" t="inlineStr">
        <is>
          <t>Risk-free rate (10Y)</t>
        </is>
      </c>
      <c r="B30" t="inlineStr">
        <is>
          <t>B38</t>
        </is>
      </c>
      <c r="C30" s="11">
        <f>Dashboard!B38</f>
        <v/>
      </c>
      <c r="D30" t="inlineStr">
        <is>
          <t>Opus</t>
        </is>
      </c>
      <c r="E30" t="inlineStr">
        <is>
          <t>4.3%</t>
        </is>
      </c>
      <c r="F30" s="31" t="inlineStr"/>
    </row>
    <row r="31">
      <c r="A31" t="inlineStr">
        <is>
          <t>Equity risk premium</t>
        </is>
      </c>
      <c r="B31" t="inlineStr">
        <is>
          <t>B39</t>
        </is>
      </c>
      <c r="C31" s="11">
        <f>Dashboard!B39</f>
        <v/>
      </c>
      <c r="D31" t="inlineStr">
        <is>
          <t>Opus</t>
        </is>
      </c>
      <c r="E31" t="inlineStr">
        <is>
          <t>4.5%</t>
        </is>
      </c>
      <c r="F31" s="31" t="inlineStr"/>
    </row>
    <row r="32">
      <c r="A32" t="inlineStr">
        <is>
          <t>Beta (levered)</t>
        </is>
      </c>
      <c r="B32" t="inlineStr">
        <is>
          <t>B40</t>
        </is>
      </c>
      <c r="C32" s="32">
        <f>Dashboard!B40</f>
        <v/>
      </c>
      <c r="D32" t="inlineStr">
        <is>
          <t>Opus</t>
        </is>
      </c>
      <c r="E32" t="inlineStr">
        <is>
          <t>2.399</t>
        </is>
      </c>
      <c r="F32" s="31" t="inlineStr"/>
    </row>
    <row r="33">
      <c r="A33" t="inlineStr">
        <is>
          <t>Pre-tax cost of debt</t>
        </is>
      </c>
      <c r="B33" t="inlineStr">
        <is>
          <t>B41</t>
        </is>
      </c>
      <c r="C33" s="11">
        <f>Dashboard!B41</f>
        <v/>
      </c>
      <c r="D33" t="inlineStr">
        <is>
          <t>Opus</t>
        </is>
      </c>
      <c r="E33" t="inlineStr">
        <is>
          <t>4.5%</t>
        </is>
      </c>
      <c r="F33" s="31" t="inlineStr"/>
    </row>
    <row r="34">
      <c r="A34" t="inlineStr">
        <is>
          <t>Terminal method</t>
        </is>
      </c>
      <c r="B34" t="inlineStr">
        <is>
          <t>B43</t>
        </is>
      </c>
      <c r="C34" s="12">
        <f>Dashboard!B43</f>
        <v/>
      </c>
      <c r="D34" t="inlineStr">
        <is>
          <t>Opus</t>
        </is>
      </c>
      <c r="E34" t="inlineStr">
        <is>
          <t>Exit multiple</t>
        </is>
      </c>
      <c r="F34" s="31" t="inlineStr"/>
    </row>
    <row r="35">
      <c r="A35" t="inlineStr">
        <is>
          <t>Exit basis</t>
        </is>
      </c>
      <c r="B35" t="inlineStr">
        <is>
          <t>B44</t>
        </is>
      </c>
      <c r="C35" s="12">
        <f>Dashboard!B44</f>
        <v/>
      </c>
      <c r="D35" t="inlineStr">
        <is>
          <t>Opus</t>
        </is>
      </c>
      <c r="E35" t="inlineStr">
        <is>
          <t>EV/EBITDA</t>
        </is>
      </c>
      <c r="F35" s="31" t="inlineStr"/>
    </row>
    <row r="36">
      <c r="A36" t="inlineStr">
        <is>
          <t>Exit multiple</t>
        </is>
      </c>
      <c r="B36" t="inlineStr">
        <is>
          <t>B45</t>
        </is>
      </c>
      <c r="C36" s="13">
        <f>Dashboard!B45</f>
        <v/>
      </c>
      <c r="D36" t="inlineStr">
        <is>
          <t>Opus</t>
        </is>
      </c>
      <c r="E36" t="inlineStr">
        <is>
          <t>15.0x</t>
        </is>
      </c>
      <c r="F36" s="31" t="inlineStr"/>
    </row>
    <row r="37">
      <c r="A37" t="inlineStr">
        <is>
          <t>Terminal growth (g)</t>
        </is>
      </c>
      <c r="B37" t="inlineStr">
        <is>
          <t>B46</t>
        </is>
      </c>
      <c r="C37" s="11">
        <f>Dashboard!B46</f>
        <v/>
      </c>
      <c r="D37" t="inlineStr">
        <is>
          <t>Opus</t>
        </is>
      </c>
      <c r="E37" t="inlineStr">
        <is>
          <t>4.0%</t>
        </is>
      </c>
      <c r="F37" s="31" t="inlineStr"/>
    </row>
    <row r="38">
      <c r="A38" t="inlineStr">
        <is>
          <t>2026 capex ($M)</t>
        </is>
      </c>
      <c r="B38" t="inlineStr">
        <is>
          <t>B34</t>
        </is>
      </c>
      <c r="C38" s="33">
        <f>Dashboard!B34</f>
        <v/>
      </c>
      <c r="D38" t="inlineStr">
        <is>
          <t>Opus</t>
        </is>
      </c>
      <c r="E38" t="inlineStr">
        <is>
          <t>—</t>
        </is>
      </c>
      <c r="F38" s="31" t="inlineStr">
        <is>
          <t>set from Opus 3% of FY1E revenue; edits not tracked (unit differs from the JSON)</t>
        </is>
      </c>
    </row>
    <row r="39">
      <c r="A39" t="inlineStr">
        <is>
          <t>Bull Δ — segment growth, near-term</t>
        </is>
      </c>
      <c r="B39" t="inlineStr">
        <is>
          <t>C52</t>
        </is>
      </c>
      <c r="C39" s="34">
        <f>Dashboard!C52</f>
        <v/>
      </c>
      <c r="D39" t="inlineStr">
        <is>
          <t>seed default</t>
        </is>
      </c>
      <c r="E39" t="inlineStr">
        <is>
          <t>3.0%</t>
        </is>
      </c>
      <c r="F39" s="31" t="inlineStr"/>
    </row>
    <row r="40">
      <c r="A40" t="inlineStr">
        <is>
          <t>Bear Δ — segment growth, near-term</t>
        </is>
      </c>
      <c r="B40" t="inlineStr">
        <is>
          <t>D52</t>
        </is>
      </c>
      <c r="C40" s="34">
        <f>Dashboard!D52</f>
        <v/>
      </c>
      <c r="D40" t="inlineStr">
        <is>
          <t>seed default</t>
        </is>
      </c>
      <c r="E40" t="inlineStr">
        <is>
          <t>-3.0%</t>
        </is>
      </c>
      <c r="F40" s="31" t="inlineStr"/>
    </row>
    <row r="41">
      <c r="A41" t="inlineStr">
        <is>
          <t>Bull Δ — segment growth, terminal</t>
        </is>
      </c>
      <c r="B41" t="inlineStr">
        <is>
          <t>C53</t>
        </is>
      </c>
      <c r="C41" s="34">
        <f>Dashboard!C53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segment growth, terminal</t>
        </is>
      </c>
      <c r="B42" t="inlineStr">
        <is>
          <t>D53</t>
        </is>
      </c>
      <c r="C42" s="34">
        <f>Dashboard!D53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near-term</t>
        </is>
      </c>
      <c r="B43" t="inlineStr">
        <is>
          <t>C54</t>
        </is>
      </c>
      <c r="C43" s="34">
        <f>Dashboard!C54</f>
        <v/>
      </c>
      <c r="D43" t="inlineStr">
        <is>
          <t>seed default</t>
        </is>
      </c>
      <c r="E43" t="inlineStr">
        <is>
          <t>1.0%</t>
        </is>
      </c>
      <c r="F43" s="31" t="inlineStr"/>
    </row>
    <row r="44">
      <c r="A44" t="inlineStr">
        <is>
          <t>Bear Δ — operating margin, near-term</t>
        </is>
      </c>
      <c r="B44" t="inlineStr">
        <is>
          <t>D54</t>
        </is>
      </c>
      <c r="C44" s="34">
        <f>Dashboard!D54</f>
        <v/>
      </c>
      <c r="D44" t="inlineStr">
        <is>
          <t>seed default</t>
        </is>
      </c>
      <c r="E44" t="inlineStr">
        <is>
          <t>-1.0%</t>
        </is>
      </c>
      <c r="F44" s="31" t="inlineStr"/>
    </row>
    <row r="45">
      <c r="A45" t="inlineStr">
        <is>
          <t>Bull Δ — operating margin, terminal</t>
        </is>
      </c>
      <c r="B45" t="inlineStr">
        <is>
          <t>C55</t>
        </is>
      </c>
      <c r="C45" s="34">
        <f>Dashboard!C55</f>
        <v/>
      </c>
      <c r="D45" t="inlineStr">
        <is>
          <t>seed default</t>
        </is>
      </c>
      <c r="E45" t="inlineStr">
        <is>
          <t>2.0%</t>
        </is>
      </c>
      <c r="F45" s="31" t="inlineStr"/>
    </row>
    <row r="46">
      <c r="A46" t="inlineStr">
        <is>
          <t>Bear Δ — operating margin, terminal</t>
        </is>
      </c>
      <c r="B46" t="inlineStr">
        <is>
          <t>D55</t>
        </is>
      </c>
      <c r="C46" s="34">
        <f>Dashboard!D55</f>
        <v/>
      </c>
      <c r="D46" t="inlineStr">
        <is>
          <t>seed default</t>
        </is>
      </c>
      <c r="E46" t="inlineStr">
        <is>
          <t>-2.0%</t>
        </is>
      </c>
      <c r="F46" s="31" t="inlineStr"/>
    </row>
    <row r="47">
      <c r="A47" t="inlineStr">
        <is>
          <t>Bull Δ — exit multiple</t>
        </is>
      </c>
      <c r="B47" t="inlineStr">
        <is>
          <t>C56</t>
        </is>
      </c>
      <c r="C47" s="35">
        <f>Dashboard!C56</f>
        <v/>
      </c>
      <c r="D47" t="inlineStr">
        <is>
          <t>seed default</t>
        </is>
      </c>
      <c r="E47" t="inlineStr">
        <is>
          <t>2.0x</t>
        </is>
      </c>
      <c r="F47" s="31" t="inlineStr"/>
    </row>
    <row r="48">
      <c r="A48" t="inlineStr">
        <is>
          <t>Bear Δ — exit multiple</t>
        </is>
      </c>
      <c r="B48" t="inlineStr">
        <is>
          <t>D56</t>
        </is>
      </c>
      <c r="C48" s="35">
        <f>Dashboard!D56</f>
        <v/>
      </c>
      <c r="D48" t="inlineStr">
        <is>
          <t>seed default</t>
        </is>
      </c>
      <c r="E48" t="inlineStr">
        <is>
          <t>-2.0x</t>
        </is>
      </c>
      <c r="F48" s="31" t="inlineStr"/>
    </row>
    <row r="49">
      <c r="A49" t="inlineStr">
        <is>
          <t>Bull Δ — terminal growth (g)</t>
        </is>
      </c>
      <c r="B49" t="inlineStr">
        <is>
          <t>C57</t>
        </is>
      </c>
      <c r="C49" s="34">
        <f>Dashboard!C57</f>
        <v/>
      </c>
      <c r="D49" t="inlineStr">
        <is>
          <t>seed default</t>
        </is>
      </c>
      <c r="E49" t="inlineStr">
        <is>
          <t>0.5%</t>
        </is>
      </c>
      <c r="F49" s="31" t="inlineStr"/>
    </row>
    <row r="50">
      <c r="A50" t="inlineStr">
        <is>
          <t>Bear Δ — terminal growth (g)</t>
        </is>
      </c>
      <c r="B50" t="inlineStr">
        <is>
          <t>D57</t>
        </is>
      </c>
      <c r="C50" s="34">
        <f>Dashboard!D57</f>
        <v/>
      </c>
      <c r="D50" t="inlineStr">
        <is>
          <t>seed default</t>
        </is>
      </c>
      <c r="E50" t="inlineStr">
        <is>
          <t>-0.5%</t>
        </is>
      </c>
      <c r="F50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Data Center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Client and Gaming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Embedded</t>
        </is>
      </c>
      <c r="B8" s="33">
        <f>SUM(Financials!I25:L25)</f>
        <v/>
      </c>
      <c r="C8" s="33">
        <f>SUM(Financials!M25:P25)</f>
        <v/>
      </c>
      <c r="D8" s="33">
        <f>SUM(Financials!Q25:T25)</f>
        <v/>
      </c>
      <c r="E8" s="33">
        <f>SUM(Financials!U25:X25)</f>
        <v/>
      </c>
      <c r="F8" s="33">
        <f>SUM(Financials!Y25:AB25)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SUM(Financials!I5:L5)</f>
        <v/>
      </c>
      <c r="C14" s="33">
        <f>SUM(Financials!M5:P5)</f>
        <v/>
      </c>
      <c r="D14" s="33">
        <f>SUM(Financials!Q5:T5)</f>
        <v/>
      </c>
      <c r="E14" s="33">
        <f>SUM(Financials!U5:X5)</f>
        <v/>
      </c>
      <c r="F14" s="33">
        <f>SUM(Financials!Y5:AB5)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0.504835589941973</v>
      </c>
      <c r="H15" s="15" t="n">
        <v>0.504835589941973</v>
      </c>
      <c r="I15" s="15" t="n">
        <v>0.504835589941973</v>
      </c>
      <c r="J15" s="15" t="n">
        <v>0.504835589941973</v>
      </c>
      <c r="K15" s="15" t="n">
        <v>0.504835589941973</v>
      </c>
      <c r="L15" s="15" t="n">
        <v>0.504835589941973</v>
      </c>
      <c r="M15" s="15" t="n">
        <v>0.504835589941973</v>
      </c>
      <c r="N15" s="15" t="n">
        <v>0.504835589941973</v>
      </c>
      <c r="O15" s="15" t="n">
        <v>0.504835589941973</v>
      </c>
      <c r="P15" s="15" t="n">
        <v>0.504835589941973</v>
      </c>
    </row>
    <row r="16">
      <c r="A16" s="4" t="inlineStr">
        <is>
          <t>R&amp;D / Technology</t>
        </is>
      </c>
      <c r="B16" s="33">
        <f>SUM(Financials!I7:L7)</f>
        <v/>
      </c>
      <c r="C16" s="33">
        <f>SUM(Financials!M7:P7)</f>
        <v/>
      </c>
      <c r="D16" s="33">
        <f>SUM(Financials!Q7:T7)</f>
        <v/>
      </c>
      <c r="E16" s="33">
        <f>SUM(Financials!U7:X7)</f>
        <v/>
      </c>
      <c r="F16" s="33">
        <f>SUM(Financials!Y7:AB7)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0.2335806460925546</v>
      </c>
      <c r="H17" s="15" t="n">
        <v>0.2335806460925546</v>
      </c>
      <c r="I17" s="15" t="n">
        <v>0.2335806460925546</v>
      </c>
      <c r="J17" s="15" t="n">
        <v>0.2335806460925546</v>
      </c>
      <c r="K17" s="15" t="n">
        <v>0.2335806460925546</v>
      </c>
      <c r="L17" s="15" t="n">
        <v>0.2335806460925546</v>
      </c>
      <c r="M17" s="15" t="n">
        <v>0.2335806460925546</v>
      </c>
      <c r="N17" s="15" t="n">
        <v>0.2335806460925546</v>
      </c>
      <c r="O17" s="15" t="n">
        <v>0.2335806460925546</v>
      </c>
      <c r="P17" s="15" t="n">
        <v>0.2335806460925546</v>
      </c>
    </row>
    <row r="18">
      <c r="A18" s="4" t="inlineStr">
        <is>
          <t>SG&amp;A</t>
        </is>
      </c>
      <c r="B18" s="33">
        <f>SUM(Financials!I9:L9)</f>
        <v/>
      </c>
      <c r="C18" s="33">
        <f>SUM(Financials!M9:P9)</f>
        <v/>
      </c>
      <c r="D18" s="33">
        <f>SUM(Financials!Q9:T9)</f>
        <v/>
      </c>
      <c r="E18" s="33">
        <f>SUM(Financials!U9:X9)</f>
        <v/>
      </c>
      <c r="F18" s="33">
        <f>SUM(Financials!Y9:AB9)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0.1196339386240942</v>
      </c>
      <c r="H19" s="15" t="n">
        <v>0.1196339386240942</v>
      </c>
      <c r="I19" s="15" t="n">
        <v>0.1196339386240942</v>
      </c>
      <c r="J19" s="15" t="n">
        <v>0.1196339386240942</v>
      </c>
      <c r="K19" s="15" t="n">
        <v>0.1196339386240942</v>
      </c>
      <c r="L19" s="15" t="n">
        <v>0.1196339386240942</v>
      </c>
      <c r="M19" s="15" t="n">
        <v>0.1196339386240942</v>
      </c>
      <c r="N19" s="15" t="n">
        <v>0.1196339386240942</v>
      </c>
      <c r="O19" s="15" t="n">
        <v>0.1196339386240942</v>
      </c>
      <c r="P19" s="15" t="n">
        <v>0.1196339386240942</v>
      </c>
    </row>
    <row r="20">
      <c r="A20" s="4" t="inlineStr">
        <is>
          <t>Other opex (fulfilment, etc.)</t>
        </is>
      </c>
      <c r="B20" s="33">
        <f>B10-(B14+B16+B18)-SUM(Financials!I13:L13)</f>
        <v/>
      </c>
      <c r="C20" s="33">
        <f>C10-(C14+C16+C18)-SUM(Financials!M13:P13)</f>
        <v/>
      </c>
      <c r="D20" s="33">
        <f>D10-(D14+D16+D18)-SUM(Financials!Q13:T13)</f>
        <v/>
      </c>
      <c r="E20" s="33">
        <f>E10-(E14+E16+E18)-SUM(Financials!U13:X13)</f>
        <v/>
      </c>
      <c r="F20" s="33">
        <f>F10-(F14+F16+F18)-SUM(Financials!Y13:AB13)</f>
        <v/>
      </c>
      <c r="G20" s="33">
        <f>G10*(1-(Dashboard!$B$29+(Dashboard!$B$30-Dashboard!$B$29)*MIN(1,0/4)))-(G14+G16+G18)</f>
        <v/>
      </c>
      <c r="H20" s="33">
        <f>H10*(1-(Dashboard!$B$29+(Dashboard!$B$30-Dashboard!$B$29)*MIN(1,1/4)))-(H14+H16+H18)</f>
        <v/>
      </c>
      <c r="I20" s="33">
        <f>I10*(1-(Dashboard!$B$29+(Dashboard!$B$30-Dashboard!$B$29)*MIN(1,2/4)))-(I14+I16+I18)</f>
        <v/>
      </c>
      <c r="J20" s="33">
        <f>J10*(1-(Dashboard!$B$29+(Dashboard!$B$30-Dashboard!$B$29)*MIN(1,3/4)))-(J14+J16+J18)</f>
        <v/>
      </c>
      <c r="K20" s="33">
        <f>K10*(1-(Dashboard!$B$29+(Dashboard!$B$30-Dashboard!$B$29)*MIN(1,4/4)))-(K14+K16+K18)</f>
        <v/>
      </c>
      <c r="L20" s="33">
        <f>L10*(1-(Dashboard!$B$29+(Dashboard!$B$30-Dashboard!$B$29)*MIN(1,5/4)))-(L14+L16+L18)</f>
        <v/>
      </c>
      <c r="M20" s="33">
        <f>M10*(1-(Dashboard!$B$29+(Dashboard!$B$30-Dashboard!$B$29)*MIN(1,6/4)))-(M14+M16+M18)</f>
        <v/>
      </c>
      <c r="N20" s="33">
        <f>N10*(1-(Dashboard!$B$29+(Dashboard!$B$30-Dashboard!$B$29)*MIN(1,7/4)))-(N14+N16+N18)</f>
        <v/>
      </c>
      <c r="O20" s="33">
        <f>O10*(1-(Dashboard!$B$29+(Dashboard!$B$30-Dashboard!$B$29)*MIN(1,8/4)))-(O14+O16+O18)</f>
        <v/>
      </c>
      <c r="P20" s="33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SUM(Financials!I37:L37)</f>
        <v/>
      </c>
      <c r="C28" s="33">
        <f>SUM(Financials!M37:P37)</f>
        <v/>
      </c>
      <c r="D28" s="33">
        <f>SUM(Financials!Q37:T37)</f>
        <v/>
      </c>
      <c r="E28" s="33">
        <f>SUM(Financials!U37:X37)</f>
        <v/>
      </c>
      <c r="F28" s="33">
        <f>SUM(Financials!Y37:AB37)</f>
        <v/>
      </c>
      <c r="G28" s="41">
        <f>G10*0.0867</f>
        <v/>
      </c>
      <c r="H28" s="41">
        <f>H10*0.0867</f>
        <v/>
      </c>
      <c r="I28" s="41">
        <f>I10*0.0867</f>
        <v/>
      </c>
      <c r="J28" s="41">
        <f>J10*0.0867</f>
        <v/>
      </c>
      <c r="K28" s="41">
        <f>K10*0.0867</f>
        <v/>
      </c>
      <c r="L28" s="41">
        <f>L10*0.0867</f>
        <v/>
      </c>
      <c r="M28" s="41">
        <f>M10*0.0867</f>
        <v/>
      </c>
      <c r="N28" s="41">
        <f>N10*0.0867</f>
        <v/>
      </c>
      <c r="O28" s="41">
        <f>O10*0.0867</f>
        <v/>
      </c>
      <c r="P28" s="41">
        <f>P10*0.0867</f>
        <v/>
      </c>
    </row>
    <row r="29">
      <c r="A29" s="4" t="inlineStr">
        <is>
          <t>+ SBC (non-cash)</t>
        </is>
      </c>
      <c r="B29" s="33">
        <f>SUM(Financials!I38:L38)</f>
        <v/>
      </c>
      <c r="C29" s="33">
        <f>SUM(Financials!M38:P38)</f>
        <v/>
      </c>
      <c r="D29" s="33">
        <f>SUM(Financials!Q38:T38)</f>
        <v/>
      </c>
      <c r="E29" s="33">
        <f>SUM(Financials!U38:X38)</f>
        <v/>
      </c>
      <c r="F29" s="33">
        <f>SUM(Financials!Y38:AB38)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-SUM(Financials!I41:L41)</f>
        <v/>
      </c>
      <c r="C31" s="33">
        <f>-SUM(Financials!M41:P41)</f>
        <v/>
      </c>
      <c r="D31" s="33">
        <f>-SUM(Financials!Q41:T41)</f>
        <v/>
      </c>
      <c r="E31" s="33">
        <f>-SUM(Financials!U41:X41)</f>
        <v/>
      </c>
      <c r="F31" s="33">
        <f>-SUM(Financials!Y41:AB41)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Financials!L35+Financials!L34-Financials!L29</f>
        <v/>
      </c>
      <c r="C38" s="33">
        <f>Financials!P35+Financials!P34-Financials!P29</f>
        <v/>
      </c>
      <c r="D38" s="33">
        <f>Financials!T35+Financials!T34-Financials!T29</f>
        <v/>
      </c>
      <c r="E38" s="33">
        <f>Financials!X35+Financials!X34-Financials!X29</f>
        <v/>
      </c>
      <c r="F38" s="33">
        <f>Financials!AB35+Financials!AB34-Financials!AB29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Financials!L35</f>
        <v/>
      </c>
      <c r="C39" s="33">
        <f>Financials!P35</f>
        <v/>
      </c>
      <c r="D39" s="33">
        <f>Financials!T35</f>
        <v/>
      </c>
      <c r="E39" s="33">
        <f>Financials!X35</f>
        <v/>
      </c>
      <c r="F39" s="33">
        <f>Financials!AB35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1531</v>
      </c>
      <c r="C3" s="18" t="n">
        <v>1801</v>
      </c>
      <c r="D3" s="18" t="n">
        <v>2127</v>
      </c>
      <c r="E3" s="18" t="n">
        <v>1786</v>
      </c>
      <c r="F3" s="18" t="n">
        <v>1932</v>
      </c>
      <c r="G3" s="18" t="n">
        <v>2801</v>
      </c>
      <c r="H3" s="18" t="n">
        <v>3244</v>
      </c>
      <c r="I3" s="18" t="n">
        <v>3445</v>
      </c>
      <c r="J3" s="18" t="n">
        <v>3850</v>
      </c>
      <c r="K3" s="18" t="n">
        <v>4313</v>
      </c>
      <c r="L3" s="18" t="n">
        <v>4826</v>
      </c>
      <c r="M3" s="18" t="n">
        <v>5887</v>
      </c>
      <c r="N3" s="18" t="n">
        <v>6550</v>
      </c>
      <c r="O3" s="18" t="n">
        <v>5565</v>
      </c>
      <c r="P3" s="18" t="n">
        <v>5599</v>
      </c>
      <c r="Q3" s="18" t="n">
        <v>5353</v>
      </c>
      <c r="R3" s="18" t="n">
        <v>5359</v>
      </c>
      <c r="S3" s="18" t="n">
        <v>5800</v>
      </c>
      <c r="T3" s="18" t="n">
        <v>6168</v>
      </c>
      <c r="U3" s="18" t="n">
        <v>5473</v>
      </c>
      <c r="V3" s="18" t="n">
        <v>5835</v>
      </c>
      <c r="W3" s="18" t="n">
        <v>6819</v>
      </c>
      <c r="X3" s="18" t="n">
        <v>7658</v>
      </c>
      <c r="Y3" s="18" t="n">
        <v>7438</v>
      </c>
      <c r="Z3" s="18" t="n">
        <v>7685</v>
      </c>
      <c r="AA3" s="18" t="n">
        <v>9246</v>
      </c>
      <c r="AB3" s="18" t="n">
        <v>10270</v>
      </c>
      <c r="AC3" s="18" t="n">
        <v>10253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910</v>
      </c>
      <c r="C5" s="18" t="n">
        <v>1024</v>
      </c>
      <c r="D5" s="18" t="n">
        <v>1178</v>
      </c>
      <c r="E5" s="18" t="n">
        <v>968</v>
      </c>
      <c r="F5" s="18" t="n">
        <v>1084</v>
      </c>
      <c r="G5" s="18" t="n">
        <v>1571</v>
      </c>
      <c r="H5" s="18" t="n">
        <v>1793</v>
      </c>
      <c r="I5" s="18" t="n">
        <v>1858</v>
      </c>
      <c r="J5" s="18" t="n">
        <v>2020</v>
      </c>
      <c r="K5" s="18" t="n">
        <v>2227</v>
      </c>
      <c r="L5" s="18" t="n">
        <v>2400</v>
      </c>
      <c r="M5" s="18" t="n">
        <v>3069</v>
      </c>
      <c r="N5" s="18" t="n">
        <v>3522</v>
      </c>
      <c r="O5" s="18" t="n">
        <v>3211</v>
      </c>
      <c r="P5" s="18" t="n">
        <v>3196</v>
      </c>
      <c r="Q5" s="18" t="n">
        <v>2994</v>
      </c>
      <c r="R5" s="18" t="n">
        <v>2916</v>
      </c>
      <c r="S5" s="18" t="n">
        <v>3053</v>
      </c>
      <c r="T5" s="18" t="n">
        <v>3257</v>
      </c>
      <c r="U5" s="18" t="n">
        <v>2913</v>
      </c>
      <c r="V5" s="18" t="n">
        <v>2971</v>
      </c>
      <c r="W5" s="18" t="n">
        <v>3400</v>
      </c>
      <c r="X5" s="18" t="n">
        <v>3776</v>
      </c>
      <c r="Y5" s="18" t="n">
        <v>3702</v>
      </c>
      <c r="Z5" s="18" t="n">
        <v>4626</v>
      </c>
      <c r="AA5" s="18" t="n">
        <v>4466</v>
      </c>
      <c r="AB5" s="18" t="n">
        <v>4693</v>
      </c>
      <c r="AC5" s="18" t="n">
        <v>4837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373</v>
      </c>
      <c r="C7" s="18" t="n">
        <v>406</v>
      </c>
      <c r="D7" s="18" t="n">
        <v>395</v>
      </c>
      <c r="E7" s="18" t="n">
        <v>442</v>
      </c>
      <c r="F7" s="18" t="n">
        <v>460</v>
      </c>
      <c r="G7" s="18" t="n">
        <v>508</v>
      </c>
      <c r="H7" s="18" t="n">
        <v>573</v>
      </c>
      <c r="I7" s="18" t="n">
        <v>610</v>
      </c>
      <c r="J7" s="18" t="n">
        <v>659</v>
      </c>
      <c r="K7" s="18" t="n">
        <v>765</v>
      </c>
      <c r="L7" s="18" t="n">
        <v>811</v>
      </c>
      <c r="M7" s="18" t="n">
        <v>1060</v>
      </c>
      <c r="N7" s="18" t="n">
        <v>1300</v>
      </c>
      <c r="O7" s="18" t="n">
        <v>1279</v>
      </c>
      <c r="P7" s="18" t="n">
        <v>1366</v>
      </c>
      <c r="Q7" s="18" t="n">
        <v>1411</v>
      </c>
      <c r="R7" s="18" t="n">
        <v>1443</v>
      </c>
      <c r="S7" s="18" t="n">
        <v>1507</v>
      </c>
      <c r="T7" s="18" t="n">
        <v>1511</v>
      </c>
      <c r="U7" s="18" t="n">
        <v>1525</v>
      </c>
      <c r="V7" s="18" t="n">
        <v>1583</v>
      </c>
      <c r="W7" s="18" t="n">
        <v>1636</v>
      </c>
      <c r="X7" s="18" t="n">
        <v>1712</v>
      </c>
      <c r="Y7" s="18" t="n">
        <v>1728</v>
      </c>
      <c r="Z7" s="18" t="n">
        <v>1894</v>
      </c>
      <c r="AA7" s="18" t="n">
        <v>2139</v>
      </c>
      <c r="AB7" s="18" t="n">
        <v>2330</v>
      </c>
      <c r="AC7" s="18" t="n">
        <v>2397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189</v>
      </c>
      <c r="C9" s="18" t="n">
        <v>185</v>
      </c>
      <c r="D9" s="18" t="n">
        <v>206</v>
      </c>
      <c r="E9" s="18" t="n">
        <v>199</v>
      </c>
      <c r="F9" s="18" t="n">
        <v>215</v>
      </c>
      <c r="G9" s="18" t="n">
        <v>273</v>
      </c>
      <c r="H9" s="18" t="n">
        <v>308</v>
      </c>
      <c r="I9" s="18" t="n">
        <v>319</v>
      </c>
      <c r="J9" s="18" t="n">
        <v>341</v>
      </c>
      <c r="K9" s="18" t="n">
        <v>376</v>
      </c>
      <c r="L9" s="18" t="n">
        <v>412</v>
      </c>
      <c r="M9" s="18" t="n">
        <v>597</v>
      </c>
      <c r="N9" s="18" t="n">
        <v>592</v>
      </c>
      <c r="O9" s="18" t="n">
        <v>557</v>
      </c>
      <c r="P9" s="18" t="n">
        <v>590</v>
      </c>
      <c r="Q9" s="18" t="n">
        <v>585</v>
      </c>
      <c r="R9" s="18" t="n">
        <v>547</v>
      </c>
      <c r="S9" s="18" t="n">
        <v>576</v>
      </c>
      <c r="T9" s="18" t="n">
        <v>644</v>
      </c>
      <c r="U9" s="18" t="n">
        <v>607</v>
      </c>
      <c r="V9" s="18" t="n">
        <v>640</v>
      </c>
      <c r="W9" s="18" t="n">
        <v>721</v>
      </c>
      <c r="X9" s="18" t="n">
        <v>792</v>
      </c>
      <c r="Y9" s="18" t="n">
        <v>886</v>
      </c>
      <c r="Z9" s="18" t="n">
        <v>991</v>
      </c>
      <c r="AA9" s="18" t="n">
        <v>1069</v>
      </c>
      <c r="AB9" s="18" t="n">
        <v>1198</v>
      </c>
      <c r="AC9" s="18" t="n">
        <v>1253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621</v>
      </c>
      <c r="C11" s="18" t="n">
        <v>777</v>
      </c>
      <c r="D11" s="18" t="n">
        <v>949</v>
      </c>
      <c r="E11" s="18" t="n">
        <v>818</v>
      </c>
      <c r="F11" s="18" t="n">
        <v>848</v>
      </c>
      <c r="G11" s="18" t="n">
        <v>1230</v>
      </c>
      <c r="H11" s="18" t="n">
        <v>1451</v>
      </c>
      <c r="I11" s="18" t="n">
        <v>1587</v>
      </c>
      <c r="J11" s="18" t="n">
        <v>1830</v>
      </c>
      <c r="K11" s="18" t="n">
        <v>2086</v>
      </c>
      <c r="L11" s="18" t="n">
        <v>2426</v>
      </c>
      <c r="M11" s="18" t="n">
        <v>2818</v>
      </c>
      <c r="N11" s="18" t="n">
        <v>3028</v>
      </c>
      <c r="O11" s="18" t="n">
        <v>2354</v>
      </c>
      <c r="P11" s="18" t="n">
        <v>2403</v>
      </c>
      <c r="Q11" s="18" t="n">
        <v>2359</v>
      </c>
      <c r="R11" s="18" t="n">
        <v>2443</v>
      </c>
      <c r="S11" s="18" t="n">
        <v>2747</v>
      </c>
      <c r="T11" s="18" t="n">
        <v>2911</v>
      </c>
      <c r="U11" s="18" t="n">
        <v>2560</v>
      </c>
      <c r="V11" s="18" t="n">
        <v>2864</v>
      </c>
      <c r="W11" s="18" t="n">
        <v>3419</v>
      </c>
      <c r="X11" s="18" t="n">
        <v>3882</v>
      </c>
      <c r="Y11" s="18" t="n">
        <v>3736</v>
      </c>
      <c r="Z11" s="18" t="n">
        <v>3059</v>
      </c>
      <c r="AA11" s="18" t="n">
        <v>4780</v>
      </c>
      <c r="AB11" s="18" t="n">
        <v>5577</v>
      </c>
      <c r="AC11" s="18" t="n">
        <v>5416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59</v>
      </c>
      <c r="C13" s="18" t="n">
        <v>186</v>
      </c>
      <c r="D13" s="18" t="n">
        <v>348</v>
      </c>
      <c r="E13" s="18" t="n">
        <v>177</v>
      </c>
      <c r="F13" s="18" t="n">
        <v>173</v>
      </c>
      <c r="G13" s="18" t="n">
        <v>449</v>
      </c>
      <c r="H13" s="18" t="n">
        <v>570</v>
      </c>
      <c r="I13" s="18" t="n">
        <v>662</v>
      </c>
      <c r="J13" s="18" t="n">
        <v>831</v>
      </c>
      <c r="K13" s="18" t="n">
        <v>948</v>
      </c>
      <c r="L13" s="18" t="n">
        <v>1207</v>
      </c>
      <c r="M13" s="18" t="n">
        <v>951</v>
      </c>
      <c r="N13" s="18" t="n">
        <v>526</v>
      </c>
      <c r="O13" s="18" t="n">
        <v>-64</v>
      </c>
      <c r="P13" s="18" t="n">
        <v>-149</v>
      </c>
      <c r="Q13" s="18" t="n">
        <v>-145</v>
      </c>
      <c r="R13" s="18" t="n">
        <v>-20</v>
      </c>
      <c r="S13" s="18" t="n">
        <v>224</v>
      </c>
      <c r="T13" s="18" t="n">
        <v>342</v>
      </c>
      <c r="U13" s="18" t="n">
        <v>36</v>
      </c>
      <c r="V13" s="18" t="n">
        <v>269</v>
      </c>
      <c r="W13" s="18" t="n">
        <v>724</v>
      </c>
      <c r="X13" s="18" t="n">
        <v>871</v>
      </c>
      <c r="Y13" s="18" t="n">
        <v>806</v>
      </c>
      <c r="Z13" s="18" t="n">
        <v>-134</v>
      </c>
      <c r="AA13" s="18" t="n">
        <v>1270</v>
      </c>
      <c r="AB13" s="18" t="n">
        <v>1753</v>
      </c>
      <c r="AC13" s="18" t="n">
        <v>1476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35</v>
      </c>
      <c r="C15" s="18" t="n">
        <v>120</v>
      </c>
      <c r="D15" s="18" t="n">
        <v>170</v>
      </c>
      <c r="E15" s="18" t="n">
        <v>162</v>
      </c>
      <c r="F15" s="18" t="n">
        <v>157</v>
      </c>
      <c r="G15" s="18" t="n">
        <v>390</v>
      </c>
      <c r="H15" s="18" t="n">
        <v>1781</v>
      </c>
      <c r="I15" s="18" t="n">
        <v>555</v>
      </c>
      <c r="J15" s="18" t="n">
        <v>710</v>
      </c>
      <c r="K15" s="18" t="n">
        <v>923</v>
      </c>
      <c r="L15" s="18" t="n">
        <v>974</v>
      </c>
      <c r="M15" s="18" t="n">
        <v>786</v>
      </c>
      <c r="N15" s="18" t="n">
        <v>447</v>
      </c>
      <c r="O15" s="18" t="n">
        <v>66</v>
      </c>
      <c r="P15" s="18" t="n">
        <v>21</v>
      </c>
      <c r="Q15" s="18" t="n">
        <v>-139</v>
      </c>
      <c r="R15" s="18" t="n">
        <v>27</v>
      </c>
      <c r="S15" s="18" t="n">
        <v>299</v>
      </c>
      <c r="T15" s="18" t="n">
        <v>667</v>
      </c>
      <c r="U15" s="18" t="n">
        <v>123</v>
      </c>
      <c r="V15" s="18" t="n">
        <v>265</v>
      </c>
      <c r="W15" s="18" t="n">
        <v>771</v>
      </c>
      <c r="X15" s="18" t="n">
        <v>482</v>
      </c>
      <c r="Y15" s="18" t="n">
        <v>709</v>
      </c>
      <c r="Z15" s="18" t="n">
        <v>872</v>
      </c>
      <c r="AA15" s="18" t="n">
        <v>1243</v>
      </c>
      <c r="AB15" s="18" t="n">
        <v>1511</v>
      </c>
      <c r="AC15" s="18" t="n">
        <v>1366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1109</v>
      </c>
      <c r="C17" s="18" t="n">
        <v>1117</v>
      </c>
      <c r="D17" s="18" t="n">
        <v>1188</v>
      </c>
      <c r="E17" s="18" t="n">
        <v>1224</v>
      </c>
      <c r="F17" s="18" t="n">
        <v>1227</v>
      </c>
      <c r="G17" s="18" t="n">
        <v>1215</v>
      </c>
      <c r="H17" s="18" t="n">
        <v>1226</v>
      </c>
      <c r="I17" s="18" t="n">
        <v>1231</v>
      </c>
      <c r="J17" s="18" t="n">
        <v>1232</v>
      </c>
      <c r="K17" s="18" t="n">
        <v>1230</v>
      </c>
      <c r="L17" s="18" t="n">
        <v>1222</v>
      </c>
      <c r="M17" s="18" t="n">
        <v>1410</v>
      </c>
      <c r="N17" s="18" t="n">
        <v>1632</v>
      </c>
      <c r="O17" s="18" t="n">
        <v>1625</v>
      </c>
      <c r="P17" s="18" t="n">
        <v>1618</v>
      </c>
      <c r="Q17" s="18" t="n">
        <v>1611</v>
      </c>
      <c r="R17" s="18" t="n">
        <v>1627</v>
      </c>
      <c r="S17" s="18" t="n">
        <v>1629</v>
      </c>
      <c r="T17" s="18" t="n">
        <v>1628</v>
      </c>
      <c r="U17" s="18" t="n">
        <v>1639</v>
      </c>
      <c r="V17" s="18" t="n">
        <v>1637</v>
      </c>
      <c r="W17" s="18" t="n">
        <v>1636</v>
      </c>
      <c r="X17" s="18" t="n">
        <v>1634</v>
      </c>
      <c r="Y17" s="18" t="n">
        <v>1626</v>
      </c>
      <c r="Z17" s="18" t="n">
        <v>1630</v>
      </c>
      <c r="AA17" s="18" t="n">
        <v>1641</v>
      </c>
      <c r="AB17" s="18" t="n">
        <v>1649</v>
      </c>
      <c r="AC17" s="18" t="n">
        <v>1650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Data Center</t>
        </is>
      </c>
      <c r="N19" s="18" t="n">
        <v>1486</v>
      </c>
      <c r="O19" s="18" t="n">
        <v>1609</v>
      </c>
      <c r="P19" s="18" t="n">
        <v>2948</v>
      </c>
      <c r="Q19" s="18" t="n">
        <v>1757</v>
      </c>
      <c r="R19" s="18" t="n">
        <v>1581</v>
      </c>
      <c r="S19" s="18" t="n">
        <v>1506</v>
      </c>
      <c r="T19" s="18" t="n">
        <v>1652</v>
      </c>
      <c r="U19" s="18" t="n">
        <v>2337</v>
      </c>
      <c r="V19" s="18" t="n">
        <v>2834</v>
      </c>
      <c r="W19" s="18" t="n">
        <v>3549</v>
      </c>
      <c r="X19" s="18" t="n">
        <v>3859</v>
      </c>
      <c r="Y19" s="18" t="n">
        <v>3674</v>
      </c>
      <c r="Z19" s="18" t="n">
        <v>3240</v>
      </c>
      <c r="AA19" s="18" t="n">
        <v>4341</v>
      </c>
      <c r="AB19" s="18" t="n">
        <v>5380</v>
      </c>
      <c r="AC19" s="18" t="n">
        <v>5775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Client and Gaming</t>
        </is>
      </c>
      <c r="Y22" s="18" t="n">
        <v>2941</v>
      </c>
      <c r="Z22" s="18" t="n">
        <v>3621</v>
      </c>
      <c r="AA22" s="18" t="n">
        <v>4048</v>
      </c>
      <c r="AB22" s="18" t="n">
        <v>3940</v>
      </c>
      <c r="AC22" s="18" t="n">
        <v>3605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Embedded</t>
        </is>
      </c>
      <c r="N25" s="18" t="n">
        <v>1257</v>
      </c>
      <c r="O25" s="18" t="n">
        <v>1303</v>
      </c>
      <c r="P25" s="18" t="n">
        <v>1992</v>
      </c>
      <c r="Q25" s="18" t="n">
        <v>1562</v>
      </c>
      <c r="R25" s="18" t="n">
        <v>1459</v>
      </c>
      <c r="S25" s="18" t="n">
        <v>1243</v>
      </c>
      <c r="T25" s="18" t="n">
        <v>1057</v>
      </c>
      <c r="U25" s="18" t="n">
        <v>846</v>
      </c>
      <c r="V25" s="18" t="n">
        <v>861</v>
      </c>
      <c r="W25" s="18" t="n">
        <v>927</v>
      </c>
      <c r="X25" s="18" t="n">
        <v>923</v>
      </c>
      <c r="Y25" s="18" t="n">
        <v>823</v>
      </c>
      <c r="Z25" s="18" t="n">
        <v>824</v>
      </c>
      <c r="AA25" s="18" t="n">
        <v>857</v>
      </c>
      <c r="AB25" s="18" t="n">
        <v>950</v>
      </c>
      <c r="AC25" s="18" t="n">
        <v>873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1128</v>
      </c>
      <c r="C29" s="18" t="n">
        <v>1209</v>
      </c>
      <c r="D29" s="18" t="n">
        <v>1503</v>
      </c>
      <c r="E29" s="18" t="n">
        <v>1385</v>
      </c>
      <c r="F29" s="18" t="n">
        <v>1775</v>
      </c>
      <c r="G29" s="18" t="n">
        <v>1771</v>
      </c>
      <c r="H29" s="18" t="n">
        <v>2290</v>
      </c>
      <c r="I29" s="18" t="n">
        <v>3116</v>
      </c>
      <c r="J29" s="18" t="n">
        <v>3793</v>
      </c>
      <c r="K29" s="18" t="n">
        <v>3608</v>
      </c>
      <c r="L29" s="18" t="n">
        <v>3608</v>
      </c>
      <c r="M29" s="18" t="n">
        <v>6532</v>
      </c>
      <c r="N29" s="18" t="n">
        <v>5992</v>
      </c>
      <c r="O29" s="18" t="n">
        <v>5591</v>
      </c>
      <c r="P29" s="18" t="n">
        <v>5855</v>
      </c>
      <c r="Q29" s="18" t="n">
        <v>5939</v>
      </c>
      <c r="R29" s="18" t="n">
        <v>6285</v>
      </c>
      <c r="S29" s="18" t="n">
        <v>5785</v>
      </c>
      <c r="T29" s="18" t="n">
        <v>5773</v>
      </c>
      <c r="U29" s="18" t="n">
        <v>6035</v>
      </c>
      <c r="V29" s="18" t="n">
        <v>5340</v>
      </c>
      <c r="W29" s="18" t="n">
        <v>4544</v>
      </c>
      <c r="X29" s="18" t="n">
        <v>5132</v>
      </c>
      <c r="Y29" s="18" t="n">
        <v>7310</v>
      </c>
      <c r="Z29" s="18" t="n">
        <v>5867</v>
      </c>
      <c r="AA29" s="18" t="n">
        <v>7243</v>
      </c>
      <c r="AB29" s="18" t="n">
        <v>10552</v>
      </c>
      <c r="AC29" s="18" t="n">
        <v>12347</v>
      </c>
    </row>
    <row r="30">
      <c r="A30" s="4" t="inlineStr">
        <is>
          <t>Total Current Assets</t>
        </is>
      </c>
      <c r="B30" s="18" t="n">
        <v>3754</v>
      </c>
      <c r="C30" s="18" t="n">
        <v>3912</v>
      </c>
      <c r="D30" s="18" t="n">
        <v>4597</v>
      </c>
      <c r="E30" s="18" t="n">
        <v>4390</v>
      </c>
      <c r="F30" s="18" t="n">
        <v>5109</v>
      </c>
      <c r="G30" s="18" t="n">
        <v>5500</v>
      </c>
      <c r="H30" s="18" t="n">
        <v>6143</v>
      </c>
      <c r="I30" s="18" t="n">
        <v>7197</v>
      </c>
      <c r="J30" s="18" t="n">
        <v>7818</v>
      </c>
      <c r="K30" s="18" t="n">
        <v>7988</v>
      </c>
      <c r="L30" s="18" t="n">
        <v>8583</v>
      </c>
      <c r="M30" s="18" t="n">
        <v>13369</v>
      </c>
      <c r="N30" s="18" t="n">
        <v>13462</v>
      </c>
      <c r="O30" s="18" t="n">
        <v>14420</v>
      </c>
      <c r="P30" s="18" t="n">
        <v>15019</v>
      </c>
      <c r="Q30" s="18" t="n">
        <v>15658</v>
      </c>
      <c r="R30" s="18" t="n">
        <v>16505</v>
      </c>
      <c r="S30" s="18" t="n">
        <v>16688</v>
      </c>
      <c r="T30" s="18" t="n">
        <v>16768</v>
      </c>
      <c r="U30" s="18" t="n">
        <v>17084</v>
      </c>
      <c r="V30" s="18" t="n">
        <v>17465</v>
      </c>
      <c r="W30" s="18" t="n">
        <v>18735</v>
      </c>
      <c r="X30" s="18" t="n">
        <v>19049</v>
      </c>
      <c r="Y30" s="18" t="n">
        <v>21595</v>
      </c>
      <c r="Z30" s="18" t="n">
        <v>24519</v>
      </c>
      <c r="AA30" s="18" t="n">
        <v>27000</v>
      </c>
      <c r="AB30" s="18" t="n">
        <v>26947</v>
      </c>
      <c r="AC30" s="18" t="n">
        <v>28628</v>
      </c>
    </row>
    <row r="31">
      <c r="A31" s="4" t="inlineStr">
        <is>
          <t>PP&amp;E (net)</t>
        </is>
      </c>
      <c r="B31" s="18" t="n">
        <v>670</v>
      </c>
      <c r="C31" s="18" t="n">
        <v>658</v>
      </c>
      <c r="D31" s="18" t="n">
        <v>705</v>
      </c>
      <c r="E31" s="18" t="n">
        <v>761</v>
      </c>
      <c r="F31" s="18" t="n">
        <v>800</v>
      </c>
      <c r="G31" s="18" t="n">
        <v>810</v>
      </c>
      <c r="H31" s="18" t="n">
        <v>849</v>
      </c>
      <c r="I31" s="18" t="n">
        <v>922</v>
      </c>
      <c r="J31" s="18" t="n">
        <v>918</v>
      </c>
      <c r="K31" s="18" t="n">
        <v>1001</v>
      </c>
      <c r="L31" s="18" t="n">
        <v>1069</v>
      </c>
      <c r="M31" s="18" t="n">
        <v>1822</v>
      </c>
      <c r="N31" s="18" t="n">
        <v>1923</v>
      </c>
      <c r="O31" s="18" t="n">
        <v>1976</v>
      </c>
      <c r="P31" s="18" t="n">
        <v>1973</v>
      </c>
      <c r="Q31" s="18" t="n">
        <v>1947</v>
      </c>
      <c r="R31" s="18" t="n">
        <v>2002</v>
      </c>
      <c r="S31" s="18" t="n">
        <v>2073</v>
      </c>
      <c r="T31" s="18" t="n">
        <v>2222</v>
      </c>
      <c r="U31" s="18" t="n">
        <v>2256</v>
      </c>
      <c r="V31" s="18" t="n">
        <v>2301</v>
      </c>
      <c r="W31" s="18" t="n">
        <v>2316</v>
      </c>
      <c r="X31" s="18" t="n">
        <v>2425</v>
      </c>
      <c r="Y31" s="18" t="n">
        <v>1921</v>
      </c>
      <c r="Z31" s="18" t="n">
        <v>2128</v>
      </c>
      <c r="AA31" s="18" t="n">
        <v>2205</v>
      </c>
      <c r="AB31" s="18" t="n">
        <v>2312</v>
      </c>
      <c r="AC31" s="18" t="n">
        <v>2723</v>
      </c>
    </row>
    <row r="32">
      <c r="A32" s="4" t="inlineStr">
        <is>
          <t>Total Assets</t>
        </is>
      </c>
      <c r="B32" s="18" t="n">
        <v>5102</v>
      </c>
      <c r="C32" s="18" t="n">
        <v>5253</v>
      </c>
      <c r="D32" s="18" t="n">
        <v>6028</v>
      </c>
      <c r="E32" s="18" t="n">
        <v>5864</v>
      </c>
      <c r="F32" s="18" t="n">
        <v>6583</v>
      </c>
      <c r="G32" s="18" t="n">
        <v>7023</v>
      </c>
      <c r="H32" s="18" t="n">
        <v>8962</v>
      </c>
      <c r="I32" s="18" t="n">
        <v>10047</v>
      </c>
      <c r="J32" s="18" t="n">
        <v>10691</v>
      </c>
      <c r="K32" s="18" t="n">
        <v>11153</v>
      </c>
      <c r="L32" s="18" t="n">
        <v>12419</v>
      </c>
      <c r="M32" s="18" t="n">
        <v>66915</v>
      </c>
      <c r="N32" s="18" t="n">
        <v>67502</v>
      </c>
      <c r="O32" s="18" t="n">
        <v>67811</v>
      </c>
      <c r="P32" s="18" t="n">
        <v>67580</v>
      </c>
      <c r="Q32" s="18" t="n">
        <v>67634</v>
      </c>
      <c r="R32" s="18" t="n">
        <v>67967</v>
      </c>
      <c r="S32" s="18" t="n">
        <v>67626</v>
      </c>
      <c r="T32" s="18" t="n">
        <v>67885</v>
      </c>
      <c r="U32" s="18" t="n">
        <v>67895</v>
      </c>
      <c r="V32" s="18" t="n">
        <v>67886</v>
      </c>
      <c r="W32" s="18" t="n">
        <v>69636</v>
      </c>
      <c r="X32" s="18" t="n">
        <v>69226</v>
      </c>
      <c r="Y32" s="18" t="n">
        <v>71550</v>
      </c>
      <c r="Z32" s="18" t="n">
        <v>74820</v>
      </c>
      <c r="AA32" s="18" t="n">
        <v>76891</v>
      </c>
      <c r="AB32" s="18" t="n">
        <v>76926</v>
      </c>
      <c r="AC32" s="18" t="n">
        <v>79642</v>
      </c>
    </row>
    <row r="33">
      <c r="A33" s="4" t="inlineStr">
        <is>
          <t>Total Current Liabilities</t>
        </is>
      </c>
      <c r="B33" s="18" t="n">
        <v>1804</v>
      </c>
      <c r="C33" s="18" t="n">
        <v>1864</v>
      </c>
      <c r="D33" s="18" t="n">
        <v>2359</v>
      </c>
      <c r="E33" s="18" t="n">
        <v>1985</v>
      </c>
      <c r="F33" s="18" t="n">
        <v>2434</v>
      </c>
      <c r="G33" s="18" t="n">
        <v>2417</v>
      </c>
      <c r="H33" s="18" t="n">
        <v>2417</v>
      </c>
      <c r="I33" s="18" t="n">
        <v>2864</v>
      </c>
      <c r="J33" s="18" t="n">
        <v>2892</v>
      </c>
      <c r="K33" s="18" t="n">
        <v>3564</v>
      </c>
      <c r="L33" s="18" t="n">
        <v>4240</v>
      </c>
      <c r="M33" s="18" t="n">
        <v>5581</v>
      </c>
      <c r="N33" s="18" t="n">
        <v>5523</v>
      </c>
      <c r="O33" s="18" t="n">
        <v>6691</v>
      </c>
      <c r="P33" s="18" t="n">
        <v>6369</v>
      </c>
      <c r="Q33" s="18" t="n">
        <v>6577</v>
      </c>
      <c r="R33" s="18" t="n">
        <v>7572</v>
      </c>
      <c r="S33" s="18" t="n">
        <v>7627</v>
      </c>
      <c r="T33" s="18" t="n">
        <v>6689</v>
      </c>
      <c r="U33" s="18" t="n">
        <v>6474</v>
      </c>
      <c r="V33" s="18" t="n">
        <v>6195</v>
      </c>
      <c r="W33" s="18" t="n">
        <v>7500</v>
      </c>
      <c r="X33" s="18" t="n">
        <v>7281</v>
      </c>
      <c r="Y33" s="18" t="n">
        <v>7703</v>
      </c>
      <c r="Z33" s="18" t="n">
        <v>9843</v>
      </c>
      <c r="AA33" s="18" t="n">
        <v>11700</v>
      </c>
      <c r="AB33" s="18" t="n">
        <v>9455</v>
      </c>
      <c r="AC33" s="18" t="n">
        <v>10506</v>
      </c>
    </row>
    <row r="34">
      <c r="A34" s="4" t="inlineStr">
        <is>
          <t>Long-term Debt</t>
        </is>
      </c>
      <c r="B34" s="18" t="n">
        <v>1031</v>
      </c>
      <c r="C34" s="18" t="n">
        <v>872</v>
      </c>
      <c r="D34" s="18" t="n">
        <v>486</v>
      </c>
      <c r="E34" s="18" t="n">
        <v>488</v>
      </c>
      <c r="F34" s="18" t="n">
        <v>490</v>
      </c>
      <c r="G34" s="18" t="n">
        <v>373</v>
      </c>
      <c r="H34" s="18" t="n">
        <v>330</v>
      </c>
      <c r="I34" s="18" t="n">
        <v>313</v>
      </c>
      <c r="J34" s="18" t="n">
        <v>313</v>
      </c>
      <c r="K34" s="18" t="n">
        <v>1</v>
      </c>
      <c r="L34" s="18" t="n">
        <v>1</v>
      </c>
      <c r="M34" s="18" t="n">
        <v>1475</v>
      </c>
      <c r="N34" s="18" t="n">
        <v>2465</v>
      </c>
      <c r="O34" s="18" t="n">
        <v>2466</v>
      </c>
      <c r="P34" s="18" t="n">
        <v>2467</v>
      </c>
      <c r="Q34" s="18" t="n">
        <v>2467</v>
      </c>
      <c r="R34" s="18" t="n">
        <v>1714</v>
      </c>
      <c r="S34" s="18" t="n">
        <v>1715</v>
      </c>
      <c r="T34" s="18" t="n">
        <v>1717</v>
      </c>
      <c r="U34" s="18" t="n">
        <v>1718</v>
      </c>
      <c r="V34" s="18" t="n">
        <v>1719</v>
      </c>
      <c r="W34" s="18" t="n">
        <v>1720</v>
      </c>
      <c r="X34" s="18" t="n">
        <v>1721</v>
      </c>
      <c r="Y34" s="18" t="n">
        <v>3217</v>
      </c>
      <c r="Z34" s="18" t="n">
        <v>3218</v>
      </c>
      <c r="AA34" s="18" t="n">
        <v>2347</v>
      </c>
      <c r="AB34" s="18" t="n">
        <v>2973</v>
      </c>
      <c r="AC34" s="18" t="n">
        <v>2997</v>
      </c>
    </row>
    <row r="35">
      <c r="A35" s="4" t="inlineStr">
        <is>
          <t>Total Equity</t>
        </is>
      </c>
      <c r="B35" s="18" t="n">
        <v>1901</v>
      </c>
      <c r="C35" s="18" t="n">
        <v>2176</v>
      </c>
      <c r="D35" s="18" t="n">
        <v>2827</v>
      </c>
      <c r="E35" s="18" t="n">
        <v>3037</v>
      </c>
      <c r="F35" s="18" t="n">
        <v>3305</v>
      </c>
      <c r="G35" s="18" t="n">
        <v>3867</v>
      </c>
      <c r="H35" s="18" t="n">
        <v>5837</v>
      </c>
      <c r="I35" s="18" t="n">
        <v>6477</v>
      </c>
      <c r="J35" s="18" t="n">
        <v>7065</v>
      </c>
      <c r="K35" s="18" t="n">
        <v>7136</v>
      </c>
      <c r="L35" s="18" t="n">
        <v>7497</v>
      </c>
      <c r="M35" s="18" t="n">
        <v>55333</v>
      </c>
      <c r="N35" s="18" t="n">
        <v>55169</v>
      </c>
      <c r="O35" s="18" t="n">
        <v>54542</v>
      </c>
      <c r="P35" s="18" t="n">
        <v>54750</v>
      </c>
      <c r="Q35" s="18" t="n">
        <v>54694</v>
      </c>
      <c r="R35" s="18" t="n">
        <v>55136</v>
      </c>
      <c r="S35" s="18" t="n">
        <v>54970</v>
      </c>
      <c r="T35" s="18" t="n">
        <v>55892</v>
      </c>
      <c r="U35" s="18" t="n">
        <v>56198</v>
      </c>
      <c r="V35" s="18" t="n">
        <v>56538</v>
      </c>
      <c r="W35" s="18" t="n">
        <v>56985</v>
      </c>
      <c r="X35" s="18" t="n">
        <v>57568</v>
      </c>
      <c r="Y35" s="18" t="n">
        <v>57881</v>
      </c>
      <c r="Z35" s="18" t="n">
        <v>59665</v>
      </c>
      <c r="AA35" s="18" t="n">
        <v>60790</v>
      </c>
      <c r="AB35" s="18" t="n">
        <v>62999</v>
      </c>
      <c r="AC35" s="18" t="n">
        <v>64462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70</v>
      </c>
      <c r="C37" s="18" t="n">
        <v>69</v>
      </c>
      <c r="D37" s="18" t="n">
        <v>73</v>
      </c>
      <c r="E37" s="18" t="n">
        <v>78</v>
      </c>
      <c r="F37" s="18" t="n">
        <v>82</v>
      </c>
      <c r="G37" s="18" t="n">
        <v>93</v>
      </c>
      <c r="H37" s="18" t="n">
        <v>101</v>
      </c>
      <c r="I37" s="18" t="n">
        <v>107</v>
      </c>
      <c r="J37" s="18" t="n">
        <v>110</v>
      </c>
      <c r="K37" s="18" t="n">
        <v>112</v>
      </c>
      <c r="L37" s="18" t="n">
        <v>134</v>
      </c>
      <c r="M37" s="18" t="n">
        <v>628</v>
      </c>
      <c r="N37" s="18" t="n">
        <v>1201</v>
      </c>
      <c r="O37" s="18" t="n">
        <v>1188</v>
      </c>
      <c r="P37" s="18" t="n">
        <v>1245</v>
      </c>
      <c r="Q37" s="18" t="n">
        <v>1006</v>
      </c>
      <c r="R37" s="18" t="n">
        <v>873</v>
      </c>
      <c r="S37" s="18" t="n">
        <v>848</v>
      </c>
      <c r="T37" s="18" t="n">
        <v>824</v>
      </c>
      <c r="U37" s="18" t="n">
        <v>810</v>
      </c>
      <c r="V37" s="18" t="n">
        <v>795</v>
      </c>
      <c r="W37" s="18" t="n">
        <v>786</v>
      </c>
      <c r="X37" s="18" t="n">
        <v>786</v>
      </c>
      <c r="Y37" s="18" t="n">
        <v>742</v>
      </c>
      <c r="Z37" s="18" t="n">
        <v>757</v>
      </c>
      <c r="AA37" s="18" t="n">
        <v>754</v>
      </c>
      <c r="AB37" s="18" t="n">
        <v>751</v>
      </c>
      <c r="AC37" s="18" t="n">
        <v>757</v>
      </c>
    </row>
    <row r="38">
      <c r="A38" s="4" t="inlineStr">
        <is>
          <t>Stock-based Compensation</t>
        </is>
      </c>
      <c r="B38" s="18" t="n">
        <v>45</v>
      </c>
      <c r="C38" s="18" t="n">
        <v>54</v>
      </c>
      <c r="D38" s="18" t="n">
        <v>57</v>
      </c>
      <c r="E38" s="18" t="n">
        <v>59</v>
      </c>
      <c r="F38" s="18" t="n">
        <v>60</v>
      </c>
      <c r="G38" s="18" t="n">
        <v>76</v>
      </c>
      <c r="H38" s="18" t="n">
        <v>79</v>
      </c>
      <c r="I38" s="18" t="n">
        <v>85</v>
      </c>
      <c r="J38" s="18" t="n">
        <v>83</v>
      </c>
      <c r="K38" s="18" t="n">
        <v>99</v>
      </c>
      <c r="L38" s="18" t="n">
        <v>112</v>
      </c>
      <c r="M38" s="18" t="n">
        <v>199</v>
      </c>
      <c r="N38" s="18" t="n">
        <v>292</v>
      </c>
      <c r="O38" s="18" t="n">
        <v>275</v>
      </c>
      <c r="P38" s="18" t="n">
        <v>315</v>
      </c>
      <c r="Q38" s="18" t="n">
        <v>309</v>
      </c>
      <c r="R38" s="18" t="n">
        <v>348</v>
      </c>
      <c r="S38" s="18" t="n">
        <v>353</v>
      </c>
      <c r="T38" s="18" t="n">
        <v>374</v>
      </c>
      <c r="U38" s="18" t="n">
        <v>371</v>
      </c>
      <c r="V38" s="18" t="n">
        <v>346</v>
      </c>
      <c r="W38" s="18" t="n">
        <v>351</v>
      </c>
      <c r="X38" s="18" t="n">
        <v>339</v>
      </c>
      <c r="Y38" s="18" t="n">
        <v>364</v>
      </c>
      <c r="Z38" s="18" t="n">
        <v>369</v>
      </c>
      <c r="AA38" s="18" t="n">
        <v>419</v>
      </c>
      <c r="AB38" s="18" t="n">
        <v>486</v>
      </c>
      <c r="AC38" s="18" t="n">
        <v>487</v>
      </c>
    </row>
    <row r="39">
      <c r="A39" s="4" t="inlineStr">
        <is>
          <t>Change in Working Capital</t>
        </is>
      </c>
      <c r="B39" s="18" t="n">
        <v>-128</v>
      </c>
      <c r="C39" s="18" t="n">
        <v>-73</v>
      </c>
      <c r="D39" s="18" t="n">
        <v>-3</v>
      </c>
      <c r="E39" s="18" t="n">
        <v>-389</v>
      </c>
      <c r="F39" s="18" t="n">
        <v>-73</v>
      </c>
      <c r="G39" s="18" t="n">
        <v>-268</v>
      </c>
      <c r="H39" s="18" t="n">
        <v>-201</v>
      </c>
      <c r="I39" s="18" t="n">
        <v>57</v>
      </c>
      <c r="J39" s="18" t="n">
        <v>-34</v>
      </c>
      <c r="K39" s="18" t="n">
        <v>-281</v>
      </c>
      <c r="L39" s="18" t="n">
        <v>-516</v>
      </c>
      <c r="M39" s="18" t="n">
        <v>-422</v>
      </c>
      <c r="N39" s="18" t="n">
        <v>-730</v>
      </c>
      <c r="O39" s="18" t="n">
        <v>146</v>
      </c>
      <c r="P39" s="18" t="n">
        <v>-840</v>
      </c>
      <c r="Q39" s="18" t="n">
        <v>-305</v>
      </c>
      <c r="R39" s="18" t="n">
        <v>-582</v>
      </c>
      <c r="S39" s="18" t="n">
        <v>-838</v>
      </c>
      <c r="T39" s="18" t="n">
        <v>-1242</v>
      </c>
      <c r="U39" s="18" t="n">
        <v>-760</v>
      </c>
      <c r="V39" s="18" t="n">
        <v>-608</v>
      </c>
      <c r="W39" s="18" t="n">
        <v>-660</v>
      </c>
      <c r="X39" s="18" t="n">
        <v>-70</v>
      </c>
      <c r="Y39" s="18" t="n">
        <v>-748</v>
      </c>
      <c r="Z39" s="18" t="n">
        <v>564</v>
      </c>
      <c r="AA39" s="18" t="n">
        <v>-708</v>
      </c>
      <c r="AB39" s="18" t="n">
        <v>-533</v>
      </c>
      <c r="AC39" s="18" t="n">
        <v>456</v>
      </c>
    </row>
    <row r="40">
      <c r="A40" s="4" t="inlineStr">
        <is>
          <t>Operating Cash Flow</t>
        </is>
      </c>
      <c r="B40" s="18" t="n">
        <v>30</v>
      </c>
      <c r="C40" s="18" t="n">
        <v>234</v>
      </c>
      <c r="D40" s="18" t="n">
        <v>442</v>
      </c>
      <c r="E40" s="18" t="n">
        <v>-65</v>
      </c>
      <c r="F40" s="18" t="n">
        <v>243</v>
      </c>
      <c r="G40" s="18" t="n">
        <v>339</v>
      </c>
      <c r="H40" s="18" t="n">
        <v>554</v>
      </c>
      <c r="I40" s="18" t="n">
        <v>898</v>
      </c>
      <c r="J40" s="18" t="n">
        <v>952</v>
      </c>
      <c r="K40" s="18" t="n">
        <v>849</v>
      </c>
      <c r="L40" s="18" t="n">
        <v>822</v>
      </c>
      <c r="M40" s="18" t="n">
        <v>995</v>
      </c>
      <c r="N40" s="18" t="n">
        <v>1038</v>
      </c>
      <c r="O40" s="18" t="n">
        <v>965</v>
      </c>
      <c r="P40" s="18" t="n">
        <v>567</v>
      </c>
      <c r="Q40" s="18" t="n">
        <v>486</v>
      </c>
      <c r="R40" s="18" t="n">
        <v>379</v>
      </c>
      <c r="S40" s="18" t="n">
        <v>421</v>
      </c>
      <c r="T40" s="18" t="n">
        <v>381</v>
      </c>
      <c r="U40" s="18" t="n">
        <v>521</v>
      </c>
      <c r="V40" s="18" t="n">
        <v>593</v>
      </c>
      <c r="W40" s="18" t="n">
        <v>628</v>
      </c>
      <c r="X40" s="18" t="n">
        <v>1299</v>
      </c>
      <c r="Y40" s="18" t="n">
        <v>939</v>
      </c>
      <c r="Z40" s="18" t="n">
        <v>2011</v>
      </c>
      <c r="AA40" s="18" t="n">
        <v>2159</v>
      </c>
      <c r="AB40" s="18" t="n">
        <v>2600</v>
      </c>
      <c r="AC40" s="18" t="n">
        <v>2955</v>
      </c>
    </row>
    <row r="41">
      <c r="A41" s="4" t="inlineStr">
        <is>
          <t>Capex</t>
        </is>
      </c>
      <c r="B41" s="18" t="n">
        <v>-58</v>
      </c>
      <c r="C41" s="18" t="n">
        <v>-55</v>
      </c>
      <c r="D41" s="18" t="n">
        <v>-42</v>
      </c>
      <c r="E41" s="18" t="n">
        <v>-55</v>
      </c>
      <c r="F41" s="18" t="n">
        <v>-91</v>
      </c>
      <c r="G41" s="18" t="n">
        <v>-74</v>
      </c>
      <c r="H41" s="18" t="n">
        <v>-74</v>
      </c>
      <c r="I41" s="18" t="n">
        <v>-66</v>
      </c>
      <c r="J41" s="18" t="n">
        <v>-64</v>
      </c>
      <c r="K41" s="18" t="n">
        <v>-85</v>
      </c>
      <c r="L41" s="18" t="n">
        <v>-86</v>
      </c>
      <c r="M41" s="18" t="n">
        <v>-71</v>
      </c>
      <c r="N41" s="18" t="n">
        <v>-132</v>
      </c>
      <c r="O41" s="18" t="n">
        <v>-123</v>
      </c>
      <c r="P41" s="18" t="n">
        <v>-124</v>
      </c>
      <c r="Q41" s="18" t="n">
        <v>-158</v>
      </c>
      <c r="R41" s="18" t="n">
        <v>-125</v>
      </c>
      <c r="S41" s="18" t="n">
        <v>-124</v>
      </c>
      <c r="T41" s="18" t="n">
        <v>-139</v>
      </c>
      <c r="U41" s="18" t="n">
        <v>-142</v>
      </c>
      <c r="V41" s="18" t="n">
        <v>-154</v>
      </c>
      <c r="W41" s="18" t="n">
        <v>-132</v>
      </c>
      <c r="X41" s="18" t="n">
        <v>-208</v>
      </c>
      <c r="Y41" s="18" t="n">
        <v>-212</v>
      </c>
      <c r="Z41" s="18" t="n">
        <v>-282</v>
      </c>
      <c r="AA41" s="18" t="n">
        <v>-258</v>
      </c>
      <c r="AB41" s="18" t="n">
        <v>-222</v>
      </c>
      <c r="AC41" s="18" t="n">
        <v>-389</v>
      </c>
    </row>
    <row r="42">
      <c r="A42" s="4" t="inlineStr">
        <is>
          <t>Free Cash Flow</t>
        </is>
      </c>
      <c r="B42" s="18" t="n">
        <v>-28</v>
      </c>
      <c r="C42" s="18" t="n">
        <v>179</v>
      </c>
      <c r="D42" s="18" t="n">
        <v>400</v>
      </c>
      <c r="E42" s="18" t="n">
        <v>-120</v>
      </c>
      <c r="F42" s="18" t="n">
        <v>152</v>
      </c>
      <c r="G42" s="18" t="n">
        <v>265</v>
      </c>
      <c r="H42" s="18" t="n">
        <v>480</v>
      </c>
      <c r="I42" s="18" t="n">
        <v>832</v>
      </c>
      <c r="J42" s="18" t="n">
        <v>888</v>
      </c>
      <c r="K42" s="18" t="n">
        <v>764</v>
      </c>
      <c r="L42" s="18" t="n">
        <v>736</v>
      </c>
      <c r="M42" s="18" t="n">
        <v>924</v>
      </c>
      <c r="N42" s="18" t="n">
        <v>906</v>
      </c>
      <c r="O42" s="18" t="n">
        <v>842</v>
      </c>
      <c r="P42" s="18" t="n">
        <v>443</v>
      </c>
      <c r="Q42" s="18" t="n">
        <v>328</v>
      </c>
      <c r="R42" s="18" t="n">
        <v>254</v>
      </c>
      <c r="S42" s="18" t="n">
        <v>297</v>
      </c>
      <c r="T42" s="18" t="n">
        <v>242</v>
      </c>
      <c r="U42" s="18" t="n">
        <v>379</v>
      </c>
      <c r="V42" s="18" t="n">
        <v>439</v>
      </c>
      <c r="W42" s="18" t="n">
        <v>496</v>
      </c>
      <c r="X42" s="18" t="n">
        <v>1091</v>
      </c>
      <c r="Y42" s="18" t="n">
        <v>727</v>
      </c>
      <c r="Z42" s="18" t="n">
        <v>1729</v>
      </c>
      <c r="AA42" s="18" t="n">
        <v>1901</v>
      </c>
      <c r="AB42" s="18" t="n">
        <v>2378</v>
      </c>
      <c r="AC42" s="18" t="n">
        <v>2566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49677.858635</v>
      </c>
      <c r="C4" s="18" t="n">
        <v>75589.467894</v>
      </c>
      <c r="D4" s="18" t="n">
        <v>99540.489739</v>
      </c>
      <c r="E4" s="18" t="n">
        <v>144290.333333</v>
      </c>
      <c r="F4" s="18" t="n">
        <v>171398.5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  <c r="F5" s="33">
        <f>Model!K10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10778.677831</v>
      </c>
      <c r="C8" s="18" t="n">
        <v>16400.757687</v>
      </c>
      <c r="D8" s="18" t="n">
        <v>21597.446017</v>
      </c>
      <c r="E8" s="18" t="n">
        <v>31306.885199</v>
      </c>
      <c r="F8" s="18" t="n">
        <v>37188.58387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  <c r="F9" s="33">
        <f>Model!K23+Model!K28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5063.113421</v>
      </c>
      <c r="C12" s="18" t="n">
        <v>7703.996506</v>
      </c>
      <c r="D12" s="18" t="n">
        <v>10145.058651</v>
      </c>
      <c r="E12" s="18" t="n">
        <v>14705.914129</v>
      </c>
      <c r="F12" s="18" t="n">
        <v>17468.749047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  <c r="F13" s="33">
        <f>Model!K23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5150.177948</v>
      </c>
      <c r="C16" s="18" t="n">
        <v>7836.473257</v>
      </c>
      <c r="D16" s="18" t="n">
        <v>10319.511535</v>
      </c>
      <c r="E16" s="18" t="n">
        <v>14958.794789</v>
      </c>
      <c r="F16" s="18" t="n">
        <v>17769.138996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  <c r="F17" s="33">
        <f>Model!K18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12084.142227</v>
      </c>
      <c r="C20" s="18" t="n">
        <v>16680.59706</v>
      </c>
      <c r="D20" s="18" t="n">
        <v>25506.93034</v>
      </c>
      <c r="E20" s="18" t="n">
        <v>41003.607905</v>
      </c>
      <c r="F20" s="18" t="n">
        <v>48949.120029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  <c r="F21" s="33">
        <f>Model!K27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7.39667</v>
      </c>
      <c r="C24" s="47" t="n">
        <v>13.06078</v>
      </c>
      <c r="D24" s="47" t="n">
        <v>17.71877</v>
      </c>
      <c r="E24" s="47" t="n">
        <v>25.06333</v>
      </c>
      <c r="F24" s="47" t="n">
        <v>29.92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Advanced Micro Devices,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Financials!AC29</f>
        <v/>
      </c>
    </row>
    <row r="33">
      <c r="A33" s="4" t="inlineStr">
        <is>
          <t>- Long-term debt</t>
        </is>
      </c>
      <c r="B33" s="33">
        <f>-Financials!AC34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0.1383589943156743</v>
      </c>
      <c r="C4" s="51" t="n">
        <v>0.1433589943156743</v>
      </c>
      <c r="D4" s="51" t="n">
        <v>0.1483589943156743</v>
      </c>
      <c r="E4" s="51" t="n">
        <v>0.1533589943156743</v>
      </c>
      <c r="F4" s="51" t="n">
        <v>0.1583589943156743</v>
      </c>
      <c r="G4" s="51" t="n">
        <v>0.1633589943156743</v>
      </c>
      <c r="H4" s="51" t="n">
        <v>0.1683589943156742</v>
      </c>
    </row>
    <row r="5">
      <c r="A5" s="52" t="n">
        <v>12</v>
      </c>
      <c r="B5" s="53" t="n">
        <v>111.3365145241839</v>
      </c>
      <c r="C5" s="53" t="n">
        <v>107.6836362206489</v>
      </c>
      <c r="D5" s="53" t="n">
        <v>104.1884585863738</v>
      </c>
      <c r="E5" s="53" t="n">
        <v>100.8432847253689</v>
      </c>
      <c r="F5" s="53" t="n">
        <v>97.64083003739727</v>
      </c>
      <c r="G5" s="53" t="n">
        <v>94.57419832189224</v>
      </c>
      <c r="H5" s="53" t="n">
        <v>91.6368593672217</v>
      </c>
    </row>
    <row r="6">
      <c r="A6" s="52" t="n">
        <v>13</v>
      </c>
      <c r="B6" s="53" t="n">
        <v>116.5399392423836</v>
      </c>
      <c r="C6" s="53" t="n">
        <v>112.6639371296935</v>
      </c>
      <c r="D6" s="53" t="n">
        <v>108.9561149560955</v>
      </c>
      <c r="E6" s="53" t="n">
        <v>105.4082412015792</v>
      </c>
      <c r="F6" s="53" t="n">
        <v>102.0125260643971</v>
      </c>
      <c r="G6" s="53" t="n">
        <v>98.76159582856008</v>
      </c>
      <c r="H6" s="53" t="n">
        <v>95.64846882601564</v>
      </c>
    </row>
    <row r="7">
      <c r="A7" s="52" t="n">
        <v>14</v>
      </c>
      <c r="B7" s="53" t="n">
        <v>121.7433639605834</v>
      </c>
      <c r="C7" s="53" t="n">
        <v>117.6442380387381</v>
      </c>
      <c r="D7" s="53" t="n">
        <v>113.7237713258172</v>
      </c>
      <c r="E7" s="53" t="n">
        <v>109.9731976777896</v>
      </c>
      <c r="F7" s="53" t="n">
        <v>106.384222091397</v>
      </c>
      <c r="G7" s="53" t="n">
        <v>102.9489933352279</v>
      </c>
      <c r="H7" s="53" t="n">
        <v>99.66007828480959</v>
      </c>
    </row>
    <row r="8">
      <c r="A8" s="52" t="n">
        <v>15</v>
      </c>
      <c r="B8" s="53" t="n">
        <v>126.9467886787832</v>
      </c>
      <c r="C8" s="53" t="n">
        <v>122.6245389477826</v>
      </c>
      <c r="D8" s="53" t="n">
        <v>118.4914276955389</v>
      </c>
      <c r="E8" s="54" t="n">
        <v>114.538154154</v>
      </c>
      <c r="F8" s="53" t="n">
        <v>110.7559181183969</v>
      </c>
      <c r="G8" s="53" t="n">
        <v>107.1363908418958</v>
      </c>
      <c r="H8" s="53" t="n">
        <v>103.6716877436035</v>
      </c>
    </row>
    <row r="9">
      <c r="A9" s="52" t="n">
        <v>16</v>
      </c>
      <c r="B9" s="53" t="n">
        <v>132.150213396983</v>
      </c>
      <c r="C9" s="53" t="n">
        <v>127.6048398568272</v>
      </c>
      <c r="D9" s="53" t="n">
        <v>123.2590840652606</v>
      </c>
      <c r="E9" s="53" t="n">
        <v>119.1031106302103</v>
      </c>
      <c r="F9" s="53" t="n">
        <v>115.1276141453968</v>
      </c>
      <c r="G9" s="53" t="n">
        <v>111.3237883485636</v>
      </c>
      <c r="H9" s="53" t="n">
        <v>107.6832972023975</v>
      </c>
    </row>
    <row r="10">
      <c r="A10" s="52" t="n">
        <v>17</v>
      </c>
      <c r="B10" s="53" t="n">
        <v>137.3536381151827</v>
      </c>
      <c r="C10" s="53" t="n">
        <v>132.5851407658718</v>
      </c>
      <c r="D10" s="53" t="n">
        <v>128.0267404349822</v>
      </c>
      <c r="E10" s="53" t="n">
        <v>123.6680671064207</v>
      </c>
      <c r="F10" s="53" t="n">
        <v>119.4993101723967</v>
      </c>
      <c r="G10" s="53" t="n">
        <v>115.5111858552315</v>
      </c>
      <c r="H10" s="53" t="n">
        <v>111.6949066611914</v>
      </c>
    </row>
    <row r="11">
      <c r="A11" s="52" t="n">
        <v>18</v>
      </c>
      <c r="B11" s="53" t="n">
        <v>142.5570628333825</v>
      </c>
      <c r="C11" s="53" t="n">
        <v>137.5654416749163</v>
      </c>
      <c r="D11" s="53" t="n">
        <v>132.7943968047039</v>
      </c>
      <c r="E11" s="53" t="n">
        <v>128.233023582631</v>
      </c>
      <c r="F11" s="53" t="n">
        <v>123.8710061993965</v>
      </c>
      <c r="G11" s="53" t="n">
        <v>119.6985833618993</v>
      </c>
      <c r="H11" s="53" t="n">
        <v>115.7065161199854</v>
      </c>
    </row>
    <row r="13">
      <c r="A13" s="3" t="inlineStr">
        <is>
          <t>Current price</t>
        </is>
      </c>
      <c r="B13" s="53" t="n">
        <v>520.9849853515625</v>
      </c>
    </row>
    <row r="14">
      <c r="A14" s="3" t="inlineStr">
        <is>
          <t>Base WACC / multiple</t>
        </is>
      </c>
      <c r="B14" s="55" t="n">
        <v>0.1533589943156743</v>
      </c>
      <c r="C14" s="56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0.08672305782499495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0.3459287616511317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1.031704855275506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2026-07-08T07:03:15Z</dcterms:created>
  <dcterms:modified xmlns:dcterms="http://purl.org/dc/terms/" xmlns:xsi="http://www.w3.org/2001/XMLSchema-instance" xsi:type="dcterms:W3CDTF">2026-07-08T07:03:15Z</dcterms:modified>
</cp:coreProperties>
</file>