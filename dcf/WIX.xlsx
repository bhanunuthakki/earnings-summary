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Sensitivity" sheetId="9" state="visible" r:id="rId9"/>
    <sheet xmlns:r="http://schemas.openxmlformats.org/officeDocument/2006/relationships" name="Monte Carl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  <xf numFmtId="166" fontId="1" fillId="0" borderId="0" applyAlignment="1" pivotButton="0" quotePrefix="0" xfId="0">
      <alignment horizontal="right"/>
    </xf>
    <xf numFmtId="167" fontId="1" fillId="0" borderId="0" pivotButton="0" quotePrefix="0" xfId="0"/>
    <xf numFmtId="164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Wix.com Ltd. (WIX)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2026-06-03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2026-06-03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Wix is a cash-generative website/commerce platform whose consensus path implies ~12-15% revenue growth fading toward a ~3.5% mature rate as the Creative Subs base matures and Base44 AI-builder ARR layers on incremental, optional upside. GAAP operating margins are depressed by heavy stock-based comp, but operating leverage on Partners and fintech take-rate should lift normalized op margins from the low-teens toward ~23% by year 10, with capex staying asset-light (~1% of revenue) and converging to ~1.1x D&amp;A at maturity. The equity story is a whole-company FCF normalization that supports a re-rate, valued here off a mature ~15x EV/EBITDA exit.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Wix.com Ltd. (WIX)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Core (partners + non-partners)</t>
        </is>
      </c>
      <c r="B20" s="50" t="n">
        <v>0.12</v>
      </c>
      <c r="C20" s="50" t="n">
        <v>-0.02</v>
      </c>
      <c r="D20" s="51" t="inlineStr">
        <is>
          <t>analyst</t>
        </is>
      </c>
      <c r="E20" s="2" t="inlineStr"/>
    </row>
    <row r="21">
      <c r="A21" t="inlineStr">
        <is>
          <t>Base44 (vibe-coding)</t>
        </is>
      </c>
      <c r="B21" t="n">
        <v>0.4</v>
      </c>
      <c r="C21" t="n">
        <v>0.03</v>
      </c>
      <c r="D21" t="inlineStr">
        <is>
          <t>analyst</t>
        </is>
      </c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 (GAAP, incl. SBC)</t>
        </is>
      </c>
      <c r="B29" s="50" t="n">
        <v>0.03</v>
      </c>
      <c r="D29" s="51" t="n">
        <v>0.14</v>
      </c>
      <c r="E29" s="2" t="inlineStr">
        <is>
          <t>consensus-implied; ramps to terminal</t>
        </is>
      </c>
    </row>
    <row r="30">
      <c r="A30" s="4" t="inlineStr">
        <is>
          <t>Terminal operating margin (GAAP, incl. SBC)</t>
        </is>
      </c>
      <c r="B30" s="50" t="n">
        <v>0.11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0.18</v>
      </c>
      <c r="D31" t="inlineStr">
        <is>
          <t>margins are SBC-inclusive (SBC ~12%-&gt;8% of rev charged as real expense)</t>
        </is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22.78510009</v>
      </c>
      <c r="D34" s="18" t="n">
        <v>22.78510009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1.007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0.005</v>
      </c>
    </row>
    <row r="47">
      <c r="A47" t="inlineStr">
        <is>
          <t>Country risk premium (Israel)</t>
        </is>
      </c>
      <c r="B47" t="n">
        <v>0.013</v>
      </c>
    </row>
    <row r="48">
      <c r="A48" s="4" t="inlineStr">
        <is>
          <t>Current price</t>
        </is>
      </c>
      <c r="B48" s="55" t="n">
        <v>56.8650016784668</v>
      </c>
    </row>
    <row r="58">
      <c r="B58" s="66" t="n">
        <v>74.41195363377746</v>
      </c>
      <c r="C58" s="66" t="n">
        <v>102.4902111056101</v>
      </c>
      <c r="D58" s="66" t="n">
        <v>53.8398336911961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0.3192869801168464</v>
      </c>
      <c r="H11" s="50" t="n">
        <v>0.3192869801168464</v>
      </c>
      <c r="I11" s="50" t="n">
        <v>0.3192869801168464</v>
      </c>
      <c r="J11" s="50" t="n">
        <v>0.3192869801168464</v>
      </c>
      <c r="K11" s="50" t="n">
        <v>0.3192869801168464</v>
      </c>
      <c r="L11" s="50" t="n">
        <v>0.3192869801168464</v>
      </c>
      <c r="M11" s="50" t="n">
        <v>0.3192869801168464</v>
      </c>
      <c r="N11" s="50" t="n">
        <v>0.3192869801168464</v>
      </c>
      <c r="O11" s="50" t="n">
        <v>0.3192869801168464</v>
      </c>
      <c r="P11" s="50" t="n">
        <v>0.3192869801168464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0.3238769440112712</v>
      </c>
      <c r="H13" s="50" t="n">
        <v>0.3238769440112712</v>
      </c>
      <c r="I13" s="50" t="n">
        <v>0.3238769440112712</v>
      </c>
      <c r="J13" s="50" t="n">
        <v>0.3238769440112712</v>
      </c>
      <c r="K13" s="50" t="n">
        <v>0.3238769440112712</v>
      </c>
      <c r="L13" s="50" t="n">
        <v>0.3238769440112712</v>
      </c>
      <c r="M13" s="50" t="n">
        <v>0.3238769440112712</v>
      </c>
      <c r="N13" s="50" t="n">
        <v>0.3238769440112712</v>
      </c>
      <c r="O13" s="50" t="n">
        <v>0.3238769440112712</v>
      </c>
      <c r="P13" s="50" t="n">
        <v>0.3238769440112712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0.355957018510379</v>
      </c>
      <c r="H15" s="50" t="n">
        <v>0.355957018510379</v>
      </c>
      <c r="I15" s="50" t="n">
        <v>0.355957018510379</v>
      </c>
      <c r="J15" s="50" t="n">
        <v>0.355957018510379</v>
      </c>
      <c r="K15" s="50" t="n">
        <v>0.355957018510379</v>
      </c>
      <c r="L15" s="50" t="n">
        <v>0.355957018510379</v>
      </c>
      <c r="M15" s="50" t="n">
        <v>0.355957018510379</v>
      </c>
      <c r="N15" s="50" t="n">
        <v>0.355957018510379</v>
      </c>
      <c r="O15" s="50" t="n">
        <v>0.355957018510379</v>
      </c>
      <c r="P15" s="50" t="n">
        <v>0.355957018510379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SUM(Financials!I27:L27)</f>
        <v/>
      </c>
      <c r="C24" s="28">
        <f>SUM(Financials!M27:P27)</f>
        <v/>
      </c>
      <c r="D24" s="28">
        <f>SUM(Financials!Q27:T27)</f>
        <v/>
      </c>
      <c r="E24" s="28">
        <f>SUM(Financials!U27:X27)</f>
        <v/>
      </c>
      <c r="F24" s="28">
        <f>SUM(Financials!Y27:AB27)</f>
        <v/>
      </c>
      <c r="G24" s="32">
        <f>G6*0.0158</f>
        <v/>
      </c>
      <c r="H24" s="32">
        <f>H6*0.0158</f>
        <v/>
      </c>
      <c r="I24" s="32">
        <f>I6*0.0158</f>
        <v/>
      </c>
      <c r="J24" s="32">
        <f>J6*0.0158</f>
        <v/>
      </c>
      <c r="K24" s="32">
        <f>K6*0.0158</f>
        <v/>
      </c>
      <c r="L24" s="32">
        <f>L6*0.0158</f>
        <v/>
      </c>
      <c r="M24" s="32">
        <f>M6*0.0158</f>
        <v/>
      </c>
      <c r="N24" s="32">
        <f>N6*0.0158</f>
        <v/>
      </c>
      <c r="O24" s="32">
        <f>O6*0.0158</f>
        <v/>
      </c>
      <c r="P24" s="32">
        <f>P6*0.0158</f>
        <v/>
      </c>
    </row>
    <row r="25">
      <c r="A25" s="4" t="inlineStr">
        <is>
          <t>+ SBC (non-cash)</t>
        </is>
      </c>
      <c r="B25" s="28">
        <f>SUM(Financials!I28:L28)</f>
        <v/>
      </c>
      <c r="C25" s="28">
        <f>SUM(Financials!M28:P28)</f>
        <v/>
      </c>
      <c r="D25" s="28">
        <f>SUM(Financials!Q28:T28)</f>
        <v/>
      </c>
      <c r="E25" s="28">
        <f>SUM(Financials!U28:X28)</f>
        <v/>
      </c>
      <c r="F25" s="28">
        <f>SUM(Financials!Y28:AB28)</f>
        <v/>
      </c>
      <c r="G25" s="32">
        <f>G6*0.0601</f>
        <v/>
      </c>
      <c r="H25" s="32">
        <f>H6*0.0574</f>
        <v/>
      </c>
      <c r="I25" s="32">
        <f>I6*0.0547</f>
        <v/>
      </c>
      <c r="J25" s="32">
        <f>J6*0.0521</f>
        <v/>
      </c>
      <c r="K25" s="32">
        <f>K6*0.0494</f>
        <v/>
      </c>
      <c r="L25" s="32">
        <f>L6*0.0467</f>
        <v/>
      </c>
      <c r="M25" s="32">
        <f>M6*0.0440</f>
        <v/>
      </c>
      <c r="N25" s="32">
        <f>N6*0.0414</f>
        <v/>
      </c>
      <c r="O25" s="32">
        <f>O6*0.0387</f>
        <v/>
      </c>
      <c r="P25" s="32">
        <f>P6*0.0360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-SUM(Financials!I31:L31)</f>
        <v/>
      </c>
      <c r="C27" s="28">
        <f>-SUM(Financials!M31:P31)</f>
        <v/>
      </c>
      <c r="D27" s="28">
        <f>-SUM(Financials!Q31:T31)</f>
        <v/>
      </c>
      <c r="E27" s="28">
        <f>-SUM(Financials!U31:X31)</f>
        <v/>
      </c>
      <c r="F27" s="28">
        <f>-SUM(Financials!Y31:AB31)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Financials!L25+Financials!L24-Financials!L19</f>
        <v/>
      </c>
      <c r="C34" s="28">
        <f>Financials!P25+Financials!P24-Financials!P19</f>
        <v/>
      </c>
      <c r="D34" s="28">
        <f>Financials!T25+Financials!T24-Financials!T19</f>
        <v/>
      </c>
      <c r="E34" s="28">
        <f>Financials!X25+Financials!X24-Financials!X19</f>
        <v/>
      </c>
      <c r="F34" s="28">
        <f>Financials!AB25+Financials!AB24-Financials!AB19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Financials!L25</f>
        <v/>
      </c>
      <c r="C35" s="28">
        <f>Financials!P25</f>
        <v/>
      </c>
      <c r="D35" s="28">
        <f>Financials!T25</f>
        <v/>
      </c>
      <c r="E35" s="28">
        <f>Financials!X25</f>
        <v/>
      </c>
      <c r="F35" s="28">
        <f>Financials!AB25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IFERROR(SUM(Financials!M15:P15)/B35,"")</f>
        <v/>
      </c>
      <c r="D37" s="48">
        <f>IFERROR(SUM(Financials!Q15:T15)/C35,"")</f>
        <v/>
      </c>
      <c r="E37" s="48">
        <f>IFERROR(SUM(Financials!U15:X15)/D35,"")</f>
        <v/>
      </c>
      <c r="F37" s="48">
        <f>IFERROR(SUM(Financials!Y15:AB15)/E35,"")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185.419</v>
      </c>
      <c r="C3" s="18" t="n">
        <v>196.791</v>
      </c>
      <c r="D3" s="18" t="n">
        <v>204.588</v>
      </c>
      <c r="E3" s="18" t="n">
        <v>215.987</v>
      </c>
      <c r="F3" s="18" t="n">
        <v>236.059</v>
      </c>
      <c r="G3" s="18" t="n">
        <v>254.18</v>
      </c>
      <c r="H3" s="18" t="n">
        <v>282.534</v>
      </c>
      <c r="I3" s="18" t="n">
        <v>300.779</v>
      </c>
      <c r="J3" s="18" t="n">
        <v>315.575</v>
      </c>
      <c r="K3" s="18" t="n">
        <v>319.89</v>
      </c>
      <c r="L3" s="18" t="n">
        <v>328.342</v>
      </c>
      <c r="M3" s="18" t="n">
        <v>341.597</v>
      </c>
      <c r="N3" s="18" t="n">
        <v>345.224</v>
      </c>
      <c r="O3" s="18" t="n">
        <v>345.805</v>
      </c>
      <c r="P3" s="18" t="n">
        <v>355.04</v>
      </c>
      <c r="Q3" s="18" t="n">
        <v>374.076</v>
      </c>
      <c r="R3" s="18" t="n">
        <v>389.977</v>
      </c>
      <c r="S3" s="18" t="n">
        <v>393.841</v>
      </c>
      <c r="T3" s="18" t="n">
        <v>403.771</v>
      </c>
      <c r="U3" s="18" t="n">
        <v>419.776</v>
      </c>
      <c r="V3" s="18" t="n">
        <v>435.746</v>
      </c>
      <c r="W3" s="18" t="n">
        <v>444.673</v>
      </c>
      <c r="X3" s="18" t="n">
        <v>460.455</v>
      </c>
      <c r="Y3" s="18" t="n">
        <v>473.651</v>
      </c>
      <c r="Z3" s="18" t="n">
        <v>489.93</v>
      </c>
      <c r="AA3" s="18" t="n">
        <v>505.194</v>
      </c>
      <c r="AB3" s="18" t="n">
        <v>524.269</v>
      </c>
      <c r="AC3" s="18" t="n">
        <v>541.171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46.662</v>
      </c>
      <c r="C5" s="18" t="n">
        <v>53.295</v>
      </c>
      <c r="D5" s="18" t="n">
        <v>57.235</v>
      </c>
      <c r="E5" s="18" t="n">
        <v>62.07</v>
      </c>
      <c r="F5" s="18" t="n">
        <v>70.482</v>
      </c>
      <c r="G5" s="18" t="n">
        <v>79.84</v>
      </c>
      <c r="H5" s="18" t="n">
        <v>103.307</v>
      </c>
      <c r="I5" s="18" t="n">
        <v>113.799</v>
      </c>
      <c r="J5" s="18" t="n">
        <v>120.912</v>
      </c>
      <c r="K5" s="18" t="n">
        <v>121.976</v>
      </c>
      <c r="L5" s="18" t="n">
        <v>128.799</v>
      </c>
      <c r="M5" s="18" t="n">
        <v>134.749</v>
      </c>
      <c r="N5" s="18" t="n">
        <v>134.857</v>
      </c>
      <c r="O5" s="18" t="n">
        <v>127.857</v>
      </c>
      <c r="P5" s="18" t="n">
        <v>128.764</v>
      </c>
      <c r="Q5" s="18" t="n">
        <v>129.478</v>
      </c>
      <c r="R5" s="18" t="n">
        <v>127.894</v>
      </c>
      <c r="S5" s="18" t="n">
        <v>129.043</v>
      </c>
      <c r="T5" s="18" t="n">
        <v>126.113</v>
      </c>
      <c r="U5" s="18" t="n">
        <v>137.297</v>
      </c>
      <c r="V5" s="18" t="n">
        <v>141.674</v>
      </c>
      <c r="W5" s="18" t="n">
        <v>142.028</v>
      </c>
      <c r="X5" s="18" t="n">
        <v>143.636</v>
      </c>
      <c r="Y5" s="18" t="n">
        <v>151.792</v>
      </c>
      <c r="Z5" s="18" t="n">
        <v>153.34</v>
      </c>
      <c r="AA5" s="18" t="n">
        <v>159.928</v>
      </c>
      <c r="AB5" s="18" t="n">
        <v>171.293</v>
      </c>
      <c r="AC5" s="18" t="n">
        <v>187.805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61.486</v>
      </c>
      <c r="C7" s="18" t="n">
        <v>64.488</v>
      </c>
      <c r="D7" s="18" t="n">
        <v>66.634</v>
      </c>
      <c r="E7" s="18" t="n">
        <v>70.71599999999999</v>
      </c>
      <c r="F7" s="18" t="n">
        <v>75.464</v>
      </c>
      <c r="G7" s="18" t="n">
        <v>84.473</v>
      </c>
      <c r="H7" s="18" t="n">
        <v>89.625</v>
      </c>
      <c r="I7" s="18" t="n">
        <v>95.086</v>
      </c>
      <c r="J7" s="18" t="n">
        <v>104.199</v>
      </c>
      <c r="K7" s="18" t="n">
        <v>109.323</v>
      </c>
      <c r="L7" s="18" t="n">
        <v>116.329</v>
      </c>
      <c r="M7" s="18" t="n">
        <v>119.865</v>
      </c>
      <c r="N7" s="18" t="n">
        <v>121.618</v>
      </c>
      <c r="O7" s="18" t="n">
        <v>120.384</v>
      </c>
      <c r="P7" s="18" t="n">
        <v>120.994</v>
      </c>
      <c r="Q7" s="18" t="n">
        <v>114.943</v>
      </c>
      <c r="R7" s="18" t="n">
        <v>115.49</v>
      </c>
      <c r="S7" s="18" t="n">
        <v>125.117</v>
      </c>
      <c r="T7" s="18" t="n">
        <v>125.743</v>
      </c>
      <c r="U7" s="18" t="n">
        <v>124.245</v>
      </c>
      <c r="V7" s="18" t="n">
        <v>119.257</v>
      </c>
      <c r="W7" s="18" t="n">
        <v>124.593</v>
      </c>
      <c r="X7" s="18" t="n">
        <v>127.186</v>
      </c>
      <c r="Y7" s="18" t="n">
        <v>127.497</v>
      </c>
      <c r="Z7" s="18" t="n">
        <v>134.735</v>
      </c>
      <c r="AA7" s="18" t="n">
        <v>172.025</v>
      </c>
      <c r="AB7" s="18" t="n">
        <v>211.244</v>
      </c>
      <c r="AC7" s="18" t="n">
        <v>178.218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91.432</v>
      </c>
      <c r="C9" s="18" t="n">
        <v>99.613</v>
      </c>
      <c r="D9" s="18" t="n">
        <v>98.411</v>
      </c>
      <c r="E9" s="18" t="n">
        <v>121.592</v>
      </c>
      <c r="F9" s="18" t="n">
        <v>143.864</v>
      </c>
      <c r="G9" s="18" t="n">
        <v>139.607</v>
      </c>
      <c r="H9" s="18" t="n">
        <v>145.062</v>
      </c>
      <c r="I9" s="18" t="n">
        <v>178.849</v>
      </c>
      <c r="J9" s="18" t="n">
        <v>162.432</v>
      </c>
      <c r="K9" s="18" t="n">
        <v>158.908</v>
      </c>
      <c r="L9" s="18" t="n">
        <v>181.486</v>
      </c>
      <c r="M9" s="18" t="n">
        <v>202.4</v>
      </c>
      <c r="N9" s="18" t="n">
        <v>163.771</v>
      </c>
      <c r="O9" s="18" t="n">
        <v>159.875</v>
      </c>
      <c r="P9" s="18" t="n">
        <v>137.885</v>
      </c>
      <c r="Q9" s="18" t="n">
        <v>137.65</v>
      </c>
      <c r="R9" s="18" t="n">
        <v>133.287</v>
      </c>
      <c r="S9" s="18" t="n">
        <v>141.63</v>
      </c>
      <c r="T9" s="18" t="n">
        <v>147.043</v>
      </c>
      <c r="U9" s="18" t="n">
        <v>148.559</v>
      </c>
      <c r="V9" s="18" t="n">
        <v>146.21</v>
      </c>
      <c r="W9" s="18" t="n">
        <v>152.206</v>
      </c>
      <c r="X9" s="18" t="n">
        <v>153.613</v>
      </c>
      <c r="Y9" s="18" t="n">
        <v>156.957</v>
      </c>
      <c r="Z9" s="18" t="n">
        <v>157.549</v>
      </c>
      <c r="AA9" s="18" t="n">
        <v>180.612</v>
      </c>
      <c r="AB9" s="18" t="n">
        <v>214.32</v>
      </c>
      <c r="AC9" s="18" t="n">
        <v>244.868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138.757</v>
      </c>
      <c r="C11" s="18" t="n">
        <v>143.496</v>
      </c>
      <c r="D11" s="18" t="n">
        <v>147.353</v>
      </c>
      <c r="E11" s="18" t="n">
        <v>153.917</v>
      </c>
      <c r="F11" s="18" t="n">
        <v>165.577</v>
      </c>
      <c r="G11" s="18" t="n">
        <v>174.34</v>
      </c>
      <c r="H11" s="18" t="n">
        <v>179.227</v>
      </c>
      <c r="I11" s="18" t="n">
        <v>186.98</v>
      </c>
      <c r="J11" s="18" t="n">
        <v>194.663</v>
      </c>
      <c r="K11" s="18" t="n">
        <v>197.914</v>
      </c>
      <c r="L11" s="18" t="n">
        <v>199.543</v>
      </c>
      <c r="M11" s="18" t="n">
        <v>206.848</v>
      </c>
      <c r="N11" s="18" t="n">
        <v>210.367</v>
      </c>
      <c r="O11" s="18" t="n">
        <v>217.948</v>
      </c>
      <c r="P11" s="18" t="n">
        <v>226.276</v>
      </c>
      <c r="Q11" s="18" t="n">
        <v>244.598</v>
      </c>
      <c r="R11" s="18" t="n">
        <v>262.083</v>
      </c>
      <c r="S11" s="18" t="n">
        <v>264.798</v>
      </c>
      <c r="T11" s="18" t="n">
        <v>277.658</v>
      </c>
      <c r="U11" s="18" t="n">
        <v>282.479</v>
      </c>
      <c r="V11" s="18" t="n">
        <v>294.072</v>
      </c>
      <c r="W11" s="18" t="n">
        <v>302.645</v>
      </c>
      <c r="X11" s="18" t="n">
        <v>316.819</v>
      </c>
      <c r="Y11" s="18" t="n">
        <v>321.859</v>
      </c>
      <c r="Z11" s="18" t="n">
        <v>336.59</v>
      </c>
      <c r="AA11" s="18" t="n">
        <v>345.266</v>
      </c>
      <c r="AB11" s="18" t="n">
        <v>352.976</v>
      </c>
      <c r="AC11" s="18" t="n">
        <v>353.366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-14.161</v>
      </c>
      <c r="C13" s="18" t="n">
        <v>-20.605</v>
      </c>
      <c r="D13" s="18" t="n">
        <v>-17.692</v>
      </c>
      <c r="E13" s="18" t="n">
        <v>-38.391</v>
      </c>
      <c r="F13" s="18" t="n">
        <v>-53.751</v>
      </c>
      <c r="G13" s="18" t="n">
        <v>-49.74</v>
      </c>
      <c r="H13" s="18" t="n">
        <v>-55.46</v>
      </c>
      <c r="I13" s="18" t="n">
        <v>-86.955</v>
      </c>
      <c r="J13" s="18" t="n">
        <v>-71.968</v>
      </c>
      <c r="K13" s="18" t="n">
        <v>-70.31699999999999</v>
      </c>
      <c r="L13" s="18" t="n">
        <v>-98.27200000000001</v>
      </c>
      <c r="M13" s="18" t="n">
        <v>-115.417</v>
      </c>
      <c r="N13" s="18" t="n">
        <v>-75.02200000000001</v>
      </c>
      <c r="O13" s="18" t="n">
        <v>-62.311</v>
      </c>
      <c r="P13" s="18" t="n">
        <v>-32.603</v>
      </c>
      <c r="Q13" s="18" t="n">
        <v>-33.333</v>
      </c>
      <c r="R13" s="18" t="n">
        <v>12.976</v>
      </c>
      <c r="S13" s="18" t="n">
        <v>-5.792</v>
      </c>
      <c r="T13" s="18" t="n">
        <v>1.769</v>
      </c>
      <c r="U13" s="18" t="n">
        <v>9.67</v>
      </c>
      <c r="V13" s="18" t="n">
        <v>28.605</v>
      </c>
      <c r="W13" s="18" t="n">
        <v>25.846</v>
      </c>
      <c r="X13" s="18" t="n">
        <v>36.02</v>
      </c>
      <c r="Y13" s="18" t="n">
        <v>37.405</v>
      </c>
      <c r="Z13" s="18" t="n">
        <v>44.306</v>
      </c>
      <c r="AA13" s="18" t="n">
        <v>-7.371</v>
      </c>
      <c r="AB13" s="18" t="n">
        <v>-72.58799999999999</v>
      </c>
      <c r="AC13" s="18" t="n">
        <v>-69.72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-16.734</v>
      </c>
      <c r="C15" s="18" t="n">
        <v>-17.367</v>
      </c>
      <c r="D15" s="18" t="n">
        <v>-21.573</v>
      </c>
      <c r="E15" s="18" t="n">
        <v>-39.153</v>
      </c>
      <c r="F15" s="18" t="n">
        <v>-57.736</v>
      </c>
      <c r="G15" s="18" t="n">
        <v>-56.842</v>
      </c>
      <c r="H15" s="18" t="n">
        <v>-11.423</v>
      </c>
      <c r="I15" s="18" t="n">
        <v>-62.114</v>
      </c>
      <c r="J15" s="18" t="n">
        <v>37.633</v>
      </c>
      <c r="K15" s="18" t="n">
        <v>16.313</v>
      </c>
      <c r="L15" s="18" t="n">
        <v>-111.019</v>
      </c>
      <c r="M15" s="18" t="n">
        <v>-227.289</v>
      </c>
      <c r="N15" s="18" t="n">
        <v>-111.238</v>
      </c>
      <c r="O15" s="18" t="n">
        <v>-47.361</v>
      </c>
      <c r="P15" s="18" t="n">
        <v>-38.975</v>
      </c>
      <c r="Q15" s="18" t="n">
        <v>-10.369</v>
      </c>
      <c r="R15" s="18" t="n">
        <v>33.577</v>
      </c>
      <c r="S15" s="18" t="n">
        <v>6.975</v>
      </c>
      <c r="T15" s="18" t="n">
        <v>2.954</v>
      </c>
      <c r="U15" s="18" t="n">
        <v>24.002</v>
      </c>
      <c r="V15" s="18" t="n">
        <v>39.518</v>
      </c>
      <c r="W15" s="18" t="n">
        <v>26.778</v>
      </c>
      <c r="X15" s="18" t="n">
        <v>48.024</v>
      </c>
      <c r="Y15" s="18" t="n">
        <v>33.766</v>
      </c>
      <c r="Z15" s="18" t="n">
        <v>57.703</v>
      </c>
      <c r="AA15" s="18" t="n">
        <v>-0.589</v>
      </c>
      <c r="AB15" s="18" t="n">
        <v>-40.234</v>
      </c>
      <c r="AC15" s="18" t="n">
        <v>-57.465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50.273017</v>
      </c>
      <c r="C17" s="18" t="n">
        <v>50.862253</v>
      </c>
      <c r="D17" s="18" t="n">
        <v>51.321155</v>
      </c>
      <c r="E17" s="18" t="n">
        <v>51.838314</v>
      </c>
      <c r="F17" s="18" t="n">
        <v>54.695477</v>
      </c>
      <c r="G17" s="18" t="n">
        <v>55.356961</v>
      </c>
      <c r="H17" s="18" t="n">
        <v>55.809471</v>
      </c>
      <c r="I17" s="18" t="n">
        <v>56.280561</v>
      </c>
      <c r="J17" s="18" t="n">
        <v>64.94844500000001</v>
      </c>
      <c r="K17" s="18" t="n">
        <v>60.549853</v>
      </c>
      <c r="L17" s="18" t="n">
        <v>57.103278</v>
      </c>
      <c r="M17" s="18" t="n">
        <v>57.479429</v>
      </c>
      <c r="N17" s="18" t="n">
        <v>57.94314</v>
      </c>
      <c r="O17" s="18" t="n">
        <v>58.355542</v>
      </c>
      <c r="P17" s="18" t="n">
        <v>58.189246</v>
      </c>
      <c r="Q17" s="18" t="n">
        <v>56.408677</v>
      </c>
      <c r="R17" s="18" t="n">
        <v>62.186895</v>
      </c>
      <c r="S17" s="18" t="n">
        <v>58.497072</v>
      </c>
      <c r="T17" s="18" t="n">
        <v>59.085757</v>
      </c>
      <c r="U17" s="18" t="n">
        <v>58.647238</v>
      </c>
      <c r="V17" s="18" t="n">
        <v>59.526</v>
      </c>
      <c r="W17" s="18" t="n">
        <v>58.167</v>
      </c>
      <c r="X17" s="18" t="n">
        <v>60.649</v>
      </c>
      <c r="Y17" s="18" t="n">
        <v>60.385</v>
      </c>
      <c r="Z17" s="18" t="n">
        <v>59.65</v>
      </c>
      <c r="AA17" s="18" t="n">
        <v>55.651271</v>
      </c>
      <c r="AB17" s="18" t="n">
        <v>54.944944</v>
      </c>
      <c r="AC17" s="18" t="n">
        <v>56.361634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749.575</v>
      </c>
      <c r="C19" s="18" t="n">
        <v>774.722</v>
      </c>
      <c r="D19" s="18" t="n">
        <v>726.5</v>
      </c>
      <c r="E19" s="18" t="n">
        <v>725.948</v>
      </c>
      <c r="F19" s="18" t="n">
        <v>754.607</v>
      </c>
      <c r="G19" s="18" t="n">
        <v>998.268</v>
      </c>
      <c r="H19" s="18" t="n">
        <v>1035.923</v>
      </c>
      <c r="I19" s="18" t="n">
        <v>1124.226</v>
      </c>
      <c r="J19" s="18" t="n">
        <v>1279.144</v>
      </c>
      <c r="K19" s="18" t="n">
        <v>1245.627</v>
      </c>
      <c r="L19" s="18" t="n">
        <v>1319.557</v>
      </c>
      <c r="M19" s="18" t="n">
        <v>1199.633</v>
      </c>
      <c r="N19" s="18" t="n">
        <v>1164.076</v>
      </c>
      <c r="O19" s="18" t="n">
        <v>1216.794</v>
      </c>
      <c r="P19" s="18" t="n">
        <v>1063.463</v>
      </c>
      <c r="Q19" s="18" t="n">
        <v>1160.975</v>
      </c>
      <c r="R19" s="18" t="n">
        <v>828.924</v>
      </c>
      <c r="S19" s="18" t="n">
        <v>917.168</v>
      </c>
      <c r="T19" s="18" t="n">
        <v>962.894</v>
      </c>
      <c r="U19" s="18" t="n">
        <v>883.526</v>
      </c>
      <c r="V19" s="18" t="n">
        <v>787.127</v>
      </c>
      <c r="W19" s="18" t="n">
        <v>961.186</v>
      </c>
      <c r="X19" s="18" t="n">
        <v>1106.376</v>
      </c>
      <c r="Y19" s="18" t="n">
        <v>1069.909</v>
      </c>
      <c r="Z19" s="18" t="n">
        <v>1126.996</v>
      </c>
      <c r="AA19" s="18" t="n">
        <v>1594.099</v>
      </c>
      <c r="AB19" s="18" t="n">
        <v>1186.237</v>
      </c>
      <c r="AC19" s="18" t="n">
        <v>2022.666</v>
      </c>
    </row>
    <row r="20">
      <c r="A20" s="4" t="inlineStr">
        <is>
          <t>Total Current Assets</t>
        </is>
      </c>
      <c r="B20" s="18" t="n">
        <v>794.728</v>
      </c>
      <c r="C20" s="18" t="n">
        <v>819.301</v>
      </c>
      <c r="D20" s="18" t="n">
        <v>765.495</v>
      </c>
      <c r="E20" s="18" t="n">
        <v>784.723</v>
      </c>
      <c r="F20" s="18" t="n">
        <v>824.25</v>
      </c>
      <c r="G20" s="18" t="n">
        <v>1080.043</v>
      </c>
      <c r="H20" s="18" t="n">
        <v>1101.184</v>
      </c>
      <c r="I20" s="18" t="n">
        <v>1231.506</v>
      </c>
      <c r="J20" s="18" t="n">
        <v>1352.816</v>
      </c>
      <c r="K20" s="18" t="n">
        <v>1316.948</v>
      </c>
      <c r="L20" s="18" t="n">
        <v>1389.813</v>
      </c>
      <c r="M20" s="18" t="n">
        <v>1303.923</v>
      </c>
      <c r="N20" s="18" t="n">
        <v>1248.672</v>
      </c>
      <c r="O20" s="18" t="n">
        <v>1307.003</v>
      </c>
      <c r="P20" s="18" t="n">
        <v>1147.737</v>
      </c>
      <c r="Q20" s="18" t="n">
        <v>1261.387</v>
      </c>
      <c r="R20" s="18" t="n">
        <v>924.23</v>
      </c>
      <c r="S20" s="18" t="n">
        <v>1015.113</v>
      </c>
      <c r="T20" s="18" t="n">
        <v>1070.205</v>
      </c>
      <c r="U20" s="18" t="n">
        <v>999.876</v>
      </c>
      <c r="V20" s="18" t="n">
        <v>928.019</v>
      </c>
      <c r="W20" s="18" t="n">
        <v>1069.553</v>
      </c>
      <c r="X20" s="18" t="n">
        <v>1280.4</v>
      </c>
      <c r="Y20" s="18" t="n">
        <v>1177.162</v>
      </c>
      <c r="Z20" s="18" t="n">
        <v>1278.325</v>
      </c>
      <c r="AA20" s="18" t="n">
        <v>1750.649</v>
      </c>
      <c r="AB20" s="18" t="n">
        <v>1324.014</v>
      </c>
      <c r="AC20" s="18" t="n">
        <v>2155.55</v>
      </c>
    </row>
    <row r="21">
      <c r="A21" s="4" t="inlineStr">
        <is>
          <t>PP&amp;E (net)</t>
        </is>
      </c>
      <c r="B21" s="18" t="n">
        <v>84.40600000000001</v>
      </c>
      <c r="C21" s="18" t="n">
        <v>84.613</v>
      </c>
      <c r="D21" s="18" t="n">
        <v>110.955</v>
      </c>
      <c r="E21" s="18" t="n">
        <v>111.568</v>
      </c>
      <c r="F21" s="18" t="n">
        <v>114.038</v>
      </c>
      <c r="G21" s="18" t="n">
        <v>117.61</v>
      </c>
      <c r="H21" s="18" t="n">
        <v>124.269</v>
      </c>
      <c r="I21" s="18" t="n">
        <v>122.185</v>
      </c>
      <c r="J21" s="18" t="n">
        <v>127.335</v>
      </c>
      <c r="K21" s="18" t="n">
        <v>154.142</v>
      </c>
      <c r="L21" s="18" t="n">
        <v>151.532</v>
      </c>
      <c r="M21" s="18" t="n">
        <v>166.01</v>
      </c>
      <c r="N21" s="18" t="n">
        <v>308.481</v>
      </c>
      <c r="O21" s="18" t="n">
        <v>308.431</v>
      </c>
      <c r="P21" s="18" t="n">
        <v>309.346</v>
      </c>
      <c r="Q21" s="18" t="n">
        <v>282.015</v>
      </c>
      <c r="R21" s="18" t="n">
        <v>545.474</v>
      </c>
      <c r="S21" s="18" t="n">
        <v>550.006</v>
      </c>
      <c r="T21" s="18" t="n">
        <v>557.49</v>
      </c>
      <c r="U21" s="18" t="n">
        <v>553.121</v>
      </c>
      <c r="V21" s="18" t="n">
        <v>549.1799999999999</v>
      </c>
      <c r="W21" s="18" t="n">
        <v>536.6079999999999</v>
      </c>
      <c r="X21" s="18" t="n">
        <v>528.016</v>
      </c>
      <c r="Y21" s="18" t="n">
        <v>520.963</v>
      </c>
      <c r="Z21" s="18" t="n">
        <v>515.175</v>
      </c>
      <c r="AA21" s="18" t="n">
        <v>516.24</v>
      </c>
      <c r="AB21" s="18" t="n">
        <v>512.683999</v>
      </c>
      <c r="AC21" s="18" t="n">
        <v>504.245</v>
      </c>
    </row>
    <row r="22">
      <c r="A22" s="4" t="inlineStr">
        <is>
          <t>Total Assets</t>
        </is>
      </c>
      <c r="B22" s="18" t="n">
        <v>997.074</v>
      </c>
      <c r="C22" s="18" t="n">
        <v>1036.139</v>
      </c>
      <c r="D22" s="18" t="n">
        <v>1099.667</v>
      </c>
      <c r="E22" s="18" t="n">
        <v>1164.816</v>
      </c>
      <c r="F22" s="18" t="n">
        <v>1241.251</v>
      </c>
      <c r="G22" s="18" t="n">
        <v>1795.125</v>
      </c>
      <c r="H22" s="18" t="n">
        <v>1893.526</v>
      </c>
      <c r="I22" s="18" t="n">
        <v>1985.209</v>
      </c>
      <c r="J22" s="18" t="n">
        <v>2116.804</v>
      </c>
      <c r="K22" s="18" t="n">
        <v>2055.135</v>
      </c>
      <c r="L22" s="18" t="n">
        <v>2059.787</v>
      </c>
      <c r="M22" s="18" t="n">
        <v>1935.795</v>
      </c>
      <c r="N22" s="18" t="n">
        <v>1958.429</v>
      </c>
      <c r="O22" s="18" t="n">
        <v>1969.711</v>
      </c>
      <c r="P22" s="18" t="n">
        <v>1758.367</v>
      </c>
      <c r="Q22" s="18" t="n">
        <v>1802.531</v>
      </c>
      <c r="R22" s="18" t="n">
        <v>1675.306</v>
      </c>
      <c r="S22" s="18" t="n">
        <v>1744.669</v>
      </c>
      <c r="T22" s="18" t="n">
        <v>1804.136</v>
      </c>
      <c r="U22" s="18" t="n">
        <v>1692.08</v>
      </c>
      <c r="V22" s="18" t="n">
        <v>1591.009</v>
      </c>
      <c r="W22" s="18" t="n">
        <v>1714.48</v>
      </c>
      <c r="X22" s="18" t="n">
        <v>1913.042</v>
      </c>
      <c r="Y22" s="18" t="n">
        <v>1805.66</v>
      </c>
      <c r="Z22" s="18" t="n">
        <v>1996.037</v>
      </c>
      <c r="AA22" s="18" t="n">
        <v>2558.541</v>
      </c>
      <c r="AB22" s="18" t="n">
        <v>2610.974</v>
      </c>
      <c r="AC22" s="18" t="n">
        <v>2981.208</v>
      </c>
    </row>
    <row r="23">
      <c r="A23" s="4" t="inlineStr">
        <is>
          <t>Total Current Liabilities</t>
        </is>
      </c>
      <c r="B23" s="18" t="n">
        <v>412.016</v>
      </c>
      <c r="C23" s="18" t="n">
        <v>419.995</v>
      </c>
      <c r="D23" s="18" t="n">
        <v>444.186</v>
      </c>
      <c r="E23" s="18" t="n">
        <v>496.187</v>
      </c>
      <c r="F23" s="18" t="n">
        <v>566.288</v>
      </c>
      <c r="G23" s="18" t="n">
        <v>592.559</v>
      </c>
      <c r="H23" s="18" t="n">
        <v>631.498</v>
      </c>
      <c r="I23" s="18" t="n">
        <v>701.329</v>
      </c>
      <c r="J23" s="18" t="n">
        <v>711.403</v>
      </c>
      <c r="K23" s="18" t="n">
        <v>720.3630000000001</v>
      </c>
      <c r="L23" s="18" t="n">
        <v>774.298</v>
      </c>
      <c r="M23" s="18" t="n">
        <v>823.6180000000001</v>
      </c>
      <c r="N23" s="18" t="n">
        <v>1196.536</v>
      </c>
      <c r="O23" s="18" t="n">
        <v>1190.317</v>
      </c>
      <c r="P23" s="18" t="n">
        <v>1190.472</v>
      </c>
      <c r="Q23" s="18" t="n">
        <v>1210.676</v>
      </c>
      <c r="R23" s="18" t="n">
        <v>790.509</v>
      </c>
      <c r="S23" s="18" t="n">
        <v>793.998</v>
      </c>
      <c r="T23" s="18" t="n">
        <v>789.0309999999999</v>
      </c>
      <c r="U23" s="18" t="n">
        <v>813.135</v>
      </c>
      <c r="V23" s="18" t="n">
        <v>848.977</v>
      </c>
      <c r="W23" s="18" t="n">
        <v>1440.557</v>
      </c>
      <c r="X23" s="18" t="n">
        <v>1515.412</v>
      </c>
      <c r="Y23" s="18" t="n">
        <v>1497.947</v>
      </c>
      <c r="Z23" s="18" t="n">
        <v>1581.897</v>
      </c>
      <c r="AA23" s="18" t="n">
        <v>1078.1</v>
      </c>
      <c r="AB23" s="18" t="n">
        <v>1112.661</v>
      </c>
      <c r="AC23" s="18" t="n">
        <v>1257.883</v>
      </c>
    </row>
    <row r="24">
      <c r="A24" s="4" t="inlineStr">
        <is>
          <t>Long-term Debt</t>
        </is>
      </c>
      <c r="B24" s="18" t="n">
        <v>349.308</v>
      </c>
      <c r="C24" s="18" t="n">
        <v>354.581</v>
      </c>
      <c r="D24" s="18" t="n">
        <v>359.934</v>
      </c>
      <c r="E24" s="18" t="n">
        <v>365.367</v>
      </c>
      <c r="F24" s="18" t="n">
        <v>370.883</v>
      </c>
      <c r="G24" s="18" t="n">
        <v>824.248</v>
      </c>
      <c r="H24" s="18" t="n">
        <v>834.4400000000001</v>
      </c>
      <c r="I24" s="18" t="n">
        <v>919.0839999999999</v>
      </c>
      <c r="J24" s="18" t="n">
        <v>920.379</v>
      </c>
      <c r="K24" s="18" t="n">
        <v>921.676</v>
      </c>
      <c r="L24" s="18" t="n">
        <v>922.974</v>
      </c>
      <c r="M24" s="18" t="n">
        <v>924.275</v>
      </c>
      <c r="N24" s="18" t="n">
        <v>564.998</v>
      </c>
      <c r="O24" s="18" t="n">
        <v>565.782</v>
      </c>
      <c r="P24" s="18" t="n">
        <v>566.566</v>
      </c>
      <c r="Q24" s="18" t="n">
        <v>708.466</v>
      </c>
      <c r="R24" s="18" t="n">
        <v>568.138</v>
      </c>
      <c r="S24" s="18" t="n">
        <v>568.925</v>
      </c>
      <c r="T24" s="18" t="n">
        <v>569.7140000000001</v>
      </c>
      <c r="U24" s="18" t="n">
        <v>570.504</v>
      </c>
      <c r="V24" s="18" t="n">
        <v>571.295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1124.494</v>
      </c>
      <c r="AB24" s="18" t="n">
        <v>1125.769</v>
      </c>
      <c r="AC24" s="18" t="n">
        <v>1127.054</v>
      </c>
    </row>
    <row r="25">
      <c r="A25" s="4" t="inlineStr">
        <is>
          <t>Total Equity</t>
        </is>
      </c>
      <c r="B25" s="18" t="n">
        <v>172.628</v>
      </c>
      <c r="C25" s="18" t="n">
        <v>198.767</v>
      </c>
      <c r="D25" s="18" t="n">
        <v>207.749</v>
      </c>
      <c r="E25" s="18" t="n">
        <v>210.924</v>
      </c>
      <c r="F25" s="18" t="n">
        <v>204.839</v>
      </c>
      <c r="G25" s="18" t="n">
        <v>267.497</v>
      </c>
      <c r="H25" s="18" t="n">
        <v>287.191</v>
      </c>
      <c r="I25" s="18" t="n">
        <v>213.828</v>
      </c>
      <c r="J25" s="18" t="n">
        <v>304.845</v>
      </c>
      <c r="K25" s="18" t="n">
        <v>195.754</v>
      </c>
      <c r="L25" s="18" t="n">
        <v>145.715</v>
      </c>
      <c r="M25" s="18" t="n">
        <v>-2.483</v>
      </c>
      <c r="N25" s="18" t="n">
        <v>-89.56399999999999</v>
      </c>
      <c r="O25" s="18" t="n">
        <v>-64.416</v>
      </c>
      <c r="P25" s="18" t="n">
        <v>-263.242</v>
      </c>
      <c r="Q25" s="18" t="n">
        <v>-216.933</v>
      </c>
      <c r="R25" s="18" t="n">
        <v>-177.171</v>
      </c>
      <c r="S25" s="18" t="n">
        <v>-94.741</v>
      </c>
      <c r="T25" s="18" t="n">
        <v>-54.485</v>
      </c>
      <c r="U25" s="18" t="n">
        <v>-194.206</v>
      </c>
      <c r="V25" s="18" t="n">
        <v>-322.71</v>
      </c>
      <c r="W25" s="18" t="n">
        <v>-199.307</v>
      </c>
      <c r="X25" s="18" t="n">
        <v>-78.786</v>
      </c>
      <c r="Y25" s="18" t="n">
        <v>-168.617</v>
      </c>
      <c r="Z25" s="18" t="n">
        <v>-117.663</v>
      </c>
      <c r="AA25" s="18" t="n">
        <v>-278.765</v>
      </c>
      <c r="AB25" s="18" t="n">
        <v>-366.002</v>
      </c>
      <c r="AC25" s="18" t="n">
        <v>-102.427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3.665</v>
      </c>
      <c r="C27" s="18" t="n">
        <v>3.927</v>
      </c>
      <c r="D27" s="18" t="n">
        <v>5.732</v>
      </c>
      <c r="E27" s="18" t="n">
        <v>4.138</v>
      </c>
      <c r="F27" s="18" t="n">
        <v>4.103</v>
      </c>
      <c r="G27" s="18" t="n">
        <v>4.538</v>
      </c>
      <c r="H27" s="18" t="n">
        <v>4.408</v>
      </c>
      <c r="I27" s="18" t="n">
        <v>4.031</v>
      </c>
      <c r="J27" s="18" t="n">
        <v>4.224</v>
      </c>
      <c r="K27" s="18" t="n">
        <v>6.64</v>
      </c>
      <c r="L27" s="18" t="n">
        <v>3.986</v>
      </c>
      <c r="M27" s="18" t="n">
        <v>5.109</v>
      </c>
      <c r="N27" s="18" t="n">
        <v>5.602</v>
      </c>
      <c r="O27" s="18" t="n">
        <v>5.426</v>
      </c>
      <c r="P27" s="18" t="n">
        <v>6.72</v>
      </c>
      <c r="Q27" s="18" t="n">
        <v>6.41</v>
      </c>
      <c r="R27" s="18" t="n">
        <v>5.986</v>
      </c>
      <c r="S27" s="18" t="n">
        <v>5.837</v>
      </c>
      <c r="T27" s="18" t="n">
        <v>8.214</v>
      </c>
      <c r="U27" s="18" t="n">
        <v>7.925</v>
      </c>
      <c r="V27" s="18" t="n">
        <v>7.892</v>
      </c>
      <c r="W27" s="18" t="n">
        <v>7.56</v>
      </c>
      <c r="X27" s="18" t="n">
        <v>7.738</v>
      </c>
      <c r="Y27" s="18" t="n">
        <v>7.598</v>
      </c>
      <c r="Z27" s="18" t="n">
        <v>7.369</v>
      </c>
      <c r="AA27" s="18" t="n">
        <v>7.56</v>
      </c>
      <c r="AB27" s="18" t="n">
        <v>8.949999999999999</v>
      </c>
      <c r="AC27" s="18" t="n">
        <v>8.01</v>
      </c>
    </row>
    <row r="28">
      <c r="A28" s="4" t="inlineStr">
        <is>
          <t>Stock-based Compensation</t>
        </is>
      </c>
      <c r="B28" s="18" t="n">
        <v>27.565</v>
      </c>
      <c r="C28" s="18" t="n">
        <v>28.392</v>
      </c>
      <c r="D28" s="18" t="n">
        <v>28.473</v>
      </c>
      <c r="E28" s="18" t="n">
        <v>30.718</v>
      </c>
      <c r="F28" s="18" t="n">
        <v>34.967</v>
      </c>
      <c r="G28" s="18" t="n">
        <v>38.922</v>
      </c>
      <c r="H28" s="18" t="n">
        <v>42.706</v>
      </c>
      <c r="I28" s="18" t="n">
        <v>46.631</v>
      </c>
      <c r="J28" s="18" t="n">
        <v>50.396</v>
      </c>
      <c r="K28" s="18" t="n">
        <v>53.07</v>
      </c>
      <c r="L28" s="18" t="n">
        <v>71.294</v>
      </c>
      <c r="M28" s="18" t="n">
        <v>60.984</v>
      </c>
      <c r="N28" s="18" t="n">
        <v>59.139</v>
      </c>
      <c r="O28" s="18" t="n">
        <v>56.796</v>
      </c>
      <c r="P28" s="18" t="n">
        <v>59.917</v>
      </c>
      <c r="Q28" s="18" t="n">
        <v>54.521</v>
      </c>
      <c r="R28" s="18" t="n">
        <v>53.66</v>
      </c>
      <c r="S28" s="18" t="n">
        <v>58.249</v>
      </c>
      <c r="T28" s="18" t="n">
        <v>58.195</v>
      </c>
      <c r="U28" s="18" t="n">
        <v>58.142</v>
      </c>
      <c r="V28" s="18" t="n">
        <v>59.886</v>
      </c>
      <c r="W28" s="18" t="n">
        <v>60.892</v>
      </c>
      <c r="X28" s="18" t="n">
        <v>61.801</v>
      </c>
      <c r="Y28" s="18" t="n">
        <v>60.261</v>
      </c>
      <c r="Z28" s="18" t="n">
        <v>59.439</v>
      </c>
      <c r="AA28" s="18" t="n">
        <v>0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17.098</v>
      </c>
      <c r="C29" s="18" t="n">
        <v>16.333</v>
      </c>
      <c r="D29" s="18" t="n">
        <v>22.751</v>
      </c>
      <c r="E29" s="18" t="n">
        <v>45.278</v>
      </c>
      <c r="F29" s="18" t="n">
        <v>62.725</v>
      </c>
      <c r="G29" s="18" t="n">
        <v>30.776</v>
      </c>
      <c r="H29" s="18" t="n">
        <v>30.119</v>
      </c>
      <c r="I29" s="18" t="n">
        <v>17.559</v>
      </c>
      <c r="J29" s="18" t="n">
        <v>-33.688</v>
      </c>
      <c r="K29" s="18" t="n">
        <v>14.597</v>
      </c>
      <c r="L29" s="18" t="n">
        <v>42.882</v>
      </c>
      <c r="M29" s="18" t="n">
        <v>28.614</v>
      </c>
      <c r="N29" s="18" t="n">
        <v>-1.024</v>
      </c>
      <c r="O29" s="18" t="n">
        <v>-9.068</v>
      </c>
      <c r="P29" s="18" t="n">
        <v>29.862</v>
      </c>
      <c r="Q29" s="18" t="n">
        <v>-9.241</v>
      </c>
      <c r="R29" s="18" t="n">
        <v>-36.102</v>
      </c>
      <c r="S29" s="18" t="n">
        <v>-15.222</v>
      </c>
      <c r="T29" s="18" t="n">
        <v>24.662077</v>
      </c>
      <c r="U29" s="18" t="n">
        <v>29.878</v>
      </c>
      <c r="V29" s="18" t="n">
        <v>6.615</v>
      </c>
      <c r="W29" s="18" t="n">
        <v>44.555</v>
      </c>
      <c r="X29" s="18" t="n">
        <v>19.923</v>
      </c>
      <c r="Y29" s="18" t="n">
        <v>41.52</v>
      </c>
      <c r="Z29" s="18" t="n">
        <v>128.587</v>
      </c>
      <c r="AA29" s="18" t="n">
        <v>144.06117</v>
      </c>
      <c r="AB29" s="18" t="n">
        <v>181.609633</v>
      </c>
      <c r="AC29" s="18" t="n">
        <v>74.790999</v>
      </c>
    </row>
    <row r="30">
      <c r="A30" s="4" t="inlineStr">
        <is>
          <t>Operating Cash Flow</t>
        </is>
      </c>
      <c r="B30" s="18" t="n">
        <v>37.18</v>
      </c>
      <c r="C30" s="18" t="n">
        <v>36.073</v>
      </c>
      <c r="D30" s="18" t="n">
        <v>41.237</v>
      </c>
      <c r="E30" s="18" t="n">
        <v>45.027</v>
      </c>
      <c r="F30" s="18" t="n">
        <v>49.958</v>
      </c>
      <c r="G30" s="18" t="n">
        <v>24.514</v>
      </c>
      <c r="H30" s="18" t="n">
        <v>28.55</v>
      </c>
      <c r="I30" s="18" t="n">
        <v>18.488</v>
      </c>
      <c r="J30" s="18" t="n">
        <v>21.833</v>
      </c>
      <c r="K30" s="18" t="n">
        <v>4.323</v>
      </c>
      <c r="L30" s="18" t="n">
        <v>21.041</v>
      </c>
      <c r="M30" s="18" t="n">
        <v>-13.662</v>
      </c>
      <c r="N30" s="18" t="n">
        <v>-2.687</v>
      </c>
      <c r="O30" s="18" t="n">
        <v>0.267</v>
      </c>
      <c r="P30" s="18" t="n">
        <v>53.234</v>
      </c>
      <c r="Q30" s="18" t="n">
        <v>45.961</v>
      </c>
      <c r="R30" s="18" t="n">
        <v>47.761</v>
      </c>
      <c r="S30" s="18" t="n">
        <v>64.14400000000001</v>
      </c>
      <c r="T30" s="18" t="n">
        <v>86.646034</v>
      </c>
      <c r="U30" s="18" t="n">
        <v>113.836</v>
      </c>
      <c r="V30" s="18" t="n">
        <v>120.029</v>
      </c>
      <c r="W30" s="18" t="n">
        <v>129.814</v>
      </c>
      <c r="X30" s="18" t="n">
        <v>133.736</v>
      </c>
      <c r="Y30" s="18" t="n">
        <v>145.491</v>
      </c>
      <c r="Z30" s="18" t="n">
        <v>150.335</v>
      </c>
      <c r="AA30" s="18" t="n">
        <v>146.648568</v>
      </c>
      <c r="AB30" s="18" t="n">
        <v>174.288897</v>
      </c>
      <c r="AC30" s="18" t="n">
        <v>78.52799899999999</v>
      </c>
    </row>
    <row r="31">
      <c r="A31" s="4" t="inlineStr">
        <is>
          <t>Capex</t>
        </is>
      </c>
      <c r="B31" s="18" t="n">
        <v>-6.426</v>
      </c>
      <c r="C31" s="18" t="n">
        <v>-6.846</v>
      </c>
      <c r="D31" s="18" t="n">
        <v>-3.766</v>
      </c>
      <c r="E31" s="18" t="n">
        <v>-6.575</v>
      </c>
      <c r="F31" s="18" t="n">
        <v>-3.264</v>
      </c>
      <c r="G31" s="18" t="n">
        <v>-5.134</v>
      </c>
      <c r="H31" s="18" t="n">
        <v>-5.38</v>
      </c>
      <c r="I31" s="18" t="n">
        <v>-3.849</v>
      </c>
      <c r="J31" s="18" t="n">
        <v>-7.119</v>
      </c>
      <c r="K31" s="18" t="n">
        <v>-13.03</v>
      </c>
      <c r="L31" s="18" t="n">
        <v>-13.702</v>
      </c>
      <c r="M31" s="18" t="n">
        <v>-19.924</v>
      </c>
      <c r="N31" s="18" t="n">
        <v>-13.217</v>
      </c>
      <c r="O31" s="18" t="n">
        <v>-22.874</v>
      </c>
      <c r="P31" s="18" t="n">
        <v>-14.649</v>
      </c>
      <c r="Q31" s="18" t="n">
        <v>-20.932</v>
      </c>
      <c r="R31" s="18" t="n">
        <v>-15.751</v>
      </c>
      <c r="S31" s="18" t="n">
        <v>-19.376</v>
      </c>
      <c r="T31" s="18" t="n">
        <v>-9.439285</v>
      </c>
      <c r="U31" s="18" t="n">
        <v>-8.125</v>
      </c>
      <c r="V31" s="18" t="n">
        <v>-7.195</v>
      </c>
      <c r="W31" s="18" t="n">
        <v>-2.053</v>
      </c>
      <c r="X31" s="18" t="n">
        <v>-1.963</v>
      </c>
      <c r="Y31" s="18" t="n">
        <v>-3.05</v>
      </c>
      <c r="Z31" s="18" t="n">
        <v>-2.67</v>
      </c>
      <c r="AA31" s="18" t="n">
        <v>-1.395988</v>
      </c>
      <c r="AB31" s="18" t="n">
        <v>-2.757877</v>
      </c>
      <c r="AC31" s="18" t="n">
        <v>-3.300999</v>
      </c>
    </row>
    <row r="32">
      <c r="A32" s="4" t="inlineStr">
        <is>
          <t>Free Cash Flow</t>
        </is>
      </c>
      <c r="B32" s="18" t="n">
        <v>30.754</v>
      </c>
      <c r="C32" s="18" t="n">
        <v>29.227</v>
      </c>
      <c r="D32" s="18" t="n">
        <v>37.471</v>
      </c>
      <c r="E32" s="18" t="n">
        <v>38.452</v>
      </c>
      <c r="F32" s="18" t="n">
        <v>46.694</v>
      </c>
      <c r="G32" s="18" t="n">
        <v>19.38</v>
      </c>
      <c r="H32" s="18" t="n">
        <v>23.17</v>
      </c>
      <c r="I32" s="18" t="n">
        <v>14.639</v>
      </c>
      <c r="J32" s="18" t="n">
        <v>14.714</v>
      </c>
      <c r="K32" s="18" t="n">
        <v>-8.707000000000001</v>
      </c>
      <c r="L32" s="18" t="n">
        <v>7.339</v>
      </c>
      <c r="M32" s="18" t="n">
        <v>-33.586</v>
      </c>
      <c r="N32" s="18" t="n">
        <v>-15.904</v>
      </c>
      <c r="O32" s="18" t="n">
        <v>-22.607</v>
      </c>
      <c r="P32" s="18" t="n">
        <v>38.585</v>
      </c>
      <c r="Q32" s="18" t="n">
        <v>25.029</v>
      </c>
      <c r="R32" s="18" t="n">
        <v>32.01</v>
      </c>
      <c r="S32" s="18" t="n">
        <v>44.768</v>
      </c>
      <c r="T32" s="18" t="n">
        <v>77.206749</v>
      </c>
      <c r="U32" s="18" t="n">
        <v>105.711</v>
      </c>
      <c r="V32" s="18" t="n">
        <v>112.834</v>
      </c>
      <c r="W32" s="18" t="n">
        <v>127.761</v>
      </c>
      <c r="X32" s="18" t="n">
        <v>131.773</v>
      </c>
      <c r="Y32" s="18" t="n">
        <v>142.441</v>
      </c>
      <c r="Z32" s="18" t="n">
        <v>147.665</v>
      </c>
      <c r="AA32" s="18" t="n">
        <v>145.25258</v>
      </c>
      <c r="AB32" s="18" t="n">
        <v>171.53102</v>
      </c>
      <c r="AC32" s="18" t="n">
        <v>75.227</v>
      </c>
    </row>
    <row r="34">
      <c r="A34" s="2" t="inlineStr">
        <is>
          <t>Blue = hardcoded actuals from FMP filings. Same-sheet ratios are formulas.</t>
        </is>
      </c>
    </row>
    <row r="36">
      <c r="A36" t="inlineStr">
        <is>
          <t>Core (partners + non-partners)</t>
        </is>
      </c>
      <c r="Y36" t="n">
        <v>449.9</v>
      </c>
      <c r="Z36" t="n">
        <v>465.3</v>
      </c>
      <c r="AA36" t="n">
        <v>479.8</v>
      </c>
      <c r="AB36" t="n">
        <v>498</v>
      </c>
    </row>
    <row r="37">
      <c r="A37" t="inlineStr">
        <is>
          <t>Base44 (vibe-coding)</t>
        </is>
      </c>
      <c r="Y37" t="n">
        <v>23.8</v>
      </c>
      <c r="Z37" t="n">
        <v>24.6</v>
      </c>
      <c r="AA37" t="n">
        <v>25.4</v>
      </c>
      <c r="AB37" t="n">
        <v>26.3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2278.510009</v>
      </c>
      <c r="C4" s="18" t="n">
        <v>2580.250837</v>
      </c>
      <c r="D4" s="18" t="n">
        <v>2934.976177</v>
      </c>
      <c r="E4" s="18" t="n">
        <v>3391</v>
      </c>
      <c r="F4" s="18" t="n">
        <v>3793.05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-78.99626000000001</v>
      </c>
      <c r="C8" s="18" t="n">
        <v>-89.457657</v>
      </c>
      <c r="D8" s="18" t="n">
        <v>-101.756034</v>
      </c>
      <c r="E8" s="18" t="n">
        <v>-117.566444</v>
      </c>
      <c r="F8" s="18" t="n">
        <v>-131.505574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-116.241157</v>
      </c>
      <c r="C12" s="18" t="n">
        <v>-131.634858</v>
      </c>
      <c r="D12" s="18" t="n">
        <v>-149.731634</v>
      </c>
      <c r="E12" s="18" t="n">
        <v>-172.996284</v>
      </c>
      <c r="F12" s="18" t="n">
        <v>-193.507388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943.652902</v>
      </c>
      <c r="C16" s="18" t="n">
        <v>1068.619923</v>
      </c>
      <c r="D16" s="18" t="n">
        <v>1215.530666</v>
      </c>
      <c r="E16" s="18" t="n">
        <v>1404.39453</v>
      </c>
      <c r="F16" s="18" t="n">
        <v>1570.904946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284.8409095</v>
      </c>
      <c r="C20" s="18" t="n">
        <v>424.077284</v>
      </c>
      <c r="D20" s="18" t="n">
        <v>514.5301515</v>
      </c>
      <c r="E20" s="18" t="n">
        <v>695.484945</v>
      </c>
      <c r="F20" s="18" t="n">
        <v>863.7288140000001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4.85544</v>
      </c>
      <c r="C24" s="62" t="n">
        <v>7.0576</v>
      </c>
      <c r="D24" s="62" t="n">
        <v>8.976190000000001</v>
      </c>
      <c r="E24" s="62" t="n">
        <v>12.05</v>
      </c>
      <c r="F24" s="62" t="n">
        <v>14.965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  <c r="F25" s="46">
        <f>Model!K23/Financials!AC17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Wix.com Ltd.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67" t="n">
        <v>0.06955641170194972</v>
      </c>
      <c r="C4" s="67" t="n">
        <v>0.07455641170194972</v>
      </c>
      <c r="D4" s="67" t="n">
        <v>0.07955641170194971</v>
      </c>
      <c r="E4" s="67" t="n">
        <v>0.08455641170194972</v>
      </c>
      <c r="F4" s="67" t="n">
        <v>0.08955641170194972</v>
      </c>
      <c r="G4" s="67" t="n">
        <v>0.09455641170194971</v>
      </c>
      <c r="H4" s="67" t="n">
        <v>0.09955641170194972</v>
      </c>
    </row>
    <row r="5">
      <c r="A5" s="68" t="n">
        <v>9</v>
      </c>
      <c r="B5" s="46" t="n">
        <v>71.63316120296885</v>
      </c>
      <c r="C5" s="46" t="n">
        <v>69.57360794824488</v>
      </c>
      <c r="D5" s="46" t="n">
        <v>67.60740014015339</v>
      </c>
      <c r="E5" s="46" t="n">
        <v>65.7297489729397</v>
      </c>
      <c r="F5" s="46" t="n">
        <v>63.93613587861516</v>
      </c>
      <c r="G5" s="46" t="n">
        <v>62.22229599920095</v>
      </c>
      <c r="H5" s="46" t="n">
        <v>60.58420274426709</v>
      </c>
    </row>
    <row r="6">
      <c r="A6" s="68" t="n">
        <v>10</v>
      </c>
      <c r="B6" s="46" t="n">
        <v>74.95970519005979</v>
      </c>
      <c r="C6" s="46" t="n">
        <v>72.74856625984799</v>
      </c>
      <c r="D6" s="46" t="n">
        <v>70.63833648021223</v>
      </c>
      <c r="E6" s="46" t="n">
        <v>68.62381719321894</v>
      </c>
      <c r="F6" s="46" t="n">
        <v>66.70010392943506</v>
      </c>
      <c r="G6" s="46" t="n">
        <v>64.86256837965537</v>
      </c>
      <c r="H6" s="46" t="n">
        <v>63.1068415521974</v>
      </c>
    </row>
    <row r="7">
      <c r="A7" s="68" t="n">
        <v>11</v>
      </c>
      <c r="B7" s="46" t="n">
        <v>78.28624917715075</v>
      </c>
      <c r="C7" s="46" t="n">
        <v>75.92352457145113</v>
      </c>
      <c r="D7" s="46" t="n">
        <v>73.66927282027106</v>
      </c>
      <c r="E7" s="46" t="n">
        <v>71.51788541349821</v>
      </c>
      <c r="F7" s="46" t="n">
        <v>69.46407198025496</v>
      </c>
      <c r="G7" s="46" t="n">
        <v>67.50284076010979</v>
      </c>
      <c r="H7" s="46" t="n">
        <v>65.62948036012773</v>
      </c>
    </row>
    <row r="8">
      <c r="A8" s="68" t="n">
        <v>12</v>
      </c>
      <c r="B8" s="46" t="n">
        <v>81.61279316424172</v>
      </c>
      <c r="C8" s="46" t="n">
        <v>79.09848288305425</v>
      </c>
      <c r="D8" s="46" t="n">
        <v>76.70020916032992</v>
      </c>
      <c r="E8" s="69" t="n">
        <v>74.41195363377746</v>
      </c>
      <c r="F8" s="46" t="n">
        <v>72.22804003107487</v>
      </c>
      <c r="G8" s="46" t="n">
        <v>70.14311314056422</v>
      </c>
      <c r="H8" s="46" t="n">
        <v>68.15211916805805</v>
      </c>
    </row>
    <row r="9">
      <c r="A9" s="68" t="n">
        <v>13</v>
      </c>
      <c r="B9" s="46" t="n">
        <v>84.93933715133267</v>
      </c>
      <c r="C9" s="46" t="n">
        <v>82.27344119465738</v>
      </c>
      <c r="D9" s="46" t="n">
        <v>79.73114550038876</v>
      </c>
      <c r="E9" s="46" t="n">
        <v>77.30602185405671</v>
      </c>
      <c r="F9" s="46" t="n">
        <v>74.99200808189477</v>
      </c>
      <c r="G9" s="46" t="n">
        <v>72.78338552101864</v>
      </c>
      <c r="H9" s="46" t="n">
        <v>70.67475797598837</v>
      </c>
    </row>
    <row r="10">
      <c r="A10" s="68" t="n">
        <v>14</v>
      </c>
      <c r="B10" s="46" t="n">
        <v>88.26588113842362</v>
      </c>
      <c r="C10" s="46" t="n">
        <v>85.4483995062605</v>
      </c>
      <c r="D10" s="46" t="n">
        <v>82.76208184044761</v>
      </c>
      <c r="E10" s="46" t="n">
        <v>80.20009007433595</v>
      </c>
      <c r="F10" s="46" t="n">
        <v>77.75597613271466</v>
      </c>
      <c r="G10" s="46" t="n">
        <v>75.42365790147306</v>
      </c>
      <c r="H10" s="46" t="n">
        <v>73.19739678391868</v>
      </c>
    </row>
    <row r="11">
      <c r="A11" s="68" t="n">
        <v>15</v>
      </c>
      <c r="B11" s="46" t="n">
        <v>91.59242512551458</v>
      </c>
      <c r="C11" s="46" t="n">
        <v>88.62335781786362</v>
      </c>
      <c r="D11" s="46" t="n">
        <v>85.79301818050645</v>
      </c>
      <c r="E11" s="46" t="n">
        <v>83.09415829461521</v>
      </c>
      <c r="F11" s="46" t="n">
        <v>80.51994418353458</v>
      </c>
      <c r="G11" s="46" t="n">
        <v>78.0639302819275</v>
      </c>
      <c r="H11" s="46" t="n">
        <v>75.72003559184901</v>
      </c>
    </row>
    <row r="13">
      <c r="A13" s="3" t="inlineStr">
        <is>
          <t>Current price</t>
        </is>
      </c>
      <c r="B13" s="70" t="n">
        <v>56.8650016784668</v>
      </c>
    </row>
    <row r="14">
      <c r="A14" s="3" t="inlineStr">
        <is>
          <t>Base WACC / multiple</t>
        </is>
      </c>
      <c r="B14" s="71" t="n">
        <v>0.08455641170194972</v>
      </c>
      <c r="C14" s="72" t="n">
        <v>12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0.01579342954796783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0.6331746989865618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0.012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1.148094969148023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2026-06-04T06:26:22Z</dcterms:created>
  <dcterms:modified xmlns:dcterms="http://purl.org/dc/terms/" xmlns:xsi="http://www.w3.org/2001/XMLSchema-instance" xsi:type="dcterms:W3CDTF">2026-07-06T19:47:56Z</dcterms:modified>
</cp:coreProperties>
</file>