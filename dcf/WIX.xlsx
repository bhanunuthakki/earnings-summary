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9" authorId="0" shapeId="0">
      <text>
        <t>Opus: 14.0%</t>
      </text>
    </comment>
    <comment ref="B30" authorId="0" shapeId="0">
      <text>
        <t>User-edited — overridden from Opus 23.0% on 2026-07-07</t>
      </text>
    </comment>
    <comment ref="B31" authorId="0" shapeId="0">
      <text>
        <t>Opus: 18.0%</t>
      </text>
    </comment>
    <comment ref="B34" authorId="0" shapeId="0">
      <text>
        <t>Opus: —
set from Opus 1%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1.007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User-edited — overridden from Opus 15.0x on 2026-07-07</t>
      </text>
    </comment>
    <comment ref="B46" authorId="0" shapeId="0">
      <text>
        <t>User-edited — overridden from Opus 3.5% on 2026-07-07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Wix.com Ltd. (WIX)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Segment-grounded conservative recut (user-directed 2026-06-08), built from Q1'26 IR actuals + transcript Q&amp;A. WIX revenue decomposed into 4 clean non-overlapping streams (FY25 base, $M): Core Creative-Subscriptions ex-Base44 ~1,365 (GM ~80%, mature DIY/self-creator, modeled in secular DECLINE -16% over 10y as AI builders disrupt + Partners marketing pulls back); Base44 ~45 -&gt; scales off the $150M ARR disclosed mid-May'26 (was &lt;$50M a year prior) at low GM, reaching ~$680M / ~22% of revenue by yr10; Fintech/transaction ~256 (GPV x take-rate 1.84%, +19%, fading); Business apps ~327 (Google Workspace/Paid Ads, fading). Blended growth ~12% in 2026 (just under the company's mid-teens guide) decelerating hard to ~1.5% terminal as the declining core dominates the mix; terminal-year revenue ~$3.0B. The explicit 4-stream DCF = $87/sh; the single 'Total company' line is the reduced-form 2-point calibration (currently ~6%-&gt;~2.3% blended) that reproduces the segment build's ~$87/sh value and ~$3.0B terminal revenue (the redesigned engine applies a company-wide margin + a 2-point-per-segment growth that can't hold Base44's spiky ramp, so the segment math is carried here in the narrative). Conservatism sits in the MARGINS: near-term operating trough ~3% (Base44 AI/compute cost recognized before revenue -&gt; current GAAP op losses) normalizing only to a ~14% terminal ceiling (Base44's structurally lower GM caps the blended ~85% core level), valued off a below-market 10x EV/EBITDA exit. Even so the name screens cheap on its ~$574M trailing FCF -&gt; ~$86-87/sh, +75% vs ~$49.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Wix.com Ltd. (WIX)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Core (Creative Subs + Partners)</t>
        </is>
      </c>
      <c r="B20" s="15" t="n">
        <v>0.12</v>
      </c>
      <c r="C20" s="15" t="n">
        <v>-0.02</v>
      </c>
      <c r="D20" s="16" t="n">
        <v>0.12</v>
      </c>
      <c r="E20" s="2" t="inlineStr"/>
    </row>
    <row r="21">
      <c r="A21" s="4" t="inlineStr">
        <is>
          <t>Base44 (vibe-coding)</t>
        </is>
      </c>
      <c r="B21" s="15" t="n">
        <v>0.4</v>
      </c>
      <c r="C21" s="15" t="n">
        <v>0.03</v>
      </c>
      <c r="D21" s="16" t="n">
        <v>0.4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0.14</v>
      </c>
      <c r="D29" s="16" t="n">
        <v>0.14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0.18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22.78510009</v>
      </c>
      <c r="D34" s="18" t="n">
        <v>22.78510009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1.007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0.005</v>
      </c>
    </row>
    <row r="47">
      <c r="A47" s="4" t="inlineStr">
        <is>
          <t>Country risk premium</t>
        </is>
      </c>
      <c r="B47" s="15" t="n">
        <v>0.013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44.72499847412109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75.50520212379367</v>
      </c>
      <c r="C58" s="28" t="n">
        <v>104.9340803792404</v>
      </c>
      <c r="D58" s="28" t="n">
        <v>53.94955326749344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0.12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0.07199999999999999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WIX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Segment-grounded conservative recut (user-directed 2026-06-08), built from Q1'26 IR actuals + transcript Q&amp;A. WIX revenue decomposed into 4 clean non-overlapping streams (FY25 base, $M): Core Creative-Subscriptions ex-Base44 ~1,365 (GM ~80%, mature DIY/self-creator, modeled in secular DECLINE -16% over 10y as AI builders disrupt + Partners marketing pulls back); Base44 ~45 -&gt; scales off the $150M ARR disclosed mid-May'26 (was &lt;$50M a year prior) at low GM, reaching ~$680M / ~22% of revenue by yr10; Fintech/transaction ~256 (GPV x take-rate 1.84%, +19%, fading); Business apps ~327 (Google Workspace/Paid Ads, fading). Blended growth ~12% in 2026 (just under the company's mid-teens guide) decelerating hard to ~1.5% terminal as the declining core dominates the mix; terminal-year revenue ~$3.0B. The explicit 4-stream DCF = $87/sh; the single 'Total company' line is the reduced-form 2-point calibration (currently ~6%-&gt;~2.3% blended) that reproduces the segment build's ~$87/sh value and ~$3.0B terminal revenue (the redesigned engine applies a company-wide margin + a 2-point-per-segment growth that can't hold Base44's spiky ramp, so the segment math is carried here in the narrative). Conservatism sits in the MARGINS: near-term operating trough ~3% (Base44 AI/compute cost recognized before revenue -&gt; current GAAP op losses) normalizing only to a ~14% terminal ceiling (Base44's structurally lower GM caps the blended ~85% core level), valued off a below-market 10x EV/EBITDA exit. Even so the name screens cheap on its ~$574M trailing FCF -&gt; ~$86-87/sh, +75% vs ~$49.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v3 2026-06-08: re-grounded in the reported core/partners/fintech breakout + Base44 $150M ARR anchor (Q1'26 transcript). Explicit 4-stream build (core decline / Base44 takeoff / fintech / apps) yields $87.48/sh and ~$3.0B terminal revenue, validating the prior hand-tuned $85.87 single-segment value (within $1.6). Kept the conservative single-segment inputs (5.5/2.5% growth, 3/14% op margin, 10x exit, market beta ~1.0) since they reproduce the segment build's terminal-dominated value and are marginally more conservative. Key learning: WIX's growth holds up (Base44+fintech offset core decline) so the revenue endpoint is unchanged; the conservatism is a margin story, not a growth one.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Core (Creative Subs + Partners)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Core (Creative Subs + Partners)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Base44 (vibe-coding) — near-term growth</t>
        </is>
      </c>
      <c r="B22" t="inlineStr">
        <is>
          <t>B21</t>
        </is>
      </c>
      <c r="C22" s="11">
        <f>Dashboard!B21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Base44 (vibe-coding) — terminal growth</t>
        </is>
      </c>
      <c r="B23" t="inlineStr">
        <is>
          <t>C21</t>
        </is>
      </c>
      <c r="C23" s="11">
        <f>Dashboard!C21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Near-term operating margin</t>
        </is>
      </c>
      <c r="B24" t="inlineStr">
        <is>
          <t>B29</t>
        </is>
      </c>
      <c r="C24" s="11">
        <f>Dashboard!B29</f>
        <v/>
      </c>
      <c r="D24" t="inlineStr">
        <is>
          <t>Opus</t>
        </is>
      </c>
      <c r="E24" t="inlineStr">
        <is>
          <t>14.0%</t>
        </is>
      </c>
      <c r="F24" s="31" t="inlineStr"/>
    </row>
    <row r="25">
      <c r="A25" t="inlineStr">
        <is>
          <t>Terminal operating margin</t>
        </is>
      </c>
      <c r="B25" t="inlineStr">
        <is>
          <t>B30</t>
        </is>
      </c>
      <c r="C25" s="11">
        <f>Dashboard!B30</f>
        <v/>
      </c>
      <c r="D25" s="32" t="inlineStr">
        <is>
          <t>user-edited</t>
        </is>
      </c>
      <c r="E25" t="inlineStr">
        <is>
          <t>23.0%</t>
        </is>
      </c>
      <c r="F25" s="31" t="inlineStr">
        <is>
          <t>overridden from Opus 23.0% on 2026-07-07</t>
        </is>
      </c>
    </row>
    <row r="26">
      <c r="A26" t="inlineStr">
        <is>
          <t>Tax rate</t>
        </is>
      </c>
      <c r="B26" t="inlineStr">
        <is>
          <t>B31</t>
        </is>
      </c>
      <c r="C26" s="11">
        <f>Dashboard!B31</f>
        <v/>
      </c>
      <c r="D26" t="inlineStr">
        <is>
          <t>Opus</t>
        </is>
      </c>
      <c r="E26" t="inlineStr">
        <is>
          <t>18.0%</t>
        </is>
      </c>
      <c r="F26" s="31" t="inlineStr"/>
    </row>
    <row r="27">
      <c r="A27" t="inlineStr">
        <is>
          <t>Terminal capex / D&amp;A</t>
        </is>
      </c>
      <c r="B27" t="inlineStr">
        <is>
          <t>B35</t>
        </is>
      </c>
      <c r="C27" s="13">
        <f>Dashboard!B35</f>
        <v/>
      </c>
      <c r="D27" t="inlineStr">
        <is>
          <t>Opus</t>
        </is>
      </c>
      <c r="E27" t="inlineStr">
        <is>
          <t>1.1x</t>
        </is>
      </c>
      <c r="F27" s="31" t="inlineStr"/>
    </row>
    <row r="28">
      <c r="A28" t="inlineStr">
        <is>
          <t>Risk-free rate (10Y)</t>
        </is>
      </c>
      <c r="B28" t="inlineStr">
        <is>
          <t>B38</t>
        </is>
      </c>
      <c r="C28" s="11">
        <f>Dashboard!B38</f>
        <v/>
      </c>
      <c r="D28" t="inlineStr">
        <is>
          <t>Opus</t>
        </is>
      </c>
      <c r="E28" t="inlineStr">
        <is>
          <t>4.3%</t>
        </is>
      </c>
      <c r="F28" s="31" t="inlineStr"/>
    </row>
    <row r="29">
      <c r="A29" t="inlineStr">
        <is>
          <t>Equity risk premium</t>
        </is>
      </c>
      <c r="B29" t="inlineStr">
        <is>
          <t>B39</t>
        </is>
      </c>
      <c r="C29" s="11">
        <f>Dashboard!B39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Beta (levered)</t>
        </is>
      </c>
      <c r="B30" t="inlineStr">
        <is>
          <t>B40</t>
        </is>
      </c>
      <c r="C30" s="33">
        <f>Dashboard!B40</f>
        <v/>
      </c>
      <c r="D30" t="inlineStr">
        <is>
          <t>Opus</t>
        </is>
      </c>
      <c r="E30" t="inlineStr">
        <is>
          <t>1.007</t>
        </is>
      </c>
      <c r="F30" s="31" t="inlineStr"/>
    </row>
    <row r="31">
      <c r="A31" t="inlineStr">
        <is>
          <t>Pre-tax cost of debt</t>
        </is>
      </c>
      <c r="B31" t="inlineStr">
        <is>
          <t>B41</t>
        </is>
      </c>
      <c r="C31" s="11">
        <f>Dashboard!B41</f>
        <v/>
      </c>
      <c r="D31" t="inlineStr">
        <is>
          <t>Opus</t>
        </is>
      </c>
      <c r="E31" t="inlineStr">
        <is>
          <t>4.5%</t>
        </is>
      </c>
      <c r="F31" s="31" t="inlineStr"/>
    </row>
    <row r="32">
      <c r="A32" t="inlineStr">
        <is>
          <t>Terminal method</t>
        </is>
      </c>
      <c r="B32" t="inlineStr">
        <is>
          <t>B43</t>
        </is>
      </c>
      <c r="C32" s="12">
        <f>Dashboard!B43</f>
        <v/>
      </c>
      <c r="D32" t="inlineStr">
        <is>
          <t>Opus</t>
        </is>
      </c>
      <c r="E32" t="inlineStr">
        <is>
          <t>Exit multiple</t>
        </is>
      </c>
      <c r="F32" s="31" t="inlineStr"/>
    </row>
    <row r="33">
      <c r="A33" t="inlineStr">
        <is>
          <t>Exit basis</t>
        </is>
      </c>
      <c r="B33" t="inlineStr">
        <is>
          <t>B44</t>
        </is>
      </c>
      <c r="C33" s="12">
        <f>Dashboard!B44</f>
        <v/>
      </c>
      <c r="D33" t="inlineStr">
        <is>
          <t>Opus</t>
        </is>
      </c>
      <c r="E33" t="inlineStr">
        <is>
          <t>EV/EBITDA</t>
        </is>
      </c>
      <c r="F33" s="31" t="inlineStr"/>
    </row>
    <row r="34">
      <c r="A34" t="inlineStr">
        <is>
          <t>Exit multiple</t>
        </is>
      </c>
      <c r="B34" t="inlineStr">
        <is>
          <t>B45</t>
        </is>
      </c>
      <c r="C34" s="13">
        <f>Dashboard!B45</f>
        <v/>
      </c>
      <c r="D34" s="32" t="inlineStr">
        <is>
          <t>user-edited</t>
        </is>
      </c>
      <c r="E34" t="inlineStr">
        <is>
          <t>15.0x</t>
        </is>
      </c>
      <c r="F34" s="31" t="inlineStr">
        <is>
          <t>overridden from Opus 15.0x on 2026-07-07</t>
        </is>
      </c>
    </row>
    <row r="35">
      <c r="A35" t="inlineStr">
        <is>
          <t>Terminal growth (g)</t>
        </is>
      </c>
      <c r="B35" t="inlineStr">
        <is>
          <t>B46</t>
        </is>
      </c>
      <c r="C35" s="11">
        <f>Dashboard!B46</f>
        <v/>
      </c>
      <c r="D35" s="32" t="inlineStr">
        <is>
          <t>user-edited</t>
        </is>
      </c>
      <c r="E35" t="inlineStr">
        <is>
          <t>3.5%</t>
        </is>
      </c>
      <c r="F35" s="31" t="inlineStr">
        <is>
          <t>overridden from Opus 3.5% on 2026-07-07</t>
        </is>
      </c>
    </row>
    <row r="36">
      <c r="A36" t="inlineStr">
        <is>
          <t>2026 capex ($M)</t>
        </is>
      </c>
      <c r="B36" t="inlineStr">
        <is>
          <t>B34</t>
        </is>
      </c>
      <c r="C36" s="34">
        <f>Dashboard!B34</f>
        <v/>
      </c>
      <c r="D36" t="inlineStr">
        <is>
          <t>Opus</t>
        </is>
      </c>
      <c r="E36" t="inlineStr">
        <is>
          <t>—</t>
        </is>
      </c>
      <c r="F36" s="31" t="inlineStr">
        <is>
          <t>set from Opus 1% of FY1E revenue; edits not tracked (unit differs from the JSON)</t>
        </is>
      </c>
    </row>
    <row r="37">
      <c r="A37" t="inlineStr">
        <is>
          <t>Bull Δ — segment growth, near-term</t>
        </is>
      </c>
      <c r="B37" t="inlineStr">
        <is>
          <t>C52</t>
        </is>
      </c>
      <c r="C37" s="35">
        <f>Dashboard!C52</f>
        <v/>
      </c>
      <c r="D37" t="inlineStr">
        <is>
          <t>seed default</t>
        </is>
      </c>
      <c r="E37" t="inlineStr">
        <is>
          <t>3.0%</t>
        </is>
      </c>
      <c r="F37" s="31" t="inlineStr"/>
    </row>
    <row r="38">
      <c r="A38" t="inlineStr">
        <is>
          <t>Bear Δ — segment growth, near-term</t>
        </is>
      </c>
      <c r="B38" t="inlineStr">
        <is>
          <t>D52</t>
        </is>
      </c>
      <c r="C38" s="35">
        <f>Dashboard!D52</f>
        <v/>
      </c>
      <c r="D38" t="inlineStr">
        <is>
          <t>seed default</t>
        </is>
      </c>
      <c r="E38" t="inlineStr">
        <is>
          <t>-3.0%</t>
        </is>
      </c>
      <c r="F38" s="31" t="inlineStr"/>
    </row>
    <row r="39">
      <c r="A39" t="inlineStr">
        <is>
          <t>Bull Δ — segment growth, terminal</t>
        </is>
      </c>
      <c r="B39" t="inlineStr">
        <is>
          <t>C53</t>
        </is>
      </c>
      <c r="C39" s="35">
        <f>Dashboard!C53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segment growth, terminal</t>
        </is>
      </c>
      <c r="B40" t="inlineStr">
        <is>
          <t>D53</t>
        </is>
      </c>
      <c r="C40" s="35">
        <f>Dashboard!D53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near-term</t>
        </is>
      </c>
      <c r="B41" t="inlineStr">
        <is>
          <t>C54</t>
        </is>
      </c>
      <c r="C41" s="35">
        <f>Dashboard!C54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operating margin, near-term</t>
        </is>
      </c>
      <c r="B42" t="inlineStr">
        <is>
          <t>D54</t>
        </is>
      </c>
      <c r="C42" s="35">
        <f>Dashboard!D54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terminal</t>
        </is>
      </c>
      <c r="B43" t="inlineStr">
        <is>
          <t>C55</t>
        </is>
      </c>
      <c r="C43" s="35">
        <f>Dashboard!C55</f>
        <v/>
      </c>
      <c r="D43" t="inlineStr">
        <is>
          <t>seed default</t>
        </is>
      </c>
      <c r="E43" t="inlineStr">
        <is>
          <t>2.0%</t>
        </is>
      </c>
      <c r="F43" s="31" t="inlineStr"/>
    </row>
    <row r="44">
      <c r="A44" t="inlineStr">
        <is>
          <t>Bear Δ — operating margin, terminal</t>
        </is>
      </c>
      <c r="B44" t="inlineStr">
        <is>
          <t>D55</t>
        </is>
      </c>
      <c r="C44" s="35">
        <f>Dashboard!D55</f>
        <v/>
      </c>
      <c r="D44" t="inlineStr">
        <is>
          <t>seed default</t>
        </is>
      </c>
      <c r="E44" t="inlineStr">
        <is>
          <t>-2.0%</t>
        </is>
      </c>
      <c r="F44" s="31" t="inlineStr"/>
    </row>
    <row r="45">
      <c r="A45" t="inlineStr">
        <is>
          <t>Bull Δ — exit multiple</t>
        </is>
      </c>
      <c r="B45" t="inlineStr">
        <is>
          <t>C56</t>
        </is>
      </c>
      <c r="C45" s="36">
        <f>Dashboard!C56</f>
        <v/>
      </c>
      <c r="D45" t="inlineStr">
        <is>
          <t>seed default</t>
        </is>
      </c>
      <c r="E45" t="inlineStr">
        <is>
          <t>2.0x</t>
        </is>
      </c>
      <c r="F45" s="31" t="inlineStr"/>
    </row>
    <row r="46">
      <c r="A46" t="inlineStr">
        <is>
          <t>Bear Δ — exit multiple</t>
        </is>
      </c>
      <c r="B46" t="inlineStr">
        <is>
          <t>D56</t>
        </is>
      </c>
      <c r="C46" s="36">
        <f>Dashboard!D56</f>
        <v/>
      </c>
      <c r="D46" t="inlineStr">
        <is>
          <t>seed default</t>
        </is>
      </c>
      <c r="E46" t="inlineStr">
        <is>
          <t>-2.0x</t>
        </is>
      </c>
      <c r="F46" s="31" t="inlineStr"/>
    </row>
    <row r="47">
      <c r="A47" t="inlineStr">
        <is>
          <t>Bull Δ — terminal growth (g)</t>
        </is>
      </c>
      <c r="B47" t="inlineStr">
        <is>
          <t>C57</t>
        </is>
      </c>
      <c r="C47" s="35">
        <f>Dashboard!C57</f>
        <v/>
      </c>
      <c r="D47" t="inlineStr">
        <is>
          <t>seed default</t>
        </is>
      </c>
      <c r="E47" t="inlineStr">
        <is>
          <t>0.5%</t>
        </is>
      </c>
      <c r="F47" s="31" t="inlineStr"/>
    </row>
    <row r="48">
      <c r="A48" t="inlineStr">
        <is>
          <t>Bear Δ — terminal growth (g)</t>
        </is>
      </c>
      <c r="B48" t="inlineStr">
        <is>
          <t>D57</t>
        </is>
      </c>
      <c r="C48" s="35">
        <f>Dashboard!D57</f>
        <v/>
      </c>
      <c r="D48" t="inlineStr">
        <is>
          <t>seed default</t>
        </is>
      </c>
      <c r="E48" t="inlineStr">
        <is>
          <t>-0.5%</t>
        </is>
      </c>
      <c r="F48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Core (Creative Subs + Partners)</t>
        </is>
      </c>
      <c r="B4" s="34">
        <f>SUM(Financials!I19:L19)</f>
        <v/>
      </c>
      <c r="C4" s="34">
        <f>SUM(Financials!M19:P19)</f>
        <v/>
      </c>
      <c r="D4" s="34">
        <f>SUM(Financials!Q19:T19)</f>
        <v/>
      </c>
      <c r="E4" s="34">
        <f>SUM(Financials!U19:X19)</f>
        <v/>
      </c>
      <c r="F4" s="34">
        <f>SUM(Financials!Y19:AB19)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Base44 (vibe-coding)</t>
        </is>
      </c>
      <c r="B6" s="34">
        <f>SUM(Financials!I22:L22)</f>
        <v/>
      </c>
      <c r="C6" s="34">
        <f>SUM(Financials!M22:P22)</f>
        <v/>
      </c>
      <c r="D6" s="34">
        <f>SUM(Financials!Q22:T22)</f>
        <v/>
      </c>
      <c r="E6" s="34">
        <f>SUM(Financials!U22:X22)</f>
        <v/>
      </c>
      <c r="F6" s="34">
        <f>SUM(Financials!Y22:AB22)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3">
        <f>B4+B6</f>
        <v/>
      </c>
      <c r="C8" s="43">
        <f>C4+C6</f>
        <v/>
      </c>
      <c r="D8" s="43">
        <f>D4+D6</f>
        <v/>
      </c>
      <c r="E8" s="43">
        <f>E4+E6</f>
        <v/>
      </c>
      <c r="F8" s="43">
        <f>F4+F6</f>
        <v/>
      </c>
      <c r="G8" s="43">
        <f>G4+G6</f>
        <v/>
      </c>
      <c r="H8" s="43">
        <f>H4+H6</f>
        <v/>
      </c>
      <c r="I8" s="43">
        <f>I4+I6</f>
        <v/>
      </c>
      <c r="J8" s="43">
        <f>J4+J6</f>
        <v/>
      </c>
      <c r="K8" s="43">
        <f>K4+K6</f>
        <v/>
      </c>
      <c r="L8" s="43">
        <f>L4+L6</f>
        <v/>
      </c>
      <c r="M8" s="43">
        <f>M4+M6</f>
        <v/>
      </c>
      <c r="N8" s="43">
        <f>N4+N6</f>
        <v/>
      </c>
      <c r="O8" s="43">
        <f>O4+O6</f>
        <v/>
      </c>
      <c r="P8" s="43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4">
        <f>SUM(Financials!I5:L5)</f>
        <v/>
      </c>
      <c r="C12" s="34">
        <f>SUM(Financials!M5:P5)</f>
        <v/>
      </c>
      <c r="D12" s="34">
        <f>SUM(Financials!Q5:T5)</f>
        <v/>
      </c>
      <c r="E12" s="34">
        <f>SUM(Financials!U5:X5)</f>
        <v/>
      </c>
      <c r="F12" s="34">
        <f>SUM(Financials!Y5:AB5)</f>
        <v/>
      </c>
      <c r="G12" s="42">
        <f>G8*G13</f>
        <v/>
      </c>
      <c r="H12" s="42">
        <f>H8*H13</f>
        <v/>
      </c>
      <c r="I12" s="42">
        <f>I8*I13</f>
        <v/>
      </c>
      <c r="J12" s="42">
        <f>J8*J13</f>
        <v/>
      </c>
      <c r="K12" s="42">
        <f>K8*K13</f>
        <v/>
      </c>
      <c r="L12" s="42">
        <f>L8*L13</f>
        <v/>
      </c>
      <c r="M12" s="42">
        <f>M8*M13</f>
        <v/>
      </c>
      <c r="N12" s="42">
        <f>N8*N13</f>
        <v/>
      </c>
      <c r="O12" s="42">
        <f>O8*O13</f>
        <v/>
      </c>
      <c r="P12" s="42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0.3192869801168464</v>
      </c>
      <c r="H13" s="15" t="n">
        <v>0.3192869801168464</v>
      </c>
      <c r="I13" s="15" t="n">
        <v>0.3192869801168464</v>
      </c>
      <c r="J13" s="15" t="n">
        <v>0.3192869801168464</v>
      </c>
      <c r="K13" s="15" t="n">
        <v>0.3192869801168464</v>
      </c>
      <c r="L13" s="15" t="n">
        <v>0.3192869801168464</v>
      </c>
      <c r="M13" s="15" t="n">
        <v>0.3192869801168464</v>
      </c>
      <c r="N13" s="15" t="n">
        <v>0.3192869801168464</v>
      </c>
      <c r="O13" s="15" t="n">
        <v>0.3192869801168464</v>
      </c>
      <c r="P13" s="15" t="n">
        <v>0.3192869801168464</v>
      </c>
    </row>
    <row r="14">
      <c r="A14" s="4" t="inlineStr">
        <is>
          <t>R&amp;D / Technology</t>
        </is>
      </c>
      <c r="B14" s="34">
        <f>SUM(Financials!I7:L7)</f>
        <v/>
      </c>
      <c r="C14" s="34">
        <f>SUM(Financials!M7:P7)</f>
        <v/>
      </c>
      <c r="D14" s="34">
        <f>SUM(Financials!Q7:T7)</f>
        <v/>
      </c>
      <c r="E14" s="34">
        <f>SUM(Financials!U7:X7)</f>
        <v/>
      </c>
      <c r="F14" s="34">
        <f>SUM(Financials!Y7:AB7)</f>
        <v/>
      </c>
      <c r="G14" s="42">
        <f>G8*G15</f>
        <v/>
      </c>
      <c r="H14" s="42">
        <f>H8*H15</f>
        <v/>
      </c>
      <c r="I14" s="42">
        <f>I8*I15</f>
        <v/>
      </c>
      <c r="J14" s="42">
        <f>J8*J15</f>
        <v/>
      </c>
      <c r="K14" s="42">
        <f>K8*K15</f>
        <v/>
      </c>
      <c r="L14" s="42">
        <f>L8*L15</f>
        <v/>
      </c>
      <c r="M14" s="42">
        <f>M8*M15</f>
        <v/>
      </c>
      <c r="N14" s="42">
        <f>N8*N15</f>
        <v/>
      </c>
      <c r="O14" s="42">
        <f>O8*O15</f>
        <v/>
      </c>
      <c r="P14" s="42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0.3238769440112712</v>
      </c>
      <c r="H15" s="15" t="n">
        <v>0.3238769440112712</v>
      </c>
      <c r="I15" s="15" t="n">
        <v>0.3238769440112712</v>
      </c>
      <c r="J15" s="15" t="n">
        <v>0.3238769440112712</v>
      </c>
      <c r="K15" s="15" t="n">
        <v>0.3238769440112712</v>
      </c>
      <c r="L15" s="15" t="n">
        <v>0.3238769440112712</v>
      </c>
      <c r="M15" s="15" t="n">
        <v>0.3238769440112712</v>
      </c>
      <c r="N15" s="15" t="n">
        <v>0.3238769440112712</v>
      </c>
      <c r="O15" s="15" t="n">
        <v>0.3238769440112712</v>
      </c>
      <c r="P15" s="15" t="n">
        <v>0.3238769440112712</v>
      </c>
    </row>
    <row r="16">
      <c r="A16" s="4" t="inlineStr">
        <is>
          <t>SG&amp;A</t>
        </is>
      </c>
      <c r="B16" s="34">
        <f>SUM(Financials!I9:L9)</f>
        <v/>
      </c>
      <c r="C16" s="34">
        <f>SUM(Financials!M9:P9)</f>
        <v/>
      </c>
      <c r="D16" s="34">
        <f>SUM(Financials!Q9:T9)</f>
        <v/>
      </c>
      <c r="E16" s="34">
        <f>SUM(Financials!U9:X9)</f>
        <v/>
      </c>
      <c r="F16" s="34">
        <f>SUM(Financials!Y9:AB9)</f>
        <v/>
      </c>
      <c r="G16" s="42">
        <f>G8*G17</f>
        <v/>
      </c>
      <c r="H16" s="42">
        <f>H8*H17</f>
        <v/>
      </c>
      <c r="I16" s="42">
        <f>I8*I17</f>
        <v/>
      </c>
      <c r="J16" s="42">
        <f>J8*J17</f>
        <v/>
      </c>
      <c r="K16" s="42">
        <f>K8*K17</f>
        <v/>
      </c>
      <c r="L16" s="42">
        <f>L8*L17</f>
        <v/>
      </c>
      <c r="M16" s="42">
        <f>M8*M17</f>
        <v/>
      </c>
      <c r="N16" s="42">
        <f>N8*N17</f>
        <v/>
      </c>
      <c r="O16" s="42">
        <f>O8*O17</f>
        <v/>
      </c>
      <c r="P16" s="42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0.355957018510379</v>
      </c>
      <c r="H17" s="15" t="n">
        <v>0.355957018510379</v>
      </c>
      <c r="I17" s="15" t="n">
        <v>0.355957018510379</v>
      </c>
      <c r="J17" s="15" t="n">
        <v>0.355957018510379</v>
      </c>
      <c r="K17" s="15" t="n">
        <v>0.355957018510379</v>
      </c>
      <c r="L17" s="15" t="n">
        <v>0.355957018510379</v>
      </c>
      <c r="M17" s="15" t="n">
        <v>0.355957018510379</v>
      </c>
      <c r="N17" s="15" t="n">
        <v>0.355957018510379</v>
      </c>
      <c r="O17" s="15" t="n">
        <v>0.355957018510379</v>
      </c>
      <c r="P17" s="15" t="n">
        <v>0.355957018510379</v>
      </c>
    </row>
    <row r="18">
      <c r="A18" s="4" t="inlineStr">
        <is>
          <t>Other opex (fulfilment, etc.)</t>
        </is>
      </c>
      <c r="B18" s="34">
        <f>B8-(B12+B14+B16)-SUM(Financials!I13:L13)</f>
        <v/>
      </c>
      <c r="C18" s="34">
        <f>C8-(C12+C14+C16)-SUM(Financials!M13:P13)</f>
        <v/>
      </c>
      <c r="D18" s="34">
        <f>D8-(D12+D14+D16)-SUM(Financials!Q13:T13)</f>
        <v/>
      </c>
      <c r="E18" s="34">
        <f>E8-(E12+E14+E16)-SUM(Financials!U13:X13)</f>
        <v/>
      </c>
      <c r="F18" s="34">
        <f>F8-(F12+F14+F16)-SUM(Financials!Y13:AB13)</f>
        <v/>
      </c>
      <c r="G18" s="34">
        <f>G8*(1-(Dashboard!$B$29+(Dashboard!$B$30-Dashboard!$B$29)*MIN(1,0/4)))-(G12+G14+G16)</f>
        <v/>
      </c>
      <c r="H18" s="34">
        <f>H8*(1-(Dashboard!$B$29+(Dashboard!$B$30-Dashboard!$B$29)*MIN(1,1/4)))-(H12+H14+H16)</f>
        <v/>
      </c>
      <c r="I18" s="34">
        <f>I8*(1-(Dashboard!$B$29+(Dashboard!$B$30-Dashboard!$B$29)*MIN(1,2/4)))-(I12+I14+I16)</f>
        <v/>
      </c>
      <c r="J18" s="34">
        <f>J8*(1-(Dashboard!$B$29+(Dashboard!$B$30-Dashboard!$B$29)*MIN(1,3/4)))-(J12+J14+J16)</f>
        <v/>
      </c>
      <c r="K18" s="34">
        <f>K8*(1-(Dashboard!$B$29+(Dashboard!$B$30-Dashboard!$B$29)*MIN(1,4/4)))-(K12+K14+K16)</f>
        <v/>
      </c>
      <c r="L18" s="34">
        <f>L8*(1-(Dashboard!$B$29+(Dashboard!$B$30-Dashboard!$B$29)*MIN(1,5/4)))-(L12+L14+L16)</f>
        <v/>
      </c>
      <c r="M18" s="34">
        <f>M8*(1-(Dashboard!$B$29+(Dashboard!$B$30-Dashboard!$B$29)*MIN(1,6/4)))-(M12+M14+M16)</f>
        <v/>
      </c>
      <c r="N18" s="34">
        <f>N8*(1-(Dashboard!$B$29+(Dashboard!$B$30-Dashboard!$B$29)*MIN(1,7/4)))-(N12+N14+N16)</f>
        <v/>
      </c>
      <c r="O18" s="34">
        <f>O8*(1-(Dashboard!$B$29+(Dashboard!$B$30-Dashboard!$B$29)*MIN(1,8/4)))-(O12+O14+O16)</f>
        <v/>
      </c>
      <c r="P18" s="34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3">
        <f>B8-(B12+B14+B16)-B18</f>
        <v/>
      </c>
      <c r="C21" s="43">
        <f>C8-(C12+C14+C16)-C18</f>
        <v/>
      </c>
      <c r="D21" s="43">
        <f>D8-(D12+D14+D16)-D18</f>
        <v/>
      </c>
      <c r="E21" s="43">
        <f>E8-(E12+E14+E16)-E18</f>
        <v/>
      </c>
      <c r="F21" s="43">
        <f>F8-(F12+F14+F16)-F18</f>
        <v/>
      </c>
      <c r="G21" s="43">
        <f>G8-(G12+G14+G16)-G18</f>
        <v/>
      </c>
      <c r="H21" s="43">
        <f>H8-(H12+H14+H16)-H18</f>
        <v/>
      </c>
      <c r="I21" s="43">
        <f>I8-(I12+I14+I16)-I18</f>
        <v/>
      </c>
      <c r="J21" s="43">
        <f>J8-(J12+J14+J16)-J18</f>
        <v/>
      </c>
      <c r="K21" s="43">
        <f>K8-(K12+K14+K16)-K18</f>
        <v/>
      </c>
      <c r="L21" s="43">
        <f>L8-(L12+L14+L16)-L18</f>
        <v/>
      </c>
      <c r="M21" s="43">
        <f>M8-(M12+M14+M16)-M18</f>
        <v/>
      </c>
      <c r="N21" s="43">
        <f>N8-(N12+N14+N16)-N18</f>
        <v/>
      </c>
      <c r="O21" s="43">
        <f>O8-(O12+O14+O16)-O18</f>
        <v/>
      </c>
      <c r="P21" s="43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4">
        <f>B21*(1-Valuation!$B$5)</f>
        <v/>
      </c>
      <c r="C25" s="34">
        <f>C21*(1-Valuation!$B$5)</f>
        <v/>
      </c>
      <c r="D25" s="34">
        <f>D21*(1-Valuation!$B$5)</f>
        <v/>
      </c>
      <c r="E25" s="34">
        <f>E21*(1-Valuation!$B$5)</f>
        <v/>
      </c>
      <c r="F25" s="34">
        <f>F21*(1-Valuation!$B$5)</f>
        <v/>
      </c>
      <c r="G25" s="34">
        <f>G21*(1-Valuation!$B$5)</f>
        <v/>
      </c>
      <c r="H25" s="34">
        <f>H21*(1-Valuation!$B$5)</f>
        <v/>
      </c>
      <c r="I25" s="34">
        <f>I21*(1-Valuation!$B$5)</f>
        <v/>
      </c>
      <c r="J25" s="34">
        <f>J21*(1-Valuation!$B$5)</f>
        <v/>
      </c>
      <c r="K25" s="34">
        <f>K21*(1-Valuation!$B$5)</f>
        <v/>
      </c>
      <c r="L25" s="34">
        <f>L21*(1-Valuation!$B$5)</f>
        <v/>
      </c>
      <c r="M25" s="34">
        <f>M21*(1-Valuation!$B$5)</f>
        <v/>
      </c>
      <c r="N25" s="34">
        <f>N21*(1-Valuation!$B$5)</f>
        <v/>
      </c>
      <c r="O25" s="34">
        <f>O21*(1-Valuation!$B$5)</f>
        <v/>
      </c>
      <c r="P25" s="34">
        <f>P21*(1-Valuation!$B$5)</f>
        <v/>
      </c>
    </row>
    <row r="26">
      <c r="A26" s="4" t="inlineStr">
        <is>
          <t>+ D&amp;A</t>
        </is>
      </c>
      <c r="B26" s="34">
        <f>SUM(Financials!I34:L34)</f>
        <v/>
      </c>
      <c r="C26" s="34">
        <f>SUM(Financials!M34:P34)</f>
        <v/>
      </c>
      <c r="D26" s="34">
        <f>SUM(Financials!Q34:T34)</f>
        <v/>
      </c>
      <c r="E26" s="34">
        <f>SUM(Financials!U34:X34)</f>
        <v/>
      </c>
      <c r="F26" s="34">
        <f>SUM(Financials!Y34:AB34)</f>
        <v/>
      </c>
      <c r="G26" s="42">
        <f>G8*0.0158</f>
        <v/>
      </c>
      <c r="H26" s="42">
        <f>H8*0.0158</f>
        <v/>
      </c>
      <c r="I26" s="42">
        <f>I8*0.0158</f>
        <v/>
      </c>
      <c r="J26" s="42">
        <f>J8*0.0158</f>
        <v/>
      </c>
      <c r="K26" s="42">
        <f>K8*0.0158</f>
        <v/>
      </c>
      <c r="L26" s="42">
        <f>L8*0.0158</f>
        <v/>
      </c>
      <c r="M26" s="42">
        <f>M8*0.0158</f>
        <v/>
      </c>
      <c r="N26" s="42">
        <f>N8*0.0158</f>
        <v/>
      </c>
      <c r="O26" s="42">
        <f>O8*0.0158</f>
        <v/>
      </c>
      <c r="P26" s="42">
        <f>P8*0.0158</f>
        <v/>
      </c>
    </row>
    <row r="27">
      <c r="A27" s="4" t="inlineStr">
        <is>
          <t>+ SBC (non-cash)</t>
        </is>
      </c>
      <c r="B27" s="34">
        <f>SUM(Financials!I35:L35)</f>
        <v/>
      </c>
      <c r="C27" s="34">
        <f>SUM(Financials!M35:P35)</f>
        <v/>
      </c>
      <c r="D27" s="34">
        <f>SUM(Financials!Q35:T35)</f>
        <v/>
      </c>
      <c r="E27" s="34">
        <f>SUM(Financials!U35:X35)</f>
        <v/>
      </c>
      <c r="F27" s="34">
        <f>SUM(Financials!Y35:AB35)</f>
        <v/>
      </c>
      <c r="G27" s="34">
        <f>G8*(Dashboard!$B$65+(Dashboard!$B$66-Dashboard!$B$65)*0/9)</f>
        <v/>
      </c>
      <c r="H27" s="34">
        <f>H8*(Dashboard!$B$65+(Dashboard!$B$66-Dashboard!$B$65)*1/9)</f>
        <v/>
      </c>
      <c r="I27" s="34">
        <f>I8*(Dashboard!$B$65+(Dashboard!$B$66-Dashboard!$B$65)*2/9)</f>
        <v/>
      </c>
      <c r="J27" s="34">
        <f>J8*(Dashboard!$B$65+(Dashboard!$B$66-Dashboard!$B$65)*3/9)</f>
        <v/>
      </c>
      <c r="K27" s="34">
        <f>K8*(Dashboard!$B$65+(Dashboard!$B$66-Dashboard!$B$65)*4/9)</f>
        <v/>
      </c>
      <c r="L27" s="34">
        <f>L8*(Dashboard!$B$65+(Dashboard!$B$66-Dashboard!$B$65)*5/9)</f>
        <v/>
      </c>
      <c r="M27" s="34">
        <f>M8*(Dashboard!$B$65+(Dashboard!$B$66-Dashboard!$B$65)*6/9)</f>
        <v/>
      </c>
      <c r="N27" s="34">
        <f>N8*(Dashboard!$B$65+(Dashboard!$B$66-Dashboard!$B$65)*7/9)</f>
        <v/>
      </c>
      <c r="O27" s="34">
        <f>O8*(Dashboard!$B$65+(Dashboard!$B$66-Dashboard!$B$65)*8/9)</f>
        <v/>
      </c>
      <c r="P27" s="34">
        <f>P8*(Dashboard!$B$65+(Dashboard!$B$66-Dashboard!$B$65)*9/9)</f>
        <v/>
      </c>
    </row>
    <row r="28">
      <c r="A28" s="4" t="inlineStr">
        <is>
          <t>- dNWC</t>
        </is>
      </c>
      <c r="G28" s="42">
        <f>(G8-F8)*0.0050</f>
        <v/>
      </c>
      <c r="H28" s="42">
        <f>(H8-G8)*0.0050</f>
        <v/>
      </c>
      <c r="I28" s="42">
        <f>(I8-H8)*0.0050</f>
        <v/>
      </c>
      <c r="J28" s="42">
        <f>(J8-I8)*0.0050</f>
        <v/>
      </c>
      <c r="K28" s="42">
        <f>(K8-J8)*0.0050</f>
        <v/>
      </c>
      <c r="L28" s="42">
        <f>(L8-K8)*0.0050</f>
        <v/>
      </c>
      <c r="M28" s="42">
        <f>(M8-L8)*0.0050</f>
        <v/>
      </c>
      <c r="N28" s="42">
        <f>(N8-M8)*0.0050</f>
        <v/>
      </c>
      <c r="O28" s="42">
        <f>(O8-N8)*0.0050</f>
        <v/>
      </c>
      <c r="P28" s="42">
        <f>(P8-O8)*0.0050</f>
        <v/>
      </c>
    </row>
    <row r="29">
      <c r="A29" s="4" t="inlineStr">
        <is>
          <t>- Capex</t>
        </is>
      </c>
      <c r="B29" s="34">
        <f>-SUM(Financials!I38:L38)</f>
        <v/>
      </c>
      <c r="C29" s="34">
        <f>-SUM(Financials!M38:P38)</f>
        <v/>
      </c>
      <c r="D29" s="34">
        <f>-SUM(Financials!Q38:T38)</f>
        <v/>
      </c>
      <c r="E29" s="34">
        <f>-SUM(Financials!U38:X38)</f>
        <v/>
      </c>
      <c r="F29" s="34">
        <f>-SUM(Financials!Y38:AB38)</f>
        <v/>
      </c>
      <c r="G29" s="42">
        <f>G26*G30</f>
        <v/>
      </c>
      <c r="H29" s="42">
        <f>H26*H30</f>
        <v/>
      </c>
      <c r="I29" s="42">
        <f>I26*I30</f>
        <v/>
      </c>
      <c r="J29" s="42">
        <f>J26*J30</f>
        <v/>
      </c>
      <c r="K29" s="42">
        <f>K26*K30</f>
        <v/>
      </c>
      <c r="L29" s="42">
        <f>L26*L30</f>
        <v/>
      </c>
      <c r="M29" s="42">
        <f>M26*M30</f>
        <v/>
      </c>
      <c r="N29" s="42">
        <f>N26*N30</f>
        <v/>
      </c>
      <c r="O29" s="42">
        <f>O26*O30</f>
        <v/>
      </c>
      <c r="P29" s="42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3">
        <f>B25+B26+B27-B28-B29</f>
        <v/>
      </c>
      <c r="C32" s="43">
        <f>C25+C26+C27-C28-C29</f>
        <v/>
      </c>
      <c r="D32" s="43">
        <f>D25+D26+D27-D28-D29</f>
        <v/>
      </c>
      <c r="E32" s="43">
        <f>E25+E26+E27-E28-E29</f>
        <v/>
      </c>
      <c r="F32" s="43">
        <f>F25+F26+F27-F28-F29</f>
        <v/>
      </c>
      <c r="G32" s="43">
        <f>G25+G26+G27-G28-G29</f>
        <v/>
      </c>
      <c r="H32" s="43">
        <f>H25+H26+H27-H28-H29</f>
        <v/>
      </c>
      <c r="I32" s="43">
        <f>I25+I26+I27-I28-I29</f>
        <v/>
      </c>
      <c r="J32" s="43">
        <f>J25+J26+J27-J28-J29</f>
        <v/>
      </c>
      <c r="K32" s="43">
        <f>K25+K26+K27-K28-K29</f>
        <v/>
      </c>
      <c r="L32" s="43">
        <f>L25+L26+L27-L28-L29</f>
        <v/>
      </c>
      <c r="M32" s="43">
        <f>M25+M26+M27-M28-M29</f>
        <v/>
      </c>
      <c r="N32" s="43">
        <f>N25+N26+N27-N28-N29</f>
        <v/>
      </c>
      <c r="O32" s="43">
        <f>O25+O26+O27-O28-O29</f>
        <v/>
      </c>
      <c r="P32" s="43">
        <f>P25+P26+P27-P28-P29</f>
        <v/>
      </c>
    </row>
    <row r="33">
      <c r="A33" s="3" t="inlineStr">
        <is>
          <t>Valuation FCF (NOPAT + D&amp;A - dNWC - Capex - after-tax SBC)</t>
        </is>
      </c>
      <c r="B33" s="44">
        <f>B32-B27-B27*(1-Valuation!$B$5)</f>
        <v/>
      </c>
      <c r="C33" s="44">
        <f>C32-C27-C27*(1-Valuation!$B$5)</f>
        <v/>
      </c>
      <c r="D33" s="44">
        <f>D32-D27-D27*(1-Valuation!$B$5)</f>
        <v/>
      </c>
      <c r="E33" s="44">
        <f>E32-E27-E27*(1-Valuation!$B$5)</f>
        <v/>
      </c>
      <c r="F33" s="44">
        <f>F32-F27-F27*(1-Valuation!$B$5)</f>
        <v/>
      </c>
      <c r="G33" s="44">
        <f>G32-G27-G27*(1-Valuation!$B$5)</f>
        <v/>
      </c>
      <c r="H33" s="44">
        <f>H32-H27-H27*(1-Valuation!$B$5)</f>
        <v/>
      </c>
      <c r="I33" s="44">
        <f>I32-I27-I27*(1-Valuation!$B$5)</f>
        <v/>
      </c>
      <c r="J33" s="44">
        <f>J32-J27-J27*(1-Valuation!$B$5)</f>
        <v/>
      </c>
      <c r="K33" s="44">
        <f>K32-K27-K27*(1-Valuation!$B$5)</f>
        <v/>
      </c>
      <c r="L33" s="44">
        <f>L32-L27-L27*(1-Valuation!$B$5)</f>
        <v/>
      </c>
      <c r="M33" s="44">
        <f>M32-M27-M27*(1-Valuation!$B$5)</f>
        <v/>
      </c>
      <c r="N33" s="44">
        <f>N32-N27-N27*(1-Valuation!$B$5)</f>
        <v/>
      </c>
      <c r="O33" s="44">
        <f>O32-O27-O27*(1-Valuation!$B$5)</f>
        <v/>
      </c>
      <c r="P33" s="44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4">
        <f>Financials!L32+Financials!L31-Financials!L26</f>
        <v/>
      </c>
      <c r="C36" s="34">
        <f>Financials!P32+Financials!P31-Financials!P26</f>
        <v/>
      </c>
      <c r="D36" s="34">
        <f>Financials!T32+Financials!T31-Financials!T26</f>
        <v/>
      </c>
      <c r="E36" s="34">
        <f>Financials!X32+Financials!X31-Financials!X26</f>
        <v/>
      </c>
      <c r="F36" s="34">
        <f>Financials!AB32+Financials!AB31-Financials!AB26</f>
        <v/>
      </c>
      <c r="G36" s="42">
        <f>F36+G29-G26+G28</f>
        <v/>
      </c>
      <c r="H36" s="42">
        <f>G36+H29-H26+H28</f>
        <v/>
      </c>
      <c r="I36" s="42">
        <f>H36+I29-I26+I28</f>
        <v/>
      </c>
      <c r="J36" s="42">
        <f>I36+J29-J26+J28</f>
        <v/>
      </c>
      <c r="K36" s="42">
        <f>J36+K29-K26+K28</f>
        <v/>
      </c>
      <c r="L36" s="42">
        <f>K36+L29-L26+L28</f>
        <v/>
      </c>
      <c r="M36" s="42">
        <f>L36+M29-M26+M28</f>
        <v/>
      </c>
      <c r="N36" s="42">
        <f>M36+N29-N26+N28</f>
        <v/>
      </c>
      <c r="O36" s="42">
        <f>N36+O29-O26+O28</f>
        <v/>
      </c>
      <c r="P36" s="42">
        <f>O36+P29-P26+P28</f>
        <v/>
      </c>
    </row>
    <row r="37">
      <c r="A37" s="4" t="inlineStr">
        <is>
          <t>Book equity (year-end)</t>
        </is>
      </c>
      <c r="B37" s="34">
        <f>Financials!L32</f>
        <v/>
      </c>
      <c r="C37" s="34">
        <f>Financials!P32</f>
        <v/>
      </c>
      <c r="D37" s="34">
        <f>Financials!T32</f>
        <v/>
      </c>
      <c r="E37" s="34">
        <f>Financials!X32</f>
        <v/>
      </c>
      <c r="F37" s="34">
        <f>Financials!AB32</f>
        <v/>
      </c>
      <c r="G37" s="42">
        <f>F37+G25</f>
        <v/>
      </c>
      <c r="H37" s="42">
        <f>G37+H25</f>
        <v/>
      </c>
      <c r="I37" s="42">
        <f>H37+I25</f>
        <v/>
      </c>
      <c r="J37" s="42">
        <f>I37+J25</f>
        <v/>
      </c>
      <c r="K37" s="42">
        <f>J37+K25</f>
        <v/>
      </c>
      <c r="L37" s="42">
        <f>K37+L25</f>
        <v/>
      </c>
      <c r="M37" s="42">
        <f>L37+M25</f>
        <v/>
      </c>
      <c r="N37" s="42">
        <f>M37+N25</f>
        <v/>
      </c>
      <c r="O37" s="42">
        <f>N37+O25</f>
        <v/>
      </c>
      <c r="P37" s="42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5">
        <f>IFERROR((C8-B8)/(C36-B36),"")</f>
        <v/>
      </c>
      <c r="D43" s="45">
        <f>IFERROR((D8-C8)/(D36-C36),"")</f>
        <v/>
      </c>
      <c r="E43" s="45">
        <f>IFERROR((E8-D8)/(E36-D36),"")</f>
        <v/>
      </c>
      <c r="F43" s="45">
        <f>IFERROR((F8-E8)/(F36-E36),"")</f>
        <v/>
      </c>
      <c r="G43" s="45">
        <f>IFERROR((G8-F8)/(G36-F36),"")</f>
        <v/>
      </c>
      <c r="H43" s="45">
        <f>IFERROR((H8-G8)/(H36-G36),"")</f>
        <v/>
      </c>
      <c r="I43" s="45">
        <f>IFERROR((I8-H8)/(I36-H36),"")</f>
        <v/>
      </c>
      <c r="J43" s="45">
        <f>IFERROR((J8-I8)/(J36-I36),"")</f>
        <v/>
      </c>
      <c r="K43" s="45">
        <f>IFERROR((K8-J8)/(K36-J36),"")</f>
        <v/>
      </c>
      <c r="L43" s="45">
        <f>IFERROR((L8-K8)/(L36-K36),"")</f>
        <v/>
      </c>
      <c r="M43" s="45">
        <f>IFERROR((M8-L8)/(M36-L36),"")</f>
        <v/>
      </c>
      <c r="N43" s="45">
        <f>IFERROR((N8-M8)/(N36-M36),"")</f>
        <v/>
      </c>
      <c r="O43" s="45">
        <f>IFERROR((O8-N8)/(O36-N36),"")</f>
        <v/>
      </c>
      <c r="P43" s="4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185.419</v>
      </c>
      <c r="C3" s="18" t="n">
        <v>196.791</v>
      </c>
      <c r="D3" s="18" t="n">
        <v>204.588</v>
      </c>
      <c r="E3" s="18" t="n">
        <v>215.987</v>
      </c>
      <c r="F3" s="18" t="n">
        <v>236.059</v>
      </c>
      <c r="G3" s="18" t="n">
        <v>254.18</v>
      </c>
      <c r="H3" s="18" t="n">
        <v>282.534</v>
      </c>
      <c r="I3" s="18" t="n">
        <v>300.779</v>
      </c>
      <c r="J3" s="18" t="n">
        <v>315.575</v>
      </c>
      <c r="K3" s="18" t="n">
        <v>319.89</v>
      </c>
      <c r="L3" s="18" t="n">
        <v>328.342</v>
      </c>
      <c r="M3" s="18" t="n">
        <v>341.597</v>
      </c>
      <c r="N3" s="18" t="n">
        <v>345.224</v>
      </c>
      <c r="O3" s="18" t="n">
        <v>345.805</v>
      </c>
      <c r="P3" s="18" t="n">
        <v>355.04</v>
      </c>
      <c r="Q3" s="18" t="n">
        <v>374.076</v>
      </c>
      <c r="R3" s="18" t="n">
        <v>389.977</v>
      </c>
      <c r="S3" s="18" t="n">
        <v>393.841</v>
      </c>
      <c r="T3" s="18" t="n">
        <v>403.771</v>
      </c>
      <c r="U3" s="18" t="n">
        <v>419.776</v>
      </c>
      <c r="V3" s="18" t="n">
        <v>435.746</v>
      </c>
      <c r="W3" s="18" t="n">
        <v>444.673</v>
      </c>
      <c r="X3" s="18" t="n">
        <v>460.455</v>
      </c>
      <c r="Y3" s="18" t="n">
        <v>473.651</v>
      </c>
      <c r="Z3" s="18" t="n">
        <v>489.93</v>
      </c>
      <c r="AA3" s="18" t="n">
        <v>505.194</v>
      </c>
      <c r="AB3" s="18" t="n">
        <v>524.269</v>
      </c>
      <c r="AC3" s="18" t="n">
        <v>541.171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46.662</v>
      </c>
      <c r="C5" s="18" t="n">
        <v>53.295</v>
      </c>
      <c r="D5" s="18" t="n">
        <v>57.235</v>
      </c>
      <c r="E5" s="18" t="n">
        <v>62.07</v>
      </c>
      <c r="F5" s="18" t="n">
        <v>70.482</v>
      </c>
      <c r="G5" s="18" t="n">
        <v>79.84</v>
      </c>
      <c r="H5" s="18" t="n">
        <v>103.307</v>
      </c>
      <c r="I5" s="18" t="n">
        <v>113.799</v>
      </c>
      <c r="J5" s="18" t="n">
        <v>120.912</v>
      </c>
      <c r="K5" s="18" t="n">
        <v>121.976</v>
      </c>
      <c r="L5" s="18" t="n">
        <v>128.799</v>
      </c>
      <c r="M5" s="18" t="n">
        <v>134.749</v>
      </c>
      <c r="N5" s="18" t="n">
        <v>134.857</v>
      </c>
      <c r="O5" s="18" t="n">
        <v>127.857</v>
      </c>
      <c r="P5" s="18" t="n">
        <v>128.764</v>
      </c>
      <c r="Q5" s="18" t="n">
        <v>129.478</v>
      </c>
      <c r="R5" s="18" t="n">
        <v>127.894</v>
      </c>
      <c r="S5" s="18" t="n">
        <v>129.043</v>
      </c>
      <c r="T5" s="18" t="n">
        <v>126.113</v>
      </c>
      <c r="U5" s="18" t="n">
        <v>137.297</v>
      </c>
      <c r="V5" s="18" t="n">
        <v>141.674</v>
      </c>
      <c r="W5" s="18" t="n">
        <v>142.028</v>
      </c>
      <c r="X5" s="18" t="n">
        <v>143.636</v>
      </c>
      <c r="Y5" s="18" t="n">
        <v>151.792</v>
      </c>
      <c r="Z5" s="18" t="n">
        <v>153.34</v>
      </c>
      <c r="AA5" s="18" t="n">
        <v>159.928</v>
      </c>
      <c r="AB5" s="18" t="n">
        <v>171.293</v>
      </c>
      <c r="AC5" s="18" t="n">
        <v>187.805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61.486</v>
      </c>
      <c r="C7" s="18" t="n">
        <v>64.488</v>
      </c>
      <c r="D7" s="18" t="n">
        <v>66.634</v>
      </c>
      <c r="E7" s="18" t="n">
        <v>70.71599999999999</v>
      </c>
      <c r="F7" s="18" t="n">
        <v>75.464</v>
      </c>
      <c r="G7" s="18" t="n">
        <v>84.473</v>
      </c>
      <c r="H7" s="18" t="n">
        <v>89.625</v>
      </c>
      <c r="I7" s="18" t="n">
        <v>95.086</v>
      </c>
      <c r="J7" s="18" t="n">
        <v>104.199</v>
      </c>
      <c r="K7" s="18" t="n">
        <v>109.323</v>
      </c>
      <c r="L7" s="18" t="n">
        <v>116.329</v>
      </c>
      <c r="M7" s="18" t="n">
        <v>119.865</v>
      </c>
      <c r="N7" s="18" t="n">
        <v>121.618</v>
      </c>
      <c r="O7" s="18" t="n">
        <v>120.384</v>
      </c>
      <c r="P7" s="18" t="n">
        <v>120.994</v>
      </c>
      <c r="Q7" s="18" t="n">
        <v>114.943</v>
      </c>
      <c r="R7" s="18" t="n">
        <v>115.49</v>
      </c>
      <c r="S7" s="18" t="n">
        <v>125.117</v>
      </c>
      <c r="T7" s="18" t="n">
        <v>125.743</v>
      </c>
      <c r="U7" s="18" t="n">
        <v>124.245</v>
      </c>
      <c r="V7" s="18" t="n">
        <v>119.257</v>
      </c>
      <c r="W7" s="18" t="n">
        <v>124.593</v>
      </c>
      <c r="X7" s="18" t="n">
        <v>127.186</v>
      </c>
      <c r="Y7" s="18" t="n">
        <v>127.497</v>
      </c>
      <c r="Z7" s="18" t="n">
        <v>134.735</v>
      </c>
      <c r="AA7" s="18" t="n">
        <v>172.025</v>
      </c>
      <c r="AB7" s="18" t="n">
        <v>211.244</v>
      </c>
      <c r="AC7" s="18" t="n">
        <v>178.218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91.432</v>
      </c>
      <c r="C9" s="18" t="n">
        <v>99.613</v>
      </c>
      <c r="D9" s="18" t="n">
        <v>98.411</v>
      </c>
      <c r="E9" s="18" t="n">
        <v>121.592</v>
      </c>
      <c r="F9" s="18" t="n">
        <v>143.864</v>
      </c>
      <c r="G9" s="18" t="n">
        <v>139.607</v>
      </c>
      <c r="H9" s="18" t="n">
        <v>145.062</v>
      </c>
      <c r="I9" s="18" t="n">
        <v>178.849</v>
      </c>
      <c r="J9" s="18" t="n">
        <v>162.432</v>
      </c>
      <c r="K9" s="18" t="n">
        <v>158.908</v>
      </c>
      <c r="L9" s="18" t="n">
        <v>181.486</v>
      </c>
      <c r="M9" s="18" t="n">
        <v>202.4</v>
      </c>
      <c r="N9" s="18" t="n">
        <v>163.771</v>
      </c>
      <c r="O9" s="18" t="n">
        <v>159.875</v>
      </c>
      <c r="P9" s="18" t="n">
        <v>137.885</v>
      </c>
      <c r="Q9" s="18" t="n">
        <v>137.65</v>
      </c>
      <c r="R9" s="18" t="n">
        <v>133.287</v>
      </c>
      <c r="S9" s="18" t="n">
        <v>141.63</v>
      </c>
      <c r="T9" s="18" t="n">
        <v>147.043</v>
      </c>
      <c r="U9" s="18" t="n">
        <v>148.559</v>
      </c>
      <c r="V9" s="18" t="n">
        <v>146.21</v>
      </c>
      <c r="W9" s="18" t="n">
        <v>152.206</v>
      </c>
      <c r="X9" s="18" t="n">
        <v>153.613</v>
      </c>
      <c r="Y9" s="18" t="n">
        <v>156.957</v>
      </c>
      <c r="Z9" s="18" t="n">
        <v>157.549</v>
      </c>
      <c r="AA9" s="18" t="n">
        <v>180.612</v>
      </c>
      <c r="AB9" s="18" t="n">
        <v>214.32</v>
      </c>
      <c r="AC9" s="18" t="n">
        <v>244.868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138.757</v>
      </c>
      <c r="C11" s="18" t="n">
        <v>143.496</v>
      </c>
      <c r="D11" s="18" t="n">
        <v>147.353</v>
      </c>
      <c r="E11" s="18" t="n">
        <v>153.917</v>
      </c>
      <c r="F11" s="18" t="n">
        <v>165.577</v>
      </c>
      <c r="G11" s="18" t="n">
        <v>174.34</v>
      </c>
      <c r="H11" s="18" t="n">
        <v>179.227</v>
      </c>
      <c r="I11" s="18" t="n">
        <v>186.98</v>
      </c>
      <c r="J11" s="18" t="n">
        <v>194.663</v>
      </c>
      <c r="K11" s="18" t="n">
        <v>197.914</v>
      </c>
      <c r="L11" s="18" t="n">
        <v>199.543</v>
      </c>
      <c r="M11" s="18" t="n">
        <v>206.848</v>
      </c>
      <c r="N11" s="18" t="n">
        <v>210.367</v>
      </c>
      <c r="O11" s="18" t="n">
        <v>217.948</v>
      </c>
      <c r="P11" s="18" t="n">
        <v>226.276</v>
      </c>
      <c r="Q11" s="18" t="n">
        <v>244.598</v>
      </c>
      <c r="R11" s="18" t="n">
        <v>262.083</v>
      </c>
      <c r="S11" s="18" t="n">
        <v>264.798</v>
      </c>
      <c r="T11" s="18" t="n">
        <v>277.658</v>
      </c>
      <c r="U11" s="18" t="n">
        <v>282.479</v>
      </c>
      <c r="V11" s="18" t="n">
        <v>294.072</v>
      </c>
      <c r="W11" s="18" t="n">
        <v>302.645</v>
      </c>
      <c r="X11" s="18" t="n">
        <v>316.819</v>
      </c>
      <c r="Y11" s="18" t="n">
        <v>321.859</v>
      </c>
      <c r="Z11" s="18" t="n">
        <v>336.59</v>
      </c>
      <c r="AA11" s="18" t="n">
        <v>345.266</v>
      </c>
      <c r="AB11" s="18" t="n">
        <v>352.976</v>
      </c>
      <c r="AC11" s="18" t="n">
        <v>353.366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-14.161</v>
      </c>
      <c r="C13" s="18" t="n">
        <v>-20.605</v>
      </c>
      <c r="D13" s="18" t="n">
        <v>-17.692</v>
      </c>
      <c r="E13" s="18" t="n">
        <v>-38.391</v>
      </c>
      <c r="F13" s="18" t="n">
        <v>-53.751</v>
      </c>
      <c r="G13" s="18" t="n">
        <v>-49.74</v>
      </c>
      <c r="H13" s="18" t="n">
        <v>-55.46</v>
      </c>
      <c r="I13" s="18" t="n">
        <v>-86.955</v>
      </c>
      <c r="J13" s="18" t="n">
        <v>-71.968</v>
      </c>
      <c r="K13" s="18" t="n">
        <v>-70.31699999999999</v>
      </c>
      <c r="L13" s="18" t="n">
        <v>-98.27200000000001</v>
      </c>
      <c r="M13" s="18" t="n">
        <v>-115.417</v>
      </c>
      <c r="N13" s="18" t="n">
        <v>-75.02200000000001</v>
      </c>
      <c r="O13" s="18" t="n">
        <v>-62.311</v>
      </c>
      <c r="P13" s="18" t="n">
        <v>-32.603</v>
      </c>
      <c r="Q13" s="18" t="n">
        <v>-33.333</v>
      </c>
      <c r="R13" s="18" t="n">
        <v>12.976</v>
      </c>
      <c r="S13" s="18" t="n">
        <v>-5.792</v>
      </c>
      <c r="T13" s="18" t="n">
        <v>1.769</v>
      </c>
      <c r="U13" s="18" t="n">
        <v>9.67</v>
      </c>
      <c r="V13" s="18" t="n">
        <v>28.605</v>
      </c>
      <c r="W13" s="18" t="n">
        <v>25.846</v>
      </c>
      <c r="X13" s="18" t="n">
        <v>36.02</v>
      </c>
      <c r="Y13" s="18" t="n">
        <v>37.405</v>
      </c>
      <c r="Z13" s="18" t="n">
        <v>44.306</v>
      </c>
      <c r="AA13" s="18" t="n">
        <v>-7.371</v>
      </c>
      <c r="AB13" s="18" t="n">
        <v>-72.58799999999999</v>
      </c>
      <c r="AC13" s="18" t="n">
        <v>-69.72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-16.734</v>
      </c>
      <c r="C15" s="18" t="n">
        <v>-17.367</v>
      </c>
      <c r="D15" s="18" t="n">
        <v>-21.573</v>
      </c>
      <c r="E15" s="18" t="n">
        <v>-39.153</v>
      </c>
      <c r="F15" s="18" t="n">
        <v>-57.736</v>
      </c>
      <c r="G15" s="18" t="n">
        <v>-56.842</v>
      </c>
      <c r="H15" s="18" t="n">
        <v>-11.423</v>
      </c>
      <c r="I15" s="18" t="n">
        <v>-62.114</v>
      </c>
      <c r="J15" s="18" t="n">
        <v>37.633</v>
      </c>
      <c r="K15" s="18" t="n">
        <v>16.313</v>
      </c>
      <c r="L15" s="18" t="n">
        <v>-111.019</v>
      </c>
      <c r="M15" s="18" t="n">
        <v>-227.289</v>
      </c>
      <c r="N15" s="18" t="n">
        <v>-111.238</v>
      </c>
      <c r="O15" s="18" t="n">
        <v>-47.361</v>
      </c>
      <c r="P15" s="18" t="n">
        <v>-38.975</v>
      </c>
      <c r="Q15" s="18" t="n">
        <v>-10.369</v>
      </c>
      <c r="R15" s="18" t="n">
        <v>33.577</v>
      </c>
      <c r="S15" s="18" t="n">
        <v>6.975</v>
      </c>
      <c r="T15" s="18" t="n">
        <v>2.954</v>
      </c>
      <c r="U15" s="18" t="n">
        <v>24.002</v>
      </c>
      <c r="V15" s="18" t="n">
        <v>39.518</v>
      </c>
      <c r="W15" s="18" t="n">
        <v>26.778</v>
      </c>
      <c r="X15" s="18" t="n">
        <v>48.024</v>
      </c>
      <c r="Y15" s="18" t="n">
        <v>33.766</v>
      </c>
      <c r="Z15" s="18" t="n">
        <v>57.703</v>
      </c>
      <c r="AA15" s="18" t="n">
        <v>-0.589</v>
      </c>
      <c r="AB15" s="18" t="n">
        <v>-40.234</v>
      </c>
      <c r="AC15" s="18" t="n">
        <v>-57.465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50.273017</v>
      </c>
      <c r="C17" s="18" t="n">
        <v>50.862253</v>
      </c>
      <c r="D17" s="18" t="n">
        <v>51.321155</v>
      </c>
      <c r="E17" s="18" t="n">
        <v>51.838314</v>
      </c>
      <c r="F17" s="18" t="n">
        <v>54.695477</v>
      </c>
      <c r="G17" s="18" t="n">
        <v>55.356961</v>
      </c>
      <c r="H17" s="18" t="n">
        <v>55.809471</v>
      </c>
      <c r="I17" s="18" t="n">
        <v>56.280561</v>
      </c>
      <c r="J17" s="18" t="n">
        <v>64.94844500000001</v>
      </c>
      <c r="K17" s="18" t="n">
        <v>60.549853</v>
      </c>
      <c r="L17" s="18" t="n">
        <v>57.103278</v>
      </c>
      <c r="M17" s="18" t="n">
        <v>57.479429</v>
      </c>
      <c r="N17" s="18" t="n">
        <v>57.94314</v>
      </c>
      <c r="O17" s="18" t="n">
        <v>58.355542</v>
      </c>
      <c r="P17" s="18" t="n">
        <v>58.189246</v>
      </c>
      <c r="Q17" s="18" t="n">
        <v>56.408677</v>
      </c>
      <c r="R17" s="18" t="n">
        <v>62.186895</v>
      </c>
      <c r="S17" s="18" t="n">
        <v>58.497072</v>
      </c>
      <c r="T17" s="18" t="n">
        <v>59.085757</v>
      </c>
      <c r="U17" s="18" t="n">
        <v>58.647238</v>
      </c>
      <c r="V17" s="18" t="n">
        <v>59.526</v>
      </c>
      <c r="W17" s="18" t="n">
        <v>58.167</v>
      </c>
      <c r="X17" s="18" t="n">
        <v>60.649</v>
      </c>
      <c r="Y17" s="18" t="n">
        <v>60.385</v>
      </c>
      <c r="Z17" s="18" t="n">
        <v>59.65</v>
      </c>
      <c r="AA17" s="18" t="n">
        <v>55.651271</v>
      </c>
      <c r="AB17" s="18" t="n">
        <v>54.944944</v>
      </c>
      <c r="AC17" s="18" t="n">
        <v>56.361634</v>
      </c>
    </row>
    <row r="18">
      <c r="A18" s="5" t="inlineStr">
        <is>
          <t xml:space="preserve">  REVENUE BY SEGMENT — ANALYST-DEFINED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Core (Creative Subs + Partners)</t>
        </is>
      </c>
      <c r="B19" s="18" t="n">
        <v>176.14805</v>
      </c>
      <c r="C19" s="18" t="n">
        <v>186.95145</v>
      </c>
      <c r="D19" s="18" t="n">
        <v>194.3586</v>
      </c>
      <c r="E19" s="18" t="n">
        <v>205.18765</v>
      </c>
      <c r="F19" s="18" t="n">
        <v>224.25605</v>
      </c>
      <c r="G19" s="18" t="n">
        <v>241.471</v>
      </c>
      <c r="H19" s="18" t="n">
        <v>268.4073</v>
      </c>
      <c r="I19" s="18" t="n">
        <v>285.74005</v>
      </c>
      <c r="J19" s="18" t="n">
        <v>299.79625</v>
      </c>
      <c r="K19" s="18" t="n">
        <v>303.8955</v>
      </c>
      <c r="L19" s="18" t="n">
        <v>311.9249</v>
      </c>
      <c r="M19" s="18" t="n">
        <v>324.51715</v>
      </c>
      <c r="N19" s="18" t="n">
        <v>327.9628</v>
      </c>
      <c r="O19" s="18" t="n">
        <v>328.51475</v>
      </c>
      <c r="P19" s="18" t="n">
        <v>337.288</v>
      </c>
      <c r="Q19" s="18" t="n">
        <v>355.3722</v>
      </c>
      <c r="R19" s="18" t="n">
        <v>370.47815</v>
      </c>
      <c r="S19" s="18" t="n">
        <v>374.14895</v>
      </c>
      <c r="T19" s="18" t="n">
        <v>383.58245</v>
      </c>
      <c r="U19" s="18" t="n">
        <v>398.7872</v>
      </c>
      <c r="V19" s="18" t="n">
        <v>413.9587</v>
      </c>
      <c r="W19" s="18" t="n">
        <v>422.43935</v>
      </c>
      <c r="X19" s="18" t="n">
        <v>437.43225</v>
      </c>
      <c r="Y19" s="18" t="n">
        <v>449.96845</v>
      </c>
      <c r="Z19" s="18" t="n">
        <v>465.4335</v>
      </c>
      <c r="AA19" s="18" t="n">
        <v>479.9343</v>
      </c>
      <c r="AB19" s="18" t="n">
        <v>498.05555</v>
      </c>
      <c r="AC19" s="18" t="n">
        <v>514.11245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Base44 (vibe-coding)</t>
        </is>
      </c>
      <c r="B22" s="18" t="n">
        <v>9.270950000000001</v>
      </c>
      <c r="C22" s="18" t="n">
        <v>9.839550000000001</v>
      </c>
      <c r="D22" s="18" t="n">
        <v>10.2294</v>
      </c>
      <c r="E22" s="18" t="n">
        <v>10.79935</v>
      </c>
      <c r="F22" s="18" t="n">
        <v>11.80295</v>
      </c>
      <c r="G22" s="18" t="n">
        <v>12.709</v>
      </c>
      <c r="H22" s="18" t="n">
        <v>14.1267</v>
      </c>
      <c r="I22" s="18" t="n">
        <v>15.03895</v>
      </c>
      <c r="J22" s="18" t="n">
        <v>15.77875</v>
      </c>
      <c r="K22" s="18" t="n">
        <v>15.9945</v>
      </c>
      <c r="L22" s="18" t="n">
        <v>16.4171</v>
      </c>
      <c r="M22" s="18" t="n">
        <v>17.07985</v>
      </c>
      <c r="N22" s="18" t="n">
        <v>17.2612</v>
      </c>
      <c r="O22" s="18" t="n">
        <v>17.29025</v>
      </c>
      <c r="P22" s="18" t="n">
        <v>17.752</v>
      </c>
      <c r="Q22" s="18" t="n">
        <v>18.7038</v>
      </c>
      <c r="R22" s="18" t="n">
        <v>19.49885</v>
      </c>
      <c r="S22" s="18" t="n">
        <v>19.69205</v>
      </c>
      <c r="T22" s="18" t="n">
        <v>20.18855</v>
      </c>
      <c r="U22" s="18" t="n">
        <v>20.9888</v>
      </c>
      <c r="V22" s="18" t="n">
        <v>21.7873</v>
      </c>
      <c r="W22" s="18" t="n">
        <v>22.23365</v>
      </c>
      <c r="X22" s="18" t="n">
        <v>23.02275</v>
      </c>
      <c r="Y22" s="18" t="n">
        <v>23.68255</v>
      </c>
      <c r="Z22" s="18" t="n">
        <v>24.4965</v>
      </c>
      <c r="AA22" s="18" t="n">
        <v>25.2597</v>
      </c>
      <c r="AB22" s="18" t="n">
        <v>26.21345</v>
      </c>
      <c r="AC22" s="18" t="n">
        <v>27.05855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B26" s="18" t="n">
        <v>749.575</v>
      </c>
      <c r="C26" s="18" t="n">
        <v>774.722</v>
      </c>
      <c r="D26" s="18" t="n">
        <v>726.5</v>
      </c>
      <c r="E26" s="18" t="n">
        <v>725.948</v>
      </c>
      <c r="F26" s="18" t="n">
        <v>754.607</v>
      </c>
      <c r="G26" s="18" t="n">
        <v>998.268</v>
      </c>
      <c r="H26" s="18" t="n">
        <v>1035.923</v>
      </c>
      <c r="I26" s="18" t="n">
        <v>1124.226</v>
      </c>
      <c r="J26" s="18" t="n">
        <v>1279.144</v>
      </c>
      <c r="K26" s="18" t="n">
        <v>1245.627</v>
      </c>
      <c r="L26" s="18" t="n">
        <v>1319.557</v>
      </c>
      <c r="M26" s="18" t="n">
        <v>1199.633</v>
      </c>
      <c r="N26" s="18" t="n">
        <v>1164.076</v>
      </c>
      <c r="O26" s="18" t="n">
        <v>1216.794</v>
      </c>
      <c r="P26" s="18" t="n">
        <v>1063.463</v>
      </c>
      <c r="Q26" s="18" t="n">
        <v>1160.975</v>
      </c>
      <c r="R26" s="18" t="n">
        <v>828.924</v>
      </c>
      <c r="S26" s="18" t="n">
        <v>917.168</v>
      </c>
      <c r="T26" s="18" t="n">
        <v>962.894</v>
      </c>
      <c r="U26" s="18" t="n">
        <v>883.526</v>
      </c>
      <c r="V26" s="18" t="n">
        <v>787.127</v>
      </c>
      <c r="W26" s="18" t="n">
        <v>961.186</v>
      </c>
      <c r="X26" s="18" t="n">
        <v>1106.376</v>
      </c>
      <c r="Y26" s="18" t="n">
        <v>1069.909</v>
      </c>
      <c r="Z26" s="18" t="n">
        <v>1126.996</v>
      </c>
      <c r="AA26" s="18" t="n">
        <v>1594.099</v>
      </c>
      <c r="AB26" s="18" t="n">
        <v>1186.237</v>
      </c>
      <c r="AC26" s="18" t="n">
        <v>2022.666</v>
      </c>
    </row>
    <row r="27">
      <c r="A27" s="4" t="inlineStr">
        <is>
          <t>Total Current Assets</t>
        </is>
      </c>
      <c r="B27" s="18" t="n">
        <v>794.728</v>
      </c>
      <c r="C27" s="18" t="n">
        <v>819.301</v>
      </c>
      <c r="D27" s="18" t="n">
        <v>765.495</v>
      </c>
      <c r="E27" s="18" t="n">
        <v>784.723</v>
      </c>
      <c r="F27" s="18" t="n">
        <v>824.25</v>
      </c>
      <c r="G27" s="18" t="n">
        <v>1080.043</v>
      </c>
      <c r="H27" s="18" t="n">
        <v>1101.184</v>
      </c>
      <c r="I27" s="18" t="n">
        <v>1231.506</v>
      </c>
      <c r="J27" s="18" t="n">
        <v>1352.816</v>
      </c>
      <c r="K27" s="18" t="n">
        <v>1316.948</v>
      </c>
      <c r="L27" s="18" t="n">
        <v>1389.813</v>
      </c>
      <c r="M27" s="18" t="n">
        <v>1303.923</v>
      </c>
      <c r="N27" s="18" t="n">
        <v>1248.672</v>
      </c>
      <c r="O27" s="18" t="n">
        <v>1307.003</v>
      </c>
      <c r="P27" s="18" t="n">
        <v>1147.737</v>
      </c>
      <c r="Q27" s="18" t="n">
        <v>1261.387</v>
      </c>
      <c r="R27" s="18" t="n">
        <v>924.23</v>
      </c>
      <c r="S27" s="18" t="n">
        <v>1015.113</v>
      </c>
      <c r="T27" s="18" t="n">
        <v>1070.205</v>
      </c>
      <c r="U27" s="18" t="n">
        <v>999.876</v>
      </c>
      <c r="V27" s="18" t="n">
        <v>928.019</v>
      </c>
      <c r="W27" s="18" t="n">
        <v>1069.553</v>
      </c>
      <c r="X27" s="18" t="n">
        <v>1280.4</v>
      </c>
      <c r="Y27" s="18" t="n">
        <v>1177.162</v>
      </c>
      <c r="Z27" s="18" t="n">
        <v>1278.325</v>
      </c>
      <c r="AA27" s="18" t="n">
        <v>1750.649</v>
      </c>
      <c r="AB27" s="18" t="n">
        <v>1324.014</v>
      </c>
      <c r="AC27" s="18" t="n">
        <v>2155.55</v>
      </c>
    </row>
    <row r="28">
      <c r="A28" s="4" t="inlineStr">
        <is>
          <t>PP&amp;E (net)</t>
        </is>
      </c>
      <c r="B28" s="18" t="n">
        <v>84.40600000000001</v>
      </c>
      <c r="C28" s="18" t="n">
        <v>84.613</v>
      </c>
      <c r="D28" s="18" t="n">
        <v>110.955</v>
      </c>
      <c r="E28" s="18" t="n">
        <v>111.568</v>
      </c>
      <c r="F28" s="18" t="n">
        <v>114.038</v>
      </c>
      <c r="G28" s="18" t="n">
        <v>117.61</v>
      </c>
      <c r="H28" s="18" t="n">
        <v>124.269</v>
      </c>
      <c r="I28" s="18" t="n">
        <v>122.185</v>
      </c>
      <c r="J28" s="18" t="n">
        <v>127.335</v>
      </c>
      <c r="K28" s="18" t="n">
        <v>154.142</v>
      </c>
      <c r="L28" s="18" t="n">
        <v>151.532</v>
      </c>
      <c r="M28" s="18" t="n">
        <v>166.01</v>
      </c>
      <c r="N28" s="18" t="n">
        <v>308.481</v>
      </c>
      <c r="O28" s="18" t="n">
        <v>308.431</v>
      </c>
      <c r="P28" s="18" t="n">
        <v>309.346</v>
      </c>
      <c r="Q28" s="18" t="n">
        <v>282.015</v>
      </c>
      <c r="R28" s="18" t="n">
        <v>545.474</v>
      </c>
      <c r="S28" s="18" t="n">
        <v>550.006</v>
      </c>
      <c r="T28" s="18" t="n">
        <v>557.49</v>
      </c>
      <c r="U28" s="18" t="n">
        <v>553.121</v>
      </c>
      <c r="V28" s="18" t="n">
        <v>549.1799999999999</v>
      </c>
      <c r="W28" s="18" t="n">
        <v>536.6079999999999</v>
      </c>
      <c r="X28" s="18" t="n">
        <v>528.016</v>
      </c>
      <c r="Y28" s="18" t="n">
        <v>520.963</v>
      </c>
      <c r="Z28" s="18" t="n">
        <v>515.175</v>
      </c>
      <c r="AA28" s="18" t="n">
        <v>516.24</v>
      </c>
      <c r="AB28" s="18" t="n">
        <v>512.683999</v>
      </c>
      <c r="AC28" s="18" t="n">
        <v>504.245</v>
      </c>
    </row>
    <row r="29">
      <c r="A29" s="4" t="inlineStr">
        <is>
          <t>Total Assets</t>
        </is>
      </c>
      <c r="B29" s="18" t="n">
        <v>997.074</v>
      </c>
      <c r="C29" s="18" t="n">
        <v>1036.139</v>
      </c>
      <c r="D29" s="18" t="n">
        <v>1099.667</v>
      </c>
      <c r="E29" s="18" t="n">
        <v>1164.816</v>
      </c>
      <c r="F29" s="18" t="n">
        <v>1241.251</v>
      </c>
      <c r="G29" s="18" t="n">
        <v>1795.125</v>
      </c>
      <c r="H29" s="18" t="n">
        <v>1893.526</v>
      </c>
      <c r="I29" s="18" t="n">
        <v>1985.209</v>
      </c>
      <c r="J29" s="18" t="n">
        <v>2116.804</v>
      </c>
      <c r="K29" s="18" t="n">
        <v>2055.135</v>
      </c>
      <c r="L29" s="18" t="n">
        <v>2059.787</v>
      </c>
      <c r="M29" s="18" t="n">
        <v>1935.795</v>
      </c>
      <c r="N29" s="18" t="n">
        <v>1958.429</v>
      </c>
      <c r="O29" s="18" t="n">
        <v>1969.711</v>
      </c>
      <c r="P29" s="18" t="n">
        <v>1758.367</v>
      </c>
      <c r="Q29" s="18" t="n">
        <v>1802.531</v>
      </c>
      <c r="R29" s="18" t="n">
        <v>1675.306</v>
      </c>
      <c r="S29" s="18" t="n">
        <v>1744.669</v>
      </c>
      <c r="T29" s="18" t="n">
        <v>1804.136</v>
      </c>
      <c r="U29" s="18" t="n">
        <v>1692.08</v>
      </c>
      <c r="V29" s="18" t="n">
        <v>1591.009</v>
      </c>
      <c r="W29" s="18" t="n">
        <v>1714.48</v>
      </c>
      <c r="X29" s="18" t="n">
        <v>1913.042</v>
      </c>
      <c r="Y29" s="18" t="n">
        <v>1805.66</v>
      </c>
      <c r="Z29" s="18" t="n">
        <v>1996.037</v>
      </c>
      <c r="AA29" s="18" t="n">
        <v>2558.541</v>
      </c>
      <c r="AB29" s="18" t="n">
        <v>2610.974</v>
      </c>
      <c r="AC29" s="18" t="n">
        <v>2981.208</v>
      </c>
    </row>
    <row r="30">
      <c r="A30" s="4" t="inlineStr">
        <is>
          <t>Total Current Liabilities</t>
        </is>
      </c>
      <c r="B30" s="18" t="n">
        <v>412.016</v>
      </c>
      <c r="C30" s="18" t="n">
        <v>419.995</v>
      </c>
      <c r="D30" s="18" t="n">
        <v>444.186</v>
      </c>
      <c r="E30" s="18" t="n">
        <v>496.187</v>
      </c>
      <c r="F30" s="18" t="n">
        <v>566.288</v>
      </c>
      <c r="G30" s="18" t="n">
        <v>592.559</v>
      </c>
      <c r="H30" s="18" t="n">
        <v>631.498</v>
      </c>
      <c r="I30" s="18" t="n">
        <v>701.329</v>
      </c>
      <c r="J30" s="18" t="n">
        <v>711.403</v>
      </c>
      <c r="K30" s="18" t="n">
        <v>720.3630000000001</v>
      </c>
      <c r="L30" s="18" t="n">
        <v>774.298</v>
      </c>
      <c r="M30" s="18" t="n">
        <v>823.6180000000001</v>
      </c>
      <c r="N30" s="18" t="n">
        <v>1196.536</v>
      </c>
      <c r="O30" s="18" t="n">
        <v>1190.317</v>
      </c>
      <c r="P30" s="18" t="n">
        <v>1190.472</v>
      </c>
      <c r="Q30" s="18" t="n">
        <v>1210.676</v>
      </c>
      <c r="R30" s="18" t="n">
        <v>790.509</v>
      </c>
      <c r="S30" s="18" t="n">
        <v>793.998</v>
      </c>
      <c r="T30" s="18" t="n">
        <v>789.0309999999999</v>
      </c>
      <c r="U30" s="18" t="n">
        <v>813.135</v>
      </c>
      <c r="V30" s="18" t="n">
        <v>848.977</v>
      </c>
      <c r="W30" s="18" t="n">
        <v>1440.557</v>
      </c>
      <c r="X30" s="18" t="n">
        <v>1515.412</v>
      </c>
      <c r="Y30" s="18" t="n">
        <v>1497.947</v>
      </c>
      <c r="Z30" s="18" t="n">
        <v>1581.897</v>
      </c>
      <c r="AA30" s="18" t="n">
        <v>1078.1</v>
      </c>
      <c r="AB30" s="18" t="n">
        <v>1112.661</v>
      </c>
      <c r="AC30" s="18" t="n">
        <v>1257.883</v>
      </c>
    </row>
    <row r="31">
      <c r="A31" s="4" t="inlineStr">
        <is>
          <t>Long-term Debt</t>
        </is>
      </c>
      <c r="B31" s="18" t="n">
        <v>349.308</v>
      </c>
      <c r="C31" s="18" t="n">
        <v>354.581</v>
      </c>
      <c r="D31" s="18" t="n">
        <v>359.934</v>
      </c>
      <c r="E31" s="18" t="n">
        <v>365.367</v>
      </c>
      <c r="F31" s="18" t="n">
        <v>370.883</v>
      </c>
      <c r="G31" s="18" t="n">
        <v>824.248</v>
      </c>
      <c r="H31" s="18" t="n">
        <v>834.4400000000001</v>
      </c>
      <c r="I31" s="18" t="n">
        <v>919.0839999999999</v>
      </c>
      <c r="J31" s="18" t="n">
        <v>920.379</v>
      </c>
      <c r="K31" s="18" t="n">
        <v>921.676</v>
      </c>
      <c r="L31" s="18" t="n">
        <v>922.974</v>
      </c>
      <c r="M31" s="18" t="n">
        <v>924.275</v>
      </c>
      <c r="N31" s="18" t="n">
        <v>564.998</v>
      </c>
      <c r="O31" s="18" t="n">
        <v>565.782</v>
      </c>
      <c r="P31" s="18" t="n">
        <v>566.566</v>
      </c>
      <c r="Q31" s="18" t="n">
        <v>708.466</v>
      </c>
      <c r="R31" s="18" t="n">
        <v>568.138</v>
      </c>
      <c r="S31" s="18" t="n">
        <v>568.925</v>
      </c>
      <c r="T31" s="18" t="n">
        <v>569.7140000000001</v>
      </c>
      <c r="U31" s="18" t="n">
        <v>570.504</v>
      </c>
      <c r="V31" s="18" t="n">
        <v>571.295</v>
      </c>
      <c r="W31" s="18" t="n">
        <v>0</v>
      </c>
      <c r="X31" s="18" t="n">
        <v>0</v>
      </c>
      <c r="Y31" s="18" t="n">
        <v>0</v>
      </c>
      <c r="Z31" s="18" t="n">
        <v>0</v>
      </c>
      <c r="AA31" s="18" t="n">
        <v>1124.494</v>
      </c>
      <c r="AB31" s="18" t="n">
        <v>1125.769</v>
      </c>
      <c r="AC31" s="18" t="n">
        <v>1127.054</v>
      </c>
    </row>
    <row r="32">
      <c r="A32" s="4" t="inlineStr">
        <is>
          <t>Total Equity</t>
        </is>
      </c>
      <c r="B32" s="18" t="n">
        <v>172.628</v>
      </c>
      <c r="C32" s="18" t="n">
        <v>198.767</v>
      </c>
      <c r="D32" s="18" t="n">
        <v>207.749</v>
      </c>
      <c r="E32" s="18" t="n">
        <v>210.924</v>
      </c>
      <c r="F32" s="18" t="n">
        <v>204.839</v>
      </c>
      <c r="G32" s="18" t="n">
        <v>267.497</v>
      </c>
      <c r="H32" s="18" t="n">
        <v>287.191</v>
      </c>
      <c r="I32" s="18" t="n">
        <v>213.828</v>
      </c>
      <c r="J32" s="18" t="n">
        <v>304.845</v>
      </c>
      <c r="K32" s="18" t="n">
        <v>195.754</v>
      </c>
      <c r="L32" s="18" t="n">
        <v>145.715</v>
      </c>
      <c r="M32" s="18" t="n">
        <v>-2.483</v>
      </c>
      <c r="N32" s="18" t="n">
        <v>-89.56399999999999</v>
      </c>
      <c r="O32" s="18" t="n">
        <v>-64.416</v>
      </c>
      <c r="P32" s="18" t="n">
        <v>-263.242</v>
      </c>
      <c r="Q32" s="18" t="n">
        <v>-216.933</v>
      </c>
      <c r="R32" s="18" t="n">
        <v>-177.171</v>
      </c>
      <c r="S32" s="18" t="n">
        <v>-94.741</v>
      </c>
      <c r="T32" s="18" t="n">
        <v>-54.485</v>
      </c>
      <c r="U32" s="18" t="n">
        <v>-194.206</v>
      </c>
      <c r="V32" s="18" t="n">
        <v>-322.71</v>
      </c>
      <c r="W32" s="18" t="n">
        <v>-199.307</v>
      </c>
      <c r="X32" s="18" t="n">
        <v>-78.786</v>
      </c>
      <c r="Y32" s="18" t="n">
        <v>-168.617</v>
      </c>
      <c r="Z32" s="18" t="n">
        <v>-117.663</v>
      </c>
      <c r="AA32" s="18" t="n">
        <v>-278.765</v>
      </c>
      <c r="AB32" s="18" t="n">
        <v>-366.002</v>
      </c>
      <c r="AC32" s="18" t="n">
        <v>-102.427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B34" s="18" t="n">
        <v>3.665</v>
      </c>
      <c r="C34" s="18" t="n">
        <v>3.927</v>
      </c>
      <c r="D34" s="18" t="n">
        <v>5.732</v>
      </c>
      <c r="E34" s="18" t="n">
        <v>4.138</v>
      </c>
      <c r="F34" s="18" t="n">
        <v>4.103</v>
      </c>
      <c r="G34" s="18" t="n">
        <v>4.538</v>
      </c>
      <c r="H34" s="18" t="n">
        <v>4.408</v>
      </c>
      <c r="I34" s="18" t="n">
        <v>4.031</v>
      </c>
      <c r="J34" s="18" t="n">
        <v>4.224</v>
      </c>
      <c r="K34" s="18" t="n">
        <v>6.64</v>
      </c>
      <c r="L34" s="18" t="n">
        <v>3.986</v>
      </c>
      <c r="M34" s="18" t="n">
        <v>5.109</v>
      </c>
      <c r="N34" s="18" t="n">
        <v>5.602</v>
      </c>
      <c r="O34" s="18" t="n">
        <v>5.426</v>
      </c>
      <c r="P34" s="18" t="n">
        <v>6.72</v>
      </c>
      <c r="Q34" s="18" t="n">
        <v>6.41</v>
      </c>
      <c r="R34" s="18" t="n">
        <v>5.986</v>
      </c>
      <c r="S34" s="18" t="n">
        <v>5.837</v>
      </c>
      <c r="T34" s="18" t="n">
        <v>8.214</v>
      </c>
      <c r="U34" s="18" t="n">
        <v>7.925</v>
      </c>
      <c r="V34" s="18" t="n">
        <v>7.892</v>
      </c>
      <c r="W34" s="18" t="n">
        <v>7.56</v>
      </c>
      <c r="X34" s="18" t="n">
        <v>7.738</v>
      </c>
      <c r="Y34" s="18" t="n">
        <v>7.598</v>
      </c>
      <c r="Z34" s="18" t="n">
        <v>7.369</v>
      </c>
      <c r="AA34" s="18" t="n">
        <v>7.56</v>
      </c>
      <c r="AB34" s="18" t="n">
        <v>8.949999999999999</v>
      </c>
      <c r="AC34" s="18" t="n">
        <v>8.01</v>
      </c>
    </row>
    <row r="35">
      <c r="A35" s="4" t="inlineStr">
        <is>
          <t>Stock-based Compensation</t>
        </is>
      </c>
      <c r="B35" s="18" t="n">
        <v>27.565</v>
      </c>
      <c r="C35" s="18" t="n">
        <v>28.392</v>
      </c>
      <c r="D35" s="18" t="n">
        <v>28.473</v>
      </c>
      <c r="E35" s="18" t="n">
        <v>30.718</v>
      </c>
      <c r="F35" s="18" t="n">
        <v>34.967</v>
      </c>
      <c r="G35" s="18" t="n">
        <v>38.922</v>
      </c>
      <c r="H35" s="18" t="n">
        <v>42.706</v>
      </c>
      <c r="I35" s="18" t="n">
        <v>46.631</v>
      </c>
      <c r="J35" s="18" t="n">
        <v>50.396</v>
      </c>
      <c r="K35" s="18" t="n">
        <v>53.07</v>
      </c>
      <c r="L35" s="18" t="n">
        <v>71.294</v>
      </c>
      <c r="M35" s="18" t="n">
        <v>60.984</v>
      </c>
      <c r="N35" s="18" t="n">
        <v>59.139</v>
      </c>
      <c r="O35" s="18" t="n">
        <v>56.796</v>
      </c>
      <c r="P35" s="18" t="n">
        <v>59.917</v>
      </c>
      <c r="Q35" s="18" t="n">
        <v>54.521</v>
      </c>
      <c r="R35" s="18" t="n">
        <v>53.66</v>
      </c>
      <c r="S35" s="18" t="n">
        <v>58.249</v>
      </c>
      <c r="T35" s="18" t="n">
        <v>58.195</v>
      </c>
      <c r="U35" s="18" t="n">
        <v>58.142</v>
      </c>
      <c r="V35" s="18" t="n">
        <v>59.886</v>
      </c>
      <c r="W35" s="18" t="n">
        <v>60.892</v>
      </c>
      <c r="X35" s="18" t="n">
        <v>61.801</v>
      </c>
      <c r="Y35" s="18" t="n">
        <v>60.261</v>
      </c>
      <c r="Z35" s="18" t="n">
        <v>59.439</v>
      </c>
      <c r="AA35" s="18" t="n">
        <v>0</v>
      </c>
      <c r="AB35" s="18" t="n">
        <v>0</v>
      </c>
      <c r="AC35" s="18" t="n">
        <v>0</v>
      </c>
    </row>
    <row r="36">
      <c r="A36" s="4" t="inlineStr">
        <is>
          <t>Change in Working Capital</t>
        </is>
      </c>
      <c r="B36" s="18" t="n">
        <v>17.098</v>
      </c>
      <c r="C36" s="18" t="n">
        <v>16.333</v>
      </c>
      <c r="D36" s="18" t="n">
        <v>22.751</v>
      </c>
      <c r="E36" s="18" t="n">
        <v>45.278</v>
      </c>
      <c r="F36" s="18" t="n">
        <v>62.725</v>
      </c>
      <c r="G36" s="18" t="n">
        <v>30.776</v>
      </c>
      <c r="H36" s="18" t="n">
        <v>30.119</v>
      </c>
      <c r="I36" s="18" t="n">
        <v>17.559</v>
      </c>
      <c r="J36" s="18" t="n">
        <v>-33.688</v>
      </c>
      <c r="K36" s="18" t="n">
        <v>14.597</v>
      </c>
      <c r="L36" s="18" t="n">
        <v>42.882</v>
      </c>
      <c r="M36" s="18" t="n">
        <v>28.614</v>
      </c>
      <c r="N36" s="18" t="n">
        <v>-1.024</v>
      </c>
      <c r="O36" s="18" t="n">
        <v>-9.068</v>
      </c>
      <c r="P36" s="18" t="n">
        <v>29.862</v>
      </c>
      <c r="Q36" s="18" t="n">
        <v>-9.241</v>
      </c>
      <c r="R36" s="18" t="n">
        <v>-36.102</v>
      </c>
      <c r="S36" s="18" t="n">
        <v>-15.222</v>
      </c>
      <c r="T36" s="18" t="n">
        <v>24.662077</v>
      </c>
      <c r="U36" s="18" t="n">
        <v>29.878</v>
      </c>
      <c r="V36" s="18" t="n">
        <v>6.615</v>
      </c>
      <c r="W36" s="18" t="n">
        <v>44.555</v>
      </c>
      <c r="X36" s="18" t="n">
        <v>19.923</v>
      </c>
      <c r="Y36" s="18" t="n">
        <v>41.52</v>
      </c>
      <c r="Z36" s="18" t="n">
        <v>128.587</v>
      </c>
      <c r="AA36" s="18" t="n">
        <v>144.06117</v>
      </c>
      <c r="AB36" s="18" t="n">
        <v>181.609633</v>
      </c>
      <c r="AC36" s="18" t="n">
        <v>74.790999</v>
      </c>
    </row>
    <row r="37">
      <c r="A37" s="4" t="inlineStr">
        <is>
          <t>Operating Cash Flow</t>
        </is>
      </c>
      <c r="B37" s="18" t="n">
        <v>37.18</v>
      </c>
      <c r="C37" s="18" t="n">
        <v>36.073</v>
      </c>
      <c r="D37" s="18" t="n">
        <v>41.237</v>
      </c>
      <c r="E37" s="18" t="n">
        <v>45.027</v>
      </c>
      <c r="F37" s="18" t="n">
        <v>49.958</v>
      </c>
      <c r="G37" s="18" t="n">
        <v>24.514</v>
      </c>
      <c r="H37" s="18" t="n">
        <v>28.55</v>
      </c>
      <c r="I37" s="18" t="n">
        <v>18.488</v>
      </c>
      <c r="J37" s="18" t="n">
        <v>21.833</v>
      </c>
      <c r="K37" s="18" t="n">
        <v>4.323</v>
      </c>
      <c r="L37" s="18" t="n">
        <v>21.041</v>
      </c>
      <c r="M37" s="18" t="n">
        <v>-13.662</v>
      </c>
      <c r="N37" s="18" t="n">
        <v>-2.687</v>
      </c>
      <c r="O37" s="18" t="n">
        <v>0.267</v>
      </c>
      <c r="P37" s="18" t="n">
        <v>53.234</v>
      </c>
      <c r="Q37" s="18" t="n">
        <v>45.961</v>
      </c>
      <c r="R37" s="18" t="n">
        <v>47.761</v>
      </c>
      <c r="S37" s="18" t="n">
        <v>64.14400000000001</v>
      </c>
      <c r="T37" s="18" t="n">
        <v>86.646034</v>
      </c>
      <c r="U37" s="18" t="n">
        <v>113.836</v>
      </c>
      <c r="V37" s="18" t="n">
        <v>120.029</v>
      </c>
      <c r="W37" s="18" t="n">
        <v>129.814</v>
      </c>
      <c r="X37" s="18" t="n">
        <v>133.736</v>
      </c>
      <c r="Y37" s="18" t="n">
        <v>145.491</v>
      </c>
      <c r="Z37" s="18" t="n">
        <v>150.335</v>
      </c>
      <c r="AA37" s="18" t="n">
        <v>146.648568</v>
      </c>
      <c r="AB37" s="18" t="n">
        <v>174.288897</v>
      </c>
      <c r="AC37" s="18" t="n">
        <v>78.52799899999999</v>
      </c>
    </row>
    <row r="38">
      <c r="A38" s="4" t="inlineStr">
        <is>
          <t>Capex</t>
        </is>
      </c>
      <c r="B38" s="18" t="n">
        <v>-6.426</v>
      </c>
      <c r="C38" s="18" t="n">
        <v>-6.846</v>
      </c>
      <c r="D38" s="18" t="n">
        <v>-3.766</v>
      </c>
      <c r="E38" s="18" t="n">
        <v>-6.575</v>
      </c>
      <c r="F38" s="18" t="n">
        <v>-3.264</v>
      </c>
      <c r="G38" s="18" t="n">
        <v>-5.134</v>
      </c>
      <c r="H38" s="18" t="n">
        <v>-5.38</v>
      </c>
      <c r="I38" s="18" t="n">
        <v>-3.849</v>
      </c>
      <c r="J38" s="18" t="n">
        <v>-7.119</v>
      </c>
      <c r="K38" s="18" t="n">
        <v>-13.03</v>
      </c>
      <c r="L38" s="18" t="n">
        <v>-13.702</v>
      </c>
      <c r="M38" s="18" t="n">
        <v>-19.924</v>
      </c>
      <c r="N38" s="18" t="n">
        <v>-13.217</v>
      </c>
      <c r="O38" s="18" t="n">
        <v>-22.874</v>
      </c>
      <c r="P38" s="18" t="n">
        <v>-14.649</v>
      </c>
      <c r="Q38" s="18" t="n">
        <v>-20.932</v>
      </c>
      <c r="R38" s="18" t="n">
        <v>-15.751</v>
      </c>
      <c r="S38" s="18" t="n">
        <v>-19.376</v>
      </c>
      <c r="T38" s="18" t="n">
        <v>-9.439285</v>
      </c>
      <c r="U38" s="18" t="n">
        <v>-8.125</v>
      </c>
      <c r="V38" s="18" t="n">
        <v>-7.195</v>
      </c>
      <c r="W38" s="18" t="n">
        <v>-2.053</v>
      </c>
      <c r="X38" s="18" t="n">
        <v>-1.963</v>
      </c>
      <c r="Y38" s="18" t="n">
        <v>-3.05</v>
      </c>
      <c r="Z38" s="18" t="n">
        <v>-2.67</v>
      </c>
      <c r="AA38" s="18" t="n">
        <v>-1.395988</v>
      </c>
      <c r="AB38" s="18" t="n">
        <v>-2.757877</v>
      </c>
      <c r="AC38" s="18" t="n">
        <v>-3.300999</v>
      </c>
    </row>
    <row r="39">
      <c r="A39" s="4" t="inlineStr">
        <is>
          <t>Free Cash Flow</t>
        </is>
      </c>
      <c r="B39" s="18" t="n">
        <v>30.754</v>
      </c>
      <c r="C39" s="18" t="n">
        <v>29.227</v>
      </c>
      <c r="D39" s="18" t="n">
        <v>37.471</v>
      </c>
      <c r="E39" s="18" t="n">
        <v>38.452</v>
      </c>
      <c r="F39" s="18" t="n">
        <v>46.694</v>
      </c>
      <c r="G39" s="18" t="n">
        <v>19.38</v>
      </c>
      <c r="H39" s="18" t="n">
        <v>23.17</v>
      </c>
      <c r="I39" s="18" t="n">
        <v>14.639</v>
      </c>
      <c r="J39" s="18" t="n">
        <v>14.714</v>
      </c>
      <c r="K39" s="18" t="n">
        <v>-8.707000000000001</v>
      </c>
      <c r="L39" s="18" t="n">
        <v>7.339</v>
      </c>
      <c r="M39" s="18" t="n">
        <v>-33.586</v>
      </c>
      <c r="N39" s="18" t="n">
        <v>-15.904</v>
      </c>
      <c r="O39" s="18" t="n">
        <v>-22.607</v>
      </c>
      <c r="P39" s="18" t="n">
        <v>38.585</v>
      </c>
      <c r="Q39" s="18" t="n">
        <v>25.029</v>
      </c>
      <c r="R39" s="18" t="n">
        <v>32.01</v>
      </c>
      <c r="S39" s="18" t="n">
        <v>44.768</v>
      </c>
      <c r="T39" s="18" t="n">
        <v>77.206749</v>
      </c>
      <c r="U39" s="18" t="n">
        <v>105.711</v>
      </c>
      <c r="V39" s="18" t="n">
        <v>112.834</v>
      </c>
      <c r="W39" s="18" t="n">
        <v>127.761</v>
      </c>
      <c r="X39" s="18" t="n">
        <v>131.773</v>
      </c>
      <c r="Y39" s="18" t="n">
        <v>142.441</v>
      </c>
      <c r="Z39" s="18" t="n">
        <v>147.665</v>
      </c>
      <c r="AA39" s="18" t="n">
        <v>145.25258</v>
      </c>
      <c r="AB39" s="18" t="n">
        <v>171.53102</v>
      </c>
      <c r="AC39" s="18" t="n">
        <v>75.227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  <c r="F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2278.510009</v>
      </c>
      <c r="C4" s="18" t="n">
        <v>2580.250837</v>
      </c>
      <c r="D4" s="18" t="n">
        <v>2934.976177</v>
      </c>
      <c r="E4" s="18" t="n">
        <v>3391</v>
      </c>
      <c r="F4" s="18" t="n">
        <v>3793.05</v>
      </c>
    </row>
    <row r="5">
      <c r="A5" s="4" t="inlineStr">
        <is>
          <t xml:space="preserve">  model</t>
        </is>
      </c>
      <c r="B5" s="34">
        <f>Model!G8</f>
        <v/>
      </c>
      <c r="C5" s="34">
        <f>Model!H8</f>
        <v/>
      </c>
      <c r="D5" s="34">
        <f>Model!I8</f>
        <v/>
      </c>
      <c r="E5" s="34">
        <f>Model!J8</f>
        <v/>
      </c>
      <c r="F5" s="34">
        <f>Model!K8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-78.99626000000001</v>
      </c>
      <c r="C8" s="18" t="n">
        <v>-89.457657</v>
      </c>
      <c r="D8" s="18" t="n">
        <v>-101.756034</v>
      </c>
      <c r="E8" s="18" t="n">
        <v>-117.566444</v>
      </c>
      <c r="F8" s="18" t="n">
        <v>-131.505574</v>
      </c>
    </row>
    <row r="9">
      <c r="A9" s="4" t="inlineStr">
        <is>
          <t xml:space="preserve">  model</t>
        </is>
      </c>
      <c r="B9" s="34">
        <f>Model!G21+Model!G26</f>
        <v/>
      </c>
      <c r="C9" s="34">
        <f>Model!H21+Model!H26</f>
        <v/>
      </c>
      <c r="D9" s="34">
        <f>Model!I21+Model!I26</f>
        <v/>
      </c>
      <c r="E9" s="34">
        <f>Model!J21+Model!J26</f>
        <v/>
      </c>
      <c r="F9" s="34">
        <f>Model!K21+Model!K26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-116.241157</v>
      </c>
      <c r="C12" s="18" t="n">
        <v>-131.634858</v>
      </c>
      <c r="D12" s="18" t="n">
        <v>-149.731634</v>
      </c>
      <c r="E12" s="18" t="n">
        <v>-172.996284</v>
      </c>
      <c r="F12" s="18" t="n">
        <v>-193.507388</v>
      </c>
    </row>
    <row r="13">
      <c r="A13" s="4" t="inlineStr">
        <is>
          <t xml:space="preserve">  model</t>
        </is>
      </c>
      <c r="B13" s="34">
        <f>Model!G21</f>
        <v/>
      </c>
      <c r="C13" s="34">
        <f>Model!H21</f>
        <v/>
      </c>
      <c r="D13" s="34">
        <f>Model!I21</f>
        <v/>
      </c>
      <c r="E13" s="34">
        <f>Model!J21</f>
        <v/>
      </c>
      <c r="F13" s="34">
        <f>Model!K21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943.652902</v>
      </c>
      <c r="C16" s="18" t="n">
        <v>1068.619923</v>
      </c>
      <c r="D16" s="18" t="n">
        <v>1215.530666</v>
      </c>
      <c r="E16" s="18" t="n">
        <v>1404.39453</v>
      </c>
      <c r="F16" s="18" t="n">
        <v>1570.904946</v>
      </c>
    </row>
    <row r="17">
      <c r="A17" s="4" t="inlineStr">
        <is>
          <t xml:space="preserve">  model</t>
        </is>
      </c>
      <c r="B17" s="34">
        <f>Model!G16</f>
        <v/>
      </c>
      <c r="C17" s="34">
        <f>Model!H16</f>
        <v/>
      </c>
      <c r="D17" s="34">
        <f>Model!I16</f>
        <v/>
      </c>
      <c r="E17" s="34">
        <f>Model!J16</f>
        <v/>
      </c>
      <c r="F17" s="34">
        <f>Model!K16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284.8409095</v>
      </c>
      <c r="C20" s="18" t="n">
        <v>424.077284</v>
      </c>
      <c r="D20" s="18" t="n">
        <v>514.5301515</v>
      </c>
      <c r="E20" s="18" t="n">
        <v>695.484945</v>
      </c>
      <c r="F20" s="18" t="n">
        <v>863.7288140000001</v>
      </c>
    </row>
    <row r="21">
      <c r="A21" s="4" t="inlineStr">
        <is>
          <t xml:space="preserve">  model</t>
        </is>
      </c>
      <c r="B21" s="34">
        <f>Model!G25</f>
        <v/>
      </c>
      <c r="C21" s="34">
        <f>Model!H25</f>
        <v/>
      </c>
      <c r="D21" s="34">
        <f>Model!I25</f>
        <v/>
      </c>
      <c r="E21" s="34">
        <f>Model!J25</f>
        <v/>
      </c>
      <c r="F21" s="34">
        <f>Model!K25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4.85544</v>
      </c>
      <c r="C24" s="48" t="n">
        <v>7.0576</v>
      </c>
      <c r="D24" s="48" t="n">
        <v>8.976190000000001</v>
      </c>
      <c r="E24" s="48" t="n">
        <v>12.05</v>
      </c>
      <c r="F24" s="48" t="n">
        <v>14.965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Wix.com Ltd.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Model!G33</f>
        <v/>
      </c>
      <c r="D12" s="34">
        <f>Model!H33</f>
        <v/>
      </c>
      <c r="E12" s="34">
        <f>Model!I33</f>
        <v/>
      </c>
      <c r="F12" s="34">
        <f>Model!J33</f>
        <v/>
      </c>
      <c r="G12" s="34">
        <f>Model!K33</f>
        <v/>
      </c>
      <c r="H12" s="34">
        <f>Model!L33</f>
        <v/>
      </c>
      <c r="I12" s="34">
        <f>Model!M33</f>
        <v/>
      </c>
      <c r="J12" s="34">
        <f>Model!N33</f>
        <v/>
      </c>
      <c r="K12" s="34">
        <f>Model!O33</f>
        <v/>
      </c>
      <c r="L12" s="34">
        <f>Model!P33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Model!P8</f>
        <v/>
      </c>
    </row>
    <row r="21">
      <c r="A21" s="4" t="inlineStr">
        <is>
          <t>Terminal EBIT</t>
        </is>
      </c>
      <c r="B21" s="34">
        <f>Model!P21</f>
        <v/>
      </c>
    </row>
    <row r="22">
      <c r="A22" s="4" t="inlineStr">
        <is>
          <t>Terminal EBITDA (SBC-burdened)</t>
        </is>
      </c>
      <c r="B22" s="34">
        <f>Model!P21+Model!P26-Model!P27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Financials!AC26</f>
        <v/>
      </c>
    </row>
    <row r="33">
      <c r="A33" s="4" t="inlineStr">
        <is>
          <t>- Long-term debt</t>
        </is>
      </c>
      <c r="B33" s="34">
        <f>-Financials!AC31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0.06641296966400378</v>
      </c>
      <c r="C4" s="52" t="n">
        <v>0.07141296966400379</v>
      </c>
      <c r="D4" s="52" t="n">
        <v>0.07641296966400378</v>
      </c>
      <c r="E4" s="52" t="n">
        <v>0.08141296966400378</v>
      </c>
      <c r="F4" s="52" t="n">
        <v>0.08641296966400379</v>
      </c>
      <c r="G4" s="52" t="n">
        <v>0.09141296966400378</v>
      </c>
      <c r="H4" s="52" t="n">
        <v>0.09641296966400378</v>
      </c>
    </row>
    <row r="5">
      <c r="A5" s="53" t="n">
        <v>9</v>
      </c>
      <c r="B5" s="8" t="n">
        <v>72.20335614664864</v>
      </c>
      <c r="C5" s="8" t="n">
        <v>70.03842638133072</v>
      </c>
      <c r="D5" s="8" t="n">
        <v>67.97346934062359</v>
      </c>
      <c r="E5" s="8" t="n">
        <v>66.00329815565561</v>
      </c>
      <c r="F5" s="8" t="n">
        <v>64.12302096557575</v>
      </c>
      <c r="G5" s="8" t="n">
        <v>62.3280227651911</v>
      </c>
      <c r="H5" s="8" t="n">
        <v>60.61394845058433</v>
      </c>
    </row>
    <row r="6">
      <c r="A6" s="53" t="n">
        <v>10</v>
      </c>
      <c r="B6" s="8" t="n">
        <v>75.84544836366187</v>
      </c>
      <c r="C6" s="8" t="n">
        <v>73.5140771156711</v>
      </c>
      <c r="D6" s="8" t="n">
        <v>71.29100730691833</v>
      </c>
      <c r="E6" s="8" t="n">
        <v>69.17059947836832</v>
      </c>
      <c r="F6" s="8" t="n">
        <v>67.14753570218105</v>
      </c>
      <c r="G6" s="8" t="n">
        <v>65.21679976298239</v>
      </c>
      <c r="H6" s="8" t="n">
        <v>63.37365864878225</v>
      </c>
    </row>
    <row r="7">
      <c r="A7" s="53" t="n">
        <v>11</v>
      </c>
      <c r="B7" s="8" t="n">
        <v>79.4875405806751</v>
      </c>
      <c r="C7" s="8" t="n">
        <v>76.98972785001146</v>
      </c>
      <c r="D7" s="8" t="n">
        <v>74.60854527321307</v>
      </c>
      <c r="E7" s="8" t="n">
        <v>72.33790080108099</v>
      </c>
      <c r="F7" s="8" t="n">
        <v>70.17205043878634</v>
      </c>
      <c r="G7" s="8" t="n">
        <v>68.10557676077369</v>
      </c>
      <c r="H7" s="8" t="n">
        <v>66.13336884698015</v>
      </c>
    </row>
    <row r="8">
      <c r="A8" s="53" t="n">
        <v>12</v>
      </c>
      <c r="B8" s="8" t="n">
        <v>83.12963279768833</v>
      </c>
      <c r="C8" s="8" t="n">
        <v>80.46537858435185</v>
      </c>
      <c r="D8" s="8" t="n">
        <v>77.9260832395078</v>
      </c>
      <c r="E8" s="54" t="n">
        <v>75.50520212379367</v>
      </c>
      <c r="F8" s="8" t="n">
        <v>73.19656517539163</v>
      </c>
      <c r="G8" s="8" t="n">
        <v>70.99435375856498</v>
      </c>
      <c r="H8" s="8" t="n">
        <v>68.89307904517807</v>
      </c>
    </row>
    <row r="9">
      <c r="A9" s="53" t="n">
        <v>13</v>
      </c>
      <c r="B9" s="8" t="n">
        <v>86.77172501470157</v>
      </c>
      <c r="C9" s="8" t="n">
        <v>83.94102931869222</v>
      </c>
      <c r="D9" s="8" t="n">
        <v>81.24362120580254</v>
      </c>
      <c r="E9" s="8" t="n">
        <v>78.67250344650635</v>
      </c>
      <c r="F9" s="8" t="n">
        <v>76.22107991199692</v>
      </c>
      <c r="G9" s="8" t="n">
        <v>73.88313075635627</v>
      </c>
      <c r="H9" s="8" t="n">
        <v>71.65278924337598</v>
      </c>
    </row>
    <row r="10">
      <c r="A10" s="53" t="n">
        <v>14</v>
      </c>
      <c r="B10" s="8" t="n">
        <v>90.4138172317148</v>
      </c>
      <c r="C10" s="8" t="n">
        <v>87.41668005303259</v>
      </c>
      <c r="D10" s="8" t="n">
        <v>84.56115917209728</v>
      </c>
      <c r="E10" s="8" t="n">
        <v>81.83980476921904</v>
      </c>
      <c r="F10" s="8" t="n">
        <v>79.24559464860222</v>
      </c>
      <c r="G10" s="8" t="n">
        <v>76.77190775414758</v>
      </c>
      <c r="H10" s="8" t="n">
        <v>74.41249944157389</v>
      </c>
    </row>
    <row r="11">
      <c r="A11" s="53" t="n">
        <v>15</v>
      </c>
      <c r="B11" s="8" t="n">
        <v>94.05590944872803</v>
      </c>
      <c r="C11" s="8" t="n">
        <v>90.89233078737297</v>
      </c>
      <c r="D11" s="8" t="n">
        <v>87.87869713839201</v>
      </c>
      <c r="E11" s="8" t="n">
        <v>85.00710609193173</v>
      </c>
      <c r="F11" s="8" t="n">
        <v>82.2701093852075</v>
      </c>
      <c r="G11" s="8" t="n">
        <v>79.66068475193886</v>
      </c>
      <c r="H11" s="8" t="n">
        <v>77.17220963977179</v>
      </c>
    </row>
    <row r="13">
      <c r="A13" s="3" t="inlineStr">
        <is>
          <t>Current price</t>
        </is>
      </c>
      <c r="B13" s="55" t="n">
        <v>44.72499847412109</v>
      </c>
    </row>
    <row r="14">
      <c r="A14" s="3" t="inlineStr">
        <is>
          <t>Base WACC / multiple</t>
        </is>
      </c>
      <c r="B14" s="56" t="n">
        <v>0.08141296966400378</v>
      </c>
      <c r="C14" s="57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0.01579342954796783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0.6331746989865618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0.012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0.7695615524109271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2026-07-08T07:04:27Z</dcterms:created>
  <dcterms:modified xmlns:dcterms="http://purl.org/dc/terms/" xmlns:xsi="http://www.w3.org/2001/XMLSchema-instance" xsi:type="dcterms:W3CDTF">2026-07-08T07:04:27Z</dcterms:modified>
</cp:coreProperties>
</file>