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11.0%</t>
      </text>
    </comment>
    <comment ref="C20" authorId="0" shapeId="0">
      <text>
        <t>Opus: 3.0%</t>
      </text>
    </comment>
    <comment ref="B21" authorId="0" shapeId="0">
      <text>
        <t>Opus: 30.0%</t>
      </text>
    </comment>
    <comment ref="C21" authorId="0" shapeId="0">
      <text>
        <t>Opus: 5.0%</t>
      </text>
    </comment>
    <comment ref="B22" authorId="0" shapeId="0">
      <text>
        <t>Opus: 13.1%</t>
      </text>
    </comment>
    <comment ref="C22" authorId="0" shapeId="0">
      <text>
        <t>Opus: 5.0%</t>
      </text>
    </comment>
    <comment ref="B23" authorId="0" shapeId="0">
      <text>
        <t>Opus: 14.0%</t>
      </text>
    </comment>
    <comment ref="C23" authorId="0" shapeId="0">
      <text>
        <t>Opus: 3.5%</t>
      </text>
    </comment>
    <comment ref="B24" authorId="0" shapeId="0">
      <text>
        <t>Opus: 0.0%</t>
      </text>
    </comment>
    <comment ref="C24" authorId="0" shapeId="0">
      <text>
        <t>Opus: 2.0%</t>
      </text>
    </comment>
    <comment ref="B25" authorId="0" shapeId="0">
      <text>
        <t>Opus: 22.0%</t>
      </text>
    </comment>
    <comment ref="C25" authorId="0" shapeId="0">
      <text>
        <t>Opus: 4.0%</t>
      </text>
    </comment>
    <comment ref="B26" authorId="0" shapeId="0">
      <text>
        <t>Opus: 5.0%</t>
      </text>
    </comment>
    <comment ref="C26" authorId="0" shapeId="0">
      <text>
        <t>Opus: 2.0%</t>
      </text>
    </comment>
    <comment ref="B29" authorId="0" shapeId="0">
      <text>
        <t>Opus: 32.0%</t>
      </text>
    </comment>
    <comment ref="B30" authorId="0" shapeId="0">
      <text>
        <t>Opus: 35.0%</t>
      </text>
    </comment>
    <comment ref="B31" authorId="0" shapeId="0">
      <text>
        <t>Opus: 17.0%</t>
      </text>
    </comment>
    <comment ref="B34" authorId="0" shapeId="0">
      <text>
        <t>Opus: —
set from Opus 21%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1.267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Alphabet Inc. (GOOG)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Alphabet's decelerating-but-durable Search cash engine funds an aggressive AI/cloud capex cycle; the bull case rests on Google Cloud scaling toward AWS/Azure-class margins and Gemini defending query share as that capex converts into compute-as-a-service revenue. We fade blended top-line growth from ~18-20% (anchored to consensus) toward a ~3-4% mature rate, let operating margins drift from 32% to 35% on cloud operating leverage, and converge today's elevated ~22% capex/revenue back toward maintenance (capex/D&amp;A ~1.1x) as the buildout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Alphabet Inc. (GOOG)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IF(Model!F46&lt;=0,"n/a (neg. capital)",Model!G48-WACC!B15)</f>
        <v/>
      </c>
      <c r="C15" s="10">
        <f>IF(Model!F46&lt;=0,"n/a",IF(Model!G48-WACC!B15&lt;0,"!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Google Search &amp; Other</t>
        </is>
      </c>
      <c r="B20" s="15" t="n">
        <v>0.11</v>
      </c>
      <c r="C20" s="15" t="n">
        <v>0.03</v>
      </c>
      <c r="D20" s="16" t="n">
        <v>0.11</v>
      </c>
      <c r="E20" s="2" t="inlineStr"/>
    </row>
    <row r="21">
      <c r="A21" s="4" t="inlineStr">
        <is>
          <t>Google Cloud</t>
        </is>
      </c>
      <c r="B21" s="15" t="n">
        <v>0.3</v>
      </c>
      <c r="C21" s="15" t="n">
        <v>0.05</v>
      </c>
      <c r="D21" s="16" t="n">
        <v>0.3</v>
      </c>
      <c r="E21" s="2" t="inlineStr"/>
    </row>
    <row r="22">
      <c r="A22" s="4" t="inlineStr">
        <is>
          <t>Subscriptions, Platforms, And Devices Revenue</t>
        </is>
      </c>
      <c r="B22" s="15" t="n">
        <v>0.1310365328767845</v>
      </c>
      <c r="C22" s="15" t="n">
        <v>0.05</v>
      </c>
      <c r="D22" s="16" t="n">
        <v>0.1310365328767845</v>
      </c>
      <c r="E22" s="2" t="inlineStr"/>
    </row>
    <row r="23">
      <c r="A23" s="4" t="inlineStr">
        <is>
          <t>YouTube Advertising Revenue</t>
        </is>
      </c>
      <c r="B23" s="15" t="n">
        <v>0.14</v>
      </c>
      <c r="C23" s="15" t="n">
        <v>0.035</v>
      </c>
      <c r="D23" s="16" t="n">
        <v>0.14</v>
      </c>
      <c r="E23" s="2" t="inlineStr"/>
    </row>
    <row r="24">
      <c r="A24" s="4" t="inlineStr">
        <is>
          <t>Google Network</t>
        </is>
      </c>
      <c r="B24" s="15" t="n">
        <v>0</v>
      </c>
      <c r="C24" s="15" t="n">
        <v>0.02</v>
      </c>
      <c r="D24" s="16" t="n">
        <v>0</v>
      </c>
      <c r="E24" s="2" t="inlineStr"/>
    </row>
    <row r="25">
      <c r="A25" s="4" t="inlineStr">
        <is>
          <t>Other Bets</t>
        </is>
      </c>
      <c r="B25" s="15" t="n">
        <v>0.22</v>
      </c>
      <c r="C25" s="15" t="n">
        <v>0.04</v>
      </c>
      <c r="D25" s="16" t="n">
        <v>0.22</v>
      </c>
      <c r="E25" s="2" t="inlineStr"/>
    </row>
    <row r="26">
      <c r="A26" s="4" t="inlineStr">
        <is>
          <t>Other Segments</t>
        </is>
      </c>
      <c r="B26" s="15" t="n">
        <v>0.05</v>
      </c>
      <c r="C26" s="15" t="n">
        <v>0.02</v>
      </c>
      <c r="D26" s="16" t="n">
        <v>0.05</v>
      </c>
      <c r="E26" s="2" t="inlineStr"/>
    </row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0.32</v>
      </c>
      <c r="D29" s="16" t="n">
        <v>0.32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102065.340384</v>
      </c>
      <c r="D34" s="18" t="n">
        <v>102065.340384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1.267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362.1000061035156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167.4202234229029</v>
      </c>
      <c r="C58" s="28" t="n">
        <v>226.7350722053176</v>
      </c>
      <c r="D58" s="28" t="n">
        <v>121.3158591801177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0.06193286738280086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0.03715972042968051</v>
      </c>
      <c r="E66" s="2" t="inlineStr">
        <is>
          <t>fades near-&gt;terminal; also burdens the exit-multiple EBITDA</t>
        </is>
      </c>
    </row>
  </sheetData>
  <conditionalFormatting sqref="B20:B26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GOOG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Alphabet's decelerating-but-durable Search cash engine funds an aggressive AI/cloud capex cycle; the bull case rests on Google Cloud scaling toward AWS/Azure-class margins and Gemini defending query share as that capex converts into compute-as-a-service revenue. We fade blended top-line growth from ~18-20% (anchored to consensus) toward a ~3-4% mature rate, let operating margins drift from 32% to 35% on cloud operating leverage, and converge today's elevated ~22% capex/revenue back toward maintenance (capex/D&amp;A ~1.1x) as the buildout matures.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revenue and margins are anchored to FMP consensus (2026 rev +20.6%, expanding net margins), then faded toward a risk-free-rate terminal g of 4%. The central judgement calls are (1) crediting cloud margin expansion but capping terminal op margin at 35% given AI compute intensity, and (2) treating FY2025's 22.7% capex/revenue as a peak that normalizes to maintenance levels rather than a permanent step-change—using perpetuity growth on FCFF with an EV/EBIT sanity-check multiple of ~16x for this mature, high-ROIC cash generator.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Google Search &amp; Other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11.0%</t>
        </is>
      </c>
      <c r="F20" s="31" t="inlineStr"/>
    </row>
    <row r="21">
      <c r="A21" t="inlineStr">
        <is>
          <t>Google Search &amp; Other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3.0%</t>
        </is>
      </c>
      <c r="F21" s="31" t="inlineStr"/>
    </row>
    <row r="22">
      <c r="A22" t="inlineStr">
        <is>
          <t>Google Cloud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30.0%</t>
        </is>
      </c>
      <c r="F22" s="31" t="inlineStr"/>
    </row>
    <row r="23">
      <c r="A23" t="inlineStr">
        <is>
          <t>Google Cloud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5.0%</t>
        </is>
      </c>
      <c r="F23" s="31" t="inlineStr"/>
    </row>
    <row r="24">
      <c r="A24" t="inlineStr">
        <is>
          <t>Subscriptions, Platforms, And Devices Revenue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13.1%</t>
        </is>
      </c>
      <c r="F24" s="31" t="inlineStr"/>
    </row>
    <row r="25">
      <c r="A25" t="inlineStr">
        <is>
          <t>Subscriptions, Platforms, And Devices Revenue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5.0%</t>
        </is>
      </c>
      <c r="F25" s="31" t="inlineStr"/>
    </row>
    <row r="26">
      <c r="A26" t="inlineStr">
        <is>
          <t>YouTube Advertising Revenue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14.0%</t>
        </is>
      </c>
      <c r="F26" s="31" t="inlineStr"/>
    </row>
    <row r="27">
      <c r="A27" t="inlineStr">
        <is>
          <t>YouTube Advertising Revenue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3.5%</t>
        </is>
      </c>
      <c r="F27" s="31" t="inlineStr"/>
    </row>
    <row r="28">
      <c r="A28" t="inlineStr">
        <is>
          <t>Google Network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0.0%</t>
        </is>
      </c>
      <c r="F28" s="31" t="inlineStr"/>
    </row>
    <row r="29">
      <c r="A29" t="inlineStr">
        <is>
          <t>Google Network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Other Bets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22.0%</t>
        </is>
      </c>
      <c r="F30" s="31" t="inlineStr"/>
    </row>
    <row r="31">
      <c r="A31" t="inlineStr">
        <is>
          <t>Other Bets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4.0%</t>
        </is>
      </c>
      <c r="F31" s="31" t="inlineStr"/>
    </row>
    <row r="32">
      <c r="A32" t="inlineStr">
        <is>
          <t>Other Segments — near-term growth</t>
        </is>
      </c>
      <c r="B32" t="inlineStr">
        <is>
          <t>B26</t>
        </is>
      </c>
      <c r="C32" s="11">
        <f>Dashboard!B26</f>
        <v/>
      </c>
      <c r="D32" t="inlineStr">
        <is>
          <t>Opus</t>
        </is>
      </c>
      <c r="E32" t="inlineStr">
        <is>
          <t>5.0%</t>
        </is>
      </c>
      <c r="F32" s="31" t="inlineStr"/>
    </row>
    <row r="33">
      <c r="A33" t="inlineStr">
        <is>
          <t>Other Segments — terminal growth</t>
        </is>
      </c>
      <c r="B33" t="inlineStr">
        <is>
          <t>C26</t>
        </is>
      </c>
      <c r="C33" s="11">
        <f>Dashboard!C26</f>
        <v/>
      </c>
      <c r="D33" t="inlineStr">
        <is>
          <t>Opus</t>
        </is>
      </c>
      <c r="E33" t="inlineStr">
        <is>
          <t>2.0%</t>
        </is>
      </c>
      <c r="F33" s="31" t="inlineStr"/>
    </row>
    <row r="34">
      <c r="A34" t="inlineStr">
        <is>
          <t>Near-term operating margin</t>
        </is>
      </c>
      <c r="B34" t="inlineStr">
        <is>
          <t>B29</t>
        </is>
      </c>
      <c r="C34" s="11">
        <f>Dashboard!B29</f>
        <v/>
      </c>
      <c r="D34" t="inlineStr">
        <is>
          <t>Opus</t>
        </is>
      </c>
      <c r="E34" t="inlineStr">
        <is>
          <t>32.0%</t>
        </is>
      </c>
      <c r="F34" s="31" t="inlineStr"/>
    </row>
    <row r="35">
      <c r="A35" t="inlineStr">
        <is>
          <t>Terminal operating margin</t>
        </is>
      </c>
      <c r="B35" t="inlineStr">
        <is>
          <t>B30</t>
        </is>
      </c>
      <c r="C35" s="11">
        <f>Dashboard!B30</f>
        <v/>
      </c>
      <c r="D35" t="inlineStr">
        <is>
          <t>Opus</t>
        </is>
      </c>
      <c r="E35" t="inlineStr">
        <is>
          <t>35.0%</t>
        </is>
      </c>
      <c r="F35" s="31" t="inlineStr"/>
    </row>
    <row r="36">
      <c r="A36" t="inlineStr">
        <is>
          <t>Tax rate</t>
        </is>
      </c>
      <c r="B36" t="inlineStr">
        <is>
          <t>B31</t>
        </is>
      </c>
      <c r="C36" s="11">
        <f>Dashboard!B31</f>
        <v/>
      </c>
      <c r="D36" t="inlineStr">
        <is>
          <t>Opus</t>
        </is>
      </c>
      <c r="E36" t="inlineStr">
        <is>
          <t>17.0%</t>
        </is>
      </c>
      <c r="F36" s="31" t="inlineStr"/>
    </row>
    <row r="37">
      <c r="A37" t="inlineStr">
        <is>
          <t>Terminal capex / D&amp;A</t>
        </is>
      </c>
      <c r="B37" t="inlineStr">
        <is>
          <t>B35</t>
        </is>
      </c>
      <c r="C37" s="13">
        <f>Dashboard!B35</f>
        <v/>
      </c>
      <c r="D37" t="inlineStr">
        <is>
          <t>Opus</t>
        </is>
      </c>
      <c r="E37" t="inlineStr">
        <is>
          <t>1.1x</t>
        </is>
      </c>
      <c r="F37" s="31" t="inlineStr"/>
    </row>
    <row r="38">
      <c r="A38" t="inlineStr">
        <is>
          <t>Risk-free rate (10Y)</t>
        </is>
      </c>
      <c r="B38" t="inlineStr">
        <is>
          <t>B38</t>
        </is>
      </c>
      <c r="C38" s="11">
        <f>Dashboard!B38</f>
        <v/>
      </c>
      <c r="D38" t="inlineStr">
        <is>
          <t>Opus</t>
        </is>
      </c>
      <c r="E38" t="inlineStr">
        <is>
          <t>4.3%</t>
        </is>
      </c>
      <c r="F38" s="31" t="inlineStr"/>
    </row>
    <row r="39">
      <c r="A39" t="inlineStr">
        <is>
          <t>Equity risk premium</t>
        </is>
      </c>
      <c r="B39" t="inlineStr">
        <is>
          <t>B39</t>
        </is>
      </c>
      <c r="C39" s="11">
        <f>Dashboard!B39</f>
        <v/>
      </c>
      <c r="D39" t="inlineStr">
        <is>
          <t>Opus</t>
        </is>
      </c>
      <c r="E39" t="inlineStr">
        <is>
          <t>4.5%</t>
        </is>
      </c>
      <c r="F39" s="31" t="inlineStr"/>
    </row>
    <row r="40">
      <c r="A40" t="inlineStr">
        <is>
          <t>Beta (levered)</t>
        </is>
      </c>
      <c r="B40" t="inlineStr">
        <is>
          <t>B40</t>
        </is>
      </c>
      <c r="C40" s="32">
        <f>Dashboard!B40</f>
        <v/>
      </c>
      <c r="D40" t="inlineStr">
        <is>
          <t>Opus</t>
        </is>
      </c>
      <c r="E40" t="inlineStr">
        <is>
          <t>1.267</t>
        </is>
      </c>
      <c r="F40" s="31" t="inlineStr"/>
    </row>
    <row r="41">
      <c r="A41" t="inlineStr">
        <is>
          <t>Pre-tax cost of debt</t>
        </is>
      </c>
      <c r="B41" t="inlineStr">
        <is>
          <t>B41</t>
        </is>
      </c>
      <c r="C41" s="11">
        <f>Dashboard!B41</f>
        <v/>
      </c>
      <c r="D41" t="inlineStr">
        <is>
          <t>Opus</t>
        </is>
      </c>
      <c r="E41" t="inlineStr">
        <is>
          <t>4.5%</t>
        </is>
      </c>
      <c r="F41" s="31" t="inlineStr"/>
    </row>
    <row r="42">
      <c r="A42" t="inlineStr">
        <is>
          <t>Terminal method</t>
        </is>
      </c>
      <c r="B42" t="inlineStr">
        <is>
          <t>B43</t>
        </is>
      </c>
      <c r="C42" s="12">
        <f>Dashboard!B43</f>
        <v/>
      </c>
      <c r="D42" t="inlineStr">
        <is>
          <t>Opus</t>
        </is>
      </c>
      <c r="E42" t="inlineStr">
        <is>
          <t>Exit multiple</t>
        </is>
      </c>
      <c r="F42" s="31" t="inlineStr"/>
    </row>
    <row r="43">
      <c r="A43" t="inlineStr">
        <is>
          <t>Exit basis</t>
        </is>
      </c>
      <c r="B43" t="inlineStr">
        <is>
          <t>B44</t>
        </is>
      </c>
      <c r="C43" s="12">
        <f>Dashboard!B44</f>
        <v/>
      </c>
      <c r="D43" t="inlineStr">
        <is>
          <t>Opus</t>
        </is>
      </c>
      <c r="E43" t="inlineStr">
        <is>
          <t>EV/EBIT</t>
        </is>
      </c>
      <c r="F43" s="31" t="inlineStr"/>
    </row>
    <row r="44">
      <c r="A44" t="inlineStr">
        <is>
          <t>Exit multiple</t>
        </is>
      </c>
      <c r="B44" t="inlineStr">
        <is>
          <t>B45</t>
        </is>
      </c>
      <c r="C44" s="13">
        <f>Dashboard!B45</f>
        <v/>
      </c>
      <c r="D44" t="inlineStr">
        <is>
          <t>Opus</t>
        </is>
      </c>
      <c r="E44" t="inlineStr">
        <is>
          <t>16.0x</t>
        </is>
      </c>
      <c r="F44" s="31" t="inlineStr"/>
    </row>
    <row r="45">
      <c r="A45" t="inlineStr">
        <is>
          <t>Terminal growth (g)</t>
        </is>
      </c>
      <c r="B45" t="inlineStr">
        <is>
          <t>B46</t>
        </is>
      </c>
      <c r="C45" s="11">
        <f>Dashboard!B46</f>
        <v/>
      </c>
      <c r="D45" t="inlineStr">
        <is>
          <t>Opus</t>
        </is>
      </c>
      <c r="E45" t="inlineStr">
        <is>
          <t>4.0%</t>
        </is>
      </c>
      <c r="F45" s="31" t="inlineStr"/>
    </row>
    <row r="46">
      <c r="A46" t="inlineStr">
        <is>
          <t>2026 capex ($M)</t>
        </is>
      </c>
      <c r="B46" t="inlineStr">
        <is>
          <t>B34</t>
        </is>
      </c>
      <c r="C46" s="33">
        <f>Dashboard!B34</f>
        <v/>
      </c>
      <c r="D46" t="inlineStr">
        <is>
          <t>Opus</t>
        </is>
      </c>
      <c r="E46" t="inlineStr">
        <is>
          <t>—</t>
        </is>
      </c>
      <c r="F46" s="31" t="inlineStr">
        <is>
          <t>set from Opus 21% of FY1E revenue; edits not tracked (unit differs from the JSON)</t>
        </is>
      </c>
    </row>
    <row r="47">
      <c r="A47" t="inlineStr">
        <is>
          <t>Bull Δ — segment growth, near-term</t>
        </is>
      </c>
      <c r="B47" t="inlineStr">
        <is>
          <t>C52</t>
        </is>
      </c>
      <c r="C47" s="34">
        <f>Dashboard!C52</f>
        <v/>
      </c>
      <c r="D47" t="inlineStr">
        <is>
          <t>seed default</t>
        </is>
      </c>
      <c r="E47" t="inlineStr">
        <is>
          <t>3.0%</t>
        </is>
      </c>
      <c r="F47" s="31" t="inlineStr"/>
    </row>
    <row r="48">
      <c r="A48" t="inlineStr">
        <is>
          <t>Bear Δ — segment growth, near-term</t>
        </is>
      </c>
      <c r="B48" t="inlineStr">
        <is>
          <t>D52</t>
        </is>
      </c>
      <c r="C48" s="34">
        <f>Dashboard!D52</f>
        <v/>
      </c>
      <c r="D48" t="inlineStr">
        <is>
          <t>seed default</t>
        </is>
      </c>
      <c r="E48" t="inlineStr">
        <is>
          <t>-3.0%</t>
        </is>
      </c>
      <c r="F48" s="31" t="inlineStr"/>
    </row>
    <row r="49">
      <c r="A49" t="inlineStr">
        <is>
          <t>Bull Δ — segment growth, terminal</t>
        </is>
      </c>
      <c r="B49" t="inlineStr">
        <is>
          <t>C53</t>
        </is>
      </c>
      <c r="C49" s="34">
        <f>Dashboard!C53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segment growth, terminal</t>
        </is>
      </c>
      <c r="B50" t="inlineStr">
        <is>
          <t>D53</t>
        </is>
      </c>
      <c r="C50" s="34">
        <f>Dashboard!D53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near-term</t>
        </is>
      </c>
      <c r="B51" t="inlineStr">
        <is>
          <t>C54</t>
        </is>
      </c>
      <c r="C51" s="34">
        <f>Dashboard!C54</f>
        <v/>
      </c>
      <c r="D51" t="inlineStr">
        <is>
          <t>seed default</t>
        </is>
      </c>
      <c r="E51" t="inlineStr">
        <is>
          <t>1.0%</t>
        </is>
      </c>
      <c r="F51" s="31" t="inlineStr"/>
    </row>
    <row r="52">
      <c r="A52" t="inlineStr">
        <is>
          <t>Bear Δ — operating margin, near-term</t>
        </is>
      </c>
      <c r="B52" t="inlineStr">
        <is>
          <t>D54</t>
        </is>
      </c>
      <c r="C52" s="34">
        <f>Dashboard!D54</f>
        <v/>
      </c>
      <c r="D52" t="inlineStr">
        <is>
          <t>seed default</t>
        </is>
      </c>
      <c r="E52" t="inlineStr">
        <is>
          <t>-1.0%</t>
        </is>
      </c>
      <c r="F52" s="31" t="inlineStr"/>
    </row>
    <row r="53">
      <c r="A53" t="inlineStr">
        <is>
          <t>Bull Δ — operating margin, terminal</t>
        </is>
      </c>
      <c r="B53" t="inlineStr">
        <is>
          <t>C55</t>
        </is>
      </c>
      <c r="C53" s="34">
        <f>Dashboard!C55</f>
        <v/>
      </c>
      <c r="D53" t="inlineStr">
        <is>
          <t>seed default</t>
        </is>
      </c>
      <c r="E53" t="inlineStr">
        <is>
          <t>2.0%</t>
        </is>
      </c>
      <c r="F53" s="31" t="inlineStr"/>
    </row>
    <row r="54">
      <c r="A54" t="inlineStr">
        <is>
          <t>Bear Δ — operating margin, terminal</t>
        </is>
      </c>
      <c r="B54" t="inlineStr">
        <is>
          <t>D55</t>
        </is>
      </c>
      <c r="C54" s="34">
        <f>Dashboard!D55</f>
        <v/>
      </c>
      <c r="D54" t="inlineStr">
        <is>
          <t>seed default</t>
        </is>
      </c>
      <c r="E54" t="inlineStr">
        <is>
          <t>-2.0%</t>
        </is>
      </c>
      <c r="F54" s="31" t="inlineStr"/>
    </row>
    <row r="55">
      <c r="A55" t="inlineStr">
        <is>
          <t>Bull Δ — exit multiple</t>
        </is>
      </c>
      <c r="B55" t="inlineStr">
        <is>
          <t>C56</t>
        </is>
      </c>
      <c r="C55" s="35">
        <f>Dashboard!C56</f>
        <v/>
      </c>
      <c r="D55" t="inlineStr">
        <is>
          <t>seed default</t>
        </is>
      </c>
      <c r="E55" t="inlineStr">
        <is>
          <t>2.0x</t>
        </is>
      </c>
      <c r="F55" s="31" t="inlineStr"/>
    </row>
    <row r="56">
      <c r="A56" t="inlineStr">
        <is>
          <t>Bear Δ — exit multiple</t>
        </is>
      </c>
      <c r="B56" t="inlineStr">
        <is>
          <t>D56</t>
        </is>
      </c>
      <c r="C56" s="35">
        <f>Dashboard!D56</f>
        <v/>
      </c>
      <c r="D56" t="inlineStr">
        <is>
          <t>seed default</t>
        </is>
      </c>
      <c r="E56" t="inlineStr">
        <is>
          <t>-2.0x</t>
        </is>
      </c>
      <c r="F56" s="31" t="inlineStr"/>
    </row>
    <row r="57">
      <c r="A57" t="inlineStr">
        <is>
          <t>Bull Δ — terminal growth (g)</t>
        </is>
      </c>
      <c r="B57" t="inlineStr">
        <is>
          <t>C57</t>
        </is>
      </c>
      <c r="C57" s="34">
        <f>Dashboard!C57</f>
        <v/>
      </c>
      <c r="D57" t="inlineStr">
        <is>
          <t>seed default</t>
        </is>
      </c>
      <c r="E57" t="inlineStr">
        <is>
          <t>0.5%</t>
        </is>
      </c>
      <c r="F57" s="31" t="inlineStr"/>
    </row>
    <row r="58">
      <c r="A58" t="inlineStr">
        <is>
          <t>Bear Δ — terminal growth (g)</t>
        </is>
      </c>
      <c r="B58" t="inlineStr">
        <is>
          <t>D57</t>
        </is>
      </c>
      <c r="C58" s="34">
        <f>Dashboard!D57</f>
        <v/>
      </c>
      <c r="D58" t="inlineStr">
        <is>
          <t>seed default</t>
        </is>
      </c>
      <c r="E58" t="inlineStr">
        <is>
          <t>-0.5%</t>
        </is>
      </c>
      <c r="F5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Financials!AC59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Google Search &amp; Other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Google Cloud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Subscriptions, Platforms, And Devices Revenue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YouTube Advertising Revenue</t>
        </is>
      </c>
      <c r="B10" s="33">
        <f>SUM(Financials!I28:L28)</f>
        <v/>
      </c>
      <c r="C10" s="33">
        <f>SUM(Financials!M28:P28)</f>
        <v/>
      </c>
      <c r="D10" s="33">
        <f>SUM(Financials!Q28:T28)</f>
        <v/>
      </c>
      <c r="E10" s="33">
        <f>SUM(Financials!U28:X28)</f>
        <v/>
      </c>
      <c r="F10" s="33">
        <f>SUM(Financials!Y28:AB28)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Google Network</t>
        </is>
      </c>
      <c r="B12" s="33">
        <f>SUM(Financials!I31:L31)</f>
        <v/>
      </c>
      <c r="C12" s="33">
        <f>SUM(Financials!M31:P31)</f>
        <v/>
      </c>
      <c r="D12" s="33">
        <f>SUM(Financials!Q31:T31)</f>
        <v/>
      </c>
      <c r="E12" s="33">
        <f>SUM(Financials!U31:X31)</f>
        <v/>
      </c>
      <c r="F12" s="33">
        <f>SUM(Financials!Y31:AB31)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Other Bets</t>
        </is>
      </c>
      <c r="B14" s="33">
        <f>SUM(Financials!I34:L34)</f>
        <v/>
      </c>
      <c r="C14" s="33">
        <f>SUM(Financials!M34:P34)</f>
        <v/>
      </c>
      <c r="D14" s="33">
        <f>SUM(Financials!Q34:T34)</f>
        <v/>
      </c>
      <c r="E14" s="33">
        <f>SUM(Financials!U34:X34)</f>
        <v/>
      </c>
      <c r="F14" s="33">
        <f>SUM(Financials!Y34:AB34)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4" t="inlineStr">
        <is>
          <t>Other Segments</t>
        </is>
      </c>
      <c r="B16" s="33">
        <f>SUM(Financials!I37:L37)</f>
        <v/>
      </c>
      <c r="C16" s="33">
        <f>SUM(Financials!M37:P37)</f>
        <v/>
      </c>
      <c r="D16" s="33">
        <f>SUM(Financials!Q37:T37)</f>
        <v/>
      </c>
      <c r="E16" s="33">
        <f>SUM(Financials!U37:X37)</f>
        <v/>
      </c>
      <c r="F16" s="33">
        <f>SUM(Financials!Y37:AB37)</f>
        <v/>
      </c>
      <c r="G16" s="41">
        <f>F16*(1+G17)</f>
        <v/>
      </c>
      <c r="H16" s="41">
        <f>G16*(1+H17)</f>
        <v/>
      </c>
      <c r="I16" s="41">
        <f>H16*(1+I17)</f>
        <v/>
      </c>
      <c r="J16" s="41">
        <f>I16*(1+J17)</f>
        <v/>
      </c>
      <c r="K16" s="41">
        <f>J16*(1+K17)</f>
        <v/>
      </c>
      <c r="L16" s="41">
        <f>K16*(1+L17)</f>
        <v/>
      </c>
      <c r="M16" s="41">
        <f>L16*(1+M17)</f>
        <v/>
      </c>
      <c r="N16" s="41">
        <f>M16*(1+N17)</f>
        <v/>
      </c>
      <c r="O16" s="41">
        <f>N16*(1+O17)</f>
        <v/>
      </c>
      <c r="P16" s="41">
        <f>O16*(1+P17)</f>
        <v/>
      </c>
    </row>
    <row r="17">
      <c r="A17" s="4" t="inlineStr">
        <is>
          <t xml:space="preserve">    growth % (convex fade; curvature from Dashboard)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11">
        <f>Dashboard!$C$26+(Dashboard!$B$26-Dashboard!$C$26)*((9-0)/9)^Dashboard!$B$49</f>
        <v/>
      </c>
      <c r="H17" s="11">
        <f>Dashboard!$C$26+(Dashboard!$B$26-Dashboard!$C$26)*((9-1)/9)^Dashboard!$B$49</f>
        <v/>
      </c>
      <c r="I17" s="11">
        <f>Dashboard!$C$26+(Dashboard!$B$26-Dashboard!$C$26)*((9-2)/9)^Dashboard!$B$49</f>
        <v/>
      </c>
      <c r="J17" s="11">
        <f>Dashboard!$C$26+(Dashboard!$B$26-Dashboard!$C$26)*((9-3)/9)^Dashboard!$B$49</f>
        <v/>
      </c>
      <c r="K17" s="11">
        <f>Dashboard!$C$26+(Dashboard!$B$26-Dashboard!$C$26)*((9-4)/9)^Dashboard!$B$49</f>
        <v/>
      </c>
      <c r="L17" s="11">
        <f>Dashboard!$C$26+(Dashboard!$B$26-Dashboard!$C$26)*((9-5)/9)^Dashboard!$B$49</f>
        <v/>
      </c>
      <c r="M17" s="11">
        <f>Dashboard!$C$26+(Dashboard!$B$26-Dashboard!$C$26)*((9-6)/9)^Dashboard!$B$49</f>
        <v/>
      </c>
      <c r="N17" s="11">
        <f>Dashboard!$C$26+(Dashboard!$B$26-Dashboard!$C$26)*((9-7)/9)^Dashboard!$B$49</f>
        <v/>
      </c>
      <c r="O17" s="11">
        <f>Dashboard!$C$26+(Dashboard!$B$26-Dashboard!$C$26)*((9-8)/9)^Dashboard!$B$49</f>
        <v/>
      </c>
      <c r="P17" s="11">
        <f>Dashboard!$C$26+(Dashboard!$B$26-Dashboard!$C$26)*((9-9)/9)^Dashboard!$B$49</f>
        <v/>
      </c>
    </row>
    <row r="18">
      <c r="A18" s="3" t="inlineStr">
        <is>
          <t>Total revenue</t>
        </is>
      </c>
      <c r="B18" s="42">
        <f>B4+B6+B8+B10+B12+B14+B16</f>
        <v/>
      </c>
      <c r="C18" s="42">
        <f>C4+C6+C8+C10+C12+C14+C16</f>
        <v/>
      </c>
      <c r="D18" s="42">
        <f>D4+D6+D8+D10+D12+D14+D16</f>
        <v/>
      </c>
      <c r="E18" s="42">
        <f>E4+E6+E8+E10+E12+E14+E16</f>
        <v/>
      </c>
      <c r="F18" s="42">
        <f>F4+F6+F8+F10+F12+F14+F16</f>
        <v/>
      </c>
      <c r="G18" s="42">
        <f>G4+G6+G8+G10+G12+G14+G16</f>
        <v/>
      </c>
      <c r="H18" s="42">
        <f>H4+H6+H8+H10+H12+H14+H16</f>
        <v/>
      </c>
      <c r="I18" s="42">
        <f>I4+I6+I8+I10+I12+I14+I16</f>
        <v/>
      </c>
      <c r="J18" s="42">
        <f>J4+J6+J8+J10+J12+J14+J16</f>
        <v/>
      </c>
      <c r="K18" s="42">
        <f>K4+K6+K8+K10+K12+K14+K16</f>
        <v/>
      </c>
      <c r="L18" s="42">
        <f>L4+L6+L8+L10+L12+L14+L16</f>
        <v/>
      </c>
      <c r="M18" s="42">
        <f>M4+M6+M8+M10+M12+M14+M16</f>
        <v/>
      </c>
      <c r="N18" s="42">
        <f>N4+N6+N8+N10+N12+N14+N16</f>
        <v/>
      </c>
      <c r="O18" s="42">
        <f>O4+O6+O8+O10+O12+O14+O16</f>
        <v/>
      </c>
      <c r="P18" s="42">
        <f>P4+P6+P8+P10+P12+P14+P16</f>
        <v/>
      </c>
    </row>
    <row r="19">
      <c r="A19" s="4" t="inlineStr">
        <is>
          <t xml:space="preserve">    growth %</t>
        </is>
      </c>
      <c r="C19" s="25">
        <f>IFERROR(C18/B18-1,"")</f>
        <v/>
      </c>
      <c r="D19" s="25">
        <f>IFERROR(D18/C18-1,"")</f>
        <v/>
      </c>
      <c r="E19" s="25">
        <f>IFERROR(E18/D18-1,"")</f>
        <v/>
      </c>
      <c r="F19" s="25">
        <f>IFERROR(F18/E18-1,"")</f>
        <v/>
      </c>
      <c r="G19" s="25">
        <f>IFERROR(G18/F18-1,"")</f>
        <v/>
      </c>
      <c r="H19" s="25">
        <f>IFERROR(H18/G18-1,"")</f>
        <v/>
      </c>
      <c r="I19" s="25">
        <f>IFERROR(I18/H18-1,"")</f>
        <v/>
      </c>
      <c r="J19" s="25">
        <f>IFERROR(J18/I18-1,"")</f>
        <v/>
      </c>
      <c r="K19" s="25">
        <f>IFERROR(K18/J18-1,"")</f>
        <v/>
      </c>
      <c r="L19" s="25">
        <f>IFERROR(L18/K18-1,"")</f>
        <v/>
      </c>
      <c r="M19" s="25">
        <f>IFERROR(M18/L18-1,"")</f>
        <v/>
      </c>
      <c r="N19" s="25">
        <f>IFERROR(N18/M18-1,"")</f>
        <v/>
      </c>
      <c r="O19" s="25">
        <f>IFERROR(O18/N18-1,"")</f>
        <v/>
      </c>
      <c r="P19" s="25">
        <f>IFERROR(P18/O18-1,"")</f>
        <v/>
      </c>
    </row>
    <row r="21">
      <c r="A21" s="5" t="inlineStr">
        <is>
          <t xml:space="preserve">  COST STRUCTURE (yellow = % of revenue)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4" t="inlineStr">
        <is>
          <t>Cost of revenue</t>
        </is>
      </c>
      <c r="B22" s="33">
        <f>SUM(Financials!I5:L5)</f>
        <v/>
      </c>
      <c r="C22" s="33">
        <f>SUM(Financials!M5:P5)</f>
        <v/>
      </c>
      <c r="D22" s="33">
        <f>SUM(Financials!Q5:T5)</f>
        <v/>
      </c>
      <c r="E22" s="33">
        <f>SUM(Financials!U5:X5)</f>
        <v/>
      </c>
      <c r="F22" s="33">
        <f>SUM(Financials!Y5:AB5)</f>
        <v/>
      </c>
      <c r="G22" s="41">
        <f>G18*G23</f>
        <v/>
      </c>
      <c r="H22" s="41">
        <f>H18*H23</f>
        <v/>
      </c>
      <c r="I22" s="41">
        <f>I18*I23</f>
        <v/>
      </c>
      <c r="J22" s="41">
        <f>J18*J23</f>
        <v/>
      </c>
      <c r="K22" s="41">
        <f>K18*K23</f>
        <v/>
      </c>
      <c r="L22" s="41">
        <f>L18*L23</f>
        <v/>
      </c>
      <c r="M22" s="41">
        <f>M18*M23</f>
        <v/>
      </c>
      <c r="N22" s="41">
        <f>N18*N23</f>
        <v/>
      </c>
      <c r="O22" s="41">
        <f>O18*O23</f>
        <v/>
      </c>
      <c r="P22" s="41">
        <f>P18*P23</f>
        <v/>
      </c>
    </row>
    <row r="23">
      <c r="A23" s="4" t="inlineStr">
        <is>
          <t xml:space="preserve">    % of revenue</t>
        </is>
      </c>
      <c r="B23" s="25">
        <f>IFERROR(B22/B18,"")</f>
        <v/>
      </c>
      <c r="C23" s="25">
        <f>IFERROR(C22/C18,"")</f>
        <v/>
      </c>
      <c r="D23" s="25">
        <f>IFERROR(D22/D18,"")</f>
        <v/>
      </c>
      <c r="E23" s="25">
        <f>IFERROR(E22/E18,"")</f>
        <v/>
      </c>
      <c r="F23" s="25">
        <f>IFERROR(F22/F18,"")</f>
        <v/>
      </c>
      <c r="G23" s="15" t="n">
        <v>0.403408752457161</v>
      </c>
      <c r="H23" s="15" t="n">
        <v>0.403408752457161</v>
      </c>
      <c r="I23" s="15" t="n">
        <v>0.403408752457161</v>
      </c>
      <c r="J23" s="15" t="n">
        <v>0.403408752457161</v>
      </c>
      <c r="K23" s="15" t="n">
        <v>0.403408752457161</v>
      </c>
      <c r="L23" s="15" t="n">
        <v>0.403408752457161</v>
      </c>
      <c r="M23" s="15" t="n">
        <v>0.403408752457161</v>
      </c>
      <c r="N23" s="15" t="n">
        <v>0.403408752457161</v>
      </c>
      <c r="O23" s="15" t="n">
        <v>0.403408752457161</v>
      </c>
      <c r="P23" s="15" t="n">
        <v>0.403408752457161</v>
      </c>
    </row>
    <row r="24">
      <c r="A24" s="4" t="inlineStr">
        <is>
          <t>R&amp;D / Technology</t>
        </is>
      </c>
      <c r="B24" s="33">
        <f>SUM(Financials!I7:L7)</f>
        <v/>
      </c>
      <c r="C24" s="33">
        <f>SUM(Financials!M7:P7)</f>
        <v/>
      </c>
      <c r="D24" s="33">
        <f>SUM(Financials!Q7:T7)</f>
        <v/>
      </c>
      <c r="E24" s="33">
        <f>SUM(Financials!U7:X7)</f>
        <v/>
      </c>
      <c r="F24" s="33">
        <f>SUM(Financials!Y7:AB7)</f>
        <v/>
      </c>
      <c r="G24" s="41">
        <f>G18*G25</f>
        <v/>
      </c>
      <c r="H24" s="41">
        <f>H18*H25</f>
        <v/>
      </c>
      <c r="I24" s="41">
        <f>I18*I25</f>
        <v/>
      </c>
      <c r="J24" s="41">
        <f>J18*J25</f>
        <v/>
      </c>
      <c r="K24" s="41">
        <f>K18*K25</f>
        <v/>
      </c>
      <c r="L24" s="41">
        <f>L18*L25</f>
        <v/>
      </c>
      <c r="M24" s="41">
        <f>M18*M25</f>
        <v/>
      </c>
      <c r="N24" s="41">
        <f>N18*N25</f>
        <v/>
      </c>
      <c r="O24" s="41">
        <f>O18*O25</f>
        <v/>
      </c>
      <c r="P24" s="41">
        <f>P18*P25</f>
        <v/>
      </c>
    </row>
    <row r="25">
      <c r="A25" s="4" t="inlineStr">
        <is>
          <t xml:space="preserve">    % of revenue</t>
        </is>
      </c>
      <c r="B25" s="25">
        <f>IFERROR(B24/B18,"")</f>
        <v/>
      </c>
      <c r="C25" s="25">
        <f>IFERROR(C24/C18,"")</f>
        <v/>
      </c>
      <c r="D25" s="25">
        <f>IFERROR(D24/D18,"")</f>
        <v/>
      </c>
      <c r="E25" s="25">
        <f>IFERROR(E24/E18,"")</f>
        <v/>
      </c>
      <c r="F25" s="25">
        <f>IFERROR(F24/F18,"")</f>
        <v/>
      </c>
      <c r="G25" s="15" t="n">
        <v>0.1516167623056609</v>
      </c>
      <c r="H25" s="15" t="n">
        <v>0.1516167623056609</v>
      </c>
      <c r="I25" s="15" t="n">
        <v>0.1516167623056609</v>
      </c>
      <c r="J25" s="15" t="n">
        <v>0.1516167623056609</v>
      </c>
      <c r="K25" s="15" t="n">
        <v>0.1516167623056609</v>
      </c>
      <c r="L25" s="15" t="n">
        <v>0.1516167623056609</v>
      </c>
      <c r="M25" s="15" t="n">
        <v>0.1516167623056609</v>
      </c>
      <c r="N25" s="15" t="n">
        <v>0.1516167623056609</v>
      </c>
      <c r="O25" s="15" t="n">
        <v>0.1516167623056609</v>
      </c>
      <c r="P25" s="15" t="n">
        <v>0.1516167623056609</v>
      </c>
    </row>
    <row r="26">
      <c r="A26" s="4" t="inlineStr">
        <is>
          <t>SG&amp;A</t>
        </is>
      </c>
      <c r="B26" s="33">
        <f>SUM(Financials!I9:L9)</f>
        <v/>
      </c>
      <c r="C26" s="33">
        <f>SUM(Financials!M9:P9)</f>
        <v/>
      </c>
      <c r="D26" s="33">
        <f>SUM(Financials!Q9:T9)</f>
        <v/>
      </c>
      <c r="E26" s="33">
        <f>SUM(Financials!U9:X9)</f>
        <v/>
      </c>
      <c r="F26" s="33">
        <f>SUM(Financials!Y9:AB9)</f>
        <v/>
      </c>
      <c r="G26" s="41">
        <f>G18*G27</f>
        <v/>
      </c>
      <c r="H26" s="41">
        <f>H18*H27</f>
        <v/>
      </c>
      <c r="I26" s="41">
        <f>I18*I27</f>
        <v/>
      </c>
      <c r="J26" s="41">
        <f>J18*J27</f>
        <v/>
      </c>
      <c r="K26" s="41">
        <f>K18*K27</f>
        <v/>
      </c>
      <c r="L26" s="41">
        <f>L18*L27</f>
        <v/>
      </c>
      <c r="M26" s="41">
        <f>M18*M27</f>
        <v/>
      </c>
      <c r="N26" s="41">
        <f>N18*N27</f>
        <v/>
      </c>
      <c r="O26" s="41">
        <f>O18*O27</f>
        <v/>
      </c>
      <c r="P26" s="41">
        <f>P18*P27</f>
        <v/>
      </c>
    </row>
    <row r="27">
      <c r="A27" s="4" t="inlineStr">
        <is>
          <t xml:space="preserve">    % of revenue</t>
        </is>
      </c>
      <c r="B27" s="25">
        <f>IFERROR(B26/B18,"")</f>
        <v/>
      </c>
      <c r="C27" s="25">
        <f>IFERROR(C26/C18,"")</f>
        <v/>
      </c>
      <c r="D27" s="25">
        <f>IFERROR(D26/D18,"")</f>
        <v/>
      </c>
      <c r="E27" s="25">
        <f>IFERROR(E26/E18,"")</f>
        <v/>
      </c>
      <c r="F27" s="25">
        <f>IFERROR(F26/F18,"")</f>
        <v/>
      </c>
      <c r="G27" s="15" t="n">
        <v>0.1245333876059806</v>
      </c>
      <c r="H27" s="15" t="n">
        <v>0.1245333876059806</v>
      </c>
      <c r="I27" s="15" t="n">
        <v>0.1245333876059806</v>
      </c>
      <c r="J27" s="15" t="n">
        <v>0.1245333876059806</v>
      </c>
      <c r="K27" s="15" t="n">
        <v>0.1245333876059806</v>
      </c>
      <c r="L27" s="15" t="n">
        <v>0.1245333876059806</v>
      </c>
      <c r="M27" s="15" t="n">
        <v>0.1245333876059806</v>
      </c>
      <c r="N27" s="15" t="n">
        <v>0.1245333876059806</v>
      </c>
      <c r="O27" s="15" t="n">
        <v>0.1245333876059806</v>
      </c>
      <c r="P27" s="15" t="n">
        <v>0.1245333876059806</v>
      </c>
    </row>
    <row r="28">
      <c r="A28" s="4" t="inlineStr">
        <is>
          <t>Other opex (fulfilment, etc.)</t>
        </is>
      </c>
      <c r="B28" s="33">
        <f>B18-(B22+B24+B26)-SUM(Financials!I13:L13)</f>
        <v/>
      </c>
      <c r="C28" s="33">
        <f>C18-(C22+C24+C26)-SUM(Financials!M13:P13)</f>
        <v/>
      </c>
      <c r="D28" s="33">
        <f>D18-(D22+D24+D26)-SUM(Financials!Q13:T13)</f>
        <v/>
      </c>
      <c r="E28" s="33">
        <f>E18-(E22+E24+E26)-SUM(Financials!U13:X13)</f>
        <v/>
      </c>
      <c r="F28" s="33">
        <f>F18-(F22+F24+F26)-SUM(Financials!Y13:AB13)</f>
        <v/>
      </c>
      <c r="G28" s="33">
        <f>G18*(1-(Dashboard!$B$29+(Dashboard!$B$30-Dashboard!$B$29)*MIN(1,0/4)))-(G22+G24+G26)</f>
        <v/>
      </c>
      <c r="H28" s="33">
        <f>H18*(1-(Dashboard!$B$29+(Dashboard!$B$30-Dashboard!$B$29)*MIN(1,1/4)))-(H22+H24+H26)</f>
        <v/>
      </c>
      <c r="I28" s="33">
        <f>I18*(1-(Dashboard!$B$29+(Dashboard!$B$30-Dashboard!$B$29)*MIN(1,2/4)))-(I22+I24+I26)</f>
        <v/>
      </c>
      <c r="J28" s="33">
        <f>J18*(1-(Dashboard!$B$29+(Dashboard!$B$30-Dashboard!$B$29)*MIN(1,3/4)))-(J22+J24+J26)</f>
        <v/>
      </c>
      <c r="K28" s="33">
        <f>K18*(1-(Dashboard!$B$29+(Dashboard!$B$30-Dashboard!$B$29)*MIN(1,4/4)))-(K22+K24+K26)</f>
        <v/>
      </c>
      <c r="L28" s="33">
        <f>L18*(1-(Dashboard!$B$29+(Dashboard!$B$30-Dashboard!$B$29)*MIN(1,5/4)))-(L22+L24+L26)</f>
        <v/>
      </c>
      <c r="M28" s="33">
        <f>M18*(1-(Dashboard!$B$29+(Dashboard!$B$30-Dashboard!$B$29)*MIN(1,6/4)))-(M22+M24+M26)</f>
        <v/>
      </c>
      <c r="N28" s="33">
        <f>N18*(1-(Dashboard!$B$29+(Dashboard!$B$30-Dashboard!$B$29)*MIN(1,7/4)))-(N22+N24+N26)</f>
        <v/>
      </c>
      <c r="O28" s="33">
        <f>O18*(1-(Dashboard!$B$29+(Dashboard!$B$30-Dashboard!$B$29)*MIN(1,8/4)))-(O22+O24+O26)</f>
        <v/>
      </c>
      <c r="P28" s="33">
        <f>P18*(1-(Dashboard!$B$29+(Dashboard!$B$30-Dashboard!$B$29)*MIN(1,9/4)))-(P22+P24+P26)</f>
        <v/>
      </c>
    </row>
    <row r="29">
      <c r="A29" s="4" t="inlineStr">
        <is>
          <t xml:space="preserve">    % of revenue</t>
        </is>
      </c>
      <c r="B29" s="25">
        <f>IFERROR(B28/B18,"")</f>
        <v/>
      </c>
      <c r="C29" s="25">
        <f>IFERROR(C28/C18,"")</f>
        <v/>
      </c>
      <c r="D29" s="25">
        <f>IFERROR(D28/D18,"")</f>
        <v/>
      </c>
      <c r="E29" s="25">
        <f>IFERROR(E28/E18,"")</f>
        <v/>
      </c>
      <c r="F29" s="25">
        <f>IFERROR(F28/F18,"")</f>
        <v/>
      </c>
      <c r="G29" s="25">
        <f>IFERROR(G28/G18,"")</f>
        <v/>
      </c>
      <c r="H29" s="25">
        <f>IFERROR(H28/H18,"")</f>
        <v/>
      </c>
      <c r="I29" s="25">
        <f>IFERROR(I28/I18,"")</f>
        <v/>
      </c>
      <c r="J29" s="25">
        <f>IFERROR(J28/J18,"")</f>
        <v/>
      </c>
      <c r="K29" s="25">
        <f>IFERROR(K28/K18,"")</f>
        <v/>
      </c>
      <c r="L29" s="25">
        <f>IFERROR(L28/L18,"")</f>
        <v/>
      </c>
      <c r="M29" s="25">
        <f>IFERROR(M28/M18,"")</f>
        <v/>
      </c>
      <c r="N29" s="25">
        <f>IFERROR(N28/N18,"")</f>
        <v/>
      </c>
      <c r="O29" s="25">
        <f>IFERROR(O28/O18,"")</f>
        <v/>
      </c>
      <c r="P29" s="25">
        <f>IFERROR(P28/P18,"")</f>
        <v/>
      </c>
    </row>
    <row r="31">
      <c r="A31" s="3" t="inlineStr">
        <is>
          <t>Operating income (EBIT)</t>
        </is>
      </c>
      <c r="B31" s="42">
        <f>B18-(B22+B24+B26)-B28</f>
        <v/>
      </c>
      <c r="C31" s="42">
        <f>C18-(C22+C24+C26)-C28</f>
        <v/>
      </c>
      <c r="D31" s="42">
        <f>D18-(D22+D24+D26)-D28</f>
        <v/>
      </c>
      <c r="E31" s="42">
        <f>E18-(E22+E24+E26)-E28</f>
        <v/>
      </c>
      <c r="F31" s="42">
        <f>F18-(F22+F24+F26)-F28</f>
        <v/>
      </c>
      <c r="G31" s="42">
        <f>G18-(G22+G24+G26)-G28</f>
        <v/>
      </c>
      <c r="H31" s="42">
        <f>H18-(H22+H24+H26)-H28</f>
        <v/>
      </c>
      <c r="I31" s="42">
        <f>I18-(I22+I24+I26)-I28</f>
        <v/>
      </c>
      <c r="J31" s="42">
        <f>J18-(J22+J24+J26)-J28</f>
        <v/>
      </c>
      <c r="K31" s="42">
        <f>K18-(K22+K24+K26)-K28</f>
        <v/>
      </c>
      <c r="L31" s="42">
        <f>L18-(L22+L24+L26)-L28</f>
        <v/>
      </c>
      <c r="M31" s="42">
        <f>M18-(M22+M24+M26)-M28</f>
        <v/>
      </c>
      <c r="N31" s="42">
        <f>N18-(N22+N24+N26)-N28</f>
        <v/>
      </c>
      <c r="O31" s="42">
        <f>O18-(O22+O24+O26)-O28</f>
        <v/>
      </c>
      <c r="P31" s="42">
        <f>P18-(P22+P24+P26)-P28</f>
        <v/>
      </c>
    </row>
    <row r="32">
      <c r="A32" s="4" t="inlineStr">
        <is>
          <t xml:space="preserve">    operating margin</t>
        </is>
      </c>
      <c r="B32" s="25">
        <f>IFERROR(B31/B18,"")</f>
        <v/>
      </c>
      <c r="C32" s="25">
        <f>IFERROR(C31/C18,"")</f>
        <v/>
      </c>
      <c r="D32" s="25">
        <f>IFERROR(D31/D18,"")</f>
        <v/>
      </c>
      <c r="E32" s="25">
        <f>IFERROR(E31/E18,"")</f>
        <v/>
      </c>
      <c r="F32" s="25">
        <f>IFERROR(F31/F18,"")</f>
        <v/>
      </c>
      <c r="G32" s="25">
        <f>IFERROR(G31/G18,"")</f>
        <v/>
      </c>
      <c r="H32" s="25">
        <f>IFERROR(H31/H18,"")</f>
        <v/>
      </c>
      <c r="I32" s="25">
        <f>IFERROR(I31/I18,"")</f>
        <v/>
      </c>
      <c r="J32" s="25">
        <f>IFERROR(J31/J18,"")</f>
        <v/>
      </c>
      <c r="K32" s="25">
        <f>IFERROR(K31/K18,"")</f>
        <v/>
      </c>
      <c r="L32" s="25">
        <f>IFERROR(L31/L18,"")</f>
        <v/>
      </c>
      <c r="M32" s="25">
        <f>IFERROR(M31/M18,"")</f>
        <v/>
      </c>
      <c r="N32" s="25">
        <f>IFERROR(N31/N18,"")</f>
        <v/>
      </c>
      <c r="O32" s="25">
        <f>IFERROR(O31/O18,"")</f>
        <v/>
      </c>
      <c r="P32" s="25">
        <f>IFERROR(P31/P18,"")</f>
        <v/>
      </c>
    </row>
    <row r="34">
      <c r="A34" s="5" t="inlineStr">
        <is>
          <t xml:space="preserve">  FCF BRIDGE (NOPAT + D&amp;A + SBC - dNWC - Capex)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4" t="inlineStr">
        <is>
          <t>NOPAT = EBIT x (1 - tax)</t>
        </is>
      </c>
      <c r="B35" s="33">
        <f>B31*(1-Valuation!$B$5)</f>
        <v/>
      </c>
      <c r="C35" s="33">
        <f>C31*(1-Valuation!$B$5)</f>
        <v/>
      </c>
      <c r="D35" s="33">
        <f>D31*(1-Valuation!$B$5)</f>
        <v/>
      </c>
      <c r="E35" s="33">
        <f>E31*(1-Valuation!$B$5)</f>
        <v/>
      </c>
      <c r="F35" s="33">
        <f>F31*(1-Valuation!$B$5)</f>
        <v/>
      </c>
      <c r="G35" s="33">
        <f>G31*(1-Valuation!$B$5)</f>
        <v/>
      </c>
      <c r="H35" s="33">
        <f>H31*(1-Valuation!$B$5)</f>
        <v/>
      </c>
      <c r="I35" s="33">
        <f>I31*(1-Valuation!$B$5)</f>
        <v/>
      </c>
      <c r="J35" s="33">
        <f>J31*(1-Valuation!$B$5)</f>
        <v/>
      </c>
      <c r="K35" s="33">
        <f>K31*(1-Valuation!$B$5)</f>
        <v/>
      </c>
      <c r="L35" s="33">
        <f>L31*(1-Valuation!$B$5)</f>
        <v/>
      </c>
      <c r="M35" s="33">
        <f>M31*(1-Valuation!$B$5)</f>
        <v/>
      </c>
      <c r="N35" s="33">
        <f>N31*(1-Valuation!$B$5)</f>
        <v/>
      </c>
      <c r="O35" s="33">
        <f>O31*(1-Valuation!$B$5)</f>
        <v/>
      </c>
      <c r="P35" s="33">
        <f>P31*(1-Valuation!$B$5)</f>
        <v/>
      </c>
    </row>
    <row r="36">
      <c r="A36" s="4" t="inlineStr">
        <is>
          <t>+ D&amp;A</t>
        </is>
      </c>
      <c r="B36" s="33">
        <f>SUM(Financials!I62:L62)</f>
        <v/>
      </c>
      <c r="C36" s="33">
        <f>SUM(Financials!M62:P62)</f>
        <v/>
      </c>
      <c r="D36" s="33">
        <f>SUM(Financials!Q62:T62)</f>
        <v/>
      </c>
      <c r="E36" s="33">
        <f>SUM(Financials!U62:X62)</f>
        <v/>
      </c>
      <c r="F36" s="33">
        <f>SUM(Financials!Y62:AB62)</f>
        <v/>
      </c>
      <c r="G36" s="41">
        <f>G18*0.0525</f>
        <v/>
      </c>
      <c r="H36" s="41">
        <f>H18*0.0525</f>
        <v/>
      </c>
      <c r="I36" s="41">
        <f>I18*0.0525</f>
        <v/>
      </c>
      <c r="J36" s="41">
        <f>J18*0.0525</f>
        <v/>
      </c>
      <c r="K36" s="41">
        <f>K18*0.0525</f>
        <v/>
      </c>
      <c r="L36" s="41">
        <f>L18*0.0525</f>
        <v/>
      </c>
      <c r="M36" s="41">
        <f>M18*0.0525</f>
        <v/>
      </c>
      <c r="N36" s="41">
        <f>N18*0.0525</f>
        <v/>
      </c>
      <c r="O36" s="41">
        <f>O18*0.0525</f>
        <v/>
      </c>
      <c r="P36" s="41">
        <f>P18*0.0525</f>
        <v/>
      </c>
    </row>
    <row r="37">
      <c r="A37" s="4" t="inlineStr">
        <is>
          <t>+ SBC (non-cash)</t>
        </is>
      </c>
      <c r="B37" s="33">
        <f>SUM(Financials!I63:L63)</f>
        <v/>
      </c>
      <c r="C37" s="33">
        <f>SUM(Financials!M63:P63)</f>
        <v/>
      </c>
      <c r="D37" s="33">
        <f>SUM(Financials!Q63:T63)</f>
        <v/>
      </c>
      <c r="E37" s="33">
        <f>SUM(Financials!U63:X63)</f>
        <v/>
      </c>
      <c r="F37" s="33">
        <f>SUM(Financials!Y63:AB63)</f>
        <v/>
      </c>
      <c r="G37" s="33">
        <f>G18*(Dashboard!$B$65+(Dashboard!$B$66-Dashboard!$B$65)*0/9)</f>
        <v/>
      </c>
      <c r="H37" s="33">
        <f>H18*(Dashboard!$B$65+(Dashboard!$B$66-Dashboard!$B$65)*1/9)</f>
        <v/>
      </c>
      <c r="I37" s="33">
        <f>I18*(Dashboard!$B$65+(Dashboard!$B$66-Dashboard!$B$65)*2/9)</f>
        <v/>
      </c>
      <c r="J37" s="33">
        <f>J18*(Dashboard!$B$65+(Dashboard!$B$66-Dashboard!$B$65)*3/9)</f>
        <v/>
      </c>
      <c r="K37" s="33">
        <f>K18*(Dashboard!$B$65+(Dashboard!$B$66-Dashboard!$B$65)*4/9)</f>
        <v/>
      </c>
      <c r="L37" s="33">
        <f>L18*(Dashboard!$B$65+(Dashboard!$B$66-Dashboard!$B$65)*5/9)</f>
        <v/>
      </c>
      <c r="M37" s="33">
        <f>M18*(Dashboard!$B$65+(Dashboard!$B$66-Dashboard!$B$65)*6/9)</f>
        <v/>
      </c>
      <c r="N37" s="33">
        <f>N18*(Dashboard!$B$65+(Dashboard!$B$66-Dashboard!$B$65)*7/9)</f>
        <v/>
      </c>
      <c r="O37" s="33">
        <f>O18*(Dashboard!$B$65+(Dashboard!$B$66-Dashboard!$B$65)*8/9)</f>
        <v/>
      </c>
      <c r="P37" s="33">
        <f>P18*(Dashboard!$B$65+(Dashboard!$B$66-Dashboard!$B$65)*9/9)</f>
        <v/>
      </c>
    </row>
    <row r="38">
      <c r="A38" s="4" t="inlineStr">
        <is>
          <t>- dNWC</t>
        </is>
      </c>
      <c r="G38" s="41">
        <f>(G18-F18)*0.0050</f>
        <v/>
      </c>
      <c r="H38" s="41">
        <f>(H18-G18)*0.0050</f>
        <v/>
      </c>
      <c r="I38" s="41">
        <f>(I18-H18)*0.0050</f>
        <v/>
      </c>
      <c r="J38" s="41">
        <f>(J18-I18)*0.0050</f>
        <v/>
      </c>
      <c r="K38" s="41">
        <f>(K18-J18)*0.0050</f>
        <v/>
      </c>
      <c r="L38" s="41">
        <f>(L18-K18)*0.0050</f>
        <v/>
      </c>
      <c r="M38" s="41">
        <f>(M18-L18)*0.0050</f>
        <v/>
      </c>
      <c r="N38" s="41">
        <f>(N18-M18)*0.0050</f>
        <v/>
      </c>
      <c r="O38" s="41">
        <f>(O18-N18)*0.0050</f>
        <v/>
      </c>
      <c r="P38" s="41">
        <f>(P18-O18)*0.0050</f>
        <v/>
      </c>
    </row>
    <row r="39">
      <c r="A39" s="4" t="inlineStr">
        <is>
          <t>- Capex</t>
        </is>
      </c>
      <c r="B39" s="33">
        <f>-SUM(Financials!I66:L66)</f>
        <v/>
      </c>
      <c r="C39" s="33">
        <f>-SUM(Financials!M66:P66)</f>
        <v/>
      </c>
      <c r="D39" s="33">
        <f>-SUM(Financials!Q66:T66)</f>
        <v/>
      </c>
      <c r="E39" s="33">
        <f>-SUM(Financials!U66:X66)</f>
        <v/>
      </c>
      <c r="F39" s="33">
        <f>-SUM(Financials!Y66:AB66)</f>
        <v/>
      </c>
      <c r="G39" s="41">
        <f>G36*G40</f>
        <v/>
      </c>
      <c r="H39" s="41">
        <f>H36*H40</f>
        <v/>
      </c>
      <c r="I39" s="41">
        <f>I36*I40</f>
        <v/>
      </c>
      <c r="J39" s="41">
        <f>J36*J40</f>
        <v/>
      </c>
      <c r="K39" s="41">
        <f>K36*K40</f>
        <v/>
      </c>
      <c r="L39" s="41">
        <f>L36*L40</f>
        <v/>
      </c>
      <c r="M39" s="41">
        <f>M36*M40</f>
        <v/>
      </c>
      <c r="N39" s="41">
        <f>N36*N40</f>
        <v/>
      </c>
      <c r="O39" s="41">
        <f>O36*O40</f>
        <v/>
      </c>
      <c r="P39" s="41">
        <f>P36*P40</f>
        <v/>
      </c>
    </row>
    <row r="40">
      <c r="A40" s="4" t="inlineStr">
        <is>
          <t xml:space="preserve">    Capex / D&amp;A  (from Dashboard: $cap'26 -&gt; terminal)</t>
        </is>
      </c>
      <c r="B40" s="26">
        <f>IFERROR(B39/B36,"")</f>
        <v/>
      </c>
      <c r="C40" s="26">
        <f>IFERROR(C39/C36,"")</f>
        <v/>
      </c>
      <c r="D40" s="26">
        <f>IFERROR(D39/D36,"")</f>
        <v/>
      </c>
      <c r="E40" s="26">
        <f>IFERROR(E39/E36,"")</f>
        <v/>
      </c>
      <c r="F40" s="26">
        <f>IFERROR(F39/F36,"")</f>
        <v/>
      </c>
      <c r="G40" s="13">
        <f>(Dashboard!$B$34/G36)+(Dashboard!$B$35-(Dashboard!$B$34/G36))*0/9</f>
        <v/>
      </c>
      <c r="H40" s="13">
        <f>(Dashboard!$B$34/G36)+(Dashboard!$B$35-(Dashboard!$B$34/G36))*1/9</f>
        <v/>
      </c>
      <c r="I40" s="13">
        <f>(Dashboard!$B$34/G36)+(Dashboard!$B$35-(Dashboard!$B$34/G36))*2/9</f>
        <v/>
      </c>
      <c r="J40" s="13">
        <f>(Dashboard!$B$34/G36)+(Dashboard!$B$35-(Dashboard!$B$34/G36))*3/9</f>
        <v/>
      </c>
      <c r="K40" s="13">
        <f>(Dashboard!$B$34/G36)+(Dashboard!$B$35-(Dashboard!$B$34/G36))*4/9</f>
        <v/>
      </c>
      <c r="L40" s="13">
        <f>(Dashboard!$B$34/G36)+(Dashboard!$B$35-(Dashboard!$B$34/G36))*5/9</f>
        <v/>
      </c>
      <c r="M40" s="13">
        <f>(Dashboard!$B$34/G36)+(Dashboard!$B$35-(Dashboard!$B$34/G36))*6/9</f>
        <v/>
      </c>
      <c r="N40" s="13">
        <f>(Dashboard!$B$34/G36)+(Dashboard!$B$35-(Dashboard!$B$34/G36))*7/9</f>
        <v/>
      </c>
      <c r="O40" s="13">
        <f>(Dashboard!$B$34/G36)+(Dashboard!$B$35-(Dashboard!$B$34/G36))*8/9</f>
        <v/>
      </c>
      <c r="P40" s="13">
        <f>(Dashboard!$B$34/G36)+(Dashboard!$B$35-(Dashboard!$B$34/G36))*9/9</f>
        <v/>
      </c>
    </row>
    <row r="42">
      <c r="A42" s="3" t="inlineStr">
        <is>
          <t>FCFF (firm)</t>
        </is>
      </c>
      <c r="B42" s="42">
        <f>B35+B36+B37-B38-B39</f>
        <v/>
      </c>
      <c r="C42" s="42">
        <f>C35+C36+C37-C38-C39</f>
        <v/>
      </c>
      <c r="D42" s="42">
        <f>D35+D36+D37-D38-D39</f>
        <v/>
      </c>
      <c r="E42" s="42">
        <f>E35+E36+E37-E38-E39</f>
        <v/>
      </c>
      <c r="F42" s="42">
        <f>F35+F36+F37-F38-F39</f>
        <v/>
      </c>
      <c r="G42" s="42">
        <f>G35+G36+G37-G38-G39</f>
        <v/>
      </c>
      <c r="H42" s="42">
        <f>H35+H36+H37-H38-H39</f>
        <v/>
      </c>
      <c r="I42" s="42">
        <f>I35+I36+I37-I38-I39</f>
        <v/>
      </c>
      <c r="J42" s="42">
        <f>J35+J36+J37-J38-J39</f>
        <v/>
      </c>
      <c r="K42" s="42">
        <f>K35+K36+K37-K38-K39</f>
        <v/>
      </c>
      <c r="L42" s="42">
        <f>L35+L36+L37-L38-L39</f>
        <v/>
      </c>
      <c r="M42" s="42">
        <f>M35+M36+M37-M38-M39</f>
        <v/>
      </c>
      <c r="N42" s="42">
        <f>N35+N36+N37-N38-N39</f>
        <v/>
      </c>
      <c r="O42" s="42">
        <f>O35+O36+O37-O38-O39</f>
        <v/>
      </c>
      <c r="P42" s="42">
        <f>P35+P36+P37-P38-P39</f>
        <v/>
      </c>
    </row>
    <row r="43">
      <c r="A43" s="3" t="inlineStr">
        <is>
          <t>Valuation FCF (NOPAT + D&amp;A - dNWC - Capex - after-tax SBC)</t>
        </is>
      </c>
      <c r="B43" s="43">
        <f>B42-B37-B37*(1-Valuation!$B$5)</f>
        <v/>
      </c>
      <c r="C43" s="43">
        <f>C42-C37-C37*(1-Valuation!$B$5)</f>
        <v/>
      </c>
      <c r="D43" s="43">
        <f>D42-D37-D37*(1-Valuation!$B$5)</f>
        <v/>
      </c>
      <c r="E43" s="43">
        <f>E42-E37-E37*(1-Valuation!$B$5)</f>
        <v/>
      </c>
      <c r="F43" s="43">
        <f>F42-F37-F37*(1-Valuation!$B$5)</f>
        <v/>
      </c>
      <c r="G43" s="43">
        <f>G42-G37-G37*(1-Valuation!$B$5)</f>
        <v/>
      </c>
      <c r="H43" s="43">
        <f>H42-H37-H37*(1-Valuation!$B$5)</f>
        <v/>
      </c>
      <c r="I43" s="43">
        <f>I42-I37-I37*(1-Valuation!$B$5)</f>
        <v/>
      </c>
      <c r="J43" s="43">
        <f>J42-J37-J37*(1-Valuation!$B$5)</f>
        <v/>
      </c>
      <c r="K43" s="43">
        <f>K42-K37-K37*(1-Valuation!$B$5)</f>
        <v/>
      </c>
      <c r="L43" s="43">
        <f>L42-L37-L37*(1-Valuation!$B$5)</f>
        <v/>
      </c>
      <c r="M43" s="43">
        <f>M42-M37-M37*(1-Valuation!$B$5)</f>
        <v/>
      </c>
      <c r="N43" s="43">
        <f>N42-N37-N37*(1-Valuation!$B$5)</f>
        <v/>
      </c>
      <c r="O43" s="43">
        <f>O42-O37-O37*(1-Valuation!$B$5)</f>
        <v/>
      </c>
      <c r="P43" s="43">
        <f>P42-P37-P37*(1-Valuation!$B$5)</f>
        <v/>
      </c>
    </row>
    <row r="45">
      <c r="A45" s="5" t="inlineStr">
        <is>
          <t xml:space="preserve">  RETURNS ON CAPITAL &amp; EFFICIENCY  (is new revenue/capital earning its keep?)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4" t="inlineStr">
        <is>
          <t>Invested capital (debt + equity - cash)</t>
        </is>
      </c>
      <c r="B46" s="33">
        <f>Financials!L60+Financials!L59-Financials!L54</f>
        <v/>
      </c>
      <c r="C46" s="33">
        <f>Financials!P60+Financials!P59-Financials!P54</f>
        <v/>
      </c>
      <c r="D46" s="33">
        <f>Financials!T60+Financials!T59-Financials!T54</f>
        <v/>
      </c>
      <c r="E46" s="33">
        <f>Financials!X60+Financials!X59-Financials!X54</f>
        <v/>
      </c>
      <c r="F46" s="33">
        <f>Financials!AB60+Financials!AB59-Financials!AB54</f>
        <v/>
      </c>
      <c r="G46" s="41">
        <f>F46+G39-G36+G38</f>
        <v/>
      </c>
      <c r="H46" s="41">
        <f>G46+H39-H36+H38</f>
        <v/>
      </c>
      <c r="I46" s="41">
        <f>H46+I39-I36+I38</f>
        <v/>
      </c>
      <c r="J46" s="41">
        <f>I46+J39-J36+J38</f>
        <v/>
      </c>
      <c r="K46" s="41">
        <f>J46+K39-K36+K38</f>
        <v/>
      </c>
      <c r="L46" s="41">
        <f>K46+L39-L36+L38</f>
        <v/>
      </c>
      <c r="M46" s="41">
        <f>L46+M39-M36+M38</f>
        <v/>
      </c>
      <c r="N46" s="41">
        <f>M46+N39-N36+N38</f>
        <v/>
      </c>
      <c r="O46" s="41">
        <f>N46+O39-O36+O38</f>
        <v/>
      </c>
      <c r="P46" s="41">
        <f>O46+P39-P36+P38</f>
        <v/>
      </c>
    </row>
    <row r="47">
      <c r="A47" s="4" t="inlineStr">
        <is>
          <t>Book equity (year-end)</t>
        </is>
      </c>
      <c r="B47" s="33">
        <f>Financials!L60</f>
        <v/>
      </c>
      <c r="C47" s="33">
        <f>Financials!P60</f>
        <v/>
      </c>
      <c r="D47" s="33">
        <f>Financials!T60</f>
        <v/>
      </c>
      <c r="E47" s="33">
        <f>Financials!X60</f>
        <v/>
      </c>
      <c r="F47" s="33">
        <f>Financials!AB60</f>
        <v/>
      </c>
      <c r="G47" s="41">
        <f>F47+G35</f>
        <v/>
      </c>
      <c r="H47" s="41">
        <f>G47+H35</f>
        <v/>
      </c>
      <c r="I47" s="41">
        <f>H47+I35</f>
        <v/>
      </c>
      <c r="J47" s="41">
        <f>I47+J35</f>
        <v/>
      </c>
      <c r="K47" s="41">
        <f>J47+K35</f>
        <v/>
      </c>
      <c r="L47" s="41">
        <f>K47+L35</f>
        <v/>
      </c>
      <c r="M47" s="41">
        <f>L47+M35</f>
        <v/>
      </c>
      <c r="N47" s="41">
        <f>M47+N35</f>
        <v/>
      </c>
      <c r="O47" s="41">
        <f>N47+O35</f>
        <v/>
      </c>
      <c r="P47" s="41">
        <f>O47+P35</f>
        <v/>
      </c>
    </row>
    <row r="48">
      <c r="A48" s="3" t="inlineStr">
        <is>
          <t xml:space="preserve">  ROIC (NOPAT / beg. invested capital)</t>
        </is>
      </c>
      <c r="C48" s="25">
        <f>IFERROR(C35/B46,"")</f>
        <v/>
      </c>
      <c r="D48" s="25">
        <f>IFERROR(D35/C46,"")</f>
        <v/>
      </c>
      <c r="E48" s="25">
        <f>IFERROR(E35/D46,"")</f>
        <v/>
      </c>
      <c r="F48" s="25">
        <f>IFERROR(F35/E46,"")</f>
        <v/>
      </c>
      <c r="G48" s="25">
        <f>IFERROR(G35/F46,"")</f>
        <v/>
      </c>
      <c r="H48" s="25">
        <f>IFERROR(H35/G46,"")</f>
        <v/>
      </c>
      <c r="I48" s="25">
        <f>IFERROR(I35/H46,"")</f>
        <v/>
      </c>
      <c r="J48" s="25">
        <f>IFERROR(J35/I46,"")</f>
        <v/>
      </c>
      <c r="K48" s="25">
        <f>IFERROR(K35/J46,"")</f>
        <v/>
      </c>
      <c r="L48" s="25">
        <f>IFERROR(L35/K46,"")</f>
        <v/>
      </c>
      <c r="M48" s="25">
        <f>IFERROR(M35/L46,"")</f>
        <v/>
      </c>
      <c r="N48" s="25">
        <f>IFERROR(N35/M46,"")</f>
        <v/>
      </c>
      <c r="O48" s="25">
        <f>IFERROR(O35/N46,"")</f>
        <v/>
      </c>
      <c r="P48" s="25">
        <f>IFERROR(P35/O46,"")</f>
        <v/>
      </c>
    </row>
    <row r="49">
      <c r="A49" s="3" t="inlineStr">
        <is>
          <t xml:space="preserve">  ROE (earnings / beg. equity)</t>
        </is>
      </c>
      <c r="C49" s="11">
        <f>IFERROR(SUM(Financials!M15:P15)/B47,"")</f>
        <v/>
      </c>
      <c r="D49" s="11">
        <f>IFERROR(SUM(Financials!Q15:T15)/C47,"")</f>
        <v/>
      </c>
      <c r="E49" s="11">
        <f>IFERROR(SUM(Financials!U15:X15)/D47,"")</f>
        <v/>
      </c>
      <c r="F49" s="11">
        <f>IFERROR(SUM(Financials!Y15:AB15)/E47,"")</f>
        <v/>
      </c>
      <c r="G49" s="25">
        <f>IFERROR(G35/F47,"")</f>
        <v/>
      </c>
      <c r="H49" s="25">
        <f>IFERROR(H35/G47,"")</f>
        <v/>
      </c>
      <c r="I49" s="25">
        <f>IFERROR(I35/H47,"")</f>
        <v/>
      </c>
      <c r="J49" s="25">
        <f>IFERROR(J35/I47,"")</f>
        <v/>
      </c>
      <c r="K49" s="25">
        <f>IFERROR(K35/J47,"")</f>
        <v/>
      </c>
      <c r="L49" s="25">
        <f>IFERROR(L35/K47,"")</f>
        <v/>
      </c>
      <c r="M49" s="25">
        <f>IFERROR(M35/L47,"")</f>
        <v/>
      </c>
      <c r="N49" s="25">
        <f>IFERROR(N35/M47,"")</f>
        <v/>
      </c>
      <c r="O49" s="25">
        <f>IFERROR(O35/N47,"")</f>
        <v/>
      </c>
      <c r="P49" s="25">
        <f>IFERROR(P35/O47,"")</f>
        <v/>
      </c>
    </row>
    <row r="50">
      <c r="A50" s="4" t="inlineStr">
        <is>
          <t xml:space="preserve">  ROIC - WACC spread (value created)</t>
        </is>
      </c>
      <c r="C50" s="11">
        <f>IFERROR(C48-WACC!$B$15,"")</f>
        <v/>
      </c>
      <c r="D50" s="11">
        <f>IFERROR(D48-WACC!$B$15,"")</f>
        <v/>
      </c>
      <c r="E50" s="11">
        <f>IFERROR(E48-WACC!$B$15,"")</f>
        <v/>
      </c>
      <c r="F50" s="11">
        <f>IFERROR(F48-WACC!$B$15,"")</f>
        <v/>
      </c>
      <c r="G50" s="11">
        <f>IFERROR(G48-WACC!$B$15,"")</f>
        <v/>
      </c>
      <c r="H50" s="11">
        <f>IFERROR(H48-WACC!$B$15,"")</f>
        <v/>
      </c>
      <c r="I50" s="11">
        <f>IFERROR(I48-WACC!$B$15,"")</f>
        <v/>
      </c>
      <c r="J50" s="11">
        <f>IFERROR(J48-WACC!$B$15,"")</f>
        <v/>
      </c>
      <c r="K50" s="11">
        <f>IFERROR(K48-WACC!$B$15,"")</f>
        <v/>
      </c>
      <c r="L50" s="11">
        <f>IFERROR(L48-WACC!$B$15,"")</f>
        <v/>
      </c>
      <c r="M50" s="11">
        <f>IFERROR(M48-WACC!$B$15,"")</f>
        <v/>
      </c>
      <c r="N50" s="11">
        <f>IFERROR(N48-WACC!$B$15,"")</f>
        <v/>
      </c>
      <c r="O50" s="11">
        <f>IFERROR(O48-WACC!$B$15,"")</f>
        <v/>
      </c>
      <c r="P50" s="11">
        <f>IFERROR(P48-WACC!$B$15,"")</f>
        <v/>
      </c>
    </row>
    <row r="51">
      <c r="A51" s="4" t="inlineStr">
        <is>
          <t xml:space="preserve">  Incremental op margin (ΔEBIT / ΔRev)</t>
        </is>
      </c>
      <c r="C51" s="25">
        <f>IFERROR((C31-B31)/(C18-B18),"")</f>
        <v/>
      </c>
      <c r="D51" s="25">
        <f>IFERROR((D31-C31)/(D18-C18),"")</f>
        <v/>
      </c>
      <c r="E51" s="25">
        <f>IFERROR((E31-D31)/(E18-D18),"")</f>
        <v/>
      </c>
      <c r="F51" s="25">
        <f>IFERROR((F31-E31)/(F18-E18),"")</f>
        <v/>
      </c>
      <c r="G51" s="25">
        <f>IFERROR((G31-F31)/(G18-F18),"")</f>
        <v/>
      </c>
      <c r="H51" s="25">
        <f>IFERROR((H31-G31)/(H18-G18),"")</f>
        <v/>
      </c>
      <c r="I51" s="25">
        <f>IFERROR((I31-H31)/(I18-H18),"")</f>
        <v/>
      </c>
      <c r="J51" s="25">
        <f>IFERROR((J31-I31)/(J18-I18),"")</f>
        <v/>
      </c>
      <c r="K51" s="25">
        <f>IFERROR((K31-J31)/(K18-J18),"")</f>
        <v/>
      </c>
      <c r="L51" s="25">
        <f>IFERROR((L31-K31)/(L18-K18),"")</f>
        <v/>
      </c>
      <c r="M51" s="25">
        <f>IFERROR((M31-L31)/(M18-L18),"")</f>
        <v/>
      </c>
      <c r="N51" s="25">
        <f>IFERROR((N31-M31)/(N18-M18),"")</f>
        <v/>
      </c>
      <c r="O51" s="25">
        <f>IFERROR((O31-N31)/(O18-N18),"")</f>
        <v/>
      </c>
      <c r="P51" s="25">
        <f>IFERROR((P31-O31)/(P18-O18),"")</f>
        <v/>
      </c>
    </row>
    <row r="52">
      <c r="A52" s="3" t="inlineStr">
        <is>
          <t xml:space="preserve">  ROIIC (ΔNOPAT / ΔInvested capital)</t>
        </is>
      </c>
      <c r="C52" s="25">
        <f>IFERROR((C35-B35)/(C46-B46),"")</f>
        <v/>
      </c>
      <c r="D52" s="25">
        <f>IFERROR((D35-C35)/(D46-C46),"")</f>
        <v/>
      </c>
      <c r="E52" s="25">
        <f>IFERROR((E35-D35)/(E46-D46),"")</f>
        <v/>
      </c>
      <c r="F52" s="25">
        <f>IFERROR((F35-E35)/(F46-E46),"")</f>
        <v/>
      </c>
      <c r="G52" s="25">
        <f>IFERROR((G35-F35)/(G46-F46),"")</f>
        <v/>
      </c>
      <c r="H52" s="25">
        <f>IFERROR((H35-G35)/(H46-G46),"")</f>
        <v/>
      </c>
      <c r="I52" s="25">
        <f>IFERROR((I35-H35)/(I46-H46),"")</f>
        <v/>
      </c>
      <c r="J52" s="25">
        <f>IFERROR((J35-I35)/(J46-I46),"")</f>
        <v/>
      </c>
      <c r="K52" s="25">
        <f>IFERROR((K35-J35)/(K46-J46),"")</f>
        <v/>
      </c>
      <c r="L52" s="25">
        <f>IFERROR((L35-K35)/(L46-K46),"")</f>
        <v/>
      </c>
      <c r="M52" s="25">
        <f>IFERROR((M35-L35)/(M46-L46),"")</f>
        <v/>
      </c>
      <c r="N52" s="25">
        <f>IFERROR((N35-M35)/(N46-M46),"")</f>
        <v/>
      </c>
      <c r="O52" s="25">
        <f>IFERROR((O35-N35)/(O46-N46),"")</f>
        <v/>
      </c>
      <c r="P52" s="25">
        <f>IFERROR((P35-O35)/(P46-O46),"")</f>
        <v/>
      </c>
    </row>
    <row r="53">
      <c r="A53" s="4" t="inlineStr">
        <is>
          <t xml:space="preserve">  Sales-to-capital (ΔRev / ΔInvested capital)</t>
        </is>
      </c>
      <c r="C53" s="44">
        <f>IFERROR((C18-B18)/(C46-B46),"")</f>
        <v/>
      </c>
      <c r="D53" s="44">
        <f>IFERROR((D18-C18)/(D46-C46),"")</f>
        <v/>
      </c>
      <c r="E53" s="44">
        <f>IFERROR((E18-D18)/(E46-D46),"")</f>
        <v/>
      </c>
      <c r="F53" s="44">
        <f>IFERROR((F18-E18)/(F46-E46),"")</f>
        <v/>
      </c>
      <c r="G53" s="44">
        <f>IFERROR((G18-F18)/(G46-F46),"")</f>
        <v/>
      </c>
      <c r="H53" s="44">
        <f>IFERROR((H18-G18)/(H46-G46),"")</f>
        <v/>
      </c>
      <c r="I53" s="44">
        <f>IFERROR((I18-H18)/(I46-H46),"")</f>
        <v/>
      </c>
      <c r="J53" s="44">
        <f>IFERROR((J18-I18)/(J46-I46),"")</f>
        <v/>
      </c>
      <c r="K53" s="44">
        <f>IFERROR((K18-J18)/(K46-J46),"")</f>
        <v/>
      </c>
      <c r="L53" s="44">
        <f>IFERROR((L18-K18)/(L46-K46),"")</f>
        <v/>
      </c>
      <c r="M53" s="44">
        <f>IFERROR((M18-L18)/(M46-L46),"")</f>
        <v/>
      </c>
      <c r="N53" s="44">
        <f>IFERROR((N18-M18)/(N46-M46),"")</f>
        <v/>
      </c>
      <c r="O53" s="44">
        <f>IFERROR((O18-N18)/(O46-N46),"")</f>
        <v/>
      </c>
      <c r="P53" s="44">
        <f>IFERROR((P18-O18)/(P46-O46),"")</f>
        <v/>
      </c>
    </row>
    <row r="54">
      <c r="A54" s="4" t="inlineStr">
        <is>
          <t xml:space="preserve">  Reinvestment rate (ΔInvested capital / NOPAT)</t>
        </is>
      </c>
      <c r="C54" s="25">
        <f>IFERROR((C46-B46)/C35,"")</f>
        <v/>
      </c>
      <c r="D54" s="25">
        <f>IFERROR((D46-C46)/D35,"")</f>
        <v/>
      </c>
      <c r="E54" s="25">
        <f>IFERROR((E46-D46)/E35,"")</f>
        <v/>
      </c>
      <c r="F54" s="25">
        <f>IFERROR((F46-E46)/F35,"")</f>
        <v/>
      </c>
      <c r="G54" s="25">
        <f>IFERROR((G46-F46)/G35,"")</f>
        <v/>
      </c>
      <c r="H54" s="25">
        <f>IFERROR((H46-G46)/H35,"")</f>
        <v/>
      </c>
      <c r="I54" s="25">
        <f>IFERROR((I46-H46)/I35,"")</f>
        <v/>
      </c>
      <c r="J54" s="25">
        <f>IFERROR((J46-I46)/J35,"")</f>
        <v/>
      </c>
      <c r="K54" s="25">
        <f>IFERROR((K46-J46)/K35,"")</f>
        <v/>
      </c>
      <c r="L54" s="25">
        <f>IFERROR((L46-K46)/L35,"")</f>
        <v/>
      </c>
      <c r="M54" s="25">
        <f>IFERROR((M46-L46)/M35,"")</f>
        <v/>
      </c>
      <c r="N54" s="25">
        <f>IFERROR((N46-M46)/N35,"")</f>
        <v/>
      </c>
      <c r="O54" s="25">
        <f>IFERROR((O46-N46)/O35,"")</f>
        <v/>
      </c>
      <c r="P54" s="25">
        <f>IFERROR((P46-O46)/P35,"")</f>
        <v/>
      </c>
    </row>
    <row r="56">
      <c r="A5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38944</v>
      </c>
      <c r="C3" s="18" t="n">
        <v>40499</v>
      </c>
      <c r="D3" s="18" t="n">
        <v>46075</v>
      </c>
      <c r="E3" s="18" t="n">
        <v>41159</v>
      </c>
      <c r="F3" s="18" t="n">
        <v>38297</v>
      </c>
      <c r="G3" s="18" t="n">
        <v>46173</v>
      </c>
      <c r="H3" s="18" t="n">
        <v>56898</v>
      </c>
      <c r="I3" s="18" t="n">
        <v>55314</v>
      </c>
      <c r="J3" s="18" t="n">
        <v>61880</v>
      </c>
      <c r="K3" s="18" t="n">
        <v>65118</v>
      </c>
      <c r="L3" s="18" t="n">
        <v>75325</v>
      </c>
      <c r="M3" s="18" t="n">
        <v>68011</v>
      </c>
      <c r="N3" s="18" t="n">
        <v>69685</v>
      </c>
      <c r="O3" s="18" t="n">
        <v>69092</v>
      </c>
      <c r="P3" s="18" t="n">
        <v>76048</v>
      </c>
      <c r="Q3" s="18" t="n">
        <v>69787</v>
      </c>
      <c r="R3" s="18" t="n">
        <v>74604</v>
      </c>
      <c r="S3" s="18" t="n">
        <v>76693</v>
      </c>
      <c r="T3" s="18" t="n">
        <v>86310</v>
      </c>
      <c r="U3" s="18" t="n">
        <v>80539</v>
      </c>
      <c r="V3" s="18" t="n">
        <v>84742</v>
      </c>
      <c r="W3" s="18" t="n">
        <v>88268</v>
      </c>
      <c r="X3" s="18" t="n">
        <v>96469</v>
      </c>
      <c r="Y3" s="18" t="n">
        <v>90234</v>
      </c>
      <c r="Z3" s="18" t="n">
        <v>96428</v>
      </c>
      <c r="AA3" s="18" t="n">
        <v>102346</v>
      </c>
      <c r="AB3" s="18" t="n">
        <v>113896</v>
      </c>
      <c r="AC3" s="18" t="n">
        <v>109896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17296</v>
      </c>
      <c r="C5" s="18" t="n">
        <v>17568</v>
      </c>
      <c r="D5" s="18" t="n">
        <v>21020</v>
      </c>
      <c r="E5" s="18" t="n">
        <v>18982</v>
      </c>
      <c r="F5" s="18" t="n">
        <v>18553</v>
      </c>
      <c r="G5" s="18" t="n">
        <v>21117</v>
      </c>
      <c r="H5" s="18" t="n">
        <v>26080</v>
      </c>
      <c r="I5" s="18" t="n">
        <v>24103</v>
      </c>
      <c r="J5" s="18" t="n">
        <v>26227</v>
      </c>
      <c r="K5" s="18" t="n">
        <v>27621</v>
      </c>
      <c r="L5" s="18" t="n">
        <v>32988</v>
      </c>
      <c r="M5" s="18" t="n">
        <v>29599</v>
      </c>
      <c r="N5" s="18" t="n">
        <v>30104</v>
      </c>
      <c r="O5" s="18" t="n">
        <v>31158</v>
      </c>
      <c r="P5" s="18" t="n">
        <v>35342</v>
      </c>
      <c r="Q5" s="18" t="n">
        <v>30612</v>
      </c>
      <c r="R5" s="18" t="n">
        <v>31916</v>
      </c>
      <c r="S5" s="18" t="n">
        <v>33229</v>
      </c>
      <c r="T5" s="18" t="n">
        <v>37575</v>
      </c>
      <c r="U5" s="18" t="n">
        <v>33712</v>
      </c>
      <c r="V5" s="18" t="n">
        <v>35507</v>
      </c>
      <c r="W5" s="18" t="n">
        <v>36474</v>
      </c>
      <c r="X5" s="18" t="n">
        <v>40613</v>
      </c>
      <c r="Y5" s="18" t="n">
        <v>36361</v>
      </c>
      <c r="Z5" s="18" t="n">
        <v>39039</v>
      </c>
      <c r="AA5" s="18" t="n">
        <v>41369</v>
      </c>
      <c r="AB5" s="18" t="n">
        <v>45766</v>
      </c>
      <c r="AC5" s="18" t="n">
        <v>41271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6213</v>
      </c>
      <c r="C7" s="18" t="n">
        <v>6554</v>
      </c>
      <c r="D7" s="18" t="n">
        <v>7222</v>
      </c>
      <c r="E7" s="18" t="n">
        <v>6820</v>
      </c>
      <c r="F7" s="18" t="n">
        <v>6875</v>
      </c>
      <c r="G7" s="18" t="n">
        <v>6856</v>
      </c>
      <c r="H7" s="18" t="n">
        <v>7022</v>
      </c>
      <c r="I7" s="18" t="n">
        <v>7485</v>
      </c>
      <c r="J7" s="18" t="n">
        <v>7675</v>
      </c>
      <c r="K7" s="18" t="n">
        <v>7694</v>
      </c>
      <c r="L7" s="18" t="n">
        <v>8708</v>
      </c>
      <c r="M7" s="18" t="n">
        <v>9119</v>
      </c>
      <c r="N7" s="18" t="n">
        <v>9841</v>
      </c>
      <c r="O7" s="18" t="n">
        <v>10273</v>
      </c>
      <c r="P7" s="18" t="n">
        <v>10267</v>
      </c>
      <c r="Q7" s="18" t="n">
        <v>11468</v>
      </c>
      <c r="R7" s="18" t="n">
        <v>10588</v>
      </c>
      <c r="S7" s="18" t="n">
        <v>11258</v>
      </c>
      <c r="T7" s="18" t="n">
        <v>12113</v>
      </c>
      <c r="U7" s="18" t="n">
        <v>11903</v>
      </c>
      <c r="V7" s="18" t="n">
        <v>11860</v>
      </c>
      <c r="W7" s="18" t="n">
        <v>12447</v>
      </c>
      <c r="X7" s="18" t="n">
        <v>13116</v>
      </c>
      <c r="Y7" s="18" t="n">
        <v>13556</v>
      </c>
      <c r="Z7" s="18" t="n">
        <v>13808</v>
      </c>
      <c r="AA7" s="18" t="n">
        <v>15151</v>
      </c>
      <c r="AB7" s="18" t="n">
        <v>18572</v>
      </c>
      <c r="AC7" s="18" t="n">
        <v>17032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6255</v>
      </c>
      <c r="C9" s="18" t="n">
        <v>7200</v>
      </c>
      <c r="D9" s="18" t="n">
        <v>8567</v>
      </c>
      <c r="E9" s="18" t="n">
        <v>7380</v>
      </c>
      <c r="F9" s="18" t="n">
        <v>6486</v>
      </c>
      <c r="G9" s="18" t="n">
        <v>6987</v>
      </c>
      <c r="H9" s="18" t="n">
        <v>8145</v>
      </c>
      <c r="I9" s="18" t="n">
        <v>7289</v>
      </c>
      <c r="J9" s="18" t="n">
        <v>8617</v>
      </c>
      <c r="K9" s="18" t="n">
        <v>8772</v>
      </c>
      <c r="L9" s="18" t="n">
        <v>11744</v>
      </c>
      <c r="M9" s="18" t="n">
        <v>9199</v>
      </c>
      <c r="N9" s="18" t="n">
        <v>10287</v>
      </c>
      <c r="O9" s="18" t="n">
        <v>10526</v>
      </c>
      <c r="P9" s="18" t="n">
        <v>12279</v>
      </c>
      <c r="Q9" s="18" t="n">
        <v>10292</v>
      </c>
      <c r="R9" s="18" t="n">
        <v>10262</v>
      </c>
      <c r="S9" s="18" t="n">
        <v>10863</v>
      </c>
      <c r="T9" s="18" t="n">
        <v>12925</v>
      </c>
      <c r="U9" s="18" t="n">
        <v>9452</v>
      </c>
      <c r="V9" s="18" t="n">
        <v>9950</v>
      </c>
      <c r="W9" s="18" t="n">
        <v>10826</v>
      </c>
      <c r="X9" s="18" t="n">
        <v>11768</v>
      </c>
      <c r="Y9" s="18" t="n">
        <v>9711</v>
      </c>
      <c r="Z9" s="18" t="n">
        <v>12310</v>
      </c>
      <c r="AA9" s="18" t="n">
        <v>14598</v>
      </c>
      <c r="AB9" s="18" t="n">
        <v>13556</v>
      </c>
      <c r="AC9" s="18" t="n">
        <v>11897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21648</v>
      </c>
      <c r="C11" s="18" t="n">
        <v>22931</v>
      </c>
      <c r="D11" s="18" t="n">
        <v>25055</v>
      </c>
      <c r="E11" s="18" t="n">
        <v>22177</v>
      </c>
      <c r="F11" s="18" t="n">
        <v>19744</v>
      </c>
      <c r="G11" s="18" t="n">
        <v>25056</v>
      </c>
      <c r="H11" s="18" t="n">
        <v>30818</v>
      </c>
      <c r="I11" s="18" t="n">
        <v>31211</v>
      </c>
      <c r="J11" s="18" t="n">
        <v>35653</v>
      </c>
      <c r="K11" s="18" t="n">
        <v>37497</v>
      </c>
      <c r="L11" s="18" t="n">
        <v>42337</v>
      </c>
      <c r="M11" s="18" t="n">
        <v>38412</v>
      </c>
      <c r="N11" s="18" t="n">
        <v>39581</v>
      </c>
      <c r="O11" s="18" t="n">
        <v>37934</v>
      </c>
      <c r="P11" s="18" t="n">
        <v>40706</v>
      </c>
      <c r="Q11" s="18" t="n">
        <v>39175</v>
      </c>
      <c r="R11" s="18" t="n">
        <v>42688</v>
      </c>
      <c r="S11" s="18" t="n">
        <v>43464</v>
      </c>
      <c r="T11" s="18" t="n">
        <v>48735</v>
      </c>
      <c r="U11" s="18" t="n">
        <v>46827</v>
      </c>
      <c r="V11" s="18" t="n">
        <v>49235</v>
      </c>
      <c r="W11" s="18" t="n">
        <v>51794</v>
      </c>
      <c r="X11" s="18" t="n">
        <v>55856</v>
      </c>
      <c r="Y11" s="18" t="n">
        <v>53873</v>
      </c>
      <c r="Z11" s="18" t="n">
        <v>57389</v>
      </c>
      <c r="AA11" s="18" t="n">
        <v>60977</v>
      </c>
      <c r="AB11" s="18" t="n">
        <v>68130</v>
      </c>
      <c r="AC11" s="18" t="n">
        <v>68625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9180</v>
      </c>
      <c r="C13" s="18" t="n">
        <v>9177</v>
      </c>
      <c r="D13" s="18" t="n">
        <v>9266</v>
      </c>
      <c r="E13" s="18" t="n">
        <v>7977</v>
      </c>
      <c r="F13" s="18" t="n">
        <v>6383</v>
      </c>
      <c r="G13" s="18" t="n">
        <v>11213</v>
      </c>
      <c r="H13" s="18" t="n">
        <v>15651</v>
      </c>
      <c r="I13" s="18" t="n">
        <v>16437</v>
      </c>
      <c r="J13" s="18" t="n">
        <v>19361</v>
      </c>
      <c r="K13" s="18" t="n">
        <v>21031</v>
      </c>
      <c r="L13" s="18" t="n">
        <v>21885</v>
      </c>
      <c r="M13" s="18" t="n">
        <v>20094</v>
      </c>
      <c r="N13" s="18" t="n">
        <v>19453</v>
      </c>
      <c r="O13" s="18" t="n">
        <v>17135</v>
      </c>
      <c r="P13" s="18" t="n">
        <v>18160</v>
      </c>
      <c r="Q13" s="18" t="n">
        <v>17415</v>
      </c>
      <c r="R13" s="18" t="n">
        <v>21838</v>
      </c>
      <c r="S13" s="18" t="n">
        <v>21343</v>
      </c>
      <c r="T13" s="18" t="n">
        <v>23697</v>
      </c>
      <c r="U13" s="18" t="n">
        <v>25472</v>
      </c>
      <c r="V13" s="18" t="n">
        <v>27425</v>
      </c>
      <c r="W13" s="18" t="n">
        <v>28521</v>
      </c>
      <c r="X13" s="18" t="n">
        <v>30972</v>
      </c>
      <c r="Y13" s="18" t="n">
        <v>30606</v>
      </c>
      <c r="Z13" s="18" t="n">
        <v>31271</v>
      </c>
      <c r="AA13" s="18" t="n">
        <v>31228</v>
      </c>
      <c r="AB13" s="18" t="n">
        <v>36002</v>
      </c>
      <c r="AC13" s="18" t="n">
        <v>39696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9947</v>
      </c>
      <c r="C15" s="18" t="n">
        <v>7068</v>
      </c>
      <c r="D15" s="18" t="n">
        <v>10671</v>
      </c>
      <c r="E15" s="18" t="n">
        <v>6836</v>
      </c>
      <c r="F15" s="18" t="n">
        <v>6959</v>
      </c>
      <c r="G15" s="18" t="n">
        <v>11247</v>
      </c>
      <c r="H15" s="18" t="n">
        <v>15227</v>
      </c>
      <c r="I15" s="18" t="n">
        <v>17930</v>
      </c>
      <c r="J15" s="18" t="n">
        <v>18525</v>
      </c>
      <c r="K15" s="18" t="n">
        <v>18936</v>
      </c>
      <c r="L15" s="18" t="n">
        <v>20642</v>
      </c>
      <c r="M15" s="18" t="n">
        <v>16436</v>
      </c>
      <c r="N15" s="18" t="n">
        <v>16002</v>
      </c>
      <c r="O15" s="18" t="n">
        <v>13910</v>
      </c>
      <c r="P15" s="18" t="n">
        <v>13624</v>
      </c>
      <c r="Q15" s="18" t="n">
        <v>15051</v>
      </c>
      <c r="R15" s="18" t="n">
        <v>18368</v>
      </c>
      <c r="S15" s="18" t="n">
        <v>19689</v>
      </c>
      <c r="T15" s="18" t="n">
        <v>20687</v>
      </c>
      <c r="U15" s="18" t="n">
        <v>23662</v>
      </c>
      <c r="V15" s="18" t="n">
        <v>23619</v>
      </c>
      <c r="W15" s="18" t="n">
        <v>26301</v>
      </c>
      <c r="X15" s="18" t="n">
        <v>26536</v>
      </c>
      <c r="Y15" s="18" t="n">
        <v>34540</v>
      </c>
      <c r="Z15" s="18" t="n">
        <v>28196</v>
      </c>
      <c r="AA15" s="18" t="n">
        <v>34979</v>
      </c>
      <c r="AB15" s="18" t="n">
        <v>34455</v>
      </c>
      <c r="AC15" s="18" t="n">
        <v>62578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13999.0744</v>
      </c>
      <c r="C17" s="18" t="n">
        <v>13963.974414</v>
      </c>
      <c r="D17" s="18" t="n">
        <v>13903.874438</v>
      </c>
      <c r="E17" s="18" t="n">
        <v>13845.334461</v>
      </c>
      <c r="F17" s="18" t="n">
        <v>13740.474503</v>
      </c>
      <c r="G17" s="18" t="n">
        <v>13717.014513</v>
      </c>
      <c r="H17" s="18" t="n">
        <v>13659.373853</v>
      </c>
      <c r="I17" s="18" t="n">
        <v>13641.413861</v>
      </c>
      <c r="J17" s="18" t="n">
        <v>13592.234</v>
      </c>
      <c r="K17" s="18" t="n">
        <v>13530.373911</v>
      </c>
      <c r="L17" s="18" t="n">
        <v>13449.853947</v>
      </c>
      <c r="M17" s="18" t="n">
        <v>13351.013992</v>
      </c>
      <c r="N17" s="18" t="n">
        <v>13238.994042</v>
      </c>
      <c r="O17" s="18" t="n">
        <v>13097</v>
      </c>
      <c r="P17" s="18" t="n">
        <v>12947</v>
      </c>
      <c r="Q17" s="18" t="n">
        <v>12823</v>
      </c>
      <c r="R17" s="18" t="n">
        <v>12764</v>
      </c>
      <c r="S17" s="18" t="n">
        <v>12696</v>
      </c>
      <c r="T17" s="18" t="n">
        <v>12602</v>
      </c>
      <c r="U17" s="18" t="n">
        <v>12527</v>
      </c>
      <c r="V17" s="18" t="n">
        <v>12495</v>
      </c>
      <c r="W17" s="18" t="n">
        <v>12419</v>
      </c>
      <c r="X17" s="18" t="n">
        <v>12348</v>
      </c>
      <c r="Y17" s="18" t="n">
        <v>12291</v>
      </c>
      <c r="Z17" s="18" t="n">
        <v>12198</v>
      </c>
      <c r="AA17" s="18" t="n">
        <v>12203</v>
      </c>
      <c r="AB17" s="18" t="n">
        <v>12228</v>
      </c>
      <c r="AC17" s="18" t="n">
        <v>12238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Google Search &amp; Other</t>
        </is>
      </c>
      <c r="B19" s="18" t="n">
        <v>23642</v>
      </c>
      <c r="C19" s="18" t="n">
        <v>24741</v>
      </c>
      <c r="D19" s="18" t="n">
        <v>27185</v>
      </c>
      <c r="E19" s="18" t="n">
        <v>24502</v>
      </c>
      <c r="F19" s="18" t="n">
        <v>21319</v>
      </c>
      <c r="G19" s="18" t="n">
        <v>26338</v>
      </c>
      <c r="H19" s="18" t="n">
        <v>31903</v>
      </c>
      <c r="I19" s="18" t="n">
        <v>31879</v>
      </c>
      <c r="J19" s="18" t="n">
        <v>35845</v>
      </c>
      <c r="K19" s="18" t="n">
        <v>37926</v>
      </c>
      <c r="L19" s="18" t="n">
        <v>43301</v>
      </c>
      <c r="M19" s="18" t="n">
        <v>39618</v>
      </c>
      <c r="N19" s="18" t="n">
        <v>40689</v>
      </c>
      <c r="O19" s="18" t="n">
        <v>39539</v>
      </c>
      <c r="P19" s="18" t="n">
        <v>42604</v>
      </c>
      <c r="Q19" s="18" t="n">
        <v>40359</v>
      </c>
      <c r="R19" s="18" t="n">
        <v>42628</v>
      </c>
      <c r="S19" s="18" t="n">
        <v>44026</v>
      </c>
      <c r="T19" s="18" t="n">
        <v>48020</v>
      </c>
      <c r="U19" s="18" t="n">
        <v>46156</v>
      </c>
      <c r="V19" s="18" t="n">
        <v>48509</v>
      </c>
      <c r="W19" s="18" t="n">
        <v>49385</v>
      </c>
      <c r="X19" s="18" t="n">
        <v>54034</v>
      </c>
      <c r="Y19" s="18" t="n">
        <v>50702</v>
      </c>
      <c r="Z19" s="18" t="n">
        <v>54190</v>
      </c>
      <c r="AA19" s="18" t="n">
        <v>56567</v>
      </c>
      <c r="AB19" s="18" t="n">
        <v>63073</v>
      </c>
      <c r="AC19" s="18" t="n">
        <v>60399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Google Cloud</t>
        </is>
      </c>
      <c r="B22" s="18" t="n">
        <v>2100</v>
      </c>
      <c r="C22" s="18" t="n">
        <v>2379</v>
      </c>
      <c r="D22" s="18" t="n">
        <v>2614</v>
      </c>
      <c r="E22" s="18" t="n">
        <v>2777</v>
      </c>
      <c r="F22" s="18" t="n">
        <v>3007</v>
      </c>
      <c r="G22" s="18" t="n">
        <v>3444</v>
      </c>
      <c r="H22" s="18" t="n">
        <v>3831</v>
      </c>
      <c r="I22" s="18" t="n">
        <v>4047</v>
      </c>
      <c r="J22" s="18" t="n">
        <v>4628</v>
      </c>
      <c r="K22" s="18" t="n">
        <v>4990</v>
      </c>
      <c r="L22" s="18" t="n">
        <v>5541</v>
      </c>
      <c r="M22" s="18" t="n">
        <v>5821</v>
      </c>
      <c r="N22" s="18" t="n">
        <v>6276</v>
      </c>
      <c r="O22" s="18" t="n">
        <v>6868</v>
      </c>
      <c r="P22" s="18" t="n">
        <v>7315</v>
      </c>
      <c r="Q22" s="18" t="n">
        <v>7454</v>
      </c>
      <c r="R22" s="18" t="n">
        <v>8031</v>
      </c>
      <c r="S22" s="18" t="n">
        <v>8411</v>
      </c>
      <c r="T22" s="18" t="n">
        <v>9192</v>
      </c>
      <c r="U22" s="18" t="n">
        <v>9574</v>
      </c>
      <c r="V22" s="18" t="n">
        <v>10347</v>
      </c>
      <c r="W22" s="18" t="n">
        <v>11353</v>
      </c>
      <c r="X22" s="18" t="n">
        <v>11955</v>
      </c>
      <c r="Y22" s="18" t="n">
        <v>12260</v>
      </c>
      <c r="Z22" s="18" t="n">
        <v>13624</v>
      </c>
      <c r="AA22" s="18" t="n">
        <v>15157</v>
      </c>
      <c r="AB22" s="18" t="n">
        <v>17664</v>
      </c>
      <c r="AC22" s="18" t="n">
        <v>20028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Subscriptions, Platforms, And Devices Revenue</t>
        </is>
      </c>
      <c r="AB25" s="18" t="n">
        <v>13578</v>
      </c>
      <c r="AC25" s="18" t="n">
        <v>12384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YouTube Advertising Revenue</t>
        </is>
      </c>
      <c r="AA28" s="18" t="n">
        <v>10261</v>
      </c>
      <c r="AB28" s="18" t="n">
        <v>11383</v>
      </c>
      <c r="AC28" s="18" t="n">
        <v>9883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Google Network</t>
        </is>
      </c>
      <c r="B31" s="18" t="n">
        <v>5249</v>
      </c>
      <c r="C31" s="18" t="n">
        <v>5251</v>
      </c>
      <c r="D31" s="18" t="n">
        <v>6032</v>
      </c>
      <c r="E31" s="18" t="n">
        <v>5223</v>
      </c>
      <c r="F31" s="18" t="n">
        <v>4736</v>
      </c>
      <c r="G31" s="18" t="n">
        <v>5720</v>
      </c>
      <c r="H31" s="18" t="n">
        <v>7411</v>
      </c>
      <c r="I31" s="18" t="n">
        <v>6800</v>
      </c>
      <c r="J31" s="18" t="n">
        <v>7597</v>
      </c>
      <c r="K31" s="18" t="n">
        <v>7999</v>
      </c>
      <c r="L31" s="18" t="n">
        <v>9305</v>
      </c>
      <c r="M31" s="18" t="n">
        <v>8174</v>
      </c>
      <c r="N31" s="18" t="n">
        <v>8259</v>
      </c>
      <c r="O31" s="18" t="n">
        <v>7872</v>
      </c>
      <c r="P31" s="18" t="n">
        <v>8475</v>
      </c>
      <c r="Q31" s="18" t="n">
        <v>7496</v>
      </c>
      <c r="R31" s="18" t="n">
        <v>7850</v>
      </c>
      <c r="S31" s="18" t="n">
        <v>7669</v>
      </c>
      <c r="T31" s="18" t="n">
        <v>8297</v>
      </c>
      <c r="U31" s="18" t="n">
        <v>7413</v>
      </c>
      <c r="V31" s="18" t="n">
        <v>7444</v>
      </c>
      <c r="W31" s="18" t="n">
        <v>7548</v>
      </c>
      <c r="X31" s="18" t="n">
        <v>7954</v>
      </c>
      <c r="Y31" s="18" t="n">
        <v>7256</v>
      </c>
      <c r="Z31" s="18" t="n">
        <v>7354</v>
      </c>
      <c r="AA31" s="18" t="n">
        <v>7354</v>
      </c>
      <c r="AB31" s="18" t="n">
        <v>7828</v>
      </c>
      <c r="AC31" s="18" t="n">
        <v>6971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Other Bets</t>
        </is>
      </c>
      <c r="B34" s="18" t="n">
        <v>162</v>
      </c>
      <c r="C34" s="18" t="n">
        <v>155</v>
      </c>
      <c r="D34" s="18" t="n">
        <v>172</v>
      </c>
      <c r="E34" s="18" t="n">
        <v>135</v>
      </c>
      <c r="F34" s="18" t="n">
        <v>148</v>
      </c>
      <c r="G34" s="18" t="n">
        <v>178</v>
      </c>
      <c r="H34" s="18" t="n">
        <v>196</v>
      </c>
      <c r="I34" s="18" t="n">
        <v>198</v>
      </c>
      <c r="J34" s="18" t="n">
        <v>192</v>
      </c>
      <c r="K34" s="18" t="n">
        <v>182</v>
      </c>
      <c r="L34" s="18" t="n">
        <v>181</v>
      </c>
      <c r="M34" s="18" t="n">
        <v>440</v>
      </c>
      <c r="N34" s="18" t="n">
        <v>193</v>
      </c>
      <c r="O34" s="18" t="n">
        <v>209</v>
      </c>
      <c r="P34" s="18" t="n">
        <v>226</v>
      </c>
      <c r="Q34" s="18" t="n">
        <v>288</v>
      </c>
      <c r="R34" s="18" t="n">
        <v>285</v>
      </c>
      <c r="S34" s="18" t="n">
        <v>297</v>
      </c>
      <c r="T34" s="18" t="n">
        <v>657</v>
      </c>
      <c r="U34" s="18" t="n">
        <v>495</v>
      </c>
      <c r="V34" s="18" t="n">
        <v>365</v>
      </c>
      <c r="W34" s="18" t="n">
        <v>388</v>
      </c>
      <c r="X34" s="18" t="n">
        <v>400</v>
      </c>
      <c r="Y34" s="18" t="n">
        <v>450</v>
      </c>
      <c r="Z34" s="18" t="n">
        <v>373</v>
      </c>
      <c r="AA34" s="18" t="n">
        <v>344</v>
      </c>
      <c r="AB34" s="18" t="n">
        <v>370</v>
      </c>
      <c r="AC34" s="18" t="n">
        <v>411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4" t="inlineStr">
        <is>
          <t>Other Segments</t>
        </is>
      </c>
      <c r="Y37" s="18" t="n">
        <v>260</v>
      </c>
      <c r="AA37" s="18" t="n">
        <v>-207</v>
      </c>
      <c r="AB37" s="18" t="n">
        <v>-68</v>
      </c>
      <c r="AC37" s="18" t="n">
        <v>-180</v>
      </c>
    </row>
    <row r="38">
      <c r="A38" s="4" t="inlineStr">
        <is>
          <t xml:space="preserve">    % YoY</t>
        </is>
      </c>
      <c r="F38" s="25">
        <f>IFERROR(F37/B37-1,"")</f>
        <v/>
      </c>
      <c r="G38" s="25">
        <f>IFERROR(G37/C37-1,"")</f>
        <v/>
      </c>
      <c r="H38" s="25">
        <f>IFERROR(H37/D37-1,"")</f>
        <v/>
      </c>
      <c r="I38" s="25">
        <f>IFERROR(I37/E37-1,"")</f>
        <v/>
      </c>
      <c r="J38" s="25">
        <f>IFERROR(J37/F37-1,"")</f>
        <v/>
      </c>
      <c r="K38" s="25">
        <f>IFERROR(K37/G37-1,"")</f>
        <v/>
      </c>
      <c r="L38" s="25">
        <f>IFERROR(L37/H37-1,"")</f>
        <v/>
      </c>
      <c r="M38" s="25">
        <f>IFERROR(M37/I37-1,"")</f>
        <v/>
      </c>
      <c r="N38" s="25">
        <f>IFERROR(N37/J37-1,"")</f>
        <v/>
      </c>
      <c r="O38" s="25">
        <f>IFERROR(O37/K37-1,"")</f>
        <v/>
      </c>
      <c r="P38" s="25">
        <f>IFERROR(P37/L37-1,"")</f>
        <v/>
      </c>
      <c r="Q38" s="25">
        <f>IFERROR(Q37/M37-1,"")</f>
        <v/>
      </c>
      <c r="R38" s="25">
        <f>IFERROR(R37/N37-1,"")</f>
        <v/>
      </c>
      <c r="S38" s="25">
        <f>IFERROR(S37/O37-1,"")</f>
        <v/>
      </c>
      <c r="T38" s="25">
        <f>IFERROR(T37/P37-1,"")</f>
        <v/>
      </c>
      <c r="U38" s="25">
        <f>IFERROR(U37/Q37-1,"")</f>
        <v/>
      </c>
      <c r="V38" s="25">
        <f>IFERROR(V37/R37-1,"")</f>
        <v/>
      </c>
      <c r="W38" s="25">
        <f>IFERROR(W37/S37-1,"")</f>
        <v/>
      </c>
      <c r="X38" s="25">
        <f>IFERROR(X37/T37-1,"")</f>
        <v/>
      </c>
      <c r="Y38" s="25">
        <f>IFERROR(Y37/U37-1,"")</f>
        <v/>
      </c>
      <c r="Z38" s="25">
        <f>IFERROR(Z37/V37-1,"")</f>
        <v/>
      </c>
      <c r="AA38" s="25">
        <f>IFERROR(AA37/W37-1,"")</f>
        <v/>
      </c>
      <c r="AB38" s="25">
        <f>IFERROR(AB37/X37-1,"")</f>
        <v/>
      </c>
      <c r="AC38" s="25">
        <f>IFERROR(AC37/Y37-1,"")</f>
        <v/>
      </c>
    </row>
    <row r="39">
      <c r="A39" s="4" t="inlineStr">
        <is>
          <t xml:space="preserve">    % of revenue</t>
        </is>
      </c>
      <c r="B39" s="25">
        <f>IFERROR(B37/B3,"")</f>
        <v/>
      </c>
      <c r="C39" s="25">
        <f>IFERROR(C37/C3,"")</f>
        <v/>
      </c>
      <c r="D39" s="25">
        <f>IFERROR(D37/D3,"")</f>
        <v/>
      </c>
      <c r="E39" s="25">
        <f>IFERROR(E37/E3,"")</f>
        <v/>
      </c>
      <c r="F39" s="25">
        <f>IFERROR(F37/F3,"")</f>
        <v/>
      </c>
      <c r="G39" s="25">
        <f>IFERROR(G37/G3,"")</f>
        <v/>
      </c>
      <c r="H39" s="25">
        <f>IFERROR(H37/H3,"")</f>
        <v/>
      </c>
      <c r="I39" s="25">
        <f>IFERROR(I37/I3,"")</f>
        <v/>
      </c>
      <c r="J39" s="25">
        <f>IFERROR(J37/J3,"")</f>
        <v/>
      </c>
      <c r="K39" s="25">
        <f>IFERROR(K37/K3,"")</f>
        <v/>
      </c>
      <c r="L39" s="25">
        <f>IFERROR(L37/L3,"")</f>
        <v/>
      </c>
      <c r="M39" s="25">
        <f>IFERROR(M37/M3,"")</f>
        <v/>
      </c>
      <c r="N39" s="25">
        <f>IFERROR(N37/N3,"")</f>
        <v/>
      </c>
      <c r="O39" s="25">
        <f>IFERROR(O37/O3,"")</f>
        <v/>
      </c>
      <c r="P39" s="25">
        <f>IFERROR(P37/P3,"")</f>
        <v/>
      </c>
      <c r="Q39" s="25">
        <f>IFERROR(Q37/Q3,"")</f>
        <v/>
      </c>
      <c r="R39" s="25">
        <f>IFERROR(R37/R3,"")</f>
        <v/>
      </c>
      <c r="S39" s="25">
        <f>IFERROR(S37/S3,"")</f>
        <v/>
      </c>
      <c r="T39" s="25">
        <f>IFERROR(T37/T3,"")</f>
        <v/>
      </c>
      <c r="U39" s="25">
        <f>IFERROR(U37/U3,"")</f>
        <v/>
      </c>
      <c r="V39" s="25">
        <f>IFERROR(V37/V3,"")</f>
        <v/>
      </c>
      <c r="W39" s="25">
        <f>IFERROR(W37/W3,"")</f>
        <v/>
      </c>
      <c r="X39" s="25">
        <f>IFERROR(X37/X3,"")</f>
        <v/>
      </c>
      <c r="Y39" s="25">
        <f>IFERROR(Y37/Y3,"")</f>
        <v/>
      </c>
      <c r="Z39" s="25">
        <f>IFERROR(Z37/Z3,"")</f>
        <v/>
      </c>
      <c r="AA39" s="25">
        <f>IFERROR(AA37/AA3,"")</f>
        <v/>
      </c>
      <c r="AB39" s="25">
        <f>IFERROR(AB37/AB3,"")</f>
        <v/>
      </c>
      <c r="AC39" s="25">
        <f>IFERROR(AC37/AC3,"")</f>
        <v/>
      </c>
    </row>
    <row r="40">
      <c r="A40" s="5" t="inlineStr">
        <is>
          <t xml:space="preserve">  REVENUE BY SEGMENT — GEOGRAPHY (% YoY, % of revenue)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UNITED STATES</t>
        </is>
      </c>
      <c r="B41" s="18" t="n">
        <v>17863</v>
      </c>
      <c r="C41" s="18" t="n">
        <v>18711</v>
      </c>
      <c r="D41" s="18" t="n">
        <v>21737</v>
      </c>
      <c r="E41" s="18" t="n">
        <v>18870</v>
      </c>
      <c r="F41" s="18" t="n">
        <v>17999</v>
      </c>
      <c r="G41" s="18" t="n">
        <v>21442</v>
      </c>
      <c r="H41" s="18" t="n">
        <v>26703</v>
      </c>
      <c r="I41" s="18" t="n">
        <v>25032</v>
      </c>
      <c r="J41" s="18" t="n">
        <v>28208</v>
      </c>
      <c r="K41" s="18" t="n">
        <v>29824</v>
      </c>
      <c r="L41" s="18" t="n">
        <v>34790</v>
      </c>
      <c r="M41" s="18" t="n">
        <v>31733</v>
      </c>
      <c r="N41" s="18" t="n">
        <v>32727</v>
      </c>
      <c r="O41" s="18" t="n">
        <v>33372</v>
      </c>
      <c r="P41" s="18" t="n">
        <v>36982</v>
      </c>
      <c r="Q41" s="18" t="n">
        <v>32864</v>
      </c>
      <c r="R41" s="18" t="n">
        <v>35073</v>
      </c>
      <c r="S41" s="18" t="n">
        <v>36354</v>
      </c>
      <c r="T41" s="18" t="n">
        <v>41995</v>
      </c>
      <c r="U41" s="18" t="n">
        <v>38737</v>
      </c>
      <c r="V41" s="18" t="n">
        <v>41196</v>
      </c>
      <c r="W41" s="18" t="n">
        <v>43139</v>
      </c>
      <c r="X41" s="18" t="n">
        <v>47375</v>
      </c>
      <c r="Y41" s="18" t="n">
        <v>43964</v>
      </c>
      <c r="Z41" s="18" t="n">
        <v>46063</v>
      </c>
      <c r="AA41" s="18" t="n">
        <v>48758</v>
      </c>
      <c r="AB41" s="18" t="n">
        <v>55444</v>
      </c>
      <c r="AC41" s="18" t="n">
        <v>53975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EMEA</t>
        </is>
      </c>
      <c r="B44" s="18" t="n">
        <v>12401</v>
      </c>
      <c r="C44" s="18" t="n">
        <v>12667</v>
      </c>
      <c r="D44" s="18" t="n">
        <v>13786</v>
      </c>
      <c r="E44" s="18" t="n">
        <v>12845</v>
      </c>
      <c r="F44" s="18" t="n">
        <v>11363</v>
      </c>
      <c r="G44" s="18" t="n">
        <v>13924</v>
      </c>
      <c r="H44" s="18" t="n">
        <v>17238</v>
      </c>
      <c r="I44" s="18" t="n">
        <v>17031</v>
      </c>
      <c r="J44" s="18" t="n">
        <v>19084</v>
      </c>
      <c r="K44" s="18" t="n">
        <v>19839</v>
      </c>
      <c r="L44" s="18" t="n">
        <v>23153</v>
      </c>
      <c r="M44" s="18" t="n">
        <v>20317</v>
      </c>
      <c r="N44" s="18" t="n">
        <v>20533</v>
      </c>
      <c r="O44" s="18" t="n">
        <v>19450</v>
      </c>
      <c r="P44" s="18" t="n">
        <v>21762</v>
      </c>
      <c r="Q44" s="18" t="n">
        <v>21078</v>
      </c>
      <c r="R44" s="18" t="n">
        <v>22289</v>
      </c>
      <c r="S44" s="18" t="n">
        <v>22661</v>
      </c>
      <c r="T44" s="18" t="n">
        <v>25010</v>
      </c>
      <c r="U44" s="18" t="n">
        <v>23788</v>
      </c>
      <c r="V44" s="18" t="n">
        <v>24683</v>
      </c>
      <c r="W44" s="18" t="n">
        <v>25472</v>
      </c>
      <c r="X44" s="18" t="n">
        <v>28184</v>
      </c>
      <c r="Y44" s="18" t="n">
        <v>25923</v>
      </c>
      <c r="Z44" s="18" t="n">
        <v>28262</v>
      </c>
      <c r="AA44" s="18" t="n">
        <v>29911</v>
      </c>
      <c r="AB44" s="18" t="n">
        <v>33056</v>
      </c>
      <c r="AC44" s="18" t="n">
        <v>31468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Asia Pacific</t>
        </is>
      </c>
      <c r="B47" s="18" t="n">
        <v>6551</v>
      </c>
      <c r="C47" s="18" t="n">
        <v>6828</v>
      </c>
      <c r="D47" s="18" t="n">
        <v>7437</v>
      </c>
      <c r="E47" s="18" t="n">
        <v>7238</v>
      </c>
      <c r="F47" s="18" t="n">
        <v>6945</v>
      </c>
      <c r="G47" s="18" t="n">
        <v>8458</v>
      </c>
      <c r="H47" s="18" t="n">
        <v>9909</v>
      </c>
      <c r="I47" s="18" t="n">
        <v>10455</v>
      </c>
      <c r="J47" s="18" t="n">
        <v>11231</v>
      </c>
      <c r="K47" s="18" t="n">
        <v>11705</v>
      </c>
      <c r="L47" s="18" t="n">
        <v>12732</v>
      </c>
      <c r="M47" s="18" t="n">
        <v>11841</v>
      </c>
      <c r="N47" s="18" t="n">
        <v>11710</v>
      </c>
      <c r="O47" s="18" t="n">
        <v>11494</v>
      </c>
      <c r="P47" s="18" t="n">
        <v>11979</v>
      </c>
      <c r="Q47" s="18" t="n">
        <v>11681</v>
      </c>
      <c r="R47" s="18" t="n">
        <v>12728</v>
      </c>
      <c r="S47" s="18" t="n">
        <v>13126</v>
      </c>
      <c r="T47" s="18" t="n">
        <v>13979</v>
      </c>
      <c r="U47" s="18" t="n">
        <v>13289</v>
      </c>
      <c r="V47" s="18" t="n">
        <v>13823</v>
      </c>
      <c r="W47" s="18" t="n">
        <v>14547</v>
      </c>
      <c r="X47" s="18" t="n">
        <v>15156</v>
      </c>
      <c r="Y47" s="18" t="n">
        <v>14854</v>
      </c>
      <c r="Z47" s="18" t="n">
        <v>16480</v>
      </c>
      <c r="AA47" s="18" t="n">
        <v>17819</v>
      </c>
      <c r="AB47" s="18" t="n">
        <v>18527</v>
      </c>
      <c r="AC47" s="18" t="n">
        <v>18288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4" t="inlineStr">
        <is>
          <t>Americas Excluding United States</t>
        </is>
      </c>
      <c r="B50" s="18" t="n">
        <v>2129</v>
      </c>
      <c r="C50" s="18" t="n">
        <v>2293</v>
      </c>
      <c r="D50" s="18" t="n">
        <v>2660</v>
      </c>
      <c r="E50" s="18" t="n">
        <v>2157</v>
      </c>
      <c r="F50" s="18" t="n">
        <v>1839</v>
      </c>
      <c r="G50" s="18" t="n">
        <v>2371</v>
      </c>
      <c r="H50" s="18" t="n">
        <v>3050</v>
      </c>
      <c r="I50" s="18" t="n">
        <v>2905</v>
      </c>
      <c r="J50" s="18" t="n">
        <v>3364</v>
      </c>
      <c r="K50" s="18" t="n">
        <v>3688</v>
      </c>
      <c r="L50" s="18" t="n">
        <v>4447</v>
      </c>
      <c r="M50" s="18" t="n">
        <v>3842</v>
      </c>
      <c r="N50" s="18" t="n">
        <v>4340</v>
      </c>
      <c r="O50" s="18" t="n">
        <v>4138</v>
      </c>
      <c r="P50" s="18" t="n">
        <v>4656</v>
      </c>
      <c r="Q50" s="18" t="n">
        <v>4080</v>
      </c>
      <c r="R50" s="18" t="n">
        <v>4511</v>
      </c>
      <c r="S50" s="18" t="n">
        <v>4553</v>
      </c>
      <c r="T50" s="18" t="n">
        <v>5176</v>
      </c>
      <c r="U50" s="18" t="n">
        <v>4653</v>
      </c>
      <c r="V50" s="18" t="n">
        <v>4938</v>
      </c>
      <c r="W50" s="18" t="n">
        <v>5093</v>
      </c>
      <c r="X50" s="18" t="n">
        <v>5734</v>
      </c>
      <c r="Y50" s="18" t="n">
        <v>5233</v>
      </c>
      <c r="Z50" s="18" t="n">
        <v>5735</v>
      </c>
      <c r="AA50" s="18" t="n">
        <v>6065</v>
      </c>
      <c r="AB50" s="18" t="n">
        <v>6869</v>
      </c>
      <c r="AC50" s="18" t="n">
        <v>6345</v>
      </c>
    </row>
    <row r="51">
      <c r="A51" s="4" t="inlineStr">
        <is>
          <t xml:space="preserve">    % YoY</t>
        </is>
      </c>
      <c r="F51" s="25">
        <f>IFERROR(F50/B50-1,"")</f>
        <v/>
      </c>
      <c r="G51" s="25">
        <f>IFERROR(G50/C50-1,"")</f>
        <v/>
      </c>
      <c r="H51" s="25">
        <f>IFERROR(H50/D50-1,"")</f>
        <v/>
      </c>
      <c r="I51" s="25">
        <f>IFERROR(I50/E50-1,"")</f>
        <v/>
      </c>
      <c r="J51" s="25">
        <f>IFERROR(J50/F50-1,"")</f>
        <v/>
      </c>
      <c r="K51" s="25">
        <f>IFERROR(K50/G50-1,"")</f>
        <v/>
      </c>
      <c r="L51" s="25">
        <f>IFERROR(L50/H50-1,"")</f>
        <v/>
      </c>
      <c r="M51" s="25">
        <f>IFERROR(M50/I50-1,"")</f>
        <v/>
      </c>
      <c r="N51" s="25">
        <f>IFERROR(N50/J50-1,"")</f>
        <v/>
      </c>
      <c r="O51" s="25">
        <f>IFERROR(O50/K50-1,"")</f>
        <v/>
      </c>
      <c r="P51" s="25">
        <f>IFERROR(P50/L50-1,"")</f>
        <v/>
      </c>
      <c r="Q51" s="25">
        <f>IFERROR(Q50/M50-1,"")</f>
        <v/>
      </c>
      <c r="R51" s="25">
        <f>IFERROR(R50/N50-1,"")</f>
        <v/>
      </c>
      <c r="S51" s="25">
        <f>IFERROR(S50/O50-1,"")</f>
        <v/>
      </c>
      <c r="T51" s="25">
        <f>IFERROR(T50/P50-1,"")</f>
        <v/>
      </c>
      <c r="U51" s="25">
        <f>IFERROR(U50/Q50-1,"")</f>
        <v/>
      </c>
      <c r="V51" s="25">
        <f>IFERROR(V50/R50-1,"")</f>
        <v/>
      </c>
      <c r="W51" s="25">
        <f>IFERROR(W50/S50-1,"")</f>
        <v/>
      </c>
      <c r="X51" s="25">
        <f>IFERROR(X50/T50-1,"")</f>
        <v/>
      </c>
      <c r="Y51" s="25">
        <f>IFERROR(Y50/U50-1,"")</f>
        <v/>
      </c>
      <c r="Z51" s="25">
        <f>IFERROR(Z50/V50-1,"")</f>
        <v/>
      </c>
      <c r="AA51" s="25">
        <f>IFERROR(AA50/W50-1,"")</f>
        <v/>
      </c>
      <c r="AB51" s="25">
        <f>IFERROR(AB50/X50-1,"")</f>
        <v/>
      </c>
      <c r="AC51" s="25">
        <f>IFERROR(AC50/Y50-1,"")</f>
        <v/>
      </c>
    </row>
    <row r="52">
      <c r="A52" s="4" t="inlineStr">
        <is>
          <t xml:space="preserve">    % of revenue</t>
        </is>
      </c>
      <c r="B52" s="25">
        <f>IFERROR(B50/B3,"")</f>
        <v/>
      </c>
      <c r="C52" s="25">
        <f>IFERROR(C50/C3,"")</f>
        <v/>
      </c>
      <c r="D52" s="25">
        <f>IFERROR(D50/D3,"")</f>
        <v/>
      </c>
      <c r="E52" s="25">
        <f>IFERROR(E50/E3,"")</f>
        <v/>
      </c>
      <c r="F52" s="25">
        <f>IFERROR(F50/F3,"")</f>
        <v/>
      </c>
      <c r="G52" s="25">
        <f>IFERROR(G50/G3,"")</f>
        <v/>
      </c>
      <c r="H52" s="25">
        <f>IFERROR(H50/H3,"")</f>
        <v/>
      </c>
      <c r="I52" s="25">
        <f>IFERROR(I50/I3,"")</f>
        <v/>
      </c>
      <c r="J52" s="25">
        <f>IFERROR(J50/J3,"")</f>
        <v/>
      </c>
      <c r="K52" s="25">
        <f>IFERROR(K50/K3,"")</f>
        <v/>
      </c>
      <c r="L52" s="25">
        <f>IFERROR(L50/L3,"")</f>
        <v/>
      </c>
      <c r="M52" s="25">
        <f>IFERROR(M50/M3,"")</f>
        <v/>
      </c>
      <c r="N52" s="25">
        <f>IFERROR(N50/N3,"")</f>
        <v/>
      </c>
      <c r="O52" s="25">
        <f>IFERROR(O50/O3,"")</f>
        <v/>
      </c>
      <c r="P52" s="25">
        <f>IFERROR(P50/P3,"")</f>
        <v/>
      </c>
      <c r="Q52" s="25">
        <f>IFERROR(Q50/Q3,"")</f>
        <v/>
      </c>
      <c r="R52" s="25">
        <f>IFERROR(R50/R3,"")</f>
        <v/>
      </c>
      <c r="S52" s="25">
        <f>IFERROR(S50/S3,"")</f>
        <v/>
      </c>
      <c r="T52" s="25">
        <f>IFERROR(T50/T3,"")</f>
        <v/>
      </c>
      <c r="U52" s="25">
        <f>IFERROR(U50/U3,"")</f>
        <v/>
      </c>
      <c r="V52" s="25">
        <f>IFERROR(V50/V3,"")</f>
        <v/>
      </c>
      <c r="W52" s="25">
        <f>IFERROR(W50/W3,"")</f>
        <v/>
      </c>
      <c r="X52" s="25">
        <f>IFERROR(X50/X3,"")</f>
        <v/>
      </c>
      <c r="Y52" s="25">
        <f>IFERROR(Y50/Y3,"")</f>
        <v/>
      </c>
      <c r="Z52" s="25">
        <f>IFERROR(Z50/Z3,"")</f>
        <v/>
      </c>
      <c r="AA52" s="25">
        <f>IFERROR(AA50/AA3,"")</f>
        <v/>
      </c>
      <c r="AB52" s="25">
        <f>IFERROR(AB50/AB3,"")</f>
        <v/>
      </c>
      <c r="AC52" s="25">
        <f>IFERROR(AC50/AC3,"")</f>
        <v/>
      </c>
    </row>
    <row r="53">
      <c r="A53" s="5" t="inlineStr">
        <is>
          <t xml:space="preserve">  BALANCE SHEET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>
      <c r="A54" s="4" t="inlineStr">
        <is>
          <t>Cash &amp; ST Investments</t>
        </is>
      </c>
      <c r="B54" s="18" t="n">
        <v>121056</v>
      </c>
      <c r="C54" s="18" t="n">
        <v>121177</v>
      </c>
      <c r="D54" s="18" t="n">
        <v>119675</v>
      </c>
      <c r="E54" s="18" t="n">
        <v>117229</v>
      </c>
      <c r="F54" s="18" t="n">
        <v>121080</v>
      </c>
      <c r="G54" s="18" t="n">
        <v>132596</v>
      </c>
      <c r="H54" s="18" t="n">
        <v>136694</v>
      </c>
      <c r="I54" s="18" t="n">
        <v>135104</v>
      </c>
      <c r="J54" s="18" t="n">
        <v>135863</v>
      </c>
      <c r="K54" s="18" t="n">
        <v>142003</v>
      </c>
      <c r="L54" s="18" t="n">
        <v>139649</v>
      </c>
      <c r="M54" s="18" t="n">
        <v>133970</v>
      </c>
      <c r="N54" s="18" t="n">
        <v>124997</v>
      </c>
      <c r="O54" s="18" t="n">
        <v>116259</v>
      </c>
      <c r="P54" s="18" t="n">
        <v>113762</v>
      </c>
      <c r="Q54" s="18" t="n">
        <v>115102</v>
      </c>
      <c r="R54" s="18" t="n">
        <v>118332</v>
      </c>
      <c r="S54" s="18" t="n">
        <v>119935</v>
      </c>
      <c r="T54" s="18" t="n">
        <v>110916</v>
      </c>
      <c r="U54" s="18" t="n">
        <v>108090</v>
      </c>
      <c r="V54" s="18" t="n">
        <v>100725</v>
      </c>
      <c r="W54" s="18" t="n">
        <v>93230</v>
      </c>
      <c r="X54" s="18" t="n">
        <v>95657</v>
      </c>
      <c r="Y54" s="18" t="n">
        <v>95328</v>
      </c>
      <c r="Z54" s="18" t="n">
        <v>95148</v>
      </c>
      <c r="AA54" s="18" t="n">
        <v>98496</v>
      </c>
      <c r="AB54" s="18" t="n">
        <v>126843</v>
      </c>
      <c r="AC54" s="18" t="n">
        <v>126840</v>
      </c>
    </row>
    <row r="55">
      <c r="A55" s="4" t="inlineStr">
        <is>
          <t>Total Current Assets</t>
        </is>
      </c>
      <c r="B55" s="18" t="n">
        <v>147437</v>
      </c>
      <c r="C55" s="18" t="n">
        <v>148358</v>
      </c>
      <c r="D55" s="18" t="n">
        <v>152578</v>
      </c>
      <c r="E55" s="18" t="n">
        <v>147018</v>
      </c>
      <c r="F55" s="18" t="n">
        <v>149069</v>
      </c>
      <c r="G55" s="18" t="n">
        <v>164369</v>
      </c>
      <c r="H55" s="18" t="n">
        <v>174296</v>
      </c>
      <c r="I55" s="18" t="n">
        <v>172137</v>
      </c>
      <c r="J55" s="18" t="n">
        <v>175697</v>
      </c>
      <c r="K55" s="18" t="n">
        <v>184110</v>
      </c>
      <c r="L55" s="18" t="n">
        <v>188143</v>
      </c>
      <c r="M55" s="18" t="n">
        <v>177853</v>
      </c>
      <c r="N55" s="18" t="n">
        <v>172371</v>
      </c>
      <c r="O55" s="18" t="n">
        <v>166109</v>
      </c>
      <c r="P55" s="18" t="n">
        <v>164795</v>
      </c>
      <c r="Q55" s="18" t="n">
        <v>161985</v>
      </c>
      <c r="R55" s="18" t="n">
        <v>168788</v>
      </c>
      <c r="S55" s="18" t="n">
        <v>176310</v>
      </c>
      <c r="T55" s="18" t="n">
        <v>171530</v>
      </c>
      <c r="U55" s="18" t="n">
        <v>165471</v>
      </c>
      <c r="V55" s="18" t="n">
        <v>161995</v>
      </c>
      <c r="W55" s="18" t="n">
        <v>157541</v>
      </c>
      <c r="X55" s="18" t="n">
        <v>163711</v>
      </c>
      <c r="Y55" s="18" t="n">
        <v>162052</v>
      </c>
      <c r="Z55" s="18" t="n">
        <v>166216</v>
      </c>
      <c r="AA55" s="18" t="n">
        <v>173947</v>
      </c>
      <c r="AB55" s="18" t="n">
        <v>206038</v>
      </c>
      <c r="AC55" s="18" t="n">
        <v>213753</v>
      </c>
    </row>
    <row r="56">
      <c r="A56" s="4" t="inlineStr">
        <is>
          <t>PP&amp;E (net)</t>
        </is>
      </c>
      <c r="B56" s="18" t="n">
        <v>74604</v>
      </c>
      <c r="C56" s="18" t="n">
        <v>79593</v>
      </c>
      <c r="D56" s="18" t="n">
        <v>84587</v>
      </c>
      <c r="E56" s="18" t="n">
        <v>87966</v>
      </c>
      <c r="F56" s="18" t="n">
        <v>90315</v>
      </c>
      <c r="G56" s="18" t="n">
        <v>93582</v>
      </c>
      <c r="H56" s="18" t="n">
        <v>96960</v>
      </c>
      <c r="I56" s="18" t="n">
        <v>100204</v>
      </c>
      <c r="J56" s="18" t="n">
        <v>104675</v>
      </c>
      <c r="K56" s="18" t="n">
        <v>107549</v>
      </c>
      <c r="L56" s="18" t="n">
        <v>110558</v>
      </c>
      <c r="M56" s="18" t="n">
        <v>117210</v>
      </c>
      <c r="N56" s="18" t="n">
        <v>119621</v>
      </c>
      <c r="O56" s="18" t="n">
        <v>122040</v>
      </c>
      <c r="P56" s="18" t="n">
        <v>127049</v>
      </c>
      <c r="Q56" s="18" t="n">
        <v>132007</v>
      </c>
      <c r="R56" s="18" t="n">
        <v>135677</v>
      </c>
      <c r="S56" s="18" t="n">
        <v>139904</v>
      </c>
      <c r="T56" s="18" t="n">
        <v>148436</v>
      </c>
      <c r="U56" s="18" t="n">
        <v>156950</v>
      </c>
      <c r="V56" s="18" t="n">
        <v>164761</v>
      </c>
      <c r="W56" s="18" t="n">
        <v>174831</v>
      </c>
      <c r="X56" s="18" t="n">
        <v>184624</v>
      </c>
      <c r="Y56" s="18" t="n">
        <v>198784</v>
      </c>
      <c r="Z56" s="18" t="n">
        <v>217486</v>
      </c>
      <c r="AA56" s="18" t="n">
        <v>238311</v>
      </c>
      <c r="AB56" s="18" t="n">
        <v>261818</v>
      </c>
      <c r="AC56" s="18" t="n">
        <v>296529</v>
      </c>
    </row>
    <row r="57">
      <c r="A57" s="4" t="inlineStr">
        <is>
          <t>Total Assets</t>
        </is>
      </c>
      <c r="B57" s="18" t="n">
        <v>257101</v>
      </c>
      <c r="C57" s="18" t="n">
        <v>263044</v>
      </c>
      <c r="D57" s="18" t="n">
        <v>275909</v>
      </c>
      <c r="E57" s="18" t="n">
        <v>273403</v>
      </c>
      <c r="F57" s="18" t="n">
        <v>278492</v>
      </c>
      <c r="G57" s="18" t="n">
        <v>299243</v>
      </c>
      <c r="H57" s="18" t="n">
        <v>319616</v>
      </c>
      <c r="I57" s="18" t="n">
        <v>327095</v>
      </c>
      <c r="J57" s="18" t="n">
        <v>335387</v>
      </c>
      <c r="K57" s="18" t="n">
        <v>347403</v>
      </c>
      <c r="L57" s="18" t="n">
        <v>359268</v>
      </c>
      <c r="M57" s="18" t="n">
        <v>357096</v>
      </c>
      <c r="N57" s="18" t="n">
        <v>355185</v>
      </c>
      <c r="O57" s="18" t="n">
        <v>358255</v>
      </c>
      <c r="P57" s="18" t="n">
        <v>365264</v>
      </c>
      <c r="Q57" s="18" t="n">
        <v>369491</v>
      </c>
      <c r="R57" s="18" t="n">
        <v>383044</v>
      </c>
      <c r="S57" s="18" t="n">
        <v>396711</v>
      </c>
      <c r="T57" s="18" t="n">
        <v>402392</v>
      </c>
      <c r="U57" s="18" t="n">
        <v>407350</v>
      </c>
      <c r="V57" s="18" t="n">
        <v>414770</v>
      </c>
      <c r="W57" s="18" t="n">
        <v>430266</v>
      </c>
      <c r="X57" s="18" t="n">
        <v>450256</v>
      </c>
      <c r="Y57" s="18" t="n">
        <v>475374</v>
      </c>
      <c r="Z57" s="18" t="n">
        <v>502053</v>
      </c>
      <c r="AA57" s="18" t="n">
        <v>536469</v>
      </c>
      <c r="AB57" s="18" t="n">
        <v>595281</v>
      </c>
      <c r="AC57" s="18" t="n">
        <v>703919</v>
      </c>
    </row>
    <row r="58">
      <c r="A58" s="4" t="inlineStr">
        <is>
          <t>Total Current Liabilities</t>
        </is>
      </c>
      <c r="B58" s="18" t="n">
        <v>37000</v>
      </c>
      <c r="C58" s="18" t="n">
        <v>39224</v>
      </c>
      <c r="D58" s="18" t="n">
        <v>45221</v>
      </c>
      <c r="E58" s="18" t="n">
        <v>40189</v>
      </c>
      <c r="F58" s="18" t="n">
        <v>43658</v>
      </c>
      <c r="G58" s="18" t="n">
        <v>48200</v>
      </c>
      <c r="H58" s="18" t="n">
        <v>56834</v>
      </c>
      <c r="I58" s="18" t="n">
        <v>55453</v>
      </c>
      <c r="J58" s="18" t="n">
        <v>55741</v>
      </c>
      <c r="K58" s="18" t="n">
        <v>61782</v>
      </c>
      <c r="L58" s="18" t="n">
        <v>64254</v>
      </c>
      <c r="M58" s="18" t="n">
        <v>61948</v>
      </c>
      <c r="N58" s="18" t="n">
        <v>61354</v>
      </c>
      <c r="O58" s="18" t="n">
        <v>65979</v>
      </c>
      <c r="P58" s="18" t="n">
        <v>69300</v>
      </c>
      <c r="Q58" s="18" t="n">
        <v>68854</v>
      </c>
      <c r="R58" s="18" t="n">
        <v>77709</v>
      </c>
      <c r="S58" s="18" t="n">
        <v>86295</v>
      </c>
      <c r="T58" s="18" t="n">
        <v>81814</v>
      </c>
      <c r="U58" s="18" t="n">
        <v>76997</v>
      </c>
      <c r="V58" s="18" t="n">
        <v>77913</v>
      </c>
      <c r="W58" s="18" t="n">
        <v>80803</v>
      </c>
      <c r="X58" s="18" t="n">
        <v>89122</v>
      </c>
      <c r="Y58" s="18" t="n">
        <v>91654</v>
      </c>
      <c r="Z58" s="18" t="n">
        <v>87310</v>
      </c>
      <c r="AA58" s="18" t="n">
        <v>99550</v>
      </c>
      <c r="AB58" s="18" t="n">
        <v>102745</v>
      </c>
      <c r="AC58" s="18" t="n">
        <v>111188</v>
      </c>
    </row>
    <row r="59">
      <c r="A59" s="4" t="inlineStr">
        <is>
          <t>Long-term Debt</t>
        </is>
      </c>
      <c r="B59" s="18" t="n">
        <v>3954</v>
      </c>
      <c r="C59" s="18" t="n">
        <v>3956</v>
      </c>
      <c r="D59" s="18" t="n">
        <v>4554</v>
      </c>
      <c r="E59" s="18" t="n">
        <v>3960</v>
      </c>
      <c r="F59" s="18" t="n">
        <v>2963</v>
      </c>
      <c r="G59" s="18" t="n">
        <v>13902</v>
      </c>
      <c r="H59" s="18" t="n">
        <v>12832</v>
      </c>
      <c r="I59" s="18" t="n">
        <v>13887</v>
      </c>
      <c r="J59" s="18" t="n">
        <v>14328</v>
      </c>
      <c r="K59" s="18" t="n">
        <v>14288</v>
      </c>
      <c r="L59" s="18" t="n">
        <v>12844</v>
      </c>
      <c r="M59" s="18" t="n">
        <v>12847</v>
      </c>
      <c r="N59" s="18" t="n">
        <v>12850</v>
      </c>
      <c r="O59" s="18" t="n">
        <v>12854</v>
      </c>
      <c r="P59" s="18" t="n">
        <v>12857</v>
      </c>
      <c r="Q59" s="18" t="n">
        <v>11861</v>
      </c>
      <c r="R59" s="18" t="n">
        <v>11864</v>
      </c>
      <c r="S59" s="18" t="n">
        <v>11867</v>
      </c>
      <c r="T59" s="18" t="n">
        <v>11870</v>
      </c>
      <c r="U59" s="18" t="n">
        <v>11873</v>
      </c>
      <c r="V59" s="18" t="n">
        <v>11876</v>
      </c>
      <c r="W59" s="18" t="n">
        <v>10880</v>
      </c>
      <c r="X59" s="18" t="n">
        <v>10883</v>
      </c>
      <c r="Y59" s="18" t="n">
        <v>10886</v>
      </c>
      <c r="Z59" s="18" t="n">
        <v>23607</v>
      </c>
      <c r="AA59" s="18" t="n">
        <v>21607</v>
      </c>
      <c r="AB59" s="18" t="n">
        <v>46547</v>
      </c>
      <c r="AC59" s="18" t="n">
        <v>77501</v>
      </c>
    </row>
    <row r="60">
      <c r="A60" s="4" t="inlineStr">
        <is>
          <t>Total Equity</t>
        </is>
      </c>
      <c r="B60" s="18" t="n">
        <v>192192</v>
      </c>
      <c r="C60" s="18" t="n">
        <v>194969</v>
      </c>
      <c r="D60" s="18" t="n">
        <v>201442</v>
      </c>
      <c r="E60" s="18" t="n">
        <v>203659</v>
      </c>
      <c r="F60" s="18" t="n">
        <v>207322</v>
      </c>
      <c r="G60" s="18" t="n">
        <v>212920</v>
      </c>
      <c r="H60" s="18" t="n">
        <v>222544</v>
      </c>
      <c r="I60" s="18" t="n">
        <v>230013</v>
      </c>
      <c r="J60" s="18" t="n">
        <v>237565</v>
      </c>
      <c r="K60" s="18" t="n">
        <v>244567</v>
      </c>
      <c r="L60" s="18" t="n">
        <v>251635</v>
      </c>
      <c r="M60" s="18" t="n">
        <v>254004</v>
      </c>
      <c r="N60" s="18" t="n">
        <v>255419</v>
      </c>
      <c r="O60" s="18" t="n">
        <v>253626</v>
      </c>
      <c r="P60" s="18" t="n">
        <v>256144</v>
      </c>
      <c r="Q60" s="18" t="n">
        <v>260894</v>
      </c>
      <c r="R60" s="18" t="n">
        <v>267141</v>
      </c>
      <c r="S60" s="18" t="n">
        <v>273202</v>
      </c>
      <c r="T60" s="18" t="n">
        <v>283379</v>
      </c>
      <c r="U60" s="18" t="n">
        <v>292844</v>
      </c>
      <c r="V60" s="18" t="n">
        <v>300753</v>
      </c>
      <c r="W60" s="18" t="n">
        <v>314119</v>
      </c>
      <c r="X60" s="18" t="n">
        <v>325084</v>
      </c>
      <c r="Y60" s="18" t="n">
        <v>345267</v>
      </c>
      <c r="Z60" s="18" t="n">
        <v>362916</v>
      </c>
      <c r="AA60" s="18" t="n">
        <v>386867</v>
      </c>
      <c r="AB60" s="18" t="n">
        <v>415265</v>
      </c>
      <c r="AC60" s="18" t="n">
        <v>478746</v>
      </c>
    </row>
    <row r="61">
      <c r="A61" s="5" t="inlineStr">
        <is>
          <t xml:space="preserve">  CASH FLOW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>
      <c r="A62" s="4" t="inlineStr">
        <is>
          <t>D&amp;A</t>
        </is>
      </c>
      <c r="B62" s="18" t="n">
        <v>2835</v>
      </c>
      <c r="C62" s="18" t="n">
        <v>2920</v>
      </c>
      <c r="D62" s="18" t="n">
        <v>3413</v>
      </c>
      <c r="E62" s="18" t="n">
        <v>3108</v>
      </c>
      <c r="F62" s="18" t="n">
        <v>3386</v>
      </c>
      <c r="G62" s="18" t="n">
        <v>3478</v>
      </c>
      <c r="H62" s="18" t="n">
        <v>3725</v>
      </c>
      <c r="I62" s="18" t="n">
        <v>2753</v>
      </c>
      <c r="J62" s="18" t="n">
        <v>2945</v>
      </c>
      <c r="K62" s="18" t="n">
        <v>3304</v>
      </c>
      <c r="L62" s="18" t="n">
        <v>3439</v>
      </c>
      <c r="M62" s="18" t="n">
        <v>3782</v>
      </c>
      <c r="N62" s="18" t="n">
        <v>3899</v>
      </c>
      <c r="O62" s="18" t="n">
        <v>4046</v>
      </c>
      <c r="P62" s="18" t="n">
        <v>4201</v>
      </c>
      <c r="Q62" s="18" t="n">
        <v>2635</v>
      </c>
      <c r="R62" s="18" t="n">
        <v>3397</v>
      </c>
      <c r="S62" s="18" t="n">
        <v>3800</v>
      </c>
      <c r="T62" s="18" t="n">
        <v>1563</v>
      </c>
      <c r="U62" s="18" t="n">
        <v>3413</v>
      </c>
      <c r="V62" s="18" t="n">
        <v>3708</v>
      </c>
      <c r="W62" s="18" t="n">
        <v>3985</v>
      </c>
      <c r="X62" s="18" t="n">
        <v>4205</v>
      </c>
      <c r="Y62" s="18" t="n">
        <v>4487</v>
      </c>
      <c r="Z62" s="18" t="n">
        <v>4998</v>
      </c>
      <c r="AA62" s="18" t="n">
        <v>5611</v>
      </c>
      <c r="AB62" s="18" t="n">
        <v>6040</v>
      </c>
      <c r="AC62" s="18" t="n">
        <v>6482</v>
      </c>
    </row>
    <row r="63">
      <c r="A63" s="4" t="inlineStr">
        <is>
          <t>Stock-based Compensation</t>
        </is>
      </c>
      <c r="B63" s="18" t="n">
        <v>2756</v>
      </c>
      <c r="C63" s="18" t="n">
        <v>2624</v>
      </c>
      <c r="D63" s="18" t="n">
        <v>2645</v>
      </c>
      <c r="E63" s="18" t="n">
        <v>3191</v>
      </c>
      <c r="F63" s="18" t="n">
        <v>3382</v>
      </c>
      <c r="G63" s="18" t="n">
        <v>3195</v>
      </c>
      <c r="H63" s="18" t="n">
        <v>3223</v>
      </c>
      <c r="I63" s="18" t="n">
        <v>3745</v>
      </c>
      <c r="J63" s="18" t="n">
        <v>3803</v>
      </c>
      <c r="K63" s="18" t="n">
        <v>3874</v>
      </c>
      <c r="L63" s="18" t="n">
        <v>3954</v>
      </c>
      <c r="M63" s="18" t="n">
        <v>4504</v>
      </c>
      <c r="N63" s="18" t="n">
        <v>4782</v>
      </c>
      <c r="O63" s="18" t="n">
        <v>4976</v>
      </c>
      <c r="P63" s="18" t="n">
        <v>5100</v>
      </c>
      <c r="Q63" s="18" t="n">
        <v>5284</v>
      </c>
      <c r="R63" s="18" t="n">
        <v>5774</v>
      </c>
      <c r="S63" s="18" t="n">
        <v>5743</v>
      </c>
      <c r="T63" s="18" t="n">
        <v>5659</v>
      </c>
      <c r="U63" s="18" t="n">
        <v>5264</v>
      </c>
      <c r="V63" s="18" t="n">
        <v>5865</v>
      </c>
      <c r="W63" s="18" t="n">
        <v>5846</v>
      </c>
      <c r="X63" s="18" t="n">
        <v>5810</v>
      </c>
      <c r="Y63" s="18" t="n">
        <v>5516</v>
      </c>
      <c r="Z63" s="18" t="n">
        <v>5998</v>
      </c>
      <c r="AA63" s="18" t="n">
        <v>6368</v>
      </c>
      <c r="AB63" s="18" t="n">
        <v>7071</v>
      </c>
      <c r="AC63" s="18" t="n">
        <v>6751</v>
      </c>
    </row>
    <row r="64">
      <c r="A64" s="4" t="inlineStr">
        <is>
          <t>Change in Working Capital</t>
        </is>
      </c>
      <c r="B64" s="18" t="n">
        <v>-737</v>
      </c>
      <c r="C64" s="18" t="n">
        <v>1685</v>
      </c>
      <c r="D64" s="18" t="n">
        <v>-1222</v>
      </c>
      <c r="E64" s="18" t="n">
        <v>-2958</v>
      </c>
      <c r="F64" s="18" t="n">
        <v>2327</v>
      </c>
      <c r="G64" s="18" t="n">
        <v>756</v>
      </c>
      <c r="H64" s="18" t="n">
        <v>1702</v>
      </c>
      <c r="I64" s="18" t="n">
        <v>-1233</v>
      </c>
      <c r="J64" s="18" t="n">
        <v>-871</v>
      </c>
      <c r="K64" s="18" t="n">
        <v>2806</v>
      </c>
      <c r="L64" s="18" t="n">
        <v>-2225</v>
      </c>
      <c r="M64" s="18" t="n">
        <v>897</v>
      </c>
      <c r="N64" s="18" t="n">
        <v>-4217</v>
      </c>
      <c r="O64" s="18" t="n">
        <v>796</v>
      </c>
      <c r="P64" s="18" t="n">
        <v>289</v>
      </c>
      <c r="Q64" s="18" t="n">
        <v>1373</v>
      </c>
      <c r="R64" s="18" t="n">
        <v>2936</v>
      </c>
      <c r="S64" s="18" t="n">
        <v>2117</v>
      </c>
      <c r="T64" s="18" t="n">
        <v>-10271</v>
      </c>
      <c r="U64" s="18" t="n">
        <v>-2463</v>
      </c>
      <c r="V64" s="18" t="n">
        <v>-5270</v>
      </c>
      <c r="W64" s="18" t="n">
        <v>-3789</v>
      </c>
      <c r="X64" s="18" t="n">
        <v>3116</v>
      </c>
      <c r="Y64" s="18" t="n">
        <v>2238</v>
      </c>
      <c r="Z64" s="18" t="n">
        <v>-10110</v>
      </c>
      <c r="AA64" s="18" t="n">
        <v>3783</v>
      </c>
      <c r="AB64" s="18" t="n">
        <v>21654</v>
      </c>
      <c r="AC64" s="18" t="n">
        <v>-1402</v>
      </c>
    </row>
    <row r="65">
      <c r="A65" s="4" t="inlineStr">
        <is>
          <t>Operating Cash Flow</t>
        </is>
      </c>
      <c r="B65" s="18" t="n">
        <v>12627</v>
      </c>
      <c r="C65" s="18" t="n">
        <v>15466</v>
      </c>
      <c r="D65" s="18" t="n">
        <v>14427</v>
      </c>
      <c r="E65" s="18" t="n">
        <v>11451</v>
      </c>
      <c r="F65" s="18" t="n">
        <v>13993</v>
      </c>
      <c r="G65" s="18" t="n">
        <v>17003</v>
      </c>
      <c r="H65" s="18" t="n">
        <v>22677</v>
      </c>
      <c r="I65" s="18" t="n">
        <v>19289</v>
      </c>
      <c r="J65" s="18" t="n">
        <v>21890</v>
      </c>
      <c r="K65" s="18" t="n">
        <v>25539</v>
      </c>
      <c r="L65" s="18" t="n">
        <v>24934</v>
      </c>
      <c r="M65" s="18" t="n">
        <v>25106</v>
      </c>
      <c r="N65" s="18" t="n">
        <v>19422</v>
      </c>
      <c r="O65" s="18" t="n">
        <v>23353</v>
      </c>
      <c r="P65" s="18" t="n">
        <v>23614</v>
      </c>
      <c r="Q65" s="18" t="n">
        <v>23509</v>
      </c>
      <c r="R65" s="18" t="n">
        <v>28666</v>
      </c>
      <c r="S65" s="18" t="n">
        <v>30656</v>
      </c>
      <c r="T65" s="18" t="n">
        <v>18915</v>
      </c>
      <c r="U65" s="18" t="n">
        <v>28848</v>
      </c>
      <c r="V65" s="18" t="n">
        <v>26640</v>
      </c>
      <c r="W65" s="18" t="n">
        <v>30698</v>
      </c>
      <c r="X65" s="18" t="n">
        <v>39113</v>
      </c>
      <c r="Y65" s="18" t="n">
        <v>36150</v>
      </c>
      <c r="Z65" s="18" t="n">
        <v>27747</v>
      </c>
      <c r="AA65" s="18" t="n">
        <v>48414</v>
      </c>
      <c r="AB65" s="18" t="n">
        <v>52402</v>
      </c>
      <c r="AC65" s="18" t="n">
        <v>45790</v>
      </c>
    </row>
    <row r="66">
      <c r="A66" s="4" t="inlineStr">
        <is>
          <t>Capex</t>
        </is>
      </c>
      <c r="B66" s="18" t="n">
        <v>-6126</v>
      </c>
      <c r="C66" s="18" t="n">
        <v>-6732</v>
      </c>
      <c r="D66" s="18" t="n">
        <v>-6052</v>
      </c>
      <c r="E66" s="18" t="n">
        <v>-6005</v>
      </c>
      <c r="F66" s="18" t="n">
        <v>-5391</v>
      </c>
      <c r="G66" s="18" t="n">
        <v>-5406</v>
      </c>
      <c r="H66" s="18" t="n">
        <v>-5479</v>
      </c>
      <c r="I66" s="18" t="n">
        <v>-5942</v>
      </c>
      <c r="J66" s="18" t="n">
        <v>-5496</v>
      </c>
      <c r="K66" s="18" t="n">
        <v>-6819</v>
      </c>
      <c r="L66" s="18" t="n">
        <v>-6383</v>
      </c>
      <c r="M66" s="18" t="n">
        <v>-9786</v>
      </c>
      <c r="N66" s="18" t="n">
        <v>-6828</v>
      </c>
      <c r="O66" s="18" t="n">
        <v>-7276</v>
      </c>
      <c r="P66" s="18" t="n">
        <v>-7595</v>
      </c>
      <c r="Q66" s="18" t="n">
        <v>-6289</v>
      </c>
      <c r="R66" s="18" t="n">
        <v>-6888</v>
      </c>
      <c r="S66" s="18" t="n">
        <v>-8055</v>
      </c>
      <c r="T66" s="18" t="n">
        <v>-11019</v>
      </c>
      <c r="U66" s="18" t="n">
        <v>-12012</v>
      </c>
      <c r="V66" s="18" t="n">
        <v>-13186</v>
      </c>
      <c r="W66" s="18" t="n">
        <v>-13061</v>
      </c>
      <c r="X66" s="18" t="n">
        <v>-14276</v>
      </c>
      <c r="Y66" s="18" t="n">
        <v>-17197</v>
      </c>
      <c r="Z66" s="18" t="n">
        <v>-22446</v>
      </c>
      <c r="AA66" s="18" t="n">
        <v>-23953</v>
      </c>
      <c r="AB66" s="18" t="n">
        <v>-27851</v>
      </c>
      <c r="AC66" s="18" t="n">
        <v>-35674</v>
      </c>
    </row>
    <row r="67">
      <c r="A67" s="4" t="inlineStr">
        <is>
          <t>Free Cash Flow</t>
        </is>
      </c>
      <c r="B67" s="18" t="n">
        <v>6501</v>
      </c>
      <c r="C67" s="18" t="n">
        <v>8734</v>
      </c>
      <c r="D67" s="18" t="n">
        <v>8375</v>
      </c>
      <c r="E67" s="18" t="n">
        <v>5446</v>
      </c>
      <c r="F67" s="18" t="n">
        <v>8602</v>
      </c>
      <c r="G67" s="18" t="n">
        <v>11597</v>
      </c>
      <c r="H67" s="18" t="n">
        <v>17198</v>
      </c>
      <c r="I67" s="18" t="n">
        <v>13347</v>
      </c>
      <c r="J67" s="18" t="n">
        <v>16394</v>
      </c>
      <c r="K67" s="18" t="n">
        <v>18720</v>
      </c>
      <c r="L67" s="18" t="n">
        <v>18551</v>
      </c>
      <c r="M67" s="18" t="n">
        <v>15320</v>
      </c>
      <c r="N67" s="18" t="n">
        <v>12594</v>
      </c>
      <c r="O67" s="18" t="n">
        <v>16077</v>
      </c>
      <c r="P67" s="18" t="n">
        <v>16019</v>
      </c>
      <c r="Q67" s="18" t="n">
        <v>17220</v>
      </c>
      <c r="R67" s="18" t="n">
        <v>21778</v>
      </c>
      <c r="S67" s="18" t="n">
        <v>22601</v>
      </c>
      <c r="T67" s="18" t="n">
        <v>7896</v>
      </c>
      <c r="U67" s="18" t="n">
        <v>16836</v>
      </c>
      <c r="V67" s="18" t="n">
        <v>13454</v>
      </c>
      <c r="W67" s="18" t="n">
        <v>17637</v>
      </c>
      <c r="X67" s="18" t="n">
        <v>24837</v>
      </c>
      <c r="Y67" s="18" t="n">
        <v>18953</v>
      </c>
      <c r="Z67" s="18" t="n">
        <v>5301</v>
      </c>
      <c r="AA67" s="18" t="n">
        <v>24461</v>
      </c>
      <c r="AB67" s="18" t="n">
        <v>24551</v>
      </c>
      <c r="AC67" s="18" t="n">
        <v>10116</v>
      </c>
    </row>
    <row r="69">
      <c r="A69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486025.4304</v>
      </c>
      <c r="C4" s="18" t="n">
        <v>578170.325643</v>
      </c>
      <c r="D4" s="18" t="n">
        <v>675970.511514</v>
      </c>
      <c r="E4" s="18" t="n">
        <v>775787.889847</v>
      </c>
      <c r="F4" s="18" t="n">
        <v>885815.614286</v>
      </c>
    </row>
    <row r="5">
      <c r="A5" s="4" t="inlineStr">
        <is>
          <t xml:space="preserve">  model</t>
        </is>
      </c>
      <c r="B5" s="33">
        <f>Model!G18</f>
        <v/>
      </c>
      <c r="C5" s="33">
        <f>Model!H18</f>
        <v/>
      </c>
      <c r="D5" s="33">
        <f>Model!I18</f>
        <v/>
      </c>
      <c r="E5" s="33">
        <f>Model!J18</f>
        <v/>
      </c>
      <c r="F5" s="33">
        <f>Model!K18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180318.780479</v>
      </c>
      <c r="C8" s="18" t="n">
        <v>214505.17094</v>
      </c>
      <c r="D8" s="18" t="n">
        <v>250789.713155</v>
      </c>
      <c r="E8" s="18" t="n">
        <v>287822.64766</v>
      </c>
      <c r="F8" s="18" t="n">
        <v>328643.690858</v>
      </c>
    </row>
    <row r="9">
      <c r="A9" s="4" t="inlineStr">
        <is>
          <t xml:space="preserve">  model</t>
        </is>
      </c>
      <c r="B9" s="33">
        <f>Model!G31+Model!G36</f>
        <v/>
      </c>
      <c r="C9" s="33">
        <f>Model!H31+Model!H36</f>
        <v/>
      </c>
      <c r="D9" s="33">
        <f>Model!I31+Model!I36</f>
        <v/>
      </c>
      <c r="E9" s="33">
        <f>Model!J31+Model!J36</f>
        <v/>
      </c>
      <c r="F9" s="33">
        <f>Model!K31+Model!K36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157865.530368</v>
      </c>
      <c r="C12" s="18" t="n">
        <v>187795.039913</v>
      </c>
      <c r="D12" s="18" t="n">
        <v>219561.439872</v>
      </c>
      <c r="E12" s="18" t="n">
        <v>251983.042498</v>
      </c>
      <c r="F12" s="18" t="n">
        <v>287721.059457</v>
      </c>
    </row>
    <row r="13">
      <c r="A13" s="4" t="inlineStr">
        <is>
          <t xml:space="preserve">  model</t>
        </is>
      </c>
      <c r="B13" s="33">
        <f>Model!G31</f>
        <v/>
      </c>
      <c r="C13" s="33">
        <f>Model!H31</f>
        <v/>
      </c>
      <c r="D13" s="33">
        <f>Model!I31</f>
        <v/>
      </c>
      <c r="E13" s="33">
        <f>Model!J31</f>
        <v/>
      </c>
      <c r="F13" s="33">
        <f>Model!K31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66064.772426</v>
      </c>
      <c r="C16" s="18" t="n">
        <v>78589.902088</v>
      </c>
      <c r="D16" s="18" t="n">
        <v>91883.747674</v>
      </c>
      <c r="E16" s="18" t="n">
        <v>105451.787475</v>
      </c>
      <c r="F16" s="18" t="n">
        <v>120407.705666</v>
      </c>
    </row>
    <row r="17">
      <c r="A17" s="4" t="inlineStr">
        <is>
          <t xml:space="preserve">  model</t>
        </is>
      </c>
      <c r="B17" s="33">
        <f>Model!G26</f>
        <v/>
      </c>
      <c r="C17" s="33">
        <f>Model!H26</f>
        <v/>
      </c>
      <c r="D17" s="33">
        <f>Model!I26</f>
        <v/>
      </c>
      <c r="E17" s="33">
        <f>Model!J26</f>
        <v/>
      </c>
      <c r="F17" s="33">
        <f>Model!K26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173113.570914</v>
      </c>
      <c r="C20" s="18" t="n">
        <v>179474.760814</v>
      </c>
      <c r="D20" s="18" t="n">
        <v>209117.834817</v>
      </c>
      <c r="E20" s="18" t="n">
        <v>242809.161119</v>
      </c>
      <c r="F20" s="18" t="n">
        <v>291912.611123</v>
      </c>
    </row>
    <row r="21">
      <c r="A21" s="4" t="inlineStr">
        <is>
          <t xml:space="preserve">  model</t>
        </is>
      </c>
      <c r="B21" s="33">
        <f>Model!G35</f>
        <v/>
      </c>
      <c r="C21" s="33">
        <f>Model!H35</f>
        <v/>
      </c>
      <c r="D21" s="33">
        <f>Model!I35</f>
        <v/>
      </c>
      <c r="E21" s="33">
        <f>Model!J35</f>
        <v/>
      </c>
      <c r="F21" s="33">
        <f>Model!K35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14.15483</v>
      </c>
      <c r="C24" s="47" t="n">
        <v>14.67496</v>
      </c>
      <c r="D24" s="47" t="n">
        <v>17.09876</v>
      </c>
      <c r="E24" s="47" t="n">
        <v>19.85357</v>
      </c>
      <c r="F24" s="47" t="n">
        <v>23.86857</v>
      </c>
    </row>
    <row r="25">
      <c r="A25" s="4" t="inlineStr">
        <is>
          <t xml:space="preserve">  model</t>
        </is>
      </c>
      <c r="B25" s="8">
        <f>Model!G35/Financials!AC17</f>
        <v/>
      </c>
      <c r="C25" s="8">
        <f>Model!H35/Financials!AC17</f>
        <v/>
      </c>
      <c r="D25" s="8">
        <f>Model!I35/Financials!AC17</f>
        <v/>
      </c>
      <c r="E25" s="8">
        <f>Model!J35/Financials!AC17</f>
        <v/>
      </c>
      <c r="F25" s="8">
        <f>Model!K35/Financials!AC17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Alphabet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Model!G43</f>
        <v/>
      </c>
      <c r="D12" s="33">
        <f>Model!H43</f>
        <v/>
      </c>
      <c r="E12" s="33">
        <f>Model!I43</f>
        <v/>
      </c>
      <c r="F12" s="33">
        <f>Model!J43</f>
        <v/>
      </c>
      <c r="G12" s="33">
        <f>Model!K43</f>
        <v/>
      </c>
      <c r="H12" s="33">
        <f>Model!L43</f>
        <v/>
      </c>
      <c r="I12" s="33">
        <f>Model!M43</f>
        <v/>
      </c>
      <c r="J12" s="33">
        <f>Model!N43</f>
        <v/>
      </c>
      <c r="K12" s="33">
        <f>Model!O43</f>
        <v/>
      </c>
      <c r="L12" s="33">
        <f>Model!P43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Model!P18</f>
        <v/>
      </c>
    </row>
    <row r="21">
      <c r="A21" s="4" t="inlineStr">
        <is>
          <t>Terminal EBIT</t>
        </is>
      </c>
      <c r="B21" s="33">
        <f>Model!P31</f>
        <v/>
      </c>
    </row>
    <row r="22">
      <c r="A22" s="4" t="inlineStr">
        <is>
          <t>Terminal EBITDA (SBC-burdened)</t>
        </is>
      </c>
      <c r="B22" s="33">
        <f>Model!P31+Model!P36-Model!P37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Financials!AC54</f>
        <v/>
      </c>
    </row>
    <row r="33">
      <c r="A33" s="4" t="inlineStr">
        <is>
          <t>- Long-term debt</t>
        </is>
      </c>
      <c r="B33" s="33">
        <f>-Financials!AC59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0.08393788124260353</v>
      </c>
      <c r="C4" s="51" t="n">
        <v>0.08893788124260353</v>
      </c>
      <c r="D4" s="51" t="n">
        <v>0.09393788124260352</v>
      </c>
      <c r="E4" s="51" t="n">
        <v>0.09893788124260353</v>
      </c>
      <c r="F4" s="51" t="n">
        <v>0.1039378812426035</v>
      </c>
      <c r="G4" s="51" t="n">
        <v>0.1089378812426035</v>
      </c>
      <c r="H4" s="51" t="n">
        <v>0.1139378812426035</v>
      </c>
    </row>
    <row r="5">
      <c r="A5" s="52" t="n">
        <v>13</v>
      </c>
      <c r="B5" s="53" t="n">
        <v>162.475430037336</v>
      </c>
      <c r="C5" s="53" t="n">
        <v>155.8892072968742</v>
      </c>
      <c r="D5" s="53" t="n">
        <v>149.6147858449686</v>
      </c>
      <c r="E5" s="53" t="n">
        <v>143.6358796794079</v>
      </c>
      <c r="F5" s="53" t="n">
        <v>137.9371275519756</v>
      </c>
      <c r="G5" s="53" t="n">
        <v>132.5040364133848</v>
      </c>
      <c r="H5" s="53" t="n">
        <v>127.3229285581722</v>
      </c>
    </row>
    <row r="6">
      <c r="A6" s="52" t="n">
        <v>14</v>
      </c>
      <c r="B6" s="53" t="n">
        <v>171.5715759304003</v>
      </c>
      <c r="C6" s="53" t="n">
        <v>164.5762168501767</v>
      </c>
      <c r="D6" s="53" t="n">
        <v>157.9128109498859</v>
      </c>
      <c r="E6" s="53" t="n">
        <v>151.5639942605729</v>
      </c>
      <c r="F6" s="53" t="n">
        <v>145.5133897570497</v>
      </c>
      <c r="G6" s="53" t="n">
        <v>139.7455469561337</v>
      </c>
      <c r="H6" s="53" t="n">
        <v>134.2458854686515</v>
      </c>
    </row>
    <row r="7">
      <c r="A7" s="52" t="n">
        <v>15</v>
      </c>
      <c r="B7" s="53" t="n">
        <v>180.6677218234647</v>
      </c>
      <c r="C7" s="53" t="n">
        <v>173.2632264034792</v>
      </c>
      <c r="D7" s="53" t="n">
        <v>166.2108360548032</v>
      </c>
      <c r="E7" s="53" t="n">
        <v>159.4921088417379</v>
      </c>
      <c r="F7" s="53" t="n">
        <v>153.0896519621237</v>
      </c>
      <c r="G7" s="53" t="n">
        <v>146.9870574988826</v>
      </c>
      <c r="H7" s="53" t="n">
        <v>141.1688423791308</v>
      </c>
    </row>
    <row r="8">
      <c r="A8" s="52" t="n">
        <v>16</v>
      </c>
      <c r="B8" s="53" t="n">
        <v>189.7638677165289</v>
      </c>
      <c r="C8" s="53" t="n">
        <v>181.9502359567817</v>
      </c>
      <c r="D8" s="53" t="n">
        <v>174.5088611597205</v>
      </c>
      <c r="E8" s="54" t="n">
        <v>167.4202234229029</v>
      </c>
      <c r="F8" s="53" t="n">
        <v>160.6659141671977</v>
      </c>
      <c r="G8" s="53" t="n">
        <v>154.2285680416316</v>
      </c>
      <c r="H8" s="53" t="n">
        <v>148.0917992896102</v>
      </c>
    </row>
    <row r="9">
      <c r="A9" s="52" t="n">
        <v>17</v>
      </c>
      <c r="B9" s="53" t="n">
        <v>198.8600136095933</v>
      </c>
      <c r="C9" s="53" t="n">
        <v>190.6372455100842</v>
      </c>
      <c r="D9" s="53" t="n">
        <v>182.8068862646378</v>
      </c>
      <c r="E9" s="53" t="n">
        <v>175.348338004068</v>
      </c>
      <c r="F9" s="53" t="n">
        <v>168.2421763722717</v>
      </c>
      <c r="G9" s="53" t="n">
        <v>161.4700785843805</v>
      </c>
      <c r="H9" s="53" t="n">
        <v>155.0147562000895</v>
      </c>
    </row>
    <row r="10">
      <c r="A10" s="52" t="n">
        <v>18</v>
      </c>
      <c r="B10" s="53" t="n">
        <v>207.9561595026576</v>
      </c>
      <c r="C10" s="53" t="n">
        <v>199.3242550633867</v>
      </c>
      <c r="D10" s="53" t="n">
        <v>191.1049113695551</v>
      </c>
      <c r="E10" s="53" t="n">
        <v>183.276452585233</v>
      </c>
      <c r="F10" s="53" t="n">
        <v>175.8184385773457</v>
      </c>
      <c r="G10" s="53" t="n">
        <v>168.7115891271294</v>
      </c>
      <c r="H10" s="53" t="n">
        <v>161.9377131105688</v>
      </c>
    </row>
    <row r="11">
      <c r="A11" s="52" t="n">
        <v>19</v>
      </c>
      <c r="B11" s="53" t="n">
        <v>217.0523053957219</v>
      </c>
      <c r="C11" s="53" t="n">
        <v>208.0112646166891</v>
      </c>
      <c r="D11" s="53" t="n">
        <v>199.4029364744724</v>
      </c>
      <c r="E11" s="53" t="n">
        <v>191.204567166398</v>
      </c>
      <c r="F11" s="53" t="n">
        <v>183.3947007824197</v>
      </c>
      <c r="G11" s="53" t="n">
        <v>175.9530996698784</v>
      </c>
      <c r="H11" s="53" t="n">
        <v>168.8606700210482</v>
      </c>
    </row>
    <row r="13">
      <c r="A13" s="3" t="inlineStr">
        <is>
          <t>Current price</t>
        </is>
      </c>
      <c r="B13" s="53" t="n">
        <v>362.1000061035156</v>
      </c>
    </row>
    <row r="14">
      <c r="A14" s="3" t="inlineStr">
        <is>
          <t>Base WACC / multiple</t>
        </is>
      </c>
      <c r="B14" s="55" t="n">
        <v>0.09893788124260353</v>
      </c>
      <c r="C14" s="56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0.05245914659571511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4.003115064345192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(Model!P18/Model!F18)^(1/10)-1</f>
        <v/>
      </c>
      <c r="D6" s="15" t="n">
        <v>0.01346340300328151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0.02353983586867358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0.8534843289314809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Financials!AC54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Financials!AC59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2026-07-08T07:03:41Z</dcterms:created>
  <dcterms:modified xmlns:dcterms="http://purl.org/dc/terms/" xmlns:xsi="http://www.w3.org/2001/XMLSchema-instance" xsi:type="dcterms:W3CDTF">2026-07-08T07:03:41Z</dcterms:modified>
</cp:coreProperties>
</file>