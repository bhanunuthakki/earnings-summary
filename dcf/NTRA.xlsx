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User-edited — overridden from Opus 18.0% on 2026-06-11</t>
      </text>
    </comment>
    <comment ref="C20" authorId="0" shapeId="0">
      <text>
        <t>User-edited — overridden from Opus 3.5% on 2026-06-11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9" authorId="0" shapeId="0">
      <text>
        <t>User-edited — overridden from Opus 2.0% on 2026-06-11</t>
      </text>
    </comment>
    <comment ref="B30" authorId="0" shapeId="0">
      <text>
        <t>User-edited — overridden from Opus 22.0% on 2026-06-11</t>
      </text>
    </comment>
    <comment ref="B31" authorId="0" shapeId="0">
      <text>
        <t>Opus: 24.0%</t>
      </text>
    </comment>
    <comment ref="B34" authorId="0" shapeId="0">
      <text>
        <t>Opus: —
set from Opus 4%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2026-06-11</t>
      </text>
    </comment>
    <comment ref="B44" authorId="0" shapeId="0">
      <text>
        <t>Opus: EV/EBITDA</t>
      </text>
    </comment>
    <comment ref="B45" authorId="0" shapeId="0">
      <text>
        <t>User-edited — overridden from Opus 15.0x on 2026-06-11</t>
      </text>
    </comment>
    <comment ref="B46" authorId="0" shapeId="0">
      <text>
        <t>User-edited — overridden from Opus 3.5% on 2026-06-11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Natera, Inc. (NTRA)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Natera is a high-growth molecular diagnostics company (Signatera MRD, Panorama NIPT, organ-health) whose volume scale is just now crossing into operating profitability. We fade revenue growth from ~18-21% near-term (anchored to Street consensus through 2030) toward a mature 3.5% terminal rate, while operating leverage on a largely fixed lab/R&amp;D base lifts margins from roughly breakeven today to a normalized ~22% by year 10. Capex normalizes from elevated lab build-out (~4.5% of revenue) back toward maintenance (capex/D&amp;A ~1.1x).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Natera, Inc. (NTRA)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Product</t>
        </is>
      </c>
      <c r="B20" s="15" t="n">
        <v>0.1781594607891644</v>
      </c>
      <c r="C20" s="15" t="n">
        <v>0.05</v>
      </c>
      <c r="D20" s="16" t="n">
        <v>0.1781594607891644</v>
      </c>
      <c r="E20" s="2" t="inlineStr"/>
    </row>
    <row r="21">
      <c r="A21" s="4" t="inlineStr">
        <is>
          <t>Oncology</t>
        </is>
      </c>
      <c r="B21" s="15" t="n">
        <v>0.1508554739526562</v>
      </c>
      <c r="C21" s="15" t="n">
        <v>0.05</v>
      </c>
      <c r="D21" s="16" t="n">
        <v>0.1508554739526562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-0.1032232716694253</v>
      </c>
      <c r="D29" s="16" t="n">
        <v>-0.1032232716694253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0.1689837022702823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125.5717944</v>
      </c>
      <c r="D34" s="18" t="n">
        <v>125.5717944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1.567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16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0.0002673954503450581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236.7599945068359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31.74893324829304</v>
      </c>
      <c r="C58" s="28" t="n">
        <v>48.43917269113394</v>
      </c>
      <c r="D58" s="28" t="n">
        <v>19.57600554868631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0.1135338988158863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0.06812033928953176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NTRA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Natera is a high-growth molecular diagnostics company (Signatera MRD, Panorama NIPT, organ-health) whose volume scale is just now crossing into operating profitability. We fade revenue growth from ~18-21% near-term (anchored to Street consensus through 2030) toward a mature 3.5% terminal rate, while operating leverage on a largely fixed lab/R&amp;D base lifts margins from roughly breakeven today to a normalized ~22% by year 10. Capex normalizes from elevated lab build-out (~4.5% of revenue) back toward maintenance (capex/D&amp;A ~1.1x).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Key calls are the margin trajectory and growth durability: consensus implies net profitability arriving ~2028, so near-term operating margin is held near zero, with the terminal 22% benchmarked to mature scaled diagnostics peers rather than today's losses. I used a perpetuity terminal at a ~3.5% risk-free-anchored growth rate and cross-check with a conservative mature EV/EBITDA of 15x, and anchored a 1.567 beta / high-ish discount given the still-unproven margin ramp.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Product — near-term growth</t>
        </is>
      </c>
      <c r="B20" t="inlineStr">
        <is>
          <t>B20</t>
        </is>
      </c>
      <c r="C20" s="11">
        <f>Dashboard!B20</f>
        <v/>
      </c>
      <c r="D20" s="32" t="inlineStr">
        <is>
          <t>user-edited</t>
        </is>
      </c>
      <c r="E20" t="inlineStr">
        <is>
          <t>18.0%</t>
        </is>
      </c>
      <c r="F20" s="31" t="inlineStr">
        <is>
          <t>overridden from Opus 18.0% on 2026-06-11</t>
        </is>
      </c>
    </row>
    <row r="21">
      <c r="A21" t="inlineStr">
        <is>
          <t>Product — terminal growth</t>
        </is>
      </c>
      <c r="B21" t="inlineStr">
        <is>
          <t>C20</t>
        </is>
      </c>
      <c r="C21" s="11">
        <f>Dashboard!C20</f>
        <v/>
      </c>
      <c r="D21" s="32" t="inlineStr">
        <is>
          <t>user-edited</t>
        </is>
      </c>
      <c r="E21" t="inlineStr">
        <is>
          <t>3.5%</t>
        </is>
      </c>
      <c r="F21" s="31" t="inlineStr">
        <is>
          <t>overridden from Opus 3.5% on 2026-06-11</t>
        </is>
      </c>
    </row>
    <row r="22">
      <c r="A22" t="inlineStr">
        <is>
          <t>Oncology — near-term growth</t>
        </is>
      </c>
      <c r="B22" t="inlineStr">
        <is>
          <t>B21</t>
        </is>
      </c>
      <c r="C22" s="11">
        <f>Dashboard!B21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Oncology — terminal growth</t>
        </is>
      </c>
      <c r="B23" t="inlineStr">
        <is>
          <t>C21</t>
        </is>
      </c>
      <c r="C23" s="11">
        <f>Dashboard!C21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Near-term operating margin</t>
        </is>
      </c>
      <c r="B24" t="inlineStr">
        <is>
          <t>B29</t>
        </is>
      </c>
      <c r="C24" s="11">
        <f>Dashboard!B29</f>
        <v/>
      </c>
      <c r="D24" s="32" t="inlineStr">
        <is>
          <t>user-edited</t>
        </is>
      </c>
      <c r="E24" t="inlineStr">
        <is>
          <t>2.0%</t>
        </is>
      </c>
      <c r="F24" s="31" t="inlineStr">
        <is>
          <t>overridden from Opus 2.0% on 2026-06-11</t>
        </is>
      </c>
    </row>
    <row r="25">
      <c r="A25" t="inlineStr">
        <is>
          <t>Terminal operating margin</t>
        </is>
      </c>
      <c r="B25" t="inlineStr">
        <is>
          <t>B30</t>
        </is>
      </c>
      <c r="C25" s="11">
        <f>Dashboard!B30</f>
        <v/>
      </c>
      <c r="D25" s="32" t="inlineStr">
        <is>
          <t>user-edited</t>
        </is>
      </c>
      <c r="E25" t="inlineStr">
        <is>
          <t>22.0%</t>
        </is>
      </c>
      <c r="F25" s="31" t="inlineStr">
        <is>
          <t>overridden from Opus 22.0% on 2026-06-11</t>
        </is>
      </c>
    </row>
    <row r="26">
      <c r="A26" t="inlineStr">
        <is>
          <t>Tax rate</t>
        </is>
      </c>
      <c r="B26" t="inlineStr">
        <is>
          <t>B31</t>
        </is>
      </c>
      <c r="C26" s="11">
        <f>Dashboard!B31</f>
        <v/>
      </c>
      <c r="D26" t="inlineStr">
        <is>
          <t>Opus</t>
        </is>
      </c>
      <c r="E26" t="inlineStr">
        <is>
          <t>24.0%</t>
        </is>
      </c>
      <c r="F26" s="31" t="inlineStr"/>
    </row>
    <row r="27">
      <c r="A27" t="inlineStr">
        <is>
          <t>Terminal capex / D&amp;A</t>
        </is>
      </c>
      <c r="B27" t="inlineStr">
        <is>
          <t>B35</t>
        </is>
      </c>
      <c r="C27" s="13">
        <f>Dashboard!B35</f>
        <v/>
      </c>
      <c r="D27" s="32" t="inlineStr">
        <is>
          <t>user-edited</t>
        </is>
      </c>
      <c r="E27" t="inlineStr">
        <is>
          <t>1.1x</t>
        </is>
      </c>
      <c r="F27" s="31" t="inlineStr">
        <is>
          <t>overridden from Opus 1.1x on 2026-06-11</t>
        </is>
      </c>
    </row>
    <row r="28">
      <c r="A28" t="inlineStr">
        <is>
          <t>Risk-free rate (10Y)</t>
        </is>
      </c>
      <c r="B28" t="inlineStr">
        <is>
          <t>B38</t>
        </is>
      </c>
      <c r="C28" s="11">
        <f>Dashboard!B38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Equity risk premium</t>
        </is>
      </c>
      <c r="B29" t="inlineStr">
        <is>
          <t>B39</t>
        </is>
      </c>
      <c r="C29" s="11">
        <f>Dashboard!B39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Beta (levered)</t>
        </is>
      </c>
      <c r="B30" t="inlineStr">
        <is>
          <t>B40</t>
        </is>
      </c>
      <c r="C30" s="33">
        <f>Dashboard!B40</f>
        <v/>
      </c>
      <c r="D30" t="inlineStr">
        <is>
          <t>builder default</t>
        </is>
      </c>
      <c r="E30" t="inlineStr">
        <is>
          <t>—</t>
        </is>
      </c>
      <c r="F30" s="31" t="inlineStr"/>
    </row>
    <row r="31">
      <c r="A31" t="inlineStr">
        <is>
          <t>Pre-tax cost of debt</t>
        </is>
      </c>
      <c r="B31" t="inlineStr">
        <is>
          <t>B41</t>
        </is>
      </c>
      <c r="C31" s="11">
        <f>Dashboard!B41</f>
        <v/>
      </c>
      <c r="D31" t="inlineStr">
        <is>
          <t>builder default</t>
        </is>
      </c>
      <c r="E31" t="inlineStr">
        <is>
          <t>—</t>
        </is>
      </c>
      <c r="F31" s="31" t="inlineStr"/>
    </row>
    <row r="32">
      <c r="A32" t="inlineStr">
        <is>
          <t>Terminal method</t>
        </is>
      </c>
      <c r="B32" t="inlineStr">
        <is>
          <t>B43</t>
        </is>
      </c>
      <c r="C32" s="12">
        <f>Dashboard!B43</f>
        <v/>
      </c>
      <c r="D32" s="32" t="inlineStr">
        <is>
          <t>user-edited</t>
        </is>
      </c>
      <c r="E32" t="inlineStr">
        <is>
          <t>Perpetuity</t>
        </is>
      </c>
      <c r="F32" s="31" t="inlineStr">
        <is>
          <t>overridden from Opus Perpetuity on 2026-06-11</t>
        </is>
      </c>
    </row>
    <row r="33">
      <c r="A33" t="inlineStr">
        <is>
          <t>Exit basis</t>
        </is>
      </c>
      <c r="B33" t="inlineStr">
        <is>
          <t>B44</t>
        </is>
      </c>
      <c r="C33" s="12">
        <f>Dashboard!B44</f>
        <v/>
      </c>
      <c r="D33" t="inlineStr">
        <is>
          <t>Opus</t>
        </is>
      </c>
      <c r="E33" t="inlineStr">
        <is>
          <t>EV/EBITDA</t>
        </is>
      </c>
      <c r="F33" s="31" t="inlineStr"/>
    </row>
    <row r="34">
      <c r="A34" t="inlineStr">
        <is>
          <t>Exit multiple</t>
        </is>
      </c>
      <c r="B34" t="inlineStr">
        <is>
          <t>B45</t>
        </is>
      </c>
      <c r="C34" s="13">
        <f>Dashboard!B45</f>
        <v/>
      </c>
      <c r="D34" s="32" t="inlineStr">
        <is>
          <t>user-edited</t>
        </is>
      </c>
      <c r="E34" t="inlineStr">
        <is>
          <t>15.0x</t>
        </is>
      </c>
      <c r="F34" s="31" t="inlineStr">
        <is>
          <t>overridden from Opus 15.0x on 2026-06-11</t>
        </is>
      </c>
    </row>
    <row r="35">
      <c r="A35" t="inlineStr">
        <is>
          <t>Terminal growth (g)</t>
        </is>
      </c>
      <c r="B35" t="inlineStr">
        <is>
          <t>B46</t>
        </is>
      </c>
      <c r="C35" s="11">
        <f>Dashboard!B46</f>
        <v/>
      </c>
      <c r="D35" s="32" t="inlineStr">
        <is>
          <t>user-edited</t>
        </is>
      </c>
      <c r="E35" t="inlineStr">
        <is>
          <t>3.5%</t>
        </is>
      </c>
      <c r="F35" s="31" t="inlineStr">
        <is>
          <t>overridden from Opus 3.5% on 2026-06-11</t>
        </is>
      </c>
    </row>
    <row r="36">
      <c r="A36" t="inlineStr">
        <is>
          <t>2026 capex ($M)</t>
        </is>
      </c>
      <c r="B36" t="inlineStr">
        <is>
          <t>B34</t>
        </is>
      </c>
      <c r="C36" s="34">
        <f>Dashboard!B34</f>
        <v/>
      </c>
      <c r="D36" t="inlineStr">
        <is>
          <t>Opus</t>
        </is>
      </c>
      <c r="E36" t="inlineStr">
        <is>
          <t>—</t>
        </is>
      </c>
      <c r="F36" s="31" t="inlineStr">
        <is>
          <t>set from Opus 4% of FY1E revenue; edits not tracked (unit differs from the JSON)</t>
        </is>
      </c>
    </row>
    <row r="37">
      <c r="A37" t="inlineStr">
        <is>
          <t>Bull Δ — segment growth, near-term</t>
        </is>
      </c>
      <c r="B37" t="inlineStr">
        <is>
          <t>C52</t>
        </is>
      </c>
      <c r="C37" s="35">
        <f>Dashboard!C52</f>
        <v/>
      </c>
      <c r="D37" t="inlineStr">
        <is>
          <t>seed default</t>
        </is>
      </c>
      <c r="E37" t="inlineStr">
        <is>
          <t>3.0%</t>
        </is>
      </c>
      <c r="F37" s="31" t="inlineStr"/>
    </row>
    <row r="38">
      <c r="A38" t="inlineStr">
        <is>
          <t>Bear Δ — segment growth, near-term</t>
        </is>
      </c>
      <c r="B38" t="inlineStr">
        <is>
          <t>D52</t>
        </is>
      </c>
      <c r="C38" s="35">
        <f>Dashboard!D52</f>
        <v/>
      </c>
      <c r="D38" t="inlineStr">
        <is>
          <t>seed default</t>
        </is>
      </c>
      <c r="E38" t="inlineStr">
        <is>
          <t>-3.0%</t>
        </is>
      </c>
      <c r="F38" s="31" t="inlineStr"/>
    </row>
    <row r="39">
      <c r="A39" t="inlineStr">
        <is>
          <t>Bull Δ — segment growth, terminal</t>
        </is>
      </c>
      <c r="B39" t="inlineStr">
        <is>
          <t>C53</t>
        </is>
      </c>
      <c r="C39" s="35">
        <f>Dashboard!C53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segment growth, terminal</t>
        </is>
      </c>
      <c r="B40" t="inlineStr">
        <is>
          <t>D53</t>
        </is>
      </c>
      <c r="C40" s="35">
        <f>Dashboard!D53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near-term</t>
        </is>
      </c>
      <c r="B41" t="inlineStr">
        <is>
          <t>C54</t>
        </is>
      </c>
      <c r="C41" s="35">
        <f>Dashboard!C54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operating margin, near-term</t>
        </is>
      </c>
      <c r="B42" t="inlineStr">
        <is>
          <t>D54</t>
        </is>
      </c>
      <c r="C42" s="35">
        <f>Dashboard!D54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terminal</t>
        </is>
      </c>
      <c r="B43" t="inlineStr">
        <is>
          <t>C55</t>
        </is>
      </c>
      <c r="C43" s="35">
        <f>Dashboard!C55</f>
        <v/>
      </c>
      <c r="D43" t="inlineStr">
        <is>
          <t>seed default</t>
        </is>
      </c>
      <c r="E43" t="inlineStr">
        <is>
          <t>2.0%</t>
        </is>
      </c>
      <c r="F43" s="31" t="inlineStr"/>
    </row>
    <row r="44">
      <c r="A44" t="inlineStr">
        <is>
          <t>Bear Δ — operating margin, terminal</t>
        </is>
      </c>
      <c r="B44" t="inlineStr">
        <is>
          <t>D55</t>
        </is>
      </c>
      <c r="C44" s="35">
        <f>Dashboard!D55</f>
        <v/>
      </c>
      <c r="D44" t="inlineStr">
        <is>
          <t>seed default</t>
        </is>
      </c>
      <c r="E44" t="inlineStr">
        <is>
          <t>-2.0%</t>
        </is>
      </c>
      <c r="F44" s="31" t="inlineStr"/>
    </row>
    <row r="45">
      <c r="A45" t="inlineStr">
        <is>
          <t>Bull Δ — exit multiple</t>
        </is>
      </c>
      <c r="B45" t="inlineStr">
        <is>
          <t>C56</t>
        </is>
      </c>
      <c r="C45" s="36">
        <f>Dashboard!C56</f>
        <v/>
      </c>
      <c r="D45" t="inlineStr">
        <is>
          <t>seed default</t>
        </is>
      </c>
      <c r="E45" t="inlineStr">
        <is>
          <t>2.0x</t>
        </is>
      </c>
      <c r="F45" s="31" t="inlineStr"/>
    </row>
    <row r="46">
      <c r="A46" t="inlineStr">
        <is>
          <t>Bear Δ — exit multiple</t>
        </is>
      </c>
      <c r="B46" t="inlineStr">
        <is>
          <t>D56</t>
        </is>
      </c>
      <c r="C46" s="36">
        <f>Dashboard!D56</f>
        <v/>
      </c>
      <c r="D46" t="inlineStr">
        <is>
          <t>seed default</t>
        </is>
      </c>
      <c r="E46" t="inlineStr">
        <is>
          <t>-2.0x</t>
        </is>
      </c>
      <c r="F46" s="31" t="inlineStr"/>
    </row>
    <row r="47">
      <c r="A47" t="inlineStr">
        <is>
          <t>Bull Δ — terminal growth (g)</t>
        </is>
      </c>
      <c r="B47" t="inlineStr">
        <is>
          <t>C57</t>
        </is>
      </c>
      <c r="C47" s="35">
        <f>Dashboard!C57</f>
        <v/>
      </c>
      <c r="D47" t="inlineStr">
        <is>
          <t>seed default</t>
        </is>
      </c>
      <c r="E47" t="inlineStr">
        <is>
          <t>0.5%</t>
        </is>
      </c>
      <c r="F47" s="31" t="inlineStr"/>
    </row>
    <row r="48">
      <c r="A48" t="inlineStr">
        <is>
          <t>Bear Δ — terminal growth (g)</t>
        </is>
      </c>
      <c r="B48" t="inlineStr">
        <is>
          <t>D57</t>
        </is>
      </c>
      <c r="C48" s="35">
        <f>Dashboard!D57</f>
        <v/>
      </c>
      <c r="D48" t="inlineStr">
        <is>
          <t>seed default</t>
        </is>
      </c>
      <c r="E48" t="inlineStr">
        <is>
          <t>-0.5%</t>
        </is>
      </c>
      <c r="F48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Product</t>
        </is>
      </c>
      <c r="B4" s="34">
        <f>SUM(Financials!I19:L19)</f>
        <v/>
      </c>
      <c r="C4" s="34">
        <f>SUM(Financials!M19:P19)</f>
        <v/>
      </c>
      <c r="D4" s="34">
        <f>SUM(Financials!Q19:T19)</f>
        <v/>
      </c>
      <c r="E4" s="34">
        <f>SUM(Financials!U19:X19)</f>
        <v/>
      </c>
      <c r="F4" s="34">
        <f>SUM(Financials!Y19:AB19)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Oncology</t>
        </is>
      </c>
      <c r="B6" s="34">
        <f>SUM(Financials!I22:L22)</f>
        <v/>
      </c>
      <c r="C6" s="34">
        <f>SUM(Financials!M22:P22)</f>
        <v/>
      </c>
      <c r="D6" s="34">
        <f>SUM(Financials!Q22:T22)</f>
        <v/>
      </c>
      <c r="E6" s="34">
        <f>SUM(Financials!U22:X22)</f>
        <v/>
      </c>
      <c r="F6" s="34">
        <f>SUM(Financials!Y22:AB22)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3">
        <f>B4+B6</f>
        <v/>
      </c>
      <c r="C8" s="43">
        <f>C4+C6</f>
        <v/>
      </c>
      <c r="D8" s="43">
        <f>D4+D6</f>
        <v/>
      </c>
      <c r="E8" s="43">
        <f>E4+E6</f>
        <v/>
      </c>
      <c r="F8" s="43">
        <f>F4+F6</f>
        <v/>
      </c>
      <c r="G8" s="43">
        <f>G4+G6</f>
        <v/>
      </c>
      <c r="H8" s="43">
        <f>H4+H6</f>
        <v/>
      </c>
      <c r="I8" s="43">
        <f>I4+I6</f>
        <v/>
      </c>
      <c r="J8" s="43">
        <f>J4+J6</f>
        <v/>
      </c>
      <c r="K8" s="43">
        <f>K4+K6</f>
        <v/>
      </c>
      <c r="L8" s="43">
        <f>L4+L6</f>
        <v/>
      </c>
      <c r="M8" s="43">
        <f>M4+M6</f>
        <v/>
      </c>
      <c r="N8" s="43">
        <f>N4+N6</f>
        <v/>
      </c>
      <c r="O8" s="43">
        <f>O4+O6</f>
        <v/>
      </c>
      <c r="P8" s="43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4">
        <f>SUM(Financials!I5:L5)</f>
        <v/>
      </c>
      <c r="C12" s="34">
        <f>SUM(Financials!M5:P5)</f>
        <v/>
      </c>
      <c r="D12" s="34">
        <f>SUM(Financials!Q5:T5)</f>
        <v/>
      </c>
      <c r="E12" s="34">
        <f>SUM(Financials!U5:X5)</f>
        <v/>
      </c>
      <c r="F12" s="34">
        <f>SUM(Financials!Y5:AB5)</f>
        <v/>
      </c>
      <c r="G12" s="42">
        <f>G8*G13</f>
        <v/>
      </c>
      <c r="H12" s="42">
        <f>H8*H13</f>
        <v/>
      </c>
      <c r="I12" s="42">
        <f>I8*I13</f>
        <v/>
      </c>
      <c r="J12" s="42">
        <f>J8*J13</f>
        <v/>
      </c>
      <c r="K12" s="42">
        <f>K8*K13</f>
        <v/>
      </c>
      <c r="L12" s="42">
        <f>L8*L13</f>
        <v/>
      </c>
      <c r="M12" s="42">
        <f>M8*M13</f>
        <v/>
      </c>
      <c r="N12" s="42">
        <f>N8*N13</f>
        <v/>
      </c>
      <c r="O12" s="42">
        <f>O8*O13</f>
        <v/>
      </c>
      <c r="P12" s="42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0.3515122632759105</v>
      </c>
      <c r="H13" s="15" t="n">
        <v>0.3515122632759105</v>
      </c>
      <c r="I13" s="15" t="n">
        <v>0.3515122632759105</v>
      </c>
      <c r="J13" s="15" t="n">
        <v>0.3515122632759105</v>
      </c>
      <c r="K13" s="15" t="n">
        <v>0.3515122632759105</v>
      </c>
      <c r="L13" s="15" t="n">
        <v>0.3515122632759105</v>
      </c>
      <c r="M13" s="15" t="n">
        <v>0.3515122632759105</v>
      </c>
      <c r="N13" s="15" t="n">
        <v>0.3515122632759105</v>
      </c>
      <c r="O13" s="15" t="n">
        <v>0.3515122632759105</v>
      </c>
      <c r="P13" s="15" t="n">
        <v>0.3515122632759105</v>
      </c>
    </row>
    <row r="14">
      <c r="A14" s="4" t="inlineStr">
        <is>
          <t>R&amp;D / Technology</t>
        </is>
      </c>
      <c r="B14" s="34">
        <f>SUM(Financials!I7:L7)</f>
        <v/>
      </c>
      <c r="C14" s="34">
        <f>SUM(Financials!M7:P7)</f>
        <v/>
      </c>
      <c r="D14" s="34">
        <f>SUM(Financials!Q7:T7)</f>
        <v/>
      </c>
      <c r="E14" s="34">
        <f>SUM(Financials!U7:X7)</f>
        <v/>
      </c>
      <c r="F14" s="34">
        <f>SUM(Financials!Y7:AB7)</f>
        <v/>
      </c>
      <c r="G14" s="42">
        <f>G8*G15</f>
        <v/>
      </c>
      <c r="H14" s="42">
        <f>H8*H15</f>
        <v/>
      </c>
      <c r="I14" s="42">
        <f>I8*I15</f>
        <v/>
      </c>
      <c r="J14" s="42">
        <f>J8*J15</f>
        <v/>
      </c>
      <c r="K14" s="42">
        <f>K8*K15</f>
        <v/>
      </c>
      <c r="L14" s="42">
        <f>L8*L15</f>
        <v/>
      </c>
      <c r="M14" s="42">
        <f>M8*M15</f>
        <v/>
      </c>
      <c r="N14" s="42">
        <f>N8*N15</f>
        <v/>
      </c>
      <c r="O14" s="42">
        <f>O8*O15</f>
        <v/>
      </c>
      <c r="P14" s="42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0.2706328787878131</v>
      </c>
      <c r="H15" s="15" t="n">
        <v>0.2706328787878131</v>
      </c>
      <c r="I15" s="15" t="n">
        <v>0.2706328787878131</v>
      </c>
      <c r="J15" s="15" t="n">
        <v>0.2706328787878131</v>
      </c>
      <c r="K15" s="15" t="n">
        <v>0.2706328787878131</v>
      </c>
      <c r="L15" s="15" t="n">
        <v>0.2706328787878131</v>
      </c>
      <c r="M15" s="15" t="n">
        <v>0.2706328787878131</v>
      </c>
      <c r="N15" s="15" t="n">
        <v>0.2706328787878131</v>
      </c>
      <c r="O15" s="15" t="n">
        <v>0.2706328787878131</v>
      </c>
      <c r="P15" s="15" t="n">
        <v>0.2706328787878131</v>
      </c>
    </row>
    <row r="16">
      <c r="A16" s="4" t="inlineStr">
        <is>
          <t>SG&amp;A</t>
        </is>
      </c>
      <c r="B16" s="34">
        <f>SUM(Financials!I9:L9)</f>
        <v/>
      </c>
      <c r="C16" s="34">
        <f>SUM(Financials!M9:P9)</f>
        <v/>
      </c>
      <c r="D16" s="34">
        <f>SUM(Financials!Q9:T9)</f>
        <v/>
      </c>
      <c r="E16" s="34">
        <f>SUM(Financials!U9:X9)</f>
        <v/>
      </c>
      <c r="F16" s="34">
        <f>SUM(Financials!Y9:AB9)</f>
        <v/>
      </c>
      <c r="G16" s="42">
        <f>G8*G17</f>
        <v/>
      </c>
      <c r="H16" s="42">
        <f>H8*H17</f>
        <v/>
      </c>
      <c r="I16" s="42">
        <f>I8*I17</f>
        <v/>
      </c>
      <c r="J16" s="42">
        <f>J8*J17</f>
        <v/>
      </c>
      <c r="K16" s="42">
        <f>K8*K17</f>
        <v/>
      </c>
      <c r="L16" s="42">
        <f>L8*L17</f>
        <v/>
      </c>
      <c r="M16" s="42">
        <f>M8*M17</f>
        <v/>
      </c>
      <c r="N16" s="42">
        <f>N8*N17</f>
        <v/>
      </c>
      <c r="O16" s="42">
        <f>O8*O17</f>
        <v/>
      </c>
      <c r="P16" s="42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0.5104957996420817</v>
      </c>
      <c r="H17" s="15" t="n">
        <v>0.5104957996420817</v>
      </c>
      <c r="I17" s="15" t="n">
        <v>0.5104957996420817</v>
      </c>
      <c r="J17" s="15" t="n">
        <v>0.5104957996420817</v>
      </c>
      <c r="K17" s="15" t="n">
        <v>0.5104957996420817</v>
      </c>
      <c r="L17" s="15" t="n">
        <v>0.5104957996420817</v>
      </c>
      <c r="M17" s="15" t="n">
        <v>0.5104957996420817</v>
      </c>
      <c r="N17" s="15" t="n">
        <v>0.5104957996420817</v>
      </c>
      <c r="O17" s="15" t="n">
        <v>0.5104957996420817</v>
      </c>
      <c r="P17" s="15" t="n">
        <v>0.5104957996420817</v>
      </c>
    </row>
    <row r="18">
      <c r="A18" s="4" t="inlineStr">
        <is>
          <t>Other opex (fulfilment, etc.)</t>
        </is>
      </c>
      <c r="B18" s="34">
        <f>B8-(B12+B14+B16)-SUM(Financials!I13:L13)</f>
        <v/>
      </c>
      <c r="C18" s="34">
        <f>C8-(C12+C14+C16)-SUM(Financials!M13:P13)</f>
        <v/>
      </c>
      <c r="D18" s="34">
        <f>D8-(D12+D14+D16)-SUM(Financials!Q13:T13)</f>
        <v/>
      </c>
      <c r="E18" s="34">
        <f>E8-(E12+E14+E16)-SUM(Financials!U13:X13)</f>
        <v/>
      </c>
      <c r="F18" s="34">
        <f>F8-(F12+F14+F16)-SUM(Financials!Y13:AB13)</f>
        <v/>
      </c>
      <c r="G18" s="34">
        <f>G8*(1-(Dashboard!$B$29+(Dashboard!$B$30-Dashboard!$B$29)*MIN(1,0/4)))-(G12+G14+G16)</f>
        <v/>
      </c>
      <c r="H18" s="34">
        <f>H8*(1-(Dashboard!$B$29+(Dashboard!$B$30-Dashboard!$B$29)*MIN(1,1/4)))-(H12+H14+H16)</f>
        <v/>
      </c>
      <c r="I18" s="34">
        <f>I8*(1-(Dashboard!$B$29+(Dashboard!$B$30-Dashboard!$B$29)*MIN(1,2/4)))-(I12+I14+I16)</f>
        <v/>
      </c>
      <c r="J18" s="34">
        <f>J8*(1-(Dashboard!$B$29+(Dashboard!$B$30-Dashboard!$B$29)*MIN(1,3/4)))-(J12+J14+J16)</f>
        <v/>
      </c>
      <c r="K18" s="34">
        <f>K8*(1-(Dashboard!$B$29+(Dashboard!$B$30-Dashboard!$B$29)*MIN(1,4/4)))-(K12+K14+K16)</f>
        <v/>
      </c>
      <c r="L18" s="34">
        <f>L8*(1-(Dashboard!$B$29+(Dashboard!$B$30-Dashboard!$B$29)*MIN(1,5/4)))-(L12+L14+L16)</f>
        <v/>
      </c>
      <c r="M18" s="34">
        <f>M8*(1-(Dashboard!$B$29+(Dashboard!$B$30-Dashboard!$B$29)*MIN(1,6/4)))-(M12+M14+M16)</f>
        <v/>
      </c>
      <c r="N18" s="34">
        <f>N8*(1-(Dashboard!$B$29+(Dashboard!$B$30-Dashboard!$B$29)*MIN(1,7/4)))-(N12+N14+N16)</f>
        <v/>
      </c>
      <c r="O18" s="34">
        <f>O8*(1-(Dashboard!$B$29+(Dashboard!$B$30-Dashboard!$B$29)*MIN(1,8/4)))-(O12+O14+O16)</f>
        <v/>
      </c>
      <c r="P18" s="34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3">
        <f>B8-(B12+B14+B16)-B18</f>
        <v/>
      </c>
      <c r="C21" s="43">
        <f>C8-(C12+C14+C16)-C18</f>
        <v/>
      </c>
      <c r="D21" s="43">
        <f>D8-(D12+D14+D16)-D18</f>
        <v/>
      </c>
      <c r="E21" s="43">
        <f>E8-(E12+E14+E16)-E18</f>
        <v/>
      </c>
      <c r="F21" s="43">
        <f>F8-(F12+F14+F16)-F18</f>
        <v/>
      </c>
      <c r="G21" s="43">
        <f>G8-(G12+G14+G16)-G18</f>
        <v/>
      </c>
      <c r="H21" s="43">
        <f>H8-(H12+H14+H16)-H18</f>
        <v/>
      </c>
      <c r="I21" s="43">
        <f>I8-(I12+I14+I16)-I18</f>
        <v/>
      </c>
      <c r="J21" s="43">
        <f>J8-(J12+J14+J16)-J18</f>
        <v/>
      </c>
      <c r="K21" s="43">
        <f>K8-(K12+K14+K16)-K18</f>
        <v/>
      </c>
      <c r="L21" s="43">
        <f>L8-(L12+L14+L16)-L18</f>
        <v/>
      </c>
      <c r="M21" s="43">
        <f>M8-(M12+M14+M16)-M18</f>
        <v/>
      </c>
      <c r="N21" s="43">
        <f>N8-(N12+N14+N16)-N18</f>
        <v/>
      </c>
      <c r="O21" s="43">
        <f>O8-(O12+O14+O16)-O18</f>
        <v/>
      </c>
      <c r="P21" s="43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4">
        <f>B21*(1-Valuation!$B$5)</f>
        <v/>
      </c>
      <c r="C25" s="34">
        <f>C21*(1-Valuation!$B$5)</f>
        <v/>
      </c>
      <c r="D25" s="34">
        <f>D21*(1-Valuation!$B$5)</f>
        <v/>
      </c>
      <c r="E25" s="34">
        <f>E21*(1-Valuation!$B$5)</f>
        <v/>
      </c>
      <c r="F25" s="34">
        <f>F21*(1-Valuation!$B$5)</f>
        <v/>
      </c>
      <c r="G25" s="34">
        <f>G21*(1-Valuation!$B$5)</f>
        <v/>
      </c>
      <c r="H25" s="34">
        <f>H21*(1-Valuation!$B$5)</f>
        <v/>
      </c>
      <c r="I25" s="34">
        <f>I21*(1-Valuation!$B$5)</f>
        <v/>
      </c>
      <c r="J25" s="34">
        <f>J21*(1-Valuation!$B$5)</f>
        <v/>
      </c>
      <c r="K25" s="34">
        <f>K21*(1-Valuation!$B$5)</f>
        <v/>
      </c>
      <c r="L25" s="34">
        <f>L21*(1-Valuation!$B$5)</f>
        <v/>
      </c>
      <c r="M25" s="34">
        <f>M21*(1-Valuation!$B$5)</f>
        <v/>
      </c>
      <c r="N25" s="34">
        <f>N21*(1-Valuation!$B$5)</f>
        <v/>
      </c>
      <c r="O25" s="34">
        <f>O21*(1-Valuation!$B$5)</f>
        <v/>
      </c>
      <c r="P25" s="34">
        <f>P21*(1-Valuation!$B$5)</f>
        <v/>
      </c>
    </row>
    <row r="26">
      <c r="A26" s="4" t="inlineStr">
        <is>
          <t>+ D&amp;A</t>
        </is>
      </c>
      <c r="B26" s="34">
        <f>SUM(Financials!I47:L47)</f>
        <v/>
      </c>
      <c r="C26" s="34">
        <f>SUM(Financials!M47:P47)</f>
        <v/>
      </c>
      <c r="D26" s="34">
        <f>SUM(Financials!Q47:T47)</f>
        <v/>
      </c>
      <c r="E26" s="34">
        <f>SUM(Financials!U47:X47)</f>
        <v/>
      </c>
      <c r="F26" s="34">
        <f>SUM(Financials!Y47:AB47)</f>
        <v/>
      </c>
      <c r="G26" s="42">
        <f>G8*0.0189</f>
        <v/>
      </c>
      <c r="H26" s="42">
        <f>H8*0.0189</f>
        <v/>
      </c>
      <c r="I26" s="42">
        <f>I8*0.0189</f>
        <v/>
      </c>
      <c r="J26" s="42">
        <f>J8*0.0189</f>
        <v/>
      </c>
      <c r="K26" s="42">
        <f>K8*0.0189</f>
        <v/>
      </c>
      <c r="L26" s="42">
        <f>L8*0.0189</f>
        <v/>
      </c>
      <c r="M26" s="42">
        <f>M8*0.0189</f>
        <v/>
      </c>
      <c r="N26" s="42">
        <f>N8*0.0189</f>
        <v/>
      </c>
      <c r="O26" s="42">
        <f>O8*0.0189</f>
        <v/>
      </c>
      <c r="P26" s="42">
        <f>P8*0.0189</f>
        <v/>
      </c>
    </row>
    <row r="27">
      <c r="A27" s="4" t="inlineStr">
        <is>
          <t>+ SBC (non-cash)</t>
        </is>
      </c>
      <c r="B27" s="34">
        <f>SUM(Financials!I48:L48)</f>
        <v/>
      </c>
      <c r="C27" s="34">
        <f>SUM(Financials!M48:P48)</f>
        <v/>
      </c>
      <c r="D27" s="34">
        <f>SUM(Financials!Q48:T48)</f>
        <v/>
      </c>
      <c r="E27" s="34">
        <f>SUM(Financials!U48:X48)</f>
        <v/>
      </c>
      <c r="F27" s="34">
        <f>SUM(Financials!Y48:AB48)</f>
        <v/>
      </c>
      <c r="G27" s="34">
        <f>G8*(Dashboard!$B$65+(Dashboard!$B$66-Dashboard!$B$65)*0/9)</f>
        <v/>
      </c>
      <c r="H27" s="34">
        <f>H8*(Dashboard!$B$65+(Dashboard!$B$66-Dashboard!$B$65)*1/9)</f>
        <v/>
      </c>
      <c r="I27" s="34">
        <f>I8*(Dashboard!$B$65+(Dashboard!$B$66-Dashboard!$B$65)*2/9)</f>
        <v/>
      </c>
      <c r="J27" s="34">
        <f>J8*(Dashboard!$B$65+(Dashboard!$B$66-Dashboard!$B$65)*3/9)</f>
        <v/>
      </c>
      <c r="K27" s="34">
        <f>K8*(Dashboard!$B$65+(Dashboard!$B$66-Dashboard!$B$65)*4/9)</f>
        <v/>
      </c>
      <c r="L27" s="34">
        <f>L8*(Dashboard!$B$65+(Dashboard!$B$66-Dashboard!$B$65)*5/9)</f>
        <v/>
      </c>
      <c r="M27" s="34">
        <f>M8*(Dashboard!$B$65+(Dashboard!$B$66-Dashboard!$B$65)*6/9)</f>
        <v/>
      </c>
      <c r="N27" s="34">
        <f>N8*(Dashboard!$B$65+(Dashboard!$B$66-Dashboard!$B$65)*7/9)</f>
        <v/>
      </c>
      <c r="O27" s="34">
        <f>O8*(Dashboard!$B$65+(Dashboard!$B$66-Dashboard!$B$65)*8/9)</f>
        <v/>
      </c>
      <c r="P27" s="34">
        <f>P8*(Dashboard!$B$65+(Dashboard!$B$66-Dashboard!$B$65)*9/9)</f>
        <v/>
      </c>
    </row>
    <row r="28">
      <c r="A28" s="4" t="inlineStr">
        <is>
          <t>- dNWC</t>
        </is>
      </c>
      <c r="G28" s="42">
        <f>(G8-F8)*0.0050</f>
        <v/>
      </c>
      <c r="H28" s="42">
        <f>(H8-G8)*0.0050</f>
        <v/>
      </c>
      <c r="I28" s="42">
        <f>(I8-H8)*0.0050</f>
        <v/>
      </c>
      <c r="J28" s="42">
        <f>(J8-I8)*0.0050</f>
        <v/>
      </c>
      <c r="K28" s="42">
        <f>(K8-J8)*0.0050</f>
        <v/>
      </c>
      <c r="L28" s="42">
        <f>(L8-K8)*0.0050</f>
        <v/>
      </c>
      <c r="M28" s="42">
        <f>(M8-L8)*0.0050</f>
        <v/>
      </c>
      <c r="N28" s="42">
        <f>(N8-M8)*0.0050</f>
        <v/>
      </c>
      <c r="O28" s="42">
        <f>(O8-N8)*0.0050</f>
        <v/>
      </c>
      <c r="P28" s="42">
        <f>(P8-O8)*0.0050</f>
        <v/>
      </c>
    </row>
    <row r="29">
      <c r="A29" s="4" t="inlineStr">
        <is>
          <t>- Capex</t>
        </is>
      </c>
      <c r="B29" s="34">
        <f>-SUM(Financials!I51:L51)</f>
        <v/>
      </c>
      <c r="C29" s="34">
        <f>-SUM(Financials!M51:P51)</f>
        <v/>
      </c>
      <c r="D29" s="34">
        <f>-SUM(Financials!Q51:T51)</f>
        <v/>
      </c>
      <c r="E29" s="34">
        <f>-SUM(Financials!U51:X51)</f>
        <v/>
      </c>
      <c r="F29" s="34">
        <f>-SUM(Financials!Y51:AB51)</f>
        <v/>
      </c>
      <c r="G29" s="42">
        <f>G26*G30</f>
        <v/>
      </c>
      <c r="H29" s="42">
        <f>H26*H30</f>
        <v/>
      </c>
      <c r="I29" s="42">
        <f>I26*I30</f>
        <v/>
      </c>
      <c r="J29" s="42">
        <f>J26*J30</f>
        <v/>
      </c>
      <c r="K29" s="42">
        <f>K26*K30</f>
        <v/>
      </c>
      <c r="L29" s="42">
        <f>L26*L30</f>
        <v/>
      </c>
      <c r="M29" s="42">
        <f>M26*M30</f>
        <v/>
      </c>
      <c r="N29" s="42">
        <f>N26*N30</f>
        <v/>
      </c>
      <c r="O29" s="42">
        <f>O26*O30</f>
        <v/>
      </c>
      <c r="P29" s="42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3">
        <f>B25+B26+B27-B28-B29</f>
        <v/>
      </c>
      <c r="C32" s="43">
        <f>C25+C26+C27-C28-C29</f>
        <v/>
      </c>
      <c r="D32" s="43">
        <f>D25+D26+D27-D28-D29</f>
        <v/>
      </c>
      <c r="E32" s="43">
        <f>E25+E26+E27-E28-E29</f>
        <v/>
      </c>
      <c r="F32" s="43">
        <f>F25+F26+F27-F28-F29</f>
        <v/>
      </c>
      <c r="G32" s="43">
        <f>G25+G26+G27-G28-G29</f>
        <v/>
      </c>
      <c r="H32" s="43">
        <f>H25+H26+H27-H28-H29</f>
        <v/>
      </c>
      <c r="I32" s="43">
        <f>I25+I26+I27-I28-I29</f>
        <v/>
      </c>
      <c r="J32" s="43">
        <f>J25+J26+J27-J28-J29</f>
        <v/>
      </c>
      <c r="K32" s="43">
        <f>K25+K26+K27-K28-K29</f>
        <v/>
      </c>
      <c r="L32" s="43">
        <f>L25+L26+L27-L28-L29</f>
        <v/>
      </c>
      <c r="M32" s="43">
        <f>M25+M26+M27-M28-M29</f>
        <v/>
      </c>
      <c r="N32" s="43">
        <f>N25+N26+N27-N28-N29</f>
        <v/>
      </c>
      <c r="O32" s="43">
        <f>O25+O26+O27-O28-O29</f>
        <v/>
      </c>
      <c r="P32" s="43">
        <f>P25+P26+P27-P28-P29</f>
        <v/>
      </c>
    </row>
    <row r="33">
      <c r="A33" s="3" t="inlineStr">
        <is>
          <t>Valuation FCF (NOPAT + D&amp;A - dNWC - Capex - after-tax SBC)</t>
        </is>
      </c>
      <c r="B33" s="44">
        <f>B32-B27-B27*(1-Valuation!$B$5)</f>
        <v/>
      </c>
      <c r="C33" s="44">
        <f>C32-C27-C27*(1-Valuation!$B$5)</f>
        <v/>
      </c>
      <c r="D33" s="44">
        <f>D32-D27-D27*(1-Valuation!$B$5)</f>
        <v/>
      </c>
      <c r="E33" s="44">
        <f>E32-E27-E27*(1-Valuation!$B$5)</f>
        <v/>
      </c>
      <c r="F33" s="44">
        <f>F32-F27-F27*(1-Valuation!$B$5)</f>
        <v/>
      </c>
      <c r="G33" s="44">
        <f>G32-G27-G27*(1-Valuation!$B$5)</f>
        <v/>
      </c>
      <c r="H33" s="44">
        <f>H32-H27-H27*(1-Valuation!$B$5)</f>
        <v/>
      </c>
      <c r="I33" s="44">
        <f>I32-I27-I27*(1-Valuation!$B$5)</f>
        <v/>
      </c>
      <c r="J33" s="44">
        <f>J32-J27-J27*(1-Valuation!$B$5)</f>
        <v/>
      </c>
      <c r="K33" s="44">
        <f>K32-K27-K27*(1-Valuation!$B$5)</f>
        <v/>
      </c>
      <c r="L33" s="44">
        <f>L32-L27-L27*(1-Valuation!$B$5)</f>
        <v/>
      </c>
      <c r="M33" s="44">
        <f>M32-M27-M27*(1-Valuation!$B$5)</f>
        <v/>
      </c>
      <c r="N33" s="44">
        <f>N32-N27-N27*(1-Valuation!$B$5)</f>
        <v/>
      </c>
      <c r="O33" s="44">
        <f>O32-O27-O27*(1-Valuation!$B$5)</f>
        <v/>
      </c>
      <c r="P33" s="44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4">
        <f>Financials!L45+Financials!L44-Financials!L39</f>
        <v/>
      </c>
      <c r="C36" s="34">
        <f>Financials!P45+Financials!P44-Financials!P39</f>
        <v/>
      </c>
      <c r="D36" s="34">
        <f>Financials!T45+Financials!T44-Financials!T39</f>
        <v/>
      </c>
      <c r="E36" s="34">
        <f>Financials!X45+Financials!X44-Financials!X39</f>
        <v/>
      </c>
      <c r="F36" s="34">
        <f>Financials!AB45+Financials!AB44-Financials!AB39</f>
        <v/>
      </c>
      <c r="G36" s="42">
        <f>F36+G29-G26+G28</f>
        <v/>
      </c>
      <c r="H36" s="42">
        <f>G36+H29-H26+H28</f>
        <v/>
      </c>
      <c r="I36" s="42">
        <f>H36+I29-I26+I28</f>
        <v/>
      </c>
      <c r="J36" s="42">
        <f>I36+J29-J26+J28</f>
        <v/>
      </c>
      <c r="K36" s="42">
        <f>J36+K29-K26+K28</f>
        <v/>
      </c>
      <c r="L36" s="42">
        <f>K36+L29-L26+L28</f>
        <v/>
      </c>
      <c r="M36" s="42">
        <f>L36+M29-M26+M28</f>
        <v/>
      </c>
      <c r="N36" s="42">
        <f>M36+N29-N26+N28</f>
        <v/>
      </c>
      <c r="O36" s="42">
        <f>N36+O29-O26+O28</f>
        <v/>
      </c>
      <c r="P36" s="42">
        <f>O36+P29-P26+P28</f>
        <v/>
      </c>
    </row>
    <row r="37">
      <c r="A37" s="4" t="inlineStr">
        <is>
          <t>Book equity (year-end)</t>
        </is>
      </c>
      <c r="B37" s="34">
        <f>Financials!L45</f>
        <v/>
      </c>
      <c r="C37" s="34">
        <f>Financials!P45</f>
        <v/>
      </c>
      <c r="D37" s="34">
        <f>Financials!T45</f>
        <v/>
      </c>
      <c r="E37" s="34">
        <f>Financials!X45</f>
        <v/>
      </c>
      <c r="F37" s="34">
        <f>Financials!AB45</f>
        <v/>
      </c>
      <c r="G37" s="42">
        <f>F37+G25</f>
        <v/>
      </c>
      <c r="H37" s="42">
        <f>G37+H25</f>
        <v/>
      </c>
      <c r="I37" s="42">
        <f>H37+I25</f>
        <v/>
      </c>
      <c r="J37" s="42">
        <f>I37+J25</f>
        <v/>
      </c>
      <c r="K37" s="42">
        <f>J37+K25</f>
        <v/>
      </c>
      <c r="L37" s="42">
        <f>K37+L25</f>
        <v/>
      </c>
      <c r="M37" s="42">
        <f>L37+M25</f>
        <v/>
      </c>
      <c r="N37" s="42">
        <f>M37+N25</f>
        <v/>
      </c>
      <c r="O37" s="42">
        <f>N37+O25</f>
        <v/>
      </c>
      <c r="P37" s="42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5">
        <f>IFERROR((C8-B8)/(C36-B36),"")</f>
        <v/>
      </c>
      <c r="D43" s="45">
        <f>IFERROR((D8-C8)/(D36-C36),"")</f>
        <v/>
      </c>
      <c r="E43" s="45">
        <f>IFERROR((E8-D8)/(E36-D36),"")</f>
        <v/>
      </c>
      <c r="F43" s="45">
        <f>IFERROR((F8-E8)/(F36-E36),"")</f>
        <v/>
      </c>
      <c r="G43" s="45">
        <f>IFERROR((G8-F8)/(G36-F36),"")</f>
        <v/>
      </c>
      <c r="H43" s="45">
        <f>IFERROR((H8-G8)/(H36-G36),"")</f>
        <v/>
      </c>
      <c r="I43" s="45">
        <f>IFERROR((I8-H8)/(I36-H36),"")</f>
        <v/>
      </c>
      <c r="J43" s="45">
        <f>IFERROR((J8-I8)/(J36-I36),"")</f>
        <v/>
      </c>
      <c r="K43" s="45">
        <f>IFERROR((K8-J8)/(K36-J36),"")</f>
        <v/>
      </c>
      <c r="L43" s="45">
        <f>IFERROR((L8-K8)/(L36-K36),"")</f>
        <v/>
      </c>
      <c r="M43" s="45">
        <f>IFERROR((M8-L8)/(M36-L36),"")</f>
        <v/>
      </c>
      <c r="N43" s="45">
        <f>IFERROR((N8-M8)/(N36-M36),"")</f>
        <v/>
      </c>
      <c r="O43" s="45">
        <f>IFERROR((O8-N8)/(O36-N36),"")</f>
        <v/>
      </c>
      <c r="P43" s="4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74.355</v>
      </c>
      <c r="C3" s="18" t="n">
        <v>77.90900000000001</v>
      </c>
      <c r="D3" s="18" t="n">
        <v>83.23999999999999</v>
      </c>
      <c r="E3" s="18" t="n">
        <v>94.012</v>
      </c>
      <c r="F3" s="18" t="n">
        <v>86.47199999999999</v>
      </c>
      <c r="G3" s="18" t="n">
        <v>98.143</v>
      </c>
      <c r="H3" s="18" t="n">
        <v>112.378</v>
      </c>
      <c r="I3" s="18" t="n">
        <v>152.316</v>
      </c>
      <c r="J3" s="18" t="n">
        <v>142.026</v>
      </c>
      <c r="K3" s="18" t="n">
        <v>158.116</v>
      </c>
      <c r="L3" s="18" t="n">
        <v>173.028</v>
      </c>
      <c r="M3" s="18" t="n">
        <v>194.133</v>
      </c>
      <c r="N3" s="18" t="n">
        <v>198.2</v>
      </c>
      <c r="O3" s="18" t="n">
        <v>210.637</v>
      </c>
      <c r="P3" s="18" t="n">
        <v>217.252</v>
      </c>
      <c r="Q3" s="18" t="n">
        <v>241.756</v>
      </c>
      <c r="R3" s="18" t="n">
        <v>261.404</v>
      </c>
      <c r="S3" s="18" t="n">
        <v>268.306</v>
      </c>
      <c r="T3" s="18" t="n">
        <v>311.105</v>
      </c>
      <c r="U3" s="18" t="n">
        <v>367.741</v>
      </c>
      <c r="V3" s="18" t="n">
        <v>413.351</v>
      </c>
      <c r="W3" s="18" t="n">
        <v>439.758</v>
      </c>
      <c r="X3" s="18" t="n">
        <v>476.061</v>
      </c>
      <c r="Y3" s="18" t="n">
        <v>501.83</v>
      </c>
      <c r="Z3" s="18" t="n">
        <v>546.6</v>
      </c>
      <c r="AA3" s="18" t="n">
        <v>592.183</v>
      </c>
      <c r="AB3" s="18" t="n">
        <v>665.5</v>
      </c>
      <c r="AC3" s="18" t="n">
        <v>696.644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43.825</v>
      </c>
      <c r="C5" s="18" t="n">
        <v>43.88</v>
      </c>
      <c r="D5" s="18" t="n">
        <v>44.462</v>
      </c>
      <c r="E5" s="18" t="n">
        <v>44.978</v>
      </c>
      <c r="F5" s="18" t="n">
        <v>46.939</v>
      </c>
      <c r="G5" s="18" t="n">
        <v>51.821</v>
      </c>
      <c r="H5" s="18" t="n">
        <v>59.882</v>
      </c>
      <c r="I5" s="18" t="n">
        <v>66.813</v>
      </c>
      <c r="J5" s="18" t="n">
        <v>76.11199999999999</v>
      </c>
      <c r="K5" s="18" t="n">
        <v>81.371</v>
      </c>
      <c r="L5" s="18" t="n">
        <v>94.122</v>
      </c>
      <c r="M5" s="18" t="n">
        <v>103.215</v>
      </c>
      <c r="N5" s="18" t="n">
        <v>109.237</v>
      </c>
      <c r="O5" s="18" t="n">
        <v>116.512</v>
      </c>
      <c r="P5" s="18" t="n">
        <v>127.292</v>
      </c>
      <c r="Q5" s="18" t="n">
        <v>148.124</v>
      </c>
      <c r="R5" s="18" t="n">
        <v>143.149</v>
      </c>
      <c r="S5" s="18" t="n">
        <v>147.311</v>
      </c>
      <c r="T5" s="18" t="n">
        <v>151.247</v>
      </c>
      <c r="U5" s="18" t="n">
        <v>159.14</v>
      </c>
      <c r="V5" s="18" t="n">
        <v>170.179</v>
      </c>
      <c r="W5" s="18" t="n">
        <v>168.011</v>
      </c>
      <c r="X5" s="18" t="n">
        <v>176.423</v>
      </c>
      <c r="Y5" s="18" t="n">
        <v>184.613</v>
      </c>
      <c r="Z5" s="18" t="n">
        <v>199.531</v>
      </c>
      <c r="AA5" s="18" t="n">
        <v>207.801</v>
      </c>
      <c r="AB5" s="18" t="n">
        <v>218.682</v>
      </c>
      <c r="AC5" s="18" t="n">
        <v>245.203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12.124</v>
      </c>
      <c r="C7" s="18" t="n">
        <v>12.796</v>
      </c>
      <c r="D7" s="18" t="n">
        <v>15.002</v>
      </c>
      <c r="E7" s="18" t="n">
        <v>18.225</v>
      </c>
      <c r="F7" s="18" t="n">
        <v>23.005</v>
      </c>
      <c r="G7" s="18" t="n">
        <v>26.421</v>
      </c>
      <c r="H7" s="18" t="n">
        <v>32.384</v>
      </c>
      <c r="I7" s="18" t="n">
        <v>40.188</v>
      </c>
      <c r="J7" s="18" t="n">
        <v>53.752</v>
      </c>
      <c r="K7" s="18" t="n">
        <v>98.45699999999999</v>
      </c>
      <c r="L7" s="18" t="n">
        <v>71.81100000000001</v>
      </c>
      <c r="M7" s="18" t="n">
        <v>80.414</v>
      </c>
      <c r="N7" s="18" t="n">
        <v>82.58</v>
      </c>
      <c r="O7" s="18" t="n">
        <v>65.51000000000001</v>
      </c>
      <c r="P7" s="18" t="n">
        <v>87.911</v>
      </c>
      <c r="Q7" s="18" t="n">
        <v>82.306</v>
      </c>
      <c r="R7" s="18" t="n">
        <v>78.173</v>
      </c>
      <c r="S7" s="18" t="n">
        <v>77.235</v>
      </c>
      <c r="T7" s="18" t="n">
        <v>82.964</v>
      </c>
      <c r="U7" s="18" t="n">
        <v>88.637</v>
      </c>
      <c r="V7" s="18" t="n">
        <v>89.10899999999999</v>
      </c>
      <c r="W7" s="18" t="n">
        <v>96.931</v>
      </c>
      <c r="X7" s="18" t="n">
        <v>129.461</v>
      </c>
      <c r="Y7" s="18" t="n">
        <v>129.078</v>
      </c>
      <c r="Z7" s="18" t="n">
        <v>146.427</v>
      </c>
      <c r="AA7" s="18" t="n">
        <v>173.412</v>
      </c>
      <c r="AB7" s="18" t="n">
        <v>175.193</v>
      </c>
      <c r="AC7" s="18" t="n">
        <v>210.702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47.042</v>
      </c>
      <c r="C9" s="18" t="n">
        <v>56.715</v>
      </c>
      <c r="D9" s="18" t="n">
        <v>58.587</v>
      </c>
      <c r="E9" s="18" t="n">
        <v>65.681</v>
      </c>
      <c r="F9" s="18" t="n">
        <v>68.188</v>
      </c>
      <c r="G9" s="18" t="n">
        <v>75.678</v>
      </c>
      <c r="H9" s="18" t="n">
        <v>94.08</v>
      </c>
      <c r="I9" s="18" t="n">
        <v>108.332</v>
      </c>
      <c r="J9" s="18" t="n">
        <v>127.456</v>
      </c>
      <c r="K9" s="18" t="n">
        <v>128.485</v>
      </c>
      <c r="L9" s="18" t="n">
        <v>146.761</v>
      </c>
      <c r="M9" s="18" t="n">
        <v>147.634</v>
      </c>
      <c r="N9" s="18" t="n">
        <v>149.468</v>
      </c>
      <c r="O9" s="18" t="n">
        <v>147.667</v>
      </c>
      <c r="P9" s="18" t="n">
        <v>143.822</v>
      </c>
      <c r="Q9" s="18" t="n">
        <v>149.627</v>
      </c>
      <c r="R9" s="18" t="n">
        <v>152.508</v>
      </c>
      <c r="S9" s="18" t="n">
        <v>154.742</v>
      </c>
      <c r="T9" s="18" t="n">
        <v>161.43</v>
      </c>
      <c r="U9" s="18" t="n">
        <v>194.278</v>
      </c>
      <c r="V9" s="18" t="n">
        <v>197.965</v>
      </c>
      <c r="W9" s="18" t="n">
        <v>214.154</v>
      </c>
      <c r="X9" s="18" t="n">
        <v>234.917</v>
      </c>
      <c r="Y9" s="18" t="n">
        <v>266.864</v>
      </c>
      <c r="Z9" s="18" t="n">
        <v>310.549</v>
      </c>
      <c r="AA9" s="18" t="n">
        <v>308.546</v>
      </c>
      <c r="AB9" s="18" t="n">
        <v>291.302</v>
      </c>
      <c r="AC9" s="18" t="n">
        <v>327.938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30.53</v>
      </c>
      <c r="C11" s="18" t="n">
        <v>34.029</v>
      </c>
      <c r="D11" s="18" t="n">
        <v>38.778</v>
      </c>
      <c r="E11" s="18" t="n">
        <v>49.034</v>
      </c>
      <c r="F11" s="18" t="n">
        <v>39.533</v>
      </c>
      <c r="G11" s="18" t="n">
        <v>46.322</v>
      </c>
      <c r="H11" s="18" t="n">
        <v>52.496</v>
      </c>
      <c r="I11" s="18" t="n">
        <v>85.503</v>
      </c>
      <c r="J11" s="18" t="n">
        <v>65.914</v>
      </c>
      <c r="K11" s="18" t="n">
        <v>76.745</v>
      </c>
      <c r="L11" s="18" t="n">
        <v>78.90600000000001</v>
      </c>
      <c r="M11" s="18" t="n">
        <v>90.91800000000001</v>
      </c>
      <c r="N11" s="18" t="n">
        <v>88.96299999999999</v>
      </c>
      <c r="O11" s="18" t="n">
        <v>94.125</v>
      </c>
      <c r="P11" s="18" t="n">
        <v>89.95999999999999</v>
      </c>
      <c r="Q11" s="18" t="n">
        <v>93.63200000000001</v>
      </c>
      <c r="R11" s="18" t="n">
        <v>118.255</v>
      </c>
      <c r="S11" s="18" t="n">
        <v>120.995</v>
      </c>
      <c r="T11" s="18" t="n">
        <v>159.858</v>
      </c>
      <c r="U11" s="18" t="n">
        <v>208.601</v>
      </c>
      <c r="V11" s="18" t="n">
        <v>243.172</v>
      </c>
      <c r="W11" s="18" t="n">
        <v>271.747</v>
      </c>
      <c r="X11" s="18" t="n">
        <v>299.638</v>
      </c>
      <c r="Y11" s="18" t="n">
        <v>317.217</v>
      </c>
      <c r="Z11" s="18" t="n">
        <v>347.069</v>
      </c>
      <c r="AA11" s="18" t="n">
        <v>384.382</v>
      </c>
      <c r="AB11" s="18" t="n">
        <v>446.818</v>
      </c>
      <c r="AC11" s="18" t="n">
        <v>451.441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-28.636</v>
      </c>
      <c r="C13" s="18" t="n">
        <v>-21.094</v>
      </c>
      <c r="D13" s="18" t="n">
        <v>-34.811</v>
      </c>
      <c r="E13" s="18" t="n">
        <v>-34.872</v>
      </c>
      <c r="F13" s="18" t="n">
        <v>-51.66</v>
      </c>
      <c r="G13" s="18" t="n">
        <v>-55.777</v>
      </c>
      <c r="H13" s="18" t="n">
        <v>-73.968</v>
      </c>
      <c r="I13" s="18" t="n">
        <v>-63.017</v>
      </c>
      <c r="J13" s="18" t="n">
        <v>-115.294</v>
      </c>
      <c r="K13" s="18" t="n">
        <v>-150.197</v>
      </c>
      <c r="L13" s="18" t="n">
        <v>-139.666</v>
      </c>
      <c r="M13" s="18" t="n">
        <v>-137.13</v>
      </c>
      <c r="N13" s="18" t="n">
        <v>-143.085</v>
      </c>
      <c r="O13" s="18" t="n">
        <v>-119.052</v>
      </c>
      <c r="P13" s="18" t="n">
        <v>-141.773</v>
      </c>
      <c r="Q13" s="18" t="n">
        <v>-138.301</v>
      </c>
      <c r="R13" s="18" t="n">
        <v>-112.426</v>
      </c>
      <c r="S13" s="18" t="n">
        <v>-110.982</v>
      </c>
      <c r="T13" s="18" t="n">
        <v>-84.536</v>
      </c>
      <c r="U13" s="18" t="n">
        <v>-74.31399999999999</v>
      </c>
      <c r="V13" s="18" t="n">
        <v>-43.902</v>
      </c>
      <c r="W13" s="18" t="n">
        <v>-39.338</v>
      </c>
      <c r="X13" s="18" t="n">
        <v>-64.73999999999999</v>
      </c>
      <c r="Y13" s="18" t="n">
        <v>-79.17700000000001</v>
      </c>
      <c r="Z13" s="18" t="n">
        <v>-110.372</v>
      </c>
      <c r="AA13" s="18" t="n">
        <v>-97.57599999999999</v>
      </c>
      <c r="AB13" s="18" t="n">
        <v>-22.786</v>
      </c>
      <c r="AC13" s="18" t="n">
        <v>-93.51600000000001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-32.416</v>
      </c>
      <c r="C15" s="18" t="n">
        <v>-23.137</v>
      </c>
      <c r="D15" s="18" t="n">
        <v>-35.183</v>
      </c>
      <c r="E15" s="18" t="n">
        <v>-35.372</v>
      </c>
      <c r="F15" s="18" t="n">
        <v>-59.637</v>
      </c>
      <c r="G15" s="18" t="n">
        <v>-58.323</v>
      </c>
      <c r="H15" s="18" t="n">
        <v>-76.41200000000001</v>
      </c>
      <c r="I15" s="18" t="n">
        <v>-63.853</v>
      </c>
      <c r="J15" s="18" t="n">
        <v>-116.026</v>
      </c>
      <c r="K15" s="18" t="n">
        <v>-151.273</v>
      </c>
      <c r="L15" s="18" t="n">
        <v>-140.564</v>
      </c>
      <c r="M15" s="18" t="n">
        <v>-138.595</v>
      </c>
      <c r="N15" s="18" t="n">
        <v>-145.151</v>
      </c>
      <c r="O15" s="18" t="n">
        <v>-121.48</v>
      </c>
      <c r="P15" s="18" t="n">
        <v>-142.573</v>
      </c>
      <c r="Q15" s="18" t="n">
        <v>-136.937</v>
      </c>
      <c r="R15" s="18" t="n">
        <v>-110.803</v>
      </c>
      <c r="S15" s="18" t="n">
        <v>-109.03</v>
      </c>
      <c r="T15" s="18" t="n">
        <v>-78.03100000000001</v>
      </c>
      <c r="U15" s="18" t="n">
        <v>-67.599</v>
      </c>
      <c r="V15" s="18" t="n">
        <v>-37.464</v>
      </c>
      <c r="W15" s="18" t="n">
        <v>-31.592</v>
      </c>
      <c r="X15" s="18" t="n">
        <v>-53.771</v>
      </c>
      <c r="Y15" s="18" t="n">
        <v>-66.93600000000001</v>
      </c>
      <c r="Z15" s="18" t="n">
        <v>-100.938</v>
      </c>
      <c r="AA15" s="18" t="n">
        <v>-87.544</v>
      </c>
      <c r="AB15" s="18" t="n">
        <v>47.258</v>
      </c>
      <c r="AC15" s="18" t="n">
        <v>-85.09099999999999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68.224</v>
      </c>
      <c r="C17" s="18" t="n">
        <v>70.456</v>
      </c>
      <c r="D17" s="18" t="n">
        <v>78.28700000000001</v>
      </c>
      <c r="E17" s="18" t="n">
        <v>78.28700000000001</v>
      </c>
      <c r="F17" s="18" t="n">
        <v>79.069</v>
      </c>
      <c r="G17" s="18" t="n">
        <v>80.908</v>
      </c>
      <c r="H17" s="18" t="n">
        <v>80.908</v>
      </c>
      <c r="I17" s="18" t="n">
        <v>86.68899999999999</v>
      </c>
      <c r="J17" s="18" t="n">
        <v>88.077</v>
      </c>
      <c r="K17" s="18" t="n">
        <v>92.55800000000001</v>
      </c>
      <c r="L17" s="18" t="n">
        <v>92.55800000000001</v>
      </c>
      <c r="M17" s="18" t="n">
        <v>95.578</v>
      </c>
      <c r="N17" s="18" t="n">
        <v>96.57899999999999</v>
      </c>
      <c r="O17" s="18" t="n">
        <v>97.05200000000001</v>
      </c>
      <c r="P17" s="18" t="n">
        <v>98.408</v>
      </c>
      <c r="Q17" s="18" t="n">
        <v>111.767</v>
      </c>
      <c r="R17" s="18" t="n">
        <v>113.69</v>
      </c>
      <c r="S17" s="18" t="n">
        <v>115.171</v>
      </c>
      <c r="T17" s="18" t="n">
        <v>119.3</v>
      </c>
      <c r="U17" s="18" t="n">
        <v>120.814</v>
      </c>
      <c r="V17" s="18" t="n">
        <v>122.853</v>
      </c>
      <c r="W17" s="18" t="n">
        <v>123.775</v>
      </c>
      <c r="X17" s="18" t="n">
        <v>124.718</v>
      </c>
      <c r="Y17" s="18" t="n">
        <v>134.75</v>
      </c>
      <c r="Z17" s="18" t="n">
        <v>136.388</v>
      </c>
      <c r="AA17" s="18" t="n">
        <v>137.187</v>
      </c>
      <c r="AB17" s="18" t="n">
        <v>136.721</v>
      </c>
      <c r="AC17" s="18" t="n">
        <v>141.502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Product</t>
        </is>
      </c>
      <c r="B19" s="18" t="n">
        <v>65.099</v>
      </c>
      <c r="C19" s="18" t="n">
        <v>66.93600000000001</v>
      </c>
      <c r="D19" s="18" t="n">
        <v>74.482</v>
      </c>
      <c r="E19" s="18" t="n">
        <v>87.04600000000001</v>
      </c>
      <c r="F19" s="18" t="n">
        <v>80.414</v>
      </c>
      <c r="G19" s="18" t="n">
        <v>93.286</v>
      </c>
      <c r="H19" s="18" t="n">
        <v>106.465</v>
      </c>
      <c r="I19" s="18" t="n">
        <v>118.382</v>
      </c>
      <c r="J19" s="18" t="n">
        <v>137.232</v>
      </c>
      <c r="K19" s="18" t="n">
        <v>150.651</v>
      </c>
      <c r="L19" s="18" t="n">
        <v>160.884</v>
      </c>
      <c r="M19" s="18" t="n">
        <v>190.002</v>
      </c>
      <c r="N19" s="18" t="n">
        <v>194.582</v>
      </c>
      <c r="O19" s="18" t="n">
        <v>199.831</v>
      </c>
      <c r="P19" s="18" t="n">
        <v>212.892</v>
      </c>
      <c r="Q19" s="18" t="n">
        <v>237.797</v>
      </c>
      <c r="R19" s="18" t="n">
        <v>258.256</v>
      </c>
      <c r="S19" s="18" t="n">
        <v>265.218</v>
      </c>
      <c r="T19" s="18" t="n">
        <v>572.4690000000001</v>
      </c>
      <c r="U19" s="18" t="n">
        <v>364.672</v>
      </c>
      <c r="V19" s="18" t="n">
        <v>411.364</v>
      </c>
      <c r="W19" s="18" t="n">
        <v>436.127</v>
      </c>
      <c r="X19" s="18" t="n">
        <v>884.275</v>
      </c>
      <c r="Y19" s="18" t="n">
        <v>500.036</v>
      </c>
      <c r="Z19" s="18" t="n">
        <v>544.427</v>
      </c>
      <c r="AA19" s="18" t="n">
        <v>590.197</v>
      </c>
      <c r="AB19" s="18" t="n">
        <v>661.16</v>
      </c>
      <c r="AC19" s="18" t="n">
        <v>693.8680000000001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Oncology</t>
        </is>
      </c>
      <c r="AC22" s="18" t="n">
        <v>0.1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UNITED STATES</t>
        </is>
      </c>
      <c r="AC26" s="18" t="n">
        <v>685.598</v>
      </c>
    </row>
    <row r="27">
      <c r="A27" s="4" t="inlineStr">
        <is>
          <t xml:space="preserve">    % YoY</t>
        </is>
      </c>
      <c r="F27" s="25">
        <f>IFERROR(F26/B26-1,"")</f>
        <v/>
      </c>
      <c r="G27" s="25">
        <f>IFERROR(G26/C26-1,"")</f>
        <v/>
      </c>
      <c r="H27" s="25">
        <f>IFERROR(H26/D26-1,"")</f>
        <v/>
      </c>
      <c r="I27" s="25">
        <f>IFERROR(I26/E26-1,"")</f>
        <v/>
      </c>
      <c r="J27" s="25">
        <f>IFERROR(J26/F26-1,"")</f>
        <v/>
      </c>
      <c r="K27" s="25">
        <f>IFERROR(K26/G26-1,"")</f>
        <v/>
      </c>
      <c r="L27" s="25">
        <f>IFERROR(L26/H26-1,"")</f>
        <v/>
      </c>
      <c r="M27" s="25">
        <f>IFERROR(M26/I26-1,"")</f>
        <v/>
      </c>
      <c r="N27" s="25">
        <f>IFERROR(N26/J26-1,"")</f>
        <v/>
      </c>
      <c r="O27" s="25">
        <f>IFERROR(O26/K26-1,"")</f>
        <v/>
      </c>
      <c r="P27" s="25">
        <f>IFERROR(P26/L26-1,"")</f>
        <v/>
      </c>
      <c r="Q27" s="25">
        <f>IFERROR(Q26/M26-1,"")</f>
        <v/>
      </c>
      <c r="R27" s="25">
        <f>IFERROR(R26/N26-1,"")</f>
        <v/>
      </c>
      <c r="S27" s="25">
        <f>IFERROR(S26/O26-1,"")</f>
        <v/>
      </c>
      <c r="T27" s="25">
        <f>IFERROR(T26/P26-1,"")</f>
        <v/>
      </c>
      <c r="U27" s="25">
        <f>IFERROR(U26/Q26-1,"")</f>
        <v/>
      </c>
      <c r="V27" s="25">
        <f>IFERROR(V26/R26-1,"")</f>
        <v/>
      </c>
      <c r="W27" s="25">
        <f>IFERROR(W26/S26-1,"")</f>
        <v/>
      </c>
      <c r="X27" s="25">
        <f>IFERROR(X26/T26-1,"")</f>
        <v/>
      </c>
      <c r="Y27" s="25">
        <f>IFERROR(Y26/U26-1,"")</f>
        <v/>
      </c>
      <c r="Z27" s="25">
        <f>IFERROR(Z26/V26-1,"")</f>
        <v/>
      </c>
      <c r="AA27" s="25">
        <f>IFERROR(AA26/W26-1,"")</f>
        <v/>
      </c>
      <c r="AB27" s="25">
        <f>IFERROR(AB26/X26-1,"")</f>
        <v/>
      </c>
      <c r="AC27" s="25">
        <f>IFERROR(AC26/Y26-1,"")</f>
        <v/>
      </c>
    </row>
    <row r="28">
      <c r="A28" s="4" t="inlineStr">
        <is>
          <t xml:space="preserve">    % of revenue</t>
        </is>
      </c>
      <c r="B28" s="25">
        <f>IFERROR(B26/B3,"")</f>
        <v/>
      </c>
      <c r="C28" s="25">
        <f>IFERROR(C26/C3,"")</f>
        <v/>
      </c>
      <c r="D28" s="25">
        <f>IFERROR(D26/D3,"")</f>
        <v/>
      </c>
      <c r="E28" s="25">
        <f>IFERROR(E26/E3,"")</f>
        <v/>
      </c>
      <c r="F28" s="25">
        <f>IFERROR(F26/F3,"")</f>
        <v/>
      </c>
      <c r="G28" s="25">
        <f>IFERROR(G26/G3,"")</f>
        <v/>
      </c>
      <c r="H28" s="25">
        <f>IFERROR(H26/H3,"")</f>
        <v/>
      </c>
      <c r="I28" s="25">
        <f>IFERROR(I26/I3,"")</f>
        <v/>
      </c>
      <c r="J28" s="25">
        <f>IFERROR(J26/J3,"")</f>
        <v/>
      </c>
      <c r="K28" s="25">
        <f>IFERROR(K26/K3,"")</f>
        <v/>
      </c>
      <c r="L28" s="25">
        <f>IFERROR(L26/L3,"")</f>
        <v/>
      </c>
      <c r="M28" s="25">
        <f>IFERROR(M26/M3,"")</f>
        <v/>
      </c>
      <c r="N28" s="25">
        <f>IFERROR(N26/N3,"")</f>
        <v/>
      </c>
      <c r="O28" s="25">
        <f>IFERROR(O26/O3,"")</f>
        <v/>
      </c>
      <c r="P28" s="25">
        <f>IFERROR(P26/P3,"")</f>
        <v/>
      </c>
      <c r="Q28" s="25">
        <f>IFERROR(Q26/Q3,"")</f>
        <v/>
      </c>
      <c r="R28" s="25">
        <f>IFERROR(R26/R3,"")</f>
        <v/>
      </c>
      <c r="S28" s="25">
        <f>IFERROR(S26/S3,"")</f>
        <v/>
      </c>
      <c r="T28" s="25">
        <f>IFERROR(T26/T3,"")</f>
        <v/>
      </c>
      <c r="U28" s="25">
        <f>IFERROR(U26/U3,"")</f>
        <v/>
      </c>
      <c r="V28" s="25">
        <f>IFERROR(V26/V3,"")</f>
        <v/>
      </c>
      <c r="W28" s="25">
        <f>IFERROR(W26/W3,"")</f>
        <v/>
      </c>
      <c r="X28" s="25">
        <f>IFERROR(X26/X3,"")</f>
        <v/>
      </c>
      <c r="Y28" s="25">
        <f>IFERROR(Y26/Y3,"")</f>
        <v/>
      </c>
      <c r="Z28" s="25">
        <f>IFERROR(Z26/Z3,"")</f>
        <v/>
      </c>
      <c r="AA28" s="25">
        <f>IFERROR(AA26/AA3,"")</f>
        <v/>
      </c>
      <c r="AB28" s="25">
        <f>IFERROR(AB26/AB3,"")</f>
        <v/>
      </c>
      <c r="AC28" s="25">
        <f>IFERROR(AC26/AC3,"")</f>
        <v/>
      </c>
    </row>
    <row r="29">
      <c r="A29" s="4" t="inlineStr">
        <is>
          <t>EMEA</t>
        </is>
      </c>
      <c r="AC29" s="18" t="n">
        <v>6.425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Americas, Excluding United States</t>
        </is>
      </c>
      <c r="AC32" s="18" t="n">
        <v>2.402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Asia Pacific and Other</t>
        </is>
      </c>
      <c r="L35" s="18" t="n">
        <v>2.858</v>
      </c>
      <c r="M35" s="18" t="n">
        <v>2.484</v>
      </c>
      <c r="N35" s="18" t="n">
        <v>2.048</v>
      </c>
      <c r="O35" s="18" t="n">
        <v>7.46</v>
      </c>
      <c r="P35" s="18" t="n">
        <v>2.036</v>
      </c>
      <c r="Q35" s="18" t="n">
        <v>2.148</v>
      </c>
      <c r="R35" s="18" t="n">
        <v>1.282</v>
      </c>
      <c r="S35" s="18" t="n">
        <v>1.893</v>
      </c>
      <c r="T35" s="18" t="n">
        <v>1.893</v>
      </c>
      <c r="U35" s="18" t="n">
        <v>1.669</v>
      </c>
      <c r="V35" s="18" t="n">
        <v>1.439</v>
      </c>
      <c r="W35" s="18" t="n">
        <v>3.76</v>
      </c>
      <c r="X35" s="18" t="n">
        <v>1.794</v>
      </c>
      <c r="Y35" s="18" t="n">
        <v>1.784</v>
      </c>
      <c r="Z35" s="18" t="n">
        <v>1.82</v>
      </c>
      <c r="AA35" s="18" t="n">
        <v>2.283</v>
      </c>
      <c r="AB35" s="18" t="n">
        <v>2.127</v>
      </c>
      <c r="AC35" s="18" t="n">
        <v>2.219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237.981</v>
      </c>
      <c r="C39" s="18" t="n">
        <v>238.309</v>
      </c>
      <c r="D39" s="18" t="n">
        <v>440.991</v>
      </c>
      <c r="E39" s="18" t="n">
        <v>405.825</v>
      </c>
      <c r="F39" s="18" t="n">
        <v>571.174</v>
      </c>
      <c r="G39" s="18" t="n">
        <v>809.556</v>
      </c>
      <c r="H39" s="18" t="n">
        <v>737.274</v>
      </c>
      <c r="I39" s="18" t="n">
        <v>653.572</v>
      </c>
      <c r="J39" s="18" t="n">
        <v>580.2430000000001</v>
      </c>
      <c r="K39" s="18" t="n">
        <v>1023.699</v>
      </c>
      <c r="L39" s="18" t="n">
        <v>914.282</v>
      </c>
      <c r="M39" s="18" t="n">
        <v>751.958</v>
      </c>
      <c r="N39" s="18" t="n">
        <v>638.651</v>
      </c>
      <c r="O39" s="18" t="n">
        <v>521.154</v>
      </c>
      <c r="P39" s="18" t="n">
        <v>898.3920000000001</v>
      </c>
      <c r="Q39" s="18" t="n">
        <v>812.0119999999999</v>
      </c>
      <c r="R39" s="18" t="n">
        <v>735.941</v>
      </c>
      <c r="S39" s="18" t="n">
        <v>936.557</v>
      </c>
      <c r="T39" s="18" t="n">
        <v>878.977</v>
      </c>
      <c r="U39" s="18" t="n">
        <v>882.938</v>
      </c>
      <c r="V39" s="18" t="n">
        <v>887.097</v>
      </c>
      <c r="W39" s="18" t="n">
        <v>922.3339999999999</v>
      </c>
      <c r="X39" s="18" t="n">
        <v>968.276</v>
      </c>
      <c r="Y39" s="18" t="n">
        <v>991.6</v>
      </c>
      <c r="Z39" s="18" t="n">
        <v>1015.996</v>
      </c>
      <c r="AA39" s="18" t="n">
        <v>1042.438</v>
      </c>
      <c r="AB39" s="18" t="n">
        <v>1076.14</v>
      </c>
      <c r="AC39" s="18" t="n">
        <v>1087.932</v>
      </c>
    </row>
    <row r="40">
      <c r="A40" s="4" t="inlineStr">
        <is>
          <t>Total Current Assets</t>
        </is>
      </c>
      <c r="B40" s="18" t="n">
        <v>321.967</v>
      </c>
      <c r="C40" s="18" t="n">
        <v>323.737</v>
      </c>
      <c r="D40" s="18" t="n">
        <v>523.167</v>
      </c>
      <c r="E40" s="18" t="n">
        <v>497.208</v>
      </c>
      <c r="F40" s="18" t="n">
        <v>663.504</v>
      </c>
      <c r="G40" s="18" t="n">
        <v>916.0119999999999</v>
      </c>
      <c r="H40" s="18" t="n">
        <v>862.663</v>
      </c>
      <c r="I40" s="18" t="n">
        <v>791.403</v>
      </c>
      <c r="J40" s="18" t="n">
        <v>739.888</v>
      </c>
      <c r="K40" s="18" t="n">
        <v>1191.223</v>
      </c>
      <c r="L40" s="18" t="n">
        <v>1093.138</v>
      </c>
      <c r="M40" s="18" t="n">
        <v>980.226</v>
      </c>
      <c r="N40" s="18" t="n">
        <v>901.5549999999999</v>
      </c>
      <c r="O40" s="18" t="n">
        <v>829.629</v>
      </c>
      <c r="P40" s="18" t="n">
        <v>1211.817</v>
      </c>
      <c r="Q40" s="18" t="n">
        <v>1129.468</v>
      </c>
      <c r="R40" s="18" t="n">
        <v>1065.512</v>
      </c>
      <c r="S40" s="18" t="n">
        <v>1267.276</v>
      </c>
      <c r="T40" s="18" t="n">
        <v>1258.549</v>
      </c>
      <c r="U40" s="18" t="n">
        <v>1261.444</v>
      </c>
      <c r="V40" s="18" t="n">
        <v>1301.816</v>
      </c>
      <c r="W40" s="18" t="n">
        <v>1322.565</v>
      </c>
      <c r="X40" s="18" t="n">
        <v>1375.82</v>
      </c>
      <c r="Y40" s="18" t="n">
        <v>1416.385</v>
      </c>
      <c r="Z40" s="18" t="n">
        <v>1431.596</v>
      </c>
      <c r="AA40" s="18" t="n">
        <v>1447.323</v>
      </c>
      <c r="AB40" s="18" t="n">
        <v>1496.939</v>
      </c>
      <c r="AC40" s="18" t="n">
        <v>1651.813</v>
      </c>
    </row>
    <row r="41">
      <c r="A41" s="4" t="inlineStr">
        <is>
          <t>PP&amp;E (net)</t>
        </is>
      </c>
      <c r="B41" s="18" t="n">
        <v>48.268</v>
      </c>
      <c r="C41" s="18" t="n">
        <v>43.834</v>
      </c>
      <c r="D41" s="18" t="n">
        <v>47.013</v>
      </c>
      <c r="E41" s="18" t="n">
        <v>49.338</v>
      </c>
      <c r="F41" s="18" t="n">
        <v>47.4</v>
      </c>
      <c r="G41" s="18" t="n">
        <v>48.545</v>
      </c>
      <c r="H41" s="18" t="n">
        <v>54.747</v>
      </c>
      <c r="I41" s="18" t="n">
        <v>89.703</v>
      </c>
      <c r="J41" s="18" t="n">
        <v>97.221</v>
      </c>
      <c r="K41" s="18" t="n">
        <v>106.949</v>
      </c>
      <c r="L41" s="18" t="n">
        <v>124.529</v>
      </c>
      <c r="M41" s="18" t="n">
        <v>142.762</v>
      </c>
      <c r="N41" s="18" t="n">
        <v>143.919</v>
      </c>
      <c r="O41" s="18" t="n">
        <v>161.277</v>
      </c>
      <c r="P41" s="18" t="n">
        <v>164.327</v>
      </c>
      <c r="Q41" s="18" t="n">
        <v>170.124</v>
      </c>
      <c r="R41" s="18" t="n">
        <v>164.863</v>
      </c>
      <c r="S41" s="18" t="n">
        <v>163.036</v>
      </c>
      <c r="T41" s="18" t="n">
        <v>167.747</v>
      </c>
      <c r="U41" s="18" t="n">
        <v>180.344</v>
      </c>
      <c r="V41" s="18" t="n">
        <v>185.862</v>
      </c>
      <c r="W41" s="18" t="n">
        <v>230.026</v>
      </c>
      <c r="X41" s="18" t="n">
        <v>248.195</v>
      </c>
      <c r="Y41" s="18" t="n">
        <v>275.084</v>
      </c>
      <c r="Z41" s="18" t="n">
        <v>284.352</v>
      </c>
      <c r="AA41" s="18" t="n">
        <v>303.484</v>
      </c>
      <c r="AB41" s="18" t="n">
        <v>349.725</v>
      </c>
      <c r="AC41" s="18" t="n">
        <v>403.366</v>
      </c>
    </row>
    <row r="42">
      <c r="A42" s="4" t="inlineStr">
        <is>
          <t>Total Assets</t>
        </is>
      </c>
      <c r="B42" s="18" t="n">
        <v>383.326</v>
      </c>
      <c r="C42" s="18" t="n">
        <v>380.25</v>
      </c>
      <c r="D42" s="18" t="n">
        <v>582.6559999999999</v>
      </c>
      <c r="E42" s="18" t="n">
        <v>558.639</v>
      </c>
      <c r="F42" s="18" t="n">
        <v>723.261</v>
      </c>
      <c r="G42" s="18" t="n">
        <v>976.713</v>
      </c>
      <c r="H42" s="18" t="n">
        <v>932.153</v>
      </c>
      <c r="I42" s="18" t="n">
        <v>893.5119999999999</v>
      </c>
      <c r="J42" s="18" t="n">
        <v>849.956</v>
      </c>
      <c r="K42" s="18" t="n">
        <v>1311.374</v>
      </c>
      <c r="L42" s="18" t="n">
        <v>1236.487</v>
      </c>
      <c r="M42" s="18" t="n">
        <v>1144.664</v>
      </c>
      <c r="N42" s="18" t="n">
        <v>1066.976</v>
      </c>
      <c r="O42" s="18" t="n">
        <v>1009.112</v>
      </c>
      <c r="P42" s="18" t="n">
        <v>1394.474</v>
      </c>
      <c r="Q42" s="18" t="n">
        <v>1318.88</v>
      </c>
      <c r="R42" s="18" t="n">
        <v>1247.893</v>
      </c>
      <c r="S42" s="18" t="n">
        <v>1446.52</v>
      </c>
      <c r="T42" s="18" t="n">
        <v>1441.699</v>
      </c>
      <c r="U42" s="18" t="n">
        <v>1468.205</v>
      </c>
      <c r="V42" s="18" t="n">
        <v>1516.989</v>
      </c>
      <c r="W42" s="18" t="n">
        <v>1590.947</v>
      </c>
      <c r="X42" s="18" t="n">
        <v>1660.735</v>
      </c>
      <c r="Y42" s="18" t="n">
        <v>1732.366</v>
      </c>
      <c r="Z42" s="18" t="n">
        <v>1757.066</v>
      </c>
      <c r="AA42" s="18" t="n">
        <v>1821.482</v>
      </c>
      <c r="AB42" s="18" t="n">
        <v>2508.037</v>
      </c>
      <c r="AC42" s="18" t="n">
        <v>2614.398</v>
      </c>
    </row>
    <row r="43">
      <c r="A43" s="4" t="inlineStr">
        <is>
          <t>Total Current Liabilities</t>
        </is>
      </c>
      <c r="B43" s="18" t="n">
        <v>126.925</v>
      </c>
      <c r="C43" s="18" t="n">
        <v>137.974</v>
      </c>
      <c r="D43" s="18" t="n">
        <v>179.874</v>
      </c>
      <c r="E43" s="18" t="n">
        <v>176.642</v>
      </c>
      <c r="F43" s="18" t="n">
        <v>175.56</v>
      </c>
      <c r="G43" s="18" t="n">
        <v>195.872</v>
      </c>
      <c r="H43" s="18" t="n">
        <v>199.053</v>
      </c>
      <c r="I43" s="18" t="n">
        <v>166.969</v>
      </c>
      <c r="J43" s="18" t="n">
        <v>197.988</v>
      </c>
      <c r="K43" s="18" t="n">
        <v>199.714</v>
      </c>
      <c r="L43" s="18" t="n">
        <v>218.956</v>
      </c>
      <c r="M43" s="18" t="n">
        <v>231.072</v>
      </c>
      <c r="N43" s="18" t="n">
        <v>251.618</v>
      </c>
      <c r="O43" s="18" t="n">
        <v>267.281</v>
      </c>
      <c r="P43" s="18" t="n">
        <v>310.499</v>
      </c>
      <c r="Q43" s="18" t="n">
        <v>290.969</v>
      </c>
      <c r="R43" s="18" t="n">
        <v>276.856</v>
      </c>
      <c r="S43" s="18" t="n">
        <v>289.923</v>
      </c>
      <c r="T43" s="18" t="n">
        <v>307.274</v>
      </c>
      <c r="U43" s="18" t="n">
        <v>305.949</v>
      </c>
      <c r="V43" s="18" t="n">
        <v>314.574</v>
      </c>
      <c r="W43" s="18" t="n">
        <v>301.416</v>
      </c>
      <c r="X43" s="18" t="n">
        <v>344.045</v>
      </c>
      <c r="Y43" s="18" t="n">
        <v>365.677</v>
      </c>
      <c r="Z43" s="18" t="n">
        <v>384.836</v>
      </c>
      <c r="AA43" s="18" t="n">
        <v>442.016</v>
      </c>
      <c r="AB43" s="18" t="n">
        <v>441.228</v>
      </c>
      <c r="AC43" s="18" t="n">
        <v>558.2569999999999</v>
      </c>
    </row>
    <row r="44">
      <c r="A44" s="4" t="inlineStr">
        <is>
          <t>Long-term Debt</t>
        </is>
      </c>
      <c r="B44" s="18" t="n">
        <v>73.511</v>
      </c>
      <c r="C44" s="18" t="n">
        <v>73.583</v>
      </c>
      <c r="D44" s="18" t="n">
        <v>73.65600000000001</v>
      </c>
      <c r="E44" s="18" t="n">
        <v>72.881</v>
      </c>
      <c r="F44" s="18" t="n">
        <v>197.476</v>
      </c>
      <c r="G44" s="18" t="n">
        <v>199.959</v>
      </c>
      <c r="H44" s="18" t="n">
        <v>202.493</v>
      </c>
      <c r="I44" s="18" t="n">
        <v>279.471</v>
      </c>
      <c r="J44" s="18" t="n">
        <v>279.777</v>
      </c>
      <c r="K44" s="18" t="n">
        <v>280.085</v>
      </c>
      <c r="L44" s="18" t="n">
        <v>280.394</v>
      </c>
      <c r="M44" s="18" t="n">
        <v>280.706</v>
      </c>
      <c r="N44" s="18" t="n">
        <v>281.02</v>
      </c>
      <c r="O44" s="18" t="n">
        <v>281.336</v>
      </c>
      <c r="P44" s="18" t="n">
        <v>281.653</v>
      </c>
      <c r="Q44" s="18" t="n">
        <v>281.973</v>
      </c>
      <c r="R44" s="18" t="n">
        <v>282.295</v>
      </c>
      <c r="S44" s="18" t="n">
        <v>282.619</v>
      </c>
      <c r="T44" s="18" t="n">
        <v>282.945</v>
      </c>
      <c r="U44" s="18" t="n">
        <v>283.273</v>
      </c>
      <c r="V44" s="18" t="n">
        <v>283.604</v>
      </c>
      <c r="W44" s="18" t="n">
        <v>286.549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A45" s="4" t="inlineStr">
        <is>
          <t>Total Equity</t>
        </is>
      </c>
      <c r="B45" s="18" t="n">
        <v>93.08799999999999</v>
      </c>
      <c r="C45" s="18" t="n">
        <v>84.694</v>
      </c>
      <c r="D45" s="18" t="n">
        <v>278.711</v>
      </c>
      <c r="E45" s="18" t="n">
        <v>258.927</v>
      </c>
      <c r="F45" s="18" t="n">
        <v>304.267</v>
      </c>
      <c r="G45" s="18" t="n">
        <v>536</v>
      </c>
      <c r="H45" s="18" t="n">
        <v>486.236</v>
      </c>
      <c r="I45" s="18" t="n">
        <v>372.445</v>
      </c>
      <c r="J45" s="18" t="n">
        <v>299.11</v>
      </c>
      <c r="K45" s="18" t="n">
        <v>759.0170000000001</v>
      </c>
      <c r="L45" s="18" t="n">
        <v>653.304</v>
      </c>
      <c r="M45" s="18" t="n">
        <v>542.335</v>
      </c>
      <c r="N45" s="18" t="n">
        <v>444.582</v>
      </c>
      <c r="O45" s="18" t="n">
        <v>361.621</v>
      </c>
      <c r="P45" s="18" t="n">
        <v>705.744</v>
      </c>
      <c r="Q45" s="18" t="n">
        <v>650.573</v>
      </c>
      <c r="R45" s="18" t="n">
        <v>596.147</v>
      </c>
      <c r="S45" s="18" t="n">
        <v>784.658</v>
      </c>
      <c r="T45" s="18" t="n">
        <v>765.327</v>
      </c>
      <c r="U45" s="18" t="n">
        <v>794.111</v>
      </c>
      <c r="V45" s="18" t="n">
        <v>836.52</v>
      </c>
      <c r="W45" s="18" t="n">
        <v>878.525</v>
      </c>
      <c r="X45" s="18" t="n">
        <v>1195.42</v>
      </c>
      <c r="Y45" s="18" t="n">
        <v>1239.675</v>
      </c>
      <c r="Z45" s="18" t="n">
        <v>1246.182</v>
      </c>
      <c r="AA45" s="18" t="n">
        <v>1252.188</v>
      </c>
      <c r="AB45" s="18" t="n">
        <v>1712.413</v>
      </c>
      <c r="AC45" s="18" t="n">
        <v>1774.018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2.032</v>
      </c>
      <c r="C47" s="18" t="n">
        <v>1.969</v>
      </c>
      <c r="D47" s="18" t="n">
        <v>1.809</v>
      </c>
      <c r="E47" s="18" t="n">
        <v>1.826</v>
      </c>
      <c r="F47" s="18" t="n">
        <v>2.21</v>
      </c>
      <c r="G47" s="18" t="n">
        <v>2.179</v>
      </c>
      <c r="H47" s="18" t="n">
        <v>2.398</v>
      </c>
      <c r="I47" s="18" t="n">
        <v>2.549</v>
      </c>
      <c r="J47" s="18" t="n">
        <v>5.399</v>
      </c>
      <c r="K47" s="18" t="n">
        <v>2.997</v>
      </c>
      <c r="L47" s="18" t="n">
        <v>2.995</v>
      </c>
      <c r="M47" s="18" t="n">
        <v>6.307</v>
      </c>
      <c r="N47" s="18" t="n">
        <v>4.486</v>
      </c>
      <c r="O47" s="18" t="n">
        <v>5.141</v>
      </c>
      <c r="P47" s="18" t="n">
        <v>3.93</v>
      </c>
      <c r="Q47" s="18" t="n">
        <v>5.077</v>
      </c>
      <c r="R47" s="18" t="n">
        <v>5.124</v>
      </c>
      <c r="S47" s="18" t="n">
        <v>6.985</v>
      </c>
      <c r="T47" s="18" t="n">
        <v>6.911</v>
      </c>
      <c r="U47" s="18" t="n">
        <v>7.063</v>
      </c>
      <c r="V47" s="18" t="n">
        <v>7.915</v>
      </c>
      <c r="W47" s="18" t="n">
        <v>8.199999999999999</v>
      </c>
      <c r="X47" s="18" t="n">
        <v>7.79</v>
      </c>
      <c r="Y47" s="18" t="n">
        <v>9.237</v>
      </c>
      <c r="Z47" s="18" t="n">
        <v>9.859</v>
      </c>
      <c r="AA47" s="18" t="n">
        <v>10.292</v>
      </c>
      <c r="AB47" s="18" t="n">
        <v>14.096</v>
      </c>
      <c r="AC47" s="18" t="n">
        <v>20.226</v>
      </c>
    </row>
    <row r="48">
      <c r="A48" s="4" t="inlineStr">
        <is>
          <t>Stock-based Compensation</t>
        </is>
      </c>
      <c r="B48" s="18" t="n">
        <v>5.804</v>
      </c>
      <c r="C48" s="18" t="n">
        <v>10.247</v>
      </c>
      <c r="D48" s="18" t="n">
        <v>8.522</v>
      </c>
      <c r="E48" s="18" t="n">
        <v>7.417</v>
      </c>
      <c r="F48" s="18" t="n">
        <v>11.957</v>
      </c>
      <c r="G48" s="18" t="n">
        <v>15.032</v>
      </c>
      <c r="H48" s="18" t="n">
        <v>15.765</v>
      </c>
      <c r="I48" s="18" t="n">
        <v>23.232</v>
      </c>
      <c r="J48" s="18" t="n">
        <v>0</v>
      </c>
      <c r="K48" s="18" t="n">
        <v>26.462</v>
      </c>
      <c r="L48" s="18" t="n">
        <v>30.422</v>
      </c>
      <c r="M48" s="18" t="n">
        <v>0</v>
      </c>
      <c r="N48" s="18" t="n">
        <v>40.973</v>
      </c>
      <c r="O48" s="18" t="n">
        <v>40.338</v>
      </c>
      <c r="P48" s="18" t="n">
        <v>35.986</v>
      </c>
      <c r="Q48" s="18" t="n">
        <v>40.477</v>
      </c>
      <c r="R48" s="18" t="n">
        <v>44.312</v>
      </c>
      <c r="S48" s="18" t="n">
        <v>57.587</v>
      </c>
      <c r="T48" s="18" t="n">
        <v>48.912</v>
      </c>
      <c r="U48" s="18" t="n">
        <v>64.447</v>
      </c>
      <c r="V48" s="18" t="n">
        <v>67.411</v>
      </c>
      <c r="W48" s="18" t="n">
        <v>70.64400000000001</v>
      </c>
      <c r="X48" s="18" t="n">
        <v>71.926</v>
      </c>
      <c r="Y48" s="18" t="n">
        <v>77.827</v>
      </c>
      <c r="Z48" s="18" t="n">
        <v>93.358</v>
      </c>
      <c r="AA48" s="18" t="n">
        <v>90.637</v>
      </c>
      <c r="AB48" s="18" t="n">
        <v>0</v>
      </c>
      <c r="AC48" s="18" t="n">
        <v>0</v>
      </c>
    </row>
    <row r="49">
      <c r="A49" s="4" t="inlineStr">
        <is>
          <t>Change in Working Capital</t>
        </is>
      </c>
      <c r="B49" s="18" t="n">
        <v>18.185</v>
      </c>
      <c r="C49" s="18" t="n">
        <v>7.892</v>
      </c>
      <c r="D49" s="18" t="n">
        <v>6.99</v>
      </c>
      <c r="E49" s="18" t="n">
        <v>-13.019</v>
      </c>
      <c r="F49" s="18" t="n">
        <v>-6.361</v>
      </c>
      <c r="G49" s="18" t="n">
        <v>2.087</v>
      </c>
      <c r="H49" s="18" t="n">
        <v>-21.837</v>
      </c>
      <c r="I49" s="18" t="n">
        <v>-42.248</v>
      </c>
      <c r="J49" s="18" t="n">
        <v>2.577</v>
      </c>
      <c r="K49" s="18" t="n">
        <v>-10.248</v>
      </c>
      <c r="L49" s="18" t="n">
        <v>3.846</v>
      </c>
      <c r="M49" s="18" t="n">
        <v>-42.549</v>
      </c>
      <c r="N49" s="18" t="n">
        <v>-16.46</v>
      </c>
      <c r="O49" s="18" t="n">
        <v>-31.289</v>
      </c>
      <c r="P49" s="18" t="n">
        <v>7.626</v>
      </c>
      <c r="Q49" s="18" t="n">
        <v>2.37</v>
      </c>
      <c r="R49" s="18" t="n">
        <v>-21.826</v>
      </c>
      <c r="S49" s="18" t="n">
        <v>10.379</v>
      </c>
      <c r="T49" s="18" t="n">
        <v>-38.876</v>
      </c>
      <c r="U49" s="18" t="n">
        <v>19.271</v>
      </c>
      <c r="V49" s="18" t="n">
        <v>-37.723</v>
      </c>
      <c r="W49" s="18" t="n">
        <v>-2.279</v>
      </c>
      <c r="X49" s="18" t="n">
        <v>22.872</v>
      </c>
      <c r="Y49" s="18" t="n">
        <v>23.401</v>
      </c>
      <c r="Z49" s="18" t="n">
        <v>30.8</v>
      </c>
      <c r="AA49" s="18" t="n">
        <v>40.927</v>
      </c>
      <c r="AB49" s="18" t="n">
        <v>-24.283</v>
      </c>
      <c r="AC49" s="18" t="n">
        <v>-2.826</v>
      </c>
    </row>
    <row r="50">
      <c r="A50" s="4" t="inlineStr">
        <is>
          <t>Operating Cash Flow</t>
        </is>
      </c>
      <c r="B50" s="18" t="n">
        <v>-3.932</v>
      </c>
      <c r="C50" s="18" t="n">
        <v>-12.639</v>
      </c>
      <c r="D50" s="18" t="n">
        <v>-15.054</v>
      </c>
      <c r="E50" s="18" t="n">
        <v>-35.1</v>
      </c>
      <c r="F50" s="18" t="n">
        <v>-40.98</v>
      </c>
      <c r="G50" s="18" t="n">
        <v>-33.13</v>
      </c>
      <c r="H50" s="18" t="n">
        <v>-73.30200000000001</v>
      </c>
      <c r="I50" s="18" t="n">
        <v>-74.876</v>
      </c>
      <c r="J50" s="18" t="n">
        <v>-70.563</v>
      </c>
      <c r="K50" s="18" t="n">
        <v>-91.06100000000001</v>
      </c>
      <c r="L50" s="18" t="n">
        <v>-98.736</v>
      </c>
      <c r="M50" s="18" t="n">
        <v>-137.277</v>
      </c>
      <c r="N50" s="18" t="n">
        <v>-110.849</v>
      </c>
      <c r="O50" s="18" t="n">
        <v>-102.248</v>
      </c>
      <c r="P50" s="18" t="n">
        <v>-81.127</v>
      </c>
      <c r="Q50" s="18" t="n">
        <v>-81.108</v>
      </c>
      <c r="R50" s="18" t="n">
        <v>-78.54300000000001</v>
      </c>
      <c r="S50" s="18" t="n">
        <v>-29.699</v>
      </c>
      <c r="T50" s="18" t="n">
        <v>-58.125</v>
      </c>
      <c r="U50" s="18" t="n">
        <v>27.001</v>
      </c>
      <c r="V50" s="18" t="n">
        <v>3.99</v>
      </c>
      <c r="W50" s="18" t="n">
        <v>51.786</v>
      </c>
      <c r="X50" s="18" t="n">
        <v>52.887</v>
      </c>
      <c r="Y50" s="18" t="n">
        <v>44.452</v>
      </c>
      <c r="Z50" s="18" t="n">
        <v>37.574</v>
      </c>
      <c r="AA50" s="18" t="n">
        <v>59.387</v>
      </c>
      <c r="AB50" s="18" t="n">
        <v>73.88800000000001</v>
      </c>
      <c r="AC50" s="18" t="n">
        <v>40.171</v>
      </c>
    </row>
    <row r="51">
      <c r="A51" s="4" t="inlineStr">
        <is>
          <t>Capex</t>
        </is>
      </c>
      <c r="B51" s="18" t="n">
        <v>-0.644</v>
      </c>
      <c r="C51" s="18" t="n">
        <v>-0.955</v>
      </c>
      <c r="D51" s="18" t="n">
        <v>-2.414</v>
      </c>
      <c r="E51" s="18" t="n">
        <v>-7.917</v>
      </c>
      <c r="F51" s="18" t="n">
        <v>-2.213</v>
      </c>
      <c r="G51" s="18" t="n">
        <v>-1.943</v>
      </c>
      <c r="H51" s="18" t="n">
        <v>-7.531</v>
      </c>
      <c r="I51" s="18" t="n">
        <v>-10.26</v>
      </c>
      <c r="J51" s="18" t="n">
        <v>-8.631</v>
      </c>
      <c r="K51" s="18" t="n">
        <v>-13.136</v>
      </c>
      <c r="L51" s="18" t="n">
        <v>-9.003</v>
      </c>
      <c r="M51" s="18" t="n">
        <v>-15.885</v>
      </c>
      <c r="N51" s="18" t="n">
        <v>-7.776</v>
      </c>
      <c r="O51" s="18" t="n">
        <v>-12.209</v>
      </c>
      <c r="P51" s="18" t="n">
        <v>-11.827</v>
      </c>
      <c r="Q51" s="18" t="n">
        <v>-11.38</v>
      </c>
      <c r="R51" s="18" t="n">
        <v>-8.81</v>
      </c>
      <c r="S51" s="18" t="n">
        <v>-8.957000000000001</v>
      </c>
      <c r="T51" s="18" t="n">
        <v>-9.532</v>
      </c>
      <c r="U51" s="18" t="n">
        <v>-20.315</v>
      </c>
      <c r="V51" s="18" t="n">
        <v>-11.678</v>
      </c>
      <c r="W51" s="18" t="n">
        <v>-16.312</v>
      </c>
      <c r="X51" s="18" t="n">
        <v>-18.118</v>
      </c>
      <c r="Y51" s="18" t="n">
        <v>-21.815</v>
      </c>
      <c r="Z51" s="18" t="n">
        <v>-25.897</v>
      </c>
      <c r="AA51" s="18" t="n">
        <v>-34.905</v>
      </c>
      <c r="AB51" s="18" t="n">
        <v>-36.071</v>
      </c>
      <c r="AC51" s="18" t="n">
        <v>-22.137</v>
      </c>
    </row>
    <row r="52">
      <c r="A52" s="4" t="inlineStr">
        <is>
          <t>Free Cash Flow</t>
        </is>
      </c>
      <c r="B52" s="18" t="n">
        <v>-4.576</v>
      </c>
      <c r="C52" s="18" t="n">
        <v>-13.594</v>
      </c>
      <c r="D52" s="18" t="n">
        <v>-17.468</v>
      </c>
      <c r="E52" s="18" t="n">
        <v>-43.017</v>
      </c>
      <c r="F52" s="18" t="n">
        <v>-43.193</v>
      </c>
      <c r="G52" s="18" t="n">
        <v>-35.073</v>
      </c>
      <c r="H52" s="18" t="n">
        <v>-80.833</v>
      </c>
      <c r="I52" s="18" t="n">
        <v>-85.136</v>
      </c>
      <c r="J52" s="18" t="n">
        <v>-79.194</v>
      </c>
      <c r="K52" s="18" t="n">
        <v>-104.197</v>
      </c>
      <c r="L52" s="18" t="n">
        <v>-107.739</v>
      </c>
      <c r="M52" s="18" t="n">
        <v>-153.162</v>
      </c>
      <c r="N52" s="18" t="n">
        <v>-118.625</v>
      </c>
      <c r="O52" s="18" t="n">
        <v>-114.457</v>
      </c>
      <c r="P52" s="18" t="n">
        <v>-92.95399999999999</v>
      </c>
      <c r="Q52" s="18" t="n">
        <v>-92.488</v>
      </c>
      <c r="R52" s="18" t="n">
        <v>-87.35299999999999</v>
      </c>
      <c r="S52" s="18" t="n">
        <v>-38.656</v>
      </c>
      <c r="T52" s="18" t="n">
        <v>-67.657</v>
      </c>
      <c r="U52" s="18" t="n">
        <v>6.686</v>
      </c>
      <c r="V52" s="18" t="n">
        <v>-7.688</v>
      </c>
      <c r="W52" s="18" t="n">
        <v>35.474</v>
      </c>
      <c r="X52" s="18" t="n">
        <v>34.769</v>
      </c>
      <c r="Y52" s="18" t="n">
        <v>22.637</v>
      </c>
      <c r="Z52" s="18" t="n">
        <v>11.677</v>
      </c>
      <c r="AA52" s="18" t="n">
        <v>24.482</v>
      </c>
      <c r="AB52" s="18" t="n">
        <v>37.817</v>
      </c>
      <c r="AC52" s="18" t="n">
        <v>18.034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  <c r="F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2790.48432</v>
      </c>
      <c r="C4" s="18" t="n">
        <v>3262.180553</v>
      </c>
      <c r="D4" s="18" t="n">
        <v>3959.566288</v>
      </c>
      <c r="E4" s="18" t="n">
        <v>4571.9</v>
      </c>
      <c r="F4" s="18" t="n">
        <v>5202.233333</v>
      </c>
    </row>
    <row r="5">
      <c r="A5" s="4" t="inlineStr">
        <is>
          <t xml:space="preserve">  model</t>
        </is>
      </c>
      <c r="B5" s="34">
        <f>Model!G8</f>
        <v/>
      </c>
      <c r="C5" s="34">
        <f>Model!H8</f>
        <v/>
      </c>
      <c r="D5" s="34">
        <f>Model!I8</f>
        <v/>
      </c>
      <c r="E5" s="34">
        <f>Model!J8</f>
        <v/>
      </c>
      <c r="F5" s="34">
        <f>Model!K8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-1058.071073</v>
      </c>
      <c r="C8" s="18" t="n">
        <v>-1236.924664</v>
      </c>
      <c r="D8" s="18" t="n">
        <v>-1501.353196</v>
      </c>
      <c r="E8" s="18" t="n">
        <v>-1733.532457</v>
      </c>
      <c r="F8" s="18" t="n">
        <v>-1972.536655</v>
      </c>
    </row>
    <row r="9">
      <c r="A9" s="4" t="inlineStr">
        <is>
          <t xml:space="preserve">  model</t>
        </is>
      </c>
      <c r="B9" s="34">
        <f>Model!G21+Model!G26</f>
        <v/>
      </c>
      <c r="C9" s="34">
        <f>Model!H21+Model!H26</f>
        <v/>
      </c>
      <c r="D9" s="34">
        <f>Model!I21+Model!I26</f>
        <v/>
      </c>
      <c r="E9" s="34">
        <f>Model!J21+Model!J26</f>
        <v/>
      </c>
      <c r="F9" s="34">
        <f>Model!K21+Model!K26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-1118.939125</v>
      </c>
      <c r="C12" s="18" t="n">
        <v>-1308.081693</v>
      </c>
      <c r="D12" s="18" t="n">
        <v>-1587.722105</v>
      </c>
      <c r="E12" s="18" t="n">
        <v>-1833.25803</v>
      </c>
      <c r="F12" s="18" t="n">
        <v>-2086.011512</v>
      </c>
    </row>
    <row r="13">
      <c r="A13" s="4" t="inlineStr">
        <is>
          <t xml:space="preserve">  model</t>
        </is>
      </c>
      <c r="B13" s="34">
        <f>Model!G21</f>
        <v/>
      </c>
      <c r="C13" s="34">
        <f>Model!H21</f>
        <v/>
      </c>
      <c r="D13" s="34">
        <f>Model!I21</f>
        <v/>
      </c>
      <c r="E13" s="34">
        <f>Model!J21</f>
        <v/>
      </c>
      <c r="F13" s="34">
        <f>Model!K21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1736.826917</v>
      </c>
      <c r="C16" s="18" t="n">
        <v>2030.415635</v>
      </c>
      <c r="D16" s="18" t="n">
        <v>2464.475883</v>
      </c>
      <c r="E16" s="18" t="n">
        <v>2845.598854</v>
      </c>
      <c r="F16" s="18" t="n">
        <v>3237.924978</v>
      </c>
    </row>
    <row r="17">
      <c r="A17" s="4" t="inlineStr">
        <is>
          <t xml:space="preserve">  model</t>
        </is>
      </c>
      <c r="B17" s="34">
        <f>Model!G16</f>
        <v/>
      </c>
      <c r="C17" s="34">
        <f>Model!H16</f>
        <v/>
      </c>
      <c r="D17" s="34">
        <f>Model!I16</f>
        <v/>
      </c>
      <c r="E17" s="34">
        <f>Model!J16</f>
        <v/>
      </c>
      <c r="F17" s="34">
        <f>Model!K16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-218.91262</v>
      </c>
      <c r="C20" s="18" t="n">
        <v>-43.87458</v>
      </c>
      <c r="D20" s="18" t="n">
        <v>189.76413</v>
      </c>
      <c r="E20" s="18" t="n">
        <v>312.544208</v>
      </c>
      <c r="F20" s="18" t="n">
        <v>668.110413</v>
      </c>
    </row>
    <row r="21">
      <c r="A21" s="4" t="inlineStr">
        <is>
          <t xml:space="preserve">  model</t>
        </is>
      </c>
      <c r="B21" s="34">
        <f>Model!G25</f>
        <v/>
      </c>
      <c r="C21" s="34">
        <f>Model!H25</f>
        <v/>
      </c>
      <c r="D21" s="34">
        <f>Model!I25</f>
        <v/>
      </c>
      <c r="E21" s="34">
        <f>Model!J25</f>
        <v/>
      </c>
      <c r="F21" s="34">
        <f>Model!K25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-1.59411</v>
      </c>
      <c r="C24" s="48" t="n">
        <v>-0.32697</v>
      </c>
      <c r="D24" s="48" t="n">
        <v>1.43291</v>
      </c>
      <c r="E24" s="48" t="n">
        <v>2.286</v>
      </c>
      <c r="F24" s="48" t="n">
        <v>4.88667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Natera,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Model!G33</f>
        <v/>
      </c>
      <c r="D12" s="34">
        <f>Model!H33</f>
        <v/>
      </c>
      <c r="E12" s="34">
        <f>Model!I33</f>
        <v/>
      </c>
      <c r="F12" s="34">
        <f>Model!J33</f>
        <v/>
      </c>
      <c r="G12" s="34">
        <f>Model!K33</f>
        <v/>
      </c>
      <c r="H12" s="34">
        <f>Model!L33</f>
        <v/>
      </c>
      <c r="I12" s="34">
        <f>Model!M33</f>
        <v/>
      </c>
      <c r="J12" s="34">
        <f>Model!N33</f>
        <v/>
      </c>
      <c r="K12" s="34">
        <f>Model!O33</f>
        <v/>
      </c>
      <c r="L12" s="34">
        <f>Model!P33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Model!P8</f>
        <v/>
      </c>
    </row>
    <row r="21">
      <c r="A21" s="4" t="inlineStr">
        <is>
          <t>Terminal EBIT</t>
        </is>
      </c>
      <c r="B21" s="34">
        <f>Model!P21</f>
        <v/>
      </c>
    </row>
    <row r="22">
      <c r="A22" s="4" t="inlineStr">
        <is>
          <t>Terminal EBITDA (SBC-burdened)</t>
        </is>
      </c>
      <c r="B22" s="34">
        <f>Model!P21+Model!P26-Model!P27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Financials!AC39</f>
        <v/>
      </c>
    </row>
    <row r="33">
      <c r="A33" s="4" t="inlineStr">
        <is>
          <t>- Long-term debt</t>
        </is>
      </c>
      <c r="B33" s="34">
        <f>-Financials!AC44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0.09878239545034505</v>
      </c>
      <c r="C4" s="52" t="n">
        <v>0.1037823954503451</v>
      </c>
      <c r="D4" s="52" t="n">
        <v>0.108782395450345</v>
      </c>
      <c r="E4" s="52" t="n">
        <v>0.113782395450345</v>
      </c>
      <c r="F4" s="52" t="n">
        <v>0.1187823954503451</v>
      </c>
      <c r="G4" s="52" t="n">
        <v>0.123782395450345</v>
      </c>
      <c r="H4" s="52" t="n">
        <v>0.128782395450345</v>
      </c>
    </row>
    <row r="5">
      <c r="A5" s="53" t="n">
        <v>13</v>
      </c>
      <c r="B5" s="54" t="n">
        <v>30.34744193054087</v>
      </c>
      <c r="C5" s="54" t="n">
        <v>29.12804872956494</v>
      </c>
      <c r="D5" s="54" t="n">
        <v>27.96834468686115</v>
      </c>
      <c r="E5" s="54" t="n">
        <v>26.8652071677405</v>
      </c>
      <c r="F5" s="54" t="n">
        <v>25.81568963216144</v>
      </c>
      <c r="G5" s="54" t="n">
        <v>24.81701097099919</v>
      </c>
      <c r="H5" s="54" t="n">
        <v>23.86654553225004</v>
      </c>
    </row>
    <row r="6">
      <c r="A6" s="53" t="n">
        <v>14</v>
      </c>
      <c r="B6" s="54" t="n">
        <v>32.21174539907501</v>
      </c>
      <c r="C6" s="54" t="n">
        <v>30.9096023684041</v>
      </c>
      <c r="D6" s="54" t="n">
        <v>29.67117085216575</v>
      </c>
      <c r="E6" s="54" t="n">
        <v>28.49311586125801</v>
      </c>
      <c r="F6" s="54" t="n">
        <v>27.37229059304006</v>
      </c>
      <c r="G6" s="54" t="n">
        <v>26.30572502935404</v>
      </c>
      <c r="H6" s="54" t="n">
        <v>25.29061527256355</v>
      </c>
    </row>
    <row r="7">
      <c r="A7" s="53" t="n">
        <v>15</v>
      </c>
      <c r="B7" s="54" t="n">
        <v>34.07604886760915</v>
      </c>
      <c r="C7" s="54" t="n">
        <v>32.69115600724326</v>
      </c>
      <c r="D7" s="54" t="n">
        <v>31.37399701747035</v>
      </c>
      <c r="E7" s="54" t="n">
        <v>30.12102455477553</v>
      </c>
      <c r="F7" s="54" t="n">
        <v>28.92889155391868</v>
      </c>
      <c r="G7" s="54" t="n">
        <v>27.79443908770888</v>
      </c>
      <c r="H7" s="54" t="n">
        <v>26.71468501287705</v>
      </c>
    </row>
    <row r="8">
      <c r="A8" s="53" t="n">
        <v>16</v>
      </c>
      <c r="B8" s="54" t="n">
        <v>35.94035233614328</v>
      </c>
      <c r="C8" s="54" t="n">
        <v>34.47270964608243</v>
      </c>
      <c r="D8" s="54" t="n">
        <v>33.07682318277495</v>
      </c>
      <c r="E8" s="55" t="n">
        <v>31.74893324829304</v>
      </c>
      <c r="F8" s="54" t="n">
        <v>30.48549251479729</v>
      </c>
      <c r="G8" s="54" t="n">
        <v>29.28315314606373</v>
      </c>
      <c r="H8" s="54" t="n">
        <v>28.13875475319056</v>
      </c>
    </row>
    <row r="9">
      <c r="A9" s="53" t="n">
        <v>17</v>
      </c>
      <c r="B9" s="54" t="n">
        <v>37.80465580467743</v>
      </c>
      <c r="C9" s="54" t="n">
        <v>36.25426328492159</v>
      </c>
      <c r="D9" s="54" t="n">
        <v>34.77964934807956</v>
      </c>
      <c r="E9" s="54" t="n">
        <v>33.37684194181055</v>
      </c>
      <c r="F9" s="54" t="n">
        <v>32.04209347567591</v>
      </c>
      <c r="G9" s="54" t="n">
        <v>30.77186720441857</v>
      </c>
      <c r="H9" s="54" t="n">
        <v>29.56282449350407</v>
      </c>
    </row>
    <row r="10">
      <c r="A10" s="53" t="n">
        <v>18</v>
      </c>
      <c r="B10" s="54" t="n">
        <v>39.66895927321158</v>
      </c>
      <c r="C10" s="54" t="n">
        <v>38.03581692376074</v>
      </c>
      <c r="D10" s="54" t="n">
        <v>36.48247551338416</v>
      </c>
      <c r="E10" s="54" t="n">
        <v>35.00475063532807</v>
      </c>
      <c r="F10" s="54" t="n">
        <v>33.59869443655452</v>
      </c>
      <c r="G10" s="54" t="n">
        <v>32.26058126277341</v>
      </c>
      <c r="H10" s="54" t="n">
        <v>30.98689423381757</v>
      </c>
    </row>
    <row r="11">
      <c r="A11" s="53" t="n">
        <v>19</v>
      </c>
      <c r="B11" s="54" t="n">
        <v>41.53326274174571</v>
      </c>
      <c r="C11" s="54" t="n">
        <v>39.8173705625999</v>
      </c>
      <c r="D11" s="54" t="n">
        <v>38.18530167868876</v>
      </c>
      <c r="E11" s="54" t="n">
        <v>36.63265932884558</v>
      </c>
      <c r="F11" s="54" t="n">
        <v>35.15529539743314</v>
      </c>
      <c r="G11" s="54" t="n">
        <v>33.74929532112826</v>
      </c>
      <c r="H11" s="54" t="n">
        <v>32.41096397413109</v>
      </c>
    </row>
    <row r="13">
      <c r="A13" s="3" t="inlineStr">
        <is>
          <t>Current price</t>
        </is>
      </c>
      <c r="B13" s="54" t="n">
        <v>236.7599945068359</v>
      </c>
    </row>
    <row r="14">
      <c r="A14" s="3" t="inlineStr">
        <is>
          <t>Base WACC / multiple</t>
        </is>
      </c>
      <c r="B14" s="56" t="n">
        <v>0.113782395450345</v>
      </c>
      <c r="C14" s="57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0.01885597106473099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2.386511935424525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0.6405336726094594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2026-07-08T07:04:00Z</dcterms:created>
  <dcterms:modified xmlns:dcterms="http://purl.org/dc/terms/" xmlns:xsi="http://www.w3.org/2001/XMLSchema-instance" xsi:type="dcterms:W3CDTF">2026-07-08T07:04:00Z</dcterms:modified>
</cp:coreProperties>
</file>