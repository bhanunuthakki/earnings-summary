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2" authorId="0" shapeId="0">
      <text>
        <t>builder default</t>
      </text>
    </comment>
    <comment ref="C22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HEICO Corporation (HEI)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HEICO Corporation (HEI)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Flight Support Group</t>
        </is>
      </c>
      <c r="B20" s="15" t="n">
        <v>0.1098076229705809</v>
      </c>
      <c r="C20" s="15" t="n">
        <v>0.05</v>
      </c>
      <c r="D20" s="16" t="n">
        <v>0.1098076229705809</v>
      </c>
      <c r="E20" s="2" t="inlineStr"/>
    </row>
    <row r="21">
      <c r="A21" s="4" t="inlineStr">
        <is>
          <t>Electronic Technologies Group</t>
        </is>
      </c>
      <c r="B21" s="15" t="n">
        <v>0.05749914506366557</v>
      </c>
      <c r="C21" s="15" t="n">
        <v>0.05</v>
      </c>
      <c r="D21" s="16" t="n">
        <v>0.05749914506366557</v>
      </c>
      <c r="E21" s="2" t="inlineStr"/>
    </row>
    <row r="22">
      <c r="A22" s="4" t="inlineStr">
        <is>
          <t>Corporate And Eliminations</t>
        </is>
      </c>
      <c r="B22" s="15" t="n">
        <v>0.2089111662365971</v>
      </c>
      <c r="C22" s="15" t="n">
        <v>0.05</v>
      </c>
      <c r="D22" s="16" t="n">
        <v>0.2089111662365971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0.2049038348380623</v>
      </c>
      <c r="D29" s="16" t="n">
        <v>0.2049038348380623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0.2311833730701577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80.1746</v>
      </c>
      <c r="D34" s="18" t="n">
        <v>80.1746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0.953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356.2900085449219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133.5841683167737</v>
      </c>
      <c r="C58" s="28" t="n">
        <v>192.388927033271</v>
      </c>
      <c r="D58" s="28" t="n">
        <v>90.11834333218671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0.004090483839177497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0.002454290303506498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HEI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Flight Support Group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Flight Support Group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Electronic Technologies Group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Electronic Technologies Group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Corporate And Eliminations — near-term growth</t>
        </is>
      </c>
      <c r="B12" t="inlineStr">
        <is>
          <t>B22</t>
        </is>
      </c>
      <c r="C12" s="11">
        <f>Dashboard!B22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Corporate And Eliminations — terminal growth</t>
        </is>
      </c>
      <c r="B13" t="inlineStr">
        <is>
          <t>C22</t>
        </is>
      </c>
      <c r="C13" s="11">
        <f>Dashboard!C22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Near-term operating margin</t>
        </is>
      </c>
      <c r="B14" t="inlineStr">
        <is>
          <t>B29</t>
        </is>
      </c>
      <c r="C14" s="11">
        <f>Dashboard!B29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operating margin</t>
        </is>
      </c>
      <c r="B15" t="inlineStr">
        <is>
          <t>B30</t>
        </is>
      </c>
      <c r="C15" s="11">
        <f>Dashboard!B30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Tax rate</t>
        </is>
      </c>
      <c r="B16" t="inlineStr">
        <is>
          <t>B31</t>
        </is>
      </c>
      <c r="C16" s="11">
        <f>Dashboard!B31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Terminal capex / D&amp;A</t>
        </is>
      </c>
      <c r="B17" t="inlineStr">
        <is>
          <t>B35</t>
        </is>
      </c>
      <c r="C17" s="13">
        <f>Dashboard!B35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Risk-free rate (10Y)</t>
        </is>
      </c>
      <c r="B18" t="inlineStr">
        <is>
          <t>B38</t>
        </is>
      </c>
      <c r="C18" s="11">
        <f>Dashboard!B38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Equity risk premium</t>
        </is>
      </c>
      <c r="B19" t="inlineStr">
        <is>
          <t>B39</t>
        </is>
      </c>
      <c r="C19" s="11">
        <f>Dashboard!B39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Beta (levered)</t>
        </is>
      </c>
      <c r="B20" t="inlineStr">
        <is>
          <t>B40</t>
        </is>
      </c>
      <c r="C20" s="32">
        <f>Dashboard!B40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Pre-tax cost of debt</t>
        </is>
      </c>
      <c r="B21" t="inlineStr">
        <is>
          <t>B41</t>
        </is>
      </c>
      <c r="C21" s="11">
        <f>Dashboard!B41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Terminal method</t>
        </is>
      </c>
      <c r="B22" t="inlineStr">
        <is>
          <t>B43</t>
        </is>
      </c>
      <c r="C22" s="12">
        <f>Dashboard!B43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Exit basis</t>
        </is>
      </c>
      <c r="B23" t="inlineStr">
        <is>
          <t>B44</t>
        </is>
      </c>
      <c r="C23" s="12">
        <f>Dashboard!B44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Exit multiple</t>
        </is>
      </c>
      <c r="B24" t="inlineStr">
        <is>
          <t>B45</t>
        </is>
      </c>
      <c r="C24" s="13">
        <f>Dashboard!B45</f>
        <v/>
      </c>
      <c r="D24" t="inlineStr">
        <is>
          <t>builder default</t>
        </is>
      </c>
      <c r="E24" t="inlineStr">
        <is>
          <t>—</t>
        </is>
      </c>
      <c r="F24" s="31" t="inlineStr"/>
    </row>
    <row r="25">
      <c r="A25" t="inlineStr">
        <is>
          <t>Terminal growth (g)</t>
        </is>
      </c>
      <c r="B25" t="inlineStr">
        <is>
          <t>B46</t>
        </is>
      </c>
      <c r="C25" s="11">
        <f>Dashboard!B46</f>
        <v/>
      </c>
      <c r="D25" t="inlineStr">
        <is>
          <t>builder default</t>
        </is>
      </c>
      <c r="E25" t="inlineStr">
        <is>
          <t>—</t>
        </is>
      </c>
      <c r="F25" s="31" t="inlineStr"/>
    </row>
    <row r="26">
      <c r="A26" t="inlineStr">
        <is>
          <t>2026 capex ($M)</t>
        </is>
      </c>
      <c r="B26" t="inlineStr">
        <is>
          <t>B34</t>
        </is>
      </c>
      <c r="C26" s="33">
        <f>Dashboard!B34</f>
        <v/>
      </c>
      <c r="D26" t="inlineStr">
        <is>
          <t>builder default</t>
        </is>
      </c>
      <c r="E26" t="inlineStr">
        <is>
          <t>—</t>
        </is>
      </c>
      <c r="F26" s="31" t="inlineStr">
        <is>
          <t>last-year capex +10% unless set to guidance; edits not tracked</t>
        </is>
      </c>
    </row>
    <row r="27">
      <c r="A27" t="inlineStr">
        <is>
          <t>Bull Δ — segment growth, near-term</t>
        </is>
      </c>
      <c r="B27" t="inlineStr">
        <is>
          <t>C52</t>
        </is>
      </c>
      <c r="C27" s="34">
        <f>Dashboard!C52</f>
        <v/>
      </c>
      <c r="D27" t="inlineStr">
        <is>
          <t>seed default</t>
        </is>
      </c>
      <c r="E27" t="inlineStr">
        <is>
          <t>3.0%</t>
        </is>
      </c>
      <c r="F27" s="31" t="inlineStr"/>
    </row>
    <row r="28">
      <c r="A28" t="inlineStr">
        <is>
          <t>Bear Δ — segment growth, near-term</t>
        </is>
      </c>
      <c r="B28" t="inlineStr">
        <is>
          <t>D52</t>
        </is>
      </c>
      <c r="C28" s="34">
        <f>Dashboard!D52</f>
        <v/>
      </c>
      <c r="D28" t="inlineStr">
        <is>
          <t>seed default</t>
        </is>
      </c>
      <c r="E28" t="inlineStr">
        <is>
          <t>-3.0%</t>
        </is>
      </c>
      <c r="F28" s="31" t="inlineStr"/>
    </row>
    <row r="29">
      <c r="A29" t="inlineStr">
        <is>
          <t>Bull Δ — segment growth, terminal</t>
        </is>
      </c>
      <c r="B29" t="inlineStr">
        <is>
          <t>C53</t>
        </is>
      </c>
      <c r="C29" s="34">
        <f>Dashboard!C53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segment growth, terminal</t>
        </is>
      </c>
      <c r="B30" t="inlineStr">
        <is>
          <t>D53</t>
        </is>
      </c>
      <c r="C30" s="34">
        <f>Dashboard!D53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near-term</t>
        </is>
      </c>
      <c r="B31" t="inlineStr">
        <is>
          <t>C54</t>
        </is>
      </c>
      <c r="C31" s="34">
        <f>Dashboard!C54</f>
        <v/>
      </c>
      <c r="D31" t="inlineStr">
        <is>
          <t>seed default</t>
        </is>
      </c>
      <c r="E31" t="inlineStr">
        <is>
          <t>1.0%</t>
        </is>
      </c>
      <c r="F31" s="31" t="inlineStr"/>
    </row>
    <row r="32">
      <c r="A32" t="inlineStr">
        <is>
          <t>Bear Δ — operating margin, near-term</t>
        </is>
      </c>
      <c r="B32" t="inlineStr">
        <is>
          <t>D54</t>
        </is>
      </c>
      <c r="C32" s="34">
        <f>Dashboard!D54</f>
        <v/>
      </c>
      <c r="D32" t="inlineStr">
        <is>
          <t>seed default</t>
        </is>
      </c>
      <c r="E32" t="inlineStr">
        <is>
          <t>-1.0%</t>
        </is>
      </c>
      <c r="F32" s="31" t="inlineStr"/>
    </row>
    <row r="33">
      <c r="A33" t="inlineStr">
        <is>
          <t>Bull Δ — operating margin, terminal</t>
        </is>
      </c>
      <c r="B33" t="inlineStr">
        <is>
          <t>C55</t>
        </is>
      </c>
      <c r="C33" s="34">
        <f>Dashboard!C55</f>
        <v/>
      </c>
      <c r="D33" t="inlineStr">
        <is>
          <t>seed default</t>
        </is>
      </c>
      <c r="E33" t="inlineStr">
        <is>
          <t>2.0%</t>
        </is>
      </c>
      <c r="F33" s="31" t="inlineStr"/>
    </row>
    <row r="34">
      <c r="A34" t="inlineStr">
        <is>
          <t>Bear Δ — operating margin, terminal</t>
        </is>
      </c>
      <c r="B34" t="inlineStr">
        <is>
          <t>D55</t>
        </is>
      </c>
      <c r="C34" s="34">
        <f>Dashboard!D55</f>
        <v/>
      </c>
      <c r="D34" t="inlineStr">
        <is>
          <t>seed default</t>
        </is>
      </c>
      <c r="E34" t="inlineStr">
        <is>
          <t>-2.0%</t>
        </is>
      </c>
      <c r="F34" s="31" t="inlineStr"/>
    </row>
    <row r="35">
      <c r="A35" t="inlineStr">
        <is>
          <t>Bull Δ — exit multiple</t>
        </is>
      </c>
      <c r="B35" t="inlineStr">
        <is>
          <t>C56</t>
        </is>
      </c>
      <c r="C35" s="35">
        <f>Dashboard!C56</f>
        <v/>
      </c>
      <c r="D35" t="inlineStr">
        <is>
          <t>seed default</t>
        </is>
      </c>
      <c r="E35" t="inlineStr">
        <is>
          <t>2.0x</t>
        </is>
      </c>
      <c r="F35" s="31" t="inlineStr"/>
    </row>
    <row r="36">
      <c r="A36" t="inlineStr">
        <is>
          <t>Bear Δ — exit multiple</t>
        </is>
      </c>
      <c r="B36" t="inlineStr">
        <is>
          <t>D56</t>
        </is>
      </c>
      <c r="C36" s="35">
        <f>Dashboard!D56</f>
        <v/>
      </c>
      <c r="D36" t="inlineStr">
        <is>
          <t>seed default</t>
        </is>
      </c>
      <c r="E36" t="inlineStr">
        <is>
          <t>-2.0x</t>
        </is>
      </c>
      <c r="F36" s="31" t="inlineStr"/>
    </row>
    <row r="37">
      <c r="A37" t="inlineStr">
        <is>
          <t>Bull Δ — terminal growth (g)</t>
        </is>
      </c>
      <c r="B37" t="inlineStr">
        <is>
          <t>C57</t>
        </is>
      </c>
      <c r="C37" s="34">
        <f>Dashboard!C57</f>
        <v/>
      </c>
      <c r="D37" t="inlineStr">
        <is>
          <t>seed default</t>
        </is>
      </c>
      <c r="E37" t="inlineStr">
        <is>
          <t>0.5%</t>
        </is>
      </c>
      <c r="F37" s="31" t="inlineStr"/>
    </row>
    <row r="38">
      <c r="A38" t="inlineStr">
        <is>
          <t>Bear Δ — terminal growth (g)</t>
        </is>
      </c>
      <c r="B38" t="inlineStr">
        <is>
          <t>D57</t>
        </is>
      </c>
      <c r="C38" s="34">
        <f>Dashboard!D57</f>
        <v/>
      </c>
      <c r="D38" t="inlineStr">
        <is>
          <t>seed default</t>
        </is>
      </c>
      <c r="E38" t="inlineStr">
        <is>
          <t>-0.5%</t>
        </is>
      </c>
      <c r="F38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Flight Support Group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Electronic Technologies Group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Corporate And Eliminations</t>
        </is>
      </c>
      <c r="B8" s="33">
        <f>SUM(Financials!I25:L25)</f>
        <v/>
      </c>
      <c r="C8" s="33">
        <f>SUM(Financials!M25:P25)</f>
        <v/>
      </c>
      <c r="D8" s="33">
        <f>SUM(Financials!Q25:T25)</f>
        <v/>
      </c>
      <c r="E8" s="33">
        <f>SUM(Financials!U25:X25)</f>
        <v/>
      </c>
      <c r="F8" s="33">
        <f>SUM(Financials!Y25:AB25)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2">
        <f>B4+B6+B8</f>
        <v/>
      </c>
      <c r="C10" s="42">
        <f>C4+C6+C8</f>
        <v/>
      </c>
      <c r="D10" s="42">
        <f>D4+D6+D8</f>
        <v/>
      </c>
      <c r="E10" s="42">
        <f>E4+E6+E8</f>
        <v/>
      </c>
      <c r="F10" s="42">
        <f>F4+F6+F8</f>
        <v/>
      </c>
      <c r="G10" s="42">
        <f>G4+G6+G8</f>
        <v/>
      </c>
      <c r="H10" s="42">
        <f>H4+H6+H8</f>
        <v/>
      </c>
      <c r="I10" s="42">
        <f>I4+I6+I8</f>
        <v/>
      </c>
      <c r="J10" s="42">
        <f>J4+J6+J8</f>
        <v/>
      </c>
      <c r="K10" s="42">
        <f>K4+K6+K8</f>
        <v/>
      </c>
      <c r="L10" s="42">
        <f>L4+L6+L8</f>
        <v/>
      </c>
      <c r="M10" s="42">
        <f>M4+M6+M8</f>
        <v/>
      </c>
      <c r="N10" s="42">
        <f>N4+N6+N8</f>
        <v/>
      </c>
      <c r="O10" s="42">
        <f>O4+O6+O8</f>
        <v/>
      </c>
      <c r="P10" s="42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3">
        <f>SUM(Financials!I5:L5)</f>
        <v/>
      </c>
      <c r="C14" s="33">
        <f>SUM(Financials!M5:P5)</f>
        <v/>
      </c>
      <c r="D14" s="33">
        <f>SUM(Financials!Q5:T5)</f>
        <v/>
      </c>
      <c r="E14" s="33">
        <f>SUM(Financials!U5:X5)</f>
        <v/>
      </c>
      <c r="F14" s="33">
        <f>SUM(Financials!Y5:AB5)</f>
        <v/>
      </c>
      <c r="G14" s="41">
        <f>G10*G15</f>
        <v/>
      </c>
      <c r="H14" s="41">
        <f>H10*H15</f>
        <v/>
      </c>
      <c r="I14" s="41">
        <f>I10*I15</f>
        <v/>
      </c>
      <c r="J14" s="41">
        <f>J10*J15</f>
        <v/>
      </c>
      <c r="K14" s="41">
        <f>K10*K15</f>
        <v/>
      </c>
      <c r="L14" s="41">
        <f>L10*L15</f>
        <v/>
      </c>
      <c r="M14" s="41">
        <f>M10*M15</f>
        <v/>
      </c>
      <c r="N14" s="41">
        <f>N10*N15</f>
        <v/>
      </c>
      <c r="O14" s="41">
        <f>O10*O15</f>
        <v/>
      </c>
      <c r="P14" s="41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0.5891210877752816</v>
      </c>
      <c r="H15" s="15" t="n">
        <v>0.5891210877752816</v>
      </c>
      <c r="I15" s="15" t="n">
        <v>0.5891210877752816</v>
      </c>
      <c r="J15" s="15" t="n">
        <v>0.5891210877752816</v>
      </c>
      <c r="K15" s="15" t="n">
        <v>0.5891210877752816</v>
      </c>
      <c r="L15" s="15" t="n">
        <v>0.5891210877752816</v>
      </c>
      <c r="M15" s="15" t="n">
        <v>0.5891210877752816</v>
      </c>
      <c r="N15" s="15" t="n">
        <v>0.5891210877752816</v>
      </c>
      <c r="O15" s="15" t="n">
        <v>0.5891210877752816</v>
      </c>
      <c r="P15" s="15" t="n">
        <v>0.5891210877752816</v>
      </c>
    </row>
    <row r="16">
      <c r="A16" s="4" t="inlineStr">
        <is>
          <t>R&amp;D / Technology</t>
        </is>
      </c>
      <c r="B16" s="33">
        <f>SUM(Financials!I7:L7)</f>
        <v/>
      </c>
      <c r="C16" s="33">
        <f>SUM(Financials!M7:P7)</f>
        <v/>
      </c>
      <c r="D16" s="33">
        <f>SUM(Financials!Q7:T7)</f>
        <v/>
      </c>
      <c r="E16" s="33">
        <f>SUM(Financials!U7:X7)</f>
        <v/>
      </c>
      <c r="F16" s="33">
        <f>SUM(Financials!Y7:AB7)</f>
        <v/>
      </c>
      <c r="G16" s="41">
        <f>G10*G17</f>
        <v/>
      </c>
      <c r="H16" s="41">
        <f>H10*H17</f>
        <v/>
      </c>
      <c r="I16" s="41">
        <f>I10*I17</f>
        <v/>
      </c>
      <c r="J16" s="41">
        <f>J10*J17</f>
        <v/>
      </c>
      <c r="K16" s="41">
        <f>K10*K17</f>
        <v/>
      </c>
      <c r="L16" s="41">
        <f>L10*L17</f>
        <v/>
      </c>
      <c r="M16" s="41">
        <f>M10*M17</f>
        <v/>
      </c>
      <c r="N16" s="41">
        <f>N10*N17</f>
        <v/>
      </c>
      <c r="O16" s="41">
        <f>O10*O17</f>
        <v/>
      </c>
      <c r="P16" s="41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0.01968208115684038</v>
      </c>
      <c r="H17" s="15" t="n">
        <v>0.01968208115684038</v>
      </c>
      <c r="I17" s="15" t="n">
        <v>0.01968208115684038</v>
      </c>
      <c r="J17" s="15" t="n">
        <v>0.01968208115684038</v>
      </c>
      <c r="K17" s="15" t="n">
        <v>0.01968208115684038</v>
      </c>
      <c r="L17" s="15" t="n">
        <v>0.01968208115684038</v>
      </c>
      <c r="M17" s="15" t="n">
        <v>0.01968208115684038</v>
      </c>
      <c r="N17" s="15" t="n">
        <v>0.01968208115684038</v>
      </c>
      <c r="O17" s="15" t="n">
        <v>0.01968208115684038</v>
      </c>
      <c r="P17" s="15" t="n">
        <v>0.01968208115684038</v>
      </c>
    </row>
    <row r="18">
      <c r="A18" s="4" t="inlineStr">
        <is>
          <t>SG&amp;A</t>
        </is>
      </c>
      <c r="B18" s="33">
        <f>SUM(Financials!I9:L9)</f>
        <v/>
      </c>
      <c r="C18" s="33">
        <f>SUM(Financials!M9:P9)</f>
        <v/>
      </c>
      <c r="D18" s="33">
        <f>SUM(Financials!Q9:T9)</f>
        <v/>
      </c>
      <c r="E18" s="33">
        <f>SUM(Financials!U9:X9)</f>
        <v/>
      </c>
      <c r="F18" s="33">
        <f>SUM(Financials!Y9:AB9)</f>
        <v/>
      </c>
      <c r="G18" s="41">
        <f>G10*G19</f>
        <v/>
      </c>
      <c r="H18" s="41">
        <f>H10*H19</f>
        <v/>
      </c>
      <c r="I18" s="41">
        <f>I10*I19</f>
        <v/>
      </c>
      <c r="J18" s="41">
        <f>J10*J19</f>
        <v/>
      </c>
      <c r="K18" s="41">
        <f>K10*K19</f>
        <v/>
      </c>
      <c r="L18" s="41">
        <f>L10*L19</f>
        <v/>
      </c>
      <c r="M18" s="41">
        <f>M10*M19</f>
        <v/>
      </c>
      <c r="N18" s="41">
        <f>N10*N19</f>
        <v/>
      </c>
      <c r="O18" s="41">
        <f>O10*O19</f>
        <v/>
      </c>
      <c r="P18" s="41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0.1694770441493997</v>
      </c>
      <c r="H19" s="15" t="n">
        <v>0.1694770441493997</v>
      </c>
      <c r="I19" s="15" t="n">
        <v>0.1694770441493997</v>
      </c>
      <c r="J19" s="15" t="n">
        <v>0.1694770441493997</v>
      </c>
      <c r="K19" s="15" t="n">
        <v>0.1694770441493997</v>
      </c>
      <c r="L19" s="15" t="n">
        <v>0.1694770441493997</v>
      </c>
      <c r="M19" s="15" t="n">
        <v>0.1694770441493997</v>
      </c>
      <c r="N19" s="15" t="n">
        <v>0.1694770441493997</v>
      </c>
      <c r="O19" s="15" t="n">
        <v>0.1694770441493997</v>
      </c>
      <c r="P19" s="15" t="n">
        <v>0.1694770441493997</v>
      </c>
    </row>
    <row r="20">
      <c r="A20" s="4" t="inlineStr">
        <is>
          <t>Other opex (fulfilment, etc.)</t>
        </is>
      </c>
      <c r="B20" s="33">
        <f>B10-(B14+B16+B18)-SUM(Financials!I13:L13)</f>
        <v/>
      </c>
      <c r="C20" s="33">
        <f>C10-(C14+C16+C18)-SUM(Financials!M13:P13)</f>
        <v/>
      </c>
      <c r="D20" s="33">
        <f>D10-(D14+D16+D18)-SUM(Financials!Q13:T13)</f>
        <v/>
      </c>
      <c r="E20" s="33">
        <f>E10-(E14+E16+E18)-SUM(Financials!U13:X13)</f>
        <v/>
      </c>
      <c r="F20" s="33">
        <f>F10-(F14+F16+F18)-SUM(Financials!Y13:AB13)</f>
        <v/>
      </c>
      <c r="G20" s="33">
        <f>G10*(1-(Dashboard!$B$29+(Dashboard!$B$30-Dashboard!$B$29)*MIN(1,0/3)))-(G14+G16+G18)</f>
        <v/>
      </c>
      <c r="H20" s="33">
        <f>H10*(1-(Dashboard!$B$29+(Dashboard!$B$30-Dashboard!$B$29)*MIN(1,1/3)))-(H14+H16+H18)</f>
        <v/>
      </c>
      <c r="I20" s="33">
        <f>I10*(1-(Dashboard!$B$29+(Dashboard!$B$30-Dashboard!$B$29)*MIN(1,2/3)))-(I14+I16+I18)</f>
        <v/>
      </c>
      <c r="J20" s="33">
        <f>J10*(1-(Dashboard!$B$29+(Dashboard!$B$30-Dashboard!$B$29)*MIN(1,3/3)))-(J14+J16+J18)</f>
        <v/>
      </c>
      <c r="K20" s="33">
        <f>K10*(1-(Dashboard!$B$29+(Dashboard!$B$30-Dashboard!$B$29)*MIN(1,4/3)))-(K14+K16+K18)</f>
        <v/>
      </c>
      <c r="L20" s="33">
        <f>L10*(1-(Dashboard!$B$29+(Dashboard!$B$30-Dashboard!$B$29)*MIN(1,5/3)))-(L14+L16+L18)</f>
        <v/>
      </c>
      <c r="M20" s="33">
        <f>M10*(1-(Dashboard!$B$29+(Dashboard!$B$30-Dashboard!$B$29)*MIN(1,6/3)))-(M14+M16+M18)</f>
        <v/>
      </c>
      <c r="N20" s="33">
        <f>N10*(1-(Dashboard!$B$29+(Dashboard!$B$30-Dashboard!$B$29)*MIN(1,7/3)))-(N14+N16+N18)</f>
        <v/>
      </c>
      <c r="O20" s="33">
        <f>O10*(1-(Dashboard!$B$29+(Dashboard!$B$30-Dashboard!$B$29)*MIN(1,8/3)))-(O14+O16+O18)</f>
        <v/>
      </c>
      <c r="P20" s="33">
        <f>P10*(1-(Dashboard!$B$29+(Dashboard!$B$30-Dashboard!$B$29)*MIN(1,9/3)))-(P14+P16+P18)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2">
        <f>B10-(B14+B16+B18)-B20</f>
        <v/>
      </c>
      <c r="C23" s="42">
        <f>C10-(C14+C16+C18)-C20</f>
        <v/>
      </c>
      <c r="D23" s="42">
        <f>D10-(D14+D16+D18)-D20</f>
        <v/>
      </c>
      <c r="E23" s="42">
        <f>E10-(E14+E16+E18)-E20</f>
        <v/>
      </c>
      <c r="F23" s="42">
        <f>F10-(F14+F16+F18)-F20</f>
        <v/>
      </c>
      <c r="G23" s="42">
        <f>G10-(G14+G16+G18)-G20</f>
        <v/>
      </c>
      <c r="H23" s="42">
        <f>H10-(H14+H16+H18)-H20</f>
        <v/>
      </c>
      <c r="I23" s="42">
        <f>I10-(I14+I16+I18)-I20</f>
        <v/>
      </c>
      <c r="J23" s="42">
        <f>J10-(J14+J16+J18)-J20</f>
        <v/>
      </c>
      <c r="K23" s="42">
        <f>K10-(K14+K16+K18)-K20</f>
        <v/>
      </c>
      <c r="L23" s="42">
        <f>L10-(L14+L16+L18)-L20</f>
        <v/>
      </c>
      <c r="M23" s="42">
        <f>M10-(M14+M16+M18)-M20</f>
        <v/>
      </c>
      <c r="N23" s="42">
        <f>N10-(N14+N16+N18)-N20</f>
        <v/>
      </c>
      <c r="O23" s="42">
        <f>O10-(O14+O16+O18)-O20</f>
        <v/>
      </c>
      <c r="P23" s="42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3">
        <f>B23*(1-Valuation!$B$5)</f>
        <v/>
      </c>
      <c r="C27" s="33">
        <f>C23*(1-Valuation!$B$5)</f>
        <v/>
      </c>
      <c r="D27" s="33">
        <f>D23*(1-Valuation!$B$5)</f>
        <v/>
      </c>
      <c r="E27" s="33">
        <f>E23*(1-Valuation!$B$5)</f>
        <v/>
      </c>
      <c r="F27" s="33">
        <f>F23*(1-Valuation!$B$5)</f>
        <v/>
      </c>
      <c r="G27" s="33">
        <f>G23*(1-Valuation!$B$5)</f>
        <v/>
      </c>
      <c r="H27" s="33">
        <f>H23*(1-Valuation!$B$5)</f>
        <v/>
      </c>
      <c r="I27" s="33">
        <f>I23*(1-Valuation!$B$5)</f>
        <v/>
      </c>
      <c r="J27" s="33">
        <f>J23*(1-Valuation!$B$5)</f>
        <v/>
      </c>
      <c r="K27" s="33">
        <f>K23*(1-Valuation!$B$5)</f>
        <v/>
      </c>
      <c r="L27" s="33">
        <f>L23*(1-Valuation!$B$5)</f>
        <v/>
      </c>
      <c r="M27" s="33">
        <f>M23*(1-Valuation!$B$5)</f>
        <v/>
      </c>
      <c r="N27" s="33">
        <f>N23*(1-Valuation!$B$5)</f>
        <v/>
      </c>
      <c r="O27" s="33">
        <f>O23*(1-Valuation!$B$5)</f>
        <v/>
      </c>
      <c r="P27" s="33">
        <f>P23*(1-Valuation!$B$5)</f>
        <v/>
      </c>
    </row>
    <row r="28">
      <c r="A28" s="4" t="inlineStr">
        <is>
          <t>+ D&amp;A</t>
        </is>
      </c>
      <c r="B28" s="33">
        <f>SUM(Financials!I37:L37)</f>
        <v/>
      </c>
      <c r="C28" s="33">
        <f>SUM(Financials!M37:P37)</f>
        <v/>
      </c>
      <c r="D28" s="33">
        <f>SUM(Financials!Q37:T37)</f>
        <v/>
      </c>
      <c r="E28" s="33">
        <f>SUM(Financials!U37:X37)</f>
        <v/>
      </c>
      <c r="F28" s="33">
        <f>SUM(Financials!Y37:AB37)</f>
        <v/>
      </c>
      <c r="G28" s="41">
        <f>G10*0.0437</f>
        <v/>
      </c>
      <c r="H28" s="41">
        <f>H10*0.0437</f>
        <v/>
      </c>
      <c r="I28" s="41">
        <f>I10*0.0437</f>
        <v/>
      </c>
      <c r="J28" s="41">
        <f>J10*0.0437</f>
        <v/>
      </c>
      <c r="K28" s="41">
        <f>K10*0.0437</f>
        <v/>
      </c>
      <c r="L28" s="41">
        <f>L10*0.0437</f>
        <v/>
      </c>
      <c r="M28" s="41">
        <f>M10*0.0437</f>
        <v/>
      </c>
      <c r="N28" s="41">
        <f>N10*0.0437</f>
        <v/>
      </c>
      <c r="O28" s="41">
        <f>O10*0.0437</f>
        <v/>
      </c>
      <c r="P28" s="41">
        <f>P10*0.0437</f>
        <v/>
      </c>
    </row>
    <row r="29">
      <c r="A29" s="4" t="inlineStr">
        <is>
          <t>+ SBC (non-cash)</t>
        </is>
      </c>
      <c r="B29" s="33">
        <f>SUM(Financials!I38:L38)</f>
        <v/>
      </c>
      <c r="C29" s="33">
        <f>SUM(Financials!M38:P38)</f>
        <v/>
      </c>
      <c r="D29" s="33">
        <f>SUM(Financials!Q38:T38)</f>
        <v/>
      </c>
      <c r="E29" s="33">
        <f>SUM(Financials!U38:X38)</f>
        <v/>
      </c>
      <c r="F29" s="33">
        <f>SUM(Financials!Y38:AB38)</f>
        <v/>
      </c>
      <c r="G29" s="33">
        <f>G10*(Dashboard!$B$65+(Dashboard!$B$66-Dashboard!$B$65)*0/9)</f>
        <v/>
      </c>
      <c r="H29" s="33">
        <f>H10*(Dashboard!$B$65+(Dashboard!$B$66-Dashboard!$B$65)*1/9)</f>
        <v/>
      </c>
      <c r="I29" s="33">
        <f>I10*(Dashboard!$B$65+(Dashboard!$B$66-Dashboard!$B$65)*2/9)</f>
        <v/>
      </c>
      <c r="J29" s="33">
        <f>J10*(Dashboard!$B$65+(Dashboard!$B$66-Dashboard!$B$65)*3/9)</f>
        <v/>
      </c>
      <c r="K29" s="33">
        <f>K10*(Dashboard!$B$65+(Dashboard!$B$66-Dashboard!$B$65)*4/9)</f>
        <v/>
      </c>
      <c r="L29" s="33">
        <f>L10*(Dashboard!$B$65+(Dashboard!$B$66-Dashboard!$B$65)*5/9)</f>
        <v/>
      </c>
      <c r="M29" s="33">
        <f>M10*(Dashboard!$B$65+(Dashboard!$B$66-Dashboard!$B$65)*6/9)</f>
        <v/>
      </c>
      <c r="N29" s="33">
        <f>N10*(Dashboard!$B$65+(Dashboard!$B$66-Dashboard!$B$65)*7/9)</f>
        <v/>
      </c>
      <c r="O29" s="33">
        <f>O10*(Dashboard!$B$65+(Dashboard!$B$66-Dashboard!$B$65)*8/9)</f>
        <v/>
      </c>
      <c r="P29" s="33">
        <f>P10*(Dashboard!$B$65+(Dashboard!$B$66-Dashboard!$B$65)*9/9)</f>
        <v/>
      </c>
    </row>
    <row r="30">
      <c r="A30" s="4" t="inlineStr">
        <is>
          <t>- dNWC</t>
        </is>
      </c>
      <c r="G30" s="41">
        <f>(G10-F10)*0.0050</f>
        <v/>
      </c>
      <c r="H30" s="41">
        <f>(H10-G10)*0.0050</f>
        <v/>
      </c>
      <c r="I30" s="41">
        <f>(I10-H10)*0.0050</f>
        <v/>
      </c>
      <c r="J30" s="41">
        <f>(J10-I10)*0.0050</f>
        <v/>
      </c>
      <c r="K30" s="41">
        <f>(K10-J10)*0.0050</f>
        <v/>
      </c>
      <c r="L30" s="41">
        <f>(L10-K10)*0.0050</f>
        <v/>
      </c>
      <c r="M30" s="41">
        <f>(M10-L10)*0.0050</f>
        <v/>
      </c>
      <c r="N30" s="41">
        <f>(N10-M10)*0.0050</f>
        <v/>
      </c>
      <c r="O30" s="41">
        <f>(O10-N10)*0.0050</f>
        <v/>
      </c>
      <c r="P30" s="41">
        <f>(P10-O10)*0.0050</f>
        <v/>
      </c>
    </row>
    <row r="31">
      <c r="A31" s="4" t="inlineStr">
        <is>
          <t>- Capex</t>
        </is>
      </c>
      <c r="B31" s="33">
        <f>-SUM(Financials!I41:L41)</f>
        <v/>
      </c>
      <c r="C31" s="33">
        <f>-SUM(Financials!M41:P41)</f>
        <v/>
      </c>
      <c r="D31" s="33">
        <f>-SUM(Financials!Q41:T41)</f>
        <v/>
      </c>
      <c r="E31" s="33">
        <f>-SUM(Financials!U41:X41)</f>
        <v/>
      </c>
      <c r="F31" s="33">
        <f>-SUM(Financials!Y41:AB41)</f>
        <v/>
      </c>
      <c r="G31" s="41">
        <f>G28*G32</f>
        <v/>
      </c>
      <c r="H31" s="41">
        <f>H28*H32</f>
        <v/>
      </c>
      <c r="I31" s="41">
        <f>I28*I32</f>
        <v/>
      </c>
      <c r="J31" s="41">
        <f>J28*J32</f>
        <v/>
      </c>
      <c r="K31" s="41">
        <f>K28*K32</f>
        <v/>
      </c>
      <c r="L31" s="41">
        <f>L28*L32</f>
        <v/>
      </c>
      <c r="M31" s="41">
        <f>M28*M32</f>
        <v/>
      </c>
      <c r="N31" s="41">
        <f>N28*N32</f>
        <v/>
      </c>
      <c r="O31" s="41">
        <f>O28*O32</f>
        <v/>
      </c>
      <c r="P31" s="41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2">
        <f>B27+B28+B29-B30-B31</f>
        <v/>
      </c>
      <c r="C34" s="42">
        <f>C27+C28+C29-C30-C31</f>
        <v/>
      </c>
      <c r="D34" s="42">
        <f>D27+D28+D29-D30-D31</f>
        <v/>
      </c>
      <c r="E34" s="42">
        <f>E27+E28+E29-E30-E31</f>
        <v/>
      </c>
      <c r="F34" s="42">
        <f>F27+F28+F29-F30-F31</f>
        <v/>
      </c>
      <c r="G34" s="42">
        <f>G27+G28+G29-G30-G31</f>
        <v/>
      </c>
      <c r="H34" s="42">
        <f>H27+H28+H29-H30-H31</f>
        <v/>
      </c>
      <c r="I34" s="42">
        <f>I27+I28+I29-I30-I31</f>
        <v/>
      </c>
      <c r="J34" s="42">
        <f>J27+J28+J29-J30-J31</f>
        <v/>
      </c>
      <c r="K34" s="42">
        <f>K27+K28+K29-K30-K31</f>
        <v/>
      </c>
      <c r="L34" s="42">
        <f>L27+L28+L29-L30-L31</f>
        <v/>
      </c>
      <c r="M34" s="42">
        <f>M27+M28+M29-M30-M31</f>
        <v/>
      </c>
      <c r="N34" s="42">
        <f>N27+N28+N29-N30-N31</f>
        <v/>
      </c>
      <c r="O34" s="42">
        <f>O27+O28+O29-O30-O31</f>
        <v/>
      </c>
      <c r="P34" s="42">
        <f>P27+P28+P29-P30-P31</f>
        <v/>
      </c>
    </row>
    <row r="35">
      <c r="A35" s="3" t="inlineStr">
        <is>
          <t>Valuation FCF (NOPAT + D&amp;A - dNWC - Capex - after-tax SBC)</t>
        </is>
      </c>
      <c r="B35" s="43">
        <f>B34-B29-B29*(1-Valuation!$B$5)</f>
        <v/>
      </c>
      <c r="C35" s="43">
        <f>C34-C29-C29*(1-Valuation!$B$5)</f>
        <v/>
      </c>
      <c r="D35" s="43">
        <f>D34-D29-D29*(1-Valuation!$B$5)</f>
        <v/>
      </c>
      <c r="E35" s="43">
        <f>E34-E29-E29*(1-Valuation!$B$5)</f>
        <v/>
      </c>
      <c r="F35" s="43">
        <f>F34-F29-F29*(1-Valuation!$B$5)</f>
        <v/>
      </c>
      <c r="G35" s="43">
        <f>G34-G29-G29*(1-Valuation!$B$5)</f>
        <v/>
      </c>
      <c r="H35" s="43">
        <f>H34-H29-H29*(1-Valuation!$B$5)</f>
        <v/>
      </c>
      <c r="I35" s="43">
        <f>I34-I29-I29*(1-Valuation!$B$5)</f>
        <v/>
      </c>
      <c r="J35" s="43">
        <f>J34-J29-J29*(1-Valuation!$B$5)</f>
        <v/>
      </c>
      <c r="K35" s="43">
        <f>K34-K29-K29*(1-Valuation!$B$5)</f>
        <v/>
      </c>
      <c r="L35" s="43">
        <f>L34-L29-L29*(1-Valuation!$B$5)</f>
        <v/>
      </c>
      <c r="M35" s="43">
        <f>M34-M29-M29*(1-Valuation!$B$5)</f>
        <v/>
      </c>
      <c r="N35" s="43">
        <f>N34-N29-N29*(1-Valuation!$B$5)</f>
        <v/>
      </c>
      <c r="O35" s="43">
        <f>O34-O29-O29*(1-Valuation!$B$5)</f>
        <v/>
      </c>
      <c r="P35" s="43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3">
        <f>Financials!L35+Financials!L34-Financials!L29</f>
        <v/>
      </c>
      <c r="C38" s="33">
        <f>Financials!P35+Financials!P34-Financials!P29</f>
        <v/>
      </c>
      <c r="D38" s="33">
        <f>Financials!T35+Financials!T34-Financials!T29</f>
        <v/>
      </c>
      <c r="E38" s="33">
        <f>Financials!X35+Financials!X34-Financials!X29</f>
        <v/>
      </c>
      <c r="F38" s="33">
        <f>Financials!AB35+Financials!AB34-Financials!AB29</f>
        <v/>
      </c>
      <c r="G38" s="41">
        <f>F38+G31-G28+G30</f>
        <v/>
      </c>
      <c r="H38" s="41">
        <f>G38+H31-H28+H30</f>
        <v/>
      </c>
      <c r="I38" s="41">
        <f>H38+I31-I28+I30</f>
        <v/>
      </c>
      <c r="J38" s="41">
        <f>I38+J31-J28+J30</f>
        <v/>
      </c>
      <c r="K38" s="41">
        <f>J38+K31-K28+K30</f>
        <v/>
      </c>
      <c r="L38" s="41">
        <f>K38+L31-L28+L30</f>
        <v/>
      </c>
      <c r="M38" s="41">
        <f>L38+M31-M28+M30</f>
        <v/>
      </c>
      <c r="N38" s="41">
        <f>M38+N31-N28+N30</f>
        <v/>
      </c>
      <c r="O38" s="41">
        <f>N38+O31-O28+O30</f>
        <v/>
      </c>
      <c r="P38" s="41">
        <f>O38+P31-P28+P30</f>
        <v/>
      </c>
    </row>
    <row r="39">
      <c r="A39" s="4" t="inlineStr">
        <is>
          <t>Book equity (year-end)</t>
        </is>
      </c>
      <c r="B39" s="33">
        <f>Financials!L35</f>
        <v/>
      </c>
      <c r="C39" s="33">
        <f>Financials!P35</f>
        <v/>
      </c>
      <c r="D39" s="33">
        <f>Financials!T35</f>
        <v/>
      </c>
      <c r="E39" s="33">
        <f>Financials!X35</f>
        <v/>
      </c>
      <c r="F39" s="33">
        <f>Financials!AB35</f>
        <v/>
      </c>
      <c r="G39" s="41">
        <f>F39+G27</f>
        <v/>
      </c>
      <c r="H39" s="41">
        <f>G39+H27</f>
        <v/>
      </c>
      <c r="I39" s="41">
        <f>H39+I27</f>
        <v/>
      </c>
      <c r="J39" s="41">
        <f>I39+J27</f>
        <v/>
      </c>
      <c r="K39" s="41">
        <f>J39+K27</f>
        <v/>
      </c>
      <c r="L39" s="41">
        <f>K39+L27</f>
        <v/>
      </c>
      <c r="M39" s="41">
        <f>L39+M27</f>
        <v/>
      </c>
      <c r="N39" s="41">
        <f>M39+N27</f>
        <v/>
      </c>
      <c r="O39" s="41">
        <f>N39+O27</f>
        <v/>
      </c>
      <c r="P39" s="41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4">
        <f>IFERROR((C10-B10)/(C38-B38),"")</f>
        <v/>
      </c>
      <c r="D45" s="44">
        <f>IFERROR((D10-C10)/(D38-C38),"")</f>
        <v/>
      </c>
      <c r="E45" s="44">
        <f>IFERROR((E10-D10)/(E38-D38),"")</f>
        <v/>
      </c>
      <c r="F45" s="44">
        <f>IFERROR((F10-E10)/(F38-E38),"")</f>
        <v/>
      </c>
      <c r="G45" s="44">
        <f>IFERROR((G10-F10)/(G38-F38),"")</f>
        <v/>
      </c>
      <c r="H45" s="44">
        <f>IFERROR((H10-G10)/(H38-G38),"")</f>
        <v/>
      </c>
      <c r="I45" s="44">
        <f>IFERROR((I10-H10)/(I38-H38),"")</f>
        <v/>
      </c>
      <c r="J45" s="44">
        <f>IFERROR((J10-I10)/(J38-I38),"")</f>
        <v/>
      </c>
      <c r="K45" s="44">
        <f>IFERROR((K10-J10)/(K38-J38),"")</f>
        <v/>
      </c>
      <c r="L45" s="44">
        <f>IFERROR((L10-K10)/(L38-K38),"")</f>
        <v/>
      </c>
      <c r="M45" s="44">
        <f>IFERROR((M10-L10)/(M38-L38),"")</f>
        <v/>
      </c>
      <c r="N45" s="44">
        <f>IFERROR((N10-M10)/(N38-M38),"")</f>
        <v/>
      </c>
      <c r="O45" s="44">
        <f>IFERROR((O10-N10)/(O38-N38),"")</f>
        <v/>
      </c>
      <c r="P45" s="44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515.648</v>
      </c>
      <c r="C3" s="18" t="n">
        <v>532.324</v>
      </c>
      <c r="D3" s="18" t="n">
        <v>541.529</v>
      </c>
      <c r="E3" s="18" t="n">
        <v>506.275</v>
      </c>
      <c r="F3" s="18" t="n">
        <v>468.146</v>
      </c>
      <c r="G3" s="18" t="n">
        <v>386.41</v>
      </c>
      <c r="H3" s="18" t="n">
        <v>426.178</v>
      </c>
      <c r="I3" s="18" t="n">
        <v>417.902</v>
      </c>
      <c r="J3" s="18" t="n">
        <v>466.651</v>
      </c>
      <c r="K3" s="18" t="n">
        <v>471.707</v>
      </c>
      <c r="L3" s="18" t="n">
        <v>509.422</v>
      </c>
      <c r="M3" s="18" t="n">
        <v>490.343</v>
      </c>
      <c r="N3" s="18" t="n">
        <v>538.813</v>
      </c>
      <c r="O3" s="18" t="n">
        <v>569.528</v>
      </c>
      <c r="P3" s="18" t="n">
        <v>609.638</v>
      </c>
      <c r="Q3" s="18" t="n">
        <v>620.915</v>
      </c>
      <c r="R3" s="18" t="n">
        <v>687.841</v>
      </c>
      <c r="S3" s="18" t="n">
        <v>722.902</v>
      </c>
      <c r="T3" s="18" t="n">
        <v>936.447</v>
      </c>
      <c r="U3" s="18" t="n">
        <v>896.3630000000001</v>
      </c>
      <c r="V3" s="18" t="n">
        <v>955.395</v>
      </c>
      <c r="W3" s="18" t="n">
        <v>992.246</v>
      </c>
      <c r="X3" s="18" t="n">
        <v>1013.665</v>
      </c>
      <c r="Y3" s="18" t="n">
        <v>1030.222</v>
      </c>
      <c r="Z3" s="18" t="n">
        <v>1097.82</v>
      </c>
      <c r="AA3" s="18" t="n">
        <v>1147.591</v>
      </c>
      <c r="AB3" s="18" t="n">
        <v>1209.411</v>
      </c>
      <c r="AC3" s="18" t="n">
        <v>1178.582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289.412</v>
      </c>
      <c r="C5" s="18" t="n">
        <v>302.845</v>
      </c>
      <c r="D5" s="18" t="n">
        <v>314.211</v>
      </c>
      <c r="E5" s="18" t="n">
        <v>291.125</v>
      </c>
      <c r="F5" s="18" t="n">
        <v>272.504</v>
      </c>
      <c r="G5" s="18" t="n">
        <v>227.814</v>
      </c>
      <c r="H5" s="18" t="n">
        <v>247.88</v>
      </c>
      <c r="I5" s="18" t="n">
        <v>243.287</v>
      </c>
      <c r="J5" s="18" t="n">
        <v>268.856</v>
      </c>
      <c r="K5" s="18" t="n">
        <v>269.014</v>
      </c>
      <c r="L5" s="18" t="n">
        <v>288.225</v>
      </c>
      <c r="M5" s="18" t="n">
        <v>281.737</v>
      </c>
      <c r="N5" s="18" t="n">
        <v>308.833</v>
      </c>
      <c r="O5" s="18" t="n">
        <v>329.934</v>
      </c>
      <c r="P5" s="18" t="n">
        <v>348.998</v>
      </c>
      <c r="Q5" s="18" t="n">
        <v>356.878</v>
      </c>
      <c r="R5" s="18" t="n">
        <v>398.433</v>
      </c>
      <c r="S5" s="18" t="n">
        <v>418.803</v>
      </c>
      <c r="T5" s="18" t="n">
        <v>544.73</v>
      </c>
      <c r="U5" s="18" t="n">
        <v>524.498</v>
      </c>
      <c r="V5" s="18" t="n">
        <v>555.665</v>
      </c>
      <c r="W5" s="18" t="n">
        <v>573.197</v>
      </c>
      <c r="X5" s="18" t="n">
        <v>591.318</v>
      </c>
      <c r="Y5" s="18" t="n">
        <v>596.955</v>
      </c>
      <c r="Z5" s="18" t="n">
        <v>631.275</v>
      </c>
      <c r="AA5" s="18" t="n">
        <v>690.434</v>
      </c>
      <c r="AB5" s="18" t="n">
        <v>723.5700000000001</v>
      </c>
      <c r="AC5" s="18" t="n">
        <v>723.6180000000001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16.849</v>
      </c>
      <c r="C7" s="18" t="n">
        <v>16.648</v>
      </c>
      <c r="D7" s="18" t="n">
        <v>17.933</v>
      </c>
      <c r="E7" s="18" t="n">
        <v>17.103</v>
      </c>
      <c r="F7" s="18" t="n">
        <v>16.751999</v>
      </c>
      <c r="G7" s="18" t="n">
        <v>15.113</v>
      </c>
      <c r="H7" s="18" t="n">
        <v>16.591</v>
      </c>
      <c r="I7" s="18" t="n">
        <v>16.181</v>
      </c>
      <c r="J7" s="18" t="n">
        <v>18.022</v>
      </c>
      <c r="K7" s="18" t="n">
        <v>17.976</v>
      </c>
      <c r="L7" s="18" t="n">
        <v>16.698</v>
      </c>
      <c r="M7" s="18" t="n">
        <v>18.396</v>
      </c>
      <c r="N7" s="18" t="n">
        <v>18.751</v>
      </c>
      <c r="O7" s="18" t="n">
        <v>18.657</v>
      </c>
      <c r="P7" s="18" t="n">
        <v>20.257</v>
      </c>
      <c r="Q7" s="18" t="n">
        <v>20.238</v>
      </c>
      <c r="R7" s="18" t="n">
        <v>22.896</v>
      </c>
      <c r="S7" s="18" t="n">
        <v>25.365</v>
      </c>
      <c r="T7" s="18" t="n">
        <v>27.274</v>
      </c>
      <c r="U7" s="18" t="n">
        <v>25.096</v>
      </c>
      <c r="V7" s="18" t="n">
        <v>27.935</v>
      </c>
      <c r="W7" s="18" t="n">
        <v>29.779</v>
      </c>
      <c r="X7" s="18" t="n">
        <v>28.455</v>
      </c>
      <c r="Y7" s="18" t="n">
        <v>27.605</v>
      </c>
      <c r="Z7" s="18" t="n">
        <v>28.741</v>
      </c>
      <c r="AA7" s="18" t="n">
        <v>31.929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88.94499999999999</v>
      </c>
      <c r="C9" s="18" t="n">
        <v>92.771</v>
      </c>
      <c r="D9" s="18" t="n">
        <v>89.93600000000001</v>
      </c>
      <c r="E9" s="18" t="n">
        <v>86.649</v>
      </c>
      <c r="F9" s="18" t="n">
        <v>69.97</v>
      </c>
      <c r="G9" s="18" t="n">
        <v>76.027</v>
      </c>
      <c r="H9" s="18" t="n">
        <v>72.318</v>
      </c>
      <c r="I9" s="18" t="n">
        <v>77.304</v>
      </c>
      <c r="J9" s="18" t="n">
        <v>82.387</v>
      </c>
      <c r="K9" s="18" t="n">
        <v>82.581</v>
      </c>
      <c r="L9" s="18" t="n">
        <v>88.625</v>
      </c>
      <c r="M9" s="18" t="n">
        <v>88.283</v>
      </c>
      <c r="N9" s="18" t="n">
        <v>90.23</v>
      </c>
      <c r="O9" s="18" t="n">
        <v>94.613</v>
      </c>
      <c r="P9" s="18" t="n">
        <v>98.146</v>
      </c>
      <c r="Q9" s="18" t="n">
        <v>112.774</v>
      </c>
      <c r="R9" s="18" t="n">
        <v>109.02</v>
      </c>
      <c r="S9" s="18" t="n">
        <v>129.770999</v>
      </c>
      <c r="T9" s="18" t="n">
        <v>159.431</v>
      </c>
      <c r="U9" s="18" t="n">
        <v>165.181</v>
      </c>
      <c r="V9" s="18" t="n">
        <v>169.239</v>
      </c>
      <c r="W9" s="18" t="n">
        <v>178.488</v>
      </c>
      <c r="X9" s="18" t="n">
        <v>154.524</v>
      </c>
      <c r="Y9" s="18" t="n">
        <v>175.275</v>
      </c>
      <c r="Z9" s="18" t="n">
        <v>185.88</v>
      </c>
      <c r="AA9" s="18" t="n">
        <v>192.138</v>
      </c>
      <c r="AB9" s="18" t="n">
        <v>206.819</v>
      </c>
      <c r="AC9" s="18" t="n">
        <v>195.065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226.236</v>
      </c>
      <c r="C11" s="18" t="n">
        <v>229.479</v>
      </c>
      <c r="D11" s="18" t="n">
        <v>227.318</v>
      </c>
      <c r="E11" s="18" t="n">
        <v>215.15</v>
      </c>
      <c r="F11" s="18" t="n">
        <v>195.642</v>
      </c>
      <c r="G11" s="18" t="n">
        <v>158.596</v>
      </c>
      <c r="H11" s="18" t="n">
        <v>178.298</v>
      </c>
      <c r="I11" s="18" t="n">
        <v>174.615</v>
      </c>
      <c r="J11" s="18" t="n">
        <v>197.795</v>
      </c>
      <c r="K11" s="18" t="n">
        <v>202.693</v>
      </c>
      <c r="L11" s="18" t="n">
        <v>221.197</v>
      </c>
      <c r="M11" s="18" t="n">
        <v>208.606</v>
      </c>
      <c r="N11" s="18" t="n">
        <v>229.98</v>
      </c>
      <c r="O11" s="18" t="n">
        <v>239.594</v>
      </c>
      <c r="P11" s="18" t="n">
        <v>260.64</v>
      </c>
      <c r="Q11" s="18" t="n">
        <v>264.036999</v>
      </c>
      <c r="R11" s="18" t="n">
        <v>289.408</v>
      </c>
      <c r="S11" s="18" t="n">
        <v>304.099</v>
      </c>
      <c r="T11" s="18" t="n">
        <v>391.717</v>
      </c>
      <c r="U11" s="18" t="n">
        <v>371.865</v>
      </c>
      <c r="V11" s="18" t="n">
        <v>399.73</v>
      </c>
      <c r="W11" s="18" t="n">
        <v>419.049</v>
      </c>
      <c r="X11" s="18" t="n">
        <v>422.347</v>
      </c>
      <c r="Y11" s="18" t="n">
        <v>433.267</v>
      </c>
      <c r="Z11" s="18" t="n">
        <v>466.545</v>
      </c>
      <c r="AA11" s="18" t="n">
        <v>457.157</v>
      </c>
      <c r="AB11" s="18" t="n">
        <v>485.841</v>
      </c>
      <c r="AC11" s="18" t="n">
        <v>454.964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120.442</v>
      </c>
      <c r="C13" s="18" t="n">
        <v>120.06</v>
      </c>
      <c r="D13" s="18" t="n">
        <v>119.449</v>
      </c>
      <c r="E13" s="18" t="n">
        <v>111.398</v>
      </c>
      <c r="F13" s="18" t="n">
        <v>108.92</v>
      </c>
      <c r="G13" s="18" t="n">
        <v>67.456</v>
      </c>
      <c r="H13" s="18" t="n">
        <v>89.389</v>
      </c>
      <c r="I13" s="18" t="n">
        <v>81.13</v>
      </c>
      <c r="J13" s="18" t="n">
        <v>97.386</v>
      </c>
      <c r="K13" s="18" t="n">
        <v>102.136</v>
      </c>
      <c r="L13" s="18" t="n">
        <v>115.874</v>
      </c>
      <c r="M13" s="18" t="n">
        <v>101.927</v>
      </c>
      <c r="N13" s="18" t="n">
        <v>120.999</v>
      </c>
      <c r="O13" s="18" t="n">
        <v>126.324</v>
      </c>
      <c r="P13" s="18" t="n">
        <v>142.237</v>
      </c>
      <c r="Q13" s="18" t="n">
        <v>131.025</v>
      </c>
      <c r="R13" s="18" t="n">
        <v>157.492</v>
      </c>
      <c r="S13" s="18" t="n">
        <v>148.963</v>
      </c>
      <c r="T13" s="18" t="n">
        <v>205.012</v>
      </c>
      <c r="U13" s="18" t="n">
        <v>181.588</v>
      </c>
      <c r="V13" s="18" t="n">
        <v>202.556</v>
      </c>
      <c r="W13" s="18" t="n">
        <v>210.782</v>
      </c>
      <c r="X13" s="18" t="n">
        <v>239.368</v>
      </c>
      <c r="Y13" s="18" t="n">
        <v>230.387</v>
      </c>
      <c r="Z13" s="18" t="n">
        <v>251.924</v>
      </c>
      <c r="AA13" s="18" t="n">
        <v>265.019</v>
      </c>
      <c r="AB13" s="18" t="n">
        <v>279.022</v>
      </c>
      <c r="AC13" s="18" t="n">
        <v>259.899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81.782</v>
      </c>
      <c r="C15" s="18" t="n">
        <v>81.098</v>
      </c>
      <c r="D15" s="18" t="n">
        <v>85.684</v>
      </c>
      <c r="E15" s="18" t="n">
        <v>121.888</v>
      </c>
      <c r="F15" s="18" t="n">
        <v>75.453</v>
      </c>
      <c r="G15" s="18" t="n">
        <v>54.316</v>
      </c>
      <c r="H15" s="18" t="n">
        <v>62.327</v>
      </c>
      <c r="I15" s="18" t="n">
        <v>70.596</v>
      </c>
      <c r="J15" s="18" t="n">
        <v>70.673</v>
      </c>
      <c r="K15" s="18" t="n">
        <v>76.889</v>
      </c>
      <c r="L15" s="18" t="n">
        <v>86.062</v>
      </c>
      <c r="M15" s="18" t="n">
        <v>86.92100000000001</v>
      </c>
      <c r="N15" s="18" t="n">
        <v>85.01000000000001</v>
      </c>
      <c r="O15" s="18" t="n">
        <v>82.54000000000001</v>
      </c>
      <c r="P15" s="18" t="n">
        <v>97.20399999999999</v>
      </c>
      <c r="Q15" s="18" t="n">
        <v>93.027</v>
      </c>
      <c r="R15" s="18" t="n">
        <v>105.12</v>
      </c>
      <c r="S15" s="18" t="n">
        <v>102.023</v>
      </c>
      <c r="T15" s="18" t="n">
        <v>103.426</v>
      </c>
      <c r="U15" s="18" t="n">
        <v>114.698</v>
      </c>
      <c r="V15" s="18" t="n">
        <v>123.146</v>
      </c>
      <c r="W15" s="18" t="n">
        <v>136.577</v>
      </c>
      <c r="X15" s="18" t="n">
        <v>139.688</v>
      </c>
      <c r="Y15" s="18" t="n">
        <v>167.955</v>
      </c>
      <c r="Z15" s="18" t="n">
        <v>156.793</v>
      </c>
      <c r="AA15" s="18" t="n">
        <v>177.341</v>
      </c>
      <c r="AB15" s="18" t="n">
        <v>188.296</v>
      </c>
      <c r="AC15" s="18" t="n">
        <v>190.188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137.206</v>
      </c>
      <c r="C17" s="18" t="n">
        <v>137.634</v>
      </c>
      <c r="D17" s="18" t="n">
        <v>137.579</v>
      </c>
      <c r="E17" s="18" t="n">
        <v>137.421</v>
      </c>
      <c r="F17" s="18" t="n">
        <v>137.117</v>
      </c>
      <c r="G17" s="18" t="n">
        <v>137.234</v>
      </c>
      <c r="H17" s="18" t="n">
        <v>137.438</v>
      </c>
      <c r="I17" s="18" t="n">
        <v>137.742</v>
      </c>
      <c r="J17" s="18" t="n">
        <v>137.814</v>
      </c>
      <c r="K17" s="18" t="n">
        <v>137.957</v>
      </c>
      <c r="L17" s="18" t="n">
        <v>137.905</v>
      </c>
      <c r="M17" s="18" t="n">
        <v>137.966</v>
      </c>
      <c r="N17" s="18" t="n">
        <v>137.867</v>
      </c>
      <c r="O17" s="18" t="n">
        <v>137.837</v>
      </c>
      <c r="P17" s="18" t="n">
        <v>138.478</v>
      </c>
      <c r="Q17" s="18" t="n">
        <v>138.579</v>
      </c>
      <c r="R17" s="18" t="n">
        <v>138.6</v>
      </c>
      <c r="S17" s="18" t="n">
        <v>138.668</v>
      </c>
      <c r="T17" s="18" t="n">
        <v>139.774</v>
      </c>
      <c r="U17" s="18" t="n">
        <v>139.893</v>
      </c>
      <c r="V17" s="18" t="n">
        <v>140.059</v>
      </c>
      <c r="W17" s="18" t="n">
        <v>140.305</v>
      </c>
      <c r="X17" s="18" t="n">
        <v>140.536</v>
      </c>
      <c r="Y17" s="18" t="n">
        <v>140.484</v>
      </c>
      <c r="Z17" s="18" t="n">
        <v>140.599</v>
      </c>
      <c r="AA17" s="18" t="n">
        <v>140.95</v>
      </c>
      <c r="AB17" s="18" t="n">
        <v>141.05</v>
      </c>
      <c r="AC17" s="18" t="n">
        <v>141.029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Flight Support Group</t>
        </is>
      </c>
      <c r="B19" s="18" t="n">
        <v>308.251</v>
      </c>
      <c r="C19" s="18" t="n">
        <v>320.016</v>
      </c>
      <c r="D19" s="18" t="n">
        <v>324.703</v>
      </c>
      <c r="E19" s="18" t="n">
        <v>301.067</v>
      </c>
      <c r="F19" s="18" t="n">
        <v>251.964</v>
      </c>
      <c r="G19" s="18" t="n">
        <v>178.158</v>
      </c>
      <c r="H19" s="18" t="n">
        <v>193.623</v>
      </c>
      <c r="I19" s="18" t="n">
        <v>199.334</v>
      </c>
      <c r="J19" s="18" t="n">
        <v>230.28</v>
      </c>
      <c r="K19" s="18" t="n">
        <v>237.118</v>
      </c>
      <c r="L19" s="18" t="n">
        <v>260.357</v>
      </c>
      <c r="M19" s="18" t="n">
        <v>272.681</v>
      </c>
      <c r="N19" s="18" t="n">
        <v>306.313</v>
      </c>
      <c r="O19" s="18" t="n">
        <v>330.259</v>
      </c>
      <c r="P19" s="18" t="n">
        <v>345.959</v>
      </c>
      <c r="Q19" s="18" t="n">
        <v>371.278</v>
      </c>
      <c r="T19" s="18" t="n">
        <v>1398.907</v>
      </c>
      <c r="U19" s="18" t="n">
        <v>618.716</v>
      </c>
      <c r="V19" s="18" t="n">
        <v>647.232</v>
      </c>
      <c r="W19" s="18" t="n">
        <v>681.626</v>
      </c>
      <c r="X19" s="18" t="n">
        <v>691.78</v>
      </c>
      <c r="Y19" s="18" t="n">
        <v>713.174</v>
      </c>
      <c r="Z19" s="18" t="n">
        <v>767.0700000000001</v>
      </c>
      <c r="AB19" s="18" t="n">
        <v>1637.033</v>
      </c>
      <c r="AC19" s="18" t="n">
        <v>820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Electronic Technologies Group</t>
        </is>
      </c>
      <c r="B22" s="18" t="n">
        <v>214.451</v>
      </c>
      <c r="C22" s="18" t="n">
        <v>216.129</v>
      </c>
      <c r="D22" s="18" t="n">
        <v>219.513</v>
      </c>
      <c r="E22" s="18" t="n">
        <v>208.411</v>
      </c>
      <c r="F22" s="18" t="n">
        <v>218.955</v>
      </c>
      <c r="G22" s="18" t="n">
        <v>210.919</v>
      </c>
      <c r="H22" s="18" t="n">
        <v>236.702</v>
      </c>
      <c r="I22" s="18" t="n">
        <v>223.55</v>
      </c>
      <c r="J22" s="18" t="n">
        <v>243.089</v>
      </c>
      <c r="K22" s="18" t="n">
        <v>239.543</v>
      </c>
      <c r="L22" s="18" t="n">
        <v>252.988</v>
      </c>
      <c r="M22" s="18" t="n">
        <v>222.336</v>
      </c>
      <c r="N22" s="18" t="n">
        <v>237.393</v>
      </c>
      <c r="O22" s="18" t="n">
        <v>244.203</v>
      </c>
      <c r="P22" s="18" t="n">
        <v>268.543</v>
      </c>
      <c r="Q22" s="18" t="n">
        <v>255.059</v>
      </c>
      <c r="T22" s="18" t="n">
        <v>970.163</v>
      </c>
      <c r="U22" s="18" t="n">
        <v>285.942</v>
      </c>
      <c r="V22" s="18" t="n">
        <v>319.322</v>
      </c>
      <c r="W22" s="18" t="n">
        <v>322.129</v>
      </c>
      <c r="X22" s="18" t="n">
        <v>336.233</v>
      </c>
      <c r="Y22" s="18" t="n">
        <v>330.315</v>
      </c>
      <c r="Z22" s="18" t="n">
        <v>342.167</v>
      </c>
      <c r="AB22" s="18" t="n">
        <v>740.638</v>
      </c>
      <c r="AC22" s="18" t="n">
        <v>370.675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Corporate And Eliminations</t>
        </is>
      </c>
      <c r="B25" s="18" t="n">
        <v>-7.054</v>
      </c>
      <c r="C25" s="18" t="n">
        <v>-3.821</v>
      </c>
      <c r="D25" s="18" t="n">
        <v>-2.687</v>
      </c>
      <c r="E25" s="18" t="n">
        <v>-3.203</v>
      </c>
      <c r="F25" s="18" t="n">
        <v>-2.773</v>
      </c>
      <c r="G25" s="18" t="n">
        <v>-2.667</v>
      </c>
      <c r="H25" s="18" t="n">
        <v>-4.147</v>
      </c>
      <c r="I25" s="18" t="n">
        <v>-4.982</v>
      </c>
      <c r="J25" s="18" t="n">
        <v>-6.718</v>
      </c>
      <c r="K25" s="18" t="n">
        <v>-4.954</v>
      </c>
      <c r="L25" s="18" t="n">
        <v>-3.923</v>
      </c>
      <c r="M25" s="18" t="n">
        <v>-4.674</v>
      </c>
      <c r="N25" s="18" t="n">
        <v>-4.893</v>
      </c>
      <c r="O25" s="18" t="n">
        <v>-4.934</v>
      </c>
      <c r="P25" s="18" t="n">
        <v>-4.864</v>
      </c>
      <c r="Q25" s="18" t="n">
        <v>-5.422</v>
      </c>
      <c r="R25" s="18" t="n">
        <v>-6.12</v>
      </c>
      <c r="S25" s="18" t="n">
        <v>-8.005000000000001</v>
      </c>
      <c r="T25" s="18" t="n">
        <v>0</v>
      </c>
      <c r="U25" s="18" t="n">
        <v>-8.295</v>
      </c>
      <c r="V25" s="18" t="n">
        <v>-11.159</v>
      </c>
      <c r="W25" s="18" t="n">
        <v>-11.509</v>
      </c>
      <c r="X25" s="18" t="n">
        <v>0</v>
      </c>
      <c r="Y25" s="18" t="n">
        <v>-13.267</v>
      </c>
      <c r="Z25" s="18" t="n">
        <v>-11.417</v>
      </c>
      <c r="AB25" s="18" t="n">
        <v>-20.669</v>
      </c>
      <c r="AC25" s="18" t="n">
        <v>-12.093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64.09099999999999</v>
      </c>
      <c r="C29" s="18" t="n">
        <v>59.023</v>
      </c>
      <c r="D29" s="18" t="n">
        <v>57.001</v>
      </c>
      <c r="E29" s="18" t="n">
        <v>63.971</v>
      </c>
      <c r="F29" s="18" t="n">
        <v>346.786</v>
      </c>
      <c r="G29" s="18" t="n">
        <v>395.278</v>
      </c>
      <c r="H29" s="18" t="n">
        <v>406.852</v>
      </c>
      <c r="I29" s="18" t="n">
        <v>399.403</v>
      </c>
      <c r="J29" s="18" t="n">
        <v>385.444</v>
      </c>
      <c r="K29" s="18" t="n">
        <v>269.816</v>
      </c>
      <c r="L29" s="18" t="n">
        <v>108.298</v>
      </c>
      <c r="M29" s="18" t="n">
        <v>124.818</v>
      </c>
      <c r="N29" s="18" t="n">
        <v>117.318</v>
      </c>
      <c r="O29" s="18" t="n">
        <v>133.605</v>
      </c>
      <c r="P29" s="18" t="n">
        <v>139.504</v>
      </c>
      <c r="Q29" s="18" t="n">
        <v>142.619</v>
      </c>
      <c r="R29" s="18" t="n">
        <v>127.161</v>
      </c>
      <c r="S29" s="18" t="n">
        <v>694.263</v>
      </c>
      <c r="T29" s="18" t="n">
        <v>171.048</v>
      </c>
      <c r="U29" s="18" t="n">
        <v>196.323</v>
      </c>
      <c r="V29" s="18" t="n">
        <v>204.161</v>
      </c>
      <c r="W29" s="18" t="n">
        <v>202.94</v>
      </c>
      <c r="X29" s="18" t="n">
        <v>162.103</v>
      </c>
      <c r="Y29" s="18" t="n">
        <v>165.467</v>
      </c>
      <c r="Z29" s="18" t="n">
        <v>242.309</v>
      </c>
      <c r="AA29" s="18" t="n">
        <v>261.888</v>
      </c>
      <c r="AB29" s="18" t="n">
        <v>217.781</v>
      </c>
      <c r="AC29" s="18" t="n">
        <v>260.971</v>
      </c>
    </row>
    <row r="30">
      <c r="A30" s="4" t="inlineStr">
        <is>
          <t>Total Current Assets</t>
        </is>
      </c>
      <c r="B30" s="18" t="n">
        <v>802.567</v>
      </c>
      <c r="C30" s="18" t="n">
        <v>802.5839999999999</v>
      </c>
      <c r="D30" s="18" t="n">
        <v>813.731</v>
      </c>
      <c r="E30" s="18" t="n">
        <v>824.71</v>
      </c>
      <c r="F30" s="18" t="n">
        <v>1125.513</v>
      </c>
      <c r="G30" s="18" t="n">
        <v>1140.744</v>
      </c>
      <c r="H30" s="18" t="n">
        <v>1165.625</v>
      </c>
      <c r="I30" s="18" t="n">
        <v>1149.099</v>
      </c>
      <c r="J30" s="18" t="n">
        <v>1163.421</v>
      </c>
      <c r="K30" s="18" t="n">
        <v>1031.015</v>
      </c>
      <c r="L30" s="18" t="n">
        <v>937.385</v>
      </c>
      <c r="M30" s="18" t="n">
        <v>974.562</v>
      </c>
      <c r="N30" s="18" t="n">
        <v>1032.725</v>
      </c>
      <c r="O30" s="18" t="n">
        <v>1081.773</v>
      </c>
      <c r="P30" s="18" t="n">
        <v>1152.73</v>
      </c>
      <c r="Q30" s="18" t="n">
        <v>1318.799</v>
      </c>
      <c r="R30" s="18" t="n">
        <v>1366.639</v>
      </c>
      <c r="S30" s="18" t="n">
        <v>1931.924</v>
      </c>
      <c r="T30" s="18" t="n">
        <v>1855.342</v>
      </c>
      <c r="U30" s="18" t="n">
        <v>1912.359</v>
      </c>
      <c r="V30" s="18" t="n">
        <v>1968.701</v>
      </c>
      <c r="W30" s="18" t="n">
        <v>2026.935</v>
      </c>
      <c r="X30" s="18" t="n">
        <v>2062.292</v>
      </c>
      <c r="Y30" s="18" t="n">
        <v>2102.718</v>
      </c>
      <c r="Z30" s="18" t="n">
        <v>2283.349</v>
      </c>
      <c r="AA30" s="18" t="n">
        <v>2386.027</v>
      </c>
      <c r="AB30" s="18" t="n">
        <v>2356.366</v>
      </c>
      <c r="AC30" s="18" t="n">
        <v>2479.614</v>
      </c>
    </row>
    <row r="31">
      <c r="A31" s="4" t="inlineStr">
        <is>
          <t>PP&amp;E (net)</t>
        </is>
      </c>
      <c r="B31" s="18" t="n">
        <v>169.792</v>
      </c>
      <c r="C31" s="18" t="n">
        <v>173.182</v>
      </c>
      <c r="D31" s="18" t="n">
        <v>173.345</v>
      </c>
      <c r="E31" s="18" t="n">
        <v>172.299</v>
      </c>
      <c r="F31" s="18" t="n">
        <v>171.399</v>
      </c>
      <c r="G31" s="18" t="n">
        <v>170.34</v>
      </c>
      <c r="H31" s="18" t="n">
        <v>168.848</v>
      </c>
      <c r="I31" s="18" t="n">
        <v>177.968</v>
      </c>
      <c r="J31" s="18" t="n">
        <v>177.315</v>
      </c>
      <c r="K31" s="18" t="n">
        <v>179.101</v>
      </c>
      <c r="L31" s="18" t="n">
        <v>193.638</v>
      </c>
      <c r="M31" s="18" t="n">
        <v>194.604</v>
      </c>
      <c r="N31" s="18" t="n">
        <v>193.558</v>
      </c>
      <c r="O31" s="18" t="n">
        <v>202.844</v>
      </c>
      <c r="P31" s="18" t="n">
        <v>225.879</v>
      </c>
      <c r="Q31" s="18" t="n">
        <v>274.403</v>
      </c>
      <c r="R31" s="18" t="n">
        <v>273.856</v>
      </c>
      <c r="S31" s="18" t="n">
        <v>285.033</v>
      </c>
      <c r="T31" s="18" t="n">
        <v>321.848</v>
      </c>
      <c r="U31" s="18" t="n">
        <v>327.661</v>
      </c>
      <c r="V31" s="18" t="n">
        <v>326.74</v>
      </c>
      <c r="W31" s="18" t="n">
        <v>330.254</v>
      </c>
      <c r="X31" s="18" t="n">
        <v>339.034</v>
      </c>
      <c r="Y31" s="18" t="n">
        <v>348.838</v>
      </c>
      <c r="Z31" s="18" t="n">
        <v>359.32</v>
      </c>
      <c r="AA31" s="18" t="n">
        <v>437.635</v>
      </c>
      <c r="AB31" s="18" t="n">
        <v>431.71</v>
      </c>
      <c r="AC31" s="18" t="n">
        <v>448.992</v>
      </c>
    </row>
    <row r="32">
      <c r="A32" s="4" t="inlineStr">
        <is>
          <t>Total Assets</t>
        </is>
      </c>
      <c r="B32" s="18" t="n">
        <v>2853.64</v>
      </c>
      <c r="C32" s="18" t="n">
        <v>2960.288</v>
      </c>
      <c r="D32" s="18" t="n">
        <v>2969.211</v>
      </c>
      <c r="E32" s="18" t="n">
        <v>3097.121</v>
      </c>
      <c r="F32" s="18" t="n">
        <v>3364.835</v>
      </c>
      <c r="G32" s="18" t="n">
        <v>3423.25</v>
      </c>
      <c r="H32" s="18" t="n">
        <v>3547.711</v>
      </c>
      <c r="I32" s="18" t="n">
        <v>3565.584</v>
      </c>
      <c r="J32" s="18" t="n">
        <v>3595.168</v>
      </c>
      <c r="K32" s="18" t="n">
        <v>3461.635</v>
      </c>
      <c r="L32" s="18" t="n">
        <v>3498.407</v>
      </c>
      <c r="M32" s="18" t="n">
        <v>3513.895</v>
      </c>
      <c r="N32" s="18" t="n">
        <v>3685.333</v>
      </c>
      <c r="O32" s="18" t="n">
        <v>3787.351</v>
      </c>
      <c r="P32" s="18" t="n">
        <v>4095.496</v>
      </c>
      <c r="Q32" s="18" t="n">
        <v>4804.62</v>
      </c>
      <c r="R32" s="18" t="n">
        <v>4870.199</v>
      </c>
      <c r="S32" s="18" t="n">
        <v>5453.302</v>
      </c>
      <c r="T32" s="18" t="n">
        <v>7195.063</v>
      </c>
      <c r="U32" s="18" t="n">
        <v>7336.069</v>
      </c>
      <c r="V32" s="18" t="n">
        <v>7365.845</v>
      </c>
      <c r="W32" s="18" t="n">
        <v>7422.436</v>
      </c>
      <c r="X32" s="18" t="n">
        <v>7592.822</v>
      </c>
      <c r="Y32" s="18" t="n">
        <v>7890.711</v>
      </c>
      <c r="Z32" s="18" t="n">
        <v>8092.176</v>
      </c>
      <c r="AA32" s="18" t="n">
        <v>8531.623</v>
      </c>
      <c r="AB32" s="18" t="n">
        <v>8500.433999999999</v>
      </c>
      <c r="AC32" s="18" t="n">
        <v>9043.696</v>
      </c>
    </row>
    <row r="33">
      <c r="A33" s="4" t="inlineStr">
        <is>
          <t>Total Current Liabilities</t>
        </is>
      </c>
      <c r="B33" s="18" t="n">
        <v>250.87</v>
      </c>
      <c r="C33" s="18" t="n">
        <v>269.136</v>
      </c>
      <c r="D33" s="18" t="n">
        <v>289.138</v>
      </c>
      <c r="E33" s="18" t="n">
        <v>243.531</v>
      </c>
      <c r="F33" s="18" t="n">
        <v>256.353</v>
      </c>
      <c r="G33" s="18" t="n">
        <v>229.642</v>
      </c>
      <c r="H33" s="18" t="n">
        <v>241.161</v>
      </c>
      <c r="I33" s="18" t="n">
        <v>234.675</v>
      </c>
      <c r="J33" s="18" t="n">
        <v>256.758</v>
      </c>
      <c r="K33" s="18" t="n">
        <v>262.217</v>
      </c>
      <c r="L33" s="18" t="n">
        <v>294.88</v>
      </c>
      <c r="M33" s="18" t="n">
        <v>273.88</v>
      </c>
      <c r="N33" s="18" t="n">
        <v>304.192</v>
      </c>
      <c r="O33" s="18" t="n">
        <v>346.445</v>
      </c>
      <c r="P33" s="18" t="n">
        <v>420.859</v>
      </c>
      <c r="Q33" s="18" t="n">
        <v>453.496</v>
      </c>
      <c r="R33" s="18" t="n">
        <v>466.828</v>
      </c>
      <c r="S33" s="18" t="n">
        <v>479.047</v>
      </c>
      <c r="T33" s="18" t="n">
        <v>665.342</v>
      </c>
      <c r="U33" s="18" t="n">
        <v>604.095</v>
      </c>
      <c r="V33" s="18" t="n">
        <v>559.163</v>
      </c>
      <c r="W33" s="18" t="n">
        <v>614.705</v>
      </c>
      <c r="X33" s="18" t="n">
        <v>663.851</v>
      </c>
      <c r="Y33" s="18" t="n">
        <v>618.3390000000001</v>
      </c>
      <c r="Z33" s="18" t="n">
        <v>664.8579999999999</v>
      </c>
      <c r="AA33" s="18" t="n">
        <v>711.316</v>
      </c>
      <c r="AB33" s="18" t="n">
        <v>832.004</v>
      </c>
      <c r="AC33" s="18" t="n">
        <v>810.6</v>
      </c>
    </row>
    <row r="34">
      <c r="A34" s="4" t="inlineStr">
        <is>
          <t>Long-term Debt</t>
        </is>
      </c>
      <c r="B34" s="18" t="n">
        <v>555.525</v>
      </c>
      <c r="C34" s="18" t="n">
        <v>639.304</v>
      </c>
      <c r="D34" s="18" t="n">
        <v>561.049</v>
      </c>
      <c r="E34" s="18" t="n">
        <v>567.864</v>
      </c>
      <c r="F34" s="18" t="n">
        <v>739.188</v>
      </c>
      <c r="G34" s="18" t="n">
        <v>739.016</v>
      </c>
      <c r="H34" s="18" t="n">
        <v>738.7859999999999</v>
      </c>
      <c r="I34" s="18" t="n">
        <v>668.595</v>
      </c>
      <c r="J34" s="18" t="n">
        <v>583.352</v>
      </c>
      <c r="K34" s="18" t="n">
        <v>385.38</v>
      </c>
      <c r="L34" s="18" t="n">
        <v>234.983</v>
      </c>
      <c r="M34" s="18" t="n">
        <v>235.65</v>
      </c>
      <c r="N34" s="18" t="n">
        <v>264.095</v>
      </c>
      <c r="O34" s="18" t="n">
        <v>244.023</v>
      </c>
      <c r="P34" s="18" t="n">
        <v>288.62</v>
      </c>
      <c r="Q34" s="18" t="n">
        <v>781.174</v>
      </c>
      <c r="R34" s="18" t="n">
        <v>735.779</v>
      </c>
      <c r="S34" s="18" t="n">
        <v>1198.484</v>
      </c>
      <c r="T34" s="18" t="n">
        <v>2460.277</v>
      </c>
      <c r="U34" s="18" t="n">
        <v>2495.726</v>
      </c>
      <c r="V34" s="18" t="n">
        <v>2385.267</v>
      </c>
      <c r="W34" s="18" t="n">
        <v>2254.889</v>
      </c>
      <c r="X34" s="18" t="n">
        <v>2225.267</v>
      </c>
      <c r="Y34" s="18" t="n">
        <v>2349.681</v>
      </c>
      <c r="Z34" s="18" t="n">
        <v>2274.362</v>
      </c>
      <c r="AA34" s="18" t="n">
        <v>2443.898</v>
      </c>
      <c r="AB34" s="18" t="n">
        <v>2164.587</v>
      </c>
      <c r="AC34" s="18" t="n">
        <v>2504.285</v>
      </c>
    </row>
    <row r="35">
      <c r="A35" s="4" t="inlineStr">
        <is>
          <t>Total Equity</t>
        </is>
      </c>
      <c r="B35" s="18" t="n">
        <v>1546.886</v>
      </c>
      <c r="C35" s="18" t="n">
        <v>1615.999</v>
      </c>
      <c r="D35" s="18" t="n">
        <v>1666.542</v>
      </c>
      <c r="E35" s="18" t="n">
        <v>1778.646</v>
      </c>
      <c r="F35" s="18" t="n">
        <v>1858.514</v>
      </c>
      <c r="G35" s="18" t="n">
        <v>1921.715</v>
      </c>
      <c r="H35" s="18" t="n">
        <v>1980.177</v>
      </c>
      <c r="I35" s="18" t="n">
        <v>2048.836</v>
      </c>
      <c r="J35" s="18" t="n">
        <v>2127.82</v>
      </c>
      <c r="K35" s="18" t="n">
        <v>2186.929</v>
      </c>
      <c r="L35" s="18" t="n">
        <v>2263.071</v>
      </c>
      <c r="M35" s="18" t="n">
        <v>2305.491</v>
      </c>
      <c r="N35" s="18" t="n">
        <v>2382.036</v>
      </c>
      <c r="O35" s="18" t="n">
        <v>2452.131</v>
      </c>
      <c r="P35" s="18" t="n">
        <v>2606.136</v>
      </c>
      <c r="Q35" s="18" t="n">
        <v>2699.137</v>
      </c>
      <c r="R35" s="18" t="n">
        <v>2817.89</v>
      </c>
      <c r="S35" s="18" t="n">
        <v>2914.367</v>
      </c>
      <c r="T35" s="18" t="n">
        <v>3145.995</v>
      </c>
      <c r="U35" s="18" t="n">
        <v>3266.438</v>
      </c>
      <c r="V35" s="18" t="n">
        <v>3389.427</v>
      </c>
      <c r="W35" s="18" t="n">
        <v>3539.976</v>
      </c>
      <c r="X35" s="18" t="n">
        <v>3636.877</v>
      </c>
      <c r="Y35" s="18" t="n">
        <v>3746.527</v>
      </c>
      <c r="Z35" s="18" t="n">
        <v>3967.551</v>
      </c>
      <c r="AA35" s="18" t="n">
        <v>4141.366</v>
      </c>
      <c r="AB35" s="18" t="n">
        <v>4305.319</v>
      </c>
      <c r="AC35" s="18" t="n">
        <v>4502.687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20.511</v>
      </c>
      <c r="C37" s="18" t="n">
        <v>21.138</v>
      </c>
      <c r="D37" s="18" t="n">
        <v>21.811</v>
      </c>
      <c r="E37" s="18" t="n">
        <v>21.583</v>
      </c>
      <c r="F37" s="18" t="n">
        <v>21.693</v>
      </c>
      <c r="G37" s="18" t="n">
        <v>21.942</v>
      </c>
      <c r="H37" s="18" t="n">
        <v>23.343</v>
      </c>
      <c r="I37" s="18" t="n">
        <v>23.003</v>
      </c>
      <c r="J37" s="18" t="n">
        <v>22.916</v>
      </c>
      <c r="K37" s="18" t="n">
        <v>22.897</v>
      </c>
      <c r="L37" s="18" t="n">
        <v>24.203</v>
      </c>
      <c r="M37" s="18" t="n">
        <v>23.222</v>
      </c>
      <c r="N37" s="18" t="n">
        <v>23.485</v>
      </c>
      <c r="O37" s="18" t="n">
        <v>23.819</v>
      </c>
      <c r="P37" s="18" t="n">
        <v>25.807</v>
      </c>
      <c r="Q37" s="18" t="n">
        <v>27.06</v>
      </c>
      <c r="R37" s="18" t="n">
        <v>29.724</v>
      </c>
      <c r="S37" s="18" t="n">
        <v>29.531</v>
      </c>
      <c r="T37" s="18" t="n">
        <v>43.728</v>
      </c>
      <c r="U37" s="18" t="n">
        <v>43.505</v>
      </c>
      <c r="V37" s="18" t="n">
        <v>42.831</v>
      </c>
      <c r="W37" s="18" t="n">
        <v>44.31</v>
      </c>
      <c r="X37" s="18" t="n">
        <v>44.685</v>
      </c>
      <c r="Y37" s="18" t="n">
        <v>46.225</v>
      </c>
      <c r="Z37" s="18" t="n">
        <v>48.877</v>
      </c>
      <c r="AA37" s="18" t="n">
        <v>49.767</v>
      </c>
      <c r="AB37" s="18" t="n">
        <v>51.207</v>
      </c>
      <c r="AC37" s="18" t="n">
        <v>51.008</v>
      </c>
    </row>
    <row r="38">
      <c r="A38" s="4" t="inlineStr">
        <is>
          <t>Stock-based Compensation</t>
        </is>
      </c>
      <c r="B38" s="18" t="n">
        <v>2.548</v>
      </c>
      <c r="C38" s="18" t="n">
        <v>2.687</v>
      </c>
      <c r="D38" s="18" t="n">
        <v>2.66</v>
      </c>
      <c r="E38" s="18" t="n">
        <v>2.646</v>
      </c>
      <c r="F38" s="18" t="n">
        <v>2.629</v>
      </c>
      <c r="G38" s="18" t="n">
        <v>2.5</v>
      </c>
      <c r="H38" s="18" t="n">
        <v>2.359</v>
      </c>
      <c r="I38" s="18" t="n">
        <v>2.229</v>
      </c>
      <c r="J38" s="18" t="n">
        <v>2.042</v>
      </c>
      <c r="K38" s="18" t="n">
        <v>2.083</v>
      </c>
      <c r="L38" s="18" t="n">
        <v>2.704</v>
      </c>
      <c r="M38" s="18" t="n">
        <v>3.614</v>
      </c>
      <c r="N38" s="18" t="n">
        <v>3.241</v>
      </c>
      <c r="O38" s="18" t="n">
        <v>2.96</v>
      </c>
      <c r="P38" s="18" t="n">
        <v>2.831</v>
      </c>
      <c r="Q38" s="18" t="n">
        <v>2.812</v>
      </c>
      <c r="R38" s="18" t="n">
        <v>3.243</v>
      </c>
      <c r="S38" s="18" t="n">
        <v>4.357</v>
      </c>
      <c r="T38" s="18" t="n">
        <v>5.063</v>
      </c>
      <c r="U38" s="18" t="n">
        <v>4.881</v>
      </c>
      <c r="V38" s="18" t="n">
        <v>4.582</v>
      </c>
      <c r="W38" s="18" t="n">
        <v>4.625</v>
      </c>
      <c r="X38" s="18" t="n">
        <v>4.687</v>
      </c>
      <c r="Y38" s="18" t="n">
        <v>4.671</v>
      </c>
      <c r="Z38" s="18" t="n">
        <v>6</v>
      </c>
      <c r="AA38" s="18" t="n">
        <v>7.675</v>
      </c>
      <c r="AB38" s="18" t="n">
        <v>0</v>
      </c>
      <c r="AC38" s="18" t="n">
        <v>11.296</v>
      </c>
    </row>
    <row r="39">
      <c r="A39" s="4" t="inlineStr">
        <is>
          <t>Change in Working Capital</t>
        </is>
      </c>
      <c r="B39" s="18" t="n">
        <v>17.202</v>
      </c>
      <c r="C39" s="18" t="n">
        <v>24.941</v>
      </c>
      <c r="D39" s="18" t="n">
        <v>7.327</v>
      </c>
      <c r="E39" s="18" t="n">
        <v>-50.753</v>
      </c>
      <c r="F39" s="18" t="n">
        <v>-4.319</v>
      </c>
      <c r="G39" s="18" t="n">
        <v>11.263</v>
      </c>
      <c r="H39" s="18" t="n">
        <v>10.1</v>
      </c>
      <c r="I39" s="18" t="n">
        <v>8.894</v>
      </c>
      <c r="J39" s="18" t="n">
        <v>-0.619</v>
      </c>
      <c r="K39" s="18" t="n">
        <v>20.707</v>
      </c>
      <c r="L39" s="18" t="n">
        <v>-14.679</v>
      </c>
      <c r="M39" s="18" t="n">
        <v>-46.286</v>
      </c>
      <c r="N39" s="18" t="n">
        <v>-27.735</v>
      </c>
      <c r="O39" s="18" t="n">
        <v>21.915</v>
      </c>
      <c r="P39" s="18" t="n">
        <v>6.107</v>
      </c>
      <c r="Q39" s="18" t="n">
        <v>-56.022</v>
      </c>
      <c r="R39" s="18" t="n">
        <v>-47.115</v>
      </c>
      <c r="S39" s="18" t="n">
        <v>11.526</v>
      </c>
      <c r="T39" s="18" t="n">
        <v>-12.238</v>
      </c>
      <c r="U39" s="18" t="n">
        <v>-57.091</v>
      </c>
      <c r="V39" s="18" t="n">
        <v>-73.79300000000001</v>
      </c>
      <c r="W39" s="18" t="n">
        <v>17.453</v>
      </c>
      <c r="X39" s="18" t="n">
        <v>-7.943</v>
      </c>
      <c r="Y39" s="18" t="n">
        <v>-46.649</v>
      </c>
      <c r="Z39" s="18" t="n">
        <v>-30.549</v>
      </c>
      <c r="AA39" s="18" t="n">
        <v>11.736</v>
      </c>
      <c r="AB39" s="18" t="n">
        <v>34.874</v>
      </c>
      <c r="AC39" s="18" t="n">
        <v>-104.07</v>
      </c>
    </row>
    <row r="40">
      <c r="A40" s="4" t="inlineStr">
        <is>
          <t>Operating Cash Flow</t>
        </is>
      </c>
      <c r="B40" s="18" t="n">
        <v>128.687</v>
      </c>
      <c r="C40" s="18" t="n">
        <v>135.146</v>
      </c>
      <c r="D40" s="18" t="n">
        <v>123.979</v>
      </c>
      <c r="E40" s="18" t="n">
        <v>81.136</v>
      </c>
      <c r="F40" s="18" t="n">
        <v>124.746</v>
      </c>
      <c r="G40" s="18" t="n">
        <v>93.089</v>
      </c>
      <c r="H40" s="18" t="n">
        <v>110.154</v>
      </c>
      <c r="I40" s="18" t="n">
        <v>107.199</v>
      </c>
      <c r="J40" s="18" t="n">
        <v>102.913</v>
      </c>
      <c r="K40" s="18" t="n">
        <v>123.991</v>
      </c>
      <c r="L40" s="18" t="n">
        <v>109.981</v>
      </c>
      <c r="M40" s="18" t="n">
        <v>77.98</v>
      </c>
      <c r="N40" s="18" t="n">
        <v>96.773</v>
      </c>
      <c r="O40" s="18" t="n">
        <v>149.157</v>
      </c>
      <c r="P40" s="18" t="n">
        <v>143.946</v>
      </c>
      <c r="Q40" s="18" t="n">
        <v>76.68600000000001</v>
      </c>
      <c r="R40" s="18" t="n">
        <v>77.75</v>
      </c>
      <c r="S40" s="18" t="n">
        <v>145.921</v>
      </c>
      <c r="T40" s="18" t="n">
        <v>148.378</v>
      </c>
      <c r="U40" s="18" t="n">
        <v>111.652</v>
      </c>
      <c r="V40" s="18" t="n">
        <v>141.14</v>
      </c>
      <c r="W40" s="18" t="n">
        <v>213.955</v>
      </c>
      <c r="X40" s="18" t="n">
        <v>205.623</v>
      </c>
      <c r="Y40" s="18" t="n">
        <v>203.034</v>
      </c>
      <c r="Z40" s="18" t="n">
        <v>204.695</v>
      </c>
      <c r="AA40" s="18" t="n">
        <v>231.211</v>
      </c>
      <c r="AB40" s="18" t="n">
        <v>295.326</v>
      </c>
      <c r="AC40" s="18" t="n">
        <v>178.597</v>
      </c>
    </row>
    <row r="41">
      <c r="A41" s="4" t="inlineStr">
        <is>
          <t>Capex</t>
        </is>
      </c>
      <c r="B41" s="18" t="n">
        <v>-6.689</v>
      </c>
      <c r="C41" s="18" t="n">
        <v>-9.074999999999999</v>
      </c>
      <c r="D41" s="18" t="n">
        <v>-7.267</v>
      </c>
      <c r="E41" s="18" t="n">
        <v>-6.85</v>
      </c>
      <c r="F41" s="18" t="n">
        <v>-5.585</v>
      </c>
      <c r="G41" s="18" t="n">
        <v>-5.037</v>
      </c>
      <c r="H41" s="18" t="n">
        <v>-5.468</v>
      </c>
      <c r="I41" s="18" t="n">
        <v>-15.509</v>
      </c>
      <c r="J41" s="18" t="n">
        <v>-6.429</v>
      </c>
      <c r="K41" s="18" t="n">
        <v>-8.186</v>
      </c>
      <c r="L41" s="18" t="n">
        <v>-6.059</v>
      </c>
      <c r="M41" s="18" t="n">
        <v>-8.691000000000001</v>
      </c>
      <c r="N41" s="18" t="n">
        <v>-7.52</v>
      </c>
      <c r="O41" s="18" t="n">
        <v>-8.146000000000001</v>
      </c>
      <c r="P41" s="18" t="n">
        <v>-7.625</v>
      </c>
      <c r="Q41" s="18" t="n">
        <v>-10.846</v>
      </c>
      <c r="R41" s="18" t="n">
        <v>-11.075</v>
      </c>
      <c r="S41" s="18" t="n">
        <v>-12.255</v>
      </c>
      <c r="T41" s="18" t="n">
        <v>-15.258</v>
      </c>
      <c r="U41" s="18" t="n">
        <v>-13.377</v>
      </c>
      <c r="V41" s="18" t="n">
        <v>-12.948</v>
      </c>
      <c r="W41" s="18" t="n">
        <v>-15.85</v>
      </c>
      <c r="X41" s="18" t="n">
        <v>-16.086</v>
      </c>
      <c r="Y41" s="18" t="n">
        <v>-17.335</v>
      </c>
      <c r="Z41" s="18" t="n">
        <v>-15.964</v>
      </c>
      <c r="AA41" s="18" t="n">
        <v>-12.739</v>
      </c>
      <c r="AB41" s="18" t="n">
        <v>-26.848</v>
      </c>
      <c r="AC41" s="18" t="n">
        <v>-13.496</v>
      </c>
    </row>
    <row r="42">
      <c r="A42" s="4" t="inlineStr">
        <is>
          <t>Free Cash Flow</t>
        </is>
      </c>
      <c r="B42" s="18" t="n">
        <v>121.998</v>
      </c>
      <c r="C42" s="18" t="n">
        <v>126.071</v>
      </c>
      <c r="D42" s="18" t="n">
        <v>116.712</v>
      </c>
      <c r="E42" s="18" t="n">
        <v>74.286</v>
      </c>
      <c r="F42" s="18" t="n">
        <v>119.161</v>
      </c>
      <c r="G42" s="18" t="n">
        <v>88.05200000000001</v>
      </c>
      <c r="H42" s="18" t="n">
        <v>104.686</v>
      </c>
      <c r="I42" s="18" t="n">
        <v>91.69</v>
      </c>
      <c r="J42" s="18" t="n">
        <v>96.48399999999999</v>
      </c>
      <c r="K42" s="18" t="n">
        <v>115.805</v>
      </c>
      <c r="L42" s="18" t="n">
        <v>103.922</v>
      </c>
      <c r="M42" s="18" t="n">
        <v>69.289</v>
      </c>
      <c r="N42" s="18" t="n">
        <v>89.253</v>
      </c>
      <c r="O42" s="18" t="n">
        <v>141.011</v>
      </c>
      <c r="P42" s="18" t="n">
        <v>136.321</v>
      </c>
      <c r="Q42" s="18" t="n">
        <v>65.84</v>
      </c>
      <c r="R42" s="18" t="n">
        <v>66.675</v>
      </c>
      <c r="S42" s="18" t="n">
        <v>133.666</v>
      </c>
      <c r="T42" s="18" t="n">
        <v>133.12</v>
      </c>
      <c r="U42" s="18" t="n">
        <v>98.27500000000001</v>
      </c>
      <c r="V42" s="18" t="n">
        <v>128.192</v>
      </c>
      <c r="W42" s="18" t="n">
        <v>198.105</v>
      </c>
      <c r="X42" s="18" t="n">
        <v>189.537</v>
      </c>
      <c r="Y42" s="18" t="n">
        <v>185.699</v>
      </c>
      <c r="Z42" s="18" t="n">
        <v>188.731</v>
      </c>
      <c r="AA42" s="18" t="n">
        <v>218.472</v>
      </c>
      <c r="AB42" s="18" t="n">
        <v>268.478</v>
      </c>
      <c r="AC42" s="18" t="n">
        <v>165.101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5077.42199</v>
      </c>
      <c r="C4" s="18" t="n">
        <v>5515.527408</v>
      </c>
      <c r="D4" s="18" t="n">
        <v>5917.406722</v>
      </c>
      <c r="E4" s="18" t="n">
        <v>6393.398157</v>
      </c>
    </row>
    <row r="5">
      <c r="A5" s="4" t="inlineStr">
        <is>
          <t xml:space="preserve">  model</t>
        </is>
      </c>
      <c r="B5" s="33">
        <f>Model!G10</f>
        <v/>
      </c>
      <c r="C5" s="33">
        <f>Model!H10</f>
        <v/>
      </c>
      <c r="D5" s="33">
        <f>Model!I10</f>
        <v/>
      </c>
      <c r="E5" s="33">
        <f>Model!J10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1414.609618</v>
      </c>
      <c r="C8" s="18" t="n">
        <v>1536.669226</v>
      </c>
      <c r="D8" s="18" t="n">
        <v>1648.635957</v>
      </c>
      <c r="E8" s="18" t="n">
        <v>1781.250906</v>
      </c>
    </row>
    <row r="9">
      <c r="A9" s="4" t="inlineStr">
        <is>
          <t xml:space="preserve">  model</t>
        </is>
      </c>
      <c r="B9" s="33">
        <f>Model!G23+Model!G28</f>
        <v/>
      </c>
      <c r="C9" s="33">
        <f>Model!H23+Model!H28</f>
        <v/>
      </c>
      <c r="D9" s="33">
        <f>Model!I23+Model!I28</f>
        <v/>
      </c>
      <c r="E9" s="33">
        <f>Model!J23+Model!J28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1215.326651</v>
      </c>
      <c r="C12" s="18" t="n">
        <v>1320.191126</v>
      </c>
      <c r="D12" s="18" t="n">
        <v>1416.384556</v>
      </c>
      <c r="E12" s="18" t="n">
        <v>1530.31739</v>
      </c>
    </row>
    <row r="13">
      <c r="A13" s="4" t="inlineStr">
        <is>
          <t xml:space="preserve">  model</t>
        </is>
      </c>
      <c r="B13" s="33">
        <f>Model!G23</f>
        <v/>
      </c>
      <c r="C13" s="33">
        <f>Model!H23</f>
        <v/>
      </c>
      <c r="D13" s="33">
        <f>Model!I23</f>
        <v/>
      </c>
      <c r="E13" s="33">
        <f>Model!J23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875.900412</v>
      </c>
      <c r="C16" s="18" t="n">
        <v>951.477489</v>
      </c>
      <c r="D16" s="18" t="n">
        <v>1020.805242</v>
      </c>
      <c r="E16" s="18" t="n">
        <v>1102.917994</v>
      </c>
    </row>
    <row r="17">
      <c r="A17" s="4" t="inlineStr">
        <is>
          <t xml:space="preserve">  model</t>
        </is>
      </c>
      <c r="B17" s="33">
        <f>Model!G18</f>
        <v/>
      </c>
      <c r="C17" s="33">
        <f>Model!H18</f>
        <v/>
      </c>
      <c r="D17" s="33">
        <f>Model!I18</f>
        <v/>
      </c>
      <c r="E17" s="33">
        <f>Model!J18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790.6912600000001</v>
      </c>
      <c r="C20" s="18" t="n">
        <v>898.2832100000001</v>
      </c>
      <c r="D20" s="18" t="n">
        <v>1013.15912</v>
      </c>
      <c r="E20" s="18" t="n">
        <v>1123.315987</v>
      </c>
    </row>
    <row r="21">
      <c r="A21" s="4" t="inlineStr">
        <is>
          <t xml:space="preserve">  model</t>
        </is>
      </c>
      <c r="B21" s="33">
        <f>Model!G27</f>
        <v/>
      </c>
      <c r="C21" s="33">
        <f>Model!H27</f>
        <v/>
      </c>
      <c r="D21" s="33">
        <f>Model!I27</f>
        <v/>
      </c>
      <c r="E21" s="33">
        <f>Model!J27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5.6356</v>
      </c>
      <c r="C24" s="47" t="n">
        <v>6.30672</v>
      </c>
      <c r="D24" s="47" t="n">
        <v>7.08317</v>
      </c>
      <c r="E24" s="47" t="n">
        <v>7.97974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HEICO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Model!G35</f>
        <v/>
      </c>
      <c r="D12" s="33">
        <f>Model!H35</f>
        <v/>
      </c>
      <c r="E12" s="33">
        <f>Model!I35</f>
        <v/>
      </c>
      <c r="F12" s="33">
        <f>Model!J35</f>
        <v/>
      </c>
      <c r="G12" s="33">
        <f>Model!K35</f>
        <v/>
      </c>
      <c r="H12" s="33">
        <f>Model!L35</f>
        <v/>
      </c>
      <c r="I12" s="33">
        <f>Model!M35</f>
        <v/>
      </c>
      <c r="J12" s="33">
        <f>Model!N35</f>
        <v/>
      </c>
      <c r="K12" s="33">
        <f>Model!O35</f>
        <v/>
      </c>
      <c r="L12" s="33">
        <f>Model!P35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Model!P10</f>
        <v/>
      </c>
    </row>
    <row r="21">
      <c r="A21" s="4" t="inlineStr">
        <is>
          <t>Terminal EBIT</t>
        </is>
      </c>
      <c r="B21" s="33">
        <f>Model!P23</f>
        <v/>
      </c>
    </row>
    <row r="22">
      <c r="A22" s="4" t="inlineStr">
        <is>
          <t>Terminal EBITDA (SBC-burdened)</t>
        </is>
      </c>
      <c r="B22" s="33">
        <f>Model!P23+Model!P28-Model!P29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Financials!AC29</f>
        <v/>
      </c>
    </row>
    <row r="33">
      <c r="A33" s="4" t="inlineStr">
        <is>
          <t>- Long-term debt</t>
        </is>
      </c>
      <c r="B33" s="33">
        <f>-Financials!AC34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0.06843134561886265</v>
      </c>
      <c r="C4" s="51" t="n">
        <v>0.07343134561886265</v>
      </c>
      <c r="D4" s="51" t="n">
        <v>0.07843134561886264</v>
      </c>
      <c r="E4" s="51" t="n">
        <v>0.08343134561886265</v>
      </c>
      <c r="F4" s="51" t="n">
        <v>0.08843134561886265</v>
      </c>
      <c r="G4" s="51" t="n">
        <v>0.09343134561886264</v>
      </c>
      <c r="H4" s="51" t="n">
        <v>0.09843134561886265</v>
      </c>
    </row>
    <row r="5">
      <c r="A5" s="52" t="n">
        <v>9</v>
      </c>
      <c r="B5" s="53" t="n">
        <v>125.1650003238305</v>
      </c>
      <c r="C5" s="53" t="n">
        <v>119.9816740241157</v>
      </c>
      <c r="D5" s="53" t="n">
        <v>115.0361034057613</v>
      </c>
      <c r="E5" s="53" t="n">
        <v>110.3159665665964</v>
      </c>
      <c r="F5" s="53" t="n">
        <v>105.8096422730909</v>
      </c>
      <c r="G5" s="53" t="n">
        <v>101.5061668579525</v>
      </c>
      <c r="H5" s="53" t="n">
        <v>97.39519396098122</v>
      </c>
    </row>
    <row r="6">
      <c r="A6" s="52" t="n">
        <v>10</v>
      </c>
      <c r="B6" s="53" t="n">
        <v>134.0813957614826</v>
      </c>
      <c r="C6" s="53" t="n">
        <v>128.4913455865006</v>
      </c>
      <c r="D6" s="53" t="n">
        <v>123.1593662152459</v>
      </c>
      <c r="E6" s="53" t="n">
        <v>118.0720338166555</v>
      </c>
      <c r="F6" s="53" t="n">
        <v>113.2166896874551</v>
      </c>
      <c r="G6" s="53" t="n">
        <v>108.5813931073131</v>
      </c>
      <c r="H6" s="53" t="n">
        <v>104.1548773076601</v>
      </c>
    </row>
    <row r="7">
      <c r="A7" s="52" t="n">
        <v>11</v>
      </c>
      <c r="B7" s="53" t="n">
        <v>142.9977911991348</v>
      </c>
      <c r="C7" s="53" t="n">
        <v>137.0010171488856</v>
      </c>
      <c r="D7" s="53" t="n">
        <v>131.2826290247305</v>
      </c>
      <c r="E7" s="53" t="n">
        <v>125.8281010667146</v>
      </c>
      <c r="F7" s="53" t="n">
        <v>120.6237371018192</v>
      </c>
      <c r="G7" s="53" t="n">
        <v>115.6566193566736</v>
      </c>
      <c r="H7" s="53" t="n">
        <v>110.914560654339</v>
      </c>
    </row>
    <row r="8">
      <c r="A8" s="52" t="n">
        <v>12</v>
      </c>
      <c r="B8" s="53" t="n">
        <v>151.9141866367868</v>
      </c>
      <c r="C8" s="53" t="n">
        <v>145.5106887112705</v>
      </c>
      <c r="D8" s="53" t="n">
        <v>139.4058918342151</v>
      </c>
      <c r="E8" s="54" t="n">
        <v>133.5841683167737</v>
      </c>
      <c r="F8" s="53" t="n">
        <v>128.0307845161834</v>
      </c>
      <c r="G8" s="53" t="n">
        <v>122.7318456060341</v>
      </c>
      <c r="H8" s="53" t="n">
        <v>117.6742440010178</v>
      </c>
    </row>
    <row r="9">
      <c r="A9" s="52" t="n">
        <v>13</v>
      </c>
      <c r="B9" s="53" t="n">
        <v>160.830582074439</v>
      </c>
      <c r="C9" s="53" t="n">
        <v>154.0203602736554</v>
      </c>
      <c r="D9" s="53" t="n">
        <v>147.5291546436996</v>
      </c>
      <c r="E9" s="53" t="n">
        <v>141.3402355668328</v>
      </c>
      <c r="F9" s="53" t="n">
        <v>135.4378319305476</v>
      </c>
      <c r="G9" s="53" t="n">
        <v>129.8070718553946</v>
      </c>
      <c r="H9" s="53" t="n">
        <v>124.4339273476967</v>
      </c>
    </row>
    <row r="10">
      <c r="A10" s="52" t="n">
        <v>14</v>
      </c>
      <c r="B10" s="53" t="n">
        <v>169.7469775120911</v>
      </c>
      <c r="C10" s="53" t="n">
        <v>162.5300318360403</v>
      </c>
      <c r="D10" s="53" t="n">
        <v>155.6524174531843</v>
      </c>
      <c r="E10" s="53" t="n">
        <v>149.0963028168919</v>
      </c>
      <c r="F10" s="53" t="n">
        <v>142.8448793449118</v>
      </c>
      <c r="G10" s="53" t="n">
        <v>136.8822981047552</v>
      </c>
      <c r="H10" s="53" t="n">
        <v>131.1936106943756</v>
      </c>
    </row>
    <row r="11">
      <c r="A11" s="52" t="n">
        <v>15</v>
      </c>
      <c r="B11" s="53" t="n">
        <v>178.6633729497432</v>
      </c>
      <c r="C11" s="53" t="n">
        <v>171.0397033984252</v>
      </c>
      <c r="D11" s="53" t="n">
        <v>163.7756802626688</v>
      </c>
      <c r="E11" s="53" t="n">
        <v>156.852370066951</v>
      </c>
      <c r="F11" s="53" t="n">
        <v>150.251926759276</v>
      </c>
      <c r="G11" s="53" t="n">
        <v>143.9575243541157</v>
      </c>
      <c r="H11" s="53" t="n">
        <v>137.9532940410544</v>
      </c>
    </row>
    <row r="13">
      <c r="A13" s="3" t="inlineStr">
        <is>
          <t>Current price</t>
        </is>
      </c>
      <c r="B13" s="53" t="n">
        <v>356.2900085449219</v>
      </c>
    </row>
    <row r="14">
      <c r="A14" s="3" t="inlineStr">
        <is>
          <t>Base WACC / multiple</t>
        </is>
      </c>
      <c r="B14" s="55" t="n">
        <v>0.08343134561886265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0.04371774279137507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0.3611900780418206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0.9994767805435035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2026-07-08T07:03:44Z</dcterms:created>
  <dcterms:modified xmlns:dcterms="http://purl.org/dc/terms/" xmlns:xsi="http://www.w3.org/2001/XMLSchema-instance" xsi:type="dcterms:W3CDTF">2026-07-08T07:03:44Z</dcterms:modified>
</cp:coreProperties>
</file>