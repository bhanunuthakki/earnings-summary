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HEICO Corporation (HEI)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HEICO Corporation (HEI)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Flight Support Group</t>
        </is>
      </c>
      <c r="B20" s="50" t="n">
        <v>0.1098076229705809</v>
      </c>
      <c r="C20" s="50" t="n">
        <v>0.05</v>
      </c>
      <c r="D20" s="51" t="n">
        <v>0.1098076229705809</v>
      </c>
      <c r="E20" s="2" t="inlineStr"/>
    </row>
    <row r="21">
      <c r="A21" s="4" t="inlineStr">
        <is>
          <t>Electronic Technologies Group</t>
        </is>
      </c>
      <c r="B21" s="50" t="n">
        <v>0.05749914506366557</v>
      </c>
      <c r="C21" s="50" t="n">
        <v>0.05</v>
      </c>
      <c r="D21" s="51" t="n">
        <v>0.05749914506366557</v>
      </c>
      <c r="E21" s="2" t="inlineStr"/>
    </row>
    <row r="22">
      <c r="A22" s="4" t="inlineStr">
        <is>
          <t>Corporate And Eliminations</t>
        </is>
      </c>
      <c r="B22" s="50" t="n">
        <v>0.2089111662365971</v>
      </c>
      <c r="C22" s="50" t="n">
        <v>0.05</v>
      </c>
      <c r="D22" s="51" t="n">
        <v>0.2089111662365971</v>
      </c>
      <c r="E22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0.2049038348380623</v>
      </c>
      <c r="D29" s="51" t="n">
        <v>0.2049038348380623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0.2311833730701577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80.1746</v>
      </c>
      <c r="D34" s="18" t="n">
        <v>80.1746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0.953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329.4599914550781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Flight Support Group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Electronic Technologies Group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Corporate And Eliminations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SUM(Financials!I5:L5)</f>
        <v/>
      </c>
      <c r="C14" s="28">
        <f>SUM(Financials!M5:P5)</f>
        <v/>
      </c>
      <c r="D14" s="28">
        <f>SUM(Financials!Q5:T5)</f>
        <v/>
      </c>
      <c r="E14" s="28">
        <f>SUM(Financials!U5:X5)</f>
        <v/>
      </c>
      <c r="F14" s="28">
        <f>SUM(Financials!Y5:AB5)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0.5891210877752816</v>
      </c>
      <c r="H15" s="50" t="n">
        <v>0.5891210877752816</v>
      </c>
      <c r="I15" s="50" t="n">
        <v>0.5891210877752816</v>
      </c>
      <c r="J15" s="50" t="n">
        <v>0.5891210877752816</v>
      </c>
      <c r="K15" s="50" t="n">
        <v>0.5891210877752816</v>
      </c>
      <c r="L15" s="50" t="n">
        <v>0.5891210877752816</v>
      </c>
      <c r="M15" s="50" t="n">
        <v>0.5891210877752816</v>
      </c>
      <c r="N15" s="50" t="n">
        <v>0.5891210877752816</v>
      </c>
      <c r="O15" s="50" t="n">
        <v>0.5891210877752816</v>
      </c>
      <c r="P15" s="50" t="n">
        <v>0.5891210877752816</v>
      </c>
    </row>
    <row r="16">
      <c r="A16" s="4" t="inlineStr">
        <is>
          <t>R&amp;D / Technology</t>
        </is>
      </c>
      <c r="B16" s="28">
        <f>SUM(Financials!I7:L7)</f>
        <v/>
      </c>
      <c r="C16" s="28">
        <f>SUM(Financials!M7:P7)</f>
        <v/>
      </c>
      <c r="D16" s="28">
        <f>SUM(Financials!Q7:T7)</f>
        <v/>
      </c>
      <c r="E16" s="28">
        <f>SUM(Financials!U7:X7)</f>
        <v/>
      </c>
      <c r="F16" s="28">
        <f>SUM(Financials!Y7:AB7)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0.01968208115684038</v>
      </c>
      <c r="H17" s="50" t="n">
        <v>0.01968208115684038</v>
      </c>
      <c r="I17" s="50" t="n">
        <v>0.01968208115684038</v>
      </c>
      <c r="J17" s="50" t="n">
        <v>0.01968208115684038</v>
      </c>
      <c r="K17" s="50" t="n">
        <v>0.01968208115684038</v>
      </c>
      <c r="L17" s="50" t="n">
        <v>0.01968208115684038</v>
      </c>
      <c r="M17" s="50" t="n">
        <v>0.01968208115684038</v>
      </c>
      <c r="N17" s="50" t="n">
        <v>0.01968208115684038</v>
      </c>
      <c r="O17" s="50" t="n">
        <v>0.01968208115684038</v>
      </c>
      <c r="P17" s="50" t="n">
        <v>0.01968208115684038</v>
      </c>
    </row>
    <row r="18">
      <c r="A18" s="4" t="inlineStr">
        <is>
          <t>SG&amp;A</t>
        </is>
      </c>
      <c r="B18" s="28">
        <f>SUM(Financials!I9:L9)</f>
        <v/>
      </c>
      <c r="C18" s="28">
        <f>SUM(Financials!M9:P9)</f>
        <v/>
      </c>
      <c r="D18" s="28">
        <f>SUM(Financials!Q9:T9)</f>
        <v/>
      </c>
      <c r="E18" s="28">
        <f>SUM(Financials!U9:X9)</f>
        <v/>
      </c>
      <c r="F18" s="28">
        <f>SUM(Financials!Y9:AB9)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0.1694770441493997</v>
      </c>
      <c r="H19" s="50" t="n">
        <v>0.1694770441493997</v>
      </c>
      <c r="I19" s="50" t="n">
        <v>0.1694770441493997</v>
      </c>
      <c r="J19" s="50" t="n">
        <v>0.1694770441493997</v>
      </c>
      <c r="K19" s="50" t="n">
        <v>0.1694770441493997</v>
      </c>
      <c r="L19" s="50" t="n">
        <v>0.1694770441493997</v>
      </c>
      <c r="M19" s="50" t="n">
        <v>0.1694770441493997</v>
      </c>
      <c r="N19" s="50" t="n">
        <v>0.1694770441493997</v>
      </c>
      <c r="O19" s="50" t="n">
        <v>0.1694770441493997</v>
      </c>
      <c r="P19" s="50" t="n">
        <v>0.1694770441493997</v>
      </c>
    </row>
    <row r="20">
      <c r="A20" s="4" t="inlineStr">
        <is>
          <t>Other opex (fulfilment, etc.)</t>
        </is>
      </c>
      <c r="B20" s="28">
        <f>B10-(B14+B16+B18)-SUM(Financials!I13:L13)</f>
        <v/>
      </c>
      <c r="C20" s="28">
        <f>C10-(C14+C16+C18)-SUM(Financials!M13:P13)</f>
        <v/>
      </c>
      <c r="D20" s="28">
        <f>D10-(D14+D16+D18)-SUM(Financials!Q13:T13)</f>
        <v/>
      </c>
      <c r="E20" s="28">
        <f>E10-(E14+E16+E18)-SUM(Financials!U13:X13)</f>
        <v/>
      </c>
      <c r="F20" s="28">
        <f>F10-(F14+F16+F18)-SUM(Financials!Y13:AB13)</f>
        <v/>
      </c>
      <c r="G20" s="28">
        <f>G10*(1-(Dashboard!$B$29+(Dashboard!$B$30-Dashboard!$B$29)*MIN(1,0/3)))-(G14+G16+G18)</f>
        <v/>
      </c>
      <c r="H20" s="28">
        <f>H10*(1-(Dashboard!$B$29+(Dashboard!$B$30-Dashboard!$B$29)*MIN(1,1/3)))-(H14+H16+H18)</f>
        <v/>
      </c>
      <c r="I20" s="28">
        <f>I10*(1-(Dashboard!$B$29+(Dashboard!$B$30-Dashboard!$B$29)*MIN(1,2/3)))-(I14+I16+I18)</f>
        <v/>
      </c>
      <c r="J20" s="28">
        <f>J10*(1-(Dashboard!$B$29+(Dashboard!$B$30-Dashboard!$B$29)*MIN(1,3/3)))-(J14+J16+J18)</f>
        <v/>
      </c>
      <c r="K20" s="28">
        <f>K10*(1-(Dashboard!$B$29+(Dashboard!$B$30-Dashboard!$B$29)*MIN(1,4/3)))-(K14+K16+K18)</f>
        <v/>
      </c>
      <c r="L20" s="28">
        <f>L10*(1-(Dashboard!$B$29+(Dashboard!$B$30-Dashboard!$B$29)*MIN(1,5/3)))-(L14+L16+L18)</f>
        <v/>
      </c>
      <c r="M20" s="28">
        <f>M10*(1-(Dashboard!$B$29+(Dashboard!$B$30-Dashboard!$B$29)*MIN(1,6/3)))-(M14+M16+M18)</f>
        <v/>
      </c>
      <c r="N20" s="28">
        <f>N10*(1-(Dashboard!$B$29+(Dashboard!$B$30-Dashboard!$B$29)*MIN(1,7/3)))-(N14+N16+N18)</f>
        <v/>
      </c>
      <c r="O20" s="28">
        <f>O10*(1-(Dashboard!$B$29+(Dashboard!$B$30-Dashboard!$B$29)*MIN(1,8/3)))-(O14+O16+O18)</f>
        <v/>
      </c>
      <c r="P20" s="28">
        <f>P10*(1-(Dashboard!$B$29+(Dashboard!$B$30-Dashboard!$B$29)*MIN(1,9/3)))-(P14+P16+P18)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SUM(Financials!I37:L37)</f>
        <v/>
      </c>
      <c r="C28" s="28">
        <f>SUM(Financials!M37:P37)</f>
        <v/>
      </c>
      <c r="D28" s="28">
        <f>SUM(Financials!Q37:T37)</f>
        <v/>
      </c>
      <c r="E28" s="28">
        <f>SUM(Financials!U37:X37)</f>
        <v/>
      </c>
      <c r="F28" s="28">
        <f>SUM(Financials!Y37:AB37)</f>
        <v/>
      </c>
      <c r="G28" s="32">
        <f>G10*0.0437</f>
        <v/>
      </c>
      <c r="H28" s="32">
        <f>H10*0.0437</f>
        <v/>
      </c>
      <c r="I28" s="32">
        <f>I10*0.0437</f>
        <v/>
      </c>
      <c r="J28" s="32">
        <f>J10*0.0437</f>
        <v/>
      </c>
      <c r="K28" s="32">
        <f>K10*0.0437</f>
        <v/>
      </c>
      <c r="L28" s="32">
        <f>L10*0.0437</f>
        <v/>
      </c>
      <c r="M28" s="32">
        <f>M10*0.0437</f>
        <v/>
      </c>
      <c r="N28" s="32">
        <f>N10*0.0437</f>
        <v/>
      </c>
      <c r="O28" s="32">
        <f>O10*0.0437</f>
        <v/>
      </c>
      <c r="P28" s="32">
        <f>P10*0.0437</f>
        <v/>
      </c>
    </row>
    <row r="29">
      <c r="A29" s="4" t="inlineStr">
        <is>
          <t>+ SBC (non-cash)</t>
        </is>
      </c>
      <c r="B29" s="28">
        <f>SUM(Financials!I38:L38)</f>
        <v/>
      </c>
      <c r="C29" s="28">
        <f>SUM(Financials!M38:P38)</f>
        <v/>
      </c>
      <c r="D29" s="28">
        <f>SUM(Financials!Q38:T38)</f>
        <v/>
      </c>
      <c r="E29" s="28">
        <f>SUM(Financials!U38:X38)</f>
        <v/>
      </c>
      <c r="F29" s="28">
        <f>SUM(Financials!Y38:AB38)</f>
        <v/>
      </c>
      <c r="G29" s="32">
        <f>G10*0.0041</f>
        <v/>
      </c>
      <c r="H29" s="32">
        <f>H10*0.0039</f>
        <v/>
      </c>
      <c r="I29" s="32">
        <f>I10*0.0037</f>
        <v/>
      </c>
      <c r="J29" s="32">
        <f>J10*0.0035</f>
        <v/>
      </c>
      <c r="K29" s="32">
        <f>K10*0.0034</f>
        <v/>
      </c>
      <c r="L29" s="32">
        <f>L10*0.0032</f>
        <v/>
      </c>
      <c r="M29" s="32">
        <f>M10*0.0030</f>
        <v/>
      </c>
      <c r="N29" s="32">
        <f>N10*0.0028</f>
        <v/>
      </c>
      <c r="O29" s="32">
        <f>O10*0.0026</f>
        <v/>
      </c>
      <c r="P29" s="32">
        <f>P10*0.0025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-SUM(Financials!I41:L41)</f>
        <v/>
      </c>
      <c r="C31" s="28">
        <f>-SUM(Financials!M41:P41)</f>
        <v/>
      </c>
      <c r="D31" s="28">
        <f>-SUM(Financials!Q41:T41)</f>
        <v/>
      </c>
      <c r="E31" s="28">
        <f>-SUM(Financials!U41:X41)</f>
        <v/>
      </c>
      <c r="F31" s="28">
        <f>-SUM(Financials!Y41:AB41)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Financials!L35+Financials!L34-Financials!L29</f>
        <v/>
      </c>
      <c r="C38" s="28">
        <f>Financials!P35+Financials!P34-Financials!P29</f>
        <v/>
      </c>
      <c r="D38" s="28">
        <f>Financials!T35+Financials!T34-Financials!T29</f>
        <v/>
      </c>
      <c r="E38" s="28">
        <f>Financials!X35+Financials!X34-Financials!X29</f>
        <v/>
      </c>
      <c r="F38" s="28">
        <f>Financials!AB35+Financials!AB34-Financials!AB29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Financials!L35</f>
        <v/>
      </c>
      <c r="C39" s="28">
        <f>Financials!P35</f>
        <v/>
      </c>
      <c r="D39" s="28">
        <f>Financials!T35</f>
        <v/>
      </c>
      <c r="E39" s="28">
        <f>Financials!X35</f>
        <v/>
      </c>
      <c r="F39" s="28">
        <f>Financials!AB35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IFERROR(SUM(Financials!M15:P15)/B39,"")</f>
        <v/>
      </c>
      <c r="D41" s="48">
        <f>IFERROR(SUM(Financials!Q15:T15)/C39,"")</f>
        <v/>
      </c>
      <c r="E41" s="48">
        <f>IFERROR(SUM(Financials!U15:X15)/D39,"")</f>
        <v/>
      </c>
      <c r="F41" s="48">
        <f>IFERROR(SUM(Financials!Y15:AB15)/E39,"")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515.648</v>
      </c>
      <c r="C3" s="18" t="n">
        <v>532.324</v>
      </c>
      <c r="D3" s="18" t="n">
        <v>541.529</v>
      </c>
      <c r="E3" s="18" t="n">
        <v>506.275</v>
      </c>
      <c r="F3" s="18" t="n">
        <v>468.146</v>
      </c>
      <c r="G3" s="18" t="n">
        <v>386.41</v>
      </c>
      <c r="H3" s="18" t="n">
        <v>426.178</v>
      </c>
      <c r="I3" s="18" t="n">
        <v>417.902</v>
      </c>
      <c r="J3" s="18" t="n">
        <v>466.651</v>
      </c>
      <c r="K3" s="18" t="n">
        <v>471.707</v>
      </c>
      <c r="L3" s="18" t="n">
        <v>509.422</v>
      </c>
      <c r="M3" s="18" t="n">
        <v>490.343</v>
      </c>
      <c r="N3" s="18" t="n">
        <v>538.813</v>
      </c>
      <c r="O3" s="18" t="n">
        <v>569.528</v>
      </c>
      <c r="P3" s="18" t="n">
        <v>609.638</v>
      </c>
      <c r="Q3" s="18" t="n">
        <v>620.915</v>
      </c>
      <c r="R3" s="18" t="n">
        <v>687.841</v>
      </c>
      <c r="S3" s="18" t="n">
        <v>722.902</v>
      </c>
      <c r="T3" s="18" t="n">
        <v>936.447</v>
      </c>
      <c r="U3" s="18" t="n">
        <v>896.3630000000001</v>
      </c>
      <c r="V3" s="18" t="n">
        <v>955.395</v>
      </c>
      <c r="W3" s="18" t="n">
        <v>992.246</v>
      </c>
      <c r="X3" s="18" t="n">
        <v>1013.665</v>
      </c>
      <c r="Y3" s="18" t="n">
        <v>1030.222</v>
      </c>
      <c r="Z3" s="18" t="n">
        <v>1097.82</v>
      </c>
      <c r="AA3" s="18" t="n">
        <v>1147.591</v>
      </c>
      <c r="AB3" s="18" t="n">
        <v>1209.411</v>
      </c>
      <c r="AC3" s="18" t="n">
        <v>1178.582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289.412</v>
      </c>
      <c r="C5" s="18" t="n">
        <v>302.845</v>
      </c>
      <c r="D5" s="18" t="n">
        <v>314.211</v>
      </c>
      <c r="E5" s="18" t="n">
        <v>291.125</v>
      </c>
      <c r="F5" s="18" t="n">
        <v>272.504</v>
      </c>
      <c r="G5" s="18" t="n">
        <v>227.814</v>
      </c>
      <c r="H5" s="18" t="n">
        <v>247.88</v>
      </c>
      <c r="I5" s="18" t="n">
        <v>243.287</v>
      </c>
      <c r="J5" s="18" t="n">
        <v>268.856</v>
      </c>
      <c r="K5" s="18" t="n">
        <v>269.014</v>
      </c>
      <c r="L5" s="18" t="n">
        <v>288.225</v>
      </c>
      <c r="M5" s="18" t="n">
        <v>281.737</v>
      </c>
      <c r="N5" s="18" t="n">
        <v>308.833</v>
      </c>
      <c r="O5" s="18" t="n">
        <v>329.934</v>
      </c>
      <c r="P5" s="18" t="n">
        <v>348.998</v>
      </c>
      <c r="Q5" s="18" t="n">
        <v>356.878</v>
      </c>
      <c r="R5" s="18" t="n">
        <v>398.433</v>
      </c>
      <c r="S5" s="18" t="n">
        <v>418.803</v>
      </c>
      <c r="T5" s="18" t="n">
        <v>544.73</v>
      </c>
      <c r="U5" s="18" t="n">
        <v>524.498</v>
      </c>
      <c r="V5" s="18" t="n">
        <v>555.665</v>
      </c>
      <c r="W5" s="18" t="n">
        <v>573.197</v>
      </c>
      <c r="X5" s="18" t="n">
        <v>591.318</v>
      </c>
      <c r="Y5" s="18" t="n">
        <v>596.955</v>
      </c>
      <c r="Z5" s="18" t="n">
        <v>631.275</v>
      </c>
      <c r="AA5" s="18" t="n">
        <v>690.434</v>
      </c>
      <c r="AB5" s="18" t="n">
        <v>723.5700000000001</v>
      </c>
      <c r="AC5" s="18" t="n">
        <v>723.6180000000001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16.849</v>
      </c>
      <c r="C7" s="18" t="n">
        <v>16.648</v>
      </c>
      <c r="D7" s="18" t="n">
        <v>17.933</v>
      </c>
      <c r="E7" s="18" t="n">
        <v>17.103</v>
      </c>
      <c r="F7" s="18" t="n">
        <v>16.751999</v>
      </c>
      <c r="G7" s="18" t="n">
        <v>15.113</v>
      </c>
      <c r="H7" s="18" t="n">
        <v>16.591</v>
      </c>
      <c r="I7" s="18" t="n">
        <v>16.181</v>
      </c>
      <c r="J7" s="18" t="n">
        <v>18.022</v>
      </c>
      <c r="K7" s="18" t="n">
        <v>17.976</v>
      </c>
      <c r="L7" s="18" t="n">
        <v>16.698</v>
      </c>
      <c r="M7" s="18" t="n">
        <v>18.396</v>
      </c>
      <c r="N7" s="18" t="n">
        <v>18.751</v>
      </c>
      <c r="O7" s="18" t="n">
        <v>18.657</v>
      </c>
      <c r="P7" s="18" t="n">
        <v>20.257</v>
      </c>
      <c r="Q7" s="18" t="n">
        <v>20.238</v>
      </c>
      <c r="R7" s="18" t="n">
        <v>22.896</v>
      </c>
      <c r="S7" s="18" t="n">
        <v>25.365</v>
      </c>
      <c r="T7" s="18" t="n">
        <v>27.274</v>
      </c>
      <c r="U7" s="18" t="n">
        <v>25.096</v>
      </c>
      <c r="V7" s="18" t="n">
        <v>27.935</v>
      </c>
      <c r="W7" s="18" t="n">
        <v>29.779</v>
      </c>
      <c r="X7" s="18" t="n">
        <v>28.455</v>
      </c>
      <c r="Y7" s="18" t="n">
        <v>27.605</v>
      </c>
      <c r="Z7" s="18" t="n">
        <v>28.741</v>
      </c>
      <c r="AA7" s="18" t="n">
        <v>31.929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88.94499999999999</v>
      </c>
      <c r="C9" s="18" t="n">
        <v>92.771</v>
      </c>
      <c r="D9" s="18" t="n">
        <v>89.93600000000001</v>
      </c>
      <c r="E9" s="18" t="n">
        <v>86.649</v>
      </c>
      <c r="F9" s="18" t="n">
        <v>69.97</v>
      </c>
      <c r="G9" s="18" t="n">
        <v>76.027</v>
      </c>
      <c r="H9" s="18" t="n">
        <v>72.318</v>
      </c>
      <c r="I9" s="18" t="n">
        <v>77.304</v>
      </c>
      <c r="J9" s="18" t="n">
        <v>82.387</v>
      </c>
      <c r="K9" s="18" t="n">
        <v>82.581</v>
      </c>
      <c r="L9" s="18" t="n">
        <v>88.625</v>
      </c>
      <c r="M9" s="18" t="n">
        <v>88.283</v>
      </c>
      <c r="N9" s="18" t="n">
        <v>90.23</v>
      </c>
      <c r="O9" s="18" t="n">
        <v>94.613</v>
      </c>
      <c r="P9" s="18" t="n">
        <v>98.146</v>
      </c>
      <c r="Q9" s="18" t="n">
        <v>112.774</v>
      </c>
      <c r="R9" s="18" t="n">
        <v>109.02</v>
      </c>
      <c r="S9" s="18" t="n">
        <v>129.770999</v>
      </c>
      <c r="T9" s="18" t="n">
        <v>159.431</v>
      </c>
      <c r="U9" s="18" t="n">
        <v>165.181</v>
      </c>
      <c r="V9" s="18" t="n">
        <v>169.239</v>
      </c>
      <c r="W9" s="18" t="n">
        <v>178.488</v>
      </c>
      <c r="X9" s="18" t="n">
        <v>154.524</v>
      </c>
      <c r="Y9" s="18" t="n">
        <v>175.275</v>
      </c>
      <c r="Z9" s="18" t="n">
        <v>185.88</v>
      </c>
      <c r="AA9" s="18" t="n">
        <v>192.138</v>
      </c>
      <c r="AB9" s="18" t="n">
        <v>206.819</v>
      </c>
      <c r="AC9" s="18" t="n">
        <v>195.065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226.236</v>
      </c>
      <c r="C11" s="18" t="n">
        <v>229.479</v>
      </c>
      <c r="D11" s="18" t="n">
        <v>227.318</v>
      </c>
      <c r="E11" s="18" t="n">
        <v>215.15</v>
      </c>
      <c r="F11" s="18" t="n">
        <v>195.642</v>
      </c>
      <c r="G11" s="18" t="n">
        <v>158.596</v>
      </c>
      <c r="H11" s="18" t="n">
        <v>178.298</v>
      </c>
      <c r="I11" s="18" t="n">
        <v>174.615</v>
      </c>
      <c r="J11" s="18" t="n">
        <v>197.795</v>
      </c>
      <c r="K11" s="18" t="n">
        <v>202.693</v>
      </c>
      <c r="L11" s="18" t="n">
        <v>221.197</v>
      </c>
      <c r="M11" s="18" t="n">
        <v>208.606</v>
      </c>
      <c r="N11" s="18" t="n">
        <v>229.98</v>
      </c>
      <c r="O11" s="18" t="n">
        <v>239.594</v>
      </c>
      <c r="P11" s="18" t="n">
        <v>260.64</v>
      </c>
      <c r="Q11" s="18" t="n">
        <v>264.036999</v>
      </c>
      <c r="R11" s="18" t="n">
        <v>289.408</v>
      </c>
      <c r="S11" s="18" t="n">
        <v>304.099</v>
      </c>
      <c r="T11" s="18" t="n">
        <v>391.717</v>
      </c>
      <c r="U11" s="18" t="n">
        <v>371.865</v>
      </c>
      <c r="V11" s="18" t="n">
        <v>399.73</v>
      </c>
      <c r="W11" s="18" t="n">
        <v>419.049</v>
      </c>
      <c r="X11" s="18" t="n">
        <v>422.347</v>
      </c>
      <c r="Y11" s="18" t="n">
        <v>433.267</v>
      </c>
      <c r="Z11" s="18" t="n">
        <v>466.545</v>
      </c>
      <c r="AA11" s="18" t="n">
        <v>457.157</v>
      </c>
      <c r="AB11" s="18" t="n">
        <v>485.841</v>
      </c>
      <c r="AC11" s="18" t="n">
        <v>454.964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120.442</v>
      </c>
      <c r="C13" s="18" t="n">
        <v>120.06</v>
      </c>
      <c r="D13" s="18" t="n">
        <v>119.449</v>
      </c>
      <c r="E13" s="18" t="n">
        <v>111.398</v>
      </c>
      <c r="F13" s="18" t="n">
        <v>108.92</v>
      </c>
      <c r="G13" s="18" t="n">
        <v>67.456</v>
      </c>
      <c r="H13" s="18" t="n">
        <v>89.389</v>
      </c>
      <c r="I13" s="18" t="n">
        <v>81.13</v>
      </c>
      <c r="J13" s="18" t="n">
        <v>97.386</v>
      </c>
      <c r="K13" s="18" t="n">
        <v>102.136</v>
      </c>
      <c r="L13" s="18" t="n">
        <v>115.874</v>
      </c>
      <c r="M13" s="18" t="n">
        <v>101.927</v>
      </c>
      <c r="N13" s="18" t="n">
        <v>120.999</v>
      </c>
      <c r="O13" s="18" t="n">
        <v>126.324</v>
      </c>
      <c r="P13" s="18" t="n">
        <v>142.237</v>
      </c>
      <c r="Q13" s="18" t="n">
        <v>131.025</v>
      </c>
      <c r="R13" s="18" t="n">
        <v>157.492</v>
      </c>
      <c r="S13" s="18" t="n">
        <v>148.963</v>
      </c>
      <c r="T13" s="18" t="n">
        <v>205.012</v>
      </c>
      <c r="U13" s="18" t="n">
        <v>181.588</v>
      </c>
      <c r="V13" s="18" t="n">
        <v>202.556</v>
      </c>
      <c r="W13" s="18" t="n">
        <v>210.782</v>
      </c>
      <c r="X13" s="18" t="n">
        <v>239.368</v>
      </c>
      <c r="Y13" s="18" t="n">
        <v>230.387</v>
      </c>
      <c r="Z13" s="18" t="n">
        <v>251.924</v>
      </c>
      <c r="AA13" s="18" t="n">
        <v>265.019</v>
      </c>
      <c r="AB13" s="18" t="n">
        <v>279.022</v>
      </c>
      <c r="AC13" s="18" t="n">
        <v>259.899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81.782</v>
      </c>
      <c r="C15" s="18" t="n">
        <v>81.098</v>
      </c>
      <c r="D15" s="18" t="n">
        <v>85.684</v>
      </c>
      <c r="E15" s="18" t="n">
        <v>121.888</v>
      </c>
      <c r="F15" s="18" t="n">
        <v>75.453</v>
      </c>
      <c r="G15" s="18" t="n">
        <v>54.316</v>
      </c>
      <c r="H15" s="18" t="n">
        <v>62.327</v>
      </c>
      <c r="I15" s="18" t="n">
        <v>70.596</v>
      </c>
      <c r="J15" s="18" t="n">
        <v>70.673</v>
      </c>
      <c r="K15" s="18" t="n">
        <v>76.889</v>
      </c>
      <c r="L15" s="18" t="n">
        <v>86.062</v>
      </c>
      <c r="M15" s="18" t="n">
        <v>86.92100000000001</v>
      </c>
      <c r="N15" s="18" t="n">
        <v>85.01000000000001</v>
      </c>
      <c r="O15" s="18" t="n">
        <v>82.54000000000001</v>
      </c>
      <c r="P15" s="18" t="n">
        <v>97.20399999999999</v>
      </c>
      <c r="Q15" s="18" t="n">
        <v>93.027</v>
      </c>
      <c r="R15" s="18" t="n">
        <v>105.12</v>
      </c>
      <c r="S15" s="18" t="n">
        <v>102.023</v>
      </c>
      <c r="T15" s="18" t="n">
        <v>103.426</v>
      </c>
      <c r="U15" s="18" t="n">
        <v>114.698</v>
      </c>
      <c r="V15" s="18" t="n">
        <v>123.146</v>
      </c>
      <c r="W15" s="18" t="n">
        <v>136.577</v>
      </c>
      <c r="X15" s="18" t="n">
        <v>139.688</v>
      </c>
      <c r="Y15" s="18" t="n">
        <v>167.955</v>
      </c>
      <c r="Z15" s="18" t="n">
        <v>156.793</v>
      </c>
      <c r="AA15" s="18" t="n">
        <v>177.341</v>
      </c>
      <c r="AB15" s="18" t="n">
        <v>188.296</v>
      </c>
      <c r="AC15" s="18" t="n">
        <v>190.188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137.206</v>
      </c>
      <c r="C17" s="18" t="n">
        <v>137.634</v>
      </c>
      <c r="D17" s="18" t="n">
        <v>137.579</v>
      </c>
      <c r="E17" s="18" t="n">
        <v>137.421</v>
      </c>
      <c r="F17" s="18" t="n">
        <v>137.117</v>
      </c>
      <c r="G17" s="18" t="n">
        <v>137.234</v>
      </c>
      <c r="H17" s="18" t="n">
        <v>137.438</v>
      </c>
      <c r="I17" s="18" t="n">
        <v>137.742</v>
      </c>
      <c r="J17" s="18" t="n">
        <v>137.814</v>
      </c>
      <c r="K17" s="18" t="n">
        <v>137.957</v>
      </c>
      <c r="L17" s="18" t="n">
        <v>137.905</v>
      </c>
      <c r="M17" s="18" t="n">
        <v>137.966</v>
      </c>
      <c r="N17" s="18" t="n">
        <v>137.867</v>
      </c>
      <c r="O17" s="18" t="n">
        <v>137.837</v>
      </c>
      <c r="P17" s="18" t="n">
        <v>138.478</v>
      </c>
      <c r="Q17" s="18" t="n">
        <v>138.579</v>
      </c>
      <c r="R17" s="18" t="n">
        <v>138.6</v>
      </c>
      <c r="S17" s="18" t="n">
        <v>138.668</v>
      </c>
      <c r="T17" s="18" t="n">
        <v>139.774</v>
      </c>
      <c r="U17" s="18" t="n">
        <v>139.893</v>
      </c>
      <c r="V17" s="18" t="n">
        <v>140.059</v>
      </c>
      <c r="W17" s="18" t="n">
        <v>140.305</v>
      </c>
      <c r="X17" s="18" t="n">
        <v>140.536</v>
      </c>
      <c r="Y17" s="18" t="n">
        <v>140.484</v>
      </c>
      <c r="Z17" s="18" t="n">
        <v>140.599</v>
      </c>
      <c r="AA17" s="18" t="n">
        <v>140.95</v>
      </c>
      <c r="AB17" s="18" t="n">
        <v>141.05</v>
      </c>
      <c r="AC17" s="18" t="n">
        <v>141.029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Flight Support Group</t>
        </is>
      </c>
      <c r="B19" s="18" t="n">
        <v>308.251</v>
      </c>
      <c r="C19" s="18" t="n">
        <v>320.016</v>
      </c>
      <c r="D19" s="18" t="n">
        <v>324.703</v>
      </c>
      <c r="E19" s="18" t="n">
        <v>301.067</v>
      </c>
      <c r="F19" s="18" t="n">
        <v>251.964</v>
      </c>
      <c r="G19" s="18" t="n">
        <v>178.158</v>
      </c>
      <c r="H19" s="18" t="n">
        <v>193.623</v>
      </c>
      <c r="I19" s="18" t="n">
        <v>199.334</v>
      </c>
      <c r="J19" s="18" t="n">
        <v>230.28</v>
      </c>
      <c r="K19" s="18" t="n">
        <v>237.118</v>
      </c>
      <c r="L19" s="18" t="n">
        <v>260.357</v>
      </c>
      <c r="M19" s="18" t="n">
        <v>272.681</v>
      </c>
      <c r="N19" s="18" t="n">
        <v>306.313</v>
      </c>
      <c r="O19" s="18" t="n">
        <v>330.259</v>
      </c>
      <c r="P19" s="18" t="n">
        <v>345.959</v>
      </c>
      <c r="Q19" s="18" t="n">
        <v>371.278</v>
      </c>
      <c r="T19" s="18" t="n">
        <v>1398.907</v>
      </c>
      <c r="U19" s="18" t="n">
        <v>618.716</v>
      </c>
      <c r="V19" s="18" t="n">
        <v>647.232</v>
      </c>
      <c r="W19" s="18" t="n">
        <v>681.626</v>
      </c>
      <c r="X19" s="18" t="n">
        <v>691.78</v>
      </c>
      <c r="Y19" s="18" t="n">
        <v>713.174</v>
      </c>
      <c r="Z19" s="18" t="n">
        <v>767.0700000000001</v>
      </c>
      <c r="AB19" s="18" t="n">
        <v>1637.033</v>
      </c>
      <c r="AC19" s="18" t="n">
        <v>820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Electronic Technologies Group</t>
        </is>
      </c>
      <c r="B22" s="18" t="n">
        <v>214.451</v>
      </c>
      <c r="C22" s="18" t="n">
        <v>216.129</v>
      </c>
      <c r="D22" s="18" t="n">
        <v>219.513</v>
      </c>
      <c r="E22" s="18" t="n">
        <v>208.411</v>
      </c>
      <c r="F22" s="18" t="n">
        <v>218.955</v>
      </c>
      <c r="G22" s="18" t="n">
        <v>210.919</v>
      </c>
      <c r="H22" s="18" t="n">
        <v>236.702</v>
      </c>
      <c r="I22" s="18" t="n">
        <v>223.55</v>
      </c>
      <c r="J22" s="18" t="n">
        <v>243.089</v>
      </c>
      <c r="K22" s="18" t="n">
        <v>239.543</v>
      </c>
      <c r="L22" s="18" t="n">
        <v>252.988</v>
      </c>
      <c r="M22" s="18" t="n">
        <v>222.336</v>
      </c>
      <c r="N22" s="18" t="n">
        <v>237.393</v>
      </c>
      <c r="O22" s="18" t="n">
        <v>244.203</v>
      </c>
      <c r="P22" s="18" t="n">
        <v>268.543</v>
      </c>
      <c r="Q22" s="18" t="n">
        <v>255.059</v>
      </c>
      <c r="T22" s="18" t="n">
        <v>970.163</v>
      </c>
      <c r="U22" s="18" t="n">
        <v>285.942</v>
      </c>
      <c r="V22" s="18" t="n">
        <v>319.322</v>
      </c>
      <c r="W22" s="18" t="n">
        <v>322.129</v>
      </c>
      <c r="X22" s="18" t="n">
        <v>336.233</v>
      </c>
      <c r="Y22" s="18" t="n">
        <v>330.315</v>
      </c>
      <c r="Z22" s="18" t="n">
        <v>342.167</v>
      </c>
      <c r="AB22" s="18" t="n">
        <v>740.638</v>
      </c>
      <c r="AC22" s="18" t="n">
        <v>370.675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Corporate And Eliminations</t>
        </is>
      </c>
      <c r="B25" s="18" t="n">
        <v>-7.054</v>
      </c>
      <c r="C25" s="18" t="n">
        <v>-3.821</v>
      </c>
      <c r="D25" s="18" t="n">
        <v>-2.687</v>
      </c>
      <c r="E25" s="18" t="n">
        <v>-3.203</v>
      </c>
      <c r="F25" s="18" t="n">
        <v>-2.773</v>
      </c>
      <c r="G25" s="18" t="n">
        <v>-2.667</v>
      </c>
      <c r="H25" s="18" t="n">
        <v>-4.147</v>
      </c>
      <c r="I25" s="18" t="n">
        <v>-4.982</v>
      </c>
      <c r="J25" s="18" t="n">
        <v>-6.718</v>
      </c>
      <c r="K25" s="18" t="n">
        <v>-4.954</v>
      </c>
      <c r="L25" s="18" t="n">
        <v>-3.923</v>
      </c>
      <c r="M25" s="18" t="n">
        <v>-4.674</v>
      </c>
      <c r="N25" s="18" t="n">
        <v>-4.893</v>
      </c>
      <c r="O25" s="18" t="n">
        <v>-4.934</v>
      </c>
      <c r="P25" s="18" t="n">
        <v>-4.864</v>
      </c>
      <c r="Q25" s="18" t="n">
        <v>-5.422</v>
      </c>
      <c r="R25" s="18" t="n">
        <v>-6.12</v>
      </c>
      <c r="S25" s="18" t="n">
        <v>-8.005000000000001</v>
      </c>
      <c r="T25" s="18" t="n">
        <v>0</v>
      </c>
      <c r="U25" s="18" t="n">
        <v>-8.295</v>
      </c>
      <c r="V25" s="18" t="n">
        <v>-11.159</v>
      </c>
      <c r="W25" s="18" t="n">
        <v>-11.509</v>
      </c>
      <c r="X25" s="18" t="n">
        <v>0</v>
      </c>
      <c r="Y25" s="18" t="n">
        <v>-13.267</v>
      </c>
      <c r="Z25" s="18" t="n">
        <v>-11.417</v>
      </c>
      <c r="AB25" s="18" t="n">
        <v>-20.669</v>
      </c>
      <c r="AC25" s="18" t="n">
        <v>-12.093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64.09099999999999</v>
      </c>
      <c r="C29" s="18" t="n">
        <v>59.023</v>
      </c>
      <c r="D29" s="18" t="n">
        <v>57.001</v>
      </c>
      <c r="E29" s="18" t="n">
        <v>63.971</v>
      </c>
      <c r="F29" s="18" t="n">
        <v>346.786</v>
      </c>
      <c r="G29" s="18" t="n">
        <v>395.278</v>
      </c>
      <c r="H29" s="18" t="n">
        <v>406.852</v>
      </c>
      <c r="I29" s="18" t="n">
        <v>399.403</v>
      </c>
      <c r="J29" s="18" t="n">
        <v>385.444</v>
      </c>
      <c r="K29" s="18" t="n">
        <v>269.816</v>
      </c>
      <c r="L29" s="18" t="n">
        <v>108.298</v>
      </c>
      <c r="M29" s="18" t="n">
        <v>124.818</v>
      </c>
      <c r="N29" s="18" t="n">
        <v>117.318</v>
      </c>
      <c r="O29" s="18" t="n">
        <v>133.605</v>
      </c>
      <c r="P29" s="18" t="n">
        <v>139.504</v>
      </c>
      <c r="Q29" s="18" t="n">
        <v>142.619</v>
      </c>
      <c r="R29" s="18" t="n">
        <v>127.161</v>
      </c>
      <c r="S29" s="18" t="n">
        <v>694.263</v>
      </c>
      <c r="T29" s="18" t="n">
        <v>171.048</v>
      </c>
      <c r="U29" s="18" t="n">
        <v>196.323</v>
      </c>
      <c r="V29" s="18" t="n">
        <v>204.161</v>
      </c>
      <c r="W29" s="18" t="n">
        <v>202.94</v>
      </c>
      <c r="X29" s="18" t="n">
        <v>162.103</v>
      </c>
      <c r="Y29" s="18" t="n">
        <v>165.467</v>
      </c>
      <c r="Z29" s="18" t="n">
        <v>242.309</v>
      </c>
      <c r="AA29" s="18" t="n">
        <v>261.888</v>
      </c>
      <c r="AB29" s="18" t="n">
        <v>217.781</v>
      </c>
      <c r="AC29" s="18" t="n">
        <v>260.971</v>
      </c>
    </row>
    <row r="30">
      <c r="A30" s="4" t="inlineStr">
        <is>
          <t>Total Current Assets</t>
        </is>
      </c>
      <c r="B30" s="18" t="n">
        <v>802.567</v>
      </c>
      <c r="C30" s="18" t="n">
        <v>802.5839999999999</v>
      </c>
      <c r="D30" s="18" t="n">
        <v>813.731</v>
      </c>
      <c r="E30" s="18" t="n">
        <v>824.71</v>
      </c>
      <c r="F30" s="18" t="n">
        <v>1125.513</v>
      </c>
      <c r="G30" s="18" t="n">
        <v>1140.744</v>
      </c>
      <c r="H30" s="18" t="n">
        <v>1165.625</v>
      </c>
      <c r="I30" s="18" t="n">
        <v>1149.099</v>
      </c>
      <c r="J30" s="18" t="n">
        <v>1163.421</v>
      </c>
      <c r="K30" s="18" t="n">
        <v>1031.015</v>
      </c>
      <c r="L30" s="18" t="n">
        <v>937.385</v>
      </c>
      <c r="M30" s="18" t="n">
        <v>974.562</v>
      </c>
      <c r="N30" s="18" t="n">
        <v>1032.725</v>
      </c>
      <c r="O30" s="18" t="n">
        <v>1081.773</v>
      </c>
      <c r="P30" s="18" t="n">
        <v>1152.73</v>
      </c>
      <c r="Q30" s="18" t="n">
        <v>1318.799</v>
      </c>
      <c r="R30" s="18" t="n">
        <v>1366.639</v>
      </c>
      <c r="S30" s="18" t="n">
        <v>1931.924</v>
      </c>
      <c r="T30" s="18" t="n">
        <v>1855.342</v>
      </c>
      <c r="U30" s="18" t="n">
        <v>1912.359</v>
      </c>
      <c r="V30" s="18" t="n">
        <v>1968.701</v>
      </c>
      <c r="W30" s="18" t="n">
        <v>2026.935</v>
      </c>
      <c r="X30" s="18" t="n">
        <v>2062.292</v>
      </c>
      <c r="Y30" s="18" t="n">
        <v>2102.718</v>
      </c>
      <c r="Z30" s="18" t="n">
        <v>2283.349</v>
      </c>
      <c r="AA30" s="18" t="n">
        <v>2386.027</v>
      </c>
      <c r="AB30" s="18" t="n">
        <v>2356.366</v>
      </c>
      <c r="AC30" s="18" t="n">
        <v>2479.614</v>
      </c>
    </row>
    <row r="31">
      <c r="A31" s="4" t="inlineStr">
        <is>
          <t>PP&amp;E (net)</t>
        </is>
      </c>
      <c r="B31" s="18" t="n">
        <v>169.792</v>
      </c>
      <c r="C31" s="18" t="n">
        <v>173.182</v>
      </c>
      <c r="D31" s="18" t="n">
        <v>173.345</v>
      </c>
      <c r="E31" s="18" t="n">
        <v>172.299</v>
      </c>
      <c r="F31" s="18" t="n">
        <v>171.399</v>
      </c>
      <c r="G31" s="18" t="n">
        <v>170.34</v>
      </c>
      <c r="H31" s="18" t="n">
        <v>168.848</v>
      </c>
      <c r="I31" s="18" t="n">
        <v>177.968</v>
      </c>
      <c r="J31" s="18" t="n">
        <v>177.315</v>
      </c>
      <c r="K31" s="18" t="n">
        <v>179.101</v>
      </c>
      <c r="L31" s="18" t="n">
        <v>193.638</v>
      </c>
      <c r="M31" s="18" t="n">
        <v>194.604</v>
      </c>
      <c r="N31" s="18" t="n">
        <v>193.558</v>
      </c>
      <c r="O31" s="18" t="n">
        <v>202.844</v>
      </c>
      <c r="P31" s="18" t="n">
        <v>225.879</v>
      </c>
      <c r="Q31" s="18" t="n">
        <v>274.403</v>
      </c>
      <c r="R31" s="18" t="n">
        <v>273.856</v>
      </c>
      <c r="S31" s="18" t="n">
        <v>285.033</v>
      </c>
      <c r="T31" s="18" t="n">
        <v>321.848</v>
      </c>
      <c r="U31" s="18" t="n">
        <v>327.661</v>
      </c>
      <c r="V31" s="18" t="n">
        <v>326.74</v>
      </c>
      <c r="W31" s="18" t="n">
        <v>330.254</v>
      </c>
      <c r="X31" s="18" t="n">
        <v>339.034</v>
      </c>
      <c r="Y31" s="18" t="n">
        <v>348.838</v>
      </c>
      <c r="Z31" s="18" t="n">
        <v>359.32</v>
      </c>
      <c r="AA31" s="18" t="n">
        <v>437.635</v>
      </c>
      <c r="AB31" s="18" t="n">
        <v>431.71</v>
      </c>
      <c r="AC31" s="18" t="n">
        <v>448.992</v>
      </c>
    </row>
    <row r="32">
      <c r="A32" s="4" t="inlineStr">
        <is>
          <t>Total Assets</t>
        </is>
      </c>
      <c r="B32" s="18" t="n">
        <v>2853.64</v>
      </c>
      <c r="C32" s="18" t="n">
        <v>2960.288</v>
      </c>
      <c r="D32" s="18" t="n">
        <v>2969.211</v>
      </c>
      <c r="E32" s="18" t="n">
        <v>3097.121</v>
      </c>
      <c r="F32" s="18" t="n">
        <v>3364.835</v>
      </c>
      <c r="G32" s="18" t="n">
        <v>3423.25</v>
      </c>
      <c r="H32" s="18" t="n">
        <v>3547.711</v>
      </c>
      <c r="I32" s="18" t="n">
        <v>3565.584</v>
      </c>
      <c r="J32" s="18" t="n">
        <v>3595.168</v>
      </c>
      <c r="K32" s="18" t="n">
        <v>3461.635</v>
      </c>
      <c r="L32" s="18" t="n">
        <v>3498.407</v>
      </c>
      <c r="M32" s="18" t="n">
        <v>3513.895</v>
      </c>
      <c r="N32" s="18" t="n">
        <v>3685.333</v>
      </c>
      <c r="O32" s="18" t="n">
        <v>3787.351</v>
      </c>
      <c r="P32" s="18" t="n">
        <v>4095.496</v>
      </c>
      <c r="Q32" s="18" t="n">
        <v>4804.62</v>
      </c>
      <c r="R32" s="18" t="n">
        <v>4870.199</v>
      </c>
      <c r="S32" s="18" t="n">
        <v>5453.302</v>
      </c>
      <c r="T32" s="18" t="n">
        <v>7195.063</v>
      </c>
      <c r="U32" s="18" t="n">
        <v>7336.069</v>
      </c>
      <c r="V32" s="18" t="n">
        <v>7365.845</v>
      </c>
      <c r="W32" s="18" t="n">
        <v>7422.436</v>
      </c>
      <c r="X32" s="18" t="n">
        <v>7592.822</v>
      </c>
      <c r="Y32" s="18" t="n">
        <v>7890.711</v>
      </c>
      <c r="Z32" s="18" t="n">
        <v>8092.176</v>
      </c>
      <c r="AA32" s="18" t="n">
        <v>8531.623</v>
      </c>
      <c r="AB32" s="18" t="n">
        <v>8500.433999999999</v>
      </c>
      <c r="AC32" s="18" t="n">
        <v>9043.696</v>
      </c>
    </row>
    <row r="33">
      <c r="A33" s="4" t="inlineStr">
        <is>
          <t>Total Current Liabilities</t>
        </is>
      </c>
      <c r="B33" s="18" t="n">
        <v>250.87</v>
      </c>
      <c r="C33" s="18" t="n">
        <v>269.136</v>
      </c>
      <c r="D33" s="18" t="n">
        <v>289.138</v>
      </c>
      <c r="E33" s="18" t="n">
        <v>243.531</v>
      </c>
      <c r="F33" s="18" t="n">
        <v>256.353</v>
      </c>
      <c r="G33" s="18" t="n">
        <v>229.642</v>
      </c>
      <c r="H33" s="18" t="n">
        <v>241.161</v>
      </c>
      <c r="I33" s="18" t="n">
        <v>234.675</v>
      </c>
      <c r="J33" s="18" t="n">
        <v>256.758</v>
      </c>
      <c r="K33" s="18" t="n">
        <v>262.217</v>
      </c>
      <c r="L33" s="18" t="n">
        <v>294.88</v>
      </c>
      <c r="M33" s="18" t="n">
        <v>273.88</v>
      </c>
      <c r="N33" s="18" t="n">
        <v>304.192</v>
      </c>
      <c r="O33" s="18" t="n">
        <v>346.445</v>
      </c>
      <c r="P33" s="18" t="n">
        <v>420.859</v>
      </c>
      <c r="Q33" s="18" t="n">
        <v>453.496</v>
      </c>
      <c r="R33" s="18" t="n">
        <v>466.828</v>
      </c>
      <c r="S33" s="18" t="n">
        <v>479.047</v>
      </c>
      <c r="T33" s="18" t="n">
        <v>665.342</v>
      </c>
      <c r="U33" s="18" t="n">
        <v>604.095</v>
      </c>
      <c r="V33" s="18" t="n">
        <v>559.163</v>
      </c>
      <c r="W33" s="18" t="n">
        <v>614.705</v>
      </c>
      <c r="X33" s="18" t="n">
        <v>663.851</v>
      </c>
      <c r="Y33" s="18" t="n">
        <v>618.3390000000001</v>
      </c>
      <c r="Z33" s="18" t="n">
        <v>664.8579999999999</v>
      </c>
      <c r="AA33" s="18" t="n">
        <v>711.316</v>
      </c>
      <c r="AB33" s="18" t="n">
        <v>832.004</v>
      </c>
      <c r="AC33" s="18" t="n">
        <v>810.6</v>
      </c>
    </row>
    <row r="34">
      <c r="A34" s="4" t="inlineStr">
        <is>
          <t>Long-term Debt</t>
        </is>
      </c>
      <c r="B34" s="18" t="n">
        <v>555.525</v>
      </c>
      <c r="C34" s="18" t="n">
        <v>639.304</v>
      </c>
      <c r="D34" s="18" t="n">
        <v>561.049</v>
      </c>
      <c r="E34" s="18" t="n">
        <v>567.864</v>
      </c>
      <c r="F34" s="18" t="n">
        <v>739.188</v>
      </c>
      <c r="G34" s="18" t="n">
        <v>739.016</v>
      </c>
      <c r="H34" s="18" t="n">
        <v>738.7859999999999</v>
      </c>
      <c r="I34" s="18" t="n">
        <v>668.595</v>
      </c>
      <c r="J34" s="18" t="n">
        <v>583.352</v>
      </c>
      <c r="K34" s="18" t="n">
        <v>385.38</v>
      </c>
      <c r="L34" s="18" t="n">
        <v>234.983</v>
      </c>
      <c r="M34" s="18" t="n">
        <v>235.65</v>
      </c>
      <c r="N34" s="18" t="n">
        <v>264.095</v>
      </c>
      <c r="O34" s="18" t="n">
        <v>244.023</v>
      </c>
      <c r="P34" s="18" t="n">
        <v>288.62</v>
      </c>
      <c r="Q34" s="18" t="n">
        <v>781.174</v>
      </c>
      <c r="R34" s="18" t="n">
        <v>735.779</v>
      </c>
      <c r="S34" s="18" t="n">
        <v>1198.484</v>
      </c>
      <c r="T34" s="18" t="n">
        <v>2460.277</v>
      </c>
      <c r="U34" s="18" t="n">
        <v>2495.726</v>
      </c>
      <c r="V34" s="18" t="n">
        <v>2385.267</v>
      </c>
      <c r="W34" s="18" t="n">
        <v>2254.889</v>
      </c>
      <c r="X34" s="18" t="n">
        <v>2225.267</v>
      </c>
      <c r="Y34" s="18" t="n">
        <v>2349.681</v>
      </c>
      <c r="Z34" s="18" t="n">
        <v>2274.362</v>
      </c>
      <c r="AA34" s="18" t="n">
        <v>2443.898</v>
      </c>
      <c r="AB34" s="18" t="n">
        <v>2164.587</v>
      </c>
      <c r="AC34" s="18" t="n">
        <v>2504.285</v>
      </c>
    </row>
    <row r="35">
      <c r="A35" s="4" t="inlineStr">
        <is>
          <t>Total Equity</t>
        </is>
      </c>
      <c r="B35" s="18" t="n">
        <v>1546.886</v>
      </c>
      <c r="C35" s="18" t="n">
        <v>1615.999</v>
      </c>
      <c r="D35" s="18" t="n">
        <v>1666.542</v>
      </c>
      <c r="E35" s="18" t="n">
        <v>1778.646</v>
      </c>
      <c r="F35" s="18" t="n">
        <v>1858.514</v>
      </c>
      <c r="G35" s="18" t="n">
        <v>1921.715</v>
      </c>
      <c r="H35" s="18" t="n">
        <v>1980.177</v>
      </c>
      <c r="I35" s="18" t="n">
        <v>2048.836</v>
      </c>
      <c r="J35" s="18" t="n">
        <v>2127.82</v>
      </c>
      <c r="K35" s="18" t="n">
        <v>2186.929</v>
      </c>
      <c r="L35" s="18" t="n">
        <v>2263.071</v>
      </c>
      <c r="M35" s="18" t="n">
        <v>2305.491</v>
      </c>
      <c r="N35" s="18" t="n">
        <v>2382.036</v>
      </c>
      <c r="O35" s="18" t="n">
        <v>2452.131</v>
      </c>
      <c r="P35" s="18" t="n">
        <v>2606.136</v>
      </c>
      <c r="Q35" s="18" t="n">
        <v>2699.137</v>
      </c>
      <c r="R35" s="18" t="n">
        <v>2817.89</v>
      </c>
      <c r="S35" s="18" t="n">
        <v>2914.367</v>
      </c>
      <c r="T35" s="18" t="n">
        <v>3145.995</v>
      </c>
      <c r="U35" s="18" t="n">
        <v>3266.438</v>
      </c>
      <c r="V35" s="18" t="n">
        <v>3389.427</v>
      </c>
      <c r="W35" s="18" t="n">
        <v>3539.976</v>
      </c>
      <c r="X35" s="18" t="n">
        <v>3636.877</v>
      </c>
      <c r="Y35" s="18" t="n">
        <v>3746.527</v>
      </c>
      <c r="Z35" s="18" t="n">
        <v>3967.551</v>
      </c>
      <c r="AA35" s="18" t="n">
        <v>4141.366</v>
      </c>
      <c r="AB35" s="18" t="n">
        <v>4305.319</v>
      </c>
      <c r="AC35" s="18" t="n">
        <v>4502.687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20.511</v>
      </c>
      <c r="C37" s="18" t="n">
        <v>21.138</v>
      </c>
      <c r="D37" s="18" t="n">
        <v>21.811</v>
      </c>
      <c r="E37" s="18" t="n">
        <v>21.583</v>
      </c>
      <c r="F37" s="18" t="n">
        <v>21.693</v>
      </c>
      <c r="G37" s="18" t="n">
        <v>21.942</v>
      </c>
      <c r="H37" s="18" t="n">
        <v>23.343</v>
      </c>
      <c r="I37" s="18" t="n">
        <v>23.003</v>
      </c>
      <c r="J37" s="18" t="n">
        <v>22.916</v>
      </c>
      <c r="K37" s="18" t="n">
        <v>22.897</v>
      </c>
      <c r="L37" s="18" t="n">
        <v>24.203</v>
      </c>
      <c r="M37" s="18" t="n">
        <v>23.222</v>
      </c>
      <c r="N37" s="18" t="n">
        <v>23.485</v>
      </c>
      <c r="O37" s="18" t="n">
        <v>23.819</v>
      </c>
      <c r="P37" s="18" t="n">
        <v>25.807</v>
      </c>
      <c r="Q37" s="18" t="n">
        <v>27.06</v>
      </c>
      <c r="R37" s="18" t="n">
        <v>29.724</v>
      </c>
      <c r="S37" s="18" t="n">
        <v>29.531</v>
      </c>
      <c r="T37" s="18" t="n">
        <v>43.728</v>
      </c>
      <c r="U37" s="18" t="n">
        <v>43.505</v>
      </c>
      <c r="V37" s="18" t="n">
        <v>42.831</v>
      </c>
      <c r="W37" s="18" t="n">
        <v>44.31</v>
      </c>
      <c r="X37" s="18" t="n">
        <v>44.685</v>
      </c>
      <c r="Y37" s="18" t="n">
        <v>46.225</v>
      </c>
      <c r="Z37" s="18" t="n">
        <v>48.877</v>
      </c>
      <c r="AA37" s="18" t="n">
        <v>49.767</v>
      </c>
      <c r="AB37" s="18" t="n">
        <v>51.207</v>
      </c>
      <c r="AC37" s="18" t="n">
        <v>51.008</v>
      </c>
    </row>
    <row r="38">
      <c r="A38" s="4" t="inlineStr">
        <is>
          <t>Stock-based Compensation</t>
        </is>
      </c>
      <c r="B38" s="18" t="n">
        <v>2.548</v>
      </c>
      <c r="C38" s="18" t="n">
        <v>2.687</v>
      </c>
      <c r="D38" s="18" t="n">
        <v>2.66</v>
      </c>
      <c r="E38" s="18" t="n">
        <v>2.646</v>
      </c>
      <c r="F38" s="18" t="n">
        <v>2.629</v>
      </c>
      <c r="G38" s="18" t="n">
        <v>2.5</v>
      </c>
      <c r="H38" s="18" t="n">
        <v>2.359</v>
      </c>
      <c r="I38" s="18" t="n">
        <v>2.229</v>
      </c>
      <c r="J38" s="18" t="n">
        <v>2.042</v>
      </c>
      <c r="K38" s="18" t="n">
        <v>2.083</v>
      </c>
      <c r="L38" s="18" t="n">
        <v>2.704</v>
      </c>
      <c r="M38" s="18" t="n">
        <v>3.614</v>
      </c>
      <c r="N38" s="18" t="n">
        <v>3.241</v>
      </c>
      <c r="O38" s="18" t="n">
        <v>2.96</v>
      </c>
      <c r="P38" s="18" t="n">
        <v>2.831</v>
      </c>
      <c r="Q38" s="18" t="n">
        <v>2.812</v>
      </c>
      <c r="R38" s="18" t="n">
        <v>3.243</v>
      </c>
      <c r="S38" s="18" t="n">
        <v>4.357</v>
      </c>
      <c r="T38" s="18" t="n">
        <v>5.063</v>
      </c>
      <c r="U38" s="18" t="n">
        <v>4.881</v>
      </c>
      <c r="V38" s="18" t="n">
        <v>4.582</v>
      </c>
      <c r="W38" s="18" t="n">
        <v>4.625</v>
      </c>
      <c r="X38" s="18" t="n">
        <v>4.687</v>
      </c>
      <c r="Y38" s="18" t="n">
        <v>4.671</v>
      </c>
      <c r="Z38" s="18" t="n">
        <v>6</v>
      </c>
      <c r="AA38" s="18" t="n">
        <v>7.675</v>
      </c>
      <c r="AB38" s="18" t="n">
        <v>0</v>
      </c>
      <c r="AC38" s="18" t="n">
        <v>11.296</v>
      </c>
    </row>
    <row r="39">
      <c r="A39" s="4" t="inlineStr">
        <is>
          <t>Change in Working Capital</t>
        </is>
      </c>
      <c r="B39" s="18" t="n">
        <v>17.202</v>
      </c>
      <c r="C39" s="18" t="n">
        <v>24.941</v>
      </c>
      <c r="D39" s="18" t="n">
        <v>7.327</v>
      </c>
      <c r="E39" s="18" t="n">
        <v>-50.753</v>
      </c>
      <c r="F39" s="18" t="n">
        <v>-4.319</v>
      </c>
      <c r="G39" s="18" t="n">
        <v>11.263</v>
      </c>
      <c r="H39" s="18" t="n">
        <v>10.1</v>
      </c>
      <c r="I39" s="18" t="n">
        <v>8.894</v>
      </c>
      <c r="J39" s="18" t="n">
        <v>-0.619</v>
      </c>
      <c r="K39" s="18" t="n">
        <v>20.707</v>
      </c>
      <c r="L39" s="18" t="n">
        <v>-14.679</v>
      </c>
      <c r="M39" s="18" t="n">
        <v>-46.286</v>
      </c>
      <c r="N39" s="18" t="n">
        <v>-27.735</v>
      </c>
      <c r="O39" s="18" t="n">
        <v>21.915</v>
      </c>
      <c r="P39" s="18" t="n">
        <v>6.107</v>
      </c>
      <c r="Q39" s="18" t="n">
        <v>-56.022</v>
      </c>
      <c r="R39" s="18" t="n">
        <v>-47.115</v>
      </c>
      <c r="S39" s="18" t="n">
        <v>11.526</v>
      </c>
      <c r="T39" s="18" t="n">
        <v>-12.238</v>
      </c>
      <c r="U39" s="18" t="n">
        <v>-57.091</v>
      </c>
      <c r="V39" s="18" t="n">
        <v>-73.79300000000001</v>
      </c>
      <c r="W39" s="18" t="n">
        <v>17.453</v>
      </c>
      <c r="X39" s="18" t="n">
        <v>-7.943</v>
      </c>
      <c r="Y39" s="18" t="n">
        <v>-46.649</v>
      </c>
      <c r="Z39" s="18" t="n">
        <v>-30.549</v>
      </c>
      <c r="AA39" s="18" t="n">
        <v>11.736</v>
      </c>
      <c r="AB39" s="18" t="n">
        <v>34.874</v>
      </c>
      <c r="AC39" s="18" t="n">
        <v>-104.07</v>
      </c>
    </row>
    <row r="40">
      <c r="A40" s="4" t="inlineStr">
        <is>
          <t>Operating Cash Flow</t>
        </is>
      </c>
      <c r="B40" s="18" t="n">
        <v>128.687</v>
      </c>
      <c r="C40" s="18" t="n">
        <v>135.146</v>
      </c>
      <c r="D40" s="18" t="n">
        <v>123.979</v>
      </c>
      <c r="E40" s="18" t="n">
        <v>81.136</v>
      </c>
      <c r="F40" s="18" t="n">
        <v>124.746</v>
      </c>
      <c r="G40" s="18" t="n">
        <v>93.089</v>
      </c>
      <c r="H40" s="18" t="n">
        <v>110.154</v>
      </c>
      <c r="I40" s="18" t="n">
        <v>107.199</v>
      </c>
      <c r="J40" s="18" t="n">
        <v>102.913</v>
      </c>
      <c r="K40" s="18" t="n">
        <v>123.991</v>
      </c>
      <c r="L40" s="18" t="n">
        <v>109.981</v>
      </c>
      <c r="M40" s="18" t="n">
        <v>77.98</v>
      </c>
      <c r="N40" s="18" t="n">
        <v>96.773</v>
      </c>
      <c r="O40" s="18" t="n">
        <v>149.157</v>
      </c>
      <c r="P40" s="18" t="n">
        <v>143.946</v>
      </c>
      <c r="Q40" s="18" t="n">
        <v>76.68600000000001</v>
      </c>
      <c r="R40" s="18" t="n">
        <v>77.75</v>
      </c>
      <c r="S40" s="18" t="n">
        <v>145.921</v>
      </c>
      <c r="T40" s="18" t="n">
        <v>148.378</v>
      </c>
      <c r="U40" s="18" t="n">
        <v>111.652</v>
      </c>
      <c r="V40" s="18" t="n">
        <v>141.14</v>
      </c>
      <c r="W40" s="18" t="n">
        <v>213.955</v>
      </c>
      <c r="X40" s="18" t="n">
        <v>205.623</v>
      </c>
      <c r="Y40" s="18" t="n">
        <v>203.034</v>
      </c>
      <c r="Z40" s="18" t="n">
        <v>204.695</v>
      </c>
      <c r="AA40" s="18" t="n">
        <v>231.211</v>
      </c>
      <c r="AB40" s="18" t="n">
        <v>295.326</v>
      </c>
      <c r="AC40" s="18" t="n">
        <v>178.597</v>
      </c>
    </row>
    <row r="41">
      <c r="A41" s="4" t="inlineStr">
        <is>
          <t>Capex</t>
        </is>
      </c>
      <c r="B41" s="18" t="n">
        <v>-6.689</v>
      </c>
      <c r="C41" s="18" t="n">
        <v>-9.074999999999999</v>
      </c>
      <c r="D41" s="18" t="n">
        <v>-7.267</v>
      </c>
      <c r="E41" s="18" t="n">
        <v>-6.85</v>
      </c>
      <c r="F41" s="18" t="n">
        <v>-5.585</v>
      </c>
      <c r="G41" s="18" t="n">
        <v>-5.037</v>
      </c>
      <c r="H41" s="18" t="n">
        <v>-5.468</v>
      </c>
      <c r="I41" s="18" t="n">
        <v>-15.509</v>
      </c>
      <c r="J41" s="18" t="n">
        <v>-6.429</v>
      </c>
      <c r="K41" s="18" t="n">
        <v>-8.186</v>
      </c>
      <c r="L41" s="18" t="n">
        <v>-6.059</v>
      </c>
      <c r="M41" s="18" t="n">
        <v>-8.691000000000001</v>
      </c>
      <c r="N41" s="18" t="n">
        <v>-7.52</v>
      </c>
      <c r="O41" s="18" t="n">
        <v>-8.146000000000001</v>
      </c>
      <c r="P41" s="18" t="n">
        <v>-7.625</v>
      </c>
      <c r="Q41" s="18" t="n">
        <v>-10.846</v>
      </c>
      <c r="R41" s="18" t="n">
        <v>-11.075</v>
      </c>
      <c r="S41" s="18" t="n">
        <v>-12.255</v>
      </c>
      <c r="T41" s="18" t="n">
        <v>-15.258</v>
      </c>
      <c r="U41" s="18" t="n">
        <v>-13.377</v>
      </c>
      <c r="V41" s="18" t="n">
        <v>-12.948</v>
      </c>
      <c r="W41" s="18" t="n">
        <v>-15.85</v>
      </c>
      <c r="X41" s="18" t="n">
        <v>-16.086</v>
      </c>
      <c r="Y41" s="18" t="n">
        <v>-17.335</v>
      </c>
      <c r="Z41" s="18" t="n">
        <v>-15.964</v>
      </c>
      <c r="AA41" s="18" t="n">
        <v>-12.739</v>
      </c>
      <c r="AB41" s="18" t="n">
        <v>-26.848</v>
      </c>
      <c r="AC41" s="18" t="n">
        <v>-13.496</v>
      </c>
    </row>
    <row r="42">
      <c r="A42" s="4" t="inlineStr">
        <is>
          <t>Free Cash Flow</t>
        </is>
      </c>
      <c r="B42" s="18" t="n">
        <v>121.998</v>
      </c>
      <c r="C42" s="18" t="n">
        <v>126.071</v>
      </c>
      <c r="D42" s="18" t="n">
        <v>116.712</v>
      </c>
      <c r="E42" s="18" t="n">
        <v>74.286</v>
      </c>
      <c r="F42" s="18" t="n">
        <v>119.161</v>
      </c>
      <c r="G42" s="18" t="n">
        <v>88.05200000000001</v>
      </c>
      <c r="H42" s="18" t="n">
        <v>104.686</v>
      </c>
      <c r="I42" s="18" t="n">
        <v>91.69</v>
      </c>
      <c r="J42" s="18" t="n">
        <v>96.48399999999999</v>
      </c>
      <c r="K42" s="18" t="n">
        <v>115.805</v>
      </c>
      <c r="L42" s="18" t="n">
        <v>103.922</v>
      </c>
      <c r="M42" s="18" t="n">
        <v>69.289</v>
      </c>
      <c r="N42" s="18" t="n">
        <v>89.253</v>
      </c>
      <c r="O42" s="18" t="n">
        <v>141.011</v>
      </c>
      <c r="P42" s="18" t="n">
        <v>136.321</v>
      </c>
      <c r="Q42" s="18" t="n">
        <v>65.84</v>
      </c>
      <c r="R42" s="18" t="n">
        <v>66.675</v>
      </c>
      <c r="S42" s="18" t="n">
        <v>133.666</v>
      </c>
      <c r="T42" s="18" t="n">
        <v>133.12</v>
      </c>
      <c r="U42" s="18" t="n">
        <v>98.27500000000001</v>
      </c>
      <c r="V42" s="18" t="n">
        <v>128.192</v>
      </c>
      <c r="W42" s="18" t="n">
        <v>198.105</v>
      </c>
      <c r="X42" s="18" t="n">
        <v>189.537</v>
      </c>
      <c r="Y42" s="18" t="n">
        <v>185.699</v>
      </c>
      <c r="Z42" s="18" t="n">
        <v>188.731</v>
      </c>
      <c r="AA42" s="18" t="n">
        <v>218.472</v>
      </c>
      <c r="AB42" s="18" t="n">
        <v>268.478</v>
      </c>
      <c r="AC42" s="18" t="n">
        <v>165.101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5077.42199</v>
      </c>
      <c r="C4" s="18" t="n">
        <v>5515.527408</v>
      </c>
      <c r="D4" s="18" t="n">
        <v>5917.406722</v>
      </c>
      <c r="E4" s="18" t="n">
        <v>6393.398157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1414.609618</v>
      </c>
      <c r="C8" s="18" t="n">
        <v>1536.669226</v>
      </c>
      <c r="D8" s="18" t="n">
        <v>1648.635957</v>
      </c>
      <c r="E8" s="18" t="n">
        <v>1781.250906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1215.326651</v>
      </c>
      <c r="C12" s="18" t="n">
        <v>1320.191126</v>
      </c>
      <c r="D12" s="18" t="n">
        <v>1416.384556</v>
      </c>
      <c r="E12" s="18" t="n">
        <v>1530.31739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875.900412</v>
      </c>
      <c r="C16" s="18" t="n">
        <v>951.477489</v>
      </c>
      <c r="D16" s="18" t="n">
        <v>1020.805242</v>
      </c>
      <c r="E16" s="18" t="n">
        <v>1102.917994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790.6912600000001</v>
      </c>
      <c r="C20" s="18" t="n">
        <v>898.2832100000001</v>
      </c>
      <c r="D20" s="18" t="n">
        <v>1013.15912</v>
      </c>
      <c r="E20" s="18" t="n">
        <v>1123.315987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5.6356</v>
      </c>
      <c r="C24" s="62" t="n">
        <v>6.30672</v>
      </c>
      <c r="D24" s="62" t="n">
        <v>7.08317</v>
      </c>
      <c r="E24" s="62" t="n">
        <v>7.97974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HEICO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Financials!AC29</f>
        <v/>
      </c>
    </row>
    <row r="33">
      <c r="A33" s="4" t="inlineStr">
        <is>
          <t>- Long-term debt</t>
        </is>
      </c>
      <c r="B33" s="28">
        <f>-Financials!AC34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0.04371774279137507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0.3611900780418206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0.015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1.01279576188758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Financials!AC29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2026-06-05T13:50:22Z</dcterms:created>
  <dcterms:modified xmlns:dcterms="http://purl.org/dc/terms/" xmlns:xsi="http://www.w3.org/2001/XMLSchema-instance" xsi:type="dcterms:W3CDTF">2026-06-05T13:50:22Z</dcterms:modified>
</cp:coreProperties>
</file>