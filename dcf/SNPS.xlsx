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13.0%</t>
      </text>
    </comment>
    <comment ref="C20" authorId="0" shapeId="0">
      <text>
        <t>Opus: 4.0%</t>
      </text>
    </comment>
    <comment ref="B21" authorId="0" shapeId="0">
      <text>
        <t>Opus: 11.0%</t>
      </text>
    </comment>
    <comment ref="C21" authorId="0" shapeId="0">
      <text>
        <t>Opus: 4.0%</t>
      </text>
    </comment>
    <comment ref="B22" authorId="0" shapeId="0">
      <text>
        <t>Opus: 14.0%</t>
      </text>
    </comment>
    <comment ref="C22" authorId="0" shapeId="0">
      <text>
        <t>Opus: 4.5%</t>
      </text>
    </comment>
    <comment ref="B29" authorId="0" shapeId="0">
      <text>
        <t>Opus: 27.0%</t>
      </text>
    </comment>
    <comment ref="B30" authorId="0" shapeId="0">
      <text>
        <t>Opus: 34.0%</t>
      </text>
    </comment>
    <comment ref="B31" authorId="0" shapeId="0">
      <text>
        <t>Opus: 16.0%</t>
      </text>
    </comment>
    <comment ref="B34" authorId="0" shapeId="0">
      <text>
        <t>Opus: —
set from Opus 2% of FY1E revenue; edits not tracked (unit differs from the JSON)</t>
      </text>
    </comment>
    <comment ref="B35" authorId="0" shapeId="0">
      <text>
        <t>User-edited — overridden from Opus 1.1x on 2026-06-11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User-edited — overridden from Opus Perpetuity on 2026-06-11</t>
      </text>
    </comment>
    <comment ref="B44" authorId="0" shapeId="0">
      <text>
        <t>Opus: EV/EBITDA</t>
      </text>
    </comment>
    <comment ref="B45" authorId="0" shapeId="0">
      <text>
        <t>Opus: 18.0x</t>
      </text>
    </comment>
    <comment ref="B46" authorId="0" shapeId="0">
      <text>
        <t>Opus: 4.0%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Synopsys, Inc. (SNPS)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Synopsys is the dominant EDA + design-IP franchise, now broadened into systems/multiphysics simulation via Ansys, giving it a structural picks-and-shovels position as AI drives more chips, wider chip variety, and super-linear design complexity per chip. Near-term revenue steps up sharply (consensus ~$9.6B in 2026) on the Ansys consolidation then compounds low-teens organically as the EDA/IP TAM expands, while reported margins recover from the depressed FY2025 13% (deal amortization and integration costs) toward the franchise's normalized low-30s operating margin. Over the 10-year horizon growth fades toward a ~4% mature rate and operating leverage lifts margins to ~34%, with capex converging to maintenance (~1.1x D&amp;A).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Synopsys, Inc. (SNPS)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IF(Model!F38&lt;=0,"n/a (neg. capital)",Model!G40-WACC!B15)</f>
        <v/>
      </c>
      <c r="C15" s="10">
        <f>IF(Model!F38&lt;=0,"n/a",IF(Model!G40-WACC!B15&lt;0,"!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License and Maintenance</t>
        </is>
      </c>
      <c r="B20" s="15" t="n">
        <v>0.13</v>
      </c>
      <c r="C20" s="15" t="n">
        <v>0.04</v>
      </c>
      <c r="D20" s="16" t="n">
        <v>0.13</v>
      </c>
      <c r="E20" s="2" t="inlineStr"/>
    </row>
    <row r="21">
      <c r="A21" s="4" t="inlineStr">
        <is>
          <t>License</t>
        </is>
      </c>
      <c r="B21" s="15" t="n">
        <v>0.11</v>
      </c>
      <c r="C21" s="15" t="n">
        <v>0.04</v>
      </c>
      <c r="D21" s="16" t="n">
        <v>0.11</v>
      </c>
      <c r="E21" s="2" t="inlineStr"/>
    </row>
    <row r="22">
      <c r="A22" s="4" t="inlineStr">
        <is>
          <t>Technology Service</t>
        </is>
      </c>
      <c r="B22" s="15" t="n">
        <v>0.14</v>
      </c>
      <c r="C22" s="15" t="n">
        <v>0.045</v>
      </c>
      <c r="D22" s="16" t="n">
        <v>0.14</v>
      </c>
      <c r="E22" s="2" t="inlineStr"/>
    </row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0.27</v>
      </c>
      <c r="D29" s="16" t="n">
        <v>0.27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0.16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231.087553992</v>
      </c>
      <c r="D34" s="18" t="n">
        <v>231.087553992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1.245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18</v>
      </c>
    </row>
    <row r="46">
      <c r="A46" s="4" t="inlineStr">
        <is>
          <t>Terminal growth (g)</t>
        </is>
      </c>
      <c r="B46" s="15" t="n">
        <v>0.04</v>
      </c>
    </row>
    <row r="47">
      <c r="A47" s="4" t="inlineStr">
        <is>
          <t>Country risk premium</t>
        </is>
      </c>
      <c r="B47" s="15" t="n">
        <v>0.001456223260718896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461.739990234375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306.9116979657614</v>
      </c>
      <c r="C58" s="28" t="n">
        <v>431.4616119585659</v>
      </c>
      <c r="D58" s="28" t="n">
        <v>212.1188149406431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</v>
      </c>
      <c r="D62" s="30" t="n">
        <v>0.3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0.1266333228336456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0.07597999370018733</v>
      </c>
      <c r="E66" s="2" t="inlineStr">
        <is>
          <t>fades near-&gt;terminal; also burdens the exit-multiple EBITDA</t>
        </is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SNPS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Synopsys is the dominant EDA + design-IP franchise, now broadened into systems/multiphysics simulation via Ansys, giving it a structural picks-and-shovels position as AI drives more chips, wider chip variety, and super-linear design complexity per chip. Near-term revenue steps up sharply (consensus ~$9.6B in 2026) on the Ansys consolidation then compounds low-teens organically as the EDA/IP TAM expands, while reported margins recover from the depressed FY2025 13% (deal amortization and integration costs) toward the franchise's normalized low-30s operating margin. Over the 10-year horizon growth fades toward a ~4% mature rate and operating leverage lifts margins to ~34%, with capex converging to maintenance (~1.1x D&amp;A).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FY2025's 13% op margin is artificially depressed by Ansys deal/amortization charges, so I anchored near-term margin at 27% (rebuilding) rather than the headline, with terminal at 34% reflecting EDA's intrinsic high-margin, asset-light economics. Growth is anchored to consensus (mid-teens near-term including the Ansys step) and faded to ~4% terminal; I used a perpetuity (Damodaran stable-growth) terminal with a 16% tax rate consistent with SNPS's IP-heavy, R&amp;D-credit-favored effective rate.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License and Maintenance — near-term growth</t>
        </is>
      </c>
      <c r="B20" t="inlineStr">
        <is>
          <t>B20</t>
        </is>
      </c>
      <c r="C20" s="11">
        <f>Dashboard!B20</f>
        <v/>
      </c>
      <c r="D20" t="inlineStr">
        <is>
          <t>Opus</t>
        </is>
      </c>
      <c r="E20" t="inlineStr">
        <is>
          <t>13.0%</t>
        </is>
      </c>
      <c r="F20" s="31" t="inlineStr"/>
    </row>
    <row r="21">
      <c r="A21" t="inlineStr">
        <is>
          <t>License and Maintenance — terminal growth</t>
        </is>
      </c>
      <c r="B21" t="inlineStr">
        <is>
          <t>C20</t>
        </is>
      </c>
      <c r="C21" s="11">
        <f>Dashboard!C20</f>
        <v/>
      </c>
      <c r="D21" t="inlineStr">
        <is>
          <t>Opus</t>
        </is>
      </c>
      <c r="E21" t="inlineStr">
        <is>
          <t>4.0%</t>
        </is>
      </c>
      <c r="F21" s="31" t="inlineStr"/>
    </row>
    <row r="22">
      <c r="A22" t="inlineStr">
        <is>
          <t>License — near-term growth</t>
        </is>
      </c>
      <c r="B22" t="inlineStr">
        <is>
          <t>B21</t>
        </is>
      </c>
      <c r="C22" s="11">
        <f>Dashboard!B21</f>
        <v/>
      </c>
      <c r="D22" t="inlineStr">
        <is>
          <t>Opus</t>
        </is>
      </c>
      <c r="E22" t="inlineStr">
        <is>
          <t>11.0%</t>
        </is>
      </c>
      <c r="F22" s="31" t="inlineStr"/>
    </row>
    <row r="23">
      <c r="A23" t="inlineStr">
        <is>
          <t>License — terminal growth</t>
        </is>
      </c>
      <c r="B23" t="inlineStr">
        <is>
          <t>C21</t>
        </is>
      </c>
      <c r="C23" s="11">
        <f>Dashboard!C21</f>
        <v/>
      </c>
      <c r="D23" t="inlineStr">
        <is>
          <t>Opus</t>
        </is>
      </c>
      <c r="E23" t="inlineStr">
        <is>
          <t>4.0%</t>
        </is>
      </c>
      <c r="F23" s="31" t="inlineStr"/>
    </row>
    <row r="24">
      <c r="A24" t="inlineStr">
        <is>
          <t>Technology Service — near-term growth</t>
        </is>
      </c>
      <c r="B24" t="inlineStr">
        <is>
          <t>B22</t>
        </is>
      </c>
      <c r="C24" s="11">
        <f>Dashboard!B22</f>
        <v/>
      </c>
      <c r="D24" t="inlineStr">
        <is>
          <t>Opus</t>
        </is>
      </c>
      <c r="E24" t="inlineStr">
        <is>
          <t>14.0%</t>
        </is>
      </c>
      <c r="F24" s="31" t="inlineStr"/>
    </row>
    <row r="25">
      <c r="A25" t="inlineStr">
        <is>
          <t>Technology Service — terminal growth</t>
        </is>
      </c>
      <c r="B25" t="inlineStr">
        <is>
          <t>C22</t>
        </is>
      </c>
      <c r="C25" s="11">
        <f>Dashboard!C22</f>
        <v/>
      </c>
      <c r="D25" t="inlineStr">
        <is>
          <t>Opus</t>
        </is>
      </c>
      <c r="E25" t="inlineStr">
        <is>
          <t>4.5%</t>
        </is>
      </c>
      <c r="F25" s="31" t="inlineStr"/>
    </row>
    <row r="26">
      <c r="A26" t="inlineStr">
        <is>
          <t>Near-term operating margin</t>
        </is>
      </c>
      <c r="B26" t="inlineStr">
        <is>
          <t>B29</t>
        </is>
      </c>
      <c r="C26" s="11">
        <f>Dashboard!B29</f>
        <v/>
      </c>
      <c r="D26" t="inlineStr">
        <is>
          <t>Opus</t>
        </is>
      </c>
      <c r="E26" t="inlineStr">
        <is>
          <t>27.0%</t>
        </is>
      </c>
      <c r="F26" s="31" t="inlineStr"/>
    </row>
    <row r="27">
      <c r="A27" t="inlineStr">
        <is>
          <t>Terminal operating margin</t>
        </is>
      </c>
      <c r="B27" t="inlineStr">
        <is>
          <t>B30</t>
        </is>
      </c>
      <c r="C27" s="11">
        <f>Dashboard!B30</f>
        <v/>
      </c>
      <c r="D27" t="inlineStr">
        <is>
          <t>Opus</t>
        </is>
      </c>
      <c r="E27" t="inlineStr">
        <is>
          <t>34.0%</t>
        </is>
      </c>
      <c r="F27" s="31" t="inlineStr"/>
    </row>
    <row r="28">
      <c r="A28" t="inlineStr">
        <is>
          <t>Tax rate</t>
        </is>
      </c>
      <c r="B28" t="inlineStr">
        <is>
          <t>B31</t>
        </is>
      </c>
      <c r="C28" s="11">
        <f>Dashboard!B31</f>
        <v/>
      </c>
      <c r="D28" t="inlineStr">
        <is>
          <t>Opus</t>
        </is>
      </c>
      <c r="E28" t="inlineStr">
        <is>
          <t>16.0%</t>
        </is>
      </c>
      <c r="F28" s="31" t="inlineStr"/>
    </row>
    <row r="29">
      <c r="A29" t="inlineStr">
        <is>
          <t>Terminal capex / D&amp;A</t>
        </is>
      </c>
      <c r="B29" t="inlineStr">
        <is>
          <t>B35</t>
        </is>
      </c>
      <c r="C29" s="13">
        <f>Dashboard!B35</f>
        <v/>
      </c>
      <c r="D29" s="32" t="inlineStr">
        <is>
          <t>user-edited</t>
        </is>
      </c>
      <c r="E29" t="inlineStr">
        <is>
          <t>1.1x</t>
        </is>
      </c>
      <c r="F29" s="31" t="inlineStr">
        <is>
          <t>overridden from Opus 1.1x on 2026-06-11</t>
        </is>
      </c>
    </row>
    <row r="30">
      <c r="A30" t="inlineStr">
        <is>
          <t>Risk-free rate (10Y)</t>
        </is>
      </c>
      <c r="B30" t="inlineStr">
        <is>
          <t>B38</t>
        </is>
      </c>
      <c r="C30" s="11">
        <f>Dashboard!B38</f>
        <v/>
      </c>
      <c r="D30" t="inlineStr">
        <is>
          <t>builder default</t>
        </is>
      </c>
      <c r="E30" t="inlineStr">
        <is>
          <t>—</t>
        </is>
      </c>
      <c r="F30" s="31" t="inlineStr"/>
    </row>
    <row r="31">
      <c r="A31" t="inlineStr">
        <is>
          <t>Equity risk premium</t>
        </is>
      </c>
      <c r="B31" t="inlineStr">
        <is>
          <t>B39</t>
        </is>
      </c>
      <c r="C31" s="11">
        <f>Dashboard!B39</f>
        <v/>
      </c>
      <c r="D31" t="inlineStr">
        <is>
          <t>builder default</t>
        </is>
      </c>
      <c r="E31" t="inlineStr">
        <is>
          <t>—</t>
        </is>
      </c>
      <c r="F31" s="31" t="inlineStr"/>
    </row>
    <row r="32">
      <c r="A32" t="inlineStr">
        <is>
          <t>Beta (levered)</t>
        </is>
      </c>
      <c r="B32" t="inlineStr">
        <is>
          <t>B40</t>
        </is>
      </c>
      <c r="C32" s="33">
        <f>Dashboard!B40</f>
        <v/>
      </c>
      <c r="D32" t="inlineStr">
        <is>
          <t>builder default</t>
        </is>
      </c>
      <c r="E32" t="inlineStr">
        <is>
          <t>—</t>
        </is>
      </c>
      <c r="F32" s="31" t="inlineStr"/>
    </row>
    <row r="33">
      <c r="A33" t="inlineStr">
        <is>
          <t>Pre-tax cost of debt</t>
        </is>
      </c>
      <c r="B33" t="inlineStr">
        <is>
          <t>B41</t>
        </is>
      </c>
      <c r="C33" s="11">
        <f>Dashboard!B41</f>
        <v/>
      </c>
      <c r="D33" t="inlineStr">
        <is>
          <t>builder default</t>
        </is>
      </c>
      <c r="E33" t="inlineStr">
        <is>
          <t>—</t>
        </is>
      </c>
      <c r="F33" s="31" t="inlineStr"/>
    </row>
    <row r="34">
      <c r="A34" t="inlineStr">
        <is>
          <t>Terminal method</t>
        </is>
      </c>
      <c r="B34" t="inlineStr">
        <is>
          <t>B43</t>
        </is>
      </c>
      <c r="C34" s="12">
        <f>Dashboard!B43</f>
        <v/>
      </c>
      <c r="D34" s="32" t="inlineStr">
        <is>
          <t>user-edited</t>
        </is>
      </c>
      <c r="E34" t="inlineStr">
        <is>
          <t>Perpetuity</t>
        </is>
      </c>
      <c r="F34" s="31" t="inlineStr">
        <is>
          <t>overridden from Opus Perpetuity on 2026-06-11</t>
        </is>
      </c>
    </row>
    <row r="35">
      <c r="A35" t="inlineStr">
        <is>
          <t>Exit basis</t>
        </is>
      </c>
      <c r="B35" t="inlineStr">
        <is>
          <t>B44</t>
        </is>
      </c>
      <c r="C35" s="12">
        <f>Dashboard!B44</f>
        <v/>
      </c>
      <c r="D35" t="inlineStr">
        <is>
          <t>Opus</t>
        </is>
      </c>
      <c r="E35" t="inlineStr">
        <is>
          <t>EV/EBITDA</t>
        </is>
      </c>
      <c r="F35" s="31" t="inlineStr"/>
    </row>
    <row r="36">
      <c r="A36" t="inlineStr">
        <is>
          <t>Exit multiple</t>
        </is>
      </c>
      <c r="B36" t="inlineStr">
        <is>
          <t>B45</t>
        </is>
      </c>
      <c r="C36" s="13">
        <f>Dashboard!B45</f>
        <v/>
      </c>
      <c r="D36" t="inlineStr">
        <is>
          <t>Opus</t>
        </is>
      </c>
      <c r="E36" t="inlineStr">
        <is>
          <t>18.0x</t>
        </is>
      </c>
      <c r="F36" s="31" t="inlineStr"/>
    </row>
    <row r="37">
      <c r="A37" t="inlineStr">
        <is>
          <t>Terminal growth (g)</t>
        </is>
      </c>
      <c r="B37" t="inlineStr">
        <is>
          <t>B46</t>
        </is>
      </c>
      <c r="C37" s="11">
        <f>Dashboard!B46</f>
        <v/>
      </c>
      <c r="D37" t="inlineStr">
        <is>
          <t>Opus</t>
        </is>
      </c>
      <c r="E37" t="inlineStr">
        <is>
          <t>4.0%</t>
        </is>
      </c>
      <c r="F37" s="31" t="inlineStr"/>
    </row>
    <row r="38">
      <c r="A38" t="inlineStr">
        <is>
          <t>2026 capex ($M)</t>
        </is>
      </c>
      <c r="B38" t="inlineStr">
        <is>
          <t>B34</t>
        </is>
      </c>
      <c r="C38" s="34">
        <f>Dashboard!B34</f>
        <v/>
      </c>
      <c r="D38" t="inlineStr">
        <is>
          <t>Opus</t>
        </is>
      </c>
      <c r="E38" t="inlineStr">
        <is>
          <t>—</t>
        </is>
      </c>
      <c r="F38" s="31" t="inlineStr">
        <is>
          <t>set from Opus 2% of FY1E revenue; edits not tracked (unit differs from the JSON)</t>
        </is>
      </c>
    </row>
    <row r="39">
      <c r="A39" t="inlineStr">
        <is>
          <t>Bull Δ — segment growth, near-term</t>
        </is>
      </c>
      <c r="B39" t="inlineStr">
        <is>
          <t>C52</t>
        </is>
      </c>
      <c r="C39" s="35">
        <f>Dashboard!C52</f>
        <v/>
      </c>
      <c r="D39" t="inlineStr">
        <is>
          <t>seed default</t>
        </is>
      </c>
      <c r="E39" t="inlineStr">
        <is>
          <t>3.0%</t>
        </is>
      </c>
      <c r="F39" s="31" t="inlineStr"/>
    </row>
    <row r="40">
      <c r="A40" t="inlineStr">
        <is>
          <t>Bear Δ — segment growth, near-term</t>
        </is>
      </c>
      <c r="B40" t="inlineStr">
        <is>
          <t>D52</t>
        </is>
      </c>
      <c r="C40" s="35">
        <f>Dashboard!D52</f>
        <v/>
      </c>
      <c r="D40" t="inlineStr">
        <is>
          <t>seed default</t>
        </is>
      </c>
      <c r="E40" t="inlineStr">
        <is>
          <t>-3.0%</t>
        </is>
      </c>
      <c r="F40" s="31" t="inlineStr"/>
    </row>
    <row r="41">
      <c r="A41" t="inlineStr">
        <is>
          <t>Bull Δ — segment growth, terminal</t>
        </is>
      </c>
      <c r="B41" t="inlineStr">
        <is>
          <t>C53</t>
        </is>
      </c>
      <c r="C41" s="35">
        <f>Dashboard!C53</f>
        <v/>
      </c>
      <c r="D41" t="inlineStr">
        <is>
          <t>seed default</t>
        </is>
      </c>
      <c r="E41" t="inlineStr">
        <is>
          <t>1.0%</t>
        </is>
      </c>
      <c r="F41" s="31" t="inlineStr"/>
    </row>
    <row r="42">
      <c r="A42" t="inlineStr">
        <is>
          <t>Bear Δ — segment growth, terminal</t>
        </is>
      </c>
      <c r="B42" t="inlineStr">
        <is>
          <t>D53</t>
        </is>
      </c>
      <c r="C42" s="35">
        <f>Dashboard!D53</f>
        <v/>
      </c>
      <c r="D42" t="inlineStr">
        <is>
          <t>seed default</t>
        </is>
      </c>
      <c r="E42" t="inlineStr">
        <is>
          <t>-1.0%</t>
        </is>
      </c>
      <c r="F42" s="31" t="inlineStr"/>
    </row>
    <row r="43">
      <c r="A43" t="inlineStr">
        <is>
          <t>Bull Δ — operating margin, near-term</t>
        </is>
      </c>
      <c r="B43" t="inlineStr">
        <is>
          <t>C54</t>
        </is>
      </c>
      <c r="C43" s="35">
        <f>Dashboard!C54</f>
        <v/>
      </c>
      <c r="D43" t="inlineStr">
        <is>
          <t>seed default</t>
        </is>
      </c>
      <c r="E43" t="inlineStr">
        <is>
          <t>1.0%</t>
        </is>
      </c>
      <c r="F43" s="31" t="inlineStr"/>
    </row>
    <row r="44">
      <c r="A44" t="inlineStr">
        <is>
          <t>Bear Δ — operating margin, near-term</t>
        </is>
      </c>
      <c r="B44" t="inlineStr">
        <is>
          <t>D54</t>
        </is>
      </c>
      <c r="C44" s="35">
        <f>Dashboard!D54</f>
        <v/>
      </c>
      <c r="D44" t="inlineStr">
        <is>
          <t>seed default</t>
        </is>
      </c>
      <c r="E44" t="inlineStr">
        <is>
          <t>-1.0%</t>
        </is>
      </c>
      <c r="F44" s="31" t="inlineStr"/>
    </row>
    <row r="45">
      <c r="A45" t="inlineStr">
        <is>
          <t>Bull Δ — operating margin, terminal</t>
        </is>
      </c>
      <c r="B45" t="inlineStr">
        <is>
          <t>C55</t>
        </is>
      </c>
      <c r="C45" s="35">
        <f>Dashboard!C55</f>
        <v/>
      </c>
      <c r="D45" t="inlineStr">
        <is>
          <t>seed default</t>
        </is>
      </c>
      <c r="E45" t="inlineStr">
        <is>
          <t>2.0%</t>
        </is>
      </c>
      <c r="F45" s="31" t="inlineStr"/>
    </row>
    <row r="46">
      <c r="A46" t="inlineStr">
        <is>
          <t>Bear Δ — operating margin, terminal</t>
        </is>
      </c>
      <c r="B46" t="inlineStr">
        <is>
          <t>D55</t>
        </is>
      </c>
      <c r="C46" s="35">
        <f>Dashboard!D55</f>
        <v/>
      </c>
      <c r="D46" t="inlineStr">
        <is>
          <t>seed default</t>
        </is>
      </c>
      <c r="E46" t="inlineStr">
        <is>
          <t>-2.0%</t>
        </is>
      </c>
      <c r="F46" s="31" t="inlineStr"/>
    </row>
    <row r="47">
      <c r="A47" t="inlineStr">
        <is>
          <t>Bull Δ — exit multiple</t>
        </is>
      </c>
      <c r="B47" t="inlineStr">
        <is>
          <t>C56</t>
        </is>
      </c>
      <c r="C47" s="36">
        <f>Dashboard!C56</f>
        <v/>
      </c>
      <c r="D47" t="inlineStr">
        <is>
          <t>seed default</t>
        </is>
      </c>
      <c r="E47" t="inlineStr">
        <is>
          <t>2.0x</t>
        </is>
      </c>
      <c r="F47" s="31" t="inlineStr"/>
    </row>
    <row r="48">
      <c r="A48" t="inlineStr">
        <is>
          <t>Bear Δ — exit multiple</t>
        </is>
      </c>
      <c r="B48" t="inlineStr">
        <is>
          <t>D56</t>
        </is>
      </c>
      <c r="C48" s="36">
        <f>Dashboard!D56</f>
        <v/>
      </c>
      <c r="D48" t="inlineStr">
        <is>
          <t>seed default</t>
        </is>
      </c>
      <c r="E48" t="inlineStr">
        <is>
          <t>-2.0x</t>
        </is>
      </c>
      <c r="F48" s="31" t="inlineStr"/>
    </row>
    <row r="49">
      <c r="A49" t="inlineStr">
        <is>
          <t>Bull Δ — terminal growth (g)</t>
        </is>
      </c>
      <c r="B49" t="inlineStr">
        <is>
          <t>C57</t>
        </is>
      </c>
      <c r="C49" s="35">
        <f>Dashboard!C57</f>
        <v/>
      </c>
      <c r="D49" t="inlineStr">
        <is>
          <t>seed default</t>
        </is>
      </c>
      <c r="E49" t="inlineStr">
        <is>
          <t>0.5%</t>
        </is>
      </c>
      <c r="F49" s="31" t="inlineStr"/>
    </row>
    <row r="50">
      <c r="A50" t="inlineStr">
        <is>
          <t>Bear Δ — terminal growth (g)</t>
        </is>
      </c>
      <c r="B50" t="inlineStr">
        <is>
          <t>D57</t>
        </is>
      </c>
      <c r="C50" s="35">
        <f>Dashboard!D57</f>
        <v/>
      </c>
      <c r="D50" t="inlineStr">
        <is>
          <t>seed default</t>
        </is>
      </c>
      <c r="E50" t="inlineStr">
        <is>
          <t>-0.5%</t>
        </is>
      </c>
      <c r="F50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3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Financials!AC50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FY2021A</t>
        </is>
      </c>
      <c r="C1" s="40" t="inlineStr">
        <is>
          <t>FY2022A</t>
        </is>
      </c>
      <c r="D1" s="40" t="inlineStr">
        <is>
          <t>FY2023A</t>
        </is>
      </c>
      <c r="E1" s="40" t="inlineStr">
        <is>
          <t>FY2024A</t>
        </is>
      </c>
      <c r="F1" s="40" t="inlineStr">
        <is>
          <t>FY2025A</t>
        </is>
      </c>
      <c r="G1" s="41" t="inlineStr">
        <is>
          <t>FY2026E</t>
        </is>
      </c>
      <c r="H1" s="41" t="inlineStr">
        <is>
          <t>FY2027E</t>
        </is>
      </c>
      <c r="I1" s="41" t="inlineStr">
        <is>
          <t>FY2028E</t>
        </is>
      </c>
      <c r="J1" s="41" t="inlineStr">
        <is>
          <t>FY2029E</t>
        </is>
      </c>
      <c r="K1" s="41" t="inlineStr">
        <is>
          <t>FY2030E</t>
        </is>
      </c>
      <c r="L1" s="41" t="inlineStr">
        <is>
          <t>FY2031E</t>
        </is>
      </c>
      <c r="M1" s="41" t="inlineStr">
        <is>
          <t>FY2032E</t>
        </is>
      </c>
      <c r="N1" s="41" t="inlineStr">
        <is>
          <t>FY2033E</t>
        </is>
      </c>
      <c r="O1" s="41" t="inlineStr">
        <is>
          <t>FY2034E</t>
        </is>
      </c>
      <c r="P1" s="4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License and Maintenance</t>
        </is>
      </c>
      <c r="B4" s="34">
        <f>SUM(Financials!I19:L19)</f>
        <v/>
      </c>
      <c r="C4" s="34">
        <f>SUM(Financials!M19:P19)</f>
        <v/>
      </c>
      <c r="D4" s="34">
        <f>SUM(Financials!Q19:T19)</f>
        <v/>
      </c>
      <c r="E4" s="34">
        <f>SUM(Financials!U19:X19)</f>
        <v/>
      </c>
      <c r="F4" s="34">
        <f>SUM(Financials!Y19:AB19)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License</t>
        </is>
      </c>
      <c r="B6" s="34">
        <f>SUM(Financials!I22:L22)</f>
        <v/>
      </c>
      <c r="C6" s="34">
        <f>SUM(Financials!M22:P22)</f>
        <v/>
      </c>
      <c r="D6" s="34">
        <f>SUM(Financials!Q22:T22)</f>
        <v/>
      </c>
      <c r="E6" s="34">
        <f>SUM(Financials!U22:X22)</f>
        <v/>
      </c>
      <c r="F6" s="34">
        <f>SUM(Financials!Y22:AB22)</f>
        <v/>
      </c>
      <c r="G6" s="42">
        <f>F6*(1+G7)</f>
        <v/>
      </c>
      <c r="H6" s="42">
        <f>G6*(1+H7)</f>
        <v/>
      </c>
      <c r="I6" s="42">
        <f>H6*(1+I7)</f>
        <v/>
      </c>
      <c r="J6" s="42">
        <f>I6*(1+J7)</f>
        <v/>
      </c>
      <c r="K6" s="42">
        <f>J6*(1+K7)</f>
        <v/>
      </c>
      <c r="L6" s="42">
        <f>K6*(1+L7)</f>
        <v/>
      </c>
      <c r="M6" s="42">
        <f>L6*(1+M7)</f>
        <v/>
      </c>
      <c r="N6" s="42">
        <f>M6*(1+N7)</f>
        <v/>
      </c>
      <c r="O6" s="42">
        <f>N6*(1+O7)</f>
        <v/>
      </c>
      <c r="P6" s="42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4" t="inlineStr">
        <is>
          <t>Technology Service</t>
        </is>
      </c>
      <c r="B8" s="34">
        <f>SUM(Financials!I25:L25)</f>
        <v/>
      </c>
      <c r="C8" s="34">
        <f>SUM(Financials!M25:P25)</f>
        <v/>
      </c>
      <c r="D8" s="34">
        <f>SUM(Financials!Q25:T25)</f>
        <v/>
      </c>
      <c r="E8" s="34">
        <f>SUM(Financials!U25:X25)</f>
        <v/>
      </c>
      <c r="F8" s="34">
        <f>SUM(Financials!Y25:AB25)</f>
        <v/>
      </c>
      <c r="G8" s="42">
        <f>F8*(1+G9)</f>
        <v/>
      </c>
      <c r="H8" s="42">
        <f>G8*(1+H9)</f>
        <v/>
      </c>
      <c r="I8" s="42">
        <f>H8*(1+I9)</f>
        <v/>
      </c>
      <c r="J8" s="42">
        <f>I8*(1+J9)</f>
        <v/>
      </c>
      <c r="K8" s="42">
        <f>J8*(1+K9)</f>
        <v/>
      </c>
      <c r="L8" s="42">
        <f>K8*(1+L9)</f>
        <v/>
      </c>
      <c r="M8" s="42">
        <f>L8*(1+M9)</f>
        <v/>
      </c>
      <c r="N8" s="42">
        <f>M8*(1+N9)</f>
        <v/>
      </c>
      <c r="O8" s="42">
        <f>N8*(1+O9)</f>
        <v/>
      </c>
      <c r="P8" s="42">
        <f>O8*(1+P9)</f>
        <v/>
      </c>
    </row>
    <row r="9">
      <c r="A9" s="4" t="inlineStr">
        <is>
          <t xml:space="preserve">    growth % (convex fade; curvature from Dashboard)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11">
        <f>Dashboard!$C$22+(Dashboard!$B$22-Dashboard!$C$22)*((9-0)/9)^Dashboard!$B$49</f>
        <v/>
      </c>
      <c r="H9" s="11">
        <f>Dashboard!$C$22+(Dashboard!$B$22-Dashboard!$C$22)*((9-1)/9)^Dashboard!$B$49</f>
        <v/>
      </c>
      <c r="I9" s="11">
        <f>Dashboard!$C$22+(Dashboard!$B$22-Dashboard!$C$22)*((9-2)/9)^Dashboard!$B$49</f>
        <v/>
      </c>
      <c r="J9" s="11">
        <f>Dashboard!$C$22+(Dashboard!$B$22-Dashboard!$C$22)*((9-3)/9)^Dashboard!$B$49</f>
        <v/>
      </c>
      <c r="K9" s="11">
        <f>Dashboard!$C$22+(Dashboard!$B$22-Dashboard!$C$22)*((9-4)/9)^Dashboard!$B$49</f>
        <v/>
      </c>
      <c r="L9" s="11">
        <f>Dashboard!$C$22+(Dashboard!$B$22-Dashboard!$C$22)*((9-5)/9)^Dashboard!$B$49</f>
        <v/>
      </c>
      <c r="M9" s="11">
        <f>Dashboard!$C$22+(Dashboard!$B$22-Dashboard!$C$22)*((9-6)/9)^Dashboard!$B$49</f>
        <v/>
      </c>
      <c r="N9" s="11">
        <f>Dashboard!$C$22+(Dashboard!$B$22-Dashboard!$C$22)*((9-7)/9)^Dashboard!$B$49</f>
        <v/>
      </c>
      <c r="O9" s="11">
        <f>Dashboard!$C$22+(Dashboard!$B$22-Dashboard!$C$22)*((9-8)/9)^Dashboard!$B$49</f>
        <v/>
      </c>
      <c r="P9" s="11">
        <f>Dashboard!$C$22+(Dashboard!$B$22-Dashboard!$C$22)*((9-9)/9)^Dashboard!$B$49</f>
        <v/>
      </c>
    </row>
    <row r="10">
      <c r="A10" s="3" t="inlineStr">
        <is>
          <t>Total revenue</t>
        </is>
      </c>
      <c r="B10" s="43">
        <f>B4+B6+B8</f>
        <v/>
      </c>
      <c r="C10" s="43">
        <f>C4+C6+C8</f>
        <v/>
      </c>
      <c r="D10" s="43">
        <f>D4+D6+D8</f>
        <v/>
      </c>
      <c r="E10" s="43">
        <f>E4+E6+E8</f>
        <v/>
      </c>
      <c r="F10" s="43">
        <f>F4+F6+F8</f>
        <v/>
      </c>
      <c r="G10" s="43">
        <f>G4+G6+G8</f>
        <v/>
      </c>
      <c r="H10" s="43">
        <f>H4+H6+H8</f>
        <v/>
      </c>
      <c r="I10" s="43">
        <f>I4+I6+I8</f>
        <v/>
      </c>
      <c r="J10" s="43">
        <f>J4+J6+J8</f>
        <v/>
      </c>
      <c r="K10" s="43">
        <f>K4+K6+K8</f>
        <v/>
      </c>
      <c r="L10" s="43">
        <f>L4+L6+L8</f>
        <v/>
      </c>
      <c r="M10" s="43">
        <f>M4+M6+M8</f>
        <v/>
      </c>
      <c r="N10" s="43">
        <f>N4+N6+N8</f>
        <v/>
      </c>
      <c r="O10" s="43">
        <f>O4+O6+O8</f>
        <v/>
      </c>
      <c r="P10" s="43">
        <f>P4+P6+P8</f>
        <v/>
      </c>
    </row>
    <row r="11">
      <c r="A11" s="4" t="inlineStr">
        <is>
          <t xml:space="preserve">    growth %</t>
        </is>
      </c>
      <c r="C11" s="25">
        <f>IFERROR(C10/B10-1,"")</f>
        <v/>
      </c>
      <c r="D11" s="25">
        <f>IFERROR(D10/C10-1,"")</f>
        <v/>
      </c>
      <c r="E11" s="25">
        <f>IFERROR(E10/D10-1,"")</f>
        <v/>
      </c>
      <c r="F11" s="25">
        <f>IFERROR(F10/E10-1,"")</f>
        <v/>
      </c>
      <c r="G11" s="25">
        <f>IFERROR(G10/F10-1,"")</f>
        <v/>
      </c>
      <c r="H11" s="25">
        <f>IFERROR(H10/G10-1,"")</f>
        <v/>
      </c>
      <c r="I11" s="25">
        <f>IFERROR(I10/H10-1,"")</f>
        <v/>
      </c>
      <c r="J11" s="25">
        <f>IFERROR(J10/I10-1,"")</f>
        <v/>
      </c>
      <c r="K11" s="25">
        <f>IFERROR(K10/J10-1,"")</f>
        <v/>
      </c>
      <c r="L11" s="25">
        <f>IFERROR(L10/K10-1,"")</f>
        <v/>
      </c>
      <c r="M11" s="25">
        <f>IFERROR(M10/L10-1,"")</f>
        <v/>
      </c>
      <c r="N11" s="25">
        <f>IFERROR(N10/M10-1,"")</f>
        <v/>
      </c>
      <c r="O11" s="25">
        <f>IFERROR(O10/N10-1,"")</f>
        <v/>
      </c>
      <c r="P11" s="25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34">
        <f>SUM(Financials!I5:L5)</f>
        <v/>
      </c>
      <c r="C14" s="34">
        <f>SUM(Financials!M5:P5)</f>
        <v/>
      </c>
      <c r="D14" s="34">
        <f>SUM(Financials!Q5:T5)</f>
        <v/>
      </c>
      <c r="E14" s="34">
        <f>SUM(Financials!U5:X5)</f>
        <v/>
      </c>
      <c r="F14" s="34">
        <f>SUM(Financials!Y5:AB5)</f>
        <v/>
      </c>
      <c r="G14" s="42">
        <f>G10*G15</f>
        <v/>
      </c>
      <c r="H14" s="42">
        <f>H10*H15</f>
        <v/>
      </c>
      <c r="I14" s="42">
        <f>I10*I15</f>
        <v/>
      </c>
      <c r="J14" s="42">
        <f>J10*J15</f>
        <v/>
      </c>
      <c r="K14" s="42">
        <f>K10*K15</f>
        <v/>
      </c>
      <c r="L14" s="42">
        <f>L10*L15</f>
        <v/>
      </c>
      <c r="M14" s="42">
        <f>M10*M15</f>
        <v/>
      </c>
      <c r="N14" s="42">
        <f>N10*N15</f>
        <v/>
      </c>
      <c r="O14" s="42">
        <f>O10*O15</f>
        <v/>
      </c>
      <c r="P14" s="42">
        <f>P10*P15</f>
        <v/>
      </c>
    </row>
    <row r="15">
      <c r="A15" s="4" t="inlineStr">
        <is>
          <t xml:space="preserve">    % of revenue</t>
        </is>
      </c>
      <c r="B15" s="25">
        <f>IFERROR(B14/B10,"")</f>
        <v/>
      </c>
      <c r="C15" s="25">
        <f>IFERROR(C14/C10,"")</f>
        <v/>
      </c>
      <c r="D15" s="25">
        <f>IFERROR(D14/D10,"")</f>
        <v/>
      </c>
      <c r="E15" s="25">
        <f>IFERROR(E14/E10,"")</f>
        <v/>
      </c>
      <c r="F15" s="25">
        <f>IFERROR(F14/F10,"")</f>
        <v/>
      </c>
      <c r="G15" s="15" t="n">
        <v>0.2301542433434484</v>
      </c>
      <c r="H15" s="15" t="n">
        <v>0.2301542433434484</v>
      </c>
      <c r="I15" s="15" t="n">
        <v>0.2301542433434484</v>
      </c>
      <c r="J15" s="15" t="n">
        <v>0.2301542433434484</v>
      </c>
      <c r="K15" s="15" t="n">
        <v>0.2301542433434484</v>
      </c>
      <c r="L15" s="15" t="n">
        <v>0.2301542433434484</v>
      </c>
      <c r="M15" s="15" t="n">
        <v>0.2301542433434484</v>
      </c>
      <c r="N15" s="15" t="n">
        <v>0.2301542433434484</v>
      </c>
      <c r="O15" s="15" t="n">
        <v>0.2301542433434484</v>
      </c>
      <c r="P15" s="15" t="n">
        <v>0.2301542433434484</v>
      </c>
    </row>
    <row r="16">
      <c r="A16" s="4" t="inlineStr">
        <is>
          <t>R&amp;D / Technology</t>
        </is>
      </c>
      <c r="B16" s="34">
        <f>SUM(Financials!I7:L7)</f>
        <v/>
      </c>
      <c r="C16" s="34">
        <f>SUM(Financials!M7:P7)</f>
        <v/>
      </c>
      <c r="D16" s="34">
        <f>SUM(Financials!Q7:T7)</f>
        <v/>
      </c>
      <c r="E16" s="34">
        <f>SUM(Financials!U7:X7)</f>
        <v/>
      </c>
      <c r="F16" s="34">
        <f>SUM(Financials!Y7:AB7)</f>
        <v/>
      </c>
      <c r="G16" s="42">
        <f>G10*G17</f>
        <v/>
      </c>
      <c r="H16" s="42">
        <f>H10*H17</f>
        <v/>
      </c>
      <c r="I16" s="42">
        <f>I10*I17</f>
        <v/>
      </c>
      <c r="J16" s="42">
        <f>J10*J17</f>
        <v/>
      </c>
      <c r="K16" s="42">
        <f>K10*K17</f>
        <v/>
      </c>
      <c r="L16" s="42">
        <f>L10*L17</f>
        <v/>
      </c>
      <c r="M16" s="42">
        <f>M10*M17</f>
        <v/>
      </c>
      <c r="N16" s="42">
        <f>N10*N17</f>
        <v/>
      </c>
      <c r="O16" s="42">
        <f>O10*O17</f>
        <v/>
      </c>
      <c r="P16" s="42">
        <f>P10*P17</f>
        <v/>
      </c>
    </row>
    <row r="17">
      <c r="A17" s="4" t="inlineStr">
        <is>
          <t xml:space="preserve">    % of revenue</t>
        </is>
      </c>
      <c r="B17" s="25">
        <f>IFERROR(B16/B10,"")</f>
        <v/>
      </c>
      <c r="C17" s="25">
        <f>IFERROR(C16/C10,"")</f>
        <v/>
      </c>
      <c r="D17" s="25">
        <f>IFERROR(D16/D10,"")</f>
        <v/>
      </c>
      <c r="E17" s="25">
        <f>IFERROR(E16/E10,"")</f>
        <v/>
      </c>
      <c r="F17" s="25">
        <f>IFERROR(F16/F10,"")</f>
        <v/>
      </c>
      <c r="G17" s="15" t="n">
        <v>0.3514708588300438</v>
      </c>
      <c r="H17" s="15" t="n">
        <v>0.3514708588300438</v>
      </c>
      <c r="I17" s="15" t="n">
        <v>0.3514708588300438</v>
      </c>
      <c r="J17" s="15" t="n">
        <v>0.3514708588300438</v>
      </c>
      <c r="K17" s="15" t="n">
        <v>0.3514708588300438</v>
      </c>
      <c r="L17" s="15" t="n">
        <v>0.3514708588300438</v>
      </c>
      <c r="M17" s="15" t="n">
        <v>0.3514708588300438</v>
      </c>
      <c r="N17" s="15" t="n">
        <v>0.3514708588300438</v>
      </c>
      <c r="O17" s="15" t="n">
        <v>0.3514708588300438</v>
      </c>
      <c r="P17" s="15" t="n">
        <v>0.3514708588300438</v>
      </c>
    </row>
    <row r="18">
      <c r="A18" s="4" t="inlineStr">
        <is>
          <t>SG&amp;A</t>
        </is>
      </c>
      <c r="B18" s="34">
        <f>SUM(Financials!I9:L9)</f>
        <v/>
      </c>
      <c r="C18" s="34">
        <f>SUM(Financials!M9:P9)</f>
        <v/>
      </c>
      <c r="D18" s="34">
        <f>SUM(Financials!Q9:T9)</f>
        <v/>
      </c>
      <c r="E18" s="34">
        <f>SUM(Financials!U9:X9)</f>
        <v/>
      </c>
      <c r="F18" s="34">
        <f>SUM(Financials!Y9:AB9)</f>
        <v/>
      </c>
      <c r="G18" s="42">
        <f>G10*G19</f>
        <v/>
      </c>
      <c r="H18" s="42">
        <f>H10*H19</f>
        <v/>
      </c>
      <c r="I18" s="42">
        <f>I10*I19</f>
        <v/>
      </c>
      <c r="J18" s="42">
        <f>J10*J19</f>
        <v/>
      </c>
      <c r="K18" s="42">
        <f>K10*K19</f>
        <v/>
      </c>
      <c r="L18" s="42">
        <f>L10*L19</f>
        <v/>
      </c>
      <c r="M18" s="42">
        <f>M10*M19</f>
        <v/>
      </c>
      <c r="N18" s="42">
        <f>N10*N19</f>
        <v/>
      </c>
      <c r="O18" s="42">
        <f>O10*O19</f>
        <v/>
      </c>
      <c r="P18" s="42">
        <f>P10*P19</f>
        <v/>
      </c>
    </row>
    <row r="19">
      <c r="A19" s="4" t="inlineStr">
        <is>
          <t xml:space="preserve">    % of revenue</t>
        </is>
      </c>
      <c r="B19" s="25">
        <f>IFERROR(B18/B10,"")</f>
        <v/>
      </c>
      <c r="C19" s="25">
        <f>IFERROR(C18/C10,"")</f>
        <v/>
      </c>
      <c r="D19" s="25">
        <f>IFERROR(D18/D10,"")</f>
        <v/>
      </c>
      <c r="E19" s="25">
        <f>IFERROR(E18/E10,"")</f>
        <v/>
      </c>
      <c r="F19" s="25">
        <f>IFERROR(F18/F10,"")</f>
        <v/>
      </c>
      <c r="G19" s="15" t="n">
        <v>0.261382545209378</v>
      </c>
      <c r="H19" s="15" t="n">
        <v>0.261382545209378</v>
      </c>
      <c r="I19" s="15" t="n">
        <v>0.261382545209378</v>
      </c>
      <c r="J19" s="15" t="n">
        <v>0.261382545209378</v>
      </c>
      <c r="K19" s="15" t="n">
        <v>0.261382545209378</v>
      </c>
      <c r="L19" s="15" t="n">
        <v>0.261382545209378</v>
      </c>
      <c r="M19" s="15" t="n">
        <v>0.261382545209378</v>
      </c>
      <c r="N19" s="15" t="n">
        <v>0.261382545209378</v>
      </c>
      <c r="O19" s="15" t="n">
        <v>0.261382545209378</v>
      </c>
      <c r="P19" s="15" t="n">
        <v>0.261382545209378</v>
      </c>
    </row>
    <row r="20">
      <c r="A20" s="4" t="inlineStr">
        <is>
          <t>Other opex (fulfilment, etc.)</t>
        </is>
      </c>
      <c r="B20" s="34">
        <f>B10-(B14+B16+B18)-SUM(Financials!I13:L13)</f>
        <v/>
      </c>
      <c r="C20" s="34">
        <f>C10-(C14+C16+C18)-SUM(Financials!M13:P13)</f>
        <v/>
      </c>
      <c r="D20" s="34">
        <f>D10-(D14+D16+D18)-SUM(Financials!Q13:T13)</f>
        <v/>
      </c>
      <c r="E20" s="34">
        <f>E10-(E14+E16+E18)-SUM(Financials!U13:X13)</f>
        <v/>
      </c>
      <c r="F20" s="34">
        <f>F10-(F14+F16+F18)-SUM(Financials!Y13:AB13)</f>
        <v/>
      </c>
      <c r="G20" s="34">
        <f>G10*(1-(Dashboard!$B$29+(Dashboard!$B$30-Dashboard!$B$29)*MIN(1,0/3)))-(G14+G16+G18)</f>
        <v/>
      </c>
      <c r="H20" s="34">
        <f>H10*(1-(Dashboard!$B$29+(Dashboard!$B$30-Dashboard!$B$29)*MIN(1,1/3)))-(H14+H16+H18)</f>
        <v/>
      </c>
      <c r="I20" s="34">
        <f>I10*(1-(Dashboard!$B$29+(Dashboard!$B$30-Dashboard!$B$29)*MIN(1,2/3)))-(I14+I16+I18)</f>
        <v/>
      </c>
      <c r="J20" s="34">
        <f>J10*(1-(Dashboard!$B$29+(Dashboard!$B$30-Dashboard!$B$29)*MIN(1,3/3)))-(J14+J16+J18)</f>
        <v/>
      </c>
      <c r="K20" s="34">
        <f>K10*(1-(Dashboard!$B$29+(Dashboard!$B$30-Dashboard!$B$29)*MIN(1,4/3)))-(K14+K16+K18)</f>
        <v/>
      </c>
      <c r="L20" s="34">
        <f>L10*(1-(Dashboard!$B$29+(Dashboard!$B$30-Dashboard!$B$29)*MIN(1,5/3)))-(L14+L16+L18)</f>
        <v/>
      </c>
      <c r="M20" s="34">
        <f>M10*(1-(Dashboard!$B$29+(Dashboard!$B$30-Dashboard!$B$29)*MIN(1,6/3)))-(M14+M16+M18)</f>
        <v/>
      </c>
      <c r="N20" s="34">
        <f>N10*(1-(Dashboard!$B$29+(Dashboard!$B$30-Dashboard!$B$29)*MIN(1,7/3)))-(N14+N16+N18)</f>
        <v/>
      </c>
      <c r="O20" s="34">
        <f>O10*(1-(Dashboard!$B$29+(Dashboard!$B$30-Dashboard!$B$29)*MIN(1,8/3)))-(O14+O16+O18)</f>
        <v/>
      </c>
      <c r="P20" s="34">
        <f>P10*(1-(Dashboard!$B$29+(Dashboard!$B$30-Dashboard!$B$29)*MIN(1,9/3)))-(P14+P16+P18)</f>
        <v/>
      </c>
    </row>
    <row r="21">
      <c r="A21" s="4" t="inlineStr">
        <is>
          <t xml:space="preserve">    % of revenue</t>
        </is>
      </c>
      <c r="B21" s="25">
        <f>IFERROR(B20/B10,"")</f>
        <v/>
      </c>
      <c r="C21" s="25">
        <f>IFERROR(C20/C10,"")</f>
        <v/>
      </c>
      <c r="D21" s="25">
        <f>IFERROR(D20/D10,"")</f>
        <v/>
      </c>
      <c r="E21" s="25">
        <f>IFERROR(E20/E10,"")</f>
        <v/>
      </c>
      <c r="F21" s="25">
        <f>IFERROR(F20/F10,"")</f>
        <v/>
      </c>
      <c r="G21" s="25">
        <f>IFERROR(G20/G10,"")</f>
        <v/>
      </c>
      <c r="H21" s="25">
        <f>IFERROR(H20/H10,"")</f>
        <v/>
      </c>
      <c r="I21" s="25">
        <f>IFERROR(I20/I10,"")</f>
        <v/>
      </c>
      <c r="J21" s="25">
        <f>IFERROR(J20/J10,"")</f>
        <v/>
      </c>
      <c r="K21" s="25">
        <f>IFERROR(K20/K10,"")</f>
        <v/>
      </c>
      <c r="L21" s="25">
        <f>IFERROR(L20/L10,"")</f>
        <v/>
      </c>
      <c r="M21" s="25">
        <f>IFERROR(M20/M10,"")</f>
        <v/>
      </c>
      <c r="N21" s="25">
        <f>IFERROR(N20/N10,"")</f>
        <v/>
      </c>
      <c r="O21" s="25">
        <f>IFERROR(O20/O10,"")</f>
        <v/>
      </c>
      <c r="P21" s="25">
        <f>IFERROR(P20/P10,"")</f>
        <v/>
      </c>
    </row>
    <row r="23">
      <c r="A23" s="3" t="inlineStr">
        <is>
          <t>Operating income (EBIT)</t>
        </is>
      </c>
      <c r="B23" s="43">
        <f>B10-(B14+B16+B18)-B20</f>
        <v/>
      </c>
      <c r="C23" s="43">
        <f>C10-(C14+C16+C18)-C20</f>
        <v/>
      </c>
      <c r="D23" s="43">
        <f>D10-(D14+D16+D18)-D20</f>
        <v/>
      </c>
      <c r="E23" s="43">
        <f>E10-(E14+E16+E18)-E20</f>
        <v/>
      </c>
      <c r="F23" s="43">
        <f>F10-(F14+F16+F18)-F20</f>
        <v/>
      </c>
      <c r="G23" s="43">
        <f>G10-(G14+G16+G18)-G20</f>
        <v/>
      </c>
      <c r="H23" s="43">
        <f>H10-(H14+H16+H18)-H20</f>
        <v/>
      </c>
      <c r="I23" s="43">
        <f>I10-(I14+I16+I18)-I20</f>
        <v/>
      </c>
      <c r="J23" s="43">
        <f>J10-(J14+J16+J18)-J20</f>
        <v/>
      </c>
      <c r="K23" s="43">
        <f>K10-(K14+K16+K18)-K20</f>
        <v/>
      </c>
      <c r="L23" s="43">
        <f>L10-(L14+L16+L18)-L20</f>
        <v/>
      </c>
      <c r="M23" s="43">
        <f>M10-(M14+M16+M18)-M20</f>
        <v/>
      </c>
      <c r="N23" s="43">
        <f>N10-(N14+N16+N18)-N20</f>
        <v/>
      </c>
      <c r="O23" s="43">
        <f>O10-(O14+O16+O18)-O20</f>
        <v/>
      </c>
      <c r="P23" s="43">
        <f>P10-(P14+P16+P18)-P20</f>
        <v/>
      </c>
    </row>
    <row r="24">
      <c r="A24" s="4" t="inlineStr">
        <is>
          <t xml:space="preserve">    operating margin</t>
        </is>
      </c>
      <c r="B24" s="25">
        <f>IFERROR(B23/B10,"")</f>
        <v/>
      </c>
      <c r="C24" s="25">
        <f>IFERROR(C23/C10,"")</f>
        <v/>
      </c>
      <c r="D24" s="25">
        <f>IFERROR(D23/D10,"")</f>
        <v/>
      </c>
      <c r="E24" s="25">
        <f>IFERROR(E23/E10,"")</f>
        <v/>
      </c>
      <c r="F24" s="25">
        <f>IFERROR(F23/F10,"")</f>
        <v/>
      </c>
      <c r="G24" s="25">
        <f>IFERROR(G23/G10,"")</f>
        <v/>
      </c>
      <c r="H24" s="25">
        <f>IFERROR(H23/H10,"")</f>
        <v/>
      </c>
      <c r="I24" s="25">
        <f>IFERROR(I23/I10,"")</f>
        <v/>
      </c>
      <c r="J24" s="25">
        <f>IFERROR(J23/J10,"")</f>
        <v/>
      </c>
      <c r="K24" s="25">
        <f>IFERROR(K23/K10,"")</f>
        <v/>
      </c>
      <c r="L24" s="25">
        <f>IFERROR(L23/L10,"")</f>
        <v/>
      </c>
      <c r="M24" s="25">
        <f>IFERROR(M23/M10,"")</f>
        <v/>
      </c>
      <c r="N24" s="25">
        <f>IFERROR(N23/N10,"")</f>
        <v/>
      </c>
      <c r="O24" s="25">
        <f>IFERROR(O23/O10,"")</f>
        <v/>
      </c>
      <c r="P24" s="25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34">
        <f>B23*(1-Valuation!$B$5)</f>
        <v/>
      </c>
      <c r="C27" s="34">
        <f>C23*(1-Valuation!$B$5)</f>
        <v/>
      </c>
      <c r="D27" s="34">
        <f>D23*(1-Valuation!$B$5)</f>
        <v/>
      </c>
      <c r="E27" s="34">
        <f>E23*(1-Valuation!$B$5)</f>
        <v/>
      </c>
      <c r="F27" s="34">
        <f>F23*(1-Valuation!$B$5)</f>
        <v/>
      </c>
      <c r="G27" s="34">
        <f>G23*(1-Valuation!$B$5)</f>
        <v/>
      </c>
      <c r="H27" s="34">
        <f>H23*(1-Valuation!$B$5)</f>
        <v/>
      </c>
      <c r="I27" s="34">
        <f>I23*(1-Valuation!$B$5)</f>
        <v/>
      </c>
      <c r="J27" s="34">
        <f>J23*(1-Valuation!$B$5)</f>
        <v/>
      </c>
      <c r="K27" s="34">
        <f>K23*(1-Valuation!$B$5)</f>
        <v/>
      </c>
      <c r="L27" s="34">
        <f>L23*(1-Valuation!$B$5)</f>
        <v/>
      </c>
      <c r="M27" s="34">
        <f>M23*(1-Valuation!$B$5)</f>
        <v/>
      </c>
      <c r="N27" s="34">
        <f>N23*(1-Valuation!$B$5)</f>
        <v/>
      </c>
      <c r="O27" s="34">
        <f>O23*(1-Valuation!$B$5)</f>
        <v/>
      </c>
      <c r="P27" s="34">
        <f>P23*(1-Valuation!$B$5)</f>
        <v/>
      </c>
    </row>
    <row r="28">
      <c r="A28" s="4" t="inlineStr">
        <is>
          <t>+ D&amp;A</t>
        </is>
      </c>
      <c r="B28" s="34">
        <f>SUM(Financials!I53:L53)</f>
        <v/>
      </c>
      <c r="C28" s="34">
        <f>SUM(Financials!M53:P53)</f>
        <v/>
      </c>
      <c r="D28" s="34">
        <f>SUM(Financials!Q53:T53)</f>
        <v/>
      </c>
      <c r="E28" s="34">
        <f>SUM(Financials!U53:X53)</f>
        <v/>
      </c>
      <c r="F28" s="34">
        <f>SUM(Financials!Y53:AB53)</f>
        <v/>
      </c>
      <c r="G28" s="42">
        <f>G10*0.0936</f>
        <v/>
      </c>
      <c r="H28" s="42">
        <f>H10*0.0936</f>
        <v/>
      </c>
      <c r="I28" s="42">
        <f>I10*0.0936</f>
        <v/>
      </c>
      <c r="J28" s="42">
        <f>J10*0.0936</f>
        <v/>
      </c>
      <c r="K28" s="42">
        <f>K10*0.0936</f>
        <v/>
      </c>
      <c r="L28" s="42">
        <f>L10*0.0936</f>
        <v/>
      </c>
      <c r="M28" s="42">
        <f>M10*0.0936</f>
        <v/>
      </c>
      <c r="N28" s="42">
        <f>N10*0.0936</f>
        <v/>
      </c>
      <c r="O28" s="42">
        <f>O10*0.0936</f>
        <v/>
      </c>
      <c r="P28" s="42">
        <f>P10*0.0936</f>
        <v/>
      </c>
    </row>
    <row r="29">
      <c r="A29" s="4" t="inlineStr">
        <is>
          <t>+ SBC (non-cash)</t>
        </is>
      </c>
      <c r="B29" s="34">
        <f>SUM(Financials!I54:L54)</f>
        <v/>
      </c>
      <c r="C29" s="34">
        <f>SUM(Financials!M54:P54)</f>
        <v/>
      </c>
      <c r="D29" s="34">
        <f>SUM(Financials!Q54:T54)</f>
        <v/>
      </c>
      <c r="E29" s="34">
        <f>SUM(Financials!U54:X54)</f>
        <v/>
      </c>
      <c r="F29" s="34">
        <f>SUM(Financials!Y54:AB54)</f>
        <v/>
      </c>
      <c r="G29" s="34">
        <f>G10*(Dashboard!$B$65+(Dashboard!$B$66-Dashboard!$B$65)*0/9)</f>
        <v/>
      </c>
      <c r="H29" s="34">
        <f>H10*(Dashboard!$B$65+(Dashboard!$B$66-Dashboard!$B$65)*1/9)</f>
        <v/>
      </c>
      <c r="I29" s="34">
        <f>I10*(Dashboard!$B$65+(Dashboard!$B$66-Dashboard!$B$65)*2/9)</f>
        <v/>
      </c>
      <c r="J29" s="34">
        <f>J10*(Dashboard!$B$65+(Dashboard!$B$66-Dashboard!$B$65)*3/9)</f>
        <v/>
      </c>
      <c r="K29" s="34">
        <f>K10*(Dashboard!$B$65+(Dashboard!$B$66-Dashboard!$B$65)*4/9)</f>
        <v/>
      </c>
      <c r="L29" s="34">
        <f>L10*(Dashboard!$B$65+(Dashboard!$B$66-Dashboard!$B$65)*5/9)</f>
        <v/>
      </c>
      <c r="M29" s="34">
        <f>M10*(Dashboard!$B$65+(Dashboard!$B$66-Dashboard!$B$65)*6/9)</f>
        <v/>
      </c>
      <c r="N29" s="34">
        <f>N10*(Dashboard!$B$65+(Dashboard!$B$66-Dashboard!$B$65)*7/9)</f>
        <v/>
      </c>
      <c r="O29" s="34">
        <f>O10*(Dashboard!$B$65+(Dashboard!$B$66-Dashboard!$B$65)*8/9)</f>
        <v/>
      </c>
      <c r="P29" s="34">
        <f>P10*(Dashboard!$B$65+(Dashboard!$B$66-Dashboard!$B$65)*9/9)</f>
        <v/>
      </c>
    </row>
    <row r="30">
      <c r="A30" s="4" t="inlineStr">
        <is>
          <t>- dNWC</t>
        </is>
      </c>
      <c r="G30" s="42">
        <f>(G10-F10)*0.0050</f>
        <v/>
      </c>
      <c r="H30" s="42">
        <f>(H10-G10)*0.0050</f>
        <v/>
      </c>
      <c r="I30" s="42">
        <f>(I10-H10)*0.0050</f>
        <v/>
      </c>
      <c r="J30" s="42">
        <f>(J10-I10)*0.0050</f>
        <v/>
      </c>
      <c r="K30" s="42">
        <f>(K10-J10)*0.0050</f>
        <v/>
      </c>
      <c r="L30" s="42">
        <f>(L10-K10)*0.0050</f>
        <v/>
      </c>
      <c r="M30" s="42">
        <f>(M10-L10)*0.0050</f>
        <v/>
      </c>
      <c r="N30" s="42">
        <f>(N10-M10)*0.0050</f>
        <v/>
      </c>
      <c r="O30" s="42">
        <f>(O10-N10)*0.0050</f>
        <v/>
      </c>
      <c r="P30" s="42">
        <f>(P10-O10)*0.0050</f>
        <v/>
      </c>
    </row>
    <row r="31">
      <c r="A31" s="4" t="inlineStr">
        <is>
          <t>- Capex</t>
        </is>
      </c>
      <c r="B31" s="34">
        <f>-SUM(Financials!I57:L57)</f>
        <v/>
      </c>
      <c r="C31" s="34">
        <f>-SUM(Financials!M57:P57)</f>
        <v/>
      </c>
      <c r="D31" s="34">
        <f>-SUM(Financials!Q57:T57)</f>
        <v/>
      </c>
      <c r="E31" s="34">
        <f>-SUM(Financials!U57:X57)</f>
        <v/>
      </c>
      <c r="F31" s="34">
        <f>-SUM(Financials!Y57:AB57)</f>
        <v/>
      </c>
      <c r="G31" s="42">
        <f>G28*G32</f>
        <v/>
      </c>
      <c r="H31" s="42">
        <f>H28*H32</f>
        <v/>
      </c>
      <c r="I31" s="42">
        <f>I28*I32</f>
        <v/>
      </c>
      <c r="J31" s="42">
        <f>J28*J32</f>
        <v/>
      </c>
      <c r="K31" s="42">
        <f>K28*K32</f>
        <v/>
      </c>
      <c r="L31" s="42">
        <f>L28*L32</f>
        <v/>
      </c>
      <c r="M31" s="42">
        <f>M28*M32</f>
        <v/>
      </c>
      <c r="N31" s="42">
        <f>N28*N32</f>
        <v/>
      </c>
      <c r="O31" s="42">
        <f>O28*O32</f>
        <v/>
      </c>
      <c r="P31" s="42">
        <f>P28*P32</f>
        <v/>
      </c>
    </row>
    <row r="32">
      <c r="A32" s="4" t="inlineStr">
        <is>
          <t xml:space="preserve">    Capex / D&amp;A  (from Dashboard: $cap'26 -&gt; terminal)</t>
        </is>
      </c>
      <c r="B32" s="26">
        <f>IFERROR(B31/B28,"")</f>
        <v/>
      </c>
      <c r="C32" s="26">
        <f>IFERROR(C31/C28,"")</f>
        <v/>
      </c>
      <c r="D32" s="26">
        <f>IFERROR(D31/D28,"")</f>
        <v/>
      </c>
      <c r="E32" s="26">
        <f>IFERROR(E31/E28,"")</f>
        <v/>
      </c>
      <c r="F32" s="26">
        <f>IFERROR(F31/F28,"")</f>
        <v/>
      </c>
      <c r="G32" s="13">
        <f>(Dashboard!$B$34/G28)+(Dashboard!$B$35-(Dashboard!$B$34/G28))*0/9</f>
        <v/>
      </c>
      <c r="H32" s="13">
        <f>(Dashboard!$B$34/G28)+(Dashboard!$B$35-(Dashboard!$B$34/G28))*1/9</f>
        <v/>
      </c>
      <c r="I32" s="13">
        <f>(Dashboard!$B$34/G28)+(Dashboard!$B$35-(Dashboard!$B$34/G28))*2/9</f>
        <v/>
      </c>
      <c r="J32" s="13">
        <f>(Dashboard!$B$34/G28)+(Dashboard!$B$35-(Dashboard!$B$34/G28))*3/9</f>
        <v/>
      </c>
      <c r="K32" s="13">
        <f>(Dashboard!$B$34/G28)+(Dashboard!$B$35-(Dashboard!$B$34/G28))*4/9</f>
        <v/>
      </c>
      <c r="L32" s="13">
        <f>(Dashboard!$B$34/G28)+(Dashboard!$B$35-(Dashboard!$B$34/G28))*5/9</f>
        <v/>
      </c>
      <c r="M32" s="13">
        <f>(Dashboard!$B$34/G28)+(Dashboard!$B$35-(Dashboard!$B$34/G28))*6/9</f>
        <v/>
      </c>
      <c r="N32" s="13">
        <f>(Dashboard!$B$34/G28)+(Dashboard!$B$35-(Dashboard!$B$34/G28))*7/9</f>
        <v/>
      </c>
      <c r="O32" s="13">
        <f>(Dashboard!$B$34/G28)+(Dashboard!$B$35-(Dashboard!$B$34/G28))*8/9</f>
        <v/>
      </c>
      <c r="P32" s="13">
        <f>(Dashboard!$B$34/G28)+(Dashboard!$B$35-(Dashboard!$B$34/G28))*9/9</f>
        <v/>
      </c>
    </row>
    <row r="34">
      <c r="A34" s="3" t="inlineStr">
        <is>
          <t>FCFF (firm)</t>
        </is>
      </c>
      <c r="B34" s="43">
        <f>B27+B28+B29-B30-B31</f>
        <v/>
      </c>
      <c r="C34" s="43">
        <f>C27+C28+C29-C30-C31</f>
        <v/>
      </c>
      <c r="D34" s="43">
        <f>D27+D28+D29-D30-D31</f>
        <v/>
      </c>
      <c r="E34" s="43">
        <f>E27+E28+E29-E30-E31</f>
        <v/>
      </c>
      <c r="F34" s="43">
        <f>F27+F28+F29-F30-F31</f>
        <v/>
      </c>
      <c r="G34" s="43">
        <f>G27+G28+G29-G30-G31</f>
        <v/>
      </c>
      <c r="H34" s="43">
        <f>H27+H28+H29-H30-H31</f>
        <v/>
      </c>
      <c r="I34" s="43">
        <f>I27+I28+I29-I30-I31</f>
        <v/>
      </c>
      <c r="J34" s="43">
        <f>J27+J28+J29-J30-J31</f>
        <v/>
      </c>
      <c r="K34" s="43">
        <f>K27+K28+K29-K30-K31</f>
        <v/>
      </c>
      <c r="L34" s="43">
        <f>L27+L28+L29-L30-L31</f>
        <v/>
      </c>
      <c r="M34" s="43">
        <f>M27+M28+M29-M30-M31</f>
        <v/>
      </c>
      <c r="N34" s="43">
        <f>N27+N28+N29-N30-N31</f>
        <v/>
      </c>
      <c r="O34" s="43">
        <f>O27+O28+O29-O30-O31</f>
        <v/>
      </c>
      <c r="P34" s="43">
        <f>P27+P28+P29-P30-P31</f>
        <v/>
      </c>
    </row>
    <row r="35">
      <c r="A35" s="3" t="inlineStr">
        <is>
          <t>Valuation FCF (NOPAT + D&amp;A - dNWC - Capex - after-tax SBC)</t>
        </is>
      </c>
      <c r="B35" s="44">
        <f>B34-B29-B29*(1-Valuation!$B$5)</f>
        <v/>
      </c>
      <c r="C35" s="44">
        <f>C34-C29-C29*(1-Valuation!$B$5)</f>
        <v/>
      </c>
      <c r="D35" s="44">
        <f>D34-D29-D29*(1-Valuation!$B$5)</f>
        <v/>
      </c>
      <c r="E35" s="44">
        <f>E34-E29-E29*(1-Valuation!$B$5)</f>
        <v/>
      </c>
      <c r="F35" s="44">
        <f>F34-F29-F29*(1-Valuation!$B$5)</f>
        <v/>
      </c>
      <c r="G35" s="44">
        <f>G34-G29-G29*(1-Valuation!$B$5)</f>
        <v/>
      </c>
      <c r="H35" s="44">
        <f>H34-H29-H29*(1-Valuation!$B$5)</f>
        <v/>
      </c>
      <c r="I35" s="44">
        <f>I34-I29-I29*(1-Valuation!$B$5)</f>
        <v/>
      </c>
      <c r="J35" s="44">
        <f>J34-J29-J29*(1-Valuation!$B$5)</f>
        <v/>
      </c>
      <c r="K35" s="44">
        <f>K34-K29-K29*(1-Valuation!$B$5)</f>
        <v/>
      </c>
      <c r="L35" s="44">
        <f>L34-L29-L29*(1-Valuation!$B$5)</f>
        <v/>
      </c>
      <c r="M35" s="44">
        <f>M34-M29-M29*(1-Valuation!$B$5)</f>
        <v/>
      </c>
      <c r="N35" s="44">
        <f>N34-N29-N29*(1-Valuation!$B$5)</f>
        <v/>
      </c>
      <c r="O35" s="44">
        <f>O34-O29-O29*(1-Valuation!$B$5)</f>
        <v/>
      </c>
      <c r="P35" s="44">
        <f>P34-P29-P29*(1-Valuation!$B$5)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34">
        <f>Financials!L51+Financials!L50-Financials!L45</f>
        <v/>
      </c>
      <c r="C38" s="34">
        <f>Financials!P51+Financials!P50-Financials!P45</f>
        <v/>
      </c>
      <c r="D38" s="34">
        <f>Financials!T51+Financials!T50-Financials!T45</f>
        <v/>
      </c>
      <c r="E38" s="34">
        <f>Financials!X51+Financials!X50-Financials!X45</f>
        <v/>
      </c>
      <c r="F38" s="34">
        <f>Financials!AB51+Financials!AB50-Financials!AB45</f>
        <v/>
      </c>
      <c r="G38" s="42">
        <f>F38+G31-G28+G30</f>
        <v/>
      </c>
      <c r="H38" s="42">
        <f>G38+H31-H28+H30</f>
        <v/>
      </c>
      <c r="I38" s="42">
        <f>H38+I31-I28+I30</f>
        <v/>
      </c>
      <c r="J38" s="42">
        <f>I38+J31-J28+J30</f>
        <v/>
      </c>
      <c r="K38" s="42">
        <f>J38+K31-K28+K30</f>
        <v/>
      </c>
      <c r="L38" s="42">
        <f>K38+L31-L28+L30</f>
        <v/>
      </c>
      <c r="M38" s="42">
        <f>L38+M31-M28+M30</f>
        <v/>
      </c>
      <c r="N38" s="42">
        <f>M38+N31-N28+N30</f>
        <v/>
      </c>
      <c r="O38" s="42">
        <f>N38+O31-O28+O30</f>
        <v/>
      </c>
      <c r="P38" s="42">
        <f>O38+P31-P28+P30</f>
        <v/>
      </c>
    </row>
    <row r="39">
      <c r="A39" s="4" t="inlineStr">
        <is>
          <t>Book equity (year-end)</t>
        </is>
      </c>
      <c r="B39" s="34">
        <f>Financials!L51</f>
        <v/>
      </c>
      <c r="C39" s="34">
        <f>Financials!P51</f>
        <v/>
      </c>
      <c r="D39" s="34">
        <f>Financials!T51</f>
        <v/>
      </c>
      <c r="E39" s="34">
        <f>Financials!X51</f>
        <v/>
      </c>
      <c r="F39" s="34">
        <f>Financials!AB51</f>
        <v/>
      </c>
      <c r="G39" s="42">
        <f>F39+G27</f>
        <v/>
      </c>
      <c r="H39" s="42">
        <f>G39+H27</f>
        <v/>
      </c>
      <c r="I39" s="42">
        <f>H39+I27</f>
        <v/>
      </c>
      <c r="J39" s="42">
        <f>I39+J27</f>
        <v/>
      </c>
      <c r="K39" s="42">
        <f>J39+K27</f>
        <v/>
      </c>
      <c r="L39" s="42">
        <f>K39+L27</f>
        <v/>
      </c>
      <c r="M39" s="42">
        <f>L39+M27</f>
        <v/>
      </c>
      <c r="N39" s="42">
        <f>M39+N27</f>
        <v/>
      </c>
      <c r="O39" s="42">
        <f>N39+O27</f>
        <v/>
      </c>
      <c r="P39" s="42">
        <f>O39+P27</f>
        <v/>
      </c>
    </row>
    <row r="40">
      <c r="A40" s="3" t="inlineStr">
        <is>
          <t xml:space="preserve">  ROIC (NOPAT / beg. invested capital)</t>
        </is>
      </c>
      <c r="C40" s="25">
        <f>IFERROR(C27/B38,"")</f>
        <v/>
      </c>
      <c r="D40" s="25">
        <f>IFERROR(D27/C38,"")</f>
        <v/>
      </c>
      <c r="E40" s="25">
        <f>IFERROR(E27/D38,"")</f>
        <v/>
      </c>
      <c r="F40" s="25">
        <f>IFERROR(F27/E38,"")</f>
        <v/>
      </c>
      <c r="G40" s="25">
        <f>IFERROR(G27/F38,"")</f>
        <v/>
      </c>
      <c r="H40" s="25">
        <f>IFERROR(H27/G38,"")</f>
        <v/>
      </c>
      <c r="I40" s="25">
        <f>IFERROR(I27/H38,"")</f>
        <v/>
      </c>
      <c r="J40" s="25">
        <f>IFERROR(J27/I38,"")</f>
        <v/>
      </c>
      <c r="K40" s="25">
        <f>IFERROR(K27/J38,"")</f>
        <v/>
      </c>
      <c r="L40" s="25">
        <f>IFERROR(L27/K38,"")</f>
        <v/>
      </c>
      <c r="M40" s="25">
        <f>IFERROR(M27/L38,"")</f>
        <v/>
      </c>
      <c r="N40" s="25">
        <f>IFERROR(N27/M38,"")</f>
        <v/>
      </c>
      <c r="O40" s="25">
        <f>IFERROR(O27/N38,"")</f>
        <v/>
      </c>
      <c r="P40" s="25">
        <f>IFERROR(P27/O38,"")</f>
        <v/>
      </c>
    </row>
    <row r="41">
      <c r="A41" s="3" t="inlineStr">
        <is>
          <t xml:space="preserve">  ROE (earnings / beg. equity)</t>
        </is>
      </c>
      <c r="C41" s="11">
        <f>IFERROR(SUM(Financials!M15:P15)/B39,"")</f>
        <v/>
      </c>
      <c r="D41" s="11">
        <f>IFERROR(SUM(Financials!Q15:T15)/C39,"")</f>
        <v/>
      </c>
      <c r="E41" s="11">
        <f>IFERROR(SUM(Financials!U15:X15)/D39,"")</f>
        <v/>
      </c>
      <c r="F41" s="11">
        <f>IFERROR(SUM(Financials!Y15:AB15)/E39,"")</f>
        <v/>
      </c>
      <c r="G41" s="25">
        <f>IFERROR(G27/F39,"")</f>
        <v/>
      </c>
      <c r="H41" s="25">
        <f>IFERROR(H27/G39,"")</f>
        <v/>
      </c>
      <c r="I41" s="25">
        <f>IFERROR(I27/H39,"")</f>
        <v/>
      </c>
      <c r="J41" s="25">
        <f>IFERROR(J27/I39,"")</f>
        <v/>
      </c>
      <c r="K41" s="25">
        <f>IFERROR(K27/J39,"")</f>
        <v/>
      </c>
      <c r="L41" s="25">
        <f>IFERROR(L27/K39,"")</f>
        <v/>
      </c>
      <c r="M41" s="25">
        <f>IFERROR(M27/L39,"")</f>
        <v/>
      </c>
      <c r="N41" s="25">
        <f>IFERROR(N27/M39,"")</f>
        <v/>
      </c>
      <c r="O41" s="25">
        <f>IFERROR(O27/N39,"")</f>
        <v/>
      </c>
      <c r="P41" s="25">
        <f>IFERROR(P27/O39,"")</f>
        <v/>
      </c>
    </row>
    <row r="42">
      <c r="A42" s="4" t="inlineStr">
        <is>
          <t xml:space="preserve">  ROIC - WACC spread (value created)</t>
        </is>
      </c>
      <c r="C42" s="11">
        <f>IFERROR(C40-WACC!$B$15,"")</f>
        <v/>
      </c>
      <c r="D42" s="11">
        <f>IFERROR(D40-WACC!$B$15,"")</f>
        <v/>
      </c>
      <c r="E42" s="11">
        <f>IFERROR(E40-WACC!$B$15,"")</f>
        <v/>
      </c>
      <c r="F42" s="11">
        <f>IFERROR(F40-WACC!$B$15,"")</f>
        <v/>
      </c>
      <c r="G42" s="11">
        <f>IFERROR(G40-WACC!$B$15,"")</f>
        <v/>
      </c>
      <c r="H42" s="11">
        <f>IFERROR(H40-WACC!$B$15,"")</f>
        <v/>
      </c>
      <c r="I42" s="11">
        <f>IFERROR(I40-WACC!$B$15,"")</f>
        <v/>
      </c>
      <c r="J42" s="11">
        <f>IFERROR(J40-WACC!$B$15,"")</f>
        <v/>
      </c>
      <c r="K42" s="11">
        <f>IFERROR(K40-WACC!$B$15,"")</f>
        <v/>
      </c>
      <c r="L42" s="11">
        <f>IFERROR(L40-WACC!$B$15,"")</f>
        <v/>
      </c>
      <c r="M42" s="11">
        <f>IFERROR(M40-WACC!$B$15,"")</f>
        <v/>
      </c>
      <c r="N42" s="11">
        <f>IFERROR(N40-WACC!$B$15,"")</f>
        <v/>
      </c>
      <c r="O42" s="11">
        <f>IFERROR(O40-WACC!$B$15,"")</f>
        <v/>
      </c>
      <c r="P42" s="11">
        <f>IFERROR(P40-WACC!$B$15,"")</f>
        <v/>
      </c>
    </row>
    <row r="43">
      <c r="A43" s="4" t="inlineStr">
        <is>
          <t xml:space="preserve">  Incremental op margin (ΔEBIT / ΔRev)</t>
        </is>
      </c>
      <c r="C43" s="25">
        <f>IFERROR((C23-B23)/(C10-B10),"")</f>
        <v/>
      </c>
      <c r="D43" s="25">
        <f>IFERROR((D23-C23)/(D10-C10),"")</f>
        <v/>
      </c>
      <c r="E43" s="25">
        <f>IFERROR((E23-D23)/(E10-D10),"")</f>
        <v/>
      </c>
      <c r="F43" s="25">
        <f>IFERROR((F23-E23)/(F10-E10),"")</f>
        <v/>
      </c>
      <c r="G43" s="25">
        <f>IFERROR((G23-F23)/(G10-F10),"")</f>
        <v/>
      </c>
      <c r="H43" s="25">
        <f>IFERROR((H23-G23)/(H10-G10),"")</f>
        <v/>
      </c>
      <c r="I43" s="25">
        <f>IFERROR((I23-H23)/(I10-H10),"")</f>
        <v/>
      </c>
      <c r="J43" s="25">
        <f>IFERROR((J23-I23)/(J10-I10),"")</f>
        <v/>
      </c>
      <c r="K43" s="25">
        <f>IFERROR((K23-J23)/(K10-J10),"")</f>
        <v/>
      </c>
      <c r="L43" s="25">
        <f>IFERROR((L23-K23)/(L10-K10),"")</f>
        <v/>
      </c>
      <c r="M43" s="25">
        <f>IFERROR((M23-L23)/(M10-L10),"")</f>
        <v/>
      </c>
      <c r="N43" s="25">
        <f>IFERROR((N23-M23)/(N10-M10),"")</f>
        <v/>
      </c>
      <c r="O43" s="25">
        <f>IFERROR((O23-N23)/(O10-N10),"")</f>
        <v/>
      </c>
      <c r="P43" s="25">
        <f>IFERROR((P23-O23)/(P10-O10),"")</f>
        <v/>
      </c>
    </row>
    <row r="44">
      <c r="A44" s="3" t="inlineStr">
        <is>
          <t xml:space="preserve">  ROIIC (ΔNOPAT / ΔInvested capital)</t>
        </is>
      </c>
      <c r="C44" s="25">
        <f>IFERROR((C27-B27)/(C38-B38),"")</f>
        <v/>
      </c>
      <c r="D44" s="25">
        <f>IFERROR((D27-C27)/(D38-C38),"")</f>
        <v/>
      </c>
      <c r="E44" s="25">
        <f>IFERROR((E27-D27)/(E38-D38),"")</f>
        <v/>
      </c>
      <c r="F44" s="25">
        <f>IFERROR((F27-E27)/(F38-E38),"")</f>
        <v/>
      </c>
      <c r="G44" s="25">
        <f>IFERROR((G27-F27)/(G38-F38),"")</f>
        <v/>
      </c>
      <c r="H44" s="25">
        <f>IFERROR((H27-G27)/(H38-G38),"")</f>
        <v/>
      </c>
      <c r="I44" s="25">
        <f>IFERROR((I27-H27)/(I38-H38),"")</f>
        <v/>
      </c>
      <c r="J44" s="25">
        <f>IFERROR((J27-I27)/(J38-I38),"")</f>
        <v/>
      </c>
      <c r="K44" s="25">
        <f>IFERROR((K27-J27)/(K38-J38),"")</f>
        <v/>
      </c>
      <c r="L44" s="25">
        <f>IFERROR((L27-K27)/(L38-K38),"")</f>
        <v/>
      </c>
      <c r="M44" s="25">
        <f>IFERROR((M27-L27)/(M38-L38),"")</f>
        <v/>
      </c>
      <c r="N44" s="25">
        <f>IFERROR((N27-M27)/(N38-M38),"")</f>
        <v/>
      </c>
      <c r="O44" s="25">
        <f>IFERROR((O27-N27)/(O38-N38),"")</f>
        <v/>
      </c>
      <c r="P44" s="25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45">
        <f>IFERROR((C10-B10)/(C38-B38),"")</f>
        <v/>
      </c>
      <c r="D45" s="45">
        <f>IFERROR((D10-C10)/(D38-C38),"")</f>
        <v/>
      </c>
      <c r="E45" s="45">
        <f>IFERROR((E10-D10)/(E38-D38),"")</f>
        <v/>
      </c>
      <c r="F45" s="45">
        <f>IFERROR((F10-E10)/(F38-E38),"")</f>
        <v/>
      </c>
      <c r="G45" s="45">
        <f>IFERROR((G10-F10)/(G38-F38),"")</f>
        <v/>
      </c>
      <c r="H45" s="45">
        <f>IFERROR((H10-G10)/(H38-G38),"")</f>
        <v/>
      </c>
      <c r="I45" s="45">
        <f>IFERROR((I10-H10)/(I38-H38),"")</f>
        <v/>
      </c>
      <c r="J45" s="45">
        <f>IFERROR((J10-I10)/(J38-I38),"")</f>
        <v/>
      </c>
      <c r="K45" s="45">
        <f>IFERROR((K10-J10)/(K38-J38),"")</f>
        <v/>
      </c>
      <c r="L45" s="45">
        <f>IFERROR((L10-K10)/(L38-K38),"")</f>
        <v/>
      </c>
      <c r="M45" s="45">
        <f>IFERROR((M10-L10)/(M38-L38),"")</f>
        <v/>
      </c>
      <c r="N45" s="45">
        <f>IFERROR((N10-M10)/(N38-M38),"")</f>
        <v/>
      </c>
      <c r="O45" s="45">
        <f>IFERROR((O10-N10)/(O38-N38),"")</f>
        <v/>
      </c>
      <c r="P45" s="45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25">
        <f>IFERROR((C38-B38)/C27,"")</f>
        <v/>
      </c>
      <c r="D46" s="25">
        <f>IFERROR((D38-C38)/D27,"")</f>
        <v/>
      </c>
      <c r="E46" s="25">
        <f>IFERROR((E38-D38)/E27,"")</f>
        <v/>
      </c>
      <c r="F46" s="25">
        <f>IFERROR((F38-E38)/F27,"")</f>
        <v/>
      </c>
      <c r="G46" s="25">
        <f>IFERROR((G38-F38)/G27,"")</f>
        <v/>
      </c>
      <c r="H46" s="25">
        <f>IFERROR((H38-G38)/H27,"")</f>
        <v/>
      </c>
      <c r="I46" s="25">
        <f>IFERROR((I38-H38)/I27,"")</f>
        <v/>
      </c>
      <c r="J46" s="25">
        <f>IFERROR((J38-I38)/J27,"")</f>
        <v/>
      </c>
      <c r="K46" s="25">
        <f>IFERROR((K38-J38)/K27,"")</f>
        <v/>
      </c>
      <c r="L46" s="25">
        <f>IFERROR((L38-K38)/L27,"")</f>
        <v/>
      </c>
      <c r="M46" s="25">
        <f>IFERROR((M38-L38)/M27,"")</f>
        <v/>
      </c>
      <c r="N46" s="25">
        <f>IFERROR((N38-M38)/N27,"")</f>
        <v/>
      </c>
      <c r="O46" s="25">
        <f>IFERROR((O38-N38)/O27,"")</f>
        <v/>
      </c>
      <c r="P46" s="25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Q2 2019</t>
        </is>
      </c>
      <c r="C1" s="46" t="inlineStr">
        <is>
          <t>Q3 2019</t>
        </is>
      </c>
      <c r="D1" s="46" t="inlineStr">
        <is>
          <t>Q4 2019</t>
        </is>
      </c>
      <c r="E1" s="46" t="inlineStr">
        <is>
          <t>Q1 2020</t>
        </is>
      </c>
      <c r="F1" s="46" t="inlineStr">
        <is>
          <t>Q2 2020</t>
        </is>
      </c>
      <c r="G1" s="46" t="inlineStr">
        <is>
          <t>Q3 2020</t>
        </is>
      </c>
      <c r="H1" s="46" t="inlineStr">
        <is>
          <t>Q4 2020</t>
        </is>
      </c>
      <c r="I1" s="46" t="inlineStr">
        <is>
          <t>Q1 2021</t>
        </is>
      </c>
      <c r="J1" s="46" t="inlineStr">
        <is>
          <t>Q2 2021</t>
        </is>
      </c>
      <c r="K1" s="46" t="inlineStr">
        <is>
          <t>Q3 2021</t>
        </is>
      </c>
      <c r="L1" s="46" t="inlineStr">
        <is>
          <t>Q4 2021</t>
        </is>
      </c>
      <c r="M1" s="46" t="inlineStr">
        <is>
          <t>Q1 2022</t>
        </is>
      </c>
      <c r="N1" s="46" t="inlineStr">
        <is>
          <t>Q2 2022</t>
        </is>
      </c>
      <c r="O1" s="46" t="inlineStr">
        <is>
          <t>Q3 2022</t>
        </is>
      </c>
      <c r="P1" s="46" t="inlineStr">
        <is>
          <t>Q4 2022</t>
        </is>
      </c>
      <c r="Q1" s="46" t="inlineStr">
        <is>
          <t>Q1 2023</t>
        </is>
      </c>
      <c r="R1" s="46" t="inlineStr">
        <is>
          <t>Q2 2023</t>
        </is>
      </c>
      <c r="S1" s="46" t="inlineStr">
        <is>
          <t>Q3 2023</t>
        </is>
      </c>
      <c r="T1" s="46" t="inlineStr">
        <is>
          <t>Q4 2023</t>
        </is>
      </c>
      <c r="U1" s="46" t="inlineStr">
        <is>
          <t>Q1 2024</t>
        </is>
      </c>
      <c r="V1" s="46" t="inlineStr">
        <is>
          <t>Q2 2024</t>
        </is>
      </c>
      <c r="W1" s="46" t="inlineStr">
        <is>
          <t>Q3 2024</t>
        </is>
      </c>
      <c r="X1" s="46" t="inlineStr">
        <is>
          <t>Q4 2024</t>
        </is>
      </c>
      <c r="Y1" s="46" t="inlineStr">
        <is>
          <t>Q1 2025</t>
        </is>
      </c>
      <c r="Z1" s="46" t="inlineStr">
        <is>
          <t>Q2 2025</t>
        </is>
      </c>
      <c r="AA1" s="46" t="inlineStr">
        <is>
          <t>Q3 2025</t>
        </is>
      </c>
      <c r="AB1" s="46" t="inlineStr">
        <is>
          <t>Q4 2025</t>
        </is>
      </c>
      <c r="AC1" s="4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836.242</v>
      </c>
      <c r="C3" s="18" t="n">
        <v>852.97</v>
      </c>
      <c r="D3" s="18" t="n">
        <v>851.081</v>
      </c>
      <c r="E3" s="18" t="n">
        <v>834.381</v>
      </c>
      <c r="F3" s="18" t="n">
        <v>861.327</v>
      </c>
      <c r="G3" s="18" t="n">
        <v>964.134</v>
      </c>
      <c r="H3" s="18" t="n">
        <v>1025.439</v>
      </c>
      <c r="I3" s="18" t="n">
        <v>970.321</v>
      </c>
      <c r="J3" s="18" t="n">
        <v>1024.323</v>
      </c>
      <c r="K3" s="18" t="n">
        <v>1057.13</v>
      </c>
      <c r="L3" s="18" t="n">
        <v>1152.419</v>
      </c>
      <c r="M3" s="18" t="n">
        <v>1270.255</v>
      </c>
      <c r="N3" s="18" t="n">
        <v>1279.229</v>
      </c>
      <c r="O3" s="18" t="n">
        <v>1247.766</v>
      </c>
      <c r="P3" s="18" t="n">
        <v>1284.292</v>
      </c>
      <c r="Q3" s="18" t="n">
        <v>1361.34</v>
      </c>
      <c r="R3" s="18" t="n">
        <v>1262.744</v>
      </c>
      <c r="S3" s="18" t="n">
        <v>1354.39</v>
      </c>
      <c r="T3" s="18" t="n">
        <v>1599.128</v>
      </c>
      <c r="U3" s="18" t="n">
        <v>1510.989</v>
      </c>
      <c r="V3" s="18" t="n">
        <v>1454.712</v>
      </c>
      <c r="W3" s="18" t="n">
        <v>1525.749</v>
      </c>
      <c r="X3" s="18" t="n">
        <v>1635.986</v>
      </c>
      <c r="Y3" s="18" t="n">
        <v>1455.315</v>
      </c>
      <c r="Z3" s="18" t="n">
        <v>1604.266</v>
      </c>
      <c r="AA3" s="18" t="n">
        <v>1739.737</v>
      </c>
      <c r="AB3" s="18" t="n">
        <v>2254.86</v>
      </c>
      <c r="AC3" s="18" t="n">
        <v>2408.798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190.679</v>
      </c>
      <c r="C5" s="18" t="n">
        <v>186.632</v>
      </c>
      <c r="D5" s="18" t="n">
        <v>182.743</v>
      </c>
      <c r="E5" s="18" t="n">
        <v>192.868</v>
      </c>
      <c r="F5" s="18" t="n">
        <v>184.265</v>
      </c>
      <c r="G5" s="18" t="n">
        <v>193.008</v>
      </c>
      <c r="H5" s="18" t="n">
        <v>224.549</v>
      </c>
      <c r="I5" s="18" t="n">
        <v>207.999</v>
      </c>
      <c r="J5" s="18" t="n">
        <v>213.986</v>
      </c>
      <c r="K5" s="18" t="n">
        <v>205.066</v>
      </c>
      <c r="L5" s="18" t="n">
        <v>234.726</v>
      </c>
      <c r="M5" s="18" t="n">
        <v>256.984</v>
      </c>
      <c r="N5" s="18" t="n">
        <v>252.811</v>
      </c>
      <c r="O5" s="18" t="n">
        <v>271.181</v>
      </c>
      <c r="P5" s="18" t="n">
        <v>282.721</v>
      </c>
      <c r="Q5" s="18" t="n">
        <v>284.354</v>
      </c>
      <c r="R5" s="18" t="n">
        <v>248.241</v>
      </c>
      <c r="S5" s="18" t="n">
        <v>260.432</v>
      </c>
      <c r="T5" s="18" t="n">
        <v>332.343</v>
      </c>
      <c r="U5" s="18" t="n">
        <v>279.193</v>
      </c>
      <c r="V5" s="18" t="n">
        <v>300.397</v>
      </c>
      <c r="W5" s="18" t="n">
        <v>290.676</v>
      </c>
      <c r="X5" s="18" t="n">
        <v>375.023</v>
      </c>
      <c r="Y5" s="18" t="n">
        <v>269.975</v>
      </c>
      <c r="Z5" s="18" t="n">
        <v>318.347</v>
      </c>
      <c r="AA5" s="18" t="n">
        <v>380.564</v>
      </c>
      <c r="AB5" s="18" t="n">
        <v>654.663</v>
      </c>
      <c r="AC5" s="18" t="n">
        <v>637.3819999999999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290.299</v>
      </c>
      <c r="C7" s="18" t="n">
        <v>284.804</v>
      </c>
      <c r="D7" s="18" t="n">
        <v>290.503</v>
      </c>
      <c r="E7" s="18" t="n">
        <v>314.283</v>
      </c>
      <c r="F7" s="18" t="n">
        <v>302.571</v>
      </c>
      <c r="G7" s="18" t="n">
        <v>322.602</v>
      </c>
      <c r="H7" s="18" t="n">
        <v>339.566</v>
      </c>
      <c r="I7" s="18" t="n">
        <v>357.468</v>
      </c>
      <c r="J7" s="18" t="n">
        <v>362.345</v>
      </c>
      <c r="K7" s="18" t="n">
        <v>371.146</v>
      </c>
      <c r="L7" s="18" t="n">
        <v>413.864</v>
      </c>
      <c r="M7" s="18" t="n">
        <v>383.971</v>
      </c>
      <c r="N7" s="18" t="n">
        <v>389.964</v>
      </c>
      <c r="O7" s="18" t="n">
        <v>444.826</v>
      </c>
      <c r="P7" s="18" t="n">
        <v>461.618</v>
      </c>
      <c r="Q7" s="18" t="n">
        <v>465.329</v>
      </c>
      <c r="R7" s="18" t="n">
        <v>460.463</v>
      </c>
      <c r="S7" s="18" t="n">
        <v>484.47</v>
      </c>
      <c r="T7" s="18" t="n">
        <v>488.485</v>
      </c>
      <c r="U7" s="18" t="n">
        <v>525.534</v>
      </c>
      <c r="V7" s="18" t="n">
        <v>493.136</v>
      </c>
      <c r="W7" s="18" t="n">
        <v>508.872</v>
      </c>
      <c r="X7" s="18" t="n">
        <v>554.818</v>
      </c>
      <c r="Y7" s="18" t="n">
        <v>553.216</v>
      </c>
      <c r="Z7" s="18" t="n">
        <v>553.979</v>
      </c>
      <c r="AA7" s="18" t="n">
        <v>625.301</v>
      </c>
      <c r="AB7" s="18" t="n">
        <v>746.842</v>
      </c>
      <c r="AC7" s="18" t="n">
        <v>714.9880000000001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215.003</v>
      </c>
      <c r="C9" s="18" t="n">
        <v>224.491</v>
      </c>
      <c r="D9" s="18" t="n">
        <v>224.594</v>
      </c>
      <c r="E9" s="18" t="n">
        <v>221.166</v>
      </c>
      <c r="F9" s="18" t="n">
        <v>208.071</v>
      </c>
      <c r="G9" s="18" t="n">
        <v>229.972</v>
      </c>
      <c r="H9" s="18" t="n">
        <v>256.295</v>
      </c>
      <c r="I9" s="18" t="n">
        <v>248.116</v>
      </c>
      <c r="J9" s="18" t="n">
        <v>245.448</v>
      </c>
      <c r="K9" s="18" t="n">
        <v>255.274</v>
      </c>
      <c r="L9" s="18" t="n">
        <v>287.436</v>
      </c>
      <c r="M9" s="18" t="n">
        <v>261.518</v>
      </c>
      <c r="N9" s="18" t="n">
        <v>265.53</v>
      </c>
      <c r="O9" s="18" t="n">
        <v>290.707</v>
      </c>
      <c r="P9" s="18" t="n">
        <v>315.862</v>
      </c>
      <c r="Q9" s="18" t="n">
        <v>308.149</v>
      </c>
      <c r="R9" s="18" t="n">
        <v>265.343</v>
      </c>
      <c r="S9" s="18" t="n">
        <v>285.519</v>
      </c>
      <c r="T9" s="18" t="n">
        <v>341.132</v>
      </c>
      <c r="U9" s="18" t="n">
        <v>350.107</v>
      </c>
      <c r="V9" s="18" t="n">
        <v>324.546</v>
      </c>
      <c r="W9" s="18" t="n">
        <v>361.928</v>
      </c>
      <c r="X9" s="18" t="n">
        <v>391.257</v>
      </c>
      <c r="Y9" s="18" t="n">
        <v>376.285</v>
      </c>
      <c r="Z9" s="18" t="n">
        <v>351.518</v>
      </c>
      <c r="AA9" s="18" t="n">
        <v>540.03</v>
      </c>
      <c r="AB9" s="18" t="n">
        <v>576.006</v>
      </c>
      <c r="AC9" s="18" t="n">
        <v>579.107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645.563</v>
      </c>
      <c r="C11" s="18" t="n">
        <v>666.338</v>
      </c>
      <c r="D11" s="18" t="n">
        <v>668.338</v>
      </c>
      <c r="E11" s="18" t="n">
        <v>641.513</v>
      </c>
      <c r="F11" s="18" t="n">
        <v>677.062</v>
      </c>
      <c r="G11" s="18" t="n">
        <v>771.126</v>
      </c>
      <c r="H11" s="18" t="n">
        <v>800.89</v>
      </c>
      <c r="I11" s="18" t="n">
        <v>762.322</v>
      </c>
      <c r="J11" s="18" t="n">
        <v>810.337</v>
      </c>
      <c r="K11" s="18" t="n">
        <v>852.064</v>
      </c>
      <c r="L11" s="18" t="n">
        <v>917.693</v>
      </c>
      <c r="M11" s="18" t="n">
        <v>1013.271</v>
      </c>
      <c r="N11" s="18" t="n">
        <v>1026.418</v>
      </c>
      <c r="O11" s="18" t="n">
        <v>976.585</v>
      </c>
      <c r="P11" s="18" t="n">
        <v>1001.571</v>
      </c>
      <c r="Q11" s="18" t="n">
        <v>1076.986</v>
      </c>
      <c r="R11" s="18" t="n">
        <v>1014.503</v>
      </c>
      <c r="S11" s="18" t="n">
        <v>1093.958</v>
      </c>
      <c r="T11" s="18" t="n">
        <v>1266.785</v>
      </c>
      <c r="U11" s="18" t="n">
        <v>1231.796</v>
      </c>
      <c r="V11" s="18" t="n">
        <v>1154.315</v>
      </c>
      <c r="W11" s="18" t="n">
        <v>1235.073</v>
      </c>
      <c r="X11" s="18" t="n">
        <v>1260.963</v>
      </c>
      <c r="Y11" s="18" t="n">
        <v>1185.34</v>
      </c>
      <c r="Z11" s="18" t="n">
        <v>1285.919</v>
      </c>
      <c r="AA11" s="18" t="n">
        <v>1359.173</v>
      </c>
      <c r="AB11" s="18" t="n">
        <v>1600.197</v>
      </c>
      <c r="AC11" s="18" t="n">
        <v>1771.416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115.502</v>
      </c>
      <c r="C13" s="18" t="n">
        <v>127.594</v>
      </c>
      <c r="D13" s="18" t="n">
        <v>129.721</v>
      </c>
      <c r="E13" s="18" t="n">
        <v>87.51600000000001</v>
      </c>
      <c r="F13" s="18" t="n">
        <v>125.895</v>
      </c>
      <c r="G13" s="18" t="n">
        <v>210.598</v>
      </c>
      <c r="H13" s="18" t="n">
        <v>196.132</v>
      </c>
      <c r="I13" s="18" t="n">
        <v>148.348</v>
      </c>
      <c r="J13" s="18" t="n">
        <v>194.231</v>
      </c>
      <c r="K13" s="18" t="n">
        <v>201.923</v>
      </c>
      <c r="L13" s="18" t="n">
        <v>190.288</v>
      </c>
      <c r="M13" s="18" t="n">
        <v>347.036</v>
      </c>
      <c r="N13" s="18" t="n">
        <v>363.701</v>
      </c>
      <c r="O13" s="18" t="n">
        <v>233.928</v>
      </c>
      <c r="P13" s="18" t="n">
        <v>217.373</v>
      </c>
      <c r="Q13" s="18" t="n">
        <v>255.932</v>
      </c>
      <c r="R13" s="18" t="n">
        <v>292.375</v>
      </c>
      <c r="S13" s="18" t="n">
        <v>300.076</v>
      </c>
      <c r="T13" s="18" t="n">
        <v>430.521</v>
      </c>
      <c r="U13" s="18" t="n">
        <v>352.626</v>
      </c>
      <c r="V13" s="18" t="n">
        <v>332.072</v>
      </c>
      <c r="W13" s="18" t="n">
        <v>360.211</v>
      </c>
      <c r="X13" s="18" t="n">
        <v>310.802</v>
      </c>
      <c r="Y13" s="18" t="n">
        <v>251.839</v>
      </c>
      <c r="Z13" s="18" t="n">
        <v>376.426</v>
      </c>
      <c r="AA13" s="18" t="n">
        <v>165.269</v>
      </c>
      <c r="AB13" s="18" t="n">
        <v>121.393</v>
      </c>
      <c r="AC13" s="18" t="n">
        <v>203.046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118.21</v>
      </c>
      <c r="C15" s="18" t="n">
        <v>99.929</v>
      </c>
      <c r="D15" s="18" t="n">
        <v>160.714</v>
      </c>
      <c r="E15" s="18" t="n">
        <v>104.061</v>
      </c>
      <c r="F15" s="18" t="n">
        <v>109.92</v>
      </c>
      <c r="G15" s="18" t="n">
        <v>252.911</v>
      </c>
      <c r="H15" s="18" t="n">
        <v>197.455</v>
      </c>
      <c r="I15" s="18" t="n">
        <v>162.345</v>
      </c>
      <c r="J15" s="18" t="n">
        <v>195.078</v>
      </c>
      <c r="K15" s="18" t="n">
        <v>198.646</v>
      </c>
      <c r="L15" s="18" t="n">
        <v>201.447</v>
      </c>
      <c r="M15" s="18" t="n">
        <v>313.687</v>
      </c>
      <c r="N15" s="18" t="n">
        <v>294.781</v>
      </c>
      <c r="O15" s="18" t="n">
        <v>222.626</v>
      </c>
      <c r="P15" s="18" t="n">
        <v>153.5</v>
      </c>
      <c r="Q15" s="18" t="n">
        <v>271.536</v>
      </c>
      <c r="R15" s="18" t="n">
        <v>272.91</v>
      </c>
      <c r="S15" s="18" t="n">
        <v>336.252</v>
      </c>
      <c r="T15" s="18" t="n">
        <v>349.19</v>
      </c>
      <c r="U15" s="18" t="n">
        <v>449.112</v>
      </c>
      <c r="V15" s="18" t="n">
        <v>292.107</v>
      </c>
      <c r="W15" s="18" t="n">
        <v>408.055</v>
      </c>
      <c r="X15" s="18" t="n">
        <v>1114.106</v>
      </c>
      <c r="Y15" s="18" t="n">
        <v>295.683</v>
      </c>
      <c r="Z15" s="18" t="n">
        <v>345.332</v>
      </c>
      <c r="AA15" s="18" t="n">
        <v>242.509</v>
      </c>
      <c r="AB15" s="18" t="n">
        <v>448.696</v>
      </c>
      <c r="AC15" s="18" t="n">
        <v>64.71599999999999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153.904</v>
      </c>
      <c r="C17" s="18" t="n">
        <v>154.6</v>
      </c>
      <c r="D17" s="18" t="n">
        <v>154.532</v>
      </c>
      <c r="E17" s="18" t="n">
        <v>154.504</v>
      </c>
      <c r="F17" s="18" t="n">
        <v>154.379</v>
      </c>
      <c r="G17" s="18" t="n">
        <v>155.973</v>
      </c>
      <c r="H17" s="18" t="n">
        <v>156.825</v>
      </c>
      <c r="I17" s="18" t="n">
        <v>157.277</v>
      </c>
      <c r="J17" s="18" t="n">
        <v>157.077</v>
      </c>
      <c r="K17" s="18" t="n">
        <v>156.907</v>
      </c>
      <c r="L17" s="18" t="n">
        <v>157.243</v>
      </c>
      <c r="M17" s="18" t="n">
        <v>157.273</v>
      </c>
      <c r="N17" s="18" t="n">
        <v>156.167</v>
      </c>
      <c r="O17" s="18" t="n">
        <v>155.806</v>
      </c>
      <c r="P17" s="18" t="n">
        <v>155.749</v>
      </c>
      <c r="Q17" s="18" t="n">
        <v>155.076</v>
      </c>
      <c r="R17" s="18" t="n">
        <v>154.73</v>
      </c>
      <c r="S17" s="18" t="n">
        <v>154.947</v>
      </c>
      <c r="T17" s="18" t="n">
        <v>154.845</v>
      </c>
      <c r="U17" s="18" t="n">
        <v>155.334</v>
      </c>
      <c r="V17" s="18" t="n">
        <v>155.77</v>
      </c>
      <c r="W17" s="18" t="n">
        <v>156.131</v>
      </c>
      <c r="X17" s="18" t="n">
        <v>155.991</v>
      </c>
      <c r="Y17" s="18" t="n">
        <v>156.189</v>
      </c>
      <c r="Z17" s="18" t="n">
        <v>156.088</v>
      </c>
      <c r="AA17" s="18" t="n">
        <v>161.682</v>
      </c>
      <c r="AB17" s="18" t="n">
        <v>161.682</v>
      </c>
      <c r="AC17" s="18" t="n">
        <v>161.682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License and Maintenance</t>
        </is>
      </c>
      <c r="B19" s="18" t="n">
        <v>558.3049999999999</v>
      </c>
      <c r="C19" s="18" t="n">
        <v>537.569</v>
      </c>
      <c r="D19" s="18" t="n">
        <v>548.375</v>
      </c>
      <c r="E19" s="18" t="n">
        <v>556.439</v>
      </c>
      <c r="F19" s="18" t="n">
        <v>590.097</v>
      </c>
      <c r="G19" s="18" t="n">
        <v>612.0650000000001</v>
      </c>
      <c r="H19" s="18" t="n">
        <v>606.598</v>
      </c>
      <c r="I19" s="18" t="n">
        <v>631.29</v>
      </c>
      <c r="J19" s="18" t="n">
        <v>648.794</v>
      </c>
      <c r="K19" s="18" t="n">
        <v>665.563</v>
      </c>
      <c r="L19" s="18" t="n">
        <v>688.116</v>
      </c>
      <c r="M19" s="18" t="n">
        <v>707.4829999999999</v>
      </c>
      <c r="N19" s="18" t="n">
        <v>723.821</v>
      </c>
      <c r="O19" s="18" t="n">
        <v>754.322</v>
      </c>
      <c r="P19" s="18" t="n">
        <v>808.16</v>
      </c>
      <c r="Q19" s="18" t="n">
        <v>782.313</v>
      </c>
      <c r="R19" s="18" t="n">
        <v>808.196</v>
      </c>
      <c r="S19" s="18" t="n">
        <v>922.874</v>
      </c>
      <c r="T19" s="18" t="n">
        <v>870.249</v>
      </c>
      <c r="U19" s="18" t="n">
        <v>904.378</v>
      </c>
      <c r="V19" s="18" t="n">
        <v>781.7140000000001</v>
      </c>
      <c r="W19" s="18" t="n">
        <v>803.147</v>
      </c>
      <c r="X19" s="18" t="n">
        <v>1639.438</v>
      </c>
      <c r="Y19" s="18" t="n">
        <v>828.2380000000001</v>
      </c>
      <c r="Z19" s="18" t="n">
        <v>828.326</v>
      </c>
      <c r="AA19" s="18" t="n">
        <v>892.364</v>
      </c>
      <c r="AB19" s="18" t="n">
        <v>940.681</v>
      </c>
      <c r="AC19" s="18" t="n">
        <v>951.5410000000001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License</t>
        </is>
      </c>
      <c r="B22" s="18" t="n">
        <v>143.401</v>
      </c>
      <c r="C22" s="18" t="n">
        <v>177.552</v>
      </c>
      <c r="D22" s="18" t="n">
        <v>168.325</v>
      </c>
      <c r="E22" s="18" t="n">
        <v>150.721</v>
      </c>
      <c r="F22" s="18" t="n">
        <v>129.765</v>
      </c>
      <c r="G22" s="18" t="n">
        <v>210.931</v>
      </c>
      <c r="H22" s="18" t="n">
        <v>244.155</v>
      </c>
      <c r="I22" s="18" t="n">
        <v>174.381</v>
      </c>
      <c r="J22" s="18" t="n">
        <v>209.116</v>
      </c>
      <c r="K22" s="18" t="n">
        <v>203.301</v>
      </c>
      <c r="L22" s="18" t="n">
        <v>274.265</v>
      </c>
      <c r="M22" s="18" t="n">
        <v>368.274</v>
      </c>
      <c r="N22" s="18" t="n">
        <v>336.625</v>
      </c>
      <c r="O22" s="18" t="n">
        <v>268.584</v>
      </c>
      <c r="P22" s="18" t="n">
        <v>253.245</v>
      </c>
      <c r="Q22" s="18" t="n">
        <v>336.658</v>
      </c>
      <c r="R22" s="18" t="n">
        <v>345.524</v>
      </c>
      <c r="S22" s="18" t="n">
        <v>297.967</v>
      </c>
      <c r="T22" s="18" t="n">
        <v>449.181</v>
      </c>
      <c r="U22" s="18" t="n">
        <v>447.863</v>
      </c>
      <c r="V22" s="18" t="n">
        <v>396.389</v>
      </c>
      <c r="W22" s="18" t="n">
        <v>442.528</v>
      </c>
      <c r="X22" s="18" t="n">
        <v>963.3049999999999</v>
      </c>
      <c r="Y22" s="18" t="n">
        <v>368.124</v>
      </c>
      <c r="Z22" s="18" t="n">
        <v>510.676</v>
      </c>
      <c r="AA22" s="18" t="n">
        <v>516.404</v>
      </c>
      <c r="AB22" s="18" t="n">
        <v>615.398</v>
      </c>
      <c r="AC22" s="18" t="n">
        <v>741.53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Technology Service</t>
        </is>
      </c>
      <c r="B25" s="18" t="n">
        <v>134.536</v>
      </c>
      <c r="C25" s="18" t="n">
        <v>137.849</v>
      </c>
      <c r="D25" s="18" t="n">
        <v>134.381</v>
      </c>
      <c r="E25" s="18" t="n">
        <v>127.221</v>
      </c>
      <c r="F25" s="18" t="n">
        <v>141.465</v>
      </c>
      <c r="G25" s="18" t="n">
        <v>141.138</v>
      </c>
      <c r="H25" s="18" t="n">
        <v>174.686</v>
      </c>
      <c r="I25" s="18" t="n">
        <v>164.65</v>
      </c>
      <c r="J25" s="18" t="n">
        <v>166.413</v>
      </c>
      <c r="K25" s="18" t="n">
        <v>188.266</v>
      </c>
      <c r="L25" s="18" t="n">
        <v>190.038</v>
      </c>
      <c r="M25" s="18" t="n">
        <v>194.498</v>
      </c>
      <c r="N25" s="18" t="n">
        <v>218.783</v>
      </c>
      <c r="O25" s="18" t="n">
        <v>224.86</v>
      </c>
      <c r="P25" s="18" t="n">
        <v>222.887</v>
      </c>
      <c r="Q25" s="18" t="n">
        <v>242.369</v>
      </c>
      <c r="R25" s="18" t="n">
        <v>241.143</v>
      </c>
      <c r="S25" s="18" t="n">
        <v>266.447</v>
      </c>
      <c r="T25" s="18" t="n">
        <v>279.698</v>
      </c>
      <c r="U25" s="18" t="n">
        <v>296.989</v>
      </c>
      <c r="V25" s="18" t="n">
        <v>276.609</v>
      </c>
      <c r="W25" s="18" t="n">
        <v>280.074</v>
      </c>
      <c r="X25" s="18" t="n">
        <v>544.232</v>
      </c>
      <c r="Y25" s="18" t="n">
        <v>258.953</v>
      </c>
      <c r="Z25" s="18" t="n">
        <v>265.264</v>
      </c>
      <c r="AA25" s="18" t="n">
        <v>330.969</v>
      </c>
      <c r="AB25" s="18" t="n">
        <v>698.7809999999999</v>
      </c>
      <c r="AC25" s="18" t="n">
        <v>715.727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5" t="inlineStr">
        <is>
          <t xml:space="preserve">  REVENUE BY SEGMENT — GEOGRAPHY (% YoY, % of revenue)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UNITED STATES</t>
        </is>
      </c>
      <c r="B29" s="18" t="n">
        <v>416.744</v>
      </c>
      <c r="C29" s="18" t="n">
        <v>407.408</v>
      </c>
      <c r="D29" s="18" t="n">
        <v>444.227</v>
      </c>
      <c r="E29" s="18" t="n">
        <v>408.489</v>
      </c>
      <c r="F29" s="18" t="n">
        <v>404.389</v>
      </c>
      <c r="G29" s="18" t="n">
        <v>432.692</v>
      </c>
      <c r="H29" s="18" t="n">
        <v>528.778</v>
      </c>
      <c r="I29" s="18" t="n">
        <v>468.701</v>
      </c>
      <c r="J29" s="18" t="n">
        <v>471.716</v>
      </c>
      <c r="K29" s="18" t="n">
        <v>477.218</v>
      </c>
      <c r="L29" s="18" t="n">
        <v>534.329</v>
      </c>
      <c r="M29" s="18" t="n">
        <v>610.3339999999999</v>
      </c>
      <c r="N29" s="18" t="n">
        <v>577.881</v>
      </c>
      <c r="O29" s="18" t="n">
        <v>575.326</v>
      </c>
      <c r="P29" s="18" t="n">
        <v>586.225</v>
      </c>
      <c r="Q29" s="18" t="n">
        <v>671.782</v>
      </c>
      <c r="R29" s="18" t="n">
        <v>661.413</v>
      </c>
      <c r="S29" s="18" t="n">
        <v>640.147</v>
      </c>
      <c r="T29" s="18" t="n">
        <v>812.722</v>
      </c>
      <c r="U29" s="18" t="n">
        <v>807.6180000000001</v>
      </c>
      <c r="V29" s="18" t="n">
        <v>630.766</v>
      </c>
      <c r="W29" s="18" t="n">
        <v>660.479</v>
      </c>
      <c r="X29" s="18" t="n">
        <v>640.893</v>
      </c>
      <c r="Y29" s="18" t="n">
        <v>610.71</v>
      </c>
      <c r="Z29" s="18" t="n">
        <v>649.299</v>
      </c>
      <c r="AA29" s="18" t="n">
        <v>816.194</v>
      </c>
      <c r="AB29" s="18" t="n">
        <v>1023.892</v>
      </c>
      <c r="AC29" s="18" t="n">
        <v>1096.085</v>
      </c>
    </row>
    <row r="30">
      <c r="A30" s="4" t="inlineStr">
        <is>
          <t xml:space="preserve">    % YoY</t>
        </is>
      </c>
      <c r="F30" s="25">
        <f>IFERROR(F29/B29-1,"")</f>
        <v/>
      </c>
      <c r="G30" s="25">
        <f>IFERROR(G29/C29-1,"")</f>
        <v/>
      </c>
      <c r="H30" s="25">
        <f>IFERROR(H29/D29-1,"")</f>
        <v/>
      </c>
      <c r="I30" s="25">
        <f>IFERROR(I29/E29-1,"")</f>
        <v/>
      </c>
      <c r="J30" s="25">
        <f>IFERROR(J29/F29-1,"")</f>
        <v/>
      </c>
      <c r="K30" s="25">
        <f>IFERROR(K29/G29-1,"")</f>
        <v/>
      </c>
      <c r="L30" s="25">
        <f>IFERROR(L29/H29-1,"")</f>
        <v/>
      </c>
      <c r="M30" s="25">
        <f>IFERROR(M29/I29-1,"")</f>
        <v/>
      </c>
      <c r="N30" s="25">
        <f>IFERROR(N29/J29-1,"")</f>
        <v/>
      </c>
      <c r="O30" s="25">
        <f>IFERROR(O29/K29-1,"")</f>
        <v/>
      </c>
      <c r="P30" s="25">
        <f>IFERROR(P29/L29-1,"")</f>
        <v/>
      </c>
      <c r="Q30" s="25">
        <f>IFERROR(Q29/M29-1,"")</f>
        <v/>
      </c>
      <c r="R30" s="25">
        <f>IFERROR(R29/N29-1,"")</f>
        <v/>
      </c>
      <c r="S30" s="25">
        <f>IFERROR(S29/O29-1,"")</f>
        <v/>
      </c>
      <c r="T30" s="25">
        <f>IFERROR(T29/P29-1,"")</f>
        <v/>
      </c>
      <c r="U30" s="25">
        <f>IFERROR(U29/Q29-1,"")</f>
        <v/>
      </c>
      <c r="V30" s="25">
        <f>IFERROR(V29/R29-1,"")</f>
        <v/>
      </c>
      <c r="W30" s="25">
        <f>IFERROR(W29/S29-1,"")</f>
        <v/>
      </c>
      <c r="X30" s="25">
        <f>IFERROR(X29/T29-1,"")</f>
        <v/>
      </c>
      <c r="Y30" s="25">
        <f>IFERROR(Y29/U29-1,"")</f>
        <v/>
      </c>
      <c r="Z30" s="25">
        <f>IFERROR(Z29/V29-1,"")</f>
        <v/>
      </c>
      <c r="AA30" s="25">
        <f>IFERROR(AA29/W29-1,"")</f>
        <v/>
      </c>
      <c r="AB30" s="25">
        <f>IFERROR(AB29/X29-1,"")</f>
        <v/>
      </c>
      <c r="AC30" s="25">
        <f>IFERROR(AC29/Y29-1,"")</f>
        <v/>
      </c>
    </row>
    <row r="31">
      <c r="A31" s="4" t="inlineStr">
        <is>
          <t xml:space="preserve">    % of revenue</t>
        </is>
      </c>
      <c r="B31" s="25">
        <f>IFERROR(B29/B3,"")</f>
        <v/>
      </c>
      <c r="C31" s="25">
        <f>IFERROR(C29/C3,"")</f>
        <v/>
      </c>
      <c r="D31" s="25">
        <f>IFERROR(D29/D3,"")</f>
        <v/>
      </c>
      <c r="E31" s="25">
        <f>IFERROR(E29/E3,"")</f>
        <v/>
      </c>
      <c r="F31" s="25">
        <f>IFERROR(F29/F3,"")</f>
        <v/>
      </c>
      <c r="G31" s="25">
        <f>IFERROR(G29/G3,"")</f>
        <v/>
      </c>
      <c r="H31" s="25">
        <f>IFERROR(H29/H3,"")</f>
        <v/>
      </c>
      <c r="I31" s="25">
        <f>IFERROR(I29/I3,"")</f>
        <v/>
      </c>
      <c r="J31" s="25">
        <f>IFERROR(J29/J3,"")</f>
        <v/>
      </c>
      <c r="K31" s="25">
        <f>IFERROR(K29/K3,"")</f>
        <v/>
      </c>
      <c r="L31" s="25">
        <f>IFERROR(L29/L3,"")</f>
        <v/>
      </c>
      <c r="M31" s="25">
        <f>IFERROR(M29/M3,"")</f>
        <v/>
      </c>
      <c r="N31" s="25">
        <f>IFERROR(N29/N3,"")</f>
        <v/>
      </c>
      <c r="O31" s="25">
        <f>IFERROR(O29/O3,"")</f>
        <v/>
      </c>
      <c r="P31" s="25">
        <f>IFERROR(P29/P3,"")</f>
        <v/>
      </c>
      <c r="Q31" s="25">
        <f>IFERROR(Q29/Q3,"")</f>
        <v/>
      </c>
      <c r="R31" s="25">
        <f>IFERROR(R29/R3,"")</f>
        <v/>
      </c>
      <c r="S31" s="25">
        <f>IFERROR(S29/S3,"")</f>
        <v/>
      </c>
      <c r="T31" s="25">
        <f>IFERROR(T29/T3,"")</f>
        <v/>
      </c>
      <c r="U31" s="25">
        <f>IFERROR(U29/U3,"")</f>
        <v/>
      </c>
      <c r="V31" s="25">
        <f>IFERROR(V29/V3,"")</f>
        <v/>
      </c>
      <c r="W31" s="25">
        <f>IFERROR(W29/W3,"")</f>
        <v/>
      </c>
      <c r="X31" s="25">
        <f>IFERROR(X29/X3,"")</f>
        <v/>
      </c>
      <c r="Y31" s="25">
        <f>IFERROR(Y29/Y3,"")</f>
        <v/>
      </c>
      <c r="Z31" s="25">
        <f>IFERROR(Z29/Z3,"")</f>
        <v/>
      </c>
      <c r="AA31" s="25">
        <f>IFERROR(AA29/AA3,"")</f>
        <v/>
      </c>
      <c r="AB31" s="25">
        <f>IFERROR(AB29/AB3,"")</f>
        <v/>
      </c>
      <c r="AC31" s="25">
        <f>IFERROR(AC29/AC3,"")</f>
        <v/>
      </c>
    </row>
    <row r="32">
      <c r="A32" s="4" t="inlineStr">
        <is>
          <t>Europe</t>
        </is>
      </c>
      <c r="B32" s="18" t="n">
        <v>83.542</v>
      </c>
      <c r="C32" s="18" t="n">
        <v>90.074</v>
      </c>
      <c r="D32" s="18" t="n">
        <v>91.53100000000001</v>
      </c>
      <c r="E32" s="18" t="n">
        <v>94.37</v>
      </c>
      <c r="F32" s="18" t="n">
        <v>89.28400000000001</v>
      </c>
      <c r="G32" s="18" t="n">
        <v>94.297</v>
      </c>
      <c r="H32" s="18" t="n">
        <v>107.336</v>
      </c>
      <c r="I32" s="18" t="n">
        <v>105.175</v>
      </c>
      <c r="J32" s="18" t="n">
        <v>106.16</v>
      </c>
      <c r="K32" s="18" t="n">
        <v>112.877</v>
      </c>
      <c r="L32" s="18" t="n">
        <v>116.613</v>
      </c>
      <c r="M32" s="18" t="n">
        <v>132.717</v>
      </c>
      <c r="N32" s="18" t="n">
        <v>116.191</v>
      </c>
      <c r="O32" s="18" t="n">
        <v>127.288</v>
      </c>
      <c r="P32" s="18" t="n">
        <v>117.234</v>
      </c>
      <c r="Q32" s="18" t="n">
        <v>135.007</v>
      </c>
      <c r="R32" s="18" t="n">
        <v>156.956</v>
      </c>
      <c r="S32" s="18" t="n">
        <v>145.626</v>
      </c>
      <c r="T32" s="18" t="n">
        <v>158.045</v>
      </c>
      <c r="U32" s="18" t="n">
        <v>159.113</v>
      </c>
      <c r="V32" s="18" t="n">
        <v>147.476</v>
      </c>
      <c r="W32" s="18" t="n">
        <v>144.631</v>
      </c>
      <c r="X32" s="18" t="n">
        <v>163.364</v>
      </c>
      <c r="Y32" s="18" t="n">
        <v>153.671</v>
      </c>
      <c r="Z32" s="18" t="n">
        <v>194.843</v>
      </c>
      <c r="AA32" s="18" t="n">
        <v>178.595</v>
      </c>
      <c r="AB32" s="18" t="n">
        <v>361.415</v>
      </c>
      <c r="AC32" s="18" t="n">
        <v>467.033</v>
      </c>
    </row>
    <row r="33">
      <c r="A33" s="4" t="inlineStr">
        <is>
          <t xml:space="preserve">    % YoY</t>
        </is>
      </c>
      <c r="F33" s="25">
        <f>IFERROR(F32/B32-1,"")</f>
        <v/>
      </c>
      <c r="G33" s="25">
        <f>IFERROR(G32/C32-1,"")</f>
        <v/>
      </c>
      <c r="H33" s="25">
        <f>IFERROR(H32/D32-1,"")</f>
        <v/>
      </c>
      <c r="I33" s="25">
        <f>IFERROR(I32/E32-1,"")</f>
        <v/>
      </c>
      <c r="J33" s="25">
        <f>IFERROR(J32/F32-1,"")</f>
        <v/>
      </c>
      <c r="K33" s="25">
        <f>IFERROR(K32/G32-1,"")</f>
        <v/>
      </c>
      <c r="L33" s="25">
        <f>IFERROR(L32/H32-1,"")</f>
        <v/>
      </c>
      <c r="M33" s="25">
        <f>IFERROR(M32/I32-1,"")</f>
        <v/>
      </c>
      <c r="N33" s="25">
        <f>IFERROR(N32/J32-1,"")</f>
        <v/>
      </c>
      <c r="O33" s="25">
        <f>IFERROR(O32/K32-1,"")</f>
        <v/>
      </c>
      <c r="P33" s="25">
        <f>IFERROR(P32/L32-1,"")</f>
        <v/>
      </c>
      <c r="Q33" s="25">
        <f>IFERROR(Q32/M32-1,"")</f>
        <v/>
      </c>
      <c r="R33" s="25">
        <f>IFERROR(R32/N32-1,"")</f>
        <v/>
      </c>
      <c r="S33" s="25">
        <f>IFERROR(S32/O32-1,"")</f>
        <v/>
      </c>
      <c r="T33" s="25">
        <f>IFERROR(T32/P32-1,"")</f>
        <v/>
      </c>
      <c r="U33" s="25">
        <f>IFERROR(U32/Q32-1,"")</f>
        <v/>
      </c>
      <c r="V33" s="25">
        <f>IFERROR(V32/R32-1,"")</f>
        <v/>
      </c>
      <c r="W33" s="25">
        <f>IFERROR(W32/S32-1,"")</f>
        <v/>
      </c>
      <c r="X33" s="25">
        <f>IFERROR(X32/T32-1,"")</f>
        <v/>
      </c>
      <c r="Y33" s="25">
        <f>IFERROR(Y32/U32-1,"")</f>
        <v/>
      </c>
      <c r="Z33" s="25">
        <f>IFERROR(Z32/V32-1,"")</f>
        <v/>
      </c>
      <c r="AA33" s="25">
        <f>IFERROR(AA32/W32-1,"")</f>
        <v/>
      </c>
      <c r="AB33" s="25">
        <f>IFERROR(AB32/X32-1,"")</f>
        <v/>
      </c>
      <c r="AC33" s="25">
        <f>IFERROR(AC32/Y32-1,"")</f>
        <v/>
      </c>
    </row>
    <row r="34">
      <c r="A34" s="4" t="inlineStr">
        <is>
          <t xml:space="preserve">    % of revenue</t>
        </is>
      </c>
      <c r="B34" s="25">
        <f>IFERROR(B32/B3,"")</f>
        <v/>
      </c>
      <c r="C34" s="25">
        <f>IFERROR(C32/C3,"")</f>
        <v/>
      </c>
      <c r="D34" s="25">
        <f>IFERROR(D32/D3,"")</f>
        <v/>
      </c>
      <c r="E34" s="25">
        <f>IFERROR(E32/E3,"")</f>
        <v/>
      </c>
      <c r="F34" s="25">
        <f>IFERROR(F32/F3,"")</f>
        <v/>
      </c>
      <c r="G34" s="25">
        <f>IFERROR(G32/G3,"")</f>
        <v/>
      </c>
      <c r="H34" s="25">
        <f>IFERROR(H32/H3,"")</f>
        <v/>
      </c>
      <c r="I34" s="25">
        <f>IFERROR(I32/I3,"")</f>
        <v/>
      </c>
      <c r="J34" s="25">
        <f>IFERROR(J32/J3,"")</f>
        <v/>
      </c>
      <c r="K34" s="25">
        <f>IFERROR(K32/K3,"")</f>
        <v/>
      </c>
      <c r="L34" s="25">
        <f>IFERROR(L32/L3,"")</f>
        <v/>
      </c>
      <c r="M34" s="25">
        <f>IFERROR(M32/M3,"")</f>
        <v/>
      </c>
      <c r="N34" s="25">
        <f>IFERROR(N32/N3,"")</f>
        <v/>
      </c>
      <c r="O34" s="25">
        <f>IFERROR(O32/O3,"")</f>
        <v/>
      </c>
      <c r="P34" s="25">
        <f>IFERROR(P32/P3,"")</f>
        <v/>
      </c>
      <c r="Q34" s="25">
        <f>IFERROR(Q32/Q3,"")</f>
        <v/>
      </c>
      <c r="R34" s="25">
        <f>IFERROR(R32/R3,"")</f>
        <v/>
      </c>
      <c r="S34" s="25">
        <f>IFERROR(S32/S3,"")</f>
        <v/>
      </c>
      <c r="T34" s="25">
        <f>IFERROR(T32/T3,"")</f>
        <v/>
      </c>
      <c r="U34" s="25">
        <f>IFERROR(U32/U3,"")</f>
        <v/>
      </c>
      <c r="V34" s="25">
        <f>IFERROR(V32/V3,"")</f>
        <v/>
      </c>
      <c r="W34" s="25">
        <f>IFERROR(W32/W3,"")</f>
        <v/>
      </c>
      <c r="X34" s="25">
        <f>IFERROR(X32/X3,"")</f>
        <v/>
      </c>
      <c r="Y34" s="25">
        <f>IFERROR(Y32/Y3,"")</f>
        <v/>
      </c>
      <c r="Z34" s="25">
        <f>IFERROR(Z32/Z3,"")</f>
        <v/>
      </c>
      <c r="AA34" s="25">
        <f>IFERROR(AA32/AA3,"")</f>
        <v/>
      </c>
      <c r="AB34" s="25">
        <f>IFERROR(AB32/AB3,"")</f>
        <v/>
      </c>
      <c r="AC34" s="25">
        <f>IFERROR(AC32/AC3,"")</f>
        <v/>
      </c>
    </row>
    <row r="35">
      <c r="A35" s="4" t="inlineStr">
        <is>
          <t>Other Countries</t>
        </is>
      </c>
      <c r="K35" s="18" t="n">
        <v>192.327</v>
      </c>
      <c r="M35" s="18" t="n">
        <v>200.026</v>
      </c>
      <c r="N35" s="18" t="n">
        <v>250.384</v>
      </c>
      <c r="O35" s="18" t="n">
        <v>230.707</v>
      </c>
      <c r="Q35" s="18" t="n">
        <v>210.981</v>
      </c>
      <c r="R35" s="18" t="n">
        <v>223.251</v>
      </c>
      <c r="S35" s="18" t="n">
        <v>233.552</v>
      </c>
      <c r="U35" s="18" t="n">
        <v>247.924</v>
      </c>
      <c r="V35" s="18" t="n">
        <v>261.974</v>
      </c>
      <c r="W35" s="18" t="n">
        <v>259.123</v>
      </c>
      <c r="X35" s="18" t="n">
        <v>241.533</v>
      </c>
      <c r="Y35" s="18" t="n">
        <v>266.601</v>
      </c>
      <c r="Z35" s="18" t="n">
        <v>345.023</v>
      </c>
      <c r="AA35" s="18" t="n">
        <v>295.543</v>
      </c>
      <c r="AB35" s="18" t="n">
        <v>397.069</v>
      </c>
      <c r="AC35" s="18" t="n">
        <v>387.981</v>
      </c>
    </row>
    <row r="36">
      <c r="A36" s="4" t="inlineStr">
        <is>
          <t xml:space="preserve">    % YoY</t>
        </is>
      </c>
      <c r="F36" s="25">
        <f>IFERROR(F35/B35-1,"")</f>
        <v/>
      </c>
      <c r="G36" s="25">
        <f>IFERROR(G35/C35-1,"")</f>
        <v/>
      </c>
      <c r="H36" s="25">
        <f>IFERROR(H35/D35-1,"")</f>
        <v/>
      </c>
      <c r="I36" s="25">
        <f>IFERROR(I35/E35-1,"")</f>
        <v/>
      </c>
      <c r="J36" s="25">
        <f>IFERROR(J35/F35-1,"")</f>
        <v/>
      </c>
      <c r="K36" s="25">
        <f>IFERROR(K35/G35-1,"")</f>
        <v/>
      </c>
      <c r="L36" s="25">
        <f>IFERROR(L35/H35-1,"")</f>
        <v/>
      </c>
      <c r="M36" s="25">
        <f>IFERROR(M35/I35-1,"")</f>
        <v/>
      </c>
      <c r="N36" s="25">
        <f>IFERROR(N35/J35-1,"")</f>
        <v/>
      </c>
      <c r="O36" s="25">
        <f>IFERROR(O35/K35-1,"")</f>
        <v/>
      </c>
      <c r="P36" s="25">
        <f>IFERROR(P35/L35-1,"")</f>
        <v/>
      </c>
      <c r="Q36" s="25">
        <f>IFERROR(Q35/M35-1,"")</f>
        <v/>
      </c>
      <c r="R36" s="25">
        <f>IFERROR(R35/N35-1,"")</f>
        <v/>
      </c>
      <c r="S36" s="25">
        <f>IFERROR(S35/O35-1,"")</f>
        <v/>
      </c>
      <c r="T36" s="25">
        <f>IFERROR(T35/P35-1,"")</f>
        <v/>
      </c>
      <c r="U36" s="25">
        <f>IFERROR(U35/Q35-1,"")</f>
        <v/>
      </c>
      <c r="V36" s="25">
        <f>IFERROR(V35/R35-1,"")</f>
        <v/>
      </c>
      <c r="W36" s="25">
        <f>IFERROR(W35/S35-1,"")</f>
        <v/>
      </c>
      <c r="X36" s="25">
        <f>IFERROR(X35/T35-1,"")</f>
        <v/>
      </c>
      <c r="Y36" s="25">
        <f>IFERROR(Y35/U35-1,"")</f>
        <v/>
      </c>
      <c r="Z36" s="25">
        <f>IFERROR(Z35/V35-1,"")</f>
        <v/>
      </c>
      <c r="AA36" s="25">
        <f>IFERROR(AA35/W35-1,"")</f>
        <v/>
      </c>
      <c r="AB36" s="25">
        <f>IFERROR(AB35/X35-1,"")</f>
        <v/>
      </c>
      <c r="AC36" s="25">
        <f>IFERROR(AC35/Y35-1,"")</f>
        <v/>
      </c>
    </row>
    <row r="37">
      <c r="A37" s="4" t="inlineStr">
        <is>
          <t xml:space="preserve">    % of revenue</t>
        </is>
      </c>
      <c r="B37" s="25">
        <f>IFERROR(B35/B3,"")</f>
        <v/>
      </c>
      <c r="C37" s="25">
        <f>IFERROR(C35/C3,"")</f>
        <v/>
      </c>
      <c r="D37" s="25">
        <f>IFERROR(D35/D3,"")</f>
        <v/>
      </c>
      <c r="E37" s="25">
        <f>IFERROR(E35/E3,"")</f>
        <v/>
      </c>
      <c r="F37" s="25">
        <f>IFERROR(F35/F3,"")</f>
        <v/>
      </c>
      <c r="G37" s="25">
        <f>IFERROR(G35/G3,"")</f>
        <v/>
      </c>
      <c r="H37" s="25">
        <f>IFERROR(H35/H3,"")</f>
        <v/>
      </c>
      <c r="I37" s="25">
        <f>IFERROR(I35/I3,"")</f>
        <v/>
      </c>
      <c r="J37" s="25">
        <f>IFERROR(J35/J3,"")</f>
        <v/>
      </c>
      <c r="K37" s="25">
        <f>IFERROR(K35/K3,"")</f>
        <v/>
      </c>
      <c r="L37" s="25">
        <f>IFERROR(L35/L3,"")</f>
        <v/>
      </c>
      <c r="M37" s="25">
        <f>IFERROR(M35/M3,"")</f>
        <v/>
      </c>
      <c r="N37" s="25">
        <f>IFERROR(N35/N3,"")</f>
        <v/>
      </c>
      <c r="O37" s="25">
        <f>IFERROR(O35/O3,"")</f>
        <v/>
      </c>
      <c r="P37" s="25">
        <f>IFERROR(P35/P3,"")</f>
        <v/>
      </c>
      <c r="Q37" s="25">
        <f>IFERROR(Q35/Q3,"")</f>
        <v/>
      </c>
      <c r="R37" s="25">
        <f>IFERROR(R35/R3,"")</f>
        <v/>
      </c>
      <c r="S37" s="25">
        <f>IFERROR(S35/S3,"")</f>
        <v/>
      </c>
      <c r="T37" s="25">
        <f>IFERROR(T35/T3,"")</f>
        <v/>
      </c>
      <c r="U37" s="25">
        <f>IFERROR(U35/U3,"")</f>
        <v/>
      </c>
      <c r="V37" s="25">
        <f>IFERROR(V35/V3,"")</f>
        <v/>
      </c>
      <c r="W37" s="25">
        <f>IFERROR(W35/W3,"")</f>
        <v/>
      </c>
      <c r="X37" s="25">
        <f>IFERROR(X35/X3,"")</f>
        <v/>
      </c>
      <c r="Y37" s="25">
        <f>IFERROR(Y35/Y3,"")</f>
        <v/>
      </c>
      <c r="Z37" s="25">
        <f>IFERROR(Z35/Z3,"")</f>
        <v/>
      </c>
      <c r="AA37" s="25">
        <f>IFERROR(AA35/AA3,"")</f>
        <v/>
      </c>
      <c r="AB37" s="25">
        <f>IFERROR(AB35/AB3,"")</f>
        <v/>
      </c>
      <c r="AC37" s="25">
        <f>IFERROR(AC35/AC3,"")</f>
        <v/>
      </c>
    </row>
    <row r="38">
      <c r="A38" s="4" t="inlineStr">
        <is>
          <t>KOREA, REPUBLIC OF</t>
        </is>
      </c>
      <c r="E38" s="18" t="n">
        <v>89.515</v>
      </c>
      <c r="F38" s="18" t="n">
        <v>105.315</v>
      </c>
      <c r="G38" s="18" t="n">
        <v>96.34399999999999</v>
      </c>
      <c r="H38" s="18" t="n">
        <v>97.834</v>
      </c>
      <c r="I38" s="18" t="n">
        <v>98.254</v>
      </c>
      <c r="J38" s="18" t="n">
        <v>105.388</v>
      </c>
      <c r="K38" s="18" t="n">
        <v>110.536</v>
      </c>
      <c r="L38" s="18" t="n">
        <v>113.293</v>
      </c>
      <c r="M38" s="18" t="n">
        <v>114.355</v>
      </c>
      <c r="N38" s="18" t="n">
        <v>119.21</v>
      </c>
      <c r="O38" s="18" t="n">
        <v>125.307</v>
      </c>
      <c r="P38" s="18" t="n">
        <v>172.67</v>
      </c>
      <c r="Q38" s="18" t="n">
        <v>145.792</v>
      </c>
      <c r="R38" s="18" t="n">
        <v>156.816</v>
      </c>
      <c r="S38" s="18" t="n">
        <v>163.938</v>
      </c>
      <c r="T38" s="18" t="n">
        <v>168.256</v>
      </c>
      <c r="U38" s="18" t="n">
        <v>184.6</v>
      </c>
      <c r="V38" s="18" t="n">
        <v>192.676</v>
      </c>
      <c r="W38" s="18" t="n">
        <v>194.817</v>
      </c>
      <c r="X38" s="18" t="n">
        <v>200.925</v>
      </c>
      <c r="Y38" s="18" t="n">
        <v>250.385</v>
      </c>
      <c r="Z38" s="18" t="n">
        <v>257.595</v>
      </c>
      <c r="AA38" s="18" t="n">
        <v>202.117</v>
      </c>
      <c r="AB38" s="18" t="n">
        <v>236.902</v>
      </c>
      <c r="AC38" s="18" t="n">
        <v>246.616</v>
      </c>
    </row>
    <row r="39">
      <c r="A39" s="4" t="inlineStr">
        <is>
          <t xml:space="preserve">    % YoY</t>
        </is>
      </c>
      <c r="F39" s="25">
        <f>IFERROR(F38/B38-1,"")</f>
        <v/>
      </c>
      <c r="G39" s="25">
        <f>IFERROR(G38/C38-1,"")</f>
        <v/>
      </c>
      <c r="H39" s="25">
        <f>IFERROR(H38/D38-1,"")</f>
        <v/>
      </c>
      <c r="I39" s="25">
        <f>IFERROR(I38/E38-1,"")</f>
        <v/>
      </c>
      <c r="J39" s="25">
        <f>IFERROR(J38/F38-1,"")</f>
        <v/>
      </c>
      <c r="K39" s="25">
        <f>IFERROR(K38/G38-1,"")</f>
        <v/>
      </c>
      <c r="L39" s="25">
        <f>IFERROR(L38/H38-1,"")</f>
        <v/>
      </c>
      <c r="M39" s="25">
        <f>IFERROR(M38/I38-1,"")</f>
        <v/>
      </c>
      <c r="N39" s="25">
        <f>IFERROR(N38/J38-1,"")</f>
        <v/>
      </c>
      <c r="O39" s="25">
        <f>IFERROR(O38/K38-1,"")</f>
        <v/>
      </c>
      <c r="P39" s="25">
        <f>IFERROR(P38/L38-1,"")</f>
        <v/>
      </c>
      <c r="Q39" s="25">
        <f>IFERROR(Q38/M38-1,"")</f>
        <v/>
      </c>
      <c r="R39" s="25">
        <f>IFERROR(R38/N38-1,"")</f>
        <v/>
      </c>
      <c r="S39" s="25">
        <f>IFERROR(S38/O38-1,"")</f>
        <v/>
      </c>
      <c r="T39" s="25">
        <f>IFERROR(T38/P38-1,"")</f>
        <v/>
      </c>
      <c r="U39" s="25">
        <f>IFERROR(U38/Q38-1,"")</f>
        <v/>
      </c>
      <c r="V39" s="25">
        <f>IFERROR(V38/R38-1,"")</f>
        <v/>
      </c>
      <c r="W39" s="25">
        <f>IFERROR(W38/S38-1,"")</f>
        <v/>
      </c>
      <c r="X39" s="25">
        <f>IFERROR(X38/T38-1,"")</f>
        <v/>
      </c>
      <c r="Y39" s="25">
        <f>IFERROR(Y38/U38-1,"")</f>
        <v/>
      </c>
      <c r="Z39" s="25">
        <f>IFERROR(Z38/V38-1,"")</f>
        <v/>
      </c>
      <c r="AA39" s="25">
        <f>IFERROR(AA38/W38-1,"")</f>
        <v/>
      </c>
      <c r="AB39" s="25">
        <f>IFERROR(AB38/X38-1,"")</f>
        <v/>
      </c>
      <c r="AC39" s="25">
        <f>IFERROR(AC38/Y38-1,"")</f>
        <v/>
      </c>
    </row>
    <row r="40">
      <c r="A40" s="4" t="inlineStr">
        <is>
          <t xml:space="preserve">    % of revenue</t>
        </is>
      </c>
      <c r="B40" s="25">
        <f>IFERROR(B38/B3,"")</f>
        <v/>
      </c>
      <c r="C40" s="25">
        <f>IFERROR(C38/C3,"")</f>
        <v/>
      </c>
      <c r="D40" s="25">
        <f>IFERROR(D38/D3,"")</f>
        <v/>
      </c>
      <c r="E40" s="25">
        <f>IFERROR(E38/E3,"")</f>
        <v/>
      </c>
      <c r="F40" s="25">
        <f>IFERROR(F38/F3,"")</f>
        <v/>
      </c>
      <c r="G40" s="25">
        <f>IFERROR(G38/G3,"")</f>
        <v/>
      </c>
      <c r="H40" s="25">
        <f>IFERROR(H38/H3,"")</f>
        <v/>
      </c>
      <c r="I40" s="25">
        <f>IFERROR(I38/I3,"")</f>
        <v/>
      </c>
      <c r="J40" s="25">
        <f>IFERROR(J38/J3,"")</f>
        <v/>
      </c>
      <c r="K40" s="25">
        <f>IFERROR(K38/K3,"")</f>
        <v/>
      </c>
      <c r="L40" s="25">
        <f>IFERROR(L38/L3,"")</f>
        <v/>
      </c>
      <c r="M40" s="25">
        <f>IFERROR(M38/M3,"")</f>
        <v/>
      </c>
      <c r="N40" s="25">
        <f>IFERROR(N38/N3,"")</f>
        <v/>
      </c>
      <c r="O40" s="25">
        <f>IFERROR(O38/O3,"")</f>
        <v/>
      </c>
      <c r="P40" s="25">
        <f>IFERROR(P38/P3,"")</f>
        <v/>
      </c>
      <c r="Q40" s="25">
        <f>IFERROR(Q38/Q3,"")</f>
        <v/>
      </c>
      <c r="R40" s="25">
        <f>IFERROR(R38/R3,"")</f>
        <v/>
      </c>
      <c r="S40" s="25">
        <f>IFERROR(S38/S3,"")</f>
        <v/>
      </c>
      <c r="T40" s="25">
        <f>IFERROR(T38/T3,"")</f>
        <v/>
      </c>
      <c r="U40" s="25">
        <f>IFERROR(U38/U3,"")</f>
        <v/>
      </c>
      <c r="V40" s="25">
        <f>IFERROR(V38/V3,"")</f>
        <v/>
      </c>
      <c r="W40" s="25">
        <f>IFERROR(W38/W3,"")</f>
        <v/>
      </c>
      <c r="X40" s="25">
        <f>IFERROR(X38/X3,"")</f>
        <v/>
      </c>
      <c r="Y40" s="25">
        <f>IFERROR(Y38/Y3,"")</f>
        <v/>
      </c>
      <c r="Z40" s="25">
        <f>IFERROR(Z38/Z3,"")</f>
        <v/>
      </c>
      <c r="AA40" s="25">
        <f>IFERROR(AA38/AA3,"")</f>
        <v/>
      </c>
      <c r="AB40" s="25">
        <f>IFERROR(AB38/AB3,"")</f>
        <v/>
      </c>
      <c r="AC40" s="25">
        <f>IFERROR(AC38/AC3,"")</f>
        <v/>
      </c>
    </row>
    <row r="41">
      <c r="A41" s="4" t="inlineStr">
        <is>
          <t>CHINA</t>
        </is>
      </c>
      <c r="I41" s="18" t="n">
        <v>115.768</v>
      </c>
      <c r="J41" s="18" t="n">
        <v>125.519</v>
      </c>
      <c r="K41" s="18" t="n">
        <v>164.172</v>
      </c>
      <c r="L41" s="18" t="n">
        <v>157.252</v>
      </c>
      <c r="M41" s="18" t="n">
        <v>212.823</v>
      </c>
      <c r="N41" s="18" t="n">
        <v>215.563</v>
      </c>
      <c r="O41" s="18" t="n">
        <v>189.138</v>
      </c>
      <c r="P41" s="18" t="n">
        <v>177.881</v>
      </c>
      <c r="Q41" s="18" t="n">
        <v>197.778</v>
      </c>
      <c r="R41" s="18" t="n">
        <v>196.427</v>
      </c>
      <c r="S41" s="18" t="n">
        <v>304.025</v>
      </c>
      <c r="T41" s="18" t="n">
        <v>188.026</v>
      </c>
      <c r="U41" s="18" t="n">
        <v>249.975</v>
      </c>
      <c r="V41" s="18" t="n">
        <v>221.82</v>
      </c>
      <c r="W41" s="18" t="n">
        <v>266.699</v>
      </c>
      <c r="X41" s="18" t="n">
        <v>251.03</v>
      </c>
      <c r="Y41" s="18" t="n">
        <v>173.948</v>
      </c>
      <c r="Z41" s="18" t="n">
        <v>157.506</v>
      </c>
      <c r="AA41" s="18" t="n">
        <v>247.288</v>
      </c>
      <c r="AB41" s="18" t="n">
        <v>235.582</v>
      </c>
      <c r="AC41" s="18" t="n">
        <v>211.083</v>
      </c>
    </row>
    <row r="42">
      <c r="A42" s="4" t="inlineStr">
        <is>
          <t xml:space="preserve">    % YoY</t>
        </is>
      </c>
      <c r="F42" s="25">
        <f>IFERROR(F41/B41-1,"")</f>
        <v/>
      </c>
      <c r="G42" s="25">
        <f>IFERROR(G41/C41-1,"")</f>
        <v/>
      </c>
      <c r="H42" s="25">
        <f>IFERROR(H41/D41-1,"")</f>
        <v/>
      </c>
      <c r="I42" s="25">
        <f>IFERROR(I41/E41-1,"")</f>
        <v/>
      </c>
      <c r="J42" s="25">
        <f>IFERROR(J41/F41-1,"")</f>
        <v/>
      </c>
      <c r="K42" s="25">
        <f>IFERROR(K41/G41-1,"")</f>
        <v/>
      </c>
      <c r="L42" s="25">
        <f>IFERROR(L41/H41-1,"")</f>
        <v/>
      </c>
      <c r="M42" s="25">
        <f>IFERROR(M41/I41-1,"")</f>
        <v/>
      </c>
      <c r="N42" s="25">
        <f>IFERROR(N41/J41-1,"")</f>
        <v/>
      </c>
      <c r="O42" s="25">
        <f>IFERROR(O41/K41-1,"")</f>
        <v/>
      </c>
      <c r="P42" s="25">
        <f>IFERROR(P41/L41-1,"")</f>
        <v/>
      </c>
      <c r="Q42" s="25">
        <f>IFERROR(Q41/M41-1,"")</f>
        <v/>
      </c>
      <c r="R42" s="25">
        <f>IFERROR(R41/N41-1,"")</f>
        <v/>
      </c>
      <c r="S42" s="25">
        <f>IFERROR(S41/O41-1,"")</f>
        <v/>
      </c>
      <c r="T42" s="25">
        <f>IFERROR(T41/P41-1,"")</f>
        <v/>
      </c>
      <c r="U42" s="25">
        <f>IFERROR(U41/Q41-1,"")</f>
        <v/>
      </c>
      <c r="V42" s="25">
        <f>IFERROR(V41/R41-1,"")</f>
        <v/>
      </c>
      <c r="W42" s="25">
        <f>IFERROR(W41/S41-1,"")</f>
        <v/>
      </c>
      <c r="X42" s="25">
        <f>IFERROR(X41/T41-1,"")</f>
        <v/>
      </c>
      <c r="Y42" s="25">
        <f>IFERROR(Y41/U41-1,"")</f>
        <v/>
      </c>
      <c r="Z42" s="25">
        <f>IFERROR(Z41/V41-1,"")</f>
        <v/>
      </c>
      <c r="AA42" s="25">
        <f>IFERROR(AA41/W41-1,"")</f>
        <v/>
      </c>
      <c r="AB42" s="25">
        <f>IFERROR(AB41/X41-1,"")</f>
        <v/>
      </c>
      <c r="AC42" s="25">
        <f>IFERROR(AC41/Y41-1,"")</f>
        <v/>
      </c>
    </row>
    <row r="43">
      <c r="A43" s="4" t="inlineStr">
        <is>
          <t xml:space="preserve">    % of revenue</t>
        </is>
      </c>
      <c r="B43" s="25">
        <f>IFERROR(B41/B3,"")</f>
        <v/>
      </c>
      <c r="C43" s="25">
        <f>IFERROR(C41/C3,"")</f>
        <v/>
      </c>
      <c r="D43" s="25">
        <f>IFERROR(D41/D3,"")</f>
        <v/>
      </c>
      <c r="E43" s="25">
        <f>IFERROR(E41/E3,"")</f>
        <v/>
      </c>
      <c r="F43" s="25">
        <f>IFERROR(F41/F3,"")</f>
        <v/>
      </c>
      <c r="G43" s="25">
        <f>IFERROR(G41/G3,"")</f>
        <v/>
      </c>
      <c r="H43" s="25">
        <f>IFERROR(H41/H3,"")</f>
        <v/>
      </c>
      <c r="I43" s="25">
        <f>IFERROR(I41/I3,"")</f>
        <v/>
      </c>
      <c r="J43" s="25">
        <f>IFERROR(J41/J3,"")</f>
        <v/>
      </c>
      <c r="K43" s="25">
        <f>IFERROR(K41/K3,"")</f>
        <v/>
      </c>
      <c r="L43" s="25">
        <f>IFERROR(L41/L3,"")</f>
        <v/>
      </c>
      <c r="M43" s="25">
        <f>IFERROR(M41/M3,"")</f>
        <v/>
      </c>
      <c r="N43" s="25">
        <f>IFERROR(N41/N3,"")</f>
        <v/>
      </c>
      <c r="O43" s="25">
        <f>IFERROR(O41/O3,"")</f>
        <v/>
      </c>
      <c r="P43" s="25">
        <f>IFERROR(P41/P3,"")</f>
        <v/>
      </c>
      <c r="Q43" s="25">
        <f>IFERROR(Q41/Q3,"")</f>
        <v/>
      </c>
      <c r="R43" s="25">
        <f>IFERROR(R41/R3,"")</f>
        <v/>
      </c>
      <c r="S43" s="25">
        <f>IFERROR(S41/S3,"")</f>
        <v/>
      </c>
      <c r="T43" s="25">
        <f>IFERROR(T41/T3,"")</f>
        <v/>
      </c>
      <c r="U43" s="25">
        <f>IFERROR(U41/U3,"")</f>
        <v/>
      </c>
      <c r="V43" s="25">
        <f>IFERROR(V41/V3,"")</f>
        <v/>
      </c>
      <c r="W43" s="25">
        <f>IFERROR(W41/W3,"")</f>
        <v/>
      </c>
      <c r="X43" s="25">
        <f>IFERROR(X41/X3,"")</f>
        <v/>
      </c>
      <c r="Y43" s="25">
        <f>IFERROR(Y41/Y3,"")</f>
        <v/>
      </c>
      <c r="Z43" s="25">
        <f>IFERROR(Z41/Z3,"")</f>
        <v/>
      </c>
      <c r="AA43" s="25">
        <f>IFERROR(AA41/AA3,"")</f>
        <v/>
      </c>
      <c r="AB43" s="25">
        <f>IFERROR(AB41/AB3,"")</f>
        <v/>
      </c>
      <c r="AC43" s="25">
        <f>IFERROR(AC41/AC3,"")</f>
        <v/>
      </c>
    </row>
    <row r="44">
      <c r="A44" s="5" t="inlineStr">
        <is>
          <t xml:space="preserve">  BALANCE SHEET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</row>
    <row r="45">
      <c r="A45" s="4" t="inlineStr">
        <is>
          <t>Cash &amp; ST Investments</t>
        </is>
      </c>
      <c r="B45" s="18" t="n">
        <v>631.1609999999999</v>
      </c>
      <c r="C45" s="18" t="n">
        <v>686.78</v>
      </c>
      <c r="D45" s="18" t="n">
        <v>728.597</v>
      </c>
      <c r="E45" s="18" t="n">
        <v>700.356</v>
      </c>
      <c r="F45" s="18" t="n">
        <v>856.424</v>
      </c>
      <c r="G45" s="18" t="n">
        <v>1049.922</v>
      </c>
      <c r="H45" s="18" t="n">
        <v>1235.653</v>
      </c>
      <c r="I45" s="18" t="n">
        <v>1023.074</v>
      </c>
      <c r="J45" s="18" t="n">
        <v>1457.918</v>
      </c>
      <c r="K45" s="18" t="n">
        <v>1530.168</v>
      </c>
      <c r="L45" s="18" t="n">
        <v>1580.789</v>
      </c>
      <c r="M45" s="18" t="n">
        <v>1272.047</v>
      </c>
      <c r="N45" s="18" t="n">
        <v>1720.521</v>
      </c>
      <c r="O45" s="18" t="n">
        <v>1531.158</v>
      </c>
      <c r="P45" s="18" t="n">
        <v>1565.521</v>
      </c>
      <c r="Q45" s="18" t="n">
        <v>1301.923</v>
      </c>
      <c r="R45" s="18" t="n">
        <v>1695.438</v>
      </c>
      <c r="S45" s="18" t="n">
        <v>1834.587</v>
      </c>
      <c r="T45" s="18" t="n">
        <v>1585.605</v>
      </c>
      <c r="U45" s="18" t="n">
        <v>1273.434</v>
      </c>
      <c r="V45" s="18" t="n">
        <v>1659.7</v>
      </c>
      <c r="W45" s="18" t="n">
        <v>1994.246</v>
      </c>
      <c r="X45" s="18" t="n">
        <v>4050.401</v>
      </c>
      <c r="Y45" s="18" t="n">
        <v>3809.369</v>
      </c>
      <c r="Z45" s="18" t="n">
        <v>14263.911</v>
      </c>
      <c r="AA45" s="18" t="n">
        <v>2593.71</v>
      </c>
      <c r="AB45" s="18" t="n">
        <v>2960.959</v>
      </c>
      <c r="AC45" s="18" t="n">
        <v>2203.482</v>
      </c>
    </row>
    <row r="46">
      <c r="A46" s="4" t="inlineStr">
        <is>
          <t>Total Current Assets</t>
        </is>
      </c>
      <c r="B46" s="18" t="n">
        <v>1643.883</v>
      </c>
      <c r="C46" s="18" t="n">
        <v>1617.645</v>
      </c>
      <c r="D46" s="18" t="n">
        <v>1738.917</v>
      </c>
      <c r="E46" s="18" t="n">
        <v>1951.429</v>
      </c>
      <c r="F46" s="18" t="n">
        <v>1960.755</v>
      </c>
      <c r="G46" s="18" t="n">
        <v>2186.015</v>
      </c>
      <c r="H46" s="18" t="n">
        <v>2549.217</v>
      </c>
      <c r="I46" s="18" t="n">
        <v>2397.724</v>
      </c>
      <c r="J46" s="18" t="n">
        <v>2689.8</v>
      </c>
      <c r="K46" s="18" t="n">
        <v>2763.976</v>
      </c>
      <c r="L46" s="18" t="n">
        <v>2808.341</v>
      </c>
      <c r="M46" s="18" t="n">
        <v>2947.497</v>
      </c>
      <c r="N46" s="18" t="n">
        <v>3074.246</v>
      </c>
      <c r="O46" s="18" t="n">
        <v>2899.028</v>
      </c>
      <c r="P46" s="18" t="n">
        <v>3012.669</v>
      </c>
      <c r="Q46" s="18" t="n">
        <v>3028.399</v>
      </c>
      <c r="R46" s="18" t="n">
        <v>3160.935</v>
      </c>
      <c r="S46" s="18" t="n">
        <v>3268.312</v>
      </c>
      <c r="T46" s="18" t="n">
        <v>3430.624</v>
      </c>
      <c r="U46" s="18" t="n">
        <v>3407.928</v>
      </c>
      <c r="V46" s="18" t="n">
        <v>4653.12</v>
      </c>
      <c r="W46" s="18" t="n">
        <v>5127.753</v>
      </c>
      <c r="X46" s="18" t="n">
        <v>6469.666</v>
      </c>
      <c r="Y46" s="18" t="n">
        <v>6323.616</v>
      </c>
      <c r="Z46" s="18" t="n">
        <v>16879.029</v>
      </c>
      <c r="AA46" s="18" t="n">
        <v>5595.628</v>
      </c>
      <c r="AB46" s="18" t="n">
        <v>6012.102</v>
      </c>
      <c r="AC46" s="18" t="n">
        <v>5373.638</v>
      </c>
    </row>
    <row r="47">
      <c r="A47" s="4" t="inlineStr">
        <is>
          <t>PP&amp;E (net)</t>
        </is>
      </c>
      <c r="B47" s="18" t="n">
        <v>344.176</v>
      </c>
      <c r="C47" s="18" t="n">
        <v>372.566</v>
      </c>
      <c r="D47" s="18" t="n">
        <v>429.532</v>
      </c>
      <c r="E47" s="18" t="n">
        <v>917.664</v>
      </c>
      <c r="F47" s="18" t="n">
        <v>933.1900000000001</v>
      </c>
      <c r="G47" s="18" t="n">
        <v>956.773</v>
      </c>
      <c r="H47" s="18" t="n">
        <v>949.636</v>
      </c>
      <c r="I47" s="18" t="n">
        <v>948.74</v>
      </c>
      <c r="J47" s="18" t="n">
        <v>984.2</v>
      </c>
      <c r="K47" s="18" t="n">
        <v>964.028</v>
      </c>
      <c r="L47" s="18" t="n">
        <v>965.649</v>
      </c>
      <c r="M47" s="18" t="n">
        <v>959.047</v>
      </c>
      <c r="N47" s="18" t="n">
        <v>1076.749</v>
      </c>
      <c r="O47" s="18" t="n">
        <v>1061.373</v>
      </c>
      <c r="P47" s="18" t="n">
        <v>1042.39</v>
      </c>
      <c r="Q47" s="18" t="n">
        <v>1103.817</v>
      </c>
      <c r="R47" s="18" t="n">
        <v>1123.166</v>
      </c>
      <c r="S47" s="18" t="n">
        <v>1110.7</v>
      </c>
      <c r="T47" s="18" t="n">
        <v>1109.76</v>
      </c>
      <c r="U47" s="18" t="n">
        <v>1118.49</v>
      </c>
      <c r="V47" s="18" t="n">
        <v>1094.843</v>
      </c>
      <c r="W47" s="18" t="n">
        <v>1128.001</v>
      </c>
      <c r="X47" s="18" t="n">
        <v>1128.923</v>
      </c>
      <c r="Y47" s="18" t="n">
        <v>1092.273</v>
      </c>
      <c r="Z47" s="18" t="n">
        <v>1157.686</v>
      </c>
      <c r="AA47" s="18" t="n">
        <v>1393.056</v>
      </c>
      <c r="AB47" s="18" t="n">
        <v>1398.701</v>
      </c>
      <c r="AC47" s="18" t="n">
        <v>1390.287</v>
      </c>
    </row>
    <row r="48">
      <c r="A48" s="4" t="inlineStr">
        <is>
          <t>Total Assets</t>
        </is>
      </c>
      <c r="B48" s="18" t="n">
        <v>6194.223</v>
      </c>
      <c r="C48" s="18" t="n">
        <v>6153.408</v>
      </c>
      <c r="D48" s="18" t="n">
        <v>6405.16</v>
      </c>
      <c r="E48" s="18" t="n">
        <v>7202.903</v>
      </c>
      <c r="F48" s="18" t="n">
        <v>7322.466</v>
      </c>
      <c r="G48" s="18" t="n">
        <v>7663.25</v>
      </c>
      <c r="H48" s="18" t="n">
        <v>8030.062</v>
      </c>
      <c r="I48" s="18" t="n">
        <v>8012.838</v>
      </c>
      <c r="J48" s="18" t="n">
        <v>8339.565000000001</v>
      </c>
      <c r="K48" s="18" t="n">
        <v>8485.906000000001</v>
      </c>
      <c r="L48" s="18" t="n">
        <v>8752.26</v>
      </c>
      <c r="M48" s="18" t="n">
        <v>8901.346</v>
      </c>
      <c r="N48" s="18" t="n">
        <v>9210.380999999999</v>
      </c>
      <c r="O48" s="18" t="n">
        <v>9329.547</v>
      </c>
      <c r="P48" s="18" t="n">
        <v>9418.087</v>
      </c>
      <c r="Q48" s="18" t="n">
        <v>9565.624</v>
      </c>
      <c r="R48" s="18" t="n">
        <v>9790.732</v>
      </c>
      <c r="S48" s="18" t="n">
        <v>9923.231</v>
      </c>
      <c r="T48" s="18" t="n">
        <v>10333.131</v>
      </c>
      <c r="U48" s="18" t="n">
        <v>10558.259</v>
      </c>
      <c r="V48" s="18" t="n">
        <v>11011.837</v>
      </c>
      <c r="W48" s="18" t="n">
        <v>11648.684</v>
      </c>
      <c r="X48" s="18" t="n">
        <v>13073.561</v>
      </c>
      <c r="Y48" s="18" t="n">
        <v>13041.089</v>
      </c>
      <c r="Z48" s="18" t="n">
        <v>23756.517</v>
      </c>
      <c r="AA48" s="18" t="n">
        <v>48230.256</v>
      </c>
      <c r="AB48" s="18" t="n">
        <v>48224.461</v>
      </c>
      <c r="AC48" s="18" t="n">
        <v>47237.928</v>
      </c>
    </row>
    <row r="49">
      <c r="A49" s="4" t="inlineStr">
        <is>
          <t>Total Current Liabilities</t>
        </is>
      </c>
      <c r="B49" s="18" t="n">
        <v>1732.927</v>
      </c>
      <c r="C49" s="18" t="n">
        <v>1630.45</v>
      </c>
      <c r="D49" s="18" t="n">
        <v>1752.453</v>
      </c>
      <c r="E49" s="18" t="n">
        <v>2055.738</v>
      </c>
      <c r="F49" s="18" t="n">
        <v>2054.197</v>
      </c>
      <c r="G49" s="18" t="n">
        <v>2056.277</v>
      </c>
      <c r="H49" s="18" t="n">
        <v>2139.922</v>
      </c>
      <c r="I49" s="18" t="n">
        <v>2171.383</v>
      </c>
      <c r="J49" s="18" t="n">
        <v>2255.7</v>
      </c>
      <c r="K49" s="18" t="n">
        <v>2334.636</v>
      </c>
      <c r="L49" s="18" t="n">
        <v>2413.484</v>
      </c>
      <c r="M49" s="18" t="n">
        <v>2471.656</v>
      </c>
      <c r="N49" s="18" t="n">
        <v>2462.658</v>
      </c>
      <c r="O49" s="18" t="n">
        <v>2545.863</v>
      </c>
      <c r="P49" s="18" t="n">
        <v>2774.499</v>
      </c>
      <c r="Q49" s="18" t="n">
        <v>2724.997</v>
      </c>
      <c r="R49" s="18" t="n">
        <v>2748.68</v>
      </c>
      <c r="S49" s="18" t="n">
        <v>2729.982</v>
      </c>
      <c r="T49" s="18" t="n">
        <v>2985.451</v>
      </c>
      <c r="U49" s="18" t="n">
        <v>2644.507</v>
      </c>
      <c r="V49" s="18" t="n">
        <v>2508.35</v>
      </c>
      <c r="W49" s="18" t="n">
        <v>2534.95</v>
      </c>
      <c r="X49" s="18" t="n">
        <v>2650.12</v>
      </c>
      <c r="Y49" s="18" t="n">
        <v>2358.594</v>
      </c>
      <c r="Z49" s="18" t="n">
        <v>2406.076</v>
      </c>
      <c r="AA49" s="18" t="n">
        <v>3444.207</v>
      </c>
      <c r="AB49" s="18" t="n">
        <v>3722.494</v>
      </c>
      <c r="AC49" s="18" t="n">
        <v>6246.95</v>
      </c>
    </row>
    <row r="50">
      <c r="A50" s="4" t="inlineStr">
        <is>
          <t>Long-term Debt</t>
        </is>
      </c>
      <c r="B50" s="18" t="n">
        <v>126.152</v>
      </c>
      <c r="C50" s="18" t="n">
        <v>125.285</v>
      </c>
      <c r="D50" s="18" t="n">
        <v>120.093</v>
      </c>
      <c r="E50" s="18" t="n">
        <v>122.516</v>
      </c>
      <c r="F50" s="18" t="n">
        <v>114.37</v>
      </c>
      <c r="G50" s="18" t="n">
        <v>107.104</v>
      </c>
      <c r="H50" s="18" t="n">
        <v>100.823</v>
      </c>
      <c r="I50" s="18" t="n">
        <v>25.658</v>
      </c>
      <c r="J50" s="18" t="n">
        <v>25.62</v>
      </c>
      <c r="K50" s="18" t="n">
        <v>24.754</v>
      </c>
      <c r="L50" s="18" t="n">
        <v>25.094</v>
      </c>
      <c r="M50" s="18" t="n">
        <v>24.37</v>
      </c>
      <c r="N50" s="18" t="n">
        <v>23.775</v>
      </c>
      <c r="O50" s="18" t="n">
        <v>21.96</v>
      </c>
      <c r="P50" s="18" t="n">
        <v>20.824</v>
      </c>
      <c r="Q50" s="18" t="n">
        <v>20.569</v>
      </c>
      <c r="R50" s="18" t="n">
        <v>20.201</v>
      </c>
      <c r="S50" s="18" t="n">
        <v>18.165</v>
      </c>
      <c r="T50" s="18" t="n">
        <v>18.078</v>
      </c>
      <c r="U50" s="18" t="n">
        <v>16.951</v>
      </c>
      <c r="V50" s="18" t="n">
        <v>16.96</v>
      </c>
      <c r="W50" s="18" t="n">
        <v>15.599</v>
      </c>
      <c r="X50" s="18" t="n">
        <v>15.601</v>
      </c>
      <c r="Y50" s="18" t="n">
        <v>14.22</v>
      </c>
      <c r="Z50" s="18" t="n">
        <v>10027.681</v>
      </c>
      <c r="AA50" s="18" t="n">
        <v>14318.016</v>
      </c>
      <c r="AB50" s="18" t="n">
        <v>13462.398</v>
      </c>
      <c r="AC50" s="18" t="n">
        <v>10022.093</v>
      </c>
    </row>
    <row r="51">
      <c r="A51" s="4" t="inlineStr">
        <is>
          <t>Total Equity</t>
        </is>
      </c>
      <c r="B51" s="18" t="n">
        <v>3909.572</v>
      </c>
      <c r="C51" s="18" t="n">
        <v>3933.806</v>
      </c>
      <c r="D51" s="18" t="n">
        <v>4083.013</v>
      </c>
      <c r="E51" s="18" t="n">
        <v>4148.827</v>
      </c>
      <c r="F51" s="18" t="n">
        <v>4275.086</v>
      </c>
      <c r="G51" s="18" t="n">
        <v>4595.925</v>
      </c>
      <c r="H51" s="18" t="n">
        <v>4907.404</v>
      </c>
      <c r="I51" s="18" t="n">
        <v>4882.252</v>
      </c>
      <c r="J51" s="18" t="n">
        <v>5088.135</v>
      </c>
      <c r="K51" s="18" t="n">
        <v>5151.02</v>
      </c>
      <c r="L51" s="18" t="n">
        <v>5295.137</v>
      </c>
      <c r="M51" s="18" t="n">
        <v>5386.773</v>
      </c>
      <c r="N51" s="18" t="n">
        <v>5564.311</v>
      </c>
      <c r="O51" s="18" t="n">
        <v>5604.026</v>
      </c>
      <c r="P51" s="18" t="n">
        <v>5515.725</v>
      </c>
      <c r="Q51" s="18" t="n">
        <v>5636.754</v>
      </c>
      <c r="R51" s="18" t="n">
        <v>5831.859</v>
      </c>
      <c r="S51" s="18" t="n">
        <v>5958.555</v>
      </c>
      <c r="T51" s="18" t="n">
        <v>6147.308</v>
      </c>
      <c r="U51" s="18" t="n">
        <v>6670.984</v>
      </c>
      <c r="V51" s="18" t="n">
        <v>7153.16</v>
      </c>
      <c r="W51" s="18" t="n">
        <v>7709.396</v>
      </c>
      <c r="X51" s="18" t="n">
        <v>8990.701999999999</v>
      </c>
      <c r="Y51" s="18" t="n">
        <v>9304.791999999999</v>
      </c>
      <c r="Z51" s="18" t="n">
        <v>9915.718000000001</v>
      </c>
      <c r="AA51" s="18" t="n">
        <v>27614.531</v>
      </c>
      <c r="AB51" s="18" t="n">
        <v>28327.602</v>
      </c>
      <c r="AC51" s="18" t="n">
        <v>30547.998</v>
      </c>
    </row>
    <row r="52">
      <c r="A52" s="5" t="inlineStr">
        <is>
          <t xml:space="preserve">  CASH FLOW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</row>
    <row r="53">
      <c r="A53" s="4" t="inlineStr">
        <is>
          <t>D&amp;A</t>
        </is>
      </c>
      <c r="B53" s="18" t="n">
        <v>51.011</v>
      </c>
      <c r="C53" s="18" t="n">
        <v>49.292</v>
      </c>
      <c r="D53" s="18" t="n">
        <v>49.543</v>
      </c>
      <c r="E53" s="18" t="n">
        <v>52.232</v>
      </c>
      <c r="F53" s="18" t="n">
        <v>52.846</v>
      </c>
      <c r="G53" s="18" t="n">
        <v>54.078</v>
      </c>
      <c r="H53" s="18" t="n">
        <v>50.83</v>
      </c>
      <c r="I53" s="18" t="n">
        <v>50.628</v>
      </c>
      <c r="J53" s="18" t="n">
        <v>49.438</v>
      </c>
      <c r="K53" s="18" t="n">
        <v>51.208</v>
      </c>
      <c r="L53" s="18" t="n">
        <v>52.402</v>
      </c>
      <c r="M53" s="18" t="n">
        <v>61.685</v>
      </c>
      <c r="N53" s="18" t="n">
        <v>50.277</v>
      </c>
      <c r="O53" s="18" t="n">
        <v>57.746</v>
      </c>
      <c r="P53" s="18" t="n">
        <v>58.697</v>
      </c>
      <c r="Q53" s="18" t="n">
        <v>57.294</v>
      </c>
      <c r="R53" s="18" t="n">
        <v>59.628</v>
      </c>
      <c r="S53" s="18" t="n">
        <v>63.111</v>
      </c>
      <c r="T53" s="18" t="n">
        <v>67.087</v>
      </c>
      <c r="U53" s="18" t="n">
        <v>62.888</v>
      </c>
      <c r="V53" s="18" t="n">
        <v>60.998</v>
      </c>
      <c r="W53" s="18" t="n">
        <v>56.263</v>
      </c>
      <c r="X53" s="18" t="n">
        <v>114.916</v>
      </c>
      <c r="Y53" s="18" t="n">
        <v>47.934</v>
      </c>
      <c r="Z53" s="18" t="n">
        <v>48.904</v>
      </c>
      <c r="AA53" s="18" t="n">
        <v>114.469</v>
      </c>
      <c r="AB53" s="18" t="n">
        <v>449.123</v>
      </c>
      <c r="AC53" s="18" t="n">
        <v>450.688</v>
      </c>
    </row>
    <row r="54">
      <c r="A54" s="4" t="inlineStr">
        <is>
          <t>Stock-based Compensation</t>
        </is>
      </c>
      <c r="B54" s="18" t="n">
        <v>36.914</v>
      </c>
      <c r="C54" s="18" t="n">
        <v>39.452</v>
      </c>
      <c r="D54" s="18" t="n">
        <v>40.175</v>
      </c>
      <c r="E54" s="18" t="n">
        <v>51.883</v>
      </c>
      <c r="F54" s="18" t="n">
        <v>56.435</v>
      </c>
      <c r="G54" s="18" t="n">
        <v>61.837</v>
      </c>
      <c r="H54" s="18" t="n">
        <v>78.429</v>
      </c>
      <c r="I54" s="18" t="n">
        <v>83.782</v>
      </c>
      <c r="J54" s="18" t="n">
        <v>79.586</v>
      </c>
      <c r="K54" s="18" t="n">
        <v>85.16200000000001</v>
      </c>
      <c r="L54" s="18" t="n">
        <v>96.742</v>
      </c>
      <c r="M54" s="18" t="n">
        <v>95.771</v>
      </c>
      <c r="N54" s="18" t="n">
        <v>110.061</v>
      </c>
      <c r="O54" s="18" t="n">
        <v>127.605</v>
      </c>
      <c r="P54" s="18" t="n">
        <v>125.592</v>
      </c>
      <c r="Q54" s="18" t="n">
        <v>134.227</v>
      </c>
      <c r="R54" s="18" t="n">
        <v>143.258</v>
      </c>
      <c r="S54" s="18" t="n">
        <v>144.464</v>
      </c>
      <c r="T54" s="18" t="n">
        <v>141.343</v>
      </c>
      <c r="U54" s="18" t="n">
        <v>180.652</v>
      </c>
      <c r="V54" s="18" t="n">
        <v>177.835</v>
      </c>
      <c r="W54" s="18" t="n">
        <v>181.539</v>
      </c>
      <c r="X54" s="18" t="n">
        <v>152.29</v>
      </c>
      <c r="Y54" s="18" t="n">
        <v>186.463</v>
      </c>
      <c r="Z54" s="18" t="n">
        <v>201.723</v>
      </c>
      <c r="AA54" s="18" t="n">
        <v>267.723</v>
      </c>
      <c r="AB54" s="18" t="n">
        <v>237.385</v>
      </c>
      <c r="AC54" s="18" t="n">
        <v>258.724</v>
      </c>
    </row>
    <row r="55">
      <c r="A55" s="4" t="inlineStr">
        <is>
          <t>Change in Working Capital</t>
        </is>
      </c>
      <c r="B55" s="18" t="n">
        <v>149.618</v>
      </c>
      <c r="C55" s="18" t="n">
        <v>145.471</v>
      </c>
      <c r="D55" s="18" t="n">
        <v>24.534</v>
      </c>
      <c r="E55" s="18" t="n">
        <v>-222.116</v>
      </c>
      <c r="F55" s="18" t="n">
        <v>144.288</v>
      </c>
      <c r="G55" s="18" t="n">
        <v>22.094</v>
      </c>
      <c r="H55" s="18" t="n">
        <v>-135.474</v>
      </c>
      <c r="I55" s="18" t="n">
        <v>-142.675</v>
      </c>
      <c r="J55" s="18" t="n">
        <v>155.739</v>
      </c>
      <c r="K55" s="18" t="n">
        <v>57.6</v>
      </c>
      <c r="L55" s="18" t="n">
        <v>59.517</v>
      </c>
      <c r="M55" s="18" t="n">
        <v>-350.958</v>
      </c>
      <c r="N55" s="18" t="n">
        <v>242.739</v>
      </c>
      <c r="O55" s="18" t="n">
        <v>-8.510999999999999</v>
      </c>
      <c r="P55" s="18" t="n">
        <v>57.395</v>
      </c>
      <c r="Q55" s="18" t="n">
        <v>-330.89</v>
      </c>
      <c r="R55" s="18" t="n">
        <v>241.922</v>
      </c>
      <c r="S55" s="18" t="n">
        <v>3.72</v>
      </c>
      <c r="T55" s="18" t="n">
        <v>-242.092</v>
      </c>
      <c r="U55" s="18" t="n">
        <v>-670.503</v>
      </c>
      <c r="V55" s="18" t="n">
        <v>-32.991</v>
      </c>
      <c r="W55" s="18" t="n">
        <v>-139.411</v>
      </c>
      <c r="X55" s="18" t="n">
        <v>135.333</v>
      </c>
      <c r="Y55" s="18" t="n">
        <v>-518.7</v>
      </c>
      <c r="Z55" s="18" t="n">
        <v>-137.122</v>
      </c>
      <c r="AA55" s="18" t="n">
        <v>79.065</v>
      </c>
      <c r="AB55" s="18" t="n">
        <v>80.164</v>
      </c>
      <c r="AC55" s="18" t="n">
        <v>218.77</v>
      </c>
    </row>
    <row r="56">
      <c r="A56" s="4" t="inlineStr">
        <is>
          <t>Operating Cash Flow</t>
        </is>
      </c>
      <c r="B56" s="18" t="n">
        <v>352.82</v>
      </c>
      <c r="C56" s="18" t="n">
        <v>370.463</v>
      </c>
      <c r="D56" s="18" t="n">
        <v>221.249</v>
      </c>
      <c r="E56" s="18" t="n">
        <v>9.82</v>
      </c>
      <c r="F56" s="18" t="n">
        <v>379.919</v>
      </c>
      <c r="G56" s="18" t="n">
        <v>399.423</v>
      </c>
      <c r="H56" s="18" t="n">
        <v>202.151</v>
      </c>
      <c r="I56" s="18" t="n">
        <v>173.958</v>
      </c>
      <c r="J56" s="18" t="n">
        <v>526.338</v>
      </c>
      <c r="K56" s="18" t="n">
        <v>421.767</v>
      </c>
      <c r="L56" s="18" t="n">
        <v>370.559</v>
      </c>
      <c r="M56" s="18" t="n">
        <v>155.744</v>
      </c>
      <c r="N56" s="18" t="n">
        <v>749.957</v>
      </c>
      <c r="O56" s="18" t="n">
        <v>439.694</v>
      </c>
      <c r="P56" s="18" t="n">
        <v>393.505</v>
      </c>
      <c r="Q56" s="18" t="n">
        <v>114.751</v>
      </c>
      <c r="R56" s="18" t="n">
        <v>702.9400000000001</v>
      </c>
      <c r="S56" s="18" t="n">
        <v>559.522</v>
      </c>
      <c r="T56" s="18" t="n">
        <v>326.061</v>
      </c>
      <c r="U56" s="18" t="n">
        <v>-87.79000000000001</v>
      </c>
      <c r="V56" s="18" t="n">
        <v>476.59</v>
      </c>
      <c r="W56" s="18" t="n">
        <v>455.411</v>
      </c>
      <c r="X56" s="18" t="n">
        <v>562.818</v>
      </c>
      <c r="Y56" s="18" t="n">
        <v>-67.455</v>
      </c>
      <c r="Z56" s="18" t="n">
        <v>275.365</v>
      </c>
      <c r="AA56" s="18" t="n">
        <v>670.96</v>
      </c>
      <c r="AB56" s="18" t="n">
        <v>639.7380000000001</v>
      </c>
      <c r="AC56" s="18" t="n">
        <v>856.832</v>
      </c>
    </row>
    <row r="57">
      <c r="A57" s="4" t="inlineStr">
        <is>
          <t>Capex</t>
        </is>
      </c>
      <c r="B57" s="18" t="n">
        <v>-40.709</v>
      </c>
      <c r="C57" s="18" t="n">
        <v>-54.15</v>
      </c>
      <c r="D57" s="18" t="n">
        <v>-77.785</v>
      </c>
      <c r="E57" s="18" t="n">
        <v>-55.67</v>
      </c>
      <c r="F57" s="18" t="n">
        <v>-27.123</v>
      </c>
      <c r="G57" s="18" t="n">
        <v>-40.476</v>
      </c>
      <c r="H57" s="18" t="n">
        <v>-35.493</v>
      </c>
      <c r="I57" s="18" t="n">
        <v>-28.79</v>
      </c>
      <c r="J57" s="18" t="n">
        <v>-16.534</v>
      </c>
      <c r="K57" s="18" t="n">
        <v>-23.15</v>
      </c>
      <c r="L57" s="18" t="n">
        <v>-27.266</v>
      </c>
      <c r="M57" s="18" t="n">
        <v>-42.245</v>
      </c>
      <c r="N57" s="18" t="n">
        <v>-26.187</v>
      </c>
      <c r="O57" s="18" t="n">
        <v>-36.472</v>
      </c>
      <c r="P57" s="18" t="n">
        <v>-34.178</v>
      </c>
      <c r="Q57" s="18" t="n">
        <v>-44.124</v>
      </c>
      <c r="R57" s="18" t="n">
        <v>-48.491</v>
      </c>
      <c r="S57" s="18" t="n">
        <v>-46.109</v>
      </c>
      <c r="T57" s="18" t="n">
        <v>-53.098</v>
      </c>
      <c r="U57" s="18" t="n">
        <v>-40.391</v>
      </c>
      <c r="V57" s="18" t="n">
        <v>-38.372</v>
      </c>
      <c r="W57" s="18" t="n">
        <v>-40.009</v>
      </c>
      <c r="X57" s="18" t="n">
        <v>-4.389</v>
      </c>
      <c r="Y57" s="18" t="n">
        <v>-40.715</v>
      </c>
      <c r="Z57" s="18" t="n">
        <v>-55.588</v>
      </c>
      <c r="AA57" s="18" t="n">
        <v>-38.605</v>
      </c>
      <c r="AB57" s="18" t="n">
        <v>-34.546</v>
      </c>
      <c r="AC57" s="18" t="n">
        <v>-35.32</v>
      </c>
    </row>
    <row r="58">
      <c r="A58" s="4" t="inlineStr">
        <is>
          <t>Free Cash Flow</t>
        </is>
      </c>
      <c r="B58" s="18" t="n">
        <v>312.111</v>
      </c>
      <c r="C58" s="18" t="n">
        <v>316.313</v>
      </c>
      <c r="D58" s="18" t="n">
        <v>143.464</v>
      </c>
      <c r="E58" s="18" t="n">
        <v>-45.85</v>
      </c>
      <c r="F58" s="18" t="n">
        <v>352.796</v>
      </c>
      <c r="G58" s="18" t="n">
        <v>358.947</v>
      </c>
      <c r="H58" s="18" t="n">
        <v>166.658</v>
      </c>
      <c r="I58" s="18" t="n">
        <v>145.168</v>
      </c>
      <c r="J58" s="18" t="n">
        <v>509.804</v>
      </c>
      <c r="K58" s="18" t="n">
        <v>398.617</v>
      </c>
      <c r="L58" s="18" t="n">
        <v>343.293</v>
      </c>
      <c r="M58" s="18" t="n">
        <v>113.499</v>
      </c>
      <c r="N58" s="18" t="n">
        <v>723.77</v>
      </c>
      <c r="O58" s="18" t="n">
        <v>403.222</v>
      </c>
      <c r="P58" s="18" t="n">
        <v>359.327</v>
      </c>
      <c r="Q58" s="18" t="n">
        <v>70.627</v>
      </c>
      <c r="R58" s="18" t="n">
        <v>654.449</v>
      </c>
      <c r="S58" s="18" t="n">
        <v>513.413</v>
      </c>
      <c r="T58" s="18" t="n">
        <v>272.963</v>
      </c>
      <c r="U58" s="18" t="n">
        <v>-128.181</v>
      </c>
      <c r="V58" s="18" t="n">
        <v>438.218</v>
      </c>
      <c r="W58" s="18" t="n">
        <v>415.402</v>
      </c>
      <c r="X58" s="18" t="n">
        <v>558.429</v>
      </c>
      <c r="Y58" s="18" t="n">
        <v>-108.17</v>
      </c>
      <c r="Z58" s="18" t="n">
        <v>219.777</v>
      </c>
      <c r="AA58" s="18" t="n">
        <v>632.355</v>
      </c>
      <c r="AB58" s="18" t="n">
        <v>605.192</v>
      </c>
      <c r="AC58" s="18" t="n">
        <v>821.5119999999999</v>
      </c>
    </row>
    <row r="60">
      <c r="A60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2026</v>
      </c>
      <c r="C2" s="46" t="n">
        <v>2027</v>
      </c>
      <c r="D2" s="46" t="n">
        <v>2028</v>
      </c>
      <c r="E2" s="46" t="n">
        <v>2029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9628.648083</v>
      </c>
      <c r="C4" s="18" t="n">
        <v>10663.620502</v>
      </c>
      <c r="D4" s="18" t="n">
        <v>11875.610826</v>
      </c>
      <c r="E4" s="18" t="n">
        <v>13145.867677</v>
      </c>
    </row>
    <row r="5">
      <c r="A5" s="4" t="inlineStr">
        <is>
          <t xml:space="preserve">  model</t>
        </is>
      </c>
      <c r="B5" s="34">
        <f>Model!G10</f>
        <v/>
      </c>
      <c r="C5" s="34">
        <f>Model!H10</f>
        <v/>
      </c>
      <c r="D5" s="34">
        <f>Model!I10</f>
        <v/>
      </c>
      <c r="E5" s="34">
        <f>Model!J10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  <c r="E6" s="47">
        <f>IFERROR(E5/E4-1,"")</f>
        <v/>
      </c>
    </row>
    <row r="8">
      <c r="A8" s="3" t="inlineStr">
        <is>
          <t>EBITDA* — consensus</t>
        </is>
      </c>
      <c r="B8" s="18" t="n">
        <v>2846.012498</v>
      </c>
      <c r="C8" s="18" t="n">
        <v>3151.927141</v>
      </c>
      <c r="D8" s="18" t="n">
        <v>3510.164308</v>
      </c>
      <c r="E8" s="18" t="n">
        <v>3885.623753</v>
      </c>
    </row>
    <row r="9">
      <c r="A9" s="4" t="inlineStr">
        <is>
          <t xml:space="preserve">  model</t>
        </is>
      </c>
      <c r="B9" s="34">
        <f>Model!G23+Model!G28</f>
        <v/>
      </c>
      <c r="C9" s="34">
        <f>Model!H23+Model!H28</f>
        <v/>
      </c>
      <c r="D9" s="34">
        <f>Model!I23+Model!I28</f>
        <v/>
      </c>
      <c r="E9" s="34">
        <f>Model!J23+Model!J28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  <c r="E10" s="47">
        <f>IFERROR(E9/E8-1,"")</f>
        <v/>
      </c>
    </row>
    <row r="12">
      <c r="A12" s="3" t="inlineStr">
        <is>
          <t>EBIT* — consensus</t>
        </is>
      </c>
      <c r="B12" s="18" t="n">
        <v>2294.915148</v>
      </c>
      <c r="C12" s="18" t="n">
        <v>2541.592964</v>
      </c>
      <c r="D12" s="18" t="n">
        <v>2830.461654</v>
      </c>
      <c r="E12" s="18" t="n">
        <v>3133.217727</v>
      </c>
    </row>
    <row r="13">
      <c r="A13" s="4" t="inlineStr">
        <is>
          <t xml:space="preserve">  model</t>
        </is>
      </c>
      <c r="B13" s="34">
        <f>Model!G23</f>
        <v/>
      </c>
      <c r="C13" s="34">
        <f>Model!H23</f>
        <v/>
      </c>
      <c r="D13" s="34">
        <f>Model!I23</f>
        <v/>
      </c>
      <c r="E13" s="34">
        <f>Model!J23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  <c r="E14" s="47">
        <f>IFERROR(E13/E12-1,"")</f>
        <v/>
      </c>
    </row>
    <row r="16">
      <c r="A16" s="3" t="inlineStr">
        <is>
          <t>SG&amp;A — consensus</t>
        </is>
      </c>
      <c r="B16" s="18" t="n">
        <v>2224.275363</v>
      </c>
      <c r="C16" s="18" t="n">
        <v>2463.36019</v>
      </c>
      <c r="D16" s="18" t="n">
        <v>2743.337212</v>
      </c>
      <c r="E16" s="18" t="n">
        <v>3036.774151</v>
      </c>
    </row>
    <row r="17">
      <c r="A17" s="4" t="inlineStr">
        <is>
          <t xml:space="preserve">  model</t>
        </is>
      </c>
      <c r="B17" s="34">
        <f>Model!G18</f>
        <v/>
      </c>
      <c r="C17" s="34">
        <f>Model!H18</f>
        <v/>
      </c>
      <c r="D17" s="34">
        <f>Model!I18</f>
        <v/>
      </c>
      <c r="E17" s="34">
        <f>Model!J18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  <c r="E18" s="47">
        <f>IFERROR(E17/E16-1,"")</f>
        <v/>
      </c>
    </row>
    <row r="20">
      <c r="A20" s="3" t="inlineStr">
        <is>
          <t>Net income (NOPAT) — consensus</t>
        </is>
      </c>
      <c r="B20" s="18" t="n">
        <v>2345.351022</v>
      </c>
      <c r="C20" s="18" t="n">
        <v>2764.965936</v>
      </c>
      <c r="D20" s="18" t="n">
        <v>3825.6807035</v>
      </c>
      <c r="E20" s="18" t="n">
        <v>3747.465419</v>
      </c>
    </row>
    <row r="21">
      <c r="A21" s="4" t="inlineStr">
        <is>
          <t xml:space="preserve">  model</t>
        </is>
      </c>
      <c r="B21" s="34">
        <f>Model!G27</f>
        <v/>
      </c>
      <c r="C21" s="34">
        <f>Model!H27</f>
        <v/>
      </c>
      <c r="D21" s="34">
        <f>Model!I27</f>
        <v/>
      </c>
      <c r="E21" s="34">
        <f>Model!J27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  <c r="E22" s="47">
        <f>IFERROR(E21/E20-1,"")</f>
        <v/>
      </c>
    </row>
    <row r="24">
      <c r="A24" s="3" t="inlineStr">
        <is>
          <t>EPS — consensus</t>
        </is>
      </c>
      <c r="B24" s="48" t="n">
        <v>14.46101</v>
      </c>
      <c r="C24" s="48" t="n">
        <v>17.06604</v>
      </c>
      <c r="D24" s="48" t="n">
        <v>20.27287</v>
      </c>
      <c r="E24" s="48" t="n">
        <v>23.178</v>
      </c>
    </row>
    <row r="25">
      <c r="A25" s="4" t="inlineStr">
        <is>
          <t xml:space="preserve">  model</t>
        </is>
      </c>
      <c r="B25" s="8">
        <f>Model!G27/Financials!AC17</f>
        <v/>
      </c>
      <c r="C25" s="8">
        <f>Model!H27/Financials!AC17</f>
        <v/>
      </c>
      <c r="D25" s="8">
        <f>Model!I27/Financials!AC17</f>
        <v/>
      </c>
      <c r="E25" s="8">
        <f>Model!J27/Financials!AC17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  <c r="E26" s="47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Synopsys,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2026</v>
      </c>
      <c r="D11" s="46" t="n">
        <v>2027</v>
      </c>
      <c r="E11" s="46" t="n">
        <v>2028</v>
      </c>
      <c r="F11" s="46" t="n">
        <v>2029</v>
      </c>
      <c r="G11" s="46" t="n">
        <v>2030</v>
      </c>
      <c r="H11" s="46" t="n">
        <v>2031</v>
      </c>
      <c r="I11" s="46" t="n">
        <v>2032</v>
      </c>
      <c r="J11" s="46" t="n">
        <v>2033</v>
      </c>
      <c r="K11" s="46" t="n">
        <v>2034</v>
      </c>
      <c r="L11" s="46" t="n">
        <v>2035</v>
      </c>
    </row>
    <row r="12">
      <c r="A12" s="4" t="inlineStr">
        <is>
          <t>FCFF ($M)</t>
        </is>
      </c>
      <c r="C12" s="34">
        <f>Model!G35</f>
        <v/>
      </c>
      <c r="D12" s="34">
        <f>Model!H35</f>
        <v/>
      </c>
      <c r="E12" s="34">
        <f>Model!I35</f>
        <v/>
      </c>
      <c r="F12" s="34">
        <f>Model!J35</f>
        <v/>
      </c>
      <c r="G12" s="34">
        <f>Model!K35</f>
        <v/>
      </c>
      <c r="H12" s="34">
        <f>Model!L35</f>
        <v/>
      </c>
      <c r="I12" s="34">
        <f>Model!M35</f>
        <v/>
      </c>
      <c r="J12" s="34">
        <f>Model!N35</f>
        <v/>
      </c>
      <c r="K12" s="34">
        <f>Model!O35</f>
        <v/>
      </c>
      <c r="L12" s="34">
        <f>Model!P35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Model!P10</f>
        <v/>
      </c>
    </row>
    <row r="21">
      <c r="A21" s="4" t="inlineStr">
        <is>
          <t>Terminal EBIT</t>
        </is>
      </c>
      <c r="B21" s="34">
        <f>Model!P23</f>
        <v/>
      </c>
    </row>
    <row r="22">
      <c r="A22" s="4" t="inlineStr">
        <is>
          <t>Terminal EBITDA (SBC-burdened)</t>
        </is>
      </c>
      <c r="B22" s="34">
        <f>Model!P23+Model!P28-Model!P29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Financials!AC45</f>
        <v/>
      </c>
    </row>
    <row r="33">
      <c r="A33" s="4" t="inlineStr">
        <is>
          <t>- Long-term debt</t>
        </is>
      </c>
      <c r="B33" s="34">
        <f>-Financials!AC50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0.07806249061386392</v>
      </c>
      <c r="C4" s="52" t="n">
        <v>0.08306249061386392</v>
      </c>
      <c r="D4" s="52" t="n">
        <v>0.08806249061386391</v>
      </c>
      <c r="E4" s="52" t="n">
        <v>0.09306249061386392</v>
      </c>
      <c r="F4" s="52" t="n">
        <v>0.09806249061386392</v>
      </c>
      <c r="G4" s="52" t="n">
        <v>0.1030624906138639</v>
      </c>
      <c r="H4" s="52" t="n">
        <v>0.1080624906138639</v>
      </c>
    </row>
    <row r="5">
      <c r="A5" s="53" t="n">
        <v>15</v>
      </c>
      <c r="B5" s="54" t="n">
        <v>303.5773037068296</v>
      </c>
      <c r="C5" s="54" t="n">
        <v>289.7451123870322</v>
      </c>
      <c r="D5" s="54" t="n">
        <v>276.5614052968871</v>
      </c>
      <c r="E5" s="54" t="n">
        <v>263.9923088898958</v>
      </c>
      <c r="F5" s="54" t="n">
        <v>252.0058791626288</v>
      </c>
      <c r="G5" s="54" t="n">
        <v>240.5719831305423</v>
      </c>
      <c r="H5" s="54" t="n">
        <v>229.6621880960735</v>
      </c>
    </row>
    <row r="6">
      <c r="A6" s="53" t="n">
        <v>16</v>
      </c>
      <c r="B6" s="54" t="n">
        <v>320.0037203033241</v>
      </c>
      <c r="C6" s="54" t="n">
        <v>305.4287586137061</v>
      </c>
      <c r="D6" s="54" t="n">
        <v>291.5390595703735</v>
      </c>
      <c r="E6" s="54" t="n">
        <v>278.2987719151843</v>
      </c>
      <c r="F6" s="54" t="n">
        <v>265.6740886286643</v>
      </c>
      <c r="G6" s="54" t="n">
        <v>253.6331212744081</v>
      </c>
      <c r="H6" s="54" t="n">
        <v>242.1457826087353</v>
      </c>
    </row>
    <row r="7">
      <c r="A7" s="53" t="n">
        <v>17</v>
      </c>
      <c r="B7" s="54" t="n">
        <v>336.4301368998186</v>
      </c>
      <c r="C7" s="54" t="n">
        <v>321.11240484038</v>
      </c>
      <c r="D7" s="54" t="n">
        <v>306.5167138438599</v>
      </c>
      <c r="E7" s="54" t="n">
        <v>292.6052349404729</v>
      </c>
      <c r="F7" s="54" t="n">
        <v>279.3422980946996</v>
      </c>
      <c r="G7" s="54" t="n">
        <v>266.6942594182739</v>
      </c>
      <c r="H7" s="54" t="n">
        <v>254.6293771213971</v>
      </c>
    </row>
    <row r="8">
      <c r="A8" s="53" t="n">
        <v>18</v>
      </c>
      <c r="B8" s="54" t="n">
        <v>352.856553496313</v>
      </c>
      <c r="C8" s="54" t="n">
        <v>336.7960510670539</v>
      </c>
      <c r="D8" s="54" t="n">
        <v>321.4943681173463</v>
      </c>
      <c r="E8" s="55" t="n">
        <v>306.9116979657614</v>
      </c>
      <c r="F8" s="54" t="n">
        <v>293.010507560735</v>
      </c>
      <c r="G8" s="54" t="n">
        <v>279.7553975621398</v>
      </c>
      <c r="H8" s="54" t="n">
        <v>267.1129716340589</v>
      </c>
    </row>
    <row r="9">
      <c r="A9" s="53" t="n">
        <v>19</v>
      </c>
      <c r="B9" s="54" t="n">
        <v>369.2829700928075</v>
      </c>
      <c r="C9" s="54" t="n">
        <v>352.4796972937278</v>
      </c>
      <c r="D9" s="54" t="n">
        <v>336.4720223908327</v>
      </c>
      <c r="E9" s="54" t="n">
        <v>321.21816099105</v>
      </c>
      <c r="F9" s="54" t="n">
        <v>306.6787170267705</v>
      </c>
      <c r="G9" s="54" t="n">
        <v>292.8165357060055</v>
      </c>
      <c r="H9" s="54" t="n">
        <v>279.5965661467207</v>
      </c>
    </row>
    <row r="10">
      <c r="A10" s="53" t="n">
        <v>20</v>
      </c>
      <c r="B10" s="54" t="n">
        <v>385.7093866893021</v>
      </c>
      <c r="C10" s="54" t="n">
        <v>368.1633435204017</v>
      </c>
      <c r="D10" s="54" t="n">
        <v>351.4496766643191</v>
      </c>
      <c r="E10" s="54" t="n">
        <v>335.5246240163385</v>
      </c>
      <c r="F10" s="54" t="n">
        <v>320.3469264928058</v>
      </c>
      <c r="G10" s="54" t="n">
        <v>305.8776738498713</v>
      </c>
      <c r="H10" s="54" t="n">
        <v>292.0801606593824</v>
      </c>
    </row>
    <row r="11">
      <c r="A11" s="53" t="n">
        <v>21</v>
      </c>
      <c r="B11" s="54" t="n">
        <v>402.1358032857965</v>
      </c>
      <c r="C11" s="54" t="n">
        <v>383.8469897470757</v>
      </c>
      <c r="D11" s="54" t="n">
        <v>366.4273309378056</v>
      </c>
      <c r="E11" s="54" t="n">
        <v>349.8310870416271</v>
      </c>
      <c r="F11" s="54" t="n">
        <v>334.0151359588412</v>
      </c>
      <c r="G11" s="54" t="n">
        <v>318.9388119937372</v>
      </c>
      <c r="H11" s="54" t="n">
        <v>304.5637551720442</v>
      </c>
    </row>
    <row r="13">
      <c r="A13" s="3" t="inlineStr">
        <is>
          <t>Current price</t>
        </is>
      </c>
      <c r="B13" s="54" t="n">
        <v>461.739990234375</v>
      </c>
    </row>
    <row r="14">
      <c r="A14" s="3" t="inlineStr">
        <is>
          <t>Base WACC / multiple</t>
        </is>
      </c>
      <c r="B14" s="56" t="n">
        <v>0.09306249061386392</v>
      </c>
      <c r="C14" s="57" t="n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0.09362253121483466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0.2563485486728344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(Model!P10/Model!F10)^(1/10)-1</f>
        <v/>
      </c>
      <c r="D6" s="15" t="n">
        <v>0.0228473150883526</v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0.8530692324504309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Financials!AC45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Financials!AC50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2026-07-06T20:35:39Z</dcterms:created>
  <dcterms:modified xmlns:dcterms="http://purl.org/dc/terms/" xmlns:xsi="http://www.w3.org/2001/XMLSchema-instance" xsi:type="dcterms:W3CDTF">2026-07-06T20:35:39Z</dcterms:modified>
</cp:coreProperties>
</file>