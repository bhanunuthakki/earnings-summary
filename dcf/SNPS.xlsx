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13.0%</t>
      </text>
    </comment>
    <comment ref="C20" authorId="0" shapeId="0">
      <text>
        <t>Opus: 4.0%</t>
      </text>
    </comment>
    <comment ref="B21" authorId="0" shapeId="0">
      <text>
        <t>Opus: 11.0%</t>
      </text>
    </comment>
    <comment ref="C21" authorId="0" shapeId="0">
      <text>
        <t>Opus: 4.0%</t>
      </text>
    </comment>
    <comment ref="B22" authorId="0" shapeId="0">
      <text>
        <t>Opus: 14.0%</t>
      </text>
    </comment>
    <comment ref="C22" authorId="0" shapeId="0">
      <text>
        <t>Opus: 4.5%</t>
      </text>
    </comment>
    <comment ref="B29" authorId="0" shapeId="0">
      <text>
        <t>Opus: 27.0%</t>
      </text>
    </comment>
    <comment ref="B30" authorId="0" shapeId="0">
      <text>
        <t>Opus: 34.0%</t>
      </text>
    </comment>
    <comment ref="B31" authorId="0" shapeId="0">
      <text>
        <t>Opus: 16.0%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User-edited — overridden from Opus 18.0x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Synopsys, Inc. (SNPS)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Synopsys is the dominant EDA + design-IP franchise, now broadened into systems/multiphysics simulation via Ansys, giving it a structural picks-and-shovels position as AI drives more chips, wider chip variety, and super-linear design complexity per chip. Near-term revenue steps up sharply (consensus ~$9.6B in 2026) on the Ansys consolidation then compounds low-teens organically as the EDA/IP TAM expands, while reported margins recover from the depressed FY2025 13% (deal amortization and integration costs) toward the franchise's normalized low-30s operating margin. Over the 10-year horizon growth fades toward a ~4% mature rate and operating leverage lifts margins to ~34%, with capex converging to maintenance (~1.1x D&amp;A).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Synopsys, Inc. (SNPS)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License and Maintenance</t>
        </is>
      </c>
      <c r="B20" s="15" t="n">
        <v>0.13</v>
      </c>
      <c r="C20" s="15" t="n">
        <v>0.04</v>
      </c>
      <c r="D20" s="16" t="n">
        <v>0.13</v>
      </c>
      <c r="E20" s="2" t="inlineStr"/>
    </row>
    <row r="21">
      <c r="A21" s="4" t="inlineStr">
        <is>
          <t>License</t>
        </is>
      </c>
      <c r="B21" s="15" t="n">
        <v>0.11</v>
      </c>
      <c r="C21" s="15" t="n">
        <v>0.04</v>
      </c>
      <c r="D21" s="16" t="n">
        <v>0.11</v>
      </c>
      <c r="E21" s="2" t="inlineStr"/>
    </row>
    <row r="22">
      <c r="A22" s="4" t="inlineStr">
        <is>
          <t>Technology Service</t>
        </is>
      </c>
      <c r="B22" s="15" t="n">
        <v>0.14</v>
      </c>
      <c r="C22" s="15" t="n">
        <v>0.045</v>
      </c>
      <c r="D22" s="16" t="n">
        <v>0.14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0.27</v>
      </c>
      <c r="D29" s="16" t="n">
        <v>0.27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0.16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231.087553992</v>
      </c>
      <c r="D34" s="18" t="n">
        <v>231.087553992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1.245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18.6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0.001456223260718896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461.739990234375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279.7965736122549</v>
      </c>
      <c r="C58" s="28" t="n">
        <v>383.4844504939443</v>
      </c>
      <c r="D58" s="28" t="n">
        <v>198.6517847960126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0.1266333228336456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0.07597999370018733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SNPS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Synopsys is the dominant EDA + design-IP franchise, now broadened into systems/multiphysics simulation via Ansys, giving it a structural picks-and-shovels position as AI drives more chips, wider chip variety, and super-linear design complexity per chip. Near-term revenue steps up sharply (consensus ~$9.6B in 2026) on the Ansys consolidation then compounds low-teens organically as the EDA/IP TAM expands, while reported margins recover from the depressed FY2025 13% (deal amortization and integration costs) toward the franchise's normalized low-30s operating margin. Over the 10-year horizon growth fades toward a ~4% mature rate and operating leverage lifts margins to ~34%, with capex converging to maintenance (~1.1x D&amp;A).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FY2025's 13% op margin is artificially depressed by Ansys deal/amortization charges, so I anchored near-term margin at 27% (rebuilding) rather than the headline, with terminal at 34% reflecting EDA's intrinsic high-margin, asset-light economics. Growth is anchored to consensus (mid-teens near-term including the Ansys step) and faded to ~4% terminal; I used a perpetuity (Damodaran stable-growth) terminal with a 16% tax rate consistent with SNPS's IP-heavy, R&amp;D-credit-favored effective rate.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License and Maintenance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13.0%</t>
        </is>
      </c>
      <c r="F20" s="31" t="inlineStr"/>
    </row>
    <row r="21">
      <c r="A21" t="inlineStr">
        <is>
          <t>License and Maintenance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License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11.0%</t>
        </is>
      </c>
      <c r="F22" s="31" t="inlineStr"/>
    </row>
    <row r="23">
      <c r="A23" t="inlineStr">
        <is>
          <t>License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Technology Service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14.0%</t>
        </is>
      </c>
      <c r="F24" s="31" t="inlineStr"/>
    </row>
    <row r="25">
      <c r="A25" t="inlineStr">
        <is>
          <t>Technology Service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4.5%</t>
        </is>
      </c>
      <c r="F25" s="31" t="inlineStr"/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t="inlineStr">
        <is>
          <t>Opus</t>
        </is>
      </c>
      <c r="E26" t="inlineStr">
        <is>
          <t>27.0%</t>
        </is>
      </c>
      <c r="F26" s="31" t="inlineStr"/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t="inlineStr">
        <is>
          <t>Opus</t>
        </is>
      </c>
      <c r="E27" t="inlineStr">
        <is>
          <t>34.0%</t>
        </is>
      </c>
      <c r="F27" s="31" t="inlineStr"/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t="inlineStr">
        <is>
          <t>Opus</t>
        </is>
      </c>
      <c r="E28" t="inlineStr">
        <is>
          <t>16.0%</t>
        </is>
      </c>
      <c r="F28" s="31" t="inlineStr"/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t="inlineStr">
        <is>
          <t>Opus</t>
        </is>
      </c>
      <c r="E35" t="inlineStr">
        <is>
          <t>EV/EBITDA</t>
        </is>
      </c>
      <c r="F35" s="31" t="inlineStr"/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s="32" t="inlineStr">
        <is>
          <t>user-edited</t>
        </is>
      </c>
      <c r="E36" t="inlineStr">
        <is>
          <t>18.0x</t>
        </is>
      </c>
      <c r="F36" s="31" t="inlineStr">
        <is>
          <t>overridden from Opus 18.0x</t>
        </is>
      </c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t="inlineStr">
        <is>
          <t>Opus</t>
        </is>
      </c>
      <c r="E37" t="inlineStr">
        <is>
          <t>4.0%</t>
        </is>
      </c>
      <c r="F37" s="31" t="inlineStr"/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2%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Financials!AC50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License and Maintenance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License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Technology Service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0.2301542433434484</v>
      </c>
      <c r="H15" s="15" t="n">
        <v>0.2301542433434484</v>
      </c>
      <c r="I15" s="15" t="n">
        <v>0.2301542433434484</v>
      </c>
      <c r="J15" s="15" t="n">
        <v>0.2301542433434484</v>
      </c>
      <c r="K15" s="15" t="n">
        <v>0.2301542433434484</v>
      </c>
      <c r="L15" s="15" t="n">
        <v>0.2301542433434484</v>
      </c>
      <c r="M15" s="15" t="n">
        <v>0.2301542433434484</v>
      </c>
      <c r="N15" s="15" t="n">
        <v>0.2301542433434484</v>
      </c>
      <c r="O15" s="15" t="n">
        <v>0.2301542433434484</v>
      </c>
      <c r="P15" s="15" t="n">
        <v>0.2301542433434484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0.3514708588300438</v>
      </c>
      <c r="H17" s="15" t="n">
        <v>0.3514708588300438</v>
      </c>
      <c r="I17" s="15" t="n">
        <v>0.3514708588300438</v>
      </c>
      <c r="J17" s="15" t="n">
        <v>0.3514708588300438</v>
      </c>
      <c r="K17" s="15" t="n">
        <v>0.3514708588300438</v>
      </c>
      <c r="L17" s="15" t="n">
        <v>0.3514708588300438</v>
      </c>
      <c r="M17" s="15" t="n">
        <v>0.3514708588300438</v>
      </c>
      <c r="N17" s="15" t="n">
        <v>0.3514708588300438</v>
      </c>
      <c r="O17" s="15" t="n">
        <v>0.3514708588300438</v>
      </c>
      <c r="P17" s="15" t="n">
        <v>0.3514708588300438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0.261382545209378</v>
      </c>
      <c r="H19" s="15" t="n">
        <v>0.261382545209378</v>
      </c>
      <c r="I19" s="15" t="n">
        <v>0.261382545209378</v>
      </c>
      <c r="J19" s="15" t="n">
        <v>0.261382545209378</v>
      </c>
      <c r="K19" s="15" t="n">
        <v>0.261382545209378</v>
      </c>
      <c r="L19" s="15" t="n">
        <v>0.261382545209378</v>
      </c>
      <c r="M19" s="15" t="n">
        <v>0.261382545209378</v>
      </c>
      <c r="N19" s="15" t="n">
        <v>0.261382545209378</v>
      </c>
      <c r="O19" s="15" t="n">
        <v>0.261382545209378</v>
      </c>
      <c r="P19" s="15" t="n">
        <v>0.261382545209378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G10*(1-(Dashboard!$B$29+(Dashboard!$B$30-Dashboard!$B$29)*MIN(1,0/3)))-(G14+G16+G18)</f>
        <v/>
      </c>
      <c r="H20" s="34">
        <f>H10*(1-(Dashboard!$B$29+(Dashboard!$B$30-Dashboard!$B$29)*MIN(1,1/3)))-(H14+H16+H18)</f>
        <v/>
      </c>
      <c r="I20" s="34">
        <f>I10*(1-(Dashboard!$B$29+(Dashboard!$B$30-Dashboard!$B$29)*MIN(1,2/3)))-(I14+I16+I18)</f>
        <v/>
      </c>
      <c r="J20" s="34">
        <f>J10*(1-(Dashboard!$B$29+(Dashboard!$B$30-Dashboard!$B$29)*MIN(1,3/3)))-(J14+J16+J18)</f>
        <v/>
      </c>
      <c r="K20" s="34">
        <f>K10*(1-(Dashboard!$B$29+(Dashboard!$B$30-Dashboard!$B$29)*MIN(1,4/3)))-(K14+K16+K18)</f>
        <v/>
      </c>
      <c r="L20" s="34">
        <f>L10*(1-(Dashboard!$B$29+(Dashboard!$B$30-Dashboard!$B$29)*MIN(1,5/3)))-(L14+L16+L18)</f>
        <v/>
      </c>
      <c r="M20" s="34">
        <f>M10*(1-(Dashboard!$B$29+(Dashboard!$B$30-Dashboard!$B$29)*MIN(1,6/3)))-(M14+M16+M18)</f>
        <v/>
      </c>
      <c r="N20" s="34">
        <f>N10*(1-(Dashboard!$B$29+(Dashboard!$B$30-Dashboard!$B$29)*MIN(1,7/3)))-(N14+N16+N18)</f>
        <v/>
      </c>
      <c r="O20" s="34">
        <f>O10*(1-(Dashboard!$B$29+(Dashboard!$B$30-Dashboard!$B$29)*MIN(1,8/3)))-(O14+O16+O18)</f>
        <v/>
      </c>
      <c r="P20" s="34">
        <f>P10*(1-(Dashboard!$B$29+(Dashboard!$B$30-Dashboard!$B$29)*MIN(1,9/3)))-(P14+P16+P18)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SUM(Financials!I53:L53)</f>
        <v/>
      </c>
      <c r="C28" s="34">
        <f>SUM(Financials!M53:P53)</f>
        <v/>
      </c>
      <c r="D28" s="34">
        <f>SUM(Financials!Q53:T53)</f>
        <v/>
      </c>
      <c r="E28" s="34">
        <f>SUM(Financials!U53:X53)</f>
        <v/>
      </c>
      <c r="F28" s="34">
        <f>SUM(Financials!Y53:AB53)</f>
        <v/>
      </c>
      <c r="G28" s="42">
        <f>G10*0.0936</f>
        <v/>
      </c>
      <c r="H28" s="42">
        <f>H10*0.0936</f>
        <v/>
      </c>
      <c r="I28" s="42">
        <f>I10*0.0936</f>
        <v/>
      </c>
      <c r="J28" s="42">
        <f>J10*0.0936</f>
        <v/>
      </c>
      <c r="K28" s="42">
        <f>K10*0.0936</f>
        <v/>
      </c>
      <c r="L28" s="42">
        <f>L10*0.0936</f>
        <v/>
      </c>
      <c r="M28" s="42">
        <f>M10*0.0936</f>
        <v/>
      </c>
      <c r="N28" s="42">
        <f>N10*0.0936</f>
        <v/>
      </c>
      <c r="O28" s="42">
        <f>O10*0.0936</f>
        <v/>
      </c>
      <c r="P28" s="42">
        <f>P10*0.0936</f>
        <v/>
      </c>
    </row>
    <row r="29">
      <c r="A29" s="4" t="inlineStr">
        <is>
          <t>+ SBC (non-cash)</t>
        </is>
      </c>
      <c r="B29" s="34">
        <f>SUM(Financials!I54:L54)</f>
        <v/>
      </c>
      <c r="C29" s="34">
        <f>SUM(Financials!M54:P54)</f>
        <v/>
      </c>
      <c r="D29" s="34">
        <f>SUM(Financials!Q54:T54)</f>
        <v/>
      </c>
      <c r="E29" s="34">
        <f>SUM(Financials!U54:X54)</f>
        <v/>
      </c>
      <c r="F29" s="34">
        <f>SUM(Financials!Y54:AB54)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-SUM(Financials!I57:L57)</f>
        <v/>
      </c>
      <c r="C31" s="34">
        <f>-SUM(Financials!M57:P57)</f>
        <v/>
      </c>
      <c r="D31" s="34">
        <f>-SUM(Financials!Q57:T57)</f>
        <v/>
      </c>
      <c r="E31" s="34">
        <f>-SUM(Financials!U57:X57)</f>
        <v/>
      </c>
      <c r="F31" s="34">
        <f>-SUM(Financials!Y57:AB57)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Financials!L51+Financials!L50-Financials!L45</f>
        <v/>
      </c>
      <c r="C38" s="34">
        <f>Financials!P51+Financials!P50-Financials!P45</f>
        <v/>
      </c>
      <c r="D38" s="34">
        <f>Financials!T51+Financials!T50-Financials!T45</f>
        <v/>
      </c>
      <c r="E38" s="34">
        <f>Financials!X51+Financials!X50-Financials!X45</f>
        <v/>
      </c>
      <c r="F38" s="34">
        <f>Financials!AB51+Financials!AB50-Financials!AB45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Financials!L51</f>
        <v/>
      </c>
      <c r="C39" s="34">
        <f>Financials!P51</f>
        <v/>
      </c>
      <c r="D39" s="34">
        <f>Financials!T51</f>
        <v/>
      </c>
      <c r="E39" s="34">
        <f>Financials!X51</f>
        <v/>
      </c>
      <c r="F39" s="34">
        <f>Financials!AB51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836.242</v>
      </c>
      <c r="C3" s="18" t="n">
        <v>852.97</v>
      </c>
      <c r="D3" s="18" t="n">
        <v>851.081</v>
      </c>
      <c r="E3" s="18" t="n">
        <v>834.381</v>
      </c>
      <c r="F3" s="18" t="n">
        <v>861.327</v>
      </c>
      <c r="G3" s="18" t="n">
        <v>964.134</v>
      </c>
      <c r="H3" s="18" t="n">
        <v>1025.439</v>
      </c>
      <c r="I3" s="18" t="n">
        <v>970.321</v>
      </c>
      <c r="J3" s="18" t="n">
        <v>1024.323</v>
      </c>
      <c r="K3" s="18" t="n">
        <v>1057.13</v>
      </c>
      <c r="L3" s="18" t="n">
        <v>1152.419</v>
      </c>
      <c r="M3" s="18" t="n">
        <v>1270.255</v>
      </c>
      <c r="N3" s="18" t="n">
        <v>1279.229</v>
      </c>
      <c r="O3" s="18" t="n">
        <v>1247.766</v>
      </c>
      <c r="P3" s="18" t="n">
        <v>1284.292</v>
      </c>
      <c r="Q3" s="18" t="n">
        <v>1361.34</v>
      </c>
      <c r="R3" s="18" t="n">
        <v>1262.744</v>
      </c>
      <c r="S3" s="18" t="n">
        <v>1354.39</v>
      </c>
      <c r="T3" s="18" t="n">
        <v>1599.128</v>
      </c>
      <c r="U3" s="18" t="n">
        <v>1510.989</v>
      </c>
      <c r="V3" s="18" t="n">
        <v>1454.712</v>
      </c>
      <c r="W3" s="18" t="n">
        <v>1525.749</v>
      </c>
      <c r="X3" s="18" t="n">
        <v>1635.986</v>
      </c>
      <c r="Y3" s="18" t="n">
        <v>1455.315</v>
      </c>
      <c r="Z3" s="18" t="n">
        <v>1604.266</v>
      </c>
      <c r="AA3" s="18" t="n">
        <v>1739.737</v>
      </c>
      <c r="AB3" s="18" t="n">
        <v>2254.86</v>
      </c>
      <c r="AC3" s="18" t="n">
        <v>2408.798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190.679</v>
      </c>
      <c r="C5" s="18" t="n">
        <v>186.632</v>
      </c>
      <c r="D5" s="18" t="n">
        <v>182.743</v>
      </c>
      <c r="E5" s="18" t="n">
        <v>192.868</v>
      </c>
      <c r="F5" s="18" t="n">
        <v>184.265</v>
      </c>
      <c r="G5" s="18" t="n">
        <v>193.008</v>
      </c>
      <c r="H5" s="18" t="n">
        <v>224.549</v>
      </c>
      <c r="I5" s="18" t="n">
        <v>207.999</v>
      </c>
      <c r="J5" s="18" t="n">
        <v>213.986</v>
      </c>
      <c r="K5" s="18" t="n">
        <v>205.066</v>
      </c>
      <c r="L5" s="18" t="n">
        <v>234.726</v>
      </c>
      <c r="M5" s="18" t="n">
        <v>256.984</v>
      </c>
      <c r="N5" s="18" t="n">
        <v>252.811</v>
      </c>
      <c r="O5" s="18" t="n">
        <v>271.181</v>
      </c>
      <c r="P5" s="18" t="n">
        <v>282.721</v>
      </c>
      <c r="Q5" s="18" t="n">
        <v>284.354</v>
      </c>
      <c r="R5" s="18" t="n">
        <v>248.241</v>
      </c>
      <c r="S5" s="18" t="n">
        <v>260.432</v>
      </c>
      <c r="T5" s="18" t="n">
        <v>332.343</v>
      </c>
      <c r="U5" s="18" t="n">
        <v>279.193</v>
      </c>
      <c r="V5" s="18" t="n">
        <v>300.397</v>
      </c>
      <c r="W5" s="18" t="n">
        <v>290.676</v>
      </c>
      <c r="X5" s="18" t="n">
        <v>375.023</v>
      </c>
      <c r="Y5" s="18" t="n">
        <v>269.975</v>
      </c>
      <c r="Z5" s="18" t="n">
        <v>318.347</v>
      </c>
      <c r="AA5" s="18" t="n">
        <v>380.564</v>
      </c>
      <c r="AB5" s="18" t="n">
        <v>654.663</v>
      </c>
      <c r="AC5" s="18" t="n">
        <v>637.3819999999999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290.299</v>
      </c>
      <c r="C7" s="18" t="n">
        <v>284.804</v>
      </c>
      <c r="D7" s="18" t="n">
        <v>290.503</v>
      </c>
      <c r="E7" s="18" t="n">
        <v>314.283</v>
      </c>
      <c r="F7" s="18" t="n">
        <v>302.571</v>
      </c>
      <c r="G7" s="18" t="n">
        <v>322.602</v>
      </c>
      <c r="H7" s="18" t="n">
        <v>339.566</v>
      </c>
      <c r="I7" s="18" t="n">
        <v>357.468</v>
      </c>
      <c r="J7" s="18" t="n">
        <v>362.345</v>
      </c>
      <c r="K7" s="18" t="n">
        <v>371.146</v>
      </c>
      <c r="L7" s="18" t="n">
        <v>413.864</v>
      </c>
      <c r="M7" s="18" t="n">
        <v>383.971</v>
      </c>
      <c r="N7" s="18" t="n">
        <v>389.964</v>
      </c>
      <c r="O7" s="18" t="n">
        <v>444.826</v>
      </c>
      <c r="P7" s="18" t="n">
        <v>461.618</v>
      </c>
      <c r="Q7" s="18" t="n">
        <v>465.329</v>
      </c>
      <c r="R7" s="18" t="n">
        <v>460.463</v>
      </c>
      <c r="S7" s="18" t="n">
        <v>484.47</v>
      </c>
      <c r="T7" s="18" t="n">
        <v>488.485</v>
      </c>
      <c r="U7" s="18" t="n">
        <v>525.534</v>
      </c>
      <c r="V7" s="18" t="n">
        <v>493.136</v>
      </c>
      <c r="W7" s="18" t="n">
        <v>508.872</v>
      </c>
      <c r="X7" s="18" t="n">
        <v>554.818</v>
      </c>
      <c r="Y7" s="18" t="n">
        <v>553.216</v>
      </c>
      <c r="Z7" s="18" t="n">
        <v>553.979</v>
      </c>
      <c r="AA7" s="18" t="n">
        <v>625.301</v>
      </c>
      <c r="AB7" s="18" t="n">
        <v>746.842</v>
      </c>
      <c r="AC7" s="18" t="n">
        <v>714.9880000000001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215.003</v>
      </c>
      <c r="C9" s="18" t="n">
        <v>224.491</v>
      </c>
      <c r="D9" s="18" t="n">
        <v>224.594</v>
      </c>
      <c r="E9" s="18" t="n">
        <v>221.166</v>
      </c>
      <c r="F9" s="18" t="n">
        <v>208.071</v>
      </c>
      <c r="G9" s="18" t="n">
        <v>229.972</v>
      </c>
      <c r="H9" s="18" t="n">
        <v>256.295</v>
      </c>
      <c r="I9" s="18" t="n">
        <v>248.116</v>
      </c>
      <c r="J9" s="18" t="n">
        <v>245.448</v>
      </c>
      <c r="K9" s="18" t="n">
        <v>255.274</v>
      </c>
      <c r="L9" s="18" t="n">
        <v>287.436</v>
      </c>
      <c r="M9" s="18" t="n">
        <v>261.518</v>
      </c>
      <c r="N9" s="18" t="n">
        <v>265.53</v>
      </c>
      <c r="O9" s="18" t="n">
        <v>290.707</v>
      </c>
      <c r="P9" s="18" t="n">
        <v>315.862</v>
      </c>
      <c r="Q9" s="18" t="n">
        <v>308.149</v>
      </c>
      <c r="R9" s="18" t="n">
        <v>265.343</v>
      </c>
      <c r="S9" s="18" t="n">
        <v>285.519</v>
      </c>
      <c r="T9" s="18" t="n">
        <v>341.132</v>
      </c>
      <c r="U9" s="18" t="n">
        <v>350.107</v>
      </c>
      <c r="V9" s="18" t="n">
        <v>324.546</v>
      </c>
      <c r="W9" s="18" t="n">
        <v>361.928</v>
      </c>
      <c r="X9" s="18" t="n">
        <v>391.257</v>
      </c>
      <c r="Y9" s="18" t="n">
        <v>376.285</v>
      </c>
      <c r="Z9" s="18" t="n">
        <v>351.518</v>
      </c>
      <c r="AA9" s="18" t="n">
        <v>540.03</v>
      </c>
      <c r="AB9" s="18" t="n">
        <v>576.006</v>
      </c>
      <c r="AC9" s="18" t="n">
        <v>579.107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645.563</v>
      </c>
      <c r="C11" s="18" t="n">
        <v>666.338</v>
      </c>
      <c r="D11" s="18" t="n">
        <v>668.338</v>
      </c>
      <c r="E11" s="18" t="n">
        <v>641.513</v>
      </c>
      <c r="F11" s="18" t="n">
        <v>677.062</v>
      </c>
      <c r="G11" s="18" t="n">
        <v>771.126</v>
      </c>
      <c r="H11" s="18" t="n">
        <v>800.89</v>
      </c>
      <c r="I11" s="18" t="n">
        <v>762.322</v>
      </c>
      <c r="J11" s="18" t="n">
        <v>810.337</v>
      </c>
      <c r="K11" s="18" t="n">
        <v>852.064</v>
      </c>
      <c r="L11" s="18" t="n">
        <v>917.693</v>
      </c>
      <c r="M11" s="18" t="n">
        <v>1013.271</v>
      </c>
      <c r="N11" s="18" t="n">
        <v>1026.418</v>
      </c>
      <c r="O11" s="18" t="n">
        <v>976.585</v>
      </c>
      <c r="P11" s="18" t="n">
        <v>1001.571</v>
      </c>
      <c r="Q11" s="18" t="n">
        <v>1076.986</v>
      </c>
      <c r="R11" s="18" t="n">
        <v>1014.503</v>
      </c>
      <c r="S11" s="18" t="n">
        <v>1093.958</v>
      </c>
      <c r="T11" s="18" t="n">
        <v>1266.785</v>
      </c>
      <c r="U11" s="18" t="n">
        <v>1231.796</v>
      </c>
      <c r="V11" s="18" t="n">
        <v>1154.315</v>
      </c>
      <c r="W11" s="18" t="n">
        <v>1235.073</v>
      </c>
      <c r="X11" s="18" t="n">
        <v>1260.963</v>
      </c>
      <c r="Y11" s="18" t="n">
        <v>1185.34</v>
      </c>
      <c r="Z11" s="18" t="n">
        <v>1285.919</v>
      </c>
      <c r="AA11" s="18" t="n">
        <v>1359.173</v>
      </c>
      <c r="AB11" s="18" t="n">
        <v>1600.197</v>
      </c>
      <c r="AC11" s="18" t="n">
        <v>1771.416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115.502</v>
      </c>
      <c r="C13" s="18" t="n">
        <v>127.594</v>
      </c>
      <c r="D13" s="18" t="n">
        <v>129.721</v>
      </c>
      <c r="E13" s="18" t="n">
        <v>87.51600000000001</v>
      </c>
      <c r="F13" s="18" t="n">
        <v>125.895</v>
      </c>
      <c r="G13" s="18" t="n">
        <v>210.598</v>
      </c>
      <c r="H13" s="18" t="n">
        <v>196.132</v>
      </c>
      <c r="I13" s="18" t="n">
        <v>148.348</v>
      </c>
      <c r="J13" s="18" t="n">
        <v>194.231</v>
      </c>
      <c r="K13" s="18" t="n">
        <v>201.923</v>
      </c>
      <c r="L13" s="18" t="n">
        <v>190.288</v>
      </c>
      <c r="M13" s="18" t="n">
        <v>347.036</v>
      </c>
      <c r="N13" s="18" t="n">
        <v>363.701</v>
      </c>
      <c r="O13" s="18" t="n">
        <v>233.928</v>
      </c>
      <c r="P13" s="18" t="n">
        <v>217.373</v>
      </c>
      <c r="Q13" s="18" t="n">
        <v>255.932</v>
      </c>
      <c r="R13" s="18" t="n">
        <v>292.375</v>
      </c>
      <c r="S13" s="18" t="n">
        <v>300.076</v>
      </c>
      <c r="T13" s="18" t="n">
        <v>430.521</v>
      </c>
      <c r="U13" s="18" t="n">
        <v>352.626</v>
      </c>
      <c r="V13" s="18" t="n">
        <v>332.072</v>
      </c>
      <c r="W13" s="18" t="n">
        <v>360.211</v>
      </c>
      <c r="X13" s="18" t="n">
        <v>310.802</v>
      </c>
      <c r="Y13" s="18" t="n">
        <v>251.839</v>
      </c>
      <c r="Z13" s="18" t="n">
        <v>376.426</v>
      </c>
      <c r="AA13" s="18" t="n">
        <v>165.269</v>
      </c>
      <c r="AB13" s="18" t="n">
        <v>121.393</v>
      </c>
      <c r="AC13" s="18" t="n">
        <v>203.046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118.21</v>
      </c>
      <c r="C15" s="18" t="n">
        <v>99.929</v>
      </c>
      <c r="D15" s="18" t="n">
        <v>160.714</v>
      </c>
      <c r="E15" s="18" t="n">
        <v>104.061</v>
      </c>
      <c r="F15" s="18" t="n">
        <v>109.92</v>
      </c>
      <c r="G15" s="18" t="n">
        <v>252.911</v>
      </c>
      <c r="H15" s="18" t="n">
        <v>197.455</v>
      </c>
      <c r="I15" s="18" t="n">
        <v>162.345</v>
      </c>
      <c r="J15" s="18" t="n">
        <v>195.078</v>
      </c>
      <c r="K15" s="18" t="n">
        <v>198.646</v>
      </c>
      <c r="L15" s="18" t="n">
        <v>201.447</v>
      </c>
      <c r="M15" s="18" t="n">
        <v>313.687</v>
      </c>
      <c r="N15" s="18" t="n">
        <v>294.781</v>
      </c>
      <c r="O15" s="18" t="n">
        <v>222.626</v>
      </c>
      <c r="P15" s="18" t="n">
        <v>153.5</v>
      </c>
      <c r="Q15" s="18" t="n">
        <v>271.536</v>
      </c>
      <c r="R15" s="18" t="n">
        <v>272.91</v>
      </c>
      <c r="S15" s="18" t="n">
        <v>336.252</v>
      </c>
      <c r="T15" s="18" t="n">
        <v>349.19</v>
      </c>
      <c r="U15" s="18" t="n">
        <v>449.112</v>
      </c>
      <c r="V15" s="18" t="n">
        <v>292.107</v>
      </c>
      <c r="W15" s="18" t="n">
        <v>408.055</v>
      </c>
      <c r="X15" s="18" t="n">
        <v>1114.106</v>
      </c>
      <c r="Y15" s="18" t="n">
        <v>295.683</v>
      </c>
      <c r="Z15" s="18" t="n">
        <v>345.332</v>
      </c>
      <c r="AA15" s="18" t="n">
        <v>242.509</v>
      </c>
      <c r="AB15" s="18" t="n">
        <v>448.696</v>
      </c>
      <c r="AC15" s="18" t="n">
        <v>64.71599999999999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153.904</v>
      </c>
      <c r="C17" s="18" t="n">
        <v>154.6</v>
      </c>
      <c r="D17" s="18" t="n">
        <v>154.532</v>
      </c>
      <c r="E17" s="18" t="n">
        <v>154.504</v>
      </c>
      <c r="F17" s="18" t="n">
        <v>154.379</v>
      </c>
      <c r="G17" s="18" t="n">
        <v>155.973</v>
      </c>
      <c r="H17" s="18" t="n">
        <v>156.825</v>
      </c>
      <c r="I17" s="18" t="n">
        <v>157.277</v>
      </c>
      <c r="J17" s="18" t="n">
        <v>157.077</v>
      </c>
      <c r="K17" s="18" t="n">
        <v>156.907</v>
      </c>
      <c r="L17" s="18" t="n">
        <v>157.243</v>
      </c>
      <c r="M17" s="18" t="n">
        <v>157.273</v>
      </c>
      <c r="N17" s="18" t="n">
        <v>156.167</v>
      </c>
      <c r="O17" s="18" t="n">
        <v>155.806</v>
      </c>
      <c r="P17" s="18" t="n">
        <v>155.749</v>
      </c>
      <c r="Q17" s="18" t="n">
        <v>155.076</v>
      </c>
      <c r="R17" s="18" t="n">
        <v>154.73</v>
      </c>
      <c r="S17" s="18" t="n">
        <v>154.947</v>
      </c>
      <c r="T17" s="18" t="n">
        <v>154.845</v>
      </c>
      <c r="U17" s="18" t="n">
        <v>155.334</v>
      </c>
      <c r="V17" s="18" t="n">
        <v>155.77</v>
      </c>
      <c r="W17" s="18" t="n">
        <v>156.131</v>
      </c>
      <c r="X17" s="18" t="n">
        <v>155.991</v>
      </c>
      <c r="Y17" s="18" t="n">
        <v>156.189</v>
      </c>
      <c r="Z17" s="18" t="n">
        <v>156.088</v>
      </c>
      <c r="AA17" s="18" t="n">
        <v>161.682</v>
      </c>
      <c r="AB17" s="18" t="n">
        <v>161.682</v>
      </c>
      <c r="AC17" s="18" t="n">
        <v>161.682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License and Maintenance</t>
        </is>
      </c>
      <c r="B19" s="18" t="n">
        <v>558.3049999999999</v>
      </c>
      <c r="C19" s="18" t="n">
        <v>537.569</v>
      </c>
      <c r="D19" s="18" t="n">
        <v>548.375</v>
      </c>
      <c r="E19" s="18" t="n">
        <v>556.439</v>
      </c>
      <c r="F19" s="18" t="n">
        <v>590.097</v>
      </c>
      <c r="G19" s="18" t="n">
        <v>612.0650000000001</v>
      </c>
      <c r="H19" s="18" t="n">
        <v>606.598</v>
      </c>
      <c r="I19" s="18" t="n">
        <v>631.29</v>
      </c>
      <c r="J19" s="18" t="n">
        <v>648.794</v>
      </c>
      <c r="K19" s="18" t="n">
        <v>665.563</v>
      </c>
      <c r="L19" s="18" t="n">
        <v>688.116</v>
      </c>
      <c r="M19" s="18" t="n">
        <v>707.4829999999999</v>
      </c>
      <c r="N19" s="18" t="n">
        <v>723.821</v>
      </c>
      <c r="O19" s="18" t="n">
        <v>754.322</v>
      </c>
      <c r="P19" s="18" t="n">
        <v>808.16</v>
      </c>
      <c r="Q19" s="18" t="n">
        <v>782.313</v>
      </c>
      <c r="R19" s="18" t="n">
        <v>808.196</v>
      </c>
      <c r="S19" s="18" t="n">
        <v>922.874</v>
      </c>
      <c r="T19" s="18" t="n">
        <v>870.249</v>
      </c>
      <c r="U19" s="18" t="n">
        <v>904.378</v>
      </c>
      <c r="V19" s="18" t="n">
        <v>781.7140000000001</v>
      </c>
      <c r="W19" s="18" t="n">
        <v>803.147</v>
      </c>
      <c r="X19" s="18" t="n">
        <v>1639.438</v>
      </c>
      <c r="Y19" s="18" t="n">
        <v>828.2380000000001</v>
      </c>
      <c r="Z19" s="18" t="n">
        <v>828.326</v>
      </c>
      <c r="AA19" s="18" t="n">
        <v>892.364</v>
      </c>
      <c r="AB19" s="18" t="n">
        <v>940.681</v>
      </c>
      <c r="AC19" s="18" t="n">
        <v>951.5410000000001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License</t>
        </is>
      </c>
      <c r="B22" s="18" t="n">
        <v>143.401</v>
      </c>
      <c r="C22" s="18" t="n">
        <v>177.552</v>
      </c>
      <c r="D22" s="18" t="n">
        <v>168.325</v>
      </c>
      <c r="E22" s="18" t="n">
        <v>150.721</v>
      </c>
      <c r="F22" s="18" t="n">
        <v>129.765</v>
      </c>
      <c r="G22" s="18" t="n">
        <v>210.931</v>
      </c>
      <c r="H22" s="18" t="n">
        <v>244.155</v>
      </c>
      <c r="I22" s="18" t="n">
        <v>174.381</v>
      </c>
      <c r="J22" s="18" t="n">
        <v>209.116</v>
      </c>
      <c r="K22" s="18" t="n">
        <v>203.301</v>
      </c>
      <c r="L22" s="18" t="n">
        <v>274.265</v>
      </c>
      <c r="M22" s="18" t="n">
        <v>368.274</v>
      </c>
      <c r="N22" s="18" t="n">
        <v>336.625</v>
      </c>
      <c r="O22" s="18" t="n">
        <v>268.584</v>
      </c>
      <c r="P22" s="18" t="n">
        <v>253.245</v>
      </c>
      <c r="Q22" s="18" t="n">
        <v>336.658</v>
      </c>
      <c r="R22" s="18" t="n">
        <v>345.524</v>
      </c>
      <c r="S22" s="18" t="n">
        <v>297.967</v>
      </c>
      <c r="T22" s="18" t="n">
        <v>449.181</v>
      </c>
      <c r="U22" s="18" t="n">
        <v>447.863</v>
      </c>
      <c r="V22" s="18" t="n">
        <v>396.389</v>
      </c>
      <c r="W22" s="18" t="n">
        <v>442.528</v>
      </c>
      <c r="X22" s="18" t="n">
        <v>963.3049999999999</v>
      </c>
      <c r="Y22" s="18" t="n">
        <v>368.124</v>
      </c>
      <c r="Z22" s="18" t="n">
        <v>510.676</v>
      </c>
      <c r="AA22" s="18" t="n">
        <v>516.404</v>
      </c>
      <c r="AB22" s="18" t="n">
        <v>615.398</v>
      </c>
      <c r="AC22" s="18" t="n">
        <v>741.53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Technology Service</t>
        </is>
      </c>
      <c r="B25" s="18" t="n">
        <v>134.536</v>
      </c>
      <c r="C25" s="18" t="n">
        <v>137.849</v>
      </c>
      <c r="D25" s="18" t="n">
        <v>134.381</v>
      </c>
      <c r="E25" s="18" t="n">
        <v>127.221</v>
      </c>
      <c r="F25" s="18" t="n">
        <v>141.465</v>
      </c>
      <c r="G25" s="18" t="n">
        <v>141.138</v>
      </c>
      <c r="H25" s="18" t="n">
        <v>174.686</v>
      </c>
      <c r="I25" s="18" t="n">
        <v>164.65</v>
      </c>
      <c r="J25" s="18" t="n">
        <v>166.413</v>
      </c>
      <c r="K25" s="18" t="n">
        <v>188.266</v>
      </c>
      <c r="L25" s="18" t="n">
        <v>190.038</v>
      </c>
      <c r="M25" s="18" t="n">
        <v>194.498</v>
      </c>
      <c r="N25" s="18" t="n">
        <v>218.783</v>
      </c>
      <c r="O25" s="18" t="n">
        <v>224.86</v>
      </c>
      <c r="P25" s="18" t="n">
        <v>222.887</v>
      </c>
      <c r="Q25" s="18" t="n">
        <v>242.369</v>
      </c>
      <c r="R25" s="18" t="n">
        <v>241.143</v>
      </c>
      <c r="S25" s="18" t="n">
        <v>266.447</v>
      </c>
      <c r="T25" s="18" t="n">
        <v>279.698</v>
      </c>
      <c r="U25" s="18" t="n">
        <v>296.989</v>
      </c>
      <c r="V25" s="18" t="n">
        <v>276.609</v>
      </c>
      <c r="W25" s="18" t="n">
        <v>280.074</v>
      </c>
      <c r="X25" s="18" t="n">
        <v>544.232</v>
      </c>
      <c r="Y25" s="18" t="n">
        <v>258.953</v>
      </c>
      <c r="Z25" s="18" t="n">
        <v>265.264</v>
      </c>
      <c r="AA25" s="18" t="n">
        <v>330.969</v>
      </c>
      <c r="AB25" s="18" t="n">
        <v>698.7809999999999</v>
      </c>
      <c r="AC25" s="18" t="n">
        <v>715.727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</t>
        </is>
      </c>
      <c r="B29" s="18" t="n">
        <v>416.744</v>
      </c>
      <c r="C29" s="18" t="n">
        <v>407.408</v>
      </c>
      <c r="D29" s="18" t="n">
        <v>444.227</v>
      </c>
      <c r="E29" s="18" t="n">
        <v>408.489</v>
      </c>
      <c r="F29" s="18" t="n">
        <v>404.389</v>
      </c>
      <c r="G29" s="18" t="n">
        <v>432.692</v>
      </c>
      <c r="H29" s="18" t="n">
        <v>528.778</v>
      </c>
      <c r="I29" s="18" t="n">
        <v>468.701</v>
      </c>
      <c r="J29" s="18" t="n">
        <v>471.716</v>
      </c>
      <c r="K29" s="18" t="n">
        <v>477.218</v>
      </c>
      <c r="L29" s="18" t="n">
        <v>534.329</v>
      </c>
      <c r="M29" s="18" t="n">
        <v>610.3339999999999</v>
      </c>
      <c r="N29" s="18" t="n">
        <v>577.881</v>
      </c>
      <c r="O29" s="18" t="n">
        <v>575.326</v>
      </c>
      <c r="P29" s="18" t="n">
        <v>586.225</v>
      </c>
      <c r="Q29" s="18" t="n">
        <v>671.782</v>
      </c>
      <c r="R29" s="18" t="n">
        <v>661.413</v>
      </c>
      <c r="S29" s="18" t="n">
        <v>640.147</v>
      </c>
      <c r="T29" s="18" t="n">
        <v>812.722</v>
      </c>
      <c r="U29" s="18" t="n">
        <v>807.6180000000001</v>
      </c>
      <c r="V29" s="18" t="n">
        <v>630.766</v>
      </c>
      <c r="W29" s="18" t="n">
        <v>660.479</v>
      </c>
      <c r="X29" s="18" t="n">
        <v>640.893</v>
      </c>
      <c r="Y29" s="18" t="n">
        <v>610.71</v>
      </c>
      <c r="Z29" s="18" t="n">
        <v>649.299</v>
      </c>
      <c r="AA29" s="18" t="n">
        <v>816.194</v>
      </c>
      <c r="AB29" s="18" t="n">
        <v>1023.892</v>
      </c>
      <c r="AC29" s="18" t="n">
        <v>1096.085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Europe</t>
        </is>
      </c>
      <c r="B32" s="18" t="n">
        <v>83.542</v>
      </c>
      <c r="C32" s="18" t="n">
        <v>90.074</v>
      </c>
      <c r="D32" s="18" t="n">
        <v>91.53100000000001</v>
      </c>
      <c r="E32" s="18" t="n">
        <v>94.37</v>
      </c>
      <c r="F32" s="18" t="n">
        <v>89.28400000000001</v>
      </c>
      <c r="G32" s="18" t="n">
        <v>94.297</v>
      </c>
      <c r="H32" s="18" t="n">
        <v>107.336</v>
      </c>
      <c r="I32" s="18" t="n">
        <v>105.175</v>
      </c>
      <c r="J32" s="18" t="n">
        <v>106.16</v>
      </c>
      <c r="K32" s="18" t="n">
        <v>112.877</v>
      </c>
      <c r="L32" s="18" t="n">
        <v>116.613</v>
      </c>
      <c r="M32" s="18" t="n">
        <v>132.717</v>
      </c>
      <c r="N32" s="18" t="n">
        <v>116.191</v>
      </c>
      <c r="O32" s="18" t="n">
        <v>127.288</v>
      </c>
      <c r="P32" s="18" t="n">
        <v>117.234</v>
      </c>
      <c r="Q32" s="18" t="n">
        <v>135.007</v>
      </c>
      <c r="R32" s="18" t="n">
        <v>156.956</v>
      </c>
      <c r="S32" s="18" t="n">
        <v>145.626</v>
      </c>
      <c r="T32" s="18" t="n">
        <v>158.045</v>
      </c>
      <c r="U32" s="18" t="n">
        <v>159.113</v>
      </c>
      <c r="V32" s="18" t="n">
        <v>147.476</v>
      </c>
      <c r="W32" s="18" t="n">
        <v>144.631</v>
      </c>
      <c r="X32" s="18" t="n">
        <v>163.364</v>
      </c>
      <c r="Y32" s="18" t="n">
        <v>153.671</v>
      </c>
      <c r="Z32" s="18" t="n">
        <v>194.843</v>
      </c>
      <c r="AA32" s="18" t="n">
        <v>178.595</v>
      </c>
      <c r="AB32" s="18" t="n">
        <v>361.415</v>
      </c>
      <c r="AC32" s="18" t="n">
        <v>467.033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Other Countries</t>
        </is>
      </c>
      <c r="K35" s="18" t="n">
        <v>192.327</v>
      </c>
      <c r="M35" s="18" t="n">
        <v>200.026</v>
      </c>
      <c r="N35" s="18" t="n">
        <v>250.384</v>
      </c>
      <c r="O35" s="18" t="n">
        <v>230.707</v>
      </c>
      <c r="Q35" s="18" t="n">
        <v>210.981</v>
      </c>
      <c r="R35" s="18" t="n">
        <v>223.251</v>
      </c>
      <c r="S35" s="18" t="n">
        <v>233.552</v>
      </c>
      <c r="U35" s="18" t="n">
        <v>247.924</v>
      </c>
      <c r="V35" s="18" t="n">
        <v>261.974</v>
      </c>
      <c r="W35" s="18" t="n">
        <v>259.123</v>
      </c>
      <c r="X35" s="18" t="n">
        <v>241.533</v>
      </c>
      <c r="Y35" s="18" t="n">
        <v>266.601</v>
      </c>
      <c r="Z35" s="18" t="n">
        <v>345.023</v>
      </c>
      <c r="AA35" s="18" t="n">
        <v>295.543</v>
      </c>
      <c r="AB35" s="18" t="n">
        <v>397.069</v>
      </c>
      <c r="AC35" s="18" t="n">
        <v>387.981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KOREA, REPUBLIC OF</t>
        </is>
      </c>
      <c r="E38" s="18" t="n">
        <v>89.515</v>
      </c>
      <c r="F38" s="18" t="n">
        <v>105.315</v>
      </c>
      <c r="G38" s="18" t="n">
        <v>96.34399999999999</v>
      </c>
      <c r="H38" s="18" t="n">
        <v>97.834</v>
      </c>
      <c r="I38" s="18" t="n">
        <v>98.254</v>
      </c>
      <c r="J38" s="18" t="n">
        <v>105.388</v>
      </c>
      <c r="K38" s="18" t="n">
        <v>110.536</v>
      </c>
      <c r="L38" s="18" t="n">
        <v>113.293</v>
      </c>
      <c r="M38" s="18" t="n">
        <v>114.355</v>
      </c>
      <c r="N38" s="18" t="n">
        <v>119.21</v>
      </c>
      <c r="O38" s="18" t="n">
        <v>125.307</v>
      </c>
      <c r="P38" s="18" t="n">
        <v>172.67</v>
      </c>
      <c r="Q38" s="18" t="n">
        <v>145.792</v>
      </c>
      <c r="R38" s="18" t="n">
        <v>156.816</v>
      </c>
      <c r="S38" s="18" t="n">
        <v>163.938</v>
      </c>
      <c r="T38" s="18" t="n">
        <v>168.256</v>
      </c>
      <c r="U38" s="18" t="n">
        <v>184.6</v>
      </c>
      <c r="V38" s="18" t="n">
        <v>192.676</v>
      </c>
      <c r="W38" s="18" t="n">
        <v>194.817</v>
      </c>
      <c r="X38" s="18" t="n">
        <v>200.925</v>
      </c>
      <c r="Y38" s="18" t="n">
        <v>250.385</v>
      </c>
      <c r="Z38" s="18" t="n">
        <v>257.595</v>
      </c>
      <c r="AA38" s="18" t="n">
        <v>202.117</v>
      </c>
      <c r="AB38" s="18" t="n">
        <v>236.902</v>
      </c>
      <c r="AC38" s="18" t="n">
        <v>246.616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CHINA</t>
        </is>
      </c>
      <c r="I41" s="18" t="n">
        <v>115.768</v>
      </c>
      <c r="J41" s="18" t="n">
        <v>125.519</v>
      </c>
      <c r="K41" s="18" t="n">
        <v>164.172</v>
      </c>
      <c r="L41" s="18" t="n">
        <v>157.252</v>
      </c>
      <c r="M41" s="18" t="n">
        <v>212.823</v>
      </c>
      <c r="N41" s="18" t="n">
        <v>215.563</v>
      </c>
      <c r="O41" s="18" t="n">
        <v>189.138</v>
      </c>
      <c r="P41" s="18" t="n">
        <v>177.881</v>
      </c>
      <c r="Q41" s="18" t="n">
        <v>197.778</v>
      </c>
      <c r="R41" s="18" t="n">
        <v>196.427</v>
      </c>
      <c r="S41" s="18" t="n">
        <v>304.025</v>
      </c>
      <c r="T41" s="18" t="n">
        <v>188.026</v>
      </c>
      <c r="U41" s="18" t="n">
        <v>249.975</v>
      </c>
      <c r="V41" s="18" t="n">
        <v>221.82</v>
      </c>
      <c r="W41" s="18" t="n">
        <v>266.699</v>
      </c>
      <c r="X41" s="18" t="n">
        <v>251.03</v>
      </c>
      <c r="Y41" s="18" t="n">
        <v>173.948</v>
      </c>
      <c r="Z41" s="18" t="n">
        <v>157.506</v>
      </c>
      <c r="AA41" s="18" t="n">
        <v>247.288</v>
      </c>
      <c r="AB41" s="18" t="n">
        <v>235.582</v>
      </c>
      <c r="AC41" s="18" t="n">
        <v>211.083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5" t="inlineStr">
        <is>
          <t xml:space="preserve">  BALANCE SHEET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</row>
    <row r="45">
      <c r="A45" s="4" t="inlineStr">
        <is>
          <t>Cash &amp; ST Investments</t>
        </is>
      </c>
      <c r="B45" s="18" t="n">
        <v>631.1609999999999</v>
      </c>
      <c r="C45" s="18" t="n">
        <v>686.78</v>
      </c>
      <c r="D45" s="18" t="n">
        <v>728.597</v>
      </c>
      <c r="E45" s="18" t="n">
        <v>700.356</v>
      </c>
      <c r="F45" s="18" t="n">
        <v>856.424</v>
      </c>
      <c r="G45" s="18" t="n">
        <v>1049.922</v>
      </c>
      <c r="H45" s="18" t="n">
        <v>1235.653</v>
      </c>
      <c r="I45" s="18" t="n">
        <v>1023.074</v>
      </c>
      <c r="J45" s="18" t="n">
        <v>1457.918</v>
      </c>
      <c r="K45" s="18" t="n">
        <v>1530.168</v>
      </c>
      <c r="L45" s="18" t="n">
        <v>1580.789</v>
      </c>
      <c r="M45" s="18" t="n">
        <v>1272.047</v>
      </c>
      <c r="N45" s="18" t="n">
        <v>1720.521</v>
      </c>
      <c r="O45" s="18" t="n">
        <v>1531.158</v>
      </c>
      <c r="P45" s="18" t="n">
        <v>1565.521</v>
      </c>
      <c r="Q45" s="18" t="n">
        <v>1301.923</v>
      </c>
      <c r="R45" s="18" t="n">
        <v>1695.438</v>
      </c>
      <c r="S45" s="18" t="n">
        <v>1834.587</v>
      </c>
      <c r="T45" s="18" t="n">
        <v>1585.605</v>
      </c>
      <c r="U45" s="18" t="n">
        <v>1273.434</v>
      </c>
      <c r="V45" s="18" t="n">
        <v>1659.7</v>
      </c>
      <c r="W45" s="18" t="n">
        <v>1994.246</v>
      </c>
      <c r="X45" s="18" t="n">
        <v>4050.401</v>
      </c>
      <c r="Y45" s="18" t="n">
        <v>3809.369</v>
      </c>
      <c r="Z45" s="18" t="n">
        <v>14263.911</v>
      </c>
      <c r="AA45" s="18" t="n">
        <v>2593.71</v>
      </c>
      <c r="AB45" s="18" t="n">
        <v>2960.959</v>
      </c>
      <c r="AC45" s="18" t="n">
        <v>2203.482</v>
      </c>
    </row>
    <row r="46">
      <c r="A46" s="4" t="inlineStr">
        <is>
          <t>Total Current Assets</t>
        </is>
      </c>
      <c r="B46" s="18" t="n">
        <v>1643.883</v>
      </c>
      <c r="C46" s="18" t="n">
        <v>1617.645</v>
      </c>
      <c r="D46" s="18" t="n">
        <v>1738.917</v>
      </c>
      <c r="E46" s="18" t="n">
        <v>1951.429</v>
      </c>
      <c r="F46" s="18" t="n">
        <v>1960.755</v>
      </c>
      <c r="G46" s="18" t="n">
        <v>2186.015</v>
      </c>
      <c r="H46" s="18" t="n">
        <v>2549.217</v>
      </c>
      <c r="I46" s="18" t="n">
        <v>2397.724</v>
      </c>
      <c r="J46" s="18" t="n">
        <v>2689.8</v>
      </c>
      <c r="K46" s="18" t="n">
        <v>2763.976</v>
      </c>
      <c r="L46" s="18" t="n">
        <v>2808.341</v>
      </c>
      <c r="M46" s="18" t="n">
        <v>2947.497</v>
      </c>
      <c r="N46" s="18" t="n">
        <v>3074.246</v>
      </c>
      <c r="O46" s="18" t="n">
        <v>2899.028</v>
      </c>
      <c r="P46" s="18" t="n">
        <v>3012.669</v>
      </c>
      <c r="Q46" s="18" t="n">
        <v>3028.399</v>
      </c>
      <c r="R46" s="18" t="n">
        <v>3160.935</v>
      </c>
      <c r="S46" s="18" t="n">
        <v>3268.312</v>
      </c>
      <c r="T46" s="18" t="n">
        <v>3430.624</v>
      </c>
      <c r="U46" s="18" t="n">
        <v>3407.928</v>
      </c>
      <c r="V46" s="18" t="n">
        <v>4653.12</v>
      </c>
      <c r="W46" s="18" t="n">
        <v>5127.753</v>
      </c>
      <c r="X46" s="18" t="n">
        <v>6469.666</v>
      </c>
      <c r="Y46" s="18" t="n">
        <v>6323.616</v>
      </c>
      <c r="Z46" s="18" t="n">
        <v>16879.029</v>
      </c>
      <c r="AA46" s="18" t="n">
        <v>5595.628</v>
      </c>
      <c r="AB46" s="18" t="n">
        <v>6012.102</v>
      </c>
      <c r="AC46" s="18" t="n">
        <v>5373.638</v>
      </c>
    </row>
    <row r="47">
      <c r="A47" s="4" t="inlineStr">
        <is>
          <t>PP&amp;E (net)</t>
        </is>
      </c>
      <c r="B47" s="18" t="n">
        <v>344.176</v>
      </c>
      <c r="C47" s="18" t="n">
        <v>372.566</v>
      </c>
      <c r="D47" s="18" t="n">
        <v>429.532</v>
      </c>
      <c r="E47" s="18" t="n">
        <v>917.664</v>
      </c>
      <c r="F47" s="18" t="n">
        <v>933.1900000000001</v>
      </c>
      <c r="G47" s="18" t="n">
        <v>956.773</v>
      </c>
      <c r="H47" s="18" t="n">
        <v>949.636</v>
      </c>
      <c r="I47" s="18" t="n">
        <v>948.74</v>
      </c>
      <c r="J47" s="18" t="n">
        <v>984.2</v>
      </c>
      <c r="K47" s="18" t="n">
        <v>964.028</v>
      </c>
      <c r="L47" s="18" t="n">
        <v>965.649</v>
      </c>
      <c r="M47" s="18" t="n">
        <v>959.047</v>
      </c>
      <c r="N47" s="18" t="n">
        <v>1076.749</v>
      </c>
      <c r="O47" s="18" t="n">
        <v>1061.373</v>
      </c>
      <c r="P47" s="18" t="n">
        <v>1042.39</v>
      </c>
      <c r="Q47" s="18" t="n">
        <v>1103.817</v>
      </c>
      <c r="R47" s="18" t="n">
        <v>1123.166</v>
      </c>
      <c r="S47" s="18" t="n">
        <v>1110.7</v>
      </c>
      <c r="T47" s="18" t="n">
        <v>1109.76</v>
      </c>
      <c r="U47" s="18" t="n">
        <v>1118.49</v>
      </c>
      <c r="V47" s="18" t="n">
        <v>1094.843</v>
      </c>
      <c r="W47" s="18" t="n">
        <v>1128.001</v>
      </c>
      <c r="X47" s="18" t="n">
        <v>1128.923</v>
      </c>
      <c r="Y47" s="18" t="n">
        <v>1092.273</v>
      </c>
      <c r="Z47" s="18" t="n">
        <v>1157.686</v>
      </c>
      <c r="AA47" s="18" t="n">
        <v>1393.056</v>
      </c>
      <c r="AB47" s="18" t="n">
        <v>1398.701</v>
      </c>
      <c r="AC47" s="18" t="n">
        <v>1390.287</v>
      </c>
    </row>
    <row r="48">
      <c r="A48" s="4" t="inlineStr">
        <is>
          <t>Total Assets</t>
        </is>
      </c>
      <c r="B48" s="18" t="n">
        <v>6194.223</v>
      </c>
      <c r="C48" s="18" t="n">
        <v>6153.408</v>
      </c>
      <c r="D48" s="18" t="n">
        <v>6405.16</v>
      </c>
      <c r="E48" s="18" t="n">
        <v>7202.903</v>
      </c>
      <c r="F48" s="18" t="n">
        <v>7322.466</v>
      </c>
      <c r="G48" s="18" t="n">
        <v>7663.25</v>
      </c>
      <c r="H48" s="18" t="n">
        <v>8030.062</v>
      </c>
      <c r="I48" s="18" t="n">
        <v>8012.838</v>
      </c>
      <c r="J48" s="18" t="n">
        <v>8339.565000000001</v>
      </c>
      <c r="K48" s="18" t="n">
        <v>8485.906000000001</v>
      </c>
      <c r="L48" s="18" t="n">
        <v>8752.26</v>
      </c>
      <c r="M48" s="18" t="n">
        <v>8901.346</v>
      </c>
      <c r="N48" s="18" t="n">
        <v>9210.380999999999</v>
      </c>
      <c r="O48" s="18" t="n">
        <v>9329.547</v>
      </c>
      <c r="P48" s="18" t="n">
        <v>9418.087</v>
      </c>
      <c r="Q48" s="18" t="n">
        <v>9565.624</v>
      </c>
      <c r="R48" s="18" t="n">
        <v>9790.732</v>
      </c>
      <c r="S48" s="18" t="n">
        <v>9923.231</v>
      </c>
      <c r="T48" s="18" t="n">
        <v>10333.131</v>
      </c>
      <c r="U48" s="18" t="n">
        <v>10558.259</v>
      </c>
      <c r="V48" s="18" t="n">
        <v>11011.837</v>
      </c>
      <c r="W48" s="18" t="n">
        <v>11648.684</v>
      </c>
      <c r="X48" s="18" t="n">
        <v>13073.561</v>
      </c>
      <c r="Y48" s="18" t="n">
        <v>13041.089</v>
      </c>
      <c r="Z48" s="18" t="n">
        <v>23756.517</v>
      </c>
      <c r="AA48" s="18" t="n">
        <v>48230.256</v>
      </c>
      <c r="AB48" s="18" t="n">
        <v>48224.461</v>
      </c>
      <c r="AC48" s="18" t="n">
        <v>47237.928</v>
      </c>
    </row>
    <row r="49">
      <c r="A49" s="4" t="inlineStr">
        <is>
          <t>Total Current Liabilities</t>
        </is>
      </c>
      <c r="B49" s="18" t="n">
        <v>1732.927</v>
      </c>
      <c r="C49" s="18" t="n">
        <v>1630.45</v>
      </c>
      <c r="D49" s="18" t="n">
        <v>1752.453</v>
      </c>
      <c r="E49" s="18" t="n">
        <v>2055.738</v>
      </c>
      <c r="F49" s="18" t="n">
        <v>2054.197</v>
      </c>
      <c r="G49" s="18" t="n">
        <v>2056.277</v>
      </c>
      <c r="H49" s="18" t="n">
        <v>2139.922</v>
      </c>
      <c r="I49" s="18" t="n">
        <v>2171.383</v>
      </c>
      <c r="J49" s="18" t="n">
        <v>2255.7</v>
      </c>
      <c r="K49" s="18" t="n">
        <v>2334.636</v>
      </c>
      <c r="L49" s="18" t="n">
        <v>2413.484</v>
      </c>
      <c r="M49" s="18" t="n">
        <v>2471.656</v>
      </c>
      <c r="N49" s="18" t="n">
        <v>2462.658</v>
      </c>
      <c r="O49" s="18" t="n">
        <v>2545.863</v>
      </c>
      <c r="P49" s="18" t="n">
        <v>2774.499</v>
      </c>
      <c r="Q49" s="18" t="n">
        <v>2724.997</v>
      </c>
      <c r="R49" s="18" t="n">
        <v>2748.68</v>
      </c>
      <c r="S49" s="18" t="n">
        <v>2729.982</v>
      </c>
      <c r="T49" s="18" t="n">
        <v>2985.451</v>
      </c>
      <c r="U49" s="18" t="n">
        <v>2644.507</v>
      </c>
      <c r="V49" s="18" t="n">
        <v>2508.35</v>
      </c>
      <c r="W49" s="18" t="n">
        <v>2534.95</v>
      </c>
      <c r="X49" s="18" t="n">
        <v>2650.12</v>
      </c>
      <c r="Y49" s="18" t="n">
        <v>2358.594</v>
      </c>
      <c r="Z49" s="18" t="n">
        <v>2406.076</v>
      </c>
      <c r="AA49" s="18" t="n">
        <v>3444.207</v>
      </c>
      <c r="AB49" s="18" t="n">
        <v>3722.494</v>
      </c>
      <c r="AC49" s="18" t="n">
        <v>6246.95</v>
      </c>
    </row>
    <row r="50">
      <c r="A50" s="4" t="inlineStr">
        <is>
          <t>Long-term Debt</t>
        </is>
      </c>
      <c r="B50" s="18" t="n">
        <v>126.152</v>
      </c>
      <c r="C50" s="18" t="n">
        <v>125.285</v>
      </c>
      <c r="D50" s="18" t="n">
        <v>120.093</v>
      </c>
      <c r="E50" s="18" t="n">
        <v>122.516</v>
      </c>
      <c r="F50" s="18" t="n">
        <v>114.37</v>
      </c>
      <c r="G50" s="18" t="n">
        <v>107.104</v>
      </c>
      <c r="H50" s="18" t="n">
        <v>100.823</v>
      </c>
      <c r="I50" s="18" t="n">
        <v>25.658</v>
      </c>
      <c r="J50" s="18" t="n">
        <v>25.62</v>
      </c>
      <c r="K50" s="18" t="n">
        <v>24.754</v>
      </c>
      <c r="L50" s="18" t="n">
        <v>25.094</v>
      </c>
      <c r="M50" s="18" t="n">
        <v>24.37</v>
      </c>
      <c r="N50" s="18" t="n">
        <v>23.775</v>
      </c>
      <c r="O50" s="18" t="n">
        <v>21.96</v>
      </c>
      <c r="P50" s="18" t="n">
        <v>20.824</v>
      </c>
      <c r="Q50" s="18" t="n">
        <v>20.569</v>
      </c>
      <c r="R50" s="18" t="n">
        <v>20.201</v>
      </c>
      <c r="S50" s="18" t="n">
        <v>18.165</v>
      </c>
      <c r="T50" s="18" t="n">
        <v>18.078</v>
      </c>
      <c r="U50" s="18" t="n">
        <v>16.951</v>
      </c>
      <c r="V50" s="18" t="n">
        <v>16.96</v>
      </c>
      <c r="W50" s="18" t="n">
        <v>15.599</v>
      </c>
      <c r="X50" s="18" t="n">
        <v>15.601</v>
      </c>
      <c r="Y50" s="18" t="n">
        <v>14.22</v>
      </c>
      <c r="Z50" s="18" t="n">
        <v>10027.681</v>
      </c>
      <c r="AA50" s="18" t="n">
        <v>14318.016</v>
      </c>
      <c r="AB50" s="18" t="n">
        <v>13462.398</v>
      </c>
      <c r="AC50" s="18" t="n">
        <v>10022.093</v>
      </c>
    </row>
    <row r="51">
      <c r="A51" s="4" t="inlineStr">
        <is>
          <t>Total Equity</t>
        </is>
      </c>
      <c r="B51" s="18" t="n">
        <v>3909.572</v>
      </c>
      <c r="C51" s="18" t="n">
        <v>3933.806</v>
      </c>
      <c r="D51" s="18" t="n">
        <v>4083.013</v>
      </c>
      <c r="E51" s="18" t="n">
        <v>4148.827</v>
      </c>
      <c r="F51" s="18" t="n">
        <v>4275.086</v>
      </c>
      <c r="G51" s="18" t="n">
        <v>4595.925</v>
      </c>
      <c r="H51" s="18" t="n">
        <v>4907.404</v>
      </c>
      <c r="I51" s="18" t="n">
        <v>4882.252</v>
      </c>
      <c r="J51" s="18" t="n">
        <v>5088.135</v>
      </c>
      <c r="K51" s="18" t="n">
        <v>5151.02</v>
      </c>
      <c r="L51" s="18" t="n">
        <v>5295.137</v>
      </c>
      <c r="M51" s="18" t="n">
        <v>5386.773</v>
      </c>
      <c r="N51" s="18" t="n">
        <v>5564.311</v>
      </c>
      <c r="O51" s="18" t="n">
        <v>5604.026</v>
      </c>
      <c r="P51" s="18" t="n">
        <v>5515.725</v>
      </c>
      <c r="Q51" s="18" t="n">
        <v>5636.754</v>
      </c>
      <c r="R51" s="18" t="n">
        <v>5831.859</v>
      </c>
      <c r="S51" s="18" t="n">
        <v>5958.555</v>
      </c>
      <c r="T51" s="18" t="n">
        <v>6147.308</v>
      </c>
      <c r="U51" s="18" t="n">
        <v>6670.984</v>
      </c>
      <c r="V51" s="18" t="n">
        <v>7153.16</v>
      </c>
      <c r="W51" s="18" t="n">
        <v>7709.396</v>
      </c>
      <c r="X51" s="18" t="n">
        <v>8990.701999999999</v>
      </c>
      <c r="Y51" s="18" t="n">
        <v>9304.791999999999</v>
      </c>
      <c r="Z51" s="18" t="n">
        <v>9915.718000000001</v>
      </c>
      <c r="AA51" s="18" t="n">
        <v>27614.531</v>
      </c>
      <c r="AB51" s="18" t="n">
        <v>28327.602</v>
      </c>
      <c r="AC51" s="18" t="n">
        <v>30547.998</v>
      </c>
    </row>
    <row r="52">
      <c r="A52" s="5" t="inlineStr">
        <is>
          <t xml:space="preserve">  CASH FLOW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</row>
    <row r="53">
      <c r="A53" s="4" t="inlineStr">
        <is>
          <t>D&amp;A</t>
        </is>
      </c>
      <c r="B53" s="18" t="n">
        <v>51.011</v>
      </c>
      <c r="C53" s="18" t="n">
        <v>49.292</v>
      </c>
      <c r="D53" s="18" t="n">
        <v>49.543</v>
      </c>
      <c r="E53" s="18" t="n">
        <v>52.232</v>
      </c>
      <c r="F53" s="18" t="n">
        <v>52.846</v>
      </c>
      <c r="G53" s="18" t="n">
        <v>54.078</v>
      </c>
      <c r="H53" s="18" t="n">
        <v>50.83</v>
      </c>
      <c r="I53" s="18" t="n">
        <v>50.628</v>
      </c>
      <c r="J53" s="18" t="n">
        <v>49.438</v>
      </c>
      <c r="K53" s="18" t="n">
        <v>51.208</v>
      </c>
      <c r="L53" s="18" t="n">
        <v>52.402</v>
      </c>
      <c r="M53" s="18" t="n">
        <v>61.685</v>
      </c>
      <c r="N53" s="18" t="n">
        <v>50.277</v>
      </c>
      <c r="O53" s="18" t="n">
        <v>57.746</v>
      </c>
      <c r="P53" s="18" t="n">
        <v>58.697</v>
      </c>
      <c r="Q53" s="18" t="n">
        <v>57.294</v>
      </c>
      <c r="R53" s="18" t="n">
        <v>59.628</v>
      </c>
      <c r="S53" s="18" t="n">
        <v>63.111</v>
      </c>
      <c r="T53" s="18" t="n">
        <v>67.087</v>
      </c>
      <c r="U53" s="18" t="n">
        <v>62.888</v>
      </c>
      <c r="V53" s="18" t="n">
        <v>60.998</v>
      </c>
      <c r="W53" s="18" t="n">
        <v>56.263</v>
      </c>
      <c r="X53" s="18" t="n">
        <v>114.916</v>
      </c>
      <c r="Y53" s="18" t="n">
        <v>47.934</v>
      </c>
      <c r="Z53" s="18" t="n">
        <v>48.904</v>
      </c>
      <c r="AA53" s="18" t="n">
        <v>114.469</v>
      </c>
      <c r="AB53" s="18" t="n">
        <v>449.123</v>
      </c>
      <c r="AC53" s="18" t="n">
        <v>450.688</v>
      </c>
    </row>
    <row r="54">
      <c r="A54" s="4" t="inlineStr">
        <is>
          <t>Stock-based Compensation</t>
        </is>
      </c>
      <c r="B54" s="18" t="n">
        <v>36.914</v>
      </c>
      <c r="C54" s="18" t="n">
        <v>39.452</v>
      </c>
      <c r="D54" s="18" t="n">
        <v>40.175</v>
      </c>
      <c r="E54" s="18" t="n">
        <v>51.883</v>
      </c>
      <c r="F54" s="18" t="n">
        <v>56.435</v>
      </c>
      <c r="G54" s="18" t="n">
        <v>61.837</v>
      </c>
      <c r="H54" s="18" t="n">
        <v>78.429</v>
      </c>
      <c r="I54" s="18" t="n">
        <v>83.782</v>
      </c>
      <c r="J54" s="18" t="n">
        <v>79.586</v>
      </c>
      <c r="K54" s="18" t="n">
        <v>85.16200000000001</v>
      </c>
      <c r="L54" s="18" t="n">
        <v>96.742</v>
      </c>
      <c r="M54" s="18" t="n">
        <v>95.771</v>
      </c>
      <c r="N54" s="18" t="n">
        <v>110.061</v>
      </c>
      <c r="O54" s="18" t="n">
        <v>127.605</v>
      </c>
      <c r="P54" s="18" t="n">
        <v>125.592</v>
      </c>
      <c r="Q54" s="18" t="n">
        <v>134.227</v>
      </c>
      <c r="R54" s="18" t="n">
        <v>143.258</v>
      </c>
      <c r="S54" s="18" t="n">
        <v>144.464</v>
      </c>
      <c r="T54" s="18" t="n">
        <v>141.343</v>
      </c>
      <c r="U54" s="18" t="n">
        <v>180.652</v>
      </c>
      <c r="V54" s="18" t="n">
        <v>177.835</v>
      </c>
      <c r="W54" s="18" t="n">
        <v>181.539</v>
      </c>
      <c r="X54" s="18" t="n">
        <v>152.29</v>
      </c>
      <c r="Y54" s="18" t="n">
        <v>186.463</v>
      </c>
      <c r="Z54" s="18" t="n">
        <v>201.723</v>
      </c>
      <c r="AA54" s="18" t="n">
        <v>267.723</v>
      </c>
      <c r="AB54" s="18" t="n">
        <v>237.385</v>
      </c>
      <c r="AC54" s="18" t="n">
        <v>258.724</v>
      </c>
    </row>
    <row r="55">
      <c r="A55" s="4" t="inlineStr">
        <is>
          <t>Change in Working Capital</t>
        </is>
      </c>
      <c r="B55" s="18" t="n">
        <v>149.618</v>
      </c>
      <c r="C55" s="18" t="n">
        <v>145.471</v>
      </c>
      <c r="D55" s="18" t="n">
        <v>24.534</v>
      </c>
      <c r="E55" s="18" t="n">
        <v>-222.116</v>
      </c>
      <c r="F55" s="18" t="n">
        <v>144.288</v>
      </c>
      <c r="G55" s="18" t="n">
        <v>22.094</v>
      </c>
      <c r="H55" s="18" t="n">
        <v>-135.474</v>
      </c>
      <c r="I55" s="18" t="n">
        <v>-142.675</v>
      </c>
      <c r="J55" s="18" t="n">
        <v>155.739</v>
      </c>
      <c r="K55" s="18" t="n">
        <v>57.6</v>
      </c>
      <c r="L55" s="18" t="n">
        <v>59.517</v>
      </c>
      <c r="M55" s="18" t="n">
        <v>-350.958</v>
      </c>
      <c r="N55" s="18" t="n">
        <v>242.739</v>
      </c>
      <c r="O55" s="18" t="n">
        <v>-8.510999999999999</v>
      </c>
      <c r="P55" s="18" t="n">
        <v>57.395</v>
      </c>
      <c r="Q55" s="18" t="n">
        <v>-330.89</v>
      </c>
      <c r="R55" s="18" t="n">
        <v>241.922</v>
      </c>
      <c r="S55" s="18" t="n">
        <v>3.72</v>
      </c>
      <c r="T55" s="18" t="n">
        <v>-242.092</v>
      </c>
      <c r="U55" s="18" t="n">
        <v>-670.503</v>
      </c>
      <c r="V55" s="18" t="n">
        <v>-32.991</v>
      </c>
      <c r="W55" s="18" t="n">
        <v>-139.411</v>
      </c>
      <c r="X55" s="18" t="n">
        <v>135.333</v>
      </c>
      <c r="Y55" s="18" t="n">
        <v>-518.7</v>
      </c>
      <c r="Z55" s="18" t="n">
        <v>-137.122</v>
      </c>
      <c r="AA55" s="18" t="n">
        <v>79.065</v>
      </c>
      <c r="AB55" s="18" t="n">
        <v>80.164</v>
      </c>
      <c r="AC55" s="18" t="n">
        <v>218.77</v>
      </c>
    </row>
    <row r="56">
      <c r="A56" s="4" t="inlineStr">
        <is>
          <t>Operating Cash Flow</t>
        </is>
      </c>
      <c r="B56" s="18" t="n">
        <v>352.82</v>
      </c>
      <c r="C56" s="18" t="n">
        <v>370.463</v>
      </c>
      <c r="D56" s="18" t="n">
        <v>221.249</v>
      </c>
      <c r="E56" s="18" t="n">
        <v>9.82</v>
      </c>
      <c r="F56" s="18" t="n">
        <v>379.919</v>
      </c>
      <c r="G56" s="18" t="n">
        <v>399.423</v>
      </c>
      <c r="H56" s="18" t="n">
        <v>202.151</v>
      </c>
      <c r="I56" s="18" t="n">
        <v>173.958</v>
      </c>
      <c r="J56" s="18" t="n">
        <v>526.338</v>
      </c>
      <c r="K56" s="18" t="n">
        <v>421.767</v>
      </c>
      <c r="L56" s="18" t="n">
        <v>370.559</v>
      </c>
      <c r="M56" s="18" t="n">
        <v>155.744</v>
      </c>
      <c r="N56" s="18" t="n">
        <v>749.957</v>
      </c>
      <c r="O56" s="18" t="n">
        <v>439.694</v>
      </c>
      <c r="P56" s="18" t="n">
        <v>393.505</v>
      </c>
      <c r="Q56" s="18" t="n">
        <v>114.751</v>
      </c>
      <c r="R56" s="18" t="n">
        <v>702.9400000000001</v>
      </c>
      <c r="S56" s="18" t="n">
        <v>559.522</v>
      </c>
      <c r="T56" s="18" t="n">
        <v>326.061</v>
      </c>
      <c r="U56" s="18" t="n">
        <v>-87.79000000000001</v>
      </c>
      <c r="V56" s="18" t="n">
        <v>476.59</v>
      </c>
      <c r="W56" s="18" t="n">
        <v>455.411</v>
      </c>
      <c r="X56" s="18" t="n">
        <v>562.818</v>
      </c>
      <c r="Y56" s="18" t="n">
        <v>-67.455</v>
      </c>
      <c r="Z56" s="18" t="n">
        <v>275.365</v>
      </c>
      <c r="AA56" s="18" t="n">
        <v>670.96</v>
      </c>
      <c r="AB56" s="18" t="n">
        <v>639.7380000000001</v>
      </c>
      <c r="AC56" s="18" t="n">
        <v>856.832</v>
      </c>
    </row>
    <row r="57">
      <c r="A57" s="4" t="inlineStr">
        <is>
          <t>Capex</t>
        </is>
      </c>
      <c r="B57" s="18" t="n">
        <v>-40.709</v>
      </c>
      <c r="C57" s="18" t="n">
        <v>-54.15</v>
      </c>
      <c r="D57" s="18" t="n">
        <v>-77.785</v>
      </c>
      <c r="E57" s="18" t="n">
        <v>-55.67</v>
      </c>
      <c r="F57" s="18" t="n">
        <v>-27.123</v>
      </c>
      <c r="G57" s="18" t="n">
        <v>-40.476</v>
      </c>
      <c r="H57" s="18" t="n">
        <v>-35.493</v>
      </c>
      <c r="I57" s="18" t="n">
        <v>-28.79</v>
      </c>
      <c r="J57" s="18" t="n">
        <v>-16.534</v>
      </c>
      <c r="K57" s="18" t="n">
        <v>-23.15</v>
      </c>
      <c r="L57" s="18" t="n">
        <v>-27.266</v>
      </c>
      <c r="M57" s="18" t="n">
        <v>-42.245</v>
      </c>
      <c r="N57" s="18" t="n">
        <v>-26.187</v>
      </c>
      <c r="O57" s="18" t="n">
        <v>-36.472</v>
      </c>
      <c r="P57" s="18" t="n">
        <v>-34.178</v>
      </c>
      <c r="Q57" s="18" t="n">
        <v>-44.124</v>
      </c>
      <c r="R57" s="18" t="n">
        <v>-48.491</v>
      </c>
      <c r="S57" s="18" t="n">
        <v>-46.109</v>
      </c>
      <c r="T57" s="18" t="n">
        <v>-53.098</v>
      </c>
      <c r="U57" s="18" t="n">
        <v>-40.391</v>
      </c>
      <c r="V57" s="18" t="n">
        <v>-38.372</v>
      </c>
      <c r="W57" s="18" t="n">
        <v>-40.009</v>
      </c>
      <c r="X57" s="18" t="n">
        <v>-4.389</v>
      </c>
      <c r="Y57" s="18" t="n">
        <v>-40.715</v>
      </c>
      <c r="Z57" s="18" t="n">
        <v>-55.588</v>
      </c>
      <c r="AA57" s="18" t="n">
        <v>-38.605</v>
      </c>
      <c r="AB57" s="18" t="n">
        <v>-34.546</v>
      </c>
      <c r="AC57" s="18" t="n">
        <v>-35.32</v>
      </c>
    </row>
    <row r="58">
      <c r="A58" s="4" t="inlineStr">
        <is>
          <t>Free Cash Flow</t>
        </is>
      </c>
      <c r="B58" s="18" t="n">
        <v>312.111</v>
      </c>
      <c r="C58" s="18" t="n">
        <v>316.313</v>
      </c>
      <c r="D58" s="18" t="n">
        <v>143.464</v>
      </c>
      <c r="E58" s="18" t="n">
        <v>-45.85</v>
      </c>
      <c r="F58" s="18" t="n">
        <v>352.796</v>
      </c>
      <c r="G58" s="18" t="n">
        <v>358.947</v>
      </c>
      <c r="H58" s="18" t="n">
        <v>166.658</v>
      </c>
      <c r="I58" s="18" t="n">
        <v>145.168</v>
      </c>
      <c r="J58" s="18" t="n">
        <v>509.804</v>
      </c>
      <c r="K58" s="18" t="n">
        <v>398.617</v>
      </c>
      <c r="L58" s="18" t="n">
        <v>343.293</v>
      </c>
      <c r="M58" s="18" t="n">
        <v>113.499</v>
      </c>
      <c r="N58" s="18" t="n">
        <v>723.77</v>
      </c>
      <c r="O58" s="18" t="n">
        <v>403.222</v>
      </c>
      <c r="P58" s="18" t="n">
        <v>359.327</v>
      </c>
      <c r="Q58" s="18" t="n">
        <v>70.627</v>
      </c>
      <c r="R58" s="18" t="n">
        <v>654.449</v>
      </c>
      <c r="S58" s="18" t="n">
        <v>513.413</v>
      </c>
      <c r="T58" s="18" t="n">
        <v>272.963</v>
      </c>
      <c r="U58" s="18" t="n">
        <v>-128.181</v>
      </c>
      <c r="V58" s="18" t="n">
        <v>438.218</v>
      </c>
      <c r="W58" s="18" t="n">
        <v>415.402</v>
      </c>
      <c r="X58" s="18" t="n">
        <v>558.429</v>
      </c>
      <c r="Y58" s="18" t="n">
        <v>-108.17</v>
      </c>
      <c r="Z58" s="18" t="n">
        <v>219.777</v>
      </c>
      <c r="AA58" s="18" t="n">
        <v>632.355</v>
      </c>
      <c r="AB58" s="18" t="n">
        <v>605.192</v>
      </c>
      <c r="AC58" s="18" t="n">
        <v>821.5119999999999</v>
      </c>
    </row>
    <row r="60">
      <c r="A6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9628.648083</v>
      </c>
      <c r="C4" s="18" t="n">
        <v>10663.620502</v>
      </c>
      <c r="D4" s="18" t="n">
        <v>11875.610826</v>
      </c>
      <c r="E4" s="18" t="n">
        <v>13145.867677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2846.012498</v>
      </c>
      <c r="C8" s="18" t="n">
        <v>3151.927141</v>
      </c>
      <c r="D8" s="18" t="n">
        <v>3510.164308</v>
      </c>
      <c r="E8" s="18" t="n">
        <v>3885.623753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2294.915148</v>
      </c>
      <c r="C12" s="18" t="n">
        <v>2541.592964</v>
      </c>
      <c r="D12" s="18" t="n">
        <v>2830.461654</v>
      </c>
      <c r="E12" s="18" t="n">
        <v>3133.217727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2224.275363</v>
      </c>
      <c r="C16" s="18" t="n">
        <v>2463.36019</v>
      </c>
      <c r="D16" s="18" t="n">
        <v>2743.337212</v>
      </c>
      <c r="E16" s="18" t="n">
        <v>3036.774151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2345.351022</v>
      </c>
      <c r="C20" s="18" t="n">
        <v>2764.965936</v>
      </c>
      <c r="D20" s="18" t="n">
        <v>3825.6807035</v>
      </c>
      <c r="E20" s="18" t="n">
        <v>3747.465419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14.46101</v>
      </c>
      <c r="C24" s="48" t="n">
        <v>17.06604</v>
      </c>
      <c r="D24" s="48" t="n">
        <v>20.27287</v>
      </c>
      <c r="E24" s="48" t="n">
        <v>23.178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Synopsys,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Financials!AC45</f>
        <v/>
      </c>
    </row>
    <row r="33">
      <c r="A33" s="4" t="inlineStr">
        <is>
          <t>- Long-term debt</t>
        </is>
      </c>
      <c r="B33" s="34">
        <f>-Financials!AC50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0.07806249061386392</v>
      </c>
      <c r="C4" s="52" t="n">
        <v>0.08306249061386392</v>
      </c>
      <c r="D4" s="52" t="n">
        <v>0.08806249061386391</v>
      </c>
      <c r="E4" s="52" t="n">
        <v>0.09306249061386392</v>
      </c>
      <c r="F4" s="52" t="n">
        <v>0.09806249061386392</v>
      </c>
      <c r="G4" s="52" t="n">
        <v>0.1030624906138639</v>
      </c>
      <c r="H4" s="52" t="n">
        <v>0.1080624906138639</v>
      </c>
    </row>
    <row r="5">
      <c r="A5" s="53" t="n">
        <v>15.6</v>
      </c>
      <c r="B5" s="54" t="n">
        <v>278.1953449289466</v>
      </c>
      <c r="C5" s="54" t="n">
        <v>265.4312927129754</v>
      </c>
      <c r="D5" s="54" t="n">
        <v>253.2649110612121</v>
      </c>
      <c r="E5" s="54" t="n">
        <v>241.6649904680427</v>
      </c>
      <c r="F5" s="54" t="n">
        <v>230.6020991396061</v>
      </c>
      <c r="G5" s="54" t="n">
        <v>220.0484737912119</v>
      </c>
      <c r="H5" s="54" t="n">
        <v>209.9779176247106</v>
      </c>
    </row>
    <row r="6">
      <c r="A6" s="53" t="n">
        <v>16.6</v>
      </c>
      <c r="B6" s="54" t="n">
        <v>292.7893380797697</v>
      </c>
      <c r="C6" s="54" t="n">
        <v>279.3653740914337</v>
      </c>
      <c r="D6" s="54" t="n">
        <v>266.5717563246707</v>
      </c>
      <c r="E6" s="54" t="n">
        <v>254.3755181827801</v>
      </c>
      <c r="F6" s="54" t="n">
        <v>242.7455726817239</v>
      </c>
      <c r="G6" s="54" t="n">
        <v>231.6525969116624</v>
      </c>
      <c r="H6" s="54" t="n">
        <v>221.0689240986558</v>
      </c>
    </row>
    <row r="7">
      <c r="A7" s="53" t="n">
        <v>17.6</v>
      </c>
      <c r="B7" s="54" t="n">
        <v>307.3833312305928</v>
      </c>
      <c r="C7" s="54" t="n">
        <v>293.299455469892</v>
      </c>
      <c r="D7" s="54" t="n">
        <v>279.8786015881291</v>
      </c>
      <c r="E7" s="54" t="n">
        <v>267.0860458975175</v>
      </c>
      <c r="F7" s="54" t="n">
        <v>254.8890462238419</v>
      </c>
      <c r="G7" s="54" t="n">
        <v>243.2567200321128</v>
      </c>
      <c r="H7" s="54" t="n">
        <v>232.1599305726008</v>
      </c>
    </row>
    <row r="8">
      <c r="A8" s="53" t="n">
        <v>18.6</v>
      </c>
      <c r="B8" s="54" t="n">
        <v>321.9773243814159</v>
      </c>
      <c r="C8" s="54" t="n">
        <v>307.2335368483502</v>
      </c>
      <c r="D8" s="54" t="n">
        <v>293.1854468515875</v>
      </c>
      <c r="E8" s="55" t="n">
        <v>279.7965736122549</v>
      </c>
      <c r="F8" s="54" t="n">
        <v>267.0325197659598</v>
      </c>
      <c r="G8" s="54" t="n">
        <v>254.8608431525632</v>
      </c>
      <c r="H8" s="54" t="n">
        <v>243.2509370465459</v>
      </c>
    </row>
    <row r="9">
      <c r="A9" s="53" t="n">
        <v>19.6</v>
      </c>
      <c r="B9" s="54" t="n">
        <v>336.571317532239</v>
      </c>
      <c r="C9" s="54" t="n">
        <v>321.1676182268085</v>
      </c>
      <c r="D9" s="54" t="n">
        <v>306.4922921150459</v>
      </c>
      <c r="E9" s="54" t="n">
        <v>292.5071013269923</v>
      </c>
      <c r="F9" s="54" t="n">
        <v>279.1759933080776</v>
      </c>
      <c r="G9" s="54" t="n">
        <v>266.4649662730137</v>
      </c>
      <c r="H9" s="54" t="n">
        <v>254.341943520491</v>
      </c>
    </row>
    <row r="10">
      <c r="A10" s="53" t="n">
        <v>20.6</v>
      </c>
      <c r="B10" s="54" t="n">
        <v>351.1653106830622</v>
      </c>
      <c r="C10" s="54" t="n">
        <v>335.1016996052669</v>
      </c>
      <c r="D10" s="54" t="n">
        <v>319.7991373785044</v>
      </c>
      <c r="E10" s="54" t="n">
        <v>305.2176290417297</v>
      </c>
      <c r="F10" s="54" t="n">
        <v>291.3194668501955</v>
      </c>
      <c r="G10" s="54" t="n">
        <v>278.0690893934641</v>
      </c>
      <c r="H10" s="54" t="n">
        <v>265.4329499944361</v>
      </c>
    </row>
    <row r="11">
      <c r="A11" s="53" t="n">
        <v>21.6</v>
      </c>
      <c r="B11" s="54" t="n">
        <v>365.7593038338854</v>
      </c>
      <c r="C11" s="54" t="n">
        <v>349.0357809837251</v>
      </c>
      <c r="D11" s="54" t="n">
        <v>333.1059826419628</v>
      </c>
      <c r="E11" s="54" t="n">
        <v>317.9281567564671</v>
      </c>
      <c r="F11" s="54" t="n">
        <v>303.4629403923133</v>
      </c>
      <c r="G11" s="54" t="n">
        <v>289.6732125139146</v>
      </c>
      <c r="H11" s="54" t="n">
        <v>276.5239564683812</v>
      </c>
    </row>
    <row r="13">
      <c r="A13" s="3" t="inlineStr">
        <is>
          <t>Current price</t>
        </is>
      </c>
      <c r="B13" s="54" t="n">
        <v>461.739990234375</v>
      </c>
    </row>
    <row r="14">
      <c r="A14" s="3" t="inlineStr">
        <is>
          <t>Base WACC / multiple</t>
        </is>
      </c>
      <c r="B14" s="56" t="n">
        <v>0.09306249061386392</v>
      </c>
      <c r="C14" s="57" t="n">
        <v>18.6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0.09362253121483466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0.2563485486728344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0.0228473150883526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0.8533641230921515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2026-07-08T07:04:12Z</dcterms:created>
  <dcterms:modified xmlns:dcterms="http://purl.org/dc/terms/" xmlns:xsi="http://www.w3.org/2001/XMLSchema-instance" xsi:type="dcterms:W3CDTF">2026-07-08T07:04:12Z</dcterms:modified>
</cp:coreProperties>
</file>