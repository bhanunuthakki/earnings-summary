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7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Opus: 5.0%</t>
      </text>
    </comment>
    <comment ref="B30" authorId="0" shapeId="0">
      <text>
        <t>Opus: 12.0%</t>
      </text>
    </comment>
    <comment ref="B31" authorId="0" shapeId="0">
      <text>
        <t>Opus: 24.0%</t>
      </text>
    </comment>
    <comment ref="B34" authorId="0" shapeId="0">
      <text>
        <t>Opus: —
set from Opus 3% of FY1E revenue; edits not tracked (unit differs from the JSON)</t>
      </text>
    </comment>
    <comment ref="B35" authorId="0" shapeId="0">
      <text>
        <t>User-edited — overridden from Opus 1.1x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9.0x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Capstone Green Energy Holdings (CGEH)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Q3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CGEH is a microturbine OEM emerging from a multi-year restructuring, pivoting toward a higher-mix recurring Service and Rentals base that should drive operating leverage as revenue scales from ~$86M toward consensus' ~$157M by 2028. We fade the recovery-spike segment growth toward a mature ~3.5-4% rate, normalize operating margins from break-even today to a defensible mid-teens-eligible 12% terminal as scale and aftermarket mix improve, and converge capex to ~1.1x D&amp;A maintenance level. The result is a thin-but-positive FCFF profile that hinges on sustained margin normalization, valued on a mature 9x EV/EBITDA exit.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Capstone Green Energy Holdings (CGEH)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IF(Model!B34&lt;=0,"n/a (neg. capital)",Model!C36-WACC!B15)</f>
        <v/>
      </c>
      <c r="C15" s="10">
        <f>IF(Model!B34&lt;=0,"n/a",IF(Model!C36-WACC!B15&lt;0,"!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0.2260762719931889</v>
      </c>
      <c r="C20" s="15" t="n">
        <v>0.04999999999999999</v>
      </c>
      <c r="D20" s="16" t="n">
        <v>0.2260762719931889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0.05</v>
      </c>
      <c r="D29" s="16" t="n">
        <v>0.05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3.225</v>
      </c>
      <c r="D34" s="18" t="n">
        <v>3.225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1.704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9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0.0008764383434010901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9.039999961853027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9.969603623351247</v>
      </c>
      <c r="C58" s="28" t="n">
        <v>14.38559020770568</v>
      </c>
      <c r="D58" s="28" t="n">
        <v>6.713203926176304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</v>
      </c>
      <c r="C62" s="30" t="n">
        <v>0.15</v>
      </c>
      <c r="D62" s="30" t="n">
        <v>0.45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0.003062035435463513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0.001837221261278108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CGEH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CGEH is a microturbine OEM emerging from a multi-year restructuring, pivoting toward a higher-mix recurring Service and Rentals base that should drive operating leverage as revenue scales from ~$86M toward consensus' ~$157M by 2028. We fade the recovery-spike segment growth toward a mature ~3.5-4% rate, normalize operating margins from break-even today to a defensible mid-teens-eligible 12% terminal as scale and aftermarket mix improve, and converge capex to ~1.1x D&amp;A maintenance level. The result is a thin-but-positive FCFF profile that hinges on sustained margin normalization, valued on a mature 9x EV/EBITDA exit.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Key calls: (1) the +200% YoY segment prints are off a depressed recovery base, so near-term growth is set to a sustainable 10-20% rather than extrapolating spikes, fading to terminal ~3.5-4%; (2) terminal op margin of 12% reflects a mature industrial-machinery maker with a growing recurring Service/Rentals mix, well above today's -6.5%; (3) a 24% tax rate and 9x mature EV/EBITDA anchor the terminal value to industrial peers while staying conservative given CGEH's still-unproven profitability and high 1.7 beta.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5.0%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12.0%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24.0%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s="32" t="inlineStr">
        <is>
          <t>user-edited</t>
        </is>
      </c>
      <c r="E25" t="inlineStr">
        <is>
          <t>1.1x</t>
        </is>
      </c>
      <c r="F25" s="31" t="inlineStr">
        <is>
          <t>overridden from Opus 1.1x on 2026-06-11</t>
        </is>
      </c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3">
        <f>Dashboard!B40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t="inlineStr">
        <is>
          <t>Opus</t>
        </is>
      </c>
      <c r="E30" t="inlineStr">
        <is>
          <t>Exit multiple</t>
        </is>
      </c>
      <c r="F30" s="31" t="inlineStr"/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9.0x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4.0%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4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3%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5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5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5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5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5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5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5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5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6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6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5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5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Financials!AC43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$M unless noted</t>
        </is>
      </c>
      <c r="B1" s="40" t="inlineStr">
        <is>
          <t>FY2025A</t>
        </is>
      </c>
      <c r="C1" s="41" t="inlineStr">
        <is>
          <t>FY2026E</t>
        </is>
      </c>
      <c r="D1" s="41" t="inlineStr">
        <is>
          <t>FY2027E</t>
        </is>
      </c>
      <c r="E1" s="41" t="inlineStr">
        <is>
          <t>FY2028E</t>
        </is>
      </c>
      <c r="F1" s="41" t="inlineStr">
        <is>
          <t>FY2029E</t>
        </is>
      </c>
      <c r="G1" s="41" t="inlineStr">
        <is>
          <t>FY2030E</t>
        </is>
      </c>
      <c r="H1" s="41" t="inlineStr">
        <is>
          <t>FY2031E</t>
        </is>
      </c>
      <c r="I1" s="41" t="inlineStr">
        <is>
          <t>FY2032E</t>
        </is>
      </c>
      <c r="J1" s="41" t="inlineStr">
        <is>
          <t>FY2033E</t>
        </is>
      </c>
      <c r="K1" s="41" t="inlineStr">
        <is>
          <t>FY2034E</t>
        </is>
      </c>
      <c r="L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4" t="inlineStr">
        <is>
          <t>Total company</t>
        </is>
      </c>
      <c r="B4" s="34">
        <f>SUM(Financials!W3:Z3)</f>
        <v/>
      </c>
      <c r="C4" s="42">
        <f>B4*(1+C5)</f>
        <v/>
      </c>
      <c r="D4" s="42">
        <f>C4*(1+D5)</f>
        <v/>
      </c>
      <c r="E4" s="42">
        <f>D4*(1+E5)</f>
        <v/>
      </c>
      <c r="F4" s="42">
        <f>E4*(1+F5)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</row>
    <row r="5">
      <c r="A5" s="4" t="inlineStr">
        <is>
          <t xml:space="preserve">    growth % (convex fade; curvature from Dashboard)</t>
        </is>
      </c>
      <c r="C5" s="11">
        <f>Dashboard!$C$20+(Dashboard!$B$20-Dashboard!$C$20)*((9-0)/9)^Dashboard!$B$49</f>
        <v/>
      </c>
      <c r="D5" s="11">
        <f>Dashboard!$C$20+(Dashboard!$B$20-Dashboard!$C$20)*((9-1)/9)^Dashboard!$B$49</f>
        <v/>
      </c>
      <c r="E5" s="11">
        <f>Dashboard!$C$20+(Dashboard!$B$20-Dashboard!$C$20)*((9-2)/9)^Dashboard!$B$49</f>
        <v/>
      </c>
      <c r="F5" s="11">
        <f>Dashboard!$C$20+(Dashboard!$B$20-Dashboard!$C$20)*((9-3)/9)^Dashboard!$B$49</f>
        <v/>
      </c>
      <c r="G5" s="11">
        <f>Dashboard!$C$20+(Dashboard!$B$20-Dashboard!$C$20)*((9-4)/9)^Dashboard!$B$49</f>
        <v/>
      </c>
      <c r="H5" s="11">
        <f>Dashboard!$C$20+(Dashboard!$B$20-Dashboard!$C$20)*((9-5)/9)^Dashboard!$B$49</f>
        <v/>
      </c>
      <c r="I5" s="11">
        <f>Dashboard!$C$20+(Dashboard!$B$20-Dashboard!$C$20)*((9-6)/9)^Dashboard!$B$49</f>
        <v/>
      </c>
      <c r="J5" s="11">
        <f>Dashboard!$C$20+(Dashboard!$B$20-Dashboard!$C$20)*((9-7)/9)^Dashboard!$B$49</f>
        <v/>
      </c>
      <c r="K5" s="11">
        <f>Dashboard!$C$20+(Dashboard!$B$20-Dashboard!$C$20)*((9-8)/9)^Dashboard!$B$49</f>
        <v/>
      </c>
      <c r="L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4" t="inlineStr">
        <is>
          <t>Cost of revenue</t>
        </is>
      </c>
      <c r="B10" s="34">
        <f>SUM(Financials!W5:Z5)</f>
        <v/>
      </c>
      <c r="C10" s="42">
        <f>C6*C11</f>
        <v/>
      </c>
      <c r="D10" s="42">
        <f>D6*D11</f>
        <v/>
      </c>
      <c r="E10" s="42">
        <f>E6*E11</f>
        <v/>
      </c>
      <c r="F10" s="42">
        <f>F6*F11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15" t="n">
        <v>0.7277125894067596</v>
      </c>
      <c r="D11" s="15" t="n">
        <v>0.7277125894067596</v>
      </c>
      <c r="E11" s="15" t="n">
        <v>0.7277125894067596</v>
      </c>
      <c r="F11" s="15" t="n">
        <v>0.7277125894067596</v>
      </c>
      <c r="G11" s="15" t="n">
        <v>0.7277125894067596</v>
      </c>
      <c r="H11" s="15" t="n">
        <v>0.7277125894067596</v>
      </c>
      <c r="I11" s="15" t="n">
        <v>0.7277125894067596</v>
      </c>
      <c r="J11" s="15" t="n">
        <v>0.7277125894067596</v>
      </c>
      <c r="K11" s="15" t="n">
        <v>0.7277125894067596</v>
      </c>
      <c r="L11" s="15" t="n">
        <v>0.7277125894067596</v>
      </c>
    </row>
    <row r="12">
      <c r="A12" s="4" t="inlineStr">
        <is>
          <t>R&amp;D / Technology</t>
        </is>
      </c>
      <c r="B12" s="34">
        <f>SUM(Financials!W7:Z7)</f>
        <v/>
      </c>
      <c r="C12" s="42">
        <f>C6*C13</f>
        <v/>
      </c>
      <c r="D12" s="42">
        <f>D6*D13</f>
        <v/>
      </c>
      <c r="E12" s="42">
        <f>E6*E13</f>
        <v/>
      </c>
      <c r="F12" s="42">
        <f>F6*F13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15" t="n">
        <v>0.03116965078771446</v>
      </c>
      <c r="D13" s="15" t="n">
        <v>0.03116965078771446</v>
      </c>
      <c r="E13" s="15" t="n">
        <v>0.03116965078771446</v>
      </c>
      <c r="F13" s="15" t="n">
        <v>0.03116965078771446</v>
      </c>
      <c r="G13" s="15" t="n">
        <v>0.03116965078771446</v>
      </c>
      <c r="H13" s="15" t="n">
        <v>0.03116965078771446</v>
      </c>
      <c r="I13" s="15" t="n">
        <v>0.03116965078771446</v>
      </c>
      <c r="J13" s="15" t="n">
        <v>0.03116965078771446</v>
      </c>
      <c r="K13" s="15" t="n">
        <v>0.03116965078771446</v>
      </c>
      <c r="L13" s="15" t="n">
        <v>0.03116965078771446</v>
      </c>
    </row>
    <row r="14">
      <c r="A14" s="4" t="inlineStr">
        <is>
          <t>SG&amp;A</t>
        </is>
      </c>
      <c r="B14" s="34">
        <f>SUM(Financials!W9:Z9)</f>
        <v/>
      </c>
      <c r="C14" s="42">
        <f>C6*C15</f>
        <v/>
      </c>
      <c r="D14" s="42">
        <f>D6*D15</f>
        <v/>
      </c>
      <c r="E14" s="42">
        <f>E6*E15</f>
        <v/>
      </c>
      <c r="F14" s="42">
        <f>F6*F15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15" t="n">
        <v>0.3062619793371044</v>
      </c>
      <c r="D15" s="15" t="n">
        <v>0.3062619793371044</v>
      </c>
      <c r="E15" s="15" t="n">
        <v>0.3062619793371044</v>
      </c>
      <c r="F15" s="15" t="n">
        <v>0.3062619793371044</v>
      </c>
      <c r="G15" s="15" t="n">
        <v>0.3062619793371044</v>
      </c>
      <c r="H15" s="15" t="n">
        <v>0.3062619793371044</v>
      </c>
      <c r="I15" s="15" t="n">
        <v>0.3062619793371044</v>
      </c>
      <c r="J15" s="15" t="n">
        <v>0.3062619793371044</v>
      </c>
      <c r="K15" s="15" t="n">
        <v>0.3062619793371044</v>
      </c>
      <c r="L15" s="15" t="n">
        <v>0.3062619793371044</v>
      </c>
    </row>
    <row r="16">
      <c r="A16" s="4" t="inlineStr">
        <is>
          <t>Other opex (fulfilment, etc.)</t>
        </is>
      </c>
      <c r="B16" s="34">
        <f>B6-(B10+B12+B14)-SUM(Financials!W13:Z13)</f>
        <v/>
      </c>
      <c r="C16" s="34">
        <f>C6*(1-(Dashboard!$B$29+(Dashboard!$B$30-Dashboard!$B$29)*MIN(1,0/2)))-(C10+C12+C14)</f>
        <v/>
      </c>
      <c r="D16" s="34">
        <f>D6*(1-(Dashboard!$B$29+(Dashboard!$B$30-Dashboard!$B$29)*MIN(1,1/2)))-(D10+D12+D14)</f>
        <v/>
      </c>
      <c r="E16" s="34">
        <f>E6*(1-(Dashboard!$B$29+(Dashboard!$B$30-Dashboard!$B$29)*MIN(1,2/2)))-(E10+E12+E14)</f>
        <v/>
      </c>
      <c r="F16" s="34">
        <f>F6*(1-(Dashboard!$B$29+(Dashboard!$B$30-Dashboard!$B$29)*MIN(1,3/2)))-(F10+F12+F14)</f>
        <v/>
      </c>
      <c r="G16" s="34">
        <f>G6*(1-(Dashboard!$B$29+(Dashboard!$B$30-Dashboard!$B$29)*MIN(1,4/2)))-(G10+G12+G14)</f>
        <v/>
      </c>
      <c r="H16" s="34">
        <f>H6*(1-(Dashboard!$B$29+(Dashboard!$B$30-Dashboard!$B$29)*MIN(1,5/2)))-(H10+H12+H14)</f>
        <v/>
      </c>
      <c r="I16" s="34">
        <f>I6*(1-(Dashboard!$B$29+(Dashboard!$B$30-Dashboard!$B$29)*MIN(1,6/2)))-(I10+I12+I14)</f>
        <v/>
      </c>
      <c r="J16" s="34">
        <f>J6*(1-(Dashboard!$B$29+(Dashboard!$B$30-Dashboard!$B$29)*MIN(1,7/2)))-(J10+J12+J14)</f>
        <v/>
      </c>
      <c r="K16" s="34">
        <f>K6*(1-(Dashboard!$B$29+(Dashboard!$B$30-Dashboard!$B$29)*MIN(1,8/2)))-(K10+K12+K14)</f>
        <v/>
      </c>
      <c r="L16" s="34">
        <f>L6*(1-(Dashboard!$B$29+(Dashboard!$B$30-Dashboard!$B$29)*MIN(1,9/2)))-(L10+L12+L14)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</row>
    <row r="24">
      <c r="A24" s="4" t="inlineStr">
        <is>
          <t>+ D&amp;A</t>
        </is>
      </c>
      <c r="B24" s="34">
        <f>SUM(Financials!W46:Z46)</f>
        <v/>
      </c>
      <c r="C24" s="42">
        <f>C6*0.0451</f>
        <v/>
      </c>
      <c r="D24" s="42">
        <f>D6*0.0451</f>
        <v/>
      </c>
      <c r="E24" s="42">
        <f>E6*0.0451</f>
        <v/>
      </c>
      <c r="F24" s="42">
        <f>F6*0.0451</f>
        <v/>
      </c>
      <c r="G24" s="42">
        <f>G6*0.0451</f>
        <v/>
      </c>
      <c r="H24" s="42">
        <f>H6*0.0451</f>
        <v/>
      </c>
      <c r="I24" s="42">
        <f>I6*0.0451</f>
        <v/>
      </c>
      <c r="J24" s="42">
        <f>J6*0.0451</f>
        <v/>
      </c>
      <c r="K24" s="42">
        <f>K6*0.0451</f>
        <v/>
      </c>
      <c r="L24" s="42">
        <f>L6*0.0451</f>
        <v/>
      </c>
    </row>
    <row r="25">
      <c r="A25" s="4" t="inlineStr">
        <is>
          <t>+ SBC (non-cash)</t>
        </is>
      </c>
      <c r="B25" s="34">
        <f>SUM(Financials!W47:Z47)</f>
        <v/>
      </c>
      <c r="C25" s="34">
        <f>C6*(Dashboard!$B$65+(Dashboard!$B$66-Dashboard!$B$65)*0/9)</f>
        <v/>
      </c>
      <c r="D25" s="34">
        <f>D6*(Dashboard!$B$65+(Dashboard!$B$66-Dashboard!$B$65)*1/9)</f>
        <v/>
      </c>
      <c r="E25" s="34">
        <f>E6*(Dashboard!$B$65+(Dashboard!$B$66-Dashboard!$B$65)*2/9)</f>
        <v/>
      </c>
      <c r="F25" s="34">
        <f>F6*(Dashboard!$B$65+(Dashboard!$B$66-Dashboard!$B$65)*3/9)</f>
        <v/>
      </c>
      <c r="G25" s="34">
        <f>G6*(Dashboard!$B$65+(Dashboard!$B$66-Dashboard!$B$65)*4/9)</f>
        <v/>
      </c>
      <c r="H25" s="34">
        <f>H6*(Dashboard!$B$65+(Dashboard!$B$66-Dashboard!$B$65)*5/9)</f>
        <v/>
      </c>
      <c r="I25" s="34">
        <f>I6*(Dashboard!$B$65+(Dashboard!$B$66-Dashboard!$B$65)*6/9)</f>
        <v/>
      </c>
      <c r="J25" s="34">
        <f>J6*(Dashboard!$B$65+(Dashboard!$B$66-Dashboard!$B$65)*7/9)</f>
        <v/>
      </c>
      <c r="K25" s="34">
        <f>K6*(Dashboard!$B$65+(Dashboard!$B$66-Dashboard!$B$65)*8/9)</f>
        <v/>
      </c>
      <c r="L25" s="34">
        <f>L6*(Dashboard!$B$65+(Dashboard!$B$66-Dashboard!$B$65)*9/9)</f>
        <v/>
      </c>
    </row>
    <row r="26">
      <c r="A26" s="4" t="inlineStr">
        <is>
          <t>- dNWC</t>
        </is>
      </c>
      <c r="C26" s="42">
        <f>(C6-B6)*0.0050</f>
        <v/>
      </c>
      <c r="D26" s="42">
        <f>(D6-C6)*0.0050</f>
        <v/>
      </c>
      <c r="E26" s="42">
        <f>(E6-D6)*0.0050</f>
        <v/>
      </c>
      <c r="F26" s="42">
        <f>(F6-E6)*0.0050</f>
        <v/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</row>
    <row r="27">
      <c r="A27" s="4" t="inlineStr">
        <is>
          <t>- Capex</t>
        </is>
      </c>
      <c r="B27" s="34">
        <f>-SUM(Financials!W50:Z50)</f>
        <v/>
      </c>
      <c r="C27" s="42">
        <f>C24*C28</f>
        <v/>
      </c>
      <c r="D27" s="42">
        <f>D24*D28</f>
        <v/>
      </c>
      <c r="E27" s="42">
        <f>E24*E28</f>
        <v/>
      </c>
      <c r="F27" s="42">
        <f>F24*F28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13">
        <f>(Dashboard!$B$34/C24)+(Dashboard!$B$35-(Dashboard!$B$34/C24))*0/9</f>
        <v/>
      </c>
      <c r="D28" s="13">
        <f>(Dashboard!$B$34/C24)+(Dashboard!$B$35-(Dashboard!$B$34/C24))*1/9</f>
        <v/>
      </c>
      <c r="E28" s="13">
        <f>(Dashboard!$B$34/C24)+(Dashboard!$B$35-(Dashboard!$B$34/C24))*2/9</f>
        <v/>
      </c>
      <c r="F28" s="13">
        <f>(Dashboard!$B$34/C24)+(Dashboard!$B$35-(Dashboard!$B$34/C24))*3/9</f>
        <v/>
      </c>
      <c r="G28" s="13">
        <f>(Dashboard!$B$34/C24)+(Dashboard!$B$35-(Dashboard!$B$34/C24))*4/9</f>
        <v/>
      </c>
      <c r="H28" s="13">
        <f>(Dashboard!$B$34/C24)+(Dashboard!$B$35-(Dashboard!$B$34/C24))*5/9</f>
        <v/>
      </c>
      <c r="I28" s="13">
        <f>(Dashboard!$B$34/C24)+(Dashboard!$B$35-(Dashboard!$B$34/C24))*6/9</f>
        <v/>
      </c>
      <c r="J28" s="13">
        <f>(Dashboard!$B$34/C24)+(Dashboard!$B$35-(Dashboard!$B$34/C24))*7/9</f>
        <v/>
      </c>
      <c r="K28" s="13">
        <f>(Dashboard!$B$34/C24)+(Dashboard!$B$35-(Dashboard!$B$34/C24))*8/9</f>
        <v/>
      </c>
      <c r="L28" s="13">
        <f>(Dashboard!$B$34/C24)+(Dashboard!$B$35-(Dashboard!$B$34/C24))*9/9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4" t="inlineStr">
        <is>
          <t>Invested capital (debt + equity - cash)</t>
        </is>
      </c>
      <c r="B34" s="34">
        <f>Financials!Z44+Financials!Z43-Financials!Z38</f>
        <v/>
      </c>
      <c r="C34" s="42">
        <f>B34+C27-C24+C26</f>
        <v/>
      </c>
      <c r="D34" s="42">
        <f>C34+D27-D24+D26</f>
        <v/>
      </c>
      <c r="E34" s="42">
        <f>D34+E27-E24+E26</f>
        <v/>
      </c>
      <c r="F34" s="42">
        <f>E34+F27-F24+F26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</row>
    <row r="35">
      <c r="A35" s="4" t="inlineStr">
        <is>
          <t>Book equity (year-end)</t>
        </is>
      </c>
      <c r="B35" s="34">
        <f>Financials!Z44</f>
        <v/>
      </c>
      <c r="C35" s="42">
        <f>B35+C23</f>
        <v/>
      </c>
      <c r="D35" s="42">
        <f>C35+D23</f>
        <v/>
      </c>
      <c r="E35" s="42">
        <f>D35+E23</f>
        <v/>
      </c>
      <c r="F35" s="42">
        <f>E35+F23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</row>
    <row r="37">
      <c r="A37" s="3" t="inlineStr">
        <is>
          <t xml:space="preserve">  ROE (earnings / beg. equity)</t>
        </is>
      </c>
      <c r="C37" s="25">
        <f>IFERROR(C23/B35,"")</f>
        <v/>
      </c>
      <c r="D37" s="25">
        <f>IFERROR(D23/C35,"")</f>
        <v/>
      </c>
      <c r="E37" s="25">
        <f>IFERROR(E23/D35,"")</f>
        <v/>
      </c>
      <c r="F37" s="25">
        <f>IFERROR(F23/E35,"")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Q3 2018</t>
        </is>
      </c>
      <c r="C1" s="46" t="inlineStr">
        <is>
          <t>Q4 2018</t>
        </is>
      </c>
      <c r="D1" s="46" t="inlineStr">
        <is>
          <t>Q1 2019</t>
        </is>
      </c>
      <c r="E1" s="46" t="inlineStr">
        <is>
          <t>Q2 2019</t>
        </is>
      </c>
      <c r="F1" s="46" t="inlineStr">
        <is>
          <t>Q3 2019</t>
        </is>
      </c>
      <c r="G1" s="46" t="inlineStr">
        <is>
          <t>Q4 2019</t>
        </is>
      </c>
      <c r="H1" s="46" t="inlineStr">
        <is>
          <t>Q1 2020</t>
        </is>
      </c>
      <c r="I1" s="46" t="inlineStr">
        <is>
          <t>Q2 2020</t>
        </is>
      </c>
      <c r="J1" s="46" t="inlineStr">
        <is>
          <t>Q3 2020</t>
        </is>
      </c>
      <c r="K1" s="46" t="inlineStr">
        <is>
          <t>Q4 2020</t>
        </is>
      </c>
      <c r="L1" s="46" t="inlineStr">
        <is>
          <t>Q1 2021</t>
        </is>
      </c>
      <c r="M1" s="46" t="inlineStr">
        <is>
          <t>Q2 2021</t>
        </is>
      </c>
      <c r="N1" s="46" t="inlineStr">
        <is>
          <t>Q3 2021</t>
        </is>
      </c>
      <c r="O1" s="46" t="inlineStr">
        <is>
          <t>Q4 2021</t>
        </is>
      </c>
      <c r="P1" s="46" t="inlineStr">
        <is>
          <t>Q1 2022</t>
        </is>
      </c>
      <c r="Q1" s="46" t="inlineStr">
        <is>
          <t>Q2 2022</t>
        </is>
      </c>
      <c r="R1" s="46" t="inlineStr">
        <is>
          <t>Q3 2022</t>
        </is>
      </c>
      <c r="S1" s="46" t="inlineStr">
        <is>
          <t>Q4 2022</t>
        </is>
      </c>
      <c r="T1" s="46" t="inlineStr">
        <is>
          <t>Q1 2023</t>
        </is>
      </c>
      <c r="U1" s="46" t="inlineStr">
        <is>
          <t>Q2 2023</t>
        </is>
      </c>
      <c r="V1" s="46" t="inlineStr">
        <is>
          <t>Q3 2023</t>
        </is>
      </c>
      <c r="W1" s="46" t="inlineStr">
        <is>
          <t>Q1 2025</t>
        </is>
      </c>
      <c r="X1" s="46" t="inlineStr">
        <is>
          <t>Q2 2025</t>
        </is>
      </c>
      <c r="Y1" s="46" t="inlineStr">
        <is>
          <t>Q3 2025</t>
        </is>
      </c>
      <c r="Z1" s="46" t="inlineStr">
        <is>
          <t>Q4 2025</t>
        </is>
      </c>
      <c r="AA1" s="46" t="inlineStr">
        <is>
          <t>Q1 2026</t>
        </is>
      </c>
      <c r="AB1" s="46" t="inlineStr">
        <is>
          <t>Q2 2026</t>
        </is>
      </c>
      <c r="AC1" s="46" t="inlineStr">
        <is>
          <t>Q3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22.761</v>
      </c>
      <c r="C3" s="18" t="n">
        <v>21.061</v>
      </c>
      <c r="D3" s="18" t="n">
        <v>21.189</v>
      </c>
      <c r="E3" s="18" t="n">
        <v>22.174</v>
      </c>
      <c r="F3" s="18" t="n">
        <v>18.03</v>
      </c>
      <c r="G3" s="18" t="n">
        <v>22.019</v>
      </c>
      <c r="H3" s="18" t="n">
        <v>19.244</v>
      </c>
      <c r="I3" s="18" t="n">
        <v>20.74</v>
      </c>
      <c r="J3" s="18" t="n">
        <v>17.383</v>
      </c>
      <c r="K3" s="18" t="n">
        <v>11.56</v>
      </c>
      <c r="L3" s="18" t="n">
        <v>14.193</v>
      </c>
      <c r="M3" s="18" t="n">
        <v>14.906</v>
      </c>
      <c r="N3" s="18" t="n">
        <v>20.676</v>
      </c>
      <c r="O3" s="18" t="n">
        <v>17.862</v>
      </c>
      <c r="P3" s="18" t="n">
        <v>16.082</v>
      </c>
      <c r="Q3" s="18" t="n">
        <v>17.196</v>
      </c>
      <c r="R3" s="18" t="n">
        <v>20.609</v>
      </c>
      <c r="S3" s="18" t="n">
        <v>15.758</v>
      </c>
      <c r="T3" s="18" t="n">
        <v>18.652</v>
      </c>
      <c r="U3" s="18" t="n">
        <v>20.775</v>
      </c>
      <c r="V3" s="18" t="n">
        <v>19.606</v>
      </c>
      <c r="W3" s="18" t="n">
        <v>15.643</v>
      </c>
      <c r="X3" s="18" t="n">
        <v>22.722</v>
      </c>
      <c r="Y3" s="18" t="n">
        <v>20.148</v>
      </c>
      <c r="Z3" s="18" t="n">
        <v>27.051</v>
      </c>
      <c r="AA3" s="18" t="n">
        <v>27.871</v>
      </c>
      <c r="AB3" s="18" t="n">
        <v>28.385</v>
      </c>
      <c r="AC3" s="18" t="n">
        <v>26.762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17.804</v>
      </c>
      <c r="C5" s="18" t="n">
        <v>16.292</v>
      </c>
      <c r="D5" s="18" t="n">
        <v>19.367</v>
      </c>
      <c r="E5" s="18" t="n">
        <v>20.137</v>
      </c>
      <c r="F5" s="18" t="n">
        <v>15.79</v>
      </c>
      <c r="G5" s="18" t="n">
        <v>18.666</v>
      </c>
      <c r="H5" s="18" t="n">
        <v>16.379</v>
      </c>
      <c r="I5" s="18" t="n">
        <v>17.659</v>
      </c>
      <c r="J5" s="18" t="n">
        <v>14.755</v>
      </c>
      <c r="K5" s="18" t="n">
        <v>11.103</v>
      </c>
      <c r="L5" s="18" t="n">
        <v>10.82</v>
      </c>
      <c r="M5" s="18" t="n">
        <v>12.344</v>
      </c>
      <c r="N5" s="18" t="n">
        <v>17.204</v>
      </c>
      <c r="O5" s="18" t="n">
        <v>20.413</v>
      </c>
      <c r="P5" s="18" t="n">
        <v>13.434</v>
      </c>
      <c r="Q5" s="18" t="n">
        <v>14.486</v>
      </c>
      <c r="R5" s="18" t="n">
        <v>18.392</v>
      </c>
      <c r="S5" s="18" t="n">
        <v>14.795</v>
      </c>
      <c r="T5" s="18" t="n">
        <v>13.946</v>
      </c>
      <c r="U5" s="18" t="n">
        <v>18.599</v>
      </c>
      <c r="V5" s="18" t="n">
        <v>16.937</v>
      </c>
      <c r="W5" s="18" t="n">
        <v>11.856</v>
      </c>
      <c r="X5" s="18" t="n">
        <v>15.712</v>
      </c>
      <c r="Y5" s="18" t="n">
        <v>15.154</v>
      </c>
      <c r="Z5" s="18" t="n">
        <v>19.544</v>
      </c>
      <c r="AA5" s="18" t="n">
        <v>20.307</v>
      </c>
      <c r="AB5" s="18" t="n">
        <v>19.423</v>
      </c>
      <c r="AC5" s="18" t="n">
        <v>16.334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0.957</v>
      </c>
      <c r="C7" s="18" t="n">
        <v>0.796</v>
      </c>
      <c r="D7" s="18" t="n">
        <v>0.9320000000000001</v>
      </c>
      <c r="E7" s="18" t="n">
        <v>0.891</v>
      </c>
      <c r="F7" s="18" t="n">
        <v>0.891</v>
      </c>
      <c r="G7" s="18" t="n">
        <v>0.887</v>
      </c>
      <c r="H7" s="18" t="n">
        <v>0.9379999999999999</v>
      </c>
      <c r="I7" s="18" t="n">
        <v>0.9</v>
      </c>
      <c r="J7" s="18" t="n">
        <v>0.972</v>
      </c>
      <c r="K7" s="18" t="n">
        <v>0.838</v>
      </c>
      <c r="L7" s="18" t="n">
        <v>0.37</v>
      </c>
      <c r="M7" s="18" t="n">
        <v>0.599</v>
      </c>
      <c r="N7" s="18" t="n">
        <v>0.735</v>
      </c>
      <c r="O7" s="18" t="n">
        <v>0.714</v>
      </c>
      <c r="P7" s="18" t="n">
        <v>0.883</v>
      </c>
      <c r="Q7" s="18" t="n">
        <v>0.987</v>
      </c>
      <c r="R7" s="18" t="n">
        <v>0.767</v>
      </c>
      <c r="S7" s="18" t="n">
        <v>0.722</v>
      </c>
      <c r="T7" s="18" t="n">
        <v>0.49</v>
      </c>
      <c r="U7" s="18" t="n">
        <v>0.603</v>
      </c>
      <c r="V7" s="18" t="n">
        <v>0.634</v>
      </c>
      <c r="W7" s="18" t="n">
        <v>0.548</v>
      </c>
      <c r="X7" s="18" t="n">
        <v>0.592</v>
      </c>
      <c r="Y7" s="18" t="n">
        <v>0.744</v>
      </c>
      <c r="Z7" s="18" t="n">
        <v>0.783</v>
      </c>
      <c r="AA7" s="18" t="n">
        <v>0.8139999999999999</v>
      </c>
      <c r="AB7" s="18" t="n">
        <v>0.8090000000000001</v>
      </c>
      <c r="AC7" s="18" t="n">
        <v>0.971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4.057</v>
      </c>
      <c r="C9" s="18" t="n">
        <v>5.794</v>
      </c>
      <c r="D9" s="18" t="n">
        <v>5.651</v>
      </c>
      <c r="E9" s="18" t="n">
        <v>5.308</v>
      </c>
      <c r="F9" s="18" t="n">
        <v>4.574</v>
      </c>
      <c r="G9" s="18" t="n">
        <v>5.423</v>
      </c>
      <c r="H9" s="18" t="n">
        <v>6.237</v>
      </c>
      <c r="I9" s="18" t="n">
        <v>5.499</v>
      </c>
      <c r="J9" s="18" t="n">
        <v>5.28</v>
      </c>
      <c r="K9" s="18" t="n">
        <v>5.196</v>
      </c>
      <c r="L9" s="18" t="n">
        <v>3.546</v>
      </c>
      <c r="M9" s="18" t="n">
        <v>4.872</v>
      </c>
      <c r="N9" s="18" t="n">
        <v>4.816</v>
      </c>
      <c r="O9" s="18" t="n">
        <v>5.158</v>
      </c>
      <c r="P9" s="18" t="n">
        <v>5.324</v>
      </c>
      <c r="Q9" s="18" t="n">
        <v>6.438</v>
      </c>
      <c r="R9" s="18" t="n">
        <v>5.293</v>
      </c>
      <c r="S9" s="18" t="n">
        <v>5.925</v>
      </c>
      <c r="T9" s="18" t="n">
        <v>4.919</v>
      </c>
      <c r="U9" s="18" t="n">
        <v>5.107</v>
      </c>
      <c r="V9" s="18" t="n">
        <v>5.397</v>
      </c>
      <c r="W9" s="18" t="n">
        <v>6.783</v>
      </c>
      <c r="X9" s="18" t="n">
        <v>6.4</v>
      </c>
      <c r="Y9" s="18" t="n">
        <v>6.313</v>
      </c>
      <c r="Z9" s="18" t="n">
        <v>6.709</v>
      </c>
      <c r="AA9" s="18" t="n">
        <v>6.921</v>
      </c>
      <c r="AB9" s="18" t="n">
        <v>6.794</v>
      </c>
      <c r="AC9" s="18" t="n">
        <v>7.409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4.957</v>
      </c>
      <c r="C11" s="18" t="n">
        <v>4.769</v>
      </c>
      <c r="D11" s="18" t="n">
        <v>1.822</v>
      </c>
      <c r="E11" s="18" t="n">
        <v>2.037</v>
      </c>
      <c r="F11" s="18" t="n">
        <v>2.24</v>
      </c>
      <c r="G11" s="18" t="n">
        <v>3.353</v>
      </c>
      <c r="H11" s="18" t="n">
        <v>2.865</v>
      </c>
      <c r="I11" s="18" t="n">
        <v>3.081</v>
      </c>
      <c r="J11" s="18" t="n">
        <v>2.628</v>
      </c>
      <c r="K11" s="18" t="n">
        <v>0.457</v>
      </c>
      <c r="L11" s="18" t="n">
        <v>3.373</v>
      </c>
      <c r="M11" s="18" t="n">
        <v>2.562</v>
      </c>
      <c r="N11" s="18" t="n">
        <v>3.472</v>
      </c>
      <c r="O11" s="18" t="n">
        <v>-2.551</v>
      </c>
      <c r="P11" s="18" t="n">
        <v>2.648</v>
      </c>
      <c r="Q11" s="18" t="n">
        <v>2.71</v>
      </c>
      <c r="R11" s="18" t="n">
        <v>2.217</v>
      </c>
      <c r="S11" s="18" t="n">
        <v>0.963</v>
      </c>
      <c r="T11" s="18" t="n">
        <v>4.706</v>
      </c>
      <c r="U11" s="18" t="n">
        <v>2.176</v>
      </c>
      <c r="V11" s="18" t="n">
        <v>2.669</v>
      </c>
      <c r="W11" s="18" t="n">
        <v>3.787</v>
      </c>
      <c r="X11" s="18" t="n">
        <v>7.01</v>
      </c>
      <c r="Y11" s="18" t="n">
        <v>4.994</v>
      </c>
      <c r="Z11" s="18" t="n">
        <v>7.507</v>
      </c>
      <c r="AA11" s="18" t="n">
        <v>7.564</v>
      </c>
      <c r="AB11" s="18" t="n">
        <v>8.962</v>
      </c>
      <c r="AC11" s="18" t="n">
        <v>10.428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-0.057</v>
      </c>
      <c r="C13" s="18" t="n">
        <v>-1.821</v>
      </c>
      <c r="D13" s="18" t="n">
        <v>-4.761</v>
      </c>
      <c r="E13" s="18" t="n">
        <v>-4.162</v>
      </c>
      <c r="F13" s="18" t="n">
        <v>-3.225</v>
      </c>
      <c r="G13" s="18" t="n">
        <v>-2.957</v>
      </c>
      <c r="H13" s="18" t="n">
        <v>-4.31</v>
      </c>
      <c r="I13" s="18" t="n">
        <v>-3.318</v>
      </c>
      <c r="J13" s="18" t="n">
        <v>-3.624</v>
      </c>
      <c r="K13" s="18" t="n">
        <v>-5.577</v>
      </c>
      <c r="L13" s="18" t="n">
        <v>-0.543</v>
      </c>
      <c r="M13" s="18" t="n">
        <v>-2.909</v>
      </c>
      <c r="N13" s="18" t="n">
        <v>-2.079</v>
      </c>
      <c r="O13" s="18" t="n">
        <v>-8.423</v>
      </c>
      <c r="P13" s="18" t="n">
        <v>-3.559</v>
      </c>
      <c r="Q13" s="18" t="n">
        <v>-4.715</v>
      </c>
      <c r="R13" s="18" t="n">
        <v>-3.843</v>
      </c>
      <c r="S13" s="18" t="n">
        <v>-5.684</v>
      </c>
      <c r="T13" s="18" t="n">
        <v>-0.695</v>
      </c>
      <c r="U13" s="18" t="n">
        <v>-3.534</v>
      </c>
      <c r="V13" s="18" t="n">
        <v>-3.362</v>
      </c>
      <c r="W13" s="18" t="n">
        <v>-3.544</v>
      </c>
      <c r="X13" s="18" t="n">
        <v>0.018</v>
      </c>
      <c r="Y13" s="18" t="n">
        <v>-2.063</v>
      </c>
      <c r="Z13" s="18" t="n">
        <v>0.015</v>
      </c>
      <c r="AA13" s="18" t="n">
        <v>-0.171</v>
      </c>
      <c r="AB13" s="18" t="n">
        <v>1.359</v>
      </c>
      <c r="AC13" s="18" t="n">
        <v>2.048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-0.323</v>
      </c>
      <c r="C15" s="18" t="n">
        <v>-1.943</v>
      </c>
      <c r="D15" s="18" t="n">
        <v>-4.897</v>
      </c>
      <c r="E15" s="18" t="n">
        <v>-4.357</v>
      </c>
      <c r="F15" s="18" t="n">
        <v>-3.45</v>
      </c>
      <c r="G15" s="18" t="n">
        <v>-3.955</v>
      </c>
      <c r="H15" s="18" t="n">
        <v>-5.593</v>
      </c>
      <c r="I15" s="18" t="n">
        <v>-4.448</v>
      </c>
      <c r="J15" s="18" t="n">
        <v>-4.907</v>
      </c>
      <c r="K15" s="18" t="n">
        <v>-6.95</v>
      </c>
      <c r="L15" s="18" t="n">
        <v>-1.823</v>
      </c>
      <c r="M15" s="18" t="n">
        <v>-4.212</v>
      </c>
      <c r="N15" s="18" t="n">
        <v>-7.595</v>
      </c>
      <c r="O15" s="18" t="n">
        <v>-4.757</v>
      </c>
      <c r="P15" s="18" t="n">
        <v>-2.182</v>
      </c>
      <c r="Q15" s="18" t="n">
        <v>-5.994</v>
      </c>
      <c r="R15" s="18" t="n">
        <v>-5.146</v>
      </c>
      <c r="S15" s="18" t="n">
        <v>-6.889</v>
      </c>
      <c r="T15" s="18" t="n">
        <v>-2.059</v>
      </c>
      <c r="U15" s="18" t="n">
        <v>-4.918</v>
      </c>
      <c r="V15" s="18" t="n">
        <v>-7.066</v>
      </c>
      <c r="W15" s="18" t="n">
        <v>-3.937</v>
      </c>
      <c r="X15" s="18" t="n">
        <v>-0.423</v>
      </c>
      <c r="Y15" s="18" t="n">
        <v>-2.704</v>
      </c>
      <c r="Z15" s="18" t="n">
        <v>-0.126</v>
      </c>
      <c r="AA15" s="18" t="n">
        <v>-0.698</v>
      </c>
      <c r="AB15" s="18" t="n">
        <v>0.834</v>
      </c>
      <c r="AC15" s="18" t="n">
        <v>1.185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4.676</v>
      </c>
      <c r="C17" s="18" t="n">
        <v>6.8961</v>
      </c>
      <c r="D17" s="18" t="n">
        <v>6.1762</v>
      </c>
      <c r="E17" s="18" t="n">
        <v>6.5065</v>
      </c>
      <c r="F17" s="18" t="n">
        <v>6.9542</v>
      </c>
      <c r="G17" s="18" t="n">
        <v>7.159</v>
      </c>
      <c r="H17" s="18" t="n">
        <v>7.258</v>
      </c>
      <c r="I17" s="18" t="n">
        <v>7.65</v>
      </c>
      <c r="J17" s="18" t="n">
        <v>8.367000000000001</v>
      </c>
      <c r="K17" s="18" t="n">
        <v>9.41</v>
      </c>
      <c r="L17" s="18" t="n">
        <v>10.598</v>
      </c>
      <c r="M17" s="18" t="n">
        <v>11.04</v>
      </c>
      <c r="N17" s="18" t="n">
        <v>11.081</v>
      </c>
      <c r="O17" s="18" t="n">
        <v>12.315</v>
      </c>
      <c r="P17" s="18" t="n">
        <v>13.226</v>
      </c>
      <c r="Q17" s="18" t="n">
        <v>15.167</v>
      </c>
      <c r="R17" s="18" t="n">
        <v>15.236</v>
      </c>
      <c r="S17" s="18" t="n">
        <v>14.727</v>
      </c>
      <c r="T17" s="18" t="n">
        <v>15.318</v>
      </c>
      <c r="U17" s="18" t="n">
        <v>16.785</v>
      </c>
      <c r="V17" s="18" t="n">
        <v>18.351</v>
      </c>
      <c r="W17" s="18" t="n">
        <v>19.049</v>
      </c>
      <c r="X17" s="18" t="n">
        <v>19.049</v>
      </c>
      <c r="Y17" s="18" t="n">
        <v>19.049</v>
      </c>
      <c r="Z17" s="18" t="n">
        <v>19.056</v>
      </c>
      <c r="AA17" s="18" t="n">
        <v>19.366</v>
      </c>
      <c r="AB17" s="18" t="n">
        <v>19.412</v>
      </c>
      <c r="AC17" s="18" t="n">
        <v>21.051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North America</t>
        </is>
      </c>
      <c r="D19" s="18" t="n">
        <v>11.599</v>
      </c>
      <c r="E19" s="18" t="n">
        <v>12.275</v>
      </c>
      <c r="F19" s="18" t="n">
        <v>12.066</v>
      </c>
      <c r="G19" s="18" t="n">
        <v>15.336</v>
      </c>
      <c r="H19" s="18" t="n">
        <v>9.542999999999999</v>
      </c>
      <c r="AA19" s="18" t="n">
        <v>24.281</v>
      </c>
      <c r="AB19" s="18" t="n">
        <v>22.944</v>
      </c>
      <c r="AC19" s="18" t="n">
        <v>19.846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UNITED STATES</t>
        </is>
      </c>
      <c r="W22" s="18" t="n">
        <v>8.930999999999999</v>
      </c>
      <c r="X22" s="18" t="n">
        <v>15.855</v>
      </c>
      <c r="Y22" s="18" t="n">
        <v>12.447</v>
      </c>
      <c r="Z22" s="18" t="n">
        <v>18.499</v>
      </c>
      <c r="AA22" s="18" t="n">
        <v>22.956</v>
      </c>
      <c r="AB22" s="18" t="n">
        <v>21.57</v>
      </c>
      <c r="AC22" s="18" t="n">
        <v>12.337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MEXICO</t>
        </is>
      </c>
      <c r="W25" s="18" t="n">
        <v>0.492</v>
      </c>
      <c r="X25" s="18" t="n">
        <v>1.126</v>
      </c>
      <c r="Y25" s="18" t="n">
        <v>0.8</v>
      </c>
      <c r="Z25" s="18" t="n">
        <v>0.404</v>
      </c>
      <c r="AA25" s="18" t="n">
        <v>1.206</v>
      </c>
      <c r="AB25" s="18" t="n">
        <v>1.368</v>
      </c>
      <c r="AC25" s="18" t="n">
        <v>7.287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Europe</t>
        </is>
      </c>
      <c r="D28" s="18" t="n">
        <v>4.873</v>
      </c>
      <c r="W28" s="18" t="n">
        <v>3.424</v>
      </c>
      <c r="X28" s="18" t="n">
        <v>1.527</v>
      </c>
      <c r="Y28" s="18" t="n">
        <v>3.271</v>
      </c>
      <c r="Z28" s="18" t="n">
        <v>3.059</v>
      </c>
      <c r="AA28" s="18" t="n">
        <v>2.016</v>
      </c>
      <c r="AB28" s="18" t="n">
        <v>3.864</v>
      </c>
      <c r="AC28" s="18" t="n">
        <v>2.764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Asia</t>
        </is>
      </c>
      <c r="D31" s="18" t="n">
        <v>0.854</v>
      </c>
      <c r="E31" s="18" t="n">
        <v>2.212</v>
      </c>
      <c r="F31" s="18" t="n">
        <v>1.175</v>
      </c>
      <c r="G31" s="18" t="n">
        <v>0.988</v>
      </c>
      <c r="H31" s="18" t="n">
        <v>1.528</v>
      </c>
      <c r="I31" s="18" t="n">
        <v>0.921</v>
      </c>
      <c r="J31" s="18" t="n">
        <v>1.162</v>
      </c>
      <c r="K31" s="18" t="n">
        <v>0.463</v>
      </c>
      <c r="L31" s="18" t="n">
        <v>0.944</v>
      </c>
      <c r="M31" s="18" t="n">
        <v>1.272</v>
      </c>
      <c r="N31" s="18" t="n">
        <v>1.24</v>
      </c>
      <c r="O31" s="18" t="n">
        <v>2.631</v>
      </c>
      <c r="P31" s="18" t="n">
        <v>0.364</v>
      </c>
      <c r="Q31" s="18" t="n">
        <v>0.459</v>
      </c>
      <c r="R31" s="18" t="n">
        <v>0.9320000000000001</v>
      </c>
      <c r="S31" s="18" t="n">
        <v>2.019</v>
      </c>
      <c r="T31" s="18" t="n">
        <v>0.471</v>
      </c>
      <c r="W31" s="18" t="n">
        <v>0.502</v>
      </c>
      <c r="X31" s="18" t="n">
        <v>0.394</v>
      </c>
      <c r="Y31" s="18" t="n">
        <v>1.027</v>
      </c>
      <c r="Z31" s="18" t="n">
        <v>0.325</v>
      </c>
      <c r="AA31" s="18" t="n">
        <v>0.5600000000000001</v>
      </c>
      <c r="AB31" s="18" t="n">
        <v>0.771</v>
      </c>
      <c r="AC31" s="18" t="n">
        <v>1.093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4" t="inlineStr">
        <is>
          <t>AUSTRALIA</t>
        </is>
      </c>
      <c r="W34" s="18" t="n">
        <v>1.702</v>
      </c>
      <c r="X34" s="18" t="n">
        <v>0.215</v>
      </c>
      <c r="Y34" s="18" t="n">
        <v>0.367</v>
      </c>
      <c r="Z34" s="18" t="n">
        <v>3.559</v>
      </c>
      <c r="AA34" s="18" t="n">
        <v>0.491</v>
      </c>
      <c r="AB34" s="18" t="n">
        <v>0.404</v>
      </c>
      <c r="AC34" s="18" t="n">
        <v>0.299</v>
      </c>
    </row>
    <row r="35">
      <c r="A35" s="4" t="inlineStr">
        <is>
          <t xml:space="preserve">    % YoY</t>
        </is>
      </c>
      <c r="F35" s="25">
        <f>IFERROR(F34/B34-1,"")</f>
        <v/>
      </c>
      <c r="G35" s="25">
        <f>IFERROR(G34/C34-1,"")</f>
        <v/>
      </c>
      <c r="H35" s="25">
        <f>IFERROR(H34/D34-1,"")</f>
        <v/>
      </c>
      <c r="I35" s="25">
        <f>IFERROR(I34/E34-1,"")</f>
        <v/>
      </c>
      <c r="J35" s="25">
        <f>IFERROR(J34/F34-1,"")</f>
        <v/>
      </c>
      <c r="K35" s="25">
        <f>IFERROR(K34/G34-1,"")</f>
        <v/>
      </c>
      <c r="L35" s="25">
        <f>IFERROR(L34/H34-1,"")</f>
        <v/>
      </c>
      <c r="M35" s="25">
        <f>IFERROR(M34/I34-1,"")</f>
        <v/>
      </c>
      <c r="N35" s="25">
        <f>IFERROR(N34/J34-1,"")</f>
        <v/>
      </c>
      <c r="O35" s="25">
        <f>IFERROR(O34/K34-1,"")</f>
        <v/>
      </c>
      <c r="P35" s="25">
        <f>IFERROR(P34/L34-1,"")</f>
        <v/>
      </c>
      <c r="Q35" s="25">
        <f>IFERROR(Q34/M34-1,"")</f>
        <v/>
      </c>
      <c r="R35" s="25">
        <f>IFERROR(R34/N34-1,"")</f>
        <v/>
      </c>
      <c r="S35" s="25">
        <f>IFERROR(S34/O34-1,"")</f>
        <v/>
      </c>
      <c r="T35" s="25">
        <f>IFERROR(T34/P34-1,"")</f>
        <v/>
      </c>
      <c r="U35" s="25">
        <f>IFERROR(U34/Q34-1,"")</f>
        <v/>
      </c>
      <c r="V35" s="25">
        <f>IFERROR(V34/R34-1,"")</f>
        <v/>
      </c>
      <c r="W35" s="25">
        <f>IFERROR(W34/S34-1,"")</f>
        <v/>
      </c>
      <c r="X35" s="25">
        <f>IFERROR(X34/T34-1,"")</f>
        <v/>
      </c>
      <c r="Y35" s="25">
        <f>IFERROR(Y34/U34-1,"")</f>
        <v/>
      </c>
      <c r="Z35" s="25">
        <f>IFERROR(Z34/V34-1,"")</f>
        <v/>
      </c>
      <c r="AA35" s="25">
        <f>IFERROR(AA34/W34-1,"")</f>
        <v/>
      </c>
      <c r="AB35" s="25">
        <f>IFERROR(AB34/X34-1,"")</f>
        <v/>
      </c>
      <c r="AC35" s="25">
        <f>IFERROR(AC34/Y34-1,"")</f>
        <v/>
      </c>
    </row>
    <row r="36">
      <c r="A36" s="4" t="inlineStr">
        <is>
          <t xml:space="preserve">    % of revenue</t>
        </is>
      </c>
      <c r="B36" s="25">
        <f>IFERROR(B34/B3,"")</f>
        <v/>
      </c>
      <c r="C36" s="25">
        <f>IFERROR(C34/C3,"")</f>
        <v/>
      </c>
      <c r="D36" s="25">
        <f>IFERROR(D34/D3,"")</f>
        <v/>
      </c>
      <c r="E36" s="25">
        <f>IFERROR(E34/E3,"")</f>
        <v/>
      </c>
      <c r="F36" s="25">
        <f>IFERROR(F34/F3,"")</f>
        <v/>
      </c>
      <c r="G36" s="25">
        <f>IFERROR(G34/G3,"")</f>
        <v/>
      </c>
      <c r="H36" s="25">
        <f>IFERROR(H34/H3,"")</f>
        <v/>
      </c>
      <c r="I36" s="25">
        <f>IFERROR(I34/I3,"")</f>
        <v/>
      </c>
      <c r="J36" s="25">
        <f>IFERROR(J34/J3,"")</f>
        <v/>
      </c>
      <c r="K36" s="25">
        <f>IFERROR(K34/K3,"")</f>
        <v/>
      </c>
      <c r="L36" s="25">
        <f>IFERROR(L34/L3,"")</f>
        <v/>
      </c>
      <c r="M36" s="25">
        <f>IFERROR(M34/M3,"")</f>
        <v/>
      </c>
      <c r="N36" s="25">
        <f>IFERROR(N34/N3,"")</f>
        <v/>
      </c>
      <c r="O36" s="25">
        <f>IFERROR(O34/O3,"")</f>
        <v/>
      </c>
      <c r="P36" s="25">
        <f>IFERROR(P34/P3,"")</f>
        <v/>
      </c>
      <c r="Q36" s="25">
        <f>IFERROR(Q34/Q3,"")</f>
        <v/>
      </c>
      <c r="R36" s="25">
        <f>IFERROR(R34/R3,"")</f>
        <v/>
      </c>
      <c r="S36" s="25">
        <f>IFERROR(S34/S3,"")</f>
        <v/>
      </c>
      <c r="T36" s="25">
        <f>IFERROR(T34/T3,"")</f>
        <v/>
      </c>
      <c r="U36" s="25">
        <f>IFERROR(U34/U3,"")</f>
        <v/>
      </c>
      <c r="V36" s="25">
        <f>IFERROR(V34/V3,"")</f>
        <v/>
      </c>
      <c r="W36" s="25">
        <f>IFERROR(W34/W3,"")</f>
        <v/>
      </c>
      <c r="X36" s="25">
        <f>IFERROR(X34/X3,"")</f>
        <v/>
      </c>
      <c r="Y36" s="25">
        <f>IFERROR(Y34/Y3,"")</f>
        <v/>
      </c>
      <c r="Z36" s="25">
        <f>IFERROR(Z34/Z3,"")</f>
        <v/>
      </c>
      <c r="AA36" s="25">
        <f>IFERROR(AA34/AA3,"")</f>
        <v/>
      </c>
      <c r="AB36" s="25">
        <f>IFERROR(AB34/AB3,"")</f>
        <v/>
      </c>
      <c r="AC36" s="25">
        <f>IFERROR(AC34/AC3,"")</f>
        <v/>
      </c>
    </row>
    <row r="37">
      <c r="A37" s="5" t="inlineStr">
        <is>
          <t xml:space="preserve">  BALANCE SHEET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4" t="inlineStr">
        <is>
          <t>Cash &amp; ST Investments</t>
        </is>
      </c>
      <c r="B38" s="18" t="n">
        <v>11.522</v>
      </c>
      <c r="C38" s="18" t="n">
        <v>14.408</v>
      </c>
      <c r="D38" s="18" t="n">
        <v>13.569</v>
      </c>
      <c r="E38" s="18" t="n">
        <v>12.303</v>
      </c>
      <c r="F38" s="18" t="n">
        <v>10.681</v>
      </c>
      <c r="G38" s="18" t="n">
        <v>29.727</v>
      </c>
      <c r="H38" s="18" t="n">
        <v>24.612</v>
      </c>
      <c r="I38" s="18" t="n">
        <v>20.898</v>
      </c>
      <c r="J38" s="18" t="n">
        <v>16.73</v>
      </c>
      <c r="K38" s="18" t="n">
        <v>15.068</v>
      </c>
      <c r="L38" s="18" t="n">
        <v>16.229</v>
      </c>
      <c r="M38" s="18" t="n">
        <v>16.782</v>
      </c>
      <c r="N38" s="18" t="n">
        <v>31.97</v>
      </c>
      <c r="O38" s="18" t="n">
        <v>49.533</v>
      </c>
      <c r="P38" s="18" t="n">
        <v>49.216</v>
      </c>
      <c r="Q38" s="18" t="n">
        <v>38.267</v>
      </c>
      <c r="R38" s="18" t="n">
        <v>31.267</v>
      </c>
      <c r="S38" s="18" t="n">
        <v>22.559</v>
      </c>
      <c r="T38" s="18" t="n">
        <v>16.914</v>
      </c>
      <c r="U38" s="18" t="n">
        <v>23.78</v>
      </c>
      <c r="V38" s="18" t="n">
        <v>16.618</v>
      </c>
      <c r="W38" s="18" t="n">
        <v>3.975</v>
      </c>
      <c r="X38" s="18" t="n">
        <v>2.713</v>
      </c>
      <c r="Y38" s="18" t="n">
        <v>3.314</v>
      </c>
      <c r="Z38" s="18" t="n">
        <v>8.670999999999999</v>
      </c>
      <c r="AA38" s="18" t="n">
        <v>6.628</v>
      </c>
      <c r="AB38" s="18" t="n">
        <v>6.981</v>
      </c>
      <c r="AC38" s="18" t="n">
        <v>14.437</v>
      </c>
    </row>
    <row r="39">
      <c r="A39" s="4" t="inlineStr">
        <is>
          <t>Total Current Assets</t>
        </is>
      </c>
      <c r="B39" s="18" t="n">
        <v>49.886</v>
      </c>
      <c r="C39" s="18" t="n">
        <v>53.812</v>
      </c>
      <c r="D39" s="18" t="n">
        <v>56.528</v>
      </c>
      <c r="E39" s="18" t="n">
        <v>55.278</v>
      </c>
      <c r="F39" s="18" t="n">
        <v>52.186</v>
      </c>
      <c r="G39" s="18" t="n">
        <v>70.11</v>
      </c>
      <c r="H39" s="18" t="n">
        <v>64.31999999999999</v>
      </c>
      <c r="I39" s="18" t="n">
        <v>63.028</v>
      </c>
      <c r="J39" s="18" t="n">
        <v>61.31</v>
      </c>
      <c r="K39" s="18" t="n">
        <v>56.755</v>
      </c>
      <c r="L39" s="18" t="n">
        <v>53.244</v>
      </c>
      <c r="M39" s="18" t="n">
        <v>47.832</v>
      </c>
      <c r="N39" s="18" t="n">
        <v>66.02500000000001</v>
      </c>
      <c r="O39" s="18" t="n">
        <v>86.908</v>
      </c>
      <c r="P39" s="18" t="n">
        <v>93.742</v>
      </c>
      <c r="Q39" s="18" t="n">
        <v>85.95999999999999</v>
      </c>
      <c r="R39" s="18" t="n">
        <v>80.557</v>
      </c>
      <c r="S39" s="18" t="n">
        <v>71.208</v>
      </c>
      <c r="T39" s="18" t="n">
        <v>66.158</v>
      </c>
      <c r="U39" s="18" t="n">
        <v>70.809</v>
      </c>
      <c r="V39" s="18" t="n">
        <v>64.464</v>
      </c>
      <c r="W39" s="18" t="n">
        <v>35.838</v>
      </c>
      <c r="X39" s="18" t="n">
        <v>35.395</v>
      </c>
      <c r="Y39" s="18" t="n">
        <v>37.958</v>
      </c>
      <c r="Z39" s="18" t="n">
        <v>36.089</v>
      </c>
      <c r="AA39" s="18" t="n">
        <v>37.522</v>
      </c>
      <c r="AB39" s="18" t="n">
        <v>42.93</v>
      </c>
      <c r="AC39" s="18" t="n">
        <v>50.196</v>
      </c>
    </row>
    <row r="40">
      <c r="A40" s="4" t="inlineStr">
        <is>
          <t>PP&amp;E (net)</t>
        </is>
      </c>
      <c r="B40" s="18" t="n">
        <v>2.986</v>
      </c>
      <c r="C40" s="18" t="n">
        <v>2.859</v>
      </c>
      <c r="D40" s="18" t="n">
        <v>2.788</v>
      </c>
      <c r="E40" s="18" t="n">
        <v>2.831</v>
      </c>
      <c r="F40" s="18" t="n">
        <v>5.15</v>
      </c>
      <c r="G40" s="18" t="n">
        <v>5.291</v>
      </c>
      <c r="H40" s="18" t="n">
        <v>6.048</v>
      </c>
      <c r="I40" s="18" t="n">
        <v>7.186</v>
      </c>
      <c r="J40" s="18" t="n">
        <v>7.744</v>
      </c>
      <c r="K40" s="18" t="n">
        <v>7.749</v>
      </c>
      <c r="L40" s="18" t="n">
        <v>7.56</v>
      </c>
      <c r="M40" s="18" t="n">
        <v>8.358000000000001</v>
      </c>
      <c r="N40" s="18" t="n">
        <v>8.074999999999999</v>
      </c>
      <c r="O40" s="18" t="n">
        <v>9.630000000000001</v>
      </c>
      <c r="P40" s="18" t="n">
        <v>10.669</v>
      </c>
      <c r="Q40" s="18" t="n">
        <v>11.687</v>
      </c>
      <c r="R40" s="18" t="n">
        <v>14.262</v>
      </c>
      <c r="S40" s="18" t="n">
        <v>18.038</v>
      </c>
      <c r="T40" s="18" t="n">
        <v>21.694</v>
      </c>
      <c r="U40" s="18" t="n">
        <v>25.375</v>
      </c>
      <c r="V40" s="18" t="n">
        <v>25.906</v>
      </c>
      <c r="W40" s="18" t="n">
        <v>40.679</v>
      </c>
      <c r="X40" s="18" t="n">
        <v>36.843</v>
      </c>
      <c r="Y40" s="18" t="n">
        <v>34.317</v>
      </c>
      <c r="Z40" s="18" t="n">
        <v>31.431</v>
      </c>
      <c r="AA40" s="18" t="n">
        <v>28.486</v>
      </c>
      <c r="AB40" s="18" t="n">
        <v>28.503</v>
      </c>
      <c r="AC40" s="18" t="n">
        <v>27.214</v>
      </c>
    </row>
    <row r="41">
      <c r="A41" s="4" t="inlineStr">
        <is>
          <t>Total Assets</t>
        </is>
      </c>
      <c r="B41" s="18" t="n">
        <v>54.669</v>
      </c>
      <c r="C41" s="18" t="n">
        <v>58.373</v>
      </c>
      <c r="D41" s="18" t="n">
        <v>61.089</v>
      </c>
      <c r="E41" s="18" t="n">
        <v>62.642</v>
      </c>
      <c r="F41" s="18" t="n">
        <v>61.739</v>
      </c>
      <c r="G41" s="18" t="n">
        <v>79.96299999999999</v>
      </c>
      <c r="H41" s="18" t="n">
        <v>80.398</v>
      </c>
      <c r="I41" s="18" t="n">
        <v>80.19499999999999</v>
      </c>
      <c r="J41" s="18" t="n">
        <v>78.66500000000001</v>
      </c>
      <c r="K41" s="18" t="n">
        <v>73.955</v>
      </c>
      <c r="L41" s="18" t="n">
        <v>70.468</v>
      </c>
      <c r="M41" s="18" t="n">
        <v>65.75</v>
      </c>
      <c r="N41" s="18" t="n">
        <v>83.79900000000001</v>
      </c>
      <c r="O41" s="18" t="n">
        <v>106.022</v>
      </c>
      <c r="P41" s="18" t="n">
        <v>113.71</v>
      </c>
      <c r="Q41" s="18" t="n">
        <v>108.357</v>
      </c>
      <c r="R41" s="18" t="n">
        <v>105.244</v>
      </c>
      <c r="S41" s="18" t="n">
        <v>100.773</v>
      </c>
      <c r="T41" s="18" t="n">
        <v>99.854</v>
      </c>
      <c r="U41" s="18" t="n">
        <v>111.305</v>
      </c>
      <c r="V41" s="18" t="n">
        <v>104.866</v>
      </c>
      <c r="W41" s="18" t="n">
        <v>83.462</v>
      </c>
      <c r="X41" s="18" t="n">
        <v>78.306</v>
      </c>
      <c r="Y41" s="18" t="n">
        <v>78.361</v>
      </c>
      <c r="Z41" s="18" t="n">
        <v>74.864</v>
      </c>
      <c r="AA41" s="18" t="n">
        <v>72.761</v>
      </c>
      <c r="AB41" s="18" t="n">
        <v>82.367</v>
      </c>
      <c r="AC41" s="18" t="n">
        <v>87.67700000000001</v>
      </c>
    </row>
    <row r="42">
      <c r="A42" s="4" t="inlineStr">
        <is>
          <t>Total Current Liabilities</t>
        </is>
      </c>
      <c r="B42" s="18" t="n">
        <v>32.298</v>
      </c>
      <c r="C42" s="18" t="n">
        <v>32.088</v>
      </c>
      <c r="D42" s="18" t="n">
        <v>33.385</v>
      </c>
      <c r="E42" s="18" t="n">
        <v>35.891</v>
      </c>
      <c r="F42" s="18" t="n">
        <v>35.287</v>
      </c>
      <c r="G42" s="18" t="n">
        <v>28.087</v>
      </c>
      <c r="H42" s="18" t="n">
        <v>28.007</v>
      </c>
      <c r="I42" s="18" t="n">
        <v>27.559</v>
      </c>
      <c r="J42" s="18" t="n">
        <v>28.3</v>
      </c>
      <c r="K42" s="18" t="n">
        <v>26.953</v>
      </c>
      <c r="L42" s="18" t="n">
        <v>21.634</v>
      </c>
      <c r="M42" s="18" t="n">
        <v>20.703</v>
      </c>
      <c r="N42" s="18" t="n">
        <v>23.202</v>
      </c>
      <c r="O42" s="18" t="n">
        <v>34.456</v>
      </c>
      <c r="P42" s="18" t="n">
        <v>34.962</v>
      </c>
      <c r="Q42" s="18" t="n">
        <v>33.794</v>
      </c>
      <c r="R42" s="18" t="n">
        <v>35.428</v>
      </c>
      <c r="S42" s="18" t="n">
        <v>37.62</v>
      </c>
      <c r="T42" s="18" t="n">
        <v>36.749</v>
      </c>
      <c r="U42" s="18" t="n">
        <v>41.03</v>
      </c>
      <c r="V42" s="18" t="n">
        <v>91.922</v>
      </c>
      <c r="W42" s="18" t="n">
        <v>47.838</v>
      </c>
      <c r="X42" s="18" t="n">
        <v>43.15</v>
      </c>
      <c r="Y42" s="18" t="n">
        <v>53.581</v>
      </c>
      <c r="Z42" s="18" t="n">
        <v>52.578</v>
      </c>
      <c r="AA42" s="18" t="n">
        <v>51.712</v>
      </c>
      <c r="AB42" s="18" t="n">
        <v>57.177</v>
      </c>
      <c r="AC42" s="18" t="n">
        <v>73.057</v>
      </c>
    </row>
    <row r="43">
      <c r="A43" s="4" t="inlineStr">
        <is>
          <t>Long-term Debt</t>
        </is>
      </c>
      <c r="B43" s="18" t="n">
        <v>0.017</v>
      </c>
      <c r="C43" s="18" t="n">
        <v>0.13</v>
      </c>
      <c r="D43" s="18" t="n">
        <v>0.121</v>
      </c>
      <c r="E43" s="18" t="n">
        <v>0.111</v>
      </c>
      <c r="F43" s="18" t="n">
        <v>0.246</v>
      </c>
      <c r="G43" s="18" t="n">
        <v>27.311</v>
      </c>
      <c r="H43" s="18" t="n">
        <v>32.225</v>
      </c>
      <c r="I43" s="18" t="n">
        <v>32.154</v>
      </c>
      <c r="J43" s="18" t="n">
        <v>32.862</v>
      </c>
      <c r="K43" s="18" t="n">
        <v>33.037</v>
      </c>
      <c r="L43" s="18" t="n">
        <v>35.053</v>
      </c>
      <c r="M43" s="18" t="n">
        <v>35.339</v>
      </c>
      <c r="N43" s="18" t="n">
        <v>57.517</v>
      </c>
      <c r="O43" s="18" t="n">
        <v>57.627</v>
      </c>
      <c r="P43" s="18" t="n">
        <v>55.512</v>
      </c>
      <c r="Q43" s="18" t="n">
        <v>57.087</v>
      </c>
      <c r="R43" s="18" t="n">
        <v>56.924</v>
      </c>
      <c r="S43" s="18" t="n">
        <v>56.758</v>
      </c>
      <c r="T43" s="18" t="n">
        <v>58.584</v>
      </c>
      <c r="U43" s="18" t="n">
        <v>63.287</v>
      </c>
      <c r="V43" s="18" t="n">
        <v>11.036</v>
      </c>
      <c r="W43" s="18" t="n">
        <v>9.56</v>
      </c>
      <c r="X43" s="18" t="n">
        <v>8.458</v>
      </c>
      <c r="Y43" s="18" t="n">
        <v>7.739</v>
      </c>
      <c r="Z43" s="18" t="n">
        <v>5.236</v>
      </c>
      <c r="AA43" s="18" t="n">
        <v>4.072</v>
      </c>
      <c r="AB43" s="18" t="n">
        <v>4.763</v>
      </c>
      <c r="AC43" s="18" t="n">
        <v>4.423</v>
      </c>
    </row>
    <row r="44">
      <c r="A44" s="4" t="inlineStr">
        <is>
          <t>Total Equity</t>
        </is>
      </c>
      <c r="B44" s="18" t="n">
        <v>22.236</v>
      </c>
      <c r="C44" s="18" t="n">
        <v>25.759</v>
      </c>
      <c r="D44" s="18" t="n">
        <v>26.059</v>
      </c>
      <c r="E44" s="18" t="n">
        <v>24.966</v>
      </c>
      <c r="F44" s="18" t="n">
        <v>24.674</v>
      </c>
      <c r="G44" s="18" t="n">
        <v>23.154</v>
      </c>
      <c r="H44" s="18" t="n">
        <v>19.045</v>
      </c>
      <c r="I44" s="18" t="n">
        <v>19.495</v>
      </c>
      <c r="J44" s="18" t="n">
        <v>16.383</v>
      </c>
      <c r="K44" s="18" t="n">
        <v>13.021</v>
      </c>
      <c r="L44" s="18" t="n">
        <v>12.879</v>
      </c>
      <c r="M44" s="18" t="n">
        <v>8.848000000000001</v>
      </c>
      <c r="N44" s="18" t="n">
        <v>2.262</v>
      </c>
      <c r="O44" s="18" t="n">
        <v>13.174</v>
      </c>
      <c r="P44" s="18" t="n">
        <v>22.502</v>
      </c>
      <c r="Q44" s="18" t="n">
        <v>16.776</v>
      </c>
      <c r="R44" s="18" t="n">
        <v>11.965</v>
      </c>
      <c r="S44" s="18" t="n">
        <v>5.414</v>
      </c>
      <c r="T44" s="18" t="n">
        <v>3.587</v>
      </c>
      <c r="U44" s="18" t="n">
        <v>6.073</v>
      </c>
      <c r="V44" s="18" t="n">
        <v>1.091</v>
      </c>
      <c r="W44" s="18" t="n">
        <v>-4.667</v>
      </c>
      <c r="X44" s="18" t="n">
        <v>-5.038</v>
      </c>
      <c r="Y44" s="18" t="n">
        <v>-7.683</v>
      </c>
      <c r="Z44" s="18" t="n">
        <v>-7.761</v>
      </c>
      <c r="AA44" s="18" t="n">
        <v>-8.188000000000001</v>
      </c>
      <c r="AB44" s="18" t="n">
        <v>-7.318</v>
      </c>
      <c r="AC44" s="18" t="n">
        <v>7.587</v>
      </c>
    </row>
    <row r="45">
      <c r="A45" s="5" t="inlineStr">
        <is>
          <t xml:space="preserve">  CASH FLOW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>
      <c r="A46" s="4" t="inlineStr">
        <is>
          <t>D&amp;A</t>
        </is>
      </c>
      <c r="B46" s="18" t="n">
        <v>0.271</v>
      </c>
      <c r="C46" s="18" t="n">
        <v>0.316</v>
      </c>
      <c r="D46" s="18" t="n">
        <v>0.287</v>
      </c>
      <c r="E46" s="18" t="n">
        <v>0.281</v>
      </c>
      <c r="F46" s="18" t="n">
        <v>0.389</v>
      </c>
      <c r="G46" s="18" t="n">
        <v>0.304</v>
      </c>
      <c r="H46" s="18" t="n">
        <v>0.732</v>
      </c>
      <c r="I46" s="18" t="n">
        <v>0.775</v>
      </c>
      <c r="J46" s="18" t="n">
        <v>0.495</v>
      </c>
      <c r="K46" s="18" t="n">
        <v>0.484</v>
      </c>
      <c r="L46" s="18" t="n">
        <v>0.448</v>
      </c>
      <c r="M46" s="18" t="n">
        <v>0.447</v>
      </c>
      <c r="N46" s="18" t="n">
        <v>0.466</v>
      </c>
      <c r="O46" s="18" t="n">
        <v>0.469</v>
      </c>
      <c r="P46" s="18" t="n">
        <v>0.479</v>
      </c>
      <c r="Q46" s="18" t="n">
        <v>0.8139999999999999</v>
      </c>
      <c r="R46" s="18" t="n">
        <v>0.596</v>
      </c>
      <c r="S46" s="18" t="n">
        <v>0.6830000000000001</v>
      </c>
      <c r="T46" s="18" t="n">
        <v>0.8120000000000001</v>
      </c>
      <c r="U46" s="18" t="n">
        <v>1.156</v>
      </c>
      <c r="V46" s="18" t="n">
        <v>1.225</v>
      </c>
      <c r="W46" s="18" t="n">
        <v>1.014</v>
      </c>
      <c r="X46" s="18" t="n">
        <v>0.851</v>
      </c>
      <c r="Y46" s="18" t="n">
        <v>0.642</v>
      </c>
      <c r="Z46" s="18" t="n">
        <v>1.351</v>
      </c>
      <c r="AA46" s="18" t="n">
        <v>0.926</v>
      </c>
      <c r="AB46" s="18" t="n">
        <v>1.03</v>
      </c>
      <c r="AC46" s="18" t="n">
        <v>1.196</v>
      </c>
    </row>
    <row r="47">
      <c r="A47" s="4" t="inlineStr">
        <is>
          <t>Stock-based Compensation</t>
        </is>
      </c>
      <c r="B47" s="18" t="n">
        <v>0.102</v>
      </c>
      <c r="C47" s="18" t="n">
        <v>0.177</v>
      </c>
      <c r="D47" s="18" t="n">
        <v>0.227</v>
      </c>
      <c r="E47" s="18" t="n">
        <v>0.224</v>
      </c>
      <c r="F47" s="18" t="n">
        <v>0.292</v>
      </c>
      <c r="G47" s="18" t="n">
        <v>0.164</v>
      </c>
      <c r="H47" s="18" t="n">
        <v>0.262</v>
      </c>
      <c r="I47" s="18" t="n">
        <v>0.104</v>
      </c>
      <c r="J47" s="18" t="n">
        <v>0.303</v>
      </c>
      <c r="K47" s="18" t="n">
        <v>0.244</v>
      </c>
      <c r="L47" s="18" t="n">
        <v>0.21</v>
      </c>
      <c r="M47" s="18" t="n">
        <v>0.219</v>
      </c>
      <c r="N47" s="18" t="n">
        <v>0.249</v>
      </c>
      <c r="O47" s="18" t="n">
        <v>0.259</v>
      </c>
      <c r="P47" s="18" t="n">
        <v>0.305</v>
      </c>
      <c r="Q47" s="18" t="n">
        <v>0.333</v>
      </c>
      <c r="R47" s="18" t="n">
        <v>0.335</v>
      </c>
      <c r="S47" s="18" t="n">
        <v>0.272</v>
      </c>
      <c r="T47" s="18" t="n">
        <v>0.232</v>
      </c>
      <c r="U47" s="18" t="n">
        <v>0.154</v>
      </c>
      <c r="V47" s="18" t="n">
        <v>0.231</v>
      </c>
      <c r="W47" s="18" t="n">
        <v>0.057</v>
      </c>
      <c r="X47" s="18" t="n">
        <v>-0.122</v>
      </c>
      <c r="Y47" s="18" t="n">
        <v>-0.217</v>
      </c>
      <c r="Z47" s="18" t="n">
        <v>0.544</v>
      </c>
      <c r="AA47" s="18" t="n">
        <v>0.349</v>
      </c>
      <c r="AB47" s="18" t="n">
        <v>0.111</v>
      </c>
      <c r="AC47" s="18" t="n">
        <v>0.13</v>
      </c>
    </row>
    <row r="48">
      <c r="A48" s="4" t="inlineStr">
        <is>
          <t>Change in Working Capital</t>
        </is>
      </c>
      <c r="B48" s="18" t="n">
        <v>-2.787</v>
      </c>
      <c r="C48" s="18" t="n">
        <v>1.361</v>
      </c>
      <c r="D48" s="18" t="n">
        <v>-2.211</v>
      </c>
      <c r="E48" s="18" t="n">
        <v>-3.954</v>
      </c>
      <c r="F48" s="18" t="n">
        <v>2.24</v>
      </c>
      <c r="G48" s="18" t="n">
        <v>-2.234</v>
      </c>
      <c r="H48" s="18" t="n">
        <v>-1.281</v>
      </c>
      <c r="I48" s="18" t="n">
        <v>-3.345</v>
      </c>
      <c r="J48" s="18" t="n">
        <v>-0.525</v>
      </c>
      <c r="K48" s="18" t="n">
        <v>1.191</v>
      </c>
      <c r="L48" s="18" t="n">
        <v>-1.071</v>
      </c>
      <c r="M48" s="18" t="n">
        <v>4.949</v>
      </c>
      <c r="N48" s="18" t="n">
        <v>-0.993</v>
      </c>
      <c r="O48" s="18" t="n">
        <v>3.525</v>
      </c>
      <c r="P48" s="18" t="n">
        <v>-7.122</v>
      </c>
      <c r="Q48" s="18" t="n">
        <v>-4.485</v>
      </c>
      <c r="R48" s="18" t="n">
        <v>0.254</v>
      </c>
      <c r="S48" s="18" t="n">
        <v>-0.402</v>
      </c>
      <c r="T48" s="18" t="n">
        <v>-2.914</v>
      </c>
      <c r="U48" s="18" t="n">
        <v>3.751</v>
      </c>
      <c r="V48" s="18" t="n">
        <v>-1.737</v>
      </c>
      <c r="W48" s="18" t="n">
        <v>0</v>
      </c>
      <c r="X48" s="18" t="n">
        <v>1.737</v>
      </c>
      <c r="Y48" s="18" t="n">
        <v>-2.014</v>
      </c>
      <c r="Z48" s="18" t="n">
        <v>0.277</v>
      </c>
      <c r="AA48" s="18" t="n">
        <v>0</v>
      </c>
      <c r="AB48" s="18" t="n">
        <v>0</v>
      </c>
      <c r="AC48" s="18" t="n">
        <v>0</v>
      </c>
    </row>
    <row r="49">
      <c r="A49" s="4" t="inlineStr">
        <is>
          <t>Operating Cash Flow</t>
        </is>
      </c>
      <c r="B49" s="18" t="n">
        <v>-3.316</v>
      </c>
      <c r="C49" s="18" t="n">
        <v>0.527</v>
      </c>
      <c r="D49" s="18" t="n">
        <v>-6.018</v>
      </c>
      <c r="E49" s="18" t="n">
        <v>-6.577</v>
      </c>
      <c r="F49" s="18" t="n">
        <v>-0.002</v>
      </c>
      <c r="G49" s="18" t="n">
        <v>-5.106</v>
      </c>
      <c r="H49" s="18" t="n">
        <v>-5.165</v>
      </c>
      <c r="I49" s="18" t="n">
        <v>-6.255</v>
      </c>
      <c r="J49" s="18" t="n">
        <v>-4.3</v>
      </c>
      <c r="K49" s="18" t="n">
        <v>-3.978</v>
      </c>
      <c r="L49" s="18" t="n">
        <v>-1.871</v>
      </c>
      <c r="M49" s="18" t="n">
        <v>1.851</v>
      </c>
      <c r="N49" s="18" t="n">
        <v>-3.346</v>
      </c>
      <c r="O49" s="18" t="n">
        <v>5.067</v>
      </c>
      <c r="P49" s="18" t="n">
        <v>-10.141</v>
      </c>
      <c r="Q49" s="18" t="n">
        <v>-9.214</v>
      </c>
      <c r="R49" s="18" t="n">
        <v>-3.638</v>
      </c>
      <c r="S49" s="18" t="n">
        <v>-4.505</v>
      </c>
      <c r="T49" s="18" t="n">
        <v>-3.442</v>
      </c>
      <c r="U49" s="18" t="n">
        <v>0.845</v>
      </c>
      <c r="V49" s="18" t="n">
        <v>-5.166</v>
      </c>
      <c r="W49" s="18" t="n">
        <v>2.092</v>
      </c>
      <c r="X49" s="18" t="n">
        <v>6.064</v>
      </c>
      <c r="Y49" s="18" t="n">
        <v>6.555</v>
      </c>
      <c r="Z49" s="18" t="n">
        <v>-7.023</v>
      </c>
      <c r="AA49" s="18" t="n">
        <v>-1.596</v>
      </c>
      <c r="AB49" s="18" t="n">
        <v>0.551</v>
      </c>
      <c r="AC49" s="18" t="n">
        <v>3.02</v>
      </c>
    </row>
    <row r="50">
      <c r="A50" s="4" t="inlineStr">
        <is>
          <t>Capex</t>
        </is>
      </c>
      <c r="B50" s="18" t="n">
        <v>-0.9</v>
      </c>
      <c r="C50" s="18" t="n">
        <v>-0.331</v>
      </c>
      <c r="D50" s="18" t="n">
        <v>-0.163</v>
      </c>
      <c r="E50" s="18" t="n">
        <v>-0.153</v>
      </c>
      <c r="F50" s="18" t="n">
        <v>-2.754</v>
      </c>
      <c r="G50" s="18" t="n">
        <v>-0.29</v>
      </c>
      <c r="H50" s="18" t="n">
        <v>-0.977</v>
      </c>
      <c r="I50" s="18" t="n">
        <v>-2.054</v>
      </c>
      <c r="J50" s="18" t="n">
        <v>-0.869</v>
      </c>
      <c r="K50" s="18" t="n">
        <v>-0.307</v>
      </c>
      <c r="L50" s="18" t="n">
        <v>-0.074</v>
      </c>
      <c r="M50" s="18" t="n">
        <v>-1.042</v>
      </c>
      <c r="N50" s="18" t="n">
        <v>-0.153</v>
      </c>
      <c r="O50" s="18" t="n">
        <v>-1.94</v>
      </c>
      <c r="P50" s="18" t="n">
        <v>-1.2</v>
      </c>
      <c r="Q50" s="18" t="n">
        <v>-1.423</v>
      </c>
      <c r="R50" s="18" t="n">
        <v>-3.125</v>
      </c>
      <c r="S50" s="18" t="n">
        <v>-4.176</v>
      </c>
      <c r="T50" s="18" t="n">
        <v>-1.887</v>
      </c>
      <c r="U50" s="18" t="n">
        <v>-0.677</v>
      </c>
      <c r="V50" s="18" t="n">
        <v>-1.435</v>
      </c>
      <c r="W50" s="18" t="n">
        <v>0</v>
      </c>
      <c r="X50" s="18" t="n">
        <v>1.435</v>
      </c>
      <c r="Y50" s="18" t="n">
        <v>2.112</v>
      </c>
      <c r="Z50" s="18" t="n">
        <v>-3.547</v>
      </c>
      <c r="AA50" s="18" t="n">
        <v>0</v>
      </c>
      <c r="AB50" s="18" t="n">
        <v>0</v>
      </c>
      <c r="AC50" s="18" t="n">
        <v>0</v>
      </c>
    </row>
    <row r="51">
      <c r="A51" s="4" t="inlineStr">
        <is>
          <t>Free Cash Flow</t>
        </is>
      </c>
      <c r="B51" s="18" t="n">
        <v>-4.216</v>
      </c>
      <c r="C51" s="18" t="n">
        <v>0.196</v>
      </c>
      <c r="D51" s="18" t="n">
        <v>-6.181</v>
      </c>
      <c r="E51" s="18" t="n">
        <v>-6.73</v>
      </c>
      <c r="F51" s="18" t="n">
        <v>-2.756</v>
      </c>
      <c r="G51" s="18" t="n">
        <v>-5.396</v>
      </c>
      <c r="H51" s="18" t="n">
        <v>-6.142</v>
      </c>
      <c r="I51" s="18" t="n">
        <v>-8.308999999999999</v>
      </c>
      <c r="J51" s="18" t="n">
        <v>-5.169</v>
      </c>
      <c r="K51" s="18" t="n">
        <v>-4.285</v>
      </c>
      <c r="L51" s="18" t="n">
        <v>-1.945</v>
      </c>
      <c r="M51" s="18" t="n">
        <v>0.8090000000000001</v>
      </c>
      <c r="N51" s="18" t="n">
        <v>-3.499</v>
      </c>
      <c r="O51" s="18" t="n">
        <v>3.127</v>
      </c>
      <c r="P51" s="18" t="n">
        <v>-11.341</v>
      </c>
      <c r="Q51" s="18" t="n">
        <v>-10.637</v>
      </c>
      <c r="R51" s="18" t="n">
        <v>-6.763</v>
      </c>
      <c r="S51" s="18" t="n">
        <v>-8.680999999999999</v>
      </c>
      <c r="T51" s="18" t="n">
        <v>-5.329</v>
      </c>
      <c r="U51" s="18" t="n">
        <v>0.168</v>
      </c>
      <c r="V51" s="18" t="n">
        <v>-6.601</v>
      </c>
      <c r="W51" s="18" t="n">
        <v>2.092</v>
      </c>
      <c r="X51" s="18" t="n">
        <v>7.499</v>
      </c>
      <c r="Y51" s="18" t="n">
        <v>8.667</v>
      </c>
      <c r="Z51" s="18" t="n">
        <v>-10.57</v>
      </c>
      <c r="AA51" s="18" t="n">
        <v>-1.596</v>
      </c>
      <c r="AB51" s="18" t="n">
        <v>0.551</v>
      </c>
      <c r="AC51" s="18" t="n">
        <v>3.02</v>
      </c>
    </row>
    <row r="53">
      <c r="A53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</row>
    <row r="4">
      <c r="A4" s="3" t="inlineStr">
        <is>
          <t>Revenue — consensus</t>
        </is>
      </c>
      <c r="B4" s="18" t="n">
        <v>107.5</v>
      </c>
      <c r="C4" s="18" t="n">
        <v>121.3</v>
      </c>
      <c r="D4" s="18" t="n">
        <v>156.9</v>
      </c>
    </row>
    <row r="5">
      <c r="A5" s="4" t="inlineStr">
        <is>
          <t xml:space="preserve">  model</t>
        </is>
      </c>
      <c r="B5" s="34">
        <f>Model!C6</f>
        <v/>
      </c>
      <c r="C5" s="34">
        <f>Model!D6</f>
        <v/>
      </c>
      <c r="D5" s="34">
        <f>Model!E6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</row>
    <row r="8">
      <c r="A8" s="3" t="inlineStr">
        <is>
          <t>EBITDA* — consensus</t>
        </is>
      </c>
      <c r="B8" s="18" t="n">
        <v>-16.701653</v>
      </c>
      <c r="C8" s="18" t="n">
        <v>-18.845679</v>
      </c>
      <c r="D8" s="18" t="n">
        <v>-24.376646</v>
      </c>
    </row>
    <row r="9">
      <c r="A9" s="4" t="inlineStr">
        <is>
          <t xml:space="preserve">  model</t>
        </is>
      </c>
      <c r="B9" s="34">
        <f>Model!C19+Model!C24</f>
        <v/>
      </c>
      <c r="C9" s="34">
        <f>Model!D19+Model!D24</f>
        <v/>
      </c>
      <c r="D9" s="34">
        <f>Model!E19+Model!E24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</row>
    <row r="12">
      <c r="A12" s="3" t="inlineStr">
        <is>
          <t>EBIT* — consensus</t>
        </is>
      </c>
      <c r="B12" s="18" t="n">
        <v>-20.441494</v>
      </c>
      <c r="C12" s="18" t="n">
        <v>-23.065612</v>
      </c>
      <c r="D12" s="18" t="n">
        <v>-29.835074</v>
      </c>
    </row>
    <row r="13">
      <c r="A13" s="4" t="inlineStr">
        <is>
          <t xml:space="preserve">  model</t>
        </is>
      </c>
      <c r="B13" s="34">
        <f>Model!C19</f>
        <v/>
      </c>
      <c r="C13" s="34">
        <f>Model!D19</f>
        <v/>
      </c>
      <c r="D13" s="34">
        <f>Model!E19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</row>
    <row r="16">
      <c r="A16" s="3" t="inlineStr">
        <is>
          <t>SG&amp;A — consensus</t>
        </is>
      </c>
      <c r="B16" s="18" t="n">
        <v>31.855161</v>
      </c>
      <c r="C16" s="18" t="n">
        <v>35.944475</v>
      </c>
      <c r="D16" s="18" t="n">
        <v>46.493719</v>
      </c>
    </row>
    <row r="17">
      <c r="A17" s="4" t="inlineStr">
        <is>
          <t xml:space="preserve">  model</t>
        </is>
      </c>
      <c r="B17" s="34">
        <f>Model!C14</f>
        <v/>
      </c>
      <c r="C17" s="34">
        <f>Model!D14</f>
        <v/>
      </c>
      <c r="D17" s="34">
        <f>Model!E14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</row>
    <row r="20">
      <c r="A20" s="3" t="inlineStr">
        <is>
          <t>Net income (NOPAT) — consensus</t>
        </is>
      </c>
      <c r="B20" s="18" t="n">
        <v>0.57168</v>
      </c>
      <c r="C20" s="18" t="n">
        <v>2.28672</v>
      </c>
      <c r="D20" s="18" t="n">
        <v>8.76576</v>
      </c>
    </row>
    <row r="21">
      <c r="A21" s="4" t="inlineStr">
        <is>
          <t xml:space="preserve">  model</t>
        </is>
      </c>
      <c r="B21" s="34">
        <f>Model!C23</f>
        <v/>
      </c>
      <c r="C21" s="34">
        <f>Model!D23</f>
        <v/>
      </c>
      <c r="D21" s="34">
        <f>Model!E23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</row>
    <row r="24">
      <c r="A24" s="3" t="inlineStr">
        <is>
          <t>EPS — consensus</t>
        </is>
      </c>
      <c r="B24" s="48" t="n">
        <v>0.03</v>
      </c>
      <c r="C24" s="48" t="n">
        <v>0.12</v>
      </c>
      <c r="D24" s="48" t="n">
        <v>0.46</v>
      </c>
    </row>
    <row r="25">
      <c r="A25" s="4" t="inlineStr">
        <is>
          <t xml:space="preserve">  model</t>
        </is>
      </c>
      <c r="B25" s="8">
        <f>Model!C23/Financials!AC17</f>
        <v/>
      </c>
      <c r="C25" s="8">
        <f>Model!D23/Financials!AC17</f>
        <v/>
      </c>
      <c r="D25" s="8">
        <f>Model!E23/Financials!AC17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Capstone Green Energy Holdings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Model!C31</f>
        <v/>
      </c>
      <c r="D12" s="34">
        <f>Model!D31</f>
        <v/>
      </c>
      <c r="E12" s="34">
        <f>Model!E31</f>
        <v/>
      </c>
      <c r="F12" s="34">
        <f>Model!F31</f>
        <v/>
      </c>
      <c r="G12" s="34">
        <f>Model!G31</f>
        <v/>
      </c>
      <c r="H12" s="34">
        <f>Model!H31</f>
        <v/>
      </c>
      <c r="I12" s="34">
        <f>Model!I31</f>
        <v/>
      </c>
      <c r="J12" s="34">
        <f>Model!J31</f>
        <v/>
      </c>
      <c r="K12" s="34">
        <f>Model!K31</f>
        <v/>
      </c>
      <c r="L12" s="34">
        <f>Model!L31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Model!L6</f>
        <v/>
      </c>
    </row>
    <row r="21">
      <c r="A21" s="4" t="inlineStr">
        <is>
          <t>Terminal EBIT</t>
        </is>
      </c>
      <c r="B21" s="34">
        <f>Model!L19</f>
        <v/>
      </c>
    </row>
    <row r="22">
      <c r="A22" s="4" t="inlineStr">
        <is>
          <t>Terminal EBITDA (SBC-burdened)</t>
        </is>
      </c>
      <c r="B22" s="34">
        <f>Model!L19+Model!L24-Model!L25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Financials!AC38</f>
        <v/>
      </c>
    </row>
    <row r="33">
      <c r="A33" s="4" t="inlineStr">
        <is>
          <t>- Long-term debt</t>
        </is>
      </c>
      <c r="B33" s="34">
        <f>-Financials!AC43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0.103594921273562</v>
      </c>
      <c r="C4" s="52" t="n">
        <v>0.108594921273562</v>
      </c>
      <c r="D4" s="52" t="n">
        <v>0.113594921273562</v>
      </c>
      <c r="E4" s="52" t="n">
        <v>0.118594921273562</v>
      </c>
      <c r="F4" s="52" t="n">
        <v>0.123594921273562</v>
      </c>
      <c r="G4" s="52" t="n">
        <v>0.128594921273562</v>
      </c>
      <c r="H4" s="52" t="n">
        <v>0.133594921273562</v>
      </c>
    </row>
    <row r="5">
      <c r="A5" s="53" t="n">
        <v>6</v>
      </c>
      <c r="B5" s="54" t="n">
        <v>8.963296342397104</v>
      </c>
      <c r="C5" s="54" t="n">
        <v>8.669356389464808</v>
      </c>
      <c r="D5" s="54" t="n">
        <v>8.388192360220492</v>
      </c>
      <c r="E5" s="54" t="n">
        <v>8.119171571838082</v>
      </c>
      <c r="F5" s="54" t="n">
        <v>7.861695890980241</v>
      </c>
      <c r="G5" s="54" t="n">
        <v>7.615199686640477</v>
      </c>
      <c r="H5" s="54" t="n">
        <v>7.379147913305342</v>
      </c>
    </row>
    <row r="6">
      <c r="A6" s="53" t="n">
        <v>7</v>
      </c>
      <c r="B6" s="8" t="n">
        <v>9.669261695277157</v>
      </c>
      <c r="C6" s="8" t="n">
        <v>9.344119719394788</v>
      </c>
      <c r="D6" s="54" t="n">
        <v>9.033263932507158</v>
      </c>
      <c r="E6" s="54" t="n">
        <v>8.735982255675804</v>
      </c>
      <c r="F6" s="54" t="n">
        <v>8.451601661421948</v>
      </c>
      <c r="G6" s="54" t="n">
        <v>8.179485852856216</v>
      </c>
      <c r="H6" s="54" t="n">
        <v>7.919033090880951</v>
      </c>
    </row>
    <row r="7">
      <c r="A7" s="53" t="n">
        <v>8</v>
      </c>
      <c r="B7" s="8" t="n">
        <v>10.37522704815721</v>
      </c>
      <c r="C7" s="8" t="n">
        <v>10.01888304932477</v>
      </c>
      <c r="D7" s="8" t="n">
        <v>9.678335504793829</v>
      </c>
      <c r="E7" s="8" t="n">
        <v>9.352792939513526</v>
      </c>
      <c r="F7" s="8" t="n">
        <v>9.041507431863657</v>
      </c>
      <c r="G7" s="54" t="n">
        <v>8.743772019071953</v>
      </c>
      <c r="H7" s="54" t="n">
        <v>8.458918268456561</v>
      </c>
    </row>
    <row r="8">
      <c r="A8" s="53" t="n">
        <v>9</v>
      </c>
      <c r="B8" s="8" t="n">
        <v>11.08119240103727</v>
      </c>
      <c r="C8" s="8" t="n">
        <v>10.69364637925475</v>
      </c>
      <c r="D8" s="8" t="n">
        <v>10.3234070770805</v>
      </c>
      <c r="E8" s="55" t="n">
        <v>9.969603623351247</v>
      </c>
      <c r="F8" s="8" t="n">
        <v>9.631413202305364</v>
      </c>
      <c r="G8" s="8" t="n">
        <v>9.308058185287692</v>
      </c>
      <c r="H8" s="54" t="n">
        <v>8.998803446032168</v>
      </c>
    </row>
    <row r="9">
      <c r="A9" s="53" t="n">
        <v>10</v>
      </c>
      <c r="B9" s="8" t="n">
        <v>11.78715775391732</v>
      </c>
      <c r="C9" s="8" t="n">
        <v>11.36840970918473</v>
      </c>
      <c r="D9" s="8" t="n">
        <v>10.96847864936717</v>
      </c>
      <c r="E9" s="8" t="n">
        <v>10.58641430718897</v>
      </c>
      <c r="F9" s="8" t="n">
        <v>10.22131897274707</v>
      </c>
      <c r="G9" s="8" t="n">
        <v>9.872344351503427</v>
      </c>
      <c r="H9" s="8" t="n">
        <v>9.538688623607776</v>
      </c>
    </row>
    <row r="10">
      <c r="A10" s="53" t="n">
        <v>11</v>
      </c>
      <c r="B10" s="8" t="n">
        <v>12.49312310679738</v>
      </c>
      <c r="C10" s="8" t="n">
        <v>12.04317303911471</v>
      </c>
      <c r="D10" s="8" t="n">
        <v>11.61355022165383</v>
      </c>
      <c r="E10" s="8" t="n">
        <v>11.20322499102669</v>
      </c>
      <c r="F10" s="8" t="n">
        <v>10.81122474318878</v>
      </c>
      <c r="G10" s="8" t="n">
        <v>10.43663051771916</v>
      </c>
      <c r="H10" s="8" t="n">
        <v>10.07857380118338</v>
      </c>
    </row>
    <row r="11">
      <c r="A11" s="53" t="n">
        <v>12</v>
      </c>
      <c r="B11" s="8" t="n">
        <v>13.19908845967743</v>
      </c>
      <c r="C11" s="8" t="n">
        <v>12.71793636904469</v>
      </c>
      <c r="D11" s="8" t="n">
        <v>12.2586217939405</v>
      </c>
      <c r="E11" s="8" t="n">
        <v>11.82003567486441</v>
      </c>
      <c r="F11" s="8" t="n">
        <v>11.40113051363048</v>
      </c>
      <c r="G11" s="8" t="n">
        <v>11.0009166839349</v>
      </c>
      <c r="H11" s="8" t="n">
        <v>10.61845897875899</v>
      </c>
    </row>
    <row r="13">
      <c r="A13" s="3" t="inlineStr">
        <is>
          <t>Current price</t>
        </is>
      </c>
      <c r="B13" s="54" t="n">
        <v>9.039999961853027</v>
      </c>
    </row>
    <row r="14">
      <c r="A14" s="3" t="inlineStr">
        <is>
          <t>Base WACC / multiple</t>
        </is>
      </c>
      <c r="B14" s="56" t="n">
        <v>0.118594921273562</v>
      </c>
      <c r="C14" s="57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Model!B6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Model!B20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0.04508905614510775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0.6653499222395024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(Model!L6/Model!B6)^(1/10)-1</f>
        <v/>
      </c>
      <c r="D6" s="15" t="n">
        <v/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1.359401386867866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Financials!AC38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Financials!AC43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2026-07-08T07:03:26Z</dcterms:created>
  <dcterms:modified xmlns:dcterms="http://purl.org/dc/terms/" xmlns:xsi="http://www.w3.org/2001/XMLSchema-instance" xsi:type="dcterms:W3CDTF">2026-07-08T07:03:26Z</dcterms:modified>
</cp:coreProperties>
</file>