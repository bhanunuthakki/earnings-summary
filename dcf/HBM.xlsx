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7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builder default</t>
      </text>
    </comment>
    <comment ref="B30" authorId="0" shapeId="0">
      <text>
        <t>builder default</t>
      </text>
    </comment>
    <comment ref="B31" authorId="0" shapeId="0">
      <text>
        <t>builder default</t>
      </text>
    </comment>
    <comment ref="B34" authorId="0" shapeId="0">
      <text>
        <t>builder default — last-year capex +10% unless set to guidance; edits not tracked</t>
      </text>
    </comment>
    <comment ref="B35" authorId="0" shapeId="0">
      <text>
        <t>builder default</t>
      </text>
    </comment>
    <comment ref="B38" authorId="0" shapeId="0">
      <text>
        <t>builder default</t>
      </text>
    </comment>
    <comment ref="B39" authorId="0" shapeId="0">
      <text>
        <t>builder default</t>
      </text>
    </comment>
    <comment ref="B40" authorId="0" shapeId="0">
      <text>
        <t>builder default</t>
      </text>
    </comment>
    <comment ref="B41" authorId="0" shapeId="0">
      <text>
        <t>builder default</t>
      </text>
    </comment>
    <comment ref="B43" authorId="0" shapeId="0">
      <text>
        <t>builder default</t>
      </text>
    </comment>
    <comment ref="B44" authorId="0" shapeId="0">
      <text>
        <t>builder default</t>
      </text>
    </comment>
    <comment ref="B45" authorId="0" shapeId="0">
      <text>
        <t>builder default</t>
      </text>
    </comment>
    <comment ref="B46" authorId="0" shapeId="0">
      <text>
        <t>builder default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Hudbay Minerals Inc. (HBM)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builder defaults (consensus-anchored; no Opus pass)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Hudbay Minerals Inc. (HBM)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IF(Model!F34&lt;=0,"n/a (neg. capital)",Model!G36-WACC!B15)</f>
        <v/>
      </c>
      <c r="C15" s="10">
        <f>IF(Model!F34&lt;=0,"n/a",IF(Model!G36-WACC!B15&lt;0,"!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0.08979776866409619</v>
      </c>
      <c r="C20" s="15" t="n">
        <v>0.05000000000000002</v>
      </c>
      <c r="D20" s="16" t="n">
        <v>0.08979776866409619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0.3267775880648793</v>
      </c>
      <c r="D29" s="16" t="n">
        <v>0.3267775880648793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0.2725356692855483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518.5116871</v>
      </c>
      <c r="D34" s="18" t="n">
        <v>518.5116871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2.146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0.02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22.59000015258789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23.69794083941548</v>
      </c>
      <c r="C58" s="28" t="n">
        <v>32.08781339211942</v>
      </c>
      <c r="D58" s="28" t="n">
        <v>17.35545965416435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0.0157550837933319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0.009453050275999141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HBM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no Opus assumptions file — every input is a builder default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builder default</t>
        </is>
      </c>
      <c r="E8" t="inlineStr">
        <is>
          <t>—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builder default</t>
        </is>
      </c>
      <c r="E9" t="inlineStr">
        <is>
          <t>—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builder default</t>
        </is>
      </c>
      <c r="E10" t="inlineStr">
        <is>
          <t>—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builder default</t>
        </is>
      </c>
      <c r="E11" t="inlineStr">
        <is>
          <t>—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builder default</t>
        </is>
      </c>
      <c r="E12" t="inlineStr">
        <is>
          <t>—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builder default</t>
        </is>
      </c>
      <c r="E13" t="inlineStr">
        <is>
          <t>—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builder default</t>
        </is>
      </c>
      <c r="E14" t="inlineStr">
        <is>
          <t>—</t>
        </is>
      </c>
      <c r="F14" s="31" t="inlineStr"/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builder default</t>
        </is>
      </c>
      <c r="E15" t="inlineStr">
        <is>
          <t>—</t>
        </is>
      </c>
      <c r="F15" s="31" t="inlineStr"/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builder default</t>
        </is>
      </c>
      <c r="E16" t="inlineStr">
        <is>
          <t>—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builder default</t>
        </is>
      </c>
      <c r="E17" t="inlineStr">
        <is>
          <t>—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builder default</t>
        </is>
      </c>
      <c r="E18" t="inlineStr">
        <is>
          <t>—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builder default</t>
        </is>
      </c>
      <c r="E19" t="inlineStr">
        <is>
          <t>—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builder default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Dashboard!$B$48*Financials!AC17</f>
        <v/>
      </c>
    </row>
    <row r="11">
      <c r="A11" s="4" t="inlineStr">
        <is>
          <t>Total debt (D)</t>
        </is>
      </c>
      <c r="B11" s="33">
        <f>Financials!AC24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9" t="inlineStr">
        <is>
          <t>FY2021A</t>
        </is>
      </c>
      <c r="C1" s="39" t="inlineStr">
        <is>
          <t>FY2022A</t>
        </is>
      </c>
      <c r="D1" s="39" t="inlineStr">
        <is>
          <t>FY2023A</t>
        </is>
      </c>
      <c r="E1" s="39" t="inlineStr">
        <is>
          <t>FY2024A</t>
        </is>
      </c>
      <c r="F1" s="39" t="inlineStr">
        <is>
          <t>FY2025A</t>
        </is>
      </c>
      <c r="G1" s="40" t="inlineStr">
        <is>
          <t>FY2026E</t>
        </is>
      </c>
      <c r="H1" s="40" t="inlineStr">
        <is>
          <t>FY2027E</t>
        </is>
      </c>
      <c r="I1" s="40" t="inlineStr">
        <is>
          <t>FY2028E</t>
        </is>
      </c>
      <c r="J1" s="40" t="inlineStr">
        <is>
          <t>FY2029E</t>
        </is>
      </c>
      <c r="K1" s="40" t="inlineStr">
        <is>
          <t>FY2030E</t>
        </is>
      </c>
      <c r="L1" s="40" t="inlineStr">
        <is>
          <t>FY2031E</t>
        </is>
      </c>
      <c r="M1" s="40" t="inlineStr">
        <is>
          <t>FY2032E</t>
        </is>
      </c>
      <c r="N1" s="40" t="inlineStr">
        <is>
          <t>FY2033E</t>
        </is>
      </c>
      <c r="O1" s="40" t="inlineStr">
        <is>
          <t>FY2034E</t>
        </is>
      </c>
      <c r="P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Total company</t>
        </is>
      </c>
      <c r="B4" s="33">
        <f>SUM(Financials!I3:L3)</f>
        <v/>
      </c>
      <c r="C4" s="33">
        <f>SUM(Financials!M3:P3)</f>
        <v/>
      </c>
      <c r="D4" s="33">
        <f>SUM(Financials!Q3:T3)</f>
        <v/>
      </c>
      <c r="E4" s="33">
        <f>SUM(Financials!U3:X3)</f>
        <v/>
      </c>
      <c r="F4" s="33">
        <f>SUM(Financials!Y3:AB3)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  <c r="P4" s="41">
        <f>O4*(1+P5)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25">
        <f>IFERROR(F4/E4-1,"")</f>
        <v/>
      </c>
      <c r="G5" s="11">
        <f>Dashboard!$C$20+(Dashboard!$B$20-Dashboard!$C$20)*((9-0)/9)^Dashboard!$B$49</f>
        <v/>
      </c>
      <c r="H5" s="11">
        <f>Dashboard!$C$20+(Dashboard!$B$20-Dashboard!$C$20)*((9-1)/9)^Dashboard!$B$49</f>
        <v/>
      </c>
      <c r="I5" s="11">
        <f>Dashboard!$C$20+(Dashboard!$B$20-Dashboard!$C$20)*((9-2)/9)^Dashboard!$B$49</f>
        <v/>
      </c>
      <c r="J5" s="11">
        <f>Dashboard!$C$20+(Dashboard!$B$20-Dashboard!$C$20)*((9-3)/9)^Dashboard!$B$49</f>
        <v/>
      </c>
      <c r="K5" s="11">
        <f>Dashboard!$C$20+(Dashboard!$B$20-Dashboard!$C$20)*((9-4)/9)^Dashboard!$B$49</f>
        <v/>
      </c>
      <c r="L5" s="11">
        <f>Dashboard!$C$20+(Dashboard!$B$20-Dashboard!$C$20)*((9-5)/9)^Dashboard!$B$49</f>
        <v/>
      </c>
      <c r="M5" s="11">
        <f>Dashboard!$C$20+(Dashboard!$B$20-Dashboard!$C$20)*((9-6)/9)^Dashboard!$B$49</f>
        <v/>
      </c>
      <c r="N5" s="11">
        <f>Dashboard!$C$20+(Dashboard!$B$20-Dashboard!$C$20)*((9-7)/9)^Dashboard!$B$49</f>
        <v/>
      </c>
      <c r="O5" s="11">
        <f>Dashboard!$C$20+(Dashboard!$B$20-Dashboard!$C$20)*((9-8)/9)^Dashboard!$B$49</f>
        <v/>
      </c>
      <c r="P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  <c r="P6" s="42">
        <f>P4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  <c r="P7" s="25">
        <f>IFERROR(P6/O6-1,"")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>
      <c r="A10" s="4" t="inlineStr">
        <is>
          <t>Cost of revenue</t>
        </is>
      </c>
      <c r="B10" s="33">
        <f>SUM(Financials!I5:L5)</f>
        <v/>
      </c>
      <c r="C10" s="33">
        <f>SUM(Financials!M5:P5)</f>
        <v/>
      </c>
      <c r="D10" s="33">
        <f>SUM(Financials!Q5:T5)</f>
        <v/>
      </c>
      <c r="E10" s="33">
        <f>SUM(Financials!U5:X5)</f>
        <v/>
      </c>
      <c r="F10" s="33">
        <f>SUM(Financials!Y5:AB5)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  <c r="P10" s="41">
        <f>P6*P11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25">
        <f>IFERROR(F10/F6,"")</f>
        <v/>
      </c>
      <c r="G11" s="15" t="n">
        <v>0.6754078399588441</v>
      </c>
      <c r="H11" s="15" t="n">
        <v>0.6754078399588441</v>
      </c>
      <c r="I11" s="15" t="n">
        <v>0.6754078399588441</v>
      </c>
      <c r="J11" s="15" t="n">
        <v>0.6754078399588441</v>
      </c>
      <c r="K11" s="15" t="n">
        <v>0.6754078399588441</v>
      </c>
      <c r="L11" s="15" t="n">
        <v>0.6754078399588441</v>
      </c>
      <c r="M11" s="15" t="n">
        <v>0.6754078399588441</v>
      </c>
      <c r="N11" s="15" t="n">
        <v>0.6754078399588441</v>
      </c>
      <c r="O11" s="15" t="n">
        <v>0.6754078399588441</v>
      </c>
      <c r="P11" s="15" t="n">
        <v>0.6754078399588441</v>
      </c>
    </row>
    <row r="12">
      <c r="A12" s="4" t="inlineStr">
        <is>
          <t>R&amp;D / Technology</t>
        </is>
      </c>
      <c r="B12" s="33">
        <f>SUM(Financials!I7:L7)</f>
        <v/>
      </c>
      <c r="C12" s="33">
        <f>SUM(Financials!M7:P7)</f>
        <v/>
      </c>
      <c r="D12" s="33">
        <f>SUM(Financials!Q7:T7)</f>
        <v/>
      </c>
      <c r="E12" s="33">
        <f>SUM(Financials!U7:X7)</f>
        <v/>
      </c>
      <c r="F12" s="33">
        <f>SUM(Financials!Y7:AB7)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  <c r="P12" s="41">
        <f>P6*P13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25">
        <f>IFERROR(F12/F6,"")</f>
        <v/>
      </c>
      <c r="G13" s="15" t="n">
        <v>0</v>
      </c>
      <c r="H13" s="15" t="n">
        <v>0</v>
      </c>
      <c r="I13" s="15" t="n">
        <v>0</v>
      </c>
      <c r="J13" s="15" t="n">
        <v>0</v>
      </c>
      <c r="K13" s="15" t="n">
        <v>0</v>
      </c>
      <c r="L13" s="15" t="n">
        <v>0</v>
      </c>
      <c r="M13" s="15" t="n">
        <v>0</v>
      </c>
      <c r="N13" s="15" t="n">
        <v>0</v>
      </c>
      <c r="O13" s="15" t="n">
        <v>0</v>
      </c>
      <c r="P13" s="15" t="n">
        <v>0</v>
      </c>
    </row>
    <row r="14">
      <c r="A14" s="4" t="inlineStr">
        <is>
          <t>SG&amp;A</t>
        </is>
      </c>
      <c r="B14" s="33">
        <f>SUM(Financials!I9:L9)</f>
        <v/>
      </c>
      <c r="C14" s="33">
        <f>SUM(Financials!M9:P9)</f>
        <v/>
      </c>
      <c r="D14" s="33">
        <f>SUM(Financials!Q9:T9)</f>
        <v/>
      </c>
      <c r="E14" s="33">
        <f>SUM(Financials!U9:X9)</f>
        <v/>
      </c>
      <c r="F14" s="33">
        <f>SUM(Financials!Y9:AB9)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  <c r="P14" s="41">
        <f>P6*P15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25">
        <f>IFERROR(F14/F6,"")</f>
        <v/>
      </c>
      <c r="G15" s="15" t="n">
        <v>0.04418905185763981</v>
      </c>
      <c r="H15" s="15" t="n">
        <v>0.04418905185763981</v>
      </c>
      <c r="I15" s="15" t="n">
        <v>0.04418905185763981</v>
      </c>
      <c r="J15" s="15" t="n">
        <v>0.04418905185763981</v>
      </c>
      <c r="K15" s="15" t="n">
        <v>0.04418905185763981</v>
      </c>
      <c r="L15" s="15" t="n">
        <v>0.04418905185763981</v>
      </c>
      <c r="M15" s="15" t="n">
        <v>0.04418905185763981</v>
      </c>
      <c r="N15" s="15" t="n">
        <v>0.04418905185763981</v>
      </c>
      <c r="O15" s="15" t="n">
        <v>0.04418905185763981</v>
      </c>
      <c r="P15" s="15" t="n">
        <v>0.04418905185763981</v>
      </c>
    </row>
    <row r="16">
      <c r="A16" s="4" t="inlineStr">
        <is>
          <t>Other opex (fulfilment, etc.)</t>
        </is>
      </c>
      <c r="B16" s="33">
        <f>B6-(B10+B12+B14)-SUM(Financials!I13:L13)</f>
        <v/>
      </c>
      <c r="C16" s="33">
        <f>C6-(C10+C12+C14)-SUM(Financials!M13:P13)</f>
        <v/>
      </c>
      <c r="D16" s="33">
        <f>D6-(D10+D12+D14)-SUM(Financials!Q13:T13)</f>
        <v/>
      </c>
      <c r="E16" s="33">
        <f>E6-(E10+E12+E14)-SUM(Financials!U13:X13)</f>
        <v/>
      </c>
      <c r="F16" s="33">
        <f>F6-(F10+F12+F14)-SUM(Financials!Y13:AB13)</f>
        <v/>
      </c>
      <c r="G16" s="33">
        <f>G6*(1-(Dashboard!$B$29+(Dashboard!$B$30-Dashboard!$B$29)*MIN(1,0/4)))-(G10+G12+G14)</f>
        <v/>
      </c>
      <c r="H16" s="33">
        <f>H6*(1-(Dashboard!$B$29+(Dashboard!$B$30-Dashboard!$B$29)*MIN(1,1/4)))-(H10+H12+H14)</f>
        <v/>
      </c>
      <c r="I16" s="33">
        <f>I6*(1-(Dashboard!$B$29+(Dashboard!$B$30-Dashboard!$B$29)*MIN(1,2/4)))-(I10+I12+I14)</f>
        <v/>
      </c>
      <c r="J16" s="33">
        <f>J6*(1-(Dashboard!$B$29+(Dashboard!$B$30-Dashboard!$B$29)*MIN(1,3/4)))-(J10+J12+J14)</f>
        <v/>
      </c>
      <c r="K16" s="33">
        <f>K6*(1-(Dashboard!$B$29+(Dashboard!$B$30-Dashboard!$B$29)*MIN(1,4/4)))-(K10+K12+K14)</f>
        <v/>
      </c>
      <c r="L16" s="33">
        <f>L6*(1-(Dashboard!$B$29+(Dashboard!$B$30-Dashboard!$B$29)*MIN(1,5/4)))-(L10+L12+L14)</f>
        <v/>
      </c>
      <c r="M16" s="33">
        <f>M6*(1-(Dashboard!$B$29+(Dashboard!$B$30-Dashboard!$B$29)*MIN(1,6/4)))-(M10+M12+M14)</f>
        <v/>
      </c>
      <c r="N16" s="33">
        <f>N6*(1-(Dashboard!$B$29+(Dashboard!$B$30-Dashboard!$B$29)*MIN(1,7/4)))-(N10+N12+N14)</f>
        <v/>
      </c>
      <c r="O16" s="33">
        <f>O6*(1-(Dashboard!$B$29+(Dashboard!$B$30-Dashboard!$B$29)*MIN(1,8/4)))-(O10+O12+O14)</f>
        <v/>
      </c>
      <c r="P16" s="33">
        <f>P6*(1-(Dashboard!$B$29+(Dashboard!$B$30-Dashboard!$B$29)*MIN(1,9/4)))-(P10+P12+P14)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  <c r="P17" s="25">
        <f>IFERROR(P16/P6,"")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  <c r="P19" s="42">
        <f>P6-(P10+P12+P14)-P16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  <c r="P20" s="25">
        <f>IFERROR(P19/P6,"")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  <c r="P23" s="33">
        <f>P19*(1-Valuation!$B$5)</f>
        <v/>
      </c>
    </row>
    <row r="24">
      <c r="A24" s="4" t="inlineStr">
        <is>
          <t>+ D&amp;A</t>
        </is>
      </c>
      <c r="B24" s="33">
        <f>SUM(Financials!I27:L27)</f>
        <v/>
      </c>
      <c r="C24" s="33">
        <f>SUM(Financials!M27:P27)</f>
        <v/>
      </c>
      <c r="D24" s="33">
        <f>SUM(Financials!Q27:T27)</f>
        <v/>
      </c>
      <c r="E24" s="33">
        <f>SUM(Financials!U27:X27)</f>
        <v/>
      </c>
      <c r="F24" s="33">
        <f>SUM(Financials!Y27:AB27)</f>
        <v/>
      </c>
      <c r="G24" s="41">
        <f>G6*0.2028</f>
        <v/>
      </c>
      <c r="H24" s="41">
        <f>H6*0.2028</f>
        <v/>
      </c>
      <c r="I24" s="41">
        <f>I6*0.2028</f>
        <v/>
      </c>
      <c r="J24" s="41">
        <f>J6*0.2028</f>
        <v/>
      </c>
      <c r="K24" s="41">
        <f>K6*0.2028</f>
        <v/>
      </c>
      <c r="L24" s="41">
        <f>L6*0.2028</f>
        <v/>
      </c>
      <c r="M24" s="41">
        <f>M6*0.2028</f>
        <v/>
      </c>
      <c r="N24" s="41">
        <f>N6*0.2028</f>
        <v/>
      </c>
      <c r="O24" s="41">
        <f>O6*0.2028</f>
        <v/>
      </c>
      <c r="P24" s="41">
        <f>P6*0.2028</f>
        <v/>
      </c>
    </row>
    <row r="25">
      <c r="A25" s="4" t="inlineStr">
        <is>
          <t>+ SBC (non-cash)</t>
        </is>
      </c>
      <c r="B25" s="33">
        <f>SUM(Financials!I28:L28)</f>
        <v/>
      </c>
      <c r="C25" s="33">
        <f>SUM(Financials!M28:P28)</f>
        <v/>
      </c>
      <c r="D25" s="33">
        <f>SUM(Financials!Q28:T28)</f>
        <v/>
      </c>
      <c r="E25" s="33">
        <f>SUM(Financials!U28:X28)</f>
        <v/>
      </c>
      <c r="F25" s="33">
        <f>SUM(Financials!Y28:AB28)</f>
        <v/>
      </c>
      <c r="G25" s="33">
        <f>G6*(Dashboard!$B$65+(Dashboard!$B$66-Dashboard!$B$65)*0/9)</f>
        <v/>
      </c>
      <c r="H25" s="33">
        <f>H6*(Dashboard!$B$65+(Dashboard!$B$66-Dashboard!$B$65)*1/9)</f>
        <v/>
      </c>
      <c r="I25" s="33">
        <f>I6*(Dashboard!$B$65+(Dashboard!$B$66-Dashboard!$B$65)*2/9)</f>
        <v/>
      </c>
      <c r="J25" s="33">
        <f>J6*(Dashboard!$B$65+(Dashboard!$B$66-Dashboard!$B$65)*3/9)</f>
        <v/>
      </c>
      <c r="K25" s="33">
        <f>K6*(Dashboard!$B$65+(Dashboard!$B$66-Dashboard!$B$65)*4/9)</f>
        <v/>
      </c>
      <c r="L25" s="33">
        <f>L6*(Dashboard!$B$65+(Dashboard!$B$66-Dashboard!$B$65)*5/9)</f>
        <v/>
      </c>
      <c r="M25" s="33">
        <f>M6*(Dashboard!$B$65+(Dashboard!$B$66-Dashboard!$B$65)*6/9)</f>
        <v/>
      </c>
      <c r="N25" s="33">
        <f>N6*(Dashboard!$B$65+(Dashboard!$B$66-Dashboard!$B$65)*7/9)</f>
        <v/>
      </c>
      <c r="O25" s="33">
        <f>O6*(Dashboard!$B$65+(Dashboard!$B$66-Dashboard!$B$65)*8/9)</f>
        <v/>
      </c>
      <c r="P25" s="33">
        <f>P6*(Dashboard!$B$65+(Dashboard!$B$66-Dashboard!$B$65)*9/9)</f>
        <v/>
      </c>
    </row>
    <row r="26">
      <c r="A26" s="4" t="inlineStr">
        <is>
          <t>- dNWC</t>
        </is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  <c r="P26" s="41">
        <f>(P6-O6)*0.0050</f>
        <v/>
      </c>
    </row>
    <row r="27">
      <c r="A27" s="4" t="inlineStr">
        <is>
          <t>- Capex</t>
        </is>
      </c>
      <c r="B27" s="33">
        <f>-SUM(Financials!I31:L31)</f>
        <v/>
      </c>
      <c r="C27" s="33">
        <f>-SUM(Financials!M31:P31)</f>
        <v/>
      </c>
      <c r="D27" s="33">
        <f>-SUM(Financials!Q31:T31)</f>
        <v/>
      </c>
      <c r="E27" s="33">
        <f>-SUM(Financials!U31:X31)</f>
        <v/>
      </c>
      <c r="F27" s="33">
        <f>-SUM(Financials!Y31:AB31)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  <c r="P27" s="41">
        <f>P24*P28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26">
        <f>IFERROR(F27/F24,"")</f>
        <v/>
      </c>
      <c r="G28" s="13">
        <f>(Dashboard!$B$34/G24)+(Dashboard!$B$35-(Dashboard!$B$34/G24))*0/9</f>
        <v/>
      </c>
      <c r="H28" s="13">
        <f>(Dashboard!$B$34/G24)+(Dashboard!$B$35-(Dashboard!$B$34/G24))*1/9</f>
        <v/>
      </c>
      <c r="I28" s="13">
        <f>(Dashboard!$B$34/G24)+(Dashboard!$B$35-(Dashboard!$B$34/G24))*2/9</f>
        <v/>
      </c>
      <c r="J28" s="13">
        <f>(Dashboard!$B$34/G24)+(Dashboard!$B$35-(Dashboard!$B$34/G24))*3/9</f>
        <v/>
      </c>
      <c r="K28" s="13">
        <f>(Dashboard!$B$34/G24)+(Dashboard!$B$35-(Dashboard!$B$34/G24))*4/9</f>
        <v/>
      </c>
      <c r="L28" s="13">
        <f>(Dashboard!$B$34/G24)+(Dashboard!$B$35-(Dashboard!$B$34/G24))*5/9</f>
        <v/>
      </c>
      <c r="M28" s="13">
        <f>(Dashboard!$B$34/G24)+(Dashboard!$B$35-(Dashboard!$B$34/G24))*6/9</f>
        <v/>
      </c>
      <c r="N28" s="13">
        <f>(Dashboard!$B$34/G24)+(Dashboard!$B$35-(Dashboard!$B$34/G24))*7/9</f>
        <v/>
      </c>
      <c r="O28" s="13">
        <f>(Dashboard!$B$34/G24)+(Dashboard!$B$35-(Dashboard!$B$34/G24))*8/9</f>
        <v/>
      </c>
      <c r="P28" s="13">
        <f>(Dashboard!$B$34/G24)+(Dashboard!$B$35-(Dashboard!$B$34/G24))*9/9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  <c r="P30" s="42">
        <f>P23+P24+P25-P26-P27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  <c r="P31" s="43">
        <f>P30-P25-P25*(1-Valuation!$B$5)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</row>
    <row r="34">
      <c r="A34" s="4" t="inlineStr">
        <is>
          <t>Invested capital (debt + equity - cash)</t>
        </is>
      </c>
      <c r="B34" s="33">
        <f>Financials!L25+Financials!L24-Financials!L19</f>
        <v/>
      </c>
      <c r="C34" s="33">
        <f>Financials!P25+Financials!P24-Financials!P19</f>
        <v/>
      </c>
      <c r="D34" s="33">
        <f>Financials!T25+Financials!T24-Financials!T19</f>
        <v/>
      </c>
      <c r="E34" s="33">
        <f>Financials!X25+Financials!X24-Financials!X19</f>
        <v/>
      </c>
      <c r="F34" s="33">
        <f>Financials!AB25+Financials!AB24-Financials!AB19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  <c r="P34" s="41">
        <f>O34+P27-P24+P26</f>
        <v/>
      </c>
    </row>
    <row r="35">
      <c r="A35" s="4" t="inlineStr">
        <is>
          <t>Book equity (year-end)</t>
        </is>
      </c>
      <c r="B35" s="33">
        <f>Financials!L25</f>
        <v/>
      </c>
      <c r="C35" s="33">
        <f>Financials!P25</f>
        <v/>
      </c>
      <c r="D35" s="33">
        <f>Financials!T25</f>
        <v/>
      </c>
      <c r="E35" s="33">
        <f>Financials!X25</f>
        <v/>
      </c>
      <c r="F35" s="33">
        <f>Financials!AB25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  <c r="P35" s="41">
        <f>O35+P23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  <c r="P36" s="25">
        <f>IFERROR(P23/O34,"")</f>
        <v/>
      </c>
    </row>
    <row r="37">
      <c r="A37" s="3" t="inlineStr">
        <is>
          <t xml:space="preserve">  ROE (earnings / beg. equity)</t>
        </is>
      </c>
      <c r="C37" s="11">
        <f>IFERROR(SUM(Financials!M15:P15)/B35,"")</f>
        <v/>
      </c>
      <c r="D37" s="11">
        <f>IFERROR(SUM(Financials!Q15:T15)/C35,"")</f>
        <v/>
      </c>
      <c r="E37" s="11">
        <f>IFERROR(SUM(Financials!U15:X15)/D35,"")</f>
        <v/>
      </c>
      <c r="F37" s="11">
        <f>IFERROR(SUM(Financials!Y15:AB15)/E35,"")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  <c r="P37" s="25">
        <f>IFERROR(P23/O35,"")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  <c r="P38" s="11">
        <f>IFERROR(P36-WACC!$B$15,"")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  <c r="P39" s="25">
        <f>IFERROR((P19-O19)/(P6-O6),"")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  <c r="P40" s="25">
        <f>IFERROR((P23-O23)/(P34-O34),"")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  <c r="P41" s="44">
        <f>IFERROR((P6-O6)/(P34-O34),"")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  <c r="P42" s="25">
        <f>IFERROR((P34-O34)/P23,"")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45" t="inlineStr">
        <is>
          <t>Q2 2019</t>
        </is>
      </c>
      <c r="C1" s="45" t="inlineStr">
        <is>
          <t>Q3 2019</t>
        </is>
      </c>
      <c r="D1" s="45" t="inlineStr">
        <is>
          <t>Q4 2019</t>
        </is>
      </c>
      <c r="E1" s="45" t="inlineStr">
        <is>
          <t>Q1 2020</t>
        </is>
      </c>
      <c r="F1" s="45" t="inlineStr">
        <is>
          <t>Q2 2020</t>
        </is>
      </c>
      <c r="G1" s="45" t="inlineStr">
        <is>
          <t>Q3 2020</t>
        </is>
      </c>
      <c r="H1" s="45" t="inlineStr">
        <is>
          <t>Q4 2020</t>
        </is>
      </c>
      <c r="I1" s="45" t="inlineStr">
        <is>
          <t>Q1 2021</t>
        </is>
      </c>
      <c r="J1" s="45" t="inlineStr">
        <is>
          <t>Q2 2021</t>
        </is>
      </c>
      <c r="K1" s="45" t="inlineStr">
        <is>
          <t>Q3 2021</t>
        </is>
      </c>
      <c r="L1" s="45" t="inlineStr">
        <is>
          <t>Q4 2021</t>
        </is>
      </c>
      <c r="M1" s="45" t="inlineStr">
        <is>
          <t>Q1 2022</t>
        </is>
      </c>
      <c r="N1" s="45" t="inlineStr">
        <is>
          <t>Q2 2022</t>
        </is>
      </c>
      <c r="O1" s="45" t="inlineStr">
        <is>
          <t>Q3 2022</t>
        </is>
      </c>
      <c r="P1" s="45" t="inlineStr">
        <is>
          <t>Q4 2022</t>
        </is>
      </c>
      <c r="Q1" s="45" t="inlineStr">
        <is>
          <t>Q1 2023</t>
        </is>
      </c>
      <c r="R1" s="45" t="inlineStr">
        <is>
          <t>Q2 2023</t>
        </is>
      </c>
      <c r="S1" s="45" t="inlineStr">
        <is>
          <t>Q3 2023</t>
        </is>
      </c>
      <c r="T1" s="45" t="inlineStr">
        <is>
          <t>Q4 2023</t>
        </is>
      </c>
      <c r="U1" s="45" t="inlineStr">
        <is>
          <t>Q1 2024</t>
        </is>
      </c>
      <c r="V1" s="45" t="inlineStr">
        <is>
          <t>Q2 2024</t>
        </is>
      </c>
      <c r="W1" s="45" t="inlineStr">
        <is>
          <t>Q3 2024</t>
        </is>
      </c>
      <c r="X1" s="45" t="inlineStr">
        <is>
          <t>Q4 2024</t>
        </is>
      </c>
      <c r="Y1" s="45" t="inlineStr">
        <is>
          <t>Q1 2025</t>
        </is>
      </c>
      <c r="Z1" s="45" t="inlineStr">
        <is>
          <t>Q2 2025</t>
        </is>
      </c>
      <c r="AA1" s="45" t="inlineStr">
        <is>
          <t>Q3 2025</t>
        </is>
      </c>
      <c r="AB1" s="45" t="inlineStr">
        <is>
          <t>Q4 2025</t>
        </is>
      </c>
      <c r="AC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18" t="n">
        <v>329.414</v>
      </c>
      <c r="C3" s="18" t="n">
        <v>291.282</v>
      </c>
      <c r="D3" s="18" t="n">
        <v>324.486</v>
      </c>
      <c r="E3" s="18" t="n">
        <v>245.105</v>
      </c>
      <c r="F3" s="18" t="n">
        <v>208.913</v>
      </c>
      <c r="G3" s="18" t="n">
        <v>316.108</v>
      </c>
      <c r="H3" s="18" t="n">
        <v>322.29</v>
      </c>
      <c r="I3" s="18" t="n">
        <v>313.624</v>
      </c>
      <c r="J3" s="18" t="n">
        <v>404.242</v>
      </c>
      <c r="K3" s="18" t="n">
        <v>358.961</v>
      </c>
      <c r="L3" s="18" t="n">
        <v>425.17</v>
      </c>
      <c r="M3" s="18" t="n">
        <v>378.619</v>
      </c>
      <c r="N3" s="18" t="n">
        <v>415.454</v>
      </c>
      <c r="O3" s="18" t="n">
        <v>346.171</v>
      </c>
      <c r="P3" s="18" t="n">
        <v>321.196</v>
      </c>
      <c r="Q3" s="18" t="n">
        <v>295.219</v>
      </c>
      <c r="R3" s="18" t="n">
        <v>312.166</v>
      </c>
      <c r="S3" s="18" t="n">
        <v>480.456</v>
      </c>
      <c r="T3" s="18" t="n">
        <v>602.159</v>
      </c>
      <c r="U3" s="18" t="n">
        <v>525</v>
      </c>
      <c r="V3" s="18" t="n">
        <v>425.5</v>
      </c>
      <c r="W3" s="18" t="n">
        <v>485.8</v>
      </c>
      <c r="X3" s="18" t="n">
        <v>584.918</v>
      </c>
      <c r="Y3" s="18" t="n">
        <v>594.9</v>
      </c>
      <c r="Z3" s="18" t="n">
        <v>536.4</v>
      </c>
      <c r="AA3" s="18" t="n">
        <v>346.8</v>
      </c>
      <c r="AB3" s="18" t="n">
        <v>737.058006</v>
      </c>
      <c r="AC3" s="18" t="n">
        <v>745.429477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  <c r="S4" s="25">
        <f>IFERROR(S3/O3-1,"")</f>
        <v/>
      </c>
      <c r="T4" s="25">
        <f>IFERROR(T3/P3-1,"")</f>
        <v/>
      </c>
      <c r="U4" s="25">
        <f>IFERROR(U3/Q3-1,"")</f>
        <v/>
      </c>
      <c r="V4" s="25">
        <f>IFERROR(V3/R3-1,"")</f>
        <v/>
      </c>
      <c r="W4" s="25">
        <f>IFERROR(W3/S3-1,"")</f>
        <v/>
      </c>
      <c r="X4" s="25">
        <f>IFERROR(X3/T3-1,"")</f>
        <v/>
      </c>
      <c r="Y4" s="25">
        <f>IFERROR(Y3/U3-1,"")</f>
        <v/>
      </c>
      <c r="Z4" s="25">
        <f>IFERROR(Z3/V3-1,"")</f>
        <v/>
      </c>
      <c r="AA4" s="25">
        <f>IFERROR(AA3/W3-1,"")</f>
        <v/>
      </c>
      <c r="AB4" s="25">
        <f>IFERROR(AB3/X3-1,"")</f>
        <v/>
      </c>
      <c r="AC4" s="25">
        <f>IFERROR(AC3/Y3-1,"")</f>
        <v/>
      </c>
    </row>
    <row r="5">
      <c r="A5" s="4" t="inlineStr">
        <is>
          <t>Cost of Revenue</t>
        </is>
      </c>
      <c r="B5" s="18" t="n">
        <v>286.271</v>
      </c>
      <c r="C5" s="18" t="n">
        <v>260.327</v>
      </c>
      <c r="D5" s="18" t="n">
        <v>204.907</v>
      </c>
      <c r="E5" s="18" t="n">
        <v>267.096</v>
      </c>
      <c r="F5" s="18" t="n">
        <v>221.567</v>
      </c>
      <c r="G5" s="18" t="n">
        <v>276.83</v>
      </c>
      <c r="H5" s="18" t="n">
        <v>205.14</v>
      </c>
      <c r="I5" s="18" t="n">
        <v>261.112</v>
      </c>
      <c r="J5" s="18" t="n">
        <v>322.06</v>
      </c>
      <c r="K5" s="18" t="n">
        <v>444.379</v>
      </c>
      <c r="L5" s="18" t="n">
        <v>223.05</v>
      </c>
      <c r="M5" s="18" t="n">
        <v>293.351</v>
      </c>
      <c r="N5" s="18" t="n">
        <v>325.94</v>
      </c>
      <c r="O5" s="18" t="n">
        <v>313.741</v>
      </c>
      <c r="P5" s="18" t="n">
        <v>176.637</v>
      </c>
      <c r="Q5" s="18" t="n">
        <v>228.706</v>
      </c>
      <c r="R5" s="18" t="n">
        <v>289.273</v>
      </c>
      <c r="S5" s="18" t="n">
        <v>374.057</v>
      </c>
      <c r="T5" s="18" t="n">
        <v>283.609</v>
      </c>
      <c r="U5" s="18" t="n">
        <v>373</v>
      </c>
      <c r="V5" s="18" t="n">
        <v>347.9</v>
      </c>
      <c r="W5" s="18" t="n">
        <v>346</v>
      </c>
      <c r="X5" s="18" t="n">
        <v>278.256</v>
      </c>
      <c r="Y5" s="18" t="n">
        <v>363.6</v>
      </c>
      <c r="Z5" s="18" t="n">
        <v>359.9</v>
      </c>
      <c r="AA5" s="18" t="n">
        <v>281.5</v>
      </c>
      <c r="AB5" s="18" t="n">
        <v>491.135084</v>
      </c>
      <c r="AC5" s="18" t="n">
        <v>404.616635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  <c r="S6" s="25">
        <f>IFERROR(S5/S3,"")</f>
        <v/>
      </c>
      <c r="T6" s="25">
        <f>IFERROR(T5/T3,"")</f>
        <v/>
      </c>
      <c r="U6" s="25">
        <f>IFERROR(U5/U3,"")</f>
        <v/>
      </c>
      <c r="V6" s="25">
        <f>IFERROR(V5/V3,"")</f>
        <v/>
      </c>
      <c r="W6" s="25">
        <f>IFERROR(W5/W3,"")</f>
        <v/>
      </c>
      <c r="X6" s="25">
        <f>IFERROR(X5/X3,"")</f>
        <v/>
      </c>
      <c r="Y6" s="25">
        <f>IFERROR(Y5/Y3,"")</f>
        <v/>
      </c>
      <c r="Z6" s="25">
        <f>IFERROR(Z5/Z3,"")</f>
        <v/>
      </c>
      <c r="AA6" s="25">
        <f>IFERROR(AA5/AA3,"")</f>
        <v/>
      </c>
      <c r="AB6" s="25">
        <f>IFERROR(AB5/AB3,"")</f>
        <v/>
      </c>
      <c r="AC6" s="25">
        <f>IFERROR(AC5/AC3,"")</f>
        <v/>
      </c>
    </row>
    <row r="7">
      <c r="A7" s="4" t="inlineStr">
        <is>
          <t>R&amp;D Expense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  <c r="T7" s="18" t="n">
        <v>0</v>
      </c>
      <c r="U7" s="18" t="n">
        <v>0</v>
      </c>
      <c r="V7" s="18" t="n">
        <v>0</v>
      </c>
      <c r="W7" s="18" t="n">
        <v>0</v>
      </c>
      <c r="X7" s="18" t="n">
        <v>0</v>
      </c>
      <c r="Y7" s="18" t="n">
        <v>0</v>
      </c>
      <c r="Z7" s="18" t="n">
        <v>0</v>
      </c>
      <c r="AA7" s="18" t="n">
        <v>0</v>
      </c>
      <c r="AB7" s="18" t="n">
        <v>0</v>
      </c>
      <c r="AC7" s="18" t="n">
        <v>0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  <c r="S8" s="25">
        <f>IFERROR(S7/S3,"")</f>
        <v/>
      </c>
      <c r="T8" s="25">
        <f>IFERROR(T7/T3,"")</f>
        <v/>
      </c>
      <c r="U8" s="25">
        <f>IFERROR(U7/U3,"")</f>
        <v/>
      </c>
      <c r="V8" s="25">
        <f>IFERROR(V7/V3,"")</f>
        <v/>
      </c>
      <c r="W8" s="25">
        <f>IFERROR(W7/W3,"")</f>
        <v/>
      </c>
      <c r="X8" s="25">
        <f>IFERROR(X7/X3,"")</f>
        <v/>
      </c>
      <c r="Y8" s="25">
        <f>IFERROR(Y7/Y3,"")</f>
        <v/>
      </c>
      <c r="Z8" s="25">
        <f>IFERROR(Z7/Z3,"")</f>
        <v/>
      </c>
      <c r="AA8" s="25">
        <f>IFERROR(AA7/AA3,"")</f>
        <v/>
      </c>
      <c r="AB8" s="25">
        <f>IFERROR(AB7/AB3,"")</f>
        <v/>
      </c>
      <c r="AC8" s="25">
        <f>IFERROR(AC7/AC3,"")</f>
        <v/>
      </c>
    </row>
    <row r="9">
      <c r="A9" s="4" t="inlineStr">
        <is>
          <t>SG&amp;A Expense</t>
        </is>
      </c>
      <c r="B9" s="18" t="n">
        <v>10.422</v>
      </c>
      <c r="C9" s="18" t="n">
        <v>5.177</v>
      </c>
      <c r="D9" s="18" t="n">
        <v>0</v>
      </c>
      <c r="E9" s="18" t="n">
        <v>5.103</v>
      </c>
      <c r="F9" s="18" t="n">
        <v>10.713</v>
      </c>
      <c r="G9" s="18" t="n">
        <v>10.902</v>
      </c>
      <c r="H9" s="18" t="n">
        <v>0</v>
      </c>
      <c r="I9" s="18" t="n">
        <v>9.945</v>
      </c>
      <c r="J9" s="18" t="n">
        <v>10.055</v>
      </c>
      <c r="K9" s="18" t="n">
        <v>9.298</v>
      </c>
      <c r="L9" s="18" t="n">
        <v>0</v>
      </c>
      <c r="M9" s="18" t="n">
        <v>11.841</v>
      </c>
      <c r="N9" s="18" t="n">
        <v>1.278</v>
      </c>
      <c r="O9" s="18" t="n">
        <v>10.448</v>
      </c>
      <c r="P9" s="18" t="n">
        <v>0</v>
      </c>
      <c r="Q9" s="18" t="n">
        <v>9.146000000000001</v>
      </c>
      <c r="R9" s="18" t="n">
        <v>8.282999999999999</v>
      </c>
      <c r="S9" s="18" t="n">
        <v>10.128</v>
      </c>
      <c r="T9" s="18" t="n">
        <v>0</v>
      </c>
      <c r="U9" s="18" t="n">
        <v>16.6</v>
      </c>
      <c r="V9" s="18" t="n">
        <v>18.4</v>
      </c>
      <c r="W9" s="18" t="n">
        <v>12.1</v>
      </c>
      <c r="X9" s="18" t="n">
        <v>0</v>
      </c>
      <c r="Y9" s="18" t="n">
        <v>13.7</v>
      </c>
      <c r="Z9" s="18" t="n">
        <v>20.7</v>
      </c>
      <c r="AA9" s="18" t="n">
        <v>31.4</v>
      </c>
      <c r="AB9" s="18" t="n">
        <v>32.085732</v>
      </c>
      <c r="AC9" s="18" t="n">
        <v>36.684715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  <c r="S10" s="25">
        <f>IFERROR(S9/S3,"")</f>
        <v/>
      </c>
      <c r="T10" s="25">
        <f>IFERROR(T9/T3,"")</f>
        <v/>
      </c>
      <c r="U10" s="25">
        <f>IFERROR(U9/U3,"")</f>
        <v/>
      </c>
      <c r="V10" s="25">
        <f>IFERROR(V9/V3,"")</f>
        <v/>
      </c>
      <c r="W10" s="25">
        <f>IFERROR(W9/W3,"")</f>
        <v/>
      </c>
      <c r="X10" s="25">
        <f>IFERROR(X9/X3,"")</f>
        <v/>
      </c>
      <c r="Y10" s="25">
        <f>IFERROR(Y9/Y3,"")</f>
        <v/>
      </c>
      <c r="Z10" s="25">
        <f>IFERROR(Z9/Z3,"")</f>
        <v/>
      </c>
      <c r="AA10" s="25">
        <f>IFERROR(AA9/AA3,"")</f>
        <v/>
      </c>
      <c r="AB10" s="25">
        <f>IFERROR(AB9/AB3,"")</f>
        <v/>
      </c>
      <c r="AC10" s="25">
        <f>IFERROR(AC9/AC3,"")</f>
        <v/>
      </c>
    </row>
    <row r="11">
      <c r="A11" s="4" t="inlineStr">
        <is>
          <t>Gross Profit</t>
        </is>
      </c>
      <c r="B11" s="18" t="n">
        <v>43.143</v>
      </c>
      <c r="C11" s="18" t="n">
        <v>30.955</v>
      </c>
      <c r="D11" s="18" t="n">
        <v>119.579</v>
      </c>
      <c r="E11" s="18" t="n">
        <v>-21.991</v>
      </c>
      <c r="F11" s="18" t="n">
        <v>-12.654</v>
      </c>
      <c r="G11" s="18" t="n">
        <v>39.278</v>
      </c>
      <c r="H11" s="18" t="n">
        <v>117.15</v>
      </c>
      <c r="I11" s="18" t="n">
        <v>52.512</v>
      </c>
      <c r="J11" s="18" t="n">
        <v>82.182</v>
      </c>
      <c r="K11" s="18" t="n">
        <v>-85.41800000000001</v>
      </c>
      <c r="L11" s="18" t="n">
        <v>202.12</v>
      </c>
      <c r="M11" s="18" t="n">
        <v>85.268</v>
      </c>
      <c r="N11" s="18" t="n">
        <v>89.514</v>
      </c>
      <c r="O11" s="18" t="n">
        <v>32.43</v>
      </c>
      <c r="P11" s="18" t="n">
        <v>144.559</v>
      </c>
      <c r="Q11" s="18" t="n">
        <v>66.51300000000001</v>
      </c>
      <c r="R11" s="18" t="n">
        <v>22.893</v>
      </c>
      <c r="S11" s="18" t="n">
        <v>106.399</v>
      </c>
      <c r="T11" s="18" t="n">
        <v>318.55</v>
      </c>
      <c r="U11" s="18" t="n">
        <v>152</v>
      </c>
      <c r="V11" s="18" t="n">
        <v>77.59999999999999</v>
      </c>
      <c r="W11" s="18" t="n">
        <v>139.8</v>
      </c>
      <c r="X11" s="18" t="n">
        <v>306.662</v>
      </c>
      <c r="Y11" s="18" t="n">
        <v>231.3</v>
      </c>
      <c r="Z11" s="18" t="n">
        <v>176.5</v>
      </c>
      <c r="AA11" s="18" t="n">
        <v>65.3</v>
      </c>
      <c r="AB11" s="18" t="n">
        <v>245.922921</v>
      </c>
      <c r="AC11" s="18" t="n">
        <v>340.812842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  <c r="S12" s="25">
        <f>IFERROR(S11/S3,"")</f>
        <v/>
      </c>
      <c r="T12" s="25">
        <f>IFERROR(T11/T3,"")</f>
        <v/>
      </c>
      <c r="U12" s="25">
        <f>IFERROR(U11/U3,"")</f>
        <v/>
      </c>
      <c r="V12" s="25">
        <f>IFERROR(V11/V3,"")</f>
        <v/>
      </c>
      <c r="W12" s="25">
        <f>IFERROR(W11/W3,"")</f>
        <v/>
      </c>
      <c r="X12" s="25">
        <f>IFERROR(X11/X3,"")</f>
        <v/>
      </c>
      <c r="Y12" s="25">
        <f>IFERROR(Y11/Y3,"")</f>
        <v/>
      </c>
      <c r="Z12" s="25">
        <f>IFERROR(Z11/Z3,"")</f>
        <v/>
      </c>
      <c r="AA12" s="25">
        <f>IFERROR(AA11/AA3,"")</f>
        <v/>
      </c>
      <c r="AB12" s="25">
        <f>IFERROR(AB11/AB3,"")</f>
        <v/>
      </c>
      <c r="AC12" s="25">
        <f>IFERROR(AC11/AC3,"")</f>
        <v/>
      </c>
    </row>
    <row r="13">
      <c r="A13" s="4" t="inlineStr">
        <is>
          <t>Operating Income</t>
        </is>
      </c>
      <c r="B13" s="18" t="n">
        <v>-4.123</v>
      </c>
      <c r="C13" s="18" t="n">
        <v>-310.709</v>
      </c>
      <c r="D13" s="18" t="n">
        <v>6.259</v>
      </c>
      <c r="E13" s="18" t="n">
        <v>-38.359</v>
      </c>
      <c r="F13" s="18" t="n">
        <v>-26.835</v>
      </c>
      <c r="G13" s="18" t="n">
        <v>20.828</v>
      </c>
      <c r="H13" s="18" t="n">
        <v>7.179</v>
      </c>
      <c r="I13" s="18" t="n">
        <v>38.861</v>
      </c>
      <c r="J13" s="18" t="n">
        <v>58.53</v>
      </c>
      <c r="K13" s="18" t="n">
        <v>-117.62</v>
      </c>
      <c r="L13" s="18" t="n">
        <v>38.498</v>
      </c>
      <c r="M13" s="18" t="n">
        <v>125.605</v>
      </c>
      <c r="N13" s="18" t="n">
        <v>45.931</v>
      </c>
      <c r="O13" s="18" t="n">
        <v>20.332</v>
      </c>
      <c r="P13" s="18" t="n">
        <v>22.441</v>
      </c>
      <c r="Q13" s="18" t="n">
        <v>52.406</v>
      </c>
      <c r="R13" s="18" t="n">
        <v>-0.228</v>
      </c>
      <c r="S13" s="18" t="n">
        <v>115.076</v>
      </c>
      <c r="T13" s="18" t="n">
        <v>129.846</v>
      </c>
      <c r="U13" s="18" t="n">
        <v>111.8</v>
      </c>
      <c r="V13" s="18" t="n">
        <v>44.7</v>
      </c>
      <c r="W13" s="18" t="n">
        <v>105.7</v>
      </c>
      <c r="X13" s="18" t="n">
        <v>138.128</v>
      </c>
      <c r="Y13" s="18" t="n">
        <v>185.7</v>
      </c>
      <c r="Z13" s="18" t="n">
        <v>153.1</v>
      </c>
      <c r="AA13" s="18" t="n">
        <v>335.2</v>
      </c>
      <c r="AB13" s="18" t="n">
        <v>242.470659</v>
      </c>
      <c r="AC13" s="18" t="n">
        <v>297.619547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  <c r="S14" s="25">
        <f>IFERROR(S13/S3,"")</f>
        <v/>
      </c>
      <c r="T14" s="25">
        <f>IFERROR(T13/T3,"")</f>
        <v/>
      </c>
      <c r="U14" s="25">
        <f>IFERROR(U13/U3,"")</f>
        <v/>
      </c>
      <c r="V14" s="25">
        <f>IFERROR(V13/V3,"")</f>
        <v/>
      </c>
      <c r="W14" s="25">
        <f>IFERROR(W13/W3,"")</f>
        <v/>
      </c>
      <c r="X14" s="25">
        <f>IFERROR(X13/X3,"")</f>
        <v/>
      </c>
      <c r="Y14" s="25">
        <f>IFERROR(Y13/Y3,"")</f>
        <v/>
      </c>
      <c r="Z14" s="25">
        <f>IFERROR(Z13/Z3,"")</f>
        <v/>
      </c>
      <c r="AA14" s="25">
        <f>IFERROR(AA13/AA3,"")</f>
        <v/>
      </c>
      <c r="AB14" s="25">
        <f>IFERROR(AB13/AB3,"")</f>
        <v/>
      </c>
      <c r="AC14" s="25">
        <f>IFERROR(AC13/AC3,"")</f>
        <v/>
      </c>
    </row>
    <row r="15">
      <c r="A15" s="4" t="inlineStr">
        <is>
          <t>Net Income</t>
        </is>
      </c>
      <c r="B15" s="18" t="n">
        <v>-54.145</v>
      </c>
      <c r="C15" s="18" t="n">
        <v>-274.796</v>
      </c>
      <c r="D15" s="18" t="n">
        <v>-1.455</v>
      </c>
      <c r="E15" s="18" t="n">
        <v>-76.134</v>
      </c>
      <c r="F15" s="18" t="n">
        <v>-51.901</v>
      </c>
      <c r="G15" s="18" t="n">
        <v>-23.955</v>
      </c>
      <c r="H15" s="18" t="n">
        <v>7.406</v>
      </c>
      <c r="I15" s="18" t="n">
        <v>-60.102</v>
      </c>
      <c r="J15" s="18" t="n">
        <v>-3.395</v>
      </c>
      <c r="K15" s="18" t="n">
        <v>-170.411</v>
      </c>
      <c r="L15" s="18" t="n">
        <v>-10.453</v>
      </c>
      <c r="M15" s="18" t="n">
        <v>63.815</v>
      </c>
      <c r="N15" s="18" t="n">
        <v>32.143</v>
      </c>
      <c r="O15" s="18" t="n">
        <v>-8.135</v>
      </c>
      <c r="P15" s="18" t="n">
        <v>-17.441</v>
      </c>
      <c r="Q15" s="18" t="n">
        <v>5.457</v>
      </c>
      <c r="R15" s="18" t="n">
        <v>-14.932</v>
      </c>
      <c r="S15" s="18" t="n">
        <v>45.125</v>
      </c>
      <c r="T15" s="18" t="n">
        <v>30.75</v>
      </c>
      <c r="U15" s="18" t="n">
        <v>22.3</v>
      </c>
      <c r="V15" s="18" t="n">
        <v>-16.5</v>
      </c>
      <c r="W15" s="18" t="n">
        <v>49.7</v>
      </c>
      <c r="X15" s="18" t="n">
        <v>21.163</v>
      </c>
      <c r="Y15" s="18" t="n">
        <v>100.4</v>
      </c>
      <c r="Z15" s="18" t="n">
        <v>117.7</v>
      </c>
      <c r="AA15" s="18" t="n">
        <v>222.4</v>
      </c>
      <c r="AB15" s="18" t="n">
        <v>129.967522</v>
      </c>
      <c r="AC15" s="18" t="n">
        <v>187.76263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  <c r="S16" s="25">
        <f>IFERROR(S15/S3,"")</f>
        <v/>
      </c>
      <c r="T16" s="25">
        <f>IFERROR(T15/T3,"")</f>
        <v/>
      </c>
      <c r="U16" s="25">
        <f>IFERROR(U15/U3,"")</f>
        <v/>
      </c>
      <c r="V16" s="25">
        <f>IFERROR(V15/V3,"")</f>
        <v/>
      </c>
      <c r="W16" s="25">
        <f>IFERROR(W15/W3,"")</f>
        <v/>
      </c>
      <c r="X16" s="25">
        <f>IFERROR(X15/X3,"")</f>
        <v/>
      </c>
      <c r="Y16" s="25">
        <f>IFERROR(Y15/Y3,"")</f>
        <v/>
      </c>
      <c r="Z16" s="25">
        <f>IFERROR(Z15/Z3,"")</f>
        <v/>
      </c>
      <c r="AA16" s="25">
        <f>IFERROR(AA15/AA3,"")</f>
        <v/>
      </c>
      <c r="AB16" s="25">
        <f>IFERROR(AB15/AB3,"")</f>
        <v/>
      </c>
      <c r="AC16" s="25">
        <f>IFERROR(AC15/AC3,"")</f>
        <v/>
      </c>
    </row>
    <row r="17">
      <c r="A17" s="4" t="inlineStr">
        <is>
          <t>Diluted Shares (M)</t>
        </is>
      </c>
      <c r="B17" s="18" t="n">
        <v>261.272</v>
      </c>
      <c r="C17" s="18" t="n">
        <v>261.272</v>
      </c>
      <c r="D17" s="18" t="n">
        <v>261.272</v>
      </c>
      <c r="E17" s="18" t="n">
        <v>261.272</v>
      </c>
      <c r="F17" s="18" t="n">
        <v>261.272</v>
      </c>
      <c r="G17" s="18" t="n">
        <v>261.272</v>
      </c>
      <c r="H17" s="18" t="n">
        <v>261.272</v>
      </c>
      <c r="I17" s="18" t="n">
        <v>261.321</v>
      </c>
      <c r="J17" s="18" t="n">
        <v>261.452</v>
      </c>
      <c r="K17" s="18" t="n">
        <v>261.517</v>
      </c>
      <c r="L17" s="18" t="n">
        <v>261.517</v>
      </c>
      <c r="M17" s="18" t="n">
        <v>262.267</v>
      </c>
      <c r="N17" s="18" t="n">
        <v>262.251</v>
      </c>
      <c r="O17" s="18" t="n">
        <v>261.896</v>
      </c>
      <c r="P17" s="18" t="n">
        <v>262.02</v>
      </c>
      <c r="Q17" s="18" t="n">
        <v>262.325</v>
      </c>
      <c r="R17" s="18" t="n">
        <v>272.228</v>
      </c>
      <c r="S17" s="18" t="n">
        <v>346.987</v>
      </c>
      <c r="T17" s="18" t="n">
        <v>349.1</v>
      </c>
      <c r="U17" s="18" t="n">
        <v>350.97</v>
      </c>
      <c r="V17" s="18" t="n">
        <v>368.344</v>
      </c>
      <c r="W17" s="18" t="n">
        <v>394.237</v>
      </c>
      <c r="X17" s="18" t="n">
        <v>394</v>
      </c>
      <c r="Y17" s="18" t="n">
        <v>395.709</v>
      </c>
      <c r="Z17" s="18" t="n">
        <v>395.827311</v>
      </c>
      <c r="AA17" s="18" t="n">
        <v>396.886622</v>
      </c>
      <c r="AB17" s="18" t="n">
        <v>400</v>
      </c>
      <c r="AC17" s="18" t="n">
        <v>398.755401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Cash &amp; ST Investments</t>
        </is>
      </c>
      <c r="B19" s="18" t="n">
        <v>489.527</v>
      </c>
      <c r="C19" s="18" t="n">
        <v>398.438</v>
      </c>
      <c r="D19" s="18" t="n">
        <v>396.146</v>
      </c>
      <c r="E19" s="18" t="n">
        <v>305.997</v>
      </c>
      <c r="F19" s="18" t="n">
        <v>391.473</v>
      </c>
      <c r="G19" s="18" t="n">
        <v>449.014</v>
      </c>
      <c r="H19" s="18" t="n">
        <v>439.135</v>
      </c>
      <c r="I19" s="18" t="n">
        <v>310.900999</v>
      </c>
      <c r="J19" s="18" t="n">
        <v>294.287</v>
      </c>
      <c r="K19" s="18" t="n">
        <v>297.451</v>
      </c>
      <c r="L19" s="18" t="n">
        <v>270.989</v>
      </c>
      <c r="M19" s="18" t="n">
        <v>213.359</v>
      </c>
      <c r="N19" s="18" t="n">
        <v>259.409325</v>
      </c>
      <c r="O19" s="18" t="n">
        <v>284.465542</v>
      </c>
      <c r="P19" s="18" t="n">
        <v>225.665</v>
      </c>
      <c r="Q19" s="18" t="n">
        <v>255.733457</v>
      </c>
      <c r="R19" s="18" t="n">
        <v>187.19767</v>
      </c>
      <c r="S19" s="18" t="n">
        <v>254.291362</v>
      </c>
      <c r="T19" s="18" t="n">
        <v>251.188236</v>
      </c>
      <c r="U19" s="18" t="n">
        <v>285.007</v>
      </c>
      <c r="V19" s="18" t="n">
        <v>526.480777</v>
      </c>
      <c r="W19" s="18" t="n">
        <v>483.273</v>
      </c>
      <c r="X19" s="18" t="n">
        <v>581.8</v>
      </c>
      <c r="Y19" s="18" t="n">
        <v>582.6</v>
      </c>
      <c r="Z19" s="18" t="n">
        <v>625.5</v>
      </c>
      <c r="AA19" s="18" t="n">
        <v>611.1</v>
      </c>
      <c r="AB19" s="18" t="n">
        <v>568.0643229999999</v>
      </c>
      <c r="AC19" s="18" t="n">
        <v>1007.301961</v>
      </c>
    </row>
    <row r="20">
      <c r="A20" s="4" t="inlineStr">
        <is>
          <t>Total Current Assets</t>
        </is>
      </c>
      <c r="B20" s="18" t="n">
        <v>754.365</v>
      </c>
      <c r="C20" s="18" t="n">
        <v>703.87</v>
      </c>
      <c r="D20" s="18" t="n">
        <v>663.035</v>
      </c>
      <c r="E20" s="18" t="n">
        <v>566.949</v>
      </c>
      <c r="F20" s="18" t="n">
        <v>661.702999</v>
      </c>
      <c r="G20" s="18" t="n">
        <v>735.499</v>
      </c>
      <c r="H20" s="18" t="n">
        <v>755.675</v>
      </c>
      <c r="I20" s="18" t="n">
        <v>681.6609999999999</v>
      </c>
      <c r="J20" s="18" t="n">
        <v>656.075</v>
      </c>
      <c r="K20" s="18" t="n">
        <v>583.62</v>
      </c>
      <c r="L20" s="18" t="n">
        <v>656.728</v>
      </c>
      <c r="M20" s="18" t="n">
        <v>620.232</v>
      </c>
      <c r="N20" s="18" t="n">
        <v>620.733212</v>
      </c>
      <c r="O20" s="18" t="n">
        <v>515.691409</v>
      </c>
      <c r="P20" s="18" t="n">
        <v>524.181</v>
      </c>
      <c r="Q20" s="18" t="n">
        <v>572.5376220000001</v>
      </c>
      <c r="R20" s="18" t="n">
        <v>539.073269</v>
      </c>
      <c r="S20" s="18" t="n">
        <v>628.2225539999999</v>
      </c>
      <c r="T20" s="18" t="n">
        <v>669.803461</v>
      </c>
      <c r="U20" s="18" t="n">
        <v>700.476</v>
      </c>
      <c r="V20" s="18" t="n">
        <v>913.800966</v>
      </c>
      <c r="W20" s="18" t="n">
        <v>940.029</v>
      </c>
      <c r="X20" s="18" t="n">
        <v>1048.5</v>
      </c>
      <c r="Y20" s="18" t="n">
        <v>1052.5</v>
      </c>
      <c r="Z20" s="18" t="n">
        <v>1039.3</v>
      </c>
      <c r="AA20" s="18" t="n">
        <v>994.3</v>
      </c>
      <c r="AB20" s="18" t="n">
        <v>1160.983332</v>
      </c>
      <c r="AC20" s="18" t="n">
        <v>1556.903569</v>
      </c>
    </row>
    <row r="21">
      <c r="A21" s="4" t="inlineStr">
        <is>
          <t>PP&amp;E (net)</t>
        </is>
      </c>
      <c r="B21" s="18" t="n">
        <v>3903.264</v>
      </c>
      <c r="C21" s="18" t="n">
        <v>3599.187</v>
      </c>
      <c r="D21" s="18" t="n">
        <v>3662.559</v>
      </c>
      <c r="E21" s="18" t="n">
        <v>3666.655</v>
      </c>
      <c r="F21" s="18" t="n">
        <v>3679.925999</v>
      </c>
      <c r="G21" s="18" t="n">
        <v>3693.94</v>
      </c>
      <c r="H21" s="18" t="n">
        <v>3731.655</v>
      </c>
      <c r="I21" s="18" t="n">
        <v>3680.858</v>
      </c>
      <c r="J21" s="18" t="n">
        <v>3735.548</v>
      </c>
      <c r="K21" s="18" t="n">
        <v>3724.118</v>
      </c>
      <c r="L21" s="18" t="n">
        <v>3740.966</v>
      </c>
      <c r="M21" s="18" t="n">
        <v>3713.732</v>
      </c>
      <c r="N21" s="18" t="n">
        <v>3586.571075</v>
      </c>
      <c r="O21" s="18" t="n">
        <v>3516.171753</v>
      </c>
      <c r="P21" s="18" t="n">
        <v>3552.43</v>
      </c>
      <c r="Q21" s="18" t="n">
        <v>3548.735393</v>
      </c>
      <c r="R21" s="18" t="n">
        <v>4377.420134</v>
      </c>
      <c r="S21" s="18" t="n">
        <v>4298.07697</v>
      </c>
      <c r="T21" s="18" t="n">
        <v>4293.924018</v>
      </c>
      <c r="U21" s="18" t="n">
        <v>4231.536</v>
      </c>
      <c r="V21" s="18" t="n">
        <v>4229.519628</v>
      </c>
      <c r="W21" s="18" t="n">
        <v>4273.553</v>
      </c>
      <c r="X21" s="18" t="n">
        <v>4181.2</v>
      </c>
      <c r="Y21" s="18" t="n">
        <v>4190.3</v>
      </c>
      <c r="Z21" s="18" t="n">
        <v>4316.1</v>
      </c>
      <c r="AA21" s="18" t="n">
        <v>4634.5</v>
      </c>
      <c r="AB21" s="18" t="n">
        <v>4685.357806</v>
      </c>
      <c r="AC21" s="18" t="n">
        <v>4768.13005</v>
      </c>
    </row>
    <row r="22">
      <c r="A22" s="4" t="inlineStr">
        <is>
          <t>Total Assets</t>
        </is>
      </c>
      <c r="B22" s="18" t="n">
        <v>4737.938</v>
      </c>
      <c r="C22" s="18" t="n">
        <v>4386.546</v>
      </c>
      <c r="D22" s="18" t="n">
        <v>4455.961</v>
      </c>
      <c r="E22" s="18" t="n">
        <v>4366.226</v>
      </c>
      <c r="F22" s="18" t="n">
        <v>4498.892</v>
      </c>
      <c r="G22" s="18" t="n">
        <v>4590.688</v>
      </c>
      <c r="H22" s="18" t="n">
        <v>4666.645</v>
      </c>
      <c r="I22" s="18" t="n">
        <v>4549.196</v>
      </c>
      <c r="J22" s="18" t="n">
        <v>4587.827</v>
      </c>
      <c r="K22" s="18" t="n">
        <v>4504.661</v>
      </c>
      <c r="L22" s="18" t="n">
        <v>4616.231</v>
      </c>
      <c r="M22" s="18" t="n">
        <v>4538.214</v>
      </c>
      <c r="N22" s="18" t="n">
        <v>4389.77213</v>
      </c>
      <c r="O22" s="18" t="n">
        <v>4257.301481</v>
      </c>
      <c r="P22" s="18" t="n">
        <v>4325.943</v>
      </c>
      <c r="Q22" s="18" t="n">
        <v>4370.8954</v>
      </c>
      <c r="R22" s="18" t="n">
        <v>5233.017627</v>
      </c>
      <c r="S22" s="18" t="n">
        <v>5225.430943</v>
      </c>
      <c r="T22" s="18" t="n">
        <v>5285.45297</v>
      </c>
      <c r="U22" s="18" t="n">
        <v>5231.283</v>
      </c>
      <c r="V22" s="18" t="n">
        <v>5441.623841</v>
      </c>
      <c r="W22" s="18" t="n">
        <v>5508.075</v>
      </c>
      <c r="X22" s="18" t="n">
        <v>5487.6</v>
      </c>
      <c r="Y22" s="18" t="n">
        <v>5507</v>
      </c>
      <c r="Z22" s="18" t="n">
        <v>5628.6</v>
      </c>
      <c r="AA22" s="18" t="n">
        <v>5916.8</v>
      </c>
      <c r="AB22" s="18" t="n">
        <v>6211.974527</v>
      </c>
      <c r="AC22" s="18" t="n">
        <v>6919.582566</v>
      </c>
    </row>
    <row r="23">
      <c r="A23" s="4" t="inlineStr">
        <is>
          <t>Total Current Liabilities</t>
        </is>
      </c>
      <c r="B23" s="18" t="n">
        <v>326.287</v>
      </c>
      <c r="C23" s="18" t="n">
        <v>336.014</v>
      </c>
      <c r="D23" s="18" t="n">
        <v>391.751</v>
      </c>
      <c r="E23" s="18" t="n">
        <v>373.904</v>
      </c>
      <c r="F23" s="18" t="n">
        <v>401.030999</v>
      </c>
      <c r="G23" s="18" t="n">
        <v>332.058</v>
      </c>
      <c r="H23" s="18" t="n">
        <v>448.787</v>
      </c>
      <c r="I23" s="18" t="n">
        <v>445.379999</v>
      </c>
      <c r="J23" s="18" t="n">
        <v>436.276</v>
      </c>
      <c r="K23" s="18" t="n">
        <v>423.703</v>
      </c>
      <c r="L23" s="18" t="n">
        <v>509.216</v>
      </c>
      <c r="M23" s="18" t="n">
        <v>458.386</v>
      </c>
      <c r="N23" s="18" t="n">
        <v>440.07227</v>
      </c>
      <c r="O23" s="18" t="n">
        <v>416.594183</v>
      </c>
      <c r="P23" s="18" t="n">
        <v>447.647</v>
      </c>
      <c r="Q23" s="18" t="n">
        <v>471.483265</v>
      </c>
      <c r="R23" s="18" t="n">
        <v>600.323495</v>
      </c>
      <c r="S23" s="18" t="n">
        <v>500.375252</v>
      </c>
      <c r="T23" s="18" t="n">
        <v>534.585832</v>
      </c>
      <c r="U23" s="18" t="n">
        <v>499.626</v>
      </c>
      <c r="V23" s="18" t="n">
        <v>490.070118</v>
      </c>
      <c r="W23" s="18" t="n">
        <v>505.683</v>
      </c>
      <c r="X23" s="18" t="n">
        <v>537.2</v>
      </c>
      <c r="Y23" s="18" t="n">
        <v>454.5</v>
      </c>
      <c r="Z23" s="18" t="n">
        <v>1012.5</v>
      </c>
      <c r="AA23" s="18" t="n">
        <v>1029</v>
      </c>
      <c r="AB23" s="18" t="n">
        <v>1226.46395</v>
      </c>
      <c r="AC23" s="18" t="n">
        <v>1148.264038</v>
      </c>
    </row>
    <row r="24">
      <c r="A24" s="4" t="inlineStr">
        <is>
          <t>Long-term Debt</t>
        </is>
      </c>
      <c r="B24" s="18" t="n">
        <v>977.196</v>
      </c>
      <c r="C24" s="18" t="n">
        <v>976.272</v>
      </c>
      <c r="D24" s="18" t="n">
        <v>985.255</v>
      </c>
      <c r="E24" s="18" t="n">
        <v>988.074</v>
      </c>
      <c r="F24" s="18" t="n">
        <v>988.417999</v>
      </c>
      <c r="G24" s="18" t="n">
        <v>1175.104</v>
      </c>
      <c r="H24" s="18" t="n">
        <v>1135.675</v>
      </c>
      <c r="I24" s="18" t="n">
        <v>1180.798</v>
      </c>
      <c r="J24" s="18" t="n">
        <v>1181.195</v>
      </c>
      <c r="K24" s="18" t="n">
        <v>1182.612</v>
      </c>
      <c r="L24" s="18" t="n">
        <v>1180.274</v>
      </c>
      <c r="M24" s="18" t="n">
        <v>1181.119</v>
      </c>
      <c r="N24" s="18" t="n">
        <v>1184.043267</v>
      </c>
      <c r="O24" s="18" t="n">
        <v>1174.822445</v>
      </c>
      <c r="P24" s="18" t="n">
        <v>1184.162</v>
      </c>
      <c r="Q24" s="18" t="n">
        <v>1185.813398</v>
      </c>
      <c r="R24" s="18" t="n">
        <v>1223.568035</v>
      </c>
      <c r="S24" s="18" t="n">
        <v>1360.889119</v>
      </c>
      <c r="T24" s="18" t="n">
        <v>1280.948579</v>
      </c>
      <c r="U24" s="18" t="n">
        <v>1278.587</v>
      </c>
      <c r="V24" s="18" t="n">
        <v>1155.405529</v>
      </c>
      <c r="W24" s="18" t="n">
        <v>1108.9</v>
      </c>
      <c r="X24" s="18" t="n">
        <v>1107.5</v>
      </c>
      <c r="Y24" s="18" t="n">
        <v>1108.7</v>
      </c>
      <c r="Z24" s="18" t="n">
        <v>535.8</v>
      </c>
      <c r="AA24" s="18" t="n">
        <v>536</v>
      </c>
      <c r="AB24" s="18" t="n">
        <v>564.7703279999999</v>
      </c>
      <c r="AC24" s="18" t="n">
        <v>538.66576</v>
      </c>
    </row>
    <row r="25">
      <c r="A25" s="4" t="inlineStr">
        <is>
          <t>Total Equity</t>
        </is>
      </c>
      <c r="B25" s="18" t="n">
        <v>2130.719</v>
      </c>
      <c r="C25" s="18" t="n">
        <v>1857.481</v>
      </c>
      <c r="D25" s="18" t="n">
        <v>1848.123</v>
      </c>
      <c r="E25" s="18" t="n">
        <v>1778.277</v>
      </c>
      <c r="F25" s="18" t="n">
        <v>1706.302999</v>
      </c>
      <c r="G25" s="18" t="n">
        <v>1684.464</v>
      </c>
      <c r="H25" s="18" t="n">
        <v>1699.806</v>
      </c>
      <c r="I25" s="18" t="n">
        <v>1660.249999</v>
      </c>
      <c r="J25" s="18" t="n">
        <v>1658.924</v>
      </c>
      <c r="K25" s="18" t="n">
        <v>1490.18</v>
      </c>
      <c r="L25" s="18" t="n">
        <v>1476.828</v>
      </c>
      <c r="M25" s="18" t="n">
        <v>1561.978</v>
      </c>
      <c r="N25" s="18" t="n">
        <v>1603.696767</v>
      </c>
      <c r="O25" s="18" t="n">
        <v>1559.71767</v>
      </c>
      <c r="P25" s="18" t="n">
        <v>1571.809</v>
      </c>
      <c r="Q25" s="18" t="n">
        <v>1575.571189</v>
      </c>
      <c r="R25" s="18" t="n">
        <v>1998.486171</v>
      </c>
      <c r="S25" s="18" t="n">
        <v>2034.884238</v>
      </c>
      <c r="T25" s="18" t="n">
        <v>2086.083085</v>
      </c>
      <c r="U25" s="18" t="n">
        <v>2107.532</v>
      </c>
      <c r="V25" s="18" t="n">
        <v>2482.180922</v>
      </c>
      <c r="W25" s="18" t="n">
        <v>2537.845</v>
      </c>
      <c r="X25" s="18" t="n">
        <v>2553.2</v>
      </c>
      <c r="Y25" s="18" t="n">
        <v>2653.2</v>
      </c>
      <c r="Z25" s="18" t="n">
        <v>2863.3</v>
      </c>
      <c r="AA25" s="18" t="n">
        <v>3080.5</v>
      </c>
      <c r="AB25" s="18" t="n">
        <v>3225.120064</v>
      </c>
      <c r="AC25" s="18" t="n">
        <v>3545.120996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</row>
    <row r="27">
      <c r="A27" s="4" t="inlineStr">
        <is>
          <t>D&amp;A</t>
        </is>
      </c>
      <c r="B27" s="18" t="n">
        <v>91.739</v>
      </c>
      <c r="C27" s="18" t="n">
        <v>82.83799999999999</v>
      </c>
      <c r="D27" s="18" t="n">
        <v>97.116294</v>
      </c>
      <c r="E27" s="18" t="n">
        <v>86.857</v>
      </c>
      <c r="F27" s="18" t="n">
        <v>81.23</v>
      </c>
      <c r="G27" s="18" t="n">
        <v>96.465</v>
      </c>
      <c r="H27" s="18" t="n">
        <v>99.051</v>
      </c>
      <c r="I27" s="18" t="n">
        <v>83.16200000000001</v>
      </c>
      <c r="J27" s="18" t="n">
        <v>99.78700000000001</v>
      </c>
      <c r="K27" s="18" t="n">
        <v>95.842</v>
      </c>
      <c r="L27" s="18" t="n">
        <v>90.367</v>
      </c>
      <c r="M27" s="18" t="n">
        <v>81.533</v>
      </c>
      <c r="N27" s="18" t="n">
        <v>87.648</v>
      </c>
      <c r="O27" s="18" t="n">
        <v>90.146</v>
      </c>
      <c r="P27" s="18" t="n">
        <v>79.736</v>
      </c>
      <c r="Q27" s="18" t="n">
        <v>67.752</v>
      </c>
      <c r="R27" s="18" t="n">
        <v>88.98699999999999</v>
      </c>
      <c r="S27" s="18" t="n">
        <v>114.099</v>
      </c>
      <c r="T27" s="18" t="n">
        <v>122.23</v>
      </c>
      <c r="U27" s="18" t="n">
        <v>109.8</v>
      </c>
      <c r="V27" s="18" t="n">
        <v>98</v>
      </c>
      <c r="W27" s="18" t="n">
        <v>97.884</v>
      </c>
      <c r="X27" s="18" t="n">
        <v>149.016</v>
      </c>
      <c r="Y27" s="18" t="n">
        <v>108.5</v>
      </c>
      <c r="Z27" s="18" t="n">
        <v>96.8</v>
      </c>
      <c r="AA27" s="18" t="n">
        <v>85.90000000000001</v>
      </c>
      <c r="AB27" s="18" t="n">
        <v>158.093306</v>
      </c>
      <c r="AC27" s="18" t="n">
        <v>0</v>
      </c>
    </row>
    <row r="28">
      <c r="A28" s="4" t="inlineStr">
        <is>
          <t>Stock-based Compensation</t>
        </is>
      </c>
      <c r="B28" s="18" t="n">
        <v>-1.875</v>
      </c>
      <c r="C28" s="18" t="n">
        <v>-2.904</v>
      </c>
      <c r="D28" s="18" t="n">
        <v>0</v>
      </c>
      <c r="E28" s="18" t="n">
        <v>-2.713</v>
      </c>
      <c r="F28" s="18" t="n">
        <v>3.597</v>
      </c>
      <c r="G28" s="18" t="n">
        <v>4.636</v>
      </c>
      <c r="H28" s="18" t="n">
        <v>9.487</v>
      </c>
      <c r="I28" s="18" t="n">
        <v>1.786</v>
      </c>
      <c r="J28" s="18" t="n">
        <v>2.301</v>
      </c>
      <c r="K28" s="18" t="n">
        <v>1.549</v>
      </c>
      <c r="L28" s="18" t="n">
        <v>6.509</v>
      </c>
      <c r="M28" s="18" t="n">
        <v>3.303</v>
      </c>
      <c r="N28" s="18" t="n">
        <v>-7.618</v>
      </c>
      <c r="O28" s="18" t="n">
        <v>2.489</v>
      </c>
      <c r="P28" s="18" t="n">
        <v>3.89</v>
      </c>
      <c r="Q28" s="18" t="n">
        <v>1.195</v>
      </c>
      <c r="R28" s="18" t="n">
        <v>0.705</v>
      </c>
      <c r="S28" s="18" t="n">
        <v>2.212</v>
      </c>
      <c r="T28" s="18" t="n">
        <v>3.245</v>
      </c>
      <c r="U28" s="18" t="n">
        <v>5.8</v>
      </c>
      <c r="V28" s="18" t="n">
        <v>8.800000000000001</v>
      </c>
      <c r="W28" s="18" t="n">
        <v>3.354</v>
      </c>
      <c r="X28" s="18" t="n">
        <v>3.158</v>
      </c>
      <c r="Y28" s="18" t="n">
        <v>4</v>
      </c>
      <c r="Z28" s="18" t="n">
        <v>10.8</v>
      </c>
      <c r="AA28" s="18" t="n">
        <v>20.1</v>
      </c>
      <c r="AB28" s="18" t="n">
        <v>0</v>
      </c>
      <c r="AC28" s="18" t="n">
        <v>0</v>
      </c>
    </row>
    <row r="29">
      <c r="A29" s="4" t="inlineStr">
        <is>
          <t>Change in Working Capital</t>
        </is>
      </c>
      <c r="B29" s="18" t="n">
        <v>25.75</v>
      </c>
      <c r="C29" s="18" t="n">
        <v>-27.721</v>
      </c>
      <c r="D29" s="18" t="n">
        <v>32.856656</v>
      </c>
      <c r="E29" s="18" t="n">
        <v>-32.865</v>
      </c>
      <c r="F29" s="18" t="n">
        <v>1.911</v>
      </c>
      <c r="G29" s="18" t="n">
        <v>-6.448</v>
      </c>
      <c r="H29" s="18" t="n">
        <v>35.019</v>
      </c>
      <c r="I29" s="18" t="n">
        <v>-38.859</v>
      </c>
      <c r="J29" s="18" t="n">
        <v>-36.408</v>
      </c>
      <c r="K29" s="18" t="n">
        <v>45.207</v>
      </c>
      <c r="L29" s="18" t="n">
        <v>-65.068</v>
      </c>
      <c r="M29" s="18" t="n">
        <v>-13.746</v>
      </c>
      <c r="N29" s="18" t="n">
        <v>41.695</v>
      </c>
      <c r="O29" s="18" t="n">
        <v>90.89100000000001</v>
      </c>
      <c r="P29" s="18" t="n">
        <v>-22.766</v>
      </c>
      <c r="Q29" s="18" t="n">
        <v>-14.329</v>
      </c>
      <c r="R29" s="18" t="n">
        <v>-31.321</v>
      </c>
      <c r="S29" s="18" t="n">
        <v>-30.032</v>
      </c>
      <c r="T29" s="18" t="n">
        <v>-17.462</v>
      </c>
      <c r="U29" s="18" t="n">
        <v>-7.9</v>
      </c>
      <c r="V29" s="18" t="n">
        <v>16.5</v>
      </c>
      <c r="W29" s="18" t="n">
        <v>-40.144</v>
      </c>
      <c r="X29" s="18" t="n">
        <v>6.085724</v>
      </c>
      <c r="Y29" s="18" t="n">
        <v>-38.7</v>
      </c>
      <c r="Z29" s="18" t="n">
        <v>66</v>
      </c>
      <c r="AA29" s="18" t="n">
        <v>57.7</v>
      </c>
      <c r="AB29" s="18" t="n">
        <v>-129.78263</v>
      </c>
      <c r="AC29" s="18" t="n">
        <v>2.563985</v>
      </c>
    </row>
    <row r="30">
      <c r="A30" s="4" t="inlineStr">
        <is>
          <t>Operating Cash Flow</t>
        </is>
      </c>
      <c r="B30" s="18" t="n">
        <v>107.009</v>
      </c>
      <c r="C30" s="18" t="n">
        <v>43.483</v>
      </c>
      <c r="D30" s="18" t="n">
        <v>102.308457</v>
      </c>
      <c r="E30" s="18" t="n">
        <v>9.086</v>
      </c>
      <c r="F30" s="18" t="n">
        <v>31.368</v>
      </c>
      <c r="G30" s="18" t="n">
        <v>77.935</v>
      </c>
      <c r="H30" s="18" t="n">
        <v>121.09</v>
      </c>
      <c r="I30" s="18" t="n">
        <v>51.797</v>
      </c>
      <c r="J30" s="18" t="n">
        <v>96.378</v>
      </c>
      <c r="K30" s="18" t="n">
        <v>139.798</v>
      </c>
      <c r="L30" s="18" t="n">
        <v>95.849</v>
      </c>
      <c r="M30" s="18" t="n">
        <v>63.307</v>
      </c>
      <c r="N30" s="18" t="n">
        <v>165.606</v>
      </c>
      <c r="O30" s="18" t="n">
        <v>172.508</v>
      </c>
      <c r="P30" s="18" t="n">
        <v>86.38200000000001</v>
      </c>
      <c r="Q30" s="18" t="n">
        <v>71.279</v>
      </c>
      <c r="R30" s="18" t="n">
        <v>24.557</v>
      </c>
      <c r="S30" s="18" t="n">
        <v>151.948</v>
      </c>
      <c r="T30" s="18" t="n">
        <v>229.066</v>
      </c>
      <c r="U30" s="18" t="n">
        <v>139.6</v>
      </c>
      <c r="V30" s="18" t="n">
        <v>140.2</v>
      </c>
      <c r="W30" s="18" t="n">
        <v>146.178</v>
      </c>
      <c r="X30" s="18" t="n">
        <v>241.864</v>
      </c>
      <c r="Y30" s="18" t="n">
        <v>124.8</v>
      </c>
      <c r="Z30" s="18" t="n">
        <v>259.9</v>
      </c>
      <c r="AA30" s="18" t="n">
        <v>113.5</v>
      </c>
      <c r="AB30" s="18" t="n">
        <v>187.794412</v>
      </c>
      <c r="AC30" s="18" t="n">
        <v>208.077284</v>
      </c>
    </row>
    <row r="31">
      <c r="A31" s="4" t="inlineStr">
        <is>
          <t>Capex</t>
        </is>
      </c>
      <c r="B31" s="18" t="n">
        <v>-50.028</v>
      </c>
      <c r="C31" s="18" t="n">
        <v>-78.14700000000001</v>
      </c>
      <c r="D31" s="18" t="n">
        <v>-90.32209899999999</v>
      </c>
      <c r="E31" s="18" t="n">
        <v>-51.085</v>
      </c>
      <c r="F31" s="18" t="n">
        <v>-47.751</v>
      </c>
      <c r="G31" s="18" t="n">
        <v>-144.461</v>
      </c>
      <c r="H31" s="18" t="n">
        <v>-117.888</v>
      </c>
      <c r="I31" s="18" t="n">
        <v>-82.95</v>
      </c>
      <c r="J31" s="18" t="n">
        <v>-100.555</v>
      </c>
      <c r="K31" s="18" t="n">
        <v>-87.36799999999999</v>
      </c>
      <c r="L31" s="18" t="n">
        <v>-104.836</v>
      </c>
      <c r="M31" s="18" t="n">
        <v>-52.122</v>
      </c>
      <c r="N31" s="18" t="n">
        <v>-78.503</v>
      </c>
      <c r="O31" s="18" t="n">
        <v>-89.518</v>
      </c>
      <c r="P31" s="18" t="n">
        <v>-88.81699999999999</v>
      </c>
      <c r="Q31" s="18" t="n">
        <v>-64.952</v>
      </c>
      <c r="R31" s="18" t="n">
        <v>-65.86199999999999</v>
      </c>
      <c r="S31" s="18" t="n">
        <v>-69.23</v>
      </c>
      <c r="T31" s="18" t="n">
        <v>-81.05500000000001</v>
      </c>
      <c r="U31" s="18" t="n">
        <v>-62.4</v>
      </c>
      <c r="V31" s="18" t="n">
        <v>-89.5</v>
      </c>
      <c r="W31" s="18" t="n">
        <v>-98.32599999999999</v>
      </c>
      <c r="X31" s="18" t="n">
        <v>-96.908</v>
      </c>
      <c r="Y31" s="18" t="n">
        <v>-93</v>
      </c>
      <c r="Z31" s="18" t="n">
        <v>-122.5</v>
      </c>
      <c r="AA31" s="18" t="n">
        <v>-110.4</v>
      </c>
      <c r="AB31" s="18" t="n">
        <v>-145.474261</v>
      </c>
      <c r="AC31" s="18" t="n">
        <v>-138.257988</v>
      </c>
    </row>
    <row r="32">
      <c r="A32" s="4" t="inlineStr">
        <is>
          <t>Free Cash Flow</t>
        </is>
      </c>
      <c r="B32" s="18" t="n">
        <v>56.981</v>
      </c>
      <c r="C32" s="18" t="n">
        <v>-34.664</v>
      </c>
      <c r="D32" s="18" t="n">
        <v>11.986358</v>
      </c>
      <c r="E32" s="18" t="n">
        <v>-41.999</v>
      </c>
      <c r="F32" s="18" t="n">
        <v>-16.383</v>
      </c>
      <c r="G32" s="18" t="n">
        <v>-66.526</v>
      </c>
      <c r="H32" s="18" t="n">
        <v>3.202</v>
      </c>
      <c r="I32" s="18" t="n">
        <v>-31.153</v>
      </c>
      <c r="J32" s="18" t="n">
        <v>-4.177</v>
      </c>
      <c r="K32" s="18" t="n">
        <v>52.43</v>
      </c>
      <c r="L32" s="18" t="n">
        <v>-8.987</v>
      </c>
      <c r="M32" s="18" t="n">
        <v>11.185</v>
      </c>
      <c r="N32" s="18" t="n">
        <v>87.10299999999999</v>
      </c>
      <c r="O32" s="18" t="n">
        <v>82.98999999999999</v>
      </c>
      <c r="P32" s="18" t="n">
        <v>-2.435</v>
      </c>
      <c r="Q32" s="18" t="n">
        <v>6.327</v>
      </c>
      <c r="R32" s="18" t="n">
        <v>-41.305</v>
      </c>
      <c r="S32" s="18" t="n">
        <v>82.718</v>
      </c>
      <c r="T32" s="18" t="n">
        <v>148.011</v>
      </c>
      <c r="U32" s="18" t="n">
        <v>77.2</v>
      </c>
      <c r="V32" s="18" t="n">
        <v>50.7</v>
      </c>
      <c r="W32" s="18" t="n">
        <v>47.852</v>
      </c>
      <c r="X32" s="18" t="n">
        <v>144.956</v>
      </c>
      <c r="Y32" s="18" t="n">
        <v>31.8</v>
      </c>
      <c r="Z32" s="18" t="n">
        <v>137.4</v>
      </c>
      <c r="AA32" s="18" t="n">
        <v>3.099999</v>
      </c>
      <c r="AB32" s="18" t="n">
        <v>42.320151</v>
      </c>
      <c r="AC32" s="18" t="n">
        <v>69.81929599999999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2933.834279</v>
      </c>
      <c r="C4" s="18" t="n">
        <v>3368.019654</v>
      </c>
      <c r="D4" s="18" t="n">
        <v>3229.914811</v>
      </c>
      <c r="E4" s="18" t="n">
        <v>3764.28425</v>
      </c>
      <c r="F4" s="18" t="n">
        <v>3207.6281</v>
      </c>
    </row>
    <row r="5">
      <c r="A5" s="4" t="inlineStr">
        <is>
          <t xml:space="preserve">  model</t>
        </is>
      </c>
      <c r="B5" s="33">
        <f>Model!G6</f>
        <v/>
      </c>
      <c r="C5" s="33">
        <f>Model!H6</f>
        <v/>
      </c>
      <c r="D5" s="33">
        <f>Model!I6</f>
        <v/>
      </c>
      <c r="E5" s="33">
        <f>Model!J6</f>
        <v/>
      </c>
      <c r="F5" s="33">
        <f>Model!K6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1040.133195</v>
      </c>
      <c r="C8" s="18" t="n">
        <v>1194.065074</v>
      </c>
      <c r="D8" s="18" t="n">
        <v>1145.10272</v>
      </c>
      <c r="E8" s="18" t="n">
        <v>1334.552887</v>
      </c>
      <c r="F8" s="18" t="n">
        <v>1137.201405</v>
      </c>
    </row>
    <row r="9">
      <c r="A9" s="4" t="inlineStr">
        <is>
          <t xml:space="preserve">  model</t>
        </is>
      </c>
      <c r="B9" s="33">
        <f>Model!G19+Model!G24</f>
        <v/>
      </c>
      <c r="C9" s="33">
        <f>Model!H19+Model!H24</f>
        <v/>
      </c>
      <c r="D9" s="33">
        <f>Model!I19+Model!I24</f>
        <v/>
      </c>
      <c r="E9" s="33">
        <f>Model!J19+Model!J24</f>
        <v/>
      </c>
      <c r="F9" s="33">
        <f>Model!K19+Model!K24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371.169306</v>
      </c>
      <c r="C12" s="18" t="n">
        <v>426.099567</v>
      </c>
      <c r="D12" s="18" t="n">
        <v>408.627456</v>
      </c>
      <c r="E12" s="18" t="n">
        <v>476.232343</v>
      </c>
      <c r="F12" s="18" t="n">
        <v>405.807889</v>
      </c>
    </row>
    <row r="13">
      <c r="A13" s="4" t="inlineStr">
        <is>
          <t xml:space="preserve">  model</t>
        </is>
      </c>
      <c r="B13" s="33">
        <f>Model!G19</f>
        <v/>
      </c>
      <c r="C13" s="33">
        <f>Model!H19</f>
        <v/>
      </c>
      <c r="D13" s="33">
        <f>Model!I19</f>
        <v/>
      </c>
      <c r="E13" s="33">
        <f>Model!J19</f>
        <v/>
      </c>
      <c r="F13" s="33">
        <f>Model!K19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88.024863</v>
      </c>
      <c r="C16" s="18" t="n">
        <v>101.05188</v>
      </c>
      <c r="D16" s="18" t="n">
        <v>96.908272</v>
      </c>
      <c r="E16" s="18" t="n">
        <v>112.941146</v>
      </c>
      <c r="F16" s="18" t="n">
        <v>96.23959499999999</v>
      </c>
    </row>
    <row r="17">
      <c r="A17" s="4" t="inlineStr">
        <is>
          <t xml:space="preserve">  model</t>
        </is>
      </c>
      <c r="B17" s="33">
        <f>Model!G14</f>
        <v/>
      </c>
      <c r="C17" s="33">
        <f>Model!H14</f>
        <v/>
      </c>
      <c r="D17" s="33">
        <f>Model!I14</f>
        <v/>
      </c>
      <c r="E17" s="33">
        <f>Model!J14</f>
        <v/>
      </c>
      <c r="F17" s="33">
        <f>Model!K14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728.62058</v>
      </c>
      <c r="C20" s="18" t="n">
        <v>889.50162</v>
      </c>
      <c r="D20" s="18" t="n">
        <v>755.75375</v>
      </c>
      <c r="E20" s="18" t="n">
        <v>802.067498</v>
      </c>
      <c r="F20" s="18" t="n">
        <v>664.386734</v>
      </c>
    </row>
    <row r="21">
      <c r="A21" s="4" t="inlineStr">
        <is>
          <t xml:space="preserve">  model</t>
        </is>
      </c>
      <c r="B21" s="33">
        <f>Model!G23</f>
        <v/>
      </c>
      <c r="C21" s="33">
        <f>Model!H23</f>
        <v/>
      </c>
      <c r="D21" s="33">
        <f>Model!I23</f>
        <v/>
      </c>
      <c r="E21" s="33">
        <f>Model!J23</f>
        <v/>
      </c>
      <c r="F21" s="33">
        <f>Model!K23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1.56199</v>
      </c>
      <c r="C24" s="47" t="n">
        <v>2.08424</v>
      </c>
      <c r="D24" s="47" t="n">
        <v>1.83639</v>
      </c>
      <c r="E24" s="47" t="n">
        <v>2.02211</v>
      </c>
      <c r="F24" s="47" t="n">
        <v>1.675</v>
      </c>
    </row>
    <row r="25">
      <c r="A25" s="4" t="inlineStr">
        <is>
          <t xml:space="preserve">  model</t>
        </is>
      </c>
      <c r="B25" s="8">
        <f>Model!G23/Financials!AC17</f>
        <v/>
      </c>
      <c r="C25" s="8">
        <f>Model!H23/Financials!AC17</f>
        <v/>
      </c>
      <c r="D25" s="8">
        <f>Model!I23/Financials!AC17</f>
        <v/>
      </c>
      <c r="E25" s="8">
        <f>Model!J23/Financials!AC17</f>
        <v/>
      </c>
      <c r="F25" s="8">
        <f>Model!K23/Financials!AC17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Hudbay Minerals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Model!G31</f>
        <v/>
      </c>
      <c r="D12" s="33">
        <f>Model!H31</f>
        <v/>
      </c>
      <c r="E12" s="33">
        <f>Model!I31</f>
        <v/>
      </c>
      <c r="F12" s="33">
        <f>Model!J31</f>
        <v/>
      </c>
      <c r="G12" s="33">
        <f>Model!K31</f>
        <v/>
      </c>
      <c r="H12" s="33">
        <f>Model!L31</f>
        <v/>
      </c>
      <c r="I12" s="33">
        <f>Model!M31</f>
        <v/>
      </c>
      <c r="J12" s="33">
        <f>Model!N31</f>
        <v/>
      </c>
      <c r="K12" s="33">
        <f>Model!O31</f>
        <v/>
      </c>
      <c r="L12" s="33">
        <f>Model!P31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Model!P6</f>
        <v/>
      </c>
    </row>
    <row r="21">
      <c r="A21" s="4" t="inlineStr">
        <is>
          <t>Terminal EBIT</t>
        </is>
      </c>
      <c r="B21" s="33">
        <f>Model!P19</f>
        <v/>
      </c>
    </row>
    <row r="22">
      <c r="A22" s="4" t="inlineStr">
        <is>
          <t>Terminal EBITDA (SBC-burdened)</t>
        </is>
      </c>
      <c r="B22" s="33">
        <f>Model!P19+Model!P24-Model!P25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Financials!AC19</f>
        <v/>
      </c>
    </row>
    <row r="33">
      <c r="A33" s="4" t="inlineStr">
        <is>
          <t>- Long-term debt</t>
        </is>
      </c>
      <c r="B33" s="33">
        <f>-Financials!AC24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Financials!AC17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0.1374959759807713</v>
      </c>
      <c r="C4" s="51" t="n">
        <v>0.1424959759807713</v>
      </c>
      <c r="D4" s="51" t="n">
        <v>0.1474959759807713</v>
      </c>
      <c r="E4" s="51" t="n">
        <v>0.1524959759807713</v>
      </c>
      <c r="F4" s="51" t="n">
        <v>0.1574959759807713</v>
      </c>
      <c r="G4" s="51" t="n">
        <v>0.1624959759807713</v>
      </c>
      <c r="H4" s="51" t="n">
        <v>0.1674959759807713</v>
      </c>
    </row>
    <row r="5">
      <c r="A5" s="52" t="n">
        <v>9</v>
      </c>
      <c r="B5" s="53" t="n">
        <v>22.0596090721606</v>
      </c>
      <c r="C5" s="53" t="n">
        <v>21.34573397179775</v>
      </c>
      <c r="D5" s="53" t="n">
        <v>20.66285697416655</v>
      </c>
      <c r="E5" s="53" t="n">
        <v>20.00945653282711</v>
      </c>
      <c r="F5" s="53" t="n">
        <v>19.38409296583998</v>
      </c>
      <c r="G5" s="53" t="n">
        <v>18.78540369479654</v>
      </c>
      <c r="H5" s="53" t="n">
        <v>18.21209878058924</v>
      </c>
    </row>
    <row r="6">
      <c r="A6" s="52" t="n">
        <v>10</v>
      </c>
      <c r="B6" s="8" t="n">
        <v>23.46120288784147</v>
      </c>
      <c r="C6" s="8" t="n">
        <v>22.68718267881832</v>
      </c>
      <c r="D6" s="53" t="n">
        <v>21.94698744059977</v>
      </c>
      <c r="E6" s="53" t="n">
        <v>21.2389513016899</v>
      </c>
      <c r="F6" s="53" t="n">
        <v>20.56149820368843</v>
      </c>
      <c r="G6" s="53" t="n">
        <v>19.91313667087901</v>
      </c>
      <c r="H6" s="53" t="n">
        <v>19.29245490613798</v>
      </c>
    </row>
    <row r="7">
      <c r="A7" s="52" t="n">
        <v>11</v>
      </c>
      <c r="B7" s="8" t="n">
        <v>24.86279670352233</v>
      </c>
      <c r="C7" s="8" t="n">
        <v>24.02863138583889</v>
      </c>
      <c r="D7" s="8" t="n">
        <v>23.23111790703299</v>
      </c>
      <c r="E7" s="53" t="n">
        <v>22.46844607055269</v>
      </c>
      <c r="F7" s="53" t="n">
        <v>21.73890344153686</v>
      </c>
      <c r="G7" s="53" t="n">
        <v>21.04086964696149</v>
      </c>
      <c r="H7" s="53" t="n">
        <v>20.37281103168672</v>
      </c>
    </row>
    <row r="8">
      <c r="A8" s="52" t="n">
        <v>12</v>
      </c>
      <c r="B8" s="8" t="n">
        <v>26.2643905192032</v>
      </c>
      <c r="C8" s="8" t="n">
        <v>25.37008009285946</v>
      </c>
      <c r="D8" s="8" t="n">
        <v>24.51524837346621</v>
      </c>
      <c r="E8" s="54" t="n">
        <v>23.69794083941548</v>
      </c>
      <c r="F8" s="8" t="n">
        <v>22.91630867938531</v>
      </c>
      <c r="G8" s="53" t="n">
        <v>22.16860262304396</v>
      </c>
      <c r="H8" s="53" t="n">
        <v>21.45316715723546</v>
      </c>
    </row>
    <row r="9">
      <c r="A9" s="52" t="n">
        <v>13</v>
      </c>
      <c r="B9" s="8" t="n">
        <v>27.66598433488407</v>
      </c>
      <c r="C9" s="8" t="n">
        <v>26.71152879988002</v>
      </c>
      <c r="D9" s="8" t="n">
        <v>25.79937883989942</v>
      </c>
      <c r="E9" s="8" t="n">
        <v>24.92743560827828</v>
      </c>
      <c r="F9" s="8" t="n">
        <v>24.09371391723374</v>
      </c>
      <c r="G9" s="8" t="n">
        <v>23.29633559912643</v>
      </c>
      <c r="H9" s="53" t="n">
        <v>22.53352328278419</v>
      </c>
    </row>
    <row r="10">
      <c r="A10" s="52" t="n">
        <v>14</v>
      </c>
      <c r="B10" s="8" t="n">
        <v>29.06757815056494</v>
      </c>
      <c r="C10" s="8" t="n">
        <v>28.05297750690059</v>
      </c>
      <c r="D10" s="8" t="n">
        <v>27.08350930633264</v>
      </c>
      <c r="E10" s="8" t="n">
        <v>26.15693037714107</v>
      </c>
      <c r="F10" s="8" t="n">
        <v>25.27111915508219</v>
      </c>
      <c r="G10" s="8" t="n">
        <v>24.42406857520891</v>
      </c>
      <c r="H10" s="8" t="n">
        <v>23.61387940833293</v>
      </c>
    </row>
    <row r="11">
      <c r="A11" s="52" t="n">
        <v>15</v>
      </c>
      <c r="B11" s="8" t="n">
        <v>30.4691719662458</v>
      </c>
      <c r="C11" s="8" t="n">
        <v>29.39442621392116</v>
      </c>
      <c r="D11" s="8" t="n">
        <v>28.36763977276586</v>
      </c>
      <c r="E11" s="8" t="n">
        <v>27.38642514600386</v>
      </c>
      <c r="F11" s="8" t="n">
        <v>26.44852439293062</v>
      </c>
      <c r="G11" s="8" t="n">
        <v>25.55180155129138</v>
      </c>
      <c r="H11" s="8" t="n">
        <v>24.69423553388167</v>
      </c>
    </row>
    <row r="13">
      <c r="A13" s="3" t="inlineStr">
        <is>
          <t>Current price</t>
        </is>
      </c>
      <c r="B13" s="53" t="n">
        <v>22.59000015258789</v>
      </c>
    </row>
    <row r="14">
      <c r="A14" s="3" t="inlineStr">
        <is>
          <t>Base WACC / multiple</t>
        </is>
      </c>
      <c r="B14" s="55" t="n">
        <v>0.1524959759807713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0.2028267531178542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0.8713602267398299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(Model!P6/Model!F6)^(1/10)-1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0.929073839931993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Financials!AC19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2026-07-06T20:34:55Z</dcterms:created>
  <dcterms:modified xmlns:dcterms="http://purl.org/dc/terms/" xmlns:xsi="http://www.w3.org/2001/XMLSchema-instance" xsi:type="dcterms:W3CDTF">2026-07-06T20:34:55Z</dcterms:modified>
</cp:coreProperties>
</file>