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Applied Materials, Inc. (AMAT)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AMAT is the diversified WFE leader riding an AI/HBM-driven capex super-cycle, with leading-edge logic, advanced packaging, and memory exposure powering double-digit Semiconductor Systems growth over the next several years before fading to GDP-like maturity. The recurring Applied Global Services base (subscriptions and 200mm installed-base support) provides margin stability, while elevated FY2025 capex (EPIC/innovation buildout) normalizes toward maintenance levels. Operating margins hold near 29-30% as scale and mix offset competitive intensity, supporting durable FCFF generation.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Applied Materials, Inc. (AMAT)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0.1448058467471212</v>
      </c>
      <c r="C20" s="50" t="n">
        <v>0.05</v>
      </c>
      <c r="D20" s="51" t="n">
        <v>0.1448058467471212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0.295</v>
      </c>
      <c r="D29" s="51" t="n">
        <v>0.295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0.14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1987.1529264</v>
      </c>
      <c r="D34" s="18" t="n">
        <v>1987.1529264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1.654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13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453.010009765625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SUM(Financials!H3:K3)</f>
        <v/>
      </c>
      <c r="C4" s="28">
        <f>SUM(Financials!L3:O3)</f>
        <v/>
      </c>
      <c r="D4" s="28">
        <f>SUM(Financials!P3:S3)</f>
        <v/>
      </c>
      <c r="E4" s="28">
        <f>SUM(Financials!T3:W3)</f>
        <v/>
      </c>
      <c r="F4" s="28">
        <f>SUM(Financials!X3:AA3)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SUM(Financials!H5:K5)</f>
        <v/>
      </c>
      <c r="C10" s="28">
        <f>SUM(Financials!L5:O5)</f>
        <v/>
      </c>
      <c r="D10" s="28">
        <f>SUM(Financials!P5:S5)</f>
        <v/>
      </c>
      <c r="E10" s="28">
        <f>SUM(Financials!T5:W5)</f>
        <v/>
      </c>
      <c r="F10" s="28">
        <f>SUM(Financials!X5:AA5)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0.5132543711223915</v>
      </c>
      <c r="H11" s="50" t="n">
        <v>0.5132543711223915</v>
      </c>
      <c r="I11" s="50" t="n">
        <v>0.5132543711223915</v>
      </c>
      <c r="J11" s="50" t="n">
        <v>0.5132543711223915</v>
      </c>
      <c r="K11" s="50" t="n">
        <v>0.5132543711223915</v>
      </c>
      <c r="L11" s="50" t="n">
        <v>0.5132543711223915</v>
      </c>
      <c r="M11" s="50" t="n">
        <v>0.5132543711223915</v>
      </c>
      <c r="N11" s="50" t="n">
        <v>0.5132543711223915</v>
      </c>
      <c r="O11" s="50" t="n">
        <v>0.5132543711223915</v>
      </c>
      <c r="P11" s="50" t="n">
        <v>0.5132543711223915</v>
      </c>
    </row>
    <row r="12">
      <c r="A12" s="4" t="inlineStr">
        <is>
          <t>R&amp;D / Technology</t>
        </is>
      </c>
      <c r="B12" s="28">
        <f>SUM(Financials!H7:K7)</f>
        <v/>
      </c>
      <c r="C12" s="28">
        <f>SUM(Financials!L7:O7)</f>
        <v/>
      </c>
      <c r="D12" s="28">
        <f>SUM(Financials!P7:S7)</f>
        <v/>
      </c>
      <c r="E12" s="28">
        <f>SUM(Financials!T7:W7)</f>
        <v/>
      </c>
      <c r="F12" s="28">
        <f>SUM(Financials!X7:AA7)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0.1258460236886633</v>
      </c>
      <c r="H13" s="50" t="n">
        <v>0.1258460236886633</v>
      </c>
      <c r="I13" s="50" t="n">
        <v>0.1258460236886633</v>
      </c>
      <c r="J13" s="50" t="n">
        <v>0.1258460236886633</v>
      </c>
      <c r="K13" s="50" t="n">
        <v>0.1258460236886633</v>
      </c>
      <c r="L13" s="50" t="n">
        <v>0.1258460236886633</v>
      </c>
      <c r="M13" s="50" t="n">
        <v>0.1258460236886633</v>
      </c>
      <c r="N13" s="50" t="n">
        <v>0.1258460236886633</v>
      </c>
      <c r="O13" s="50" t="n">
        <v>0.1258460236886633</v>
      </c>
      <c r="P13" s="50" t="n">
        <v>0.1258460236886633</v>
      </c>
    </row>
    <row r="14">
      <c r="A14" s="4" t="inlineStr">
        <is>
          <t>SG&amp;A</t>
        </is>
      </c>
      <c r="B14" s="28">
        <f>SUM(Financials!H9:K9)</f>
        <v/>
      </c>
      <c r="C14" s="28">
        <f>SUM(Financials!L9:O9)</f>
        <v/>
      </c>
      <c r="D14" s="28">
        <f>SUM(Financials!P9:S9)</f>
        <v/>
      </c>
      <c r="E14" s="28">
        <f>SUM(Financials!T9:W9)</f>
        <v/>
      </c>
      <c r="F14" s="28">
        <f>SUM(Financials!X9:AA9)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0.06232374506486182</v>
      </c>
      <c r="H15" s="50" t="n">
        <v>0.06232374506486182</v>
      </c>
      <c r="I15" s="50" t="n">
        <v>0.06232374506486182</v>
      </c>
      <c r="J15" s="50" t="n">
        <v>0.06232374506486182</v>
      </c>
      <c r="K15" s="50" t="n">
        <v>0.06232374506486182</v>
      </c>
      <c r="L15" s="50" t="n">
        <v>0.06232374506486182</v>
      </c>
      <c r="M15" s="50" t="n">
        <v>0.06232374506486182</v>
      </c>
      <c r="N15" s="50" t="n">
        <v>0.06232374506486182</v>
      </c>
      <c r="O15" s="50" t="n">
        <v>0.06232374506486182</v>
      </c>
      <c r="P15" s="50" t="n">
        <v>0.06232374506486182</v>
      </c>
    </row>
    <row r="16">
      <c r="A16" s="4" t="inlineStr">
        <is>
          <t>Other opex (fulfilment, etc.)</t>
        </is>
      </c>
      <c r="B16" s="28">
        <f>B6-(B10+B12+B14)-SUM(Financials!H13:K13)</f>
        <v/>
      </c>
      <c r="C16" s="28">
        <f>C6-(C10+C12+C14)-SUM(Financials!L13:O13)</f>
        <v/>
      </c>
      <c r="D16" s="28">
        <f>D6-(D10+D12+D14)-SUM(Financials!P13:S13)</f>
        <v/>
      </c>
      <c r="E16" s="28">
        <f>E6-(E10+E12+E14)-SUM(Financials!T13:W13)</f>
        <v/>
      </c>
      <c r="F16" s="28">
        <f>F6-(F10+F12+F14)-SUM(Financials!X13:AA13)</f>
        <v/>
      </c>
      <c r="G16" s="28">
        <f>G6*(1-(Dashboard!$B$29+(Dashboard!$B$30-Dashboard!$B$29)*MIN(1,0/3)))-(G10+G12+G14)</f>
        <v/>
      </c>
      <c r="H16" s="28">
        <f>H6*(1-(Dashboard!$B$29+(Dashboard!$B$30-Dashboard!$B$29)*MIN(1,1/3)))-(H10+H12+H14)</f>
        <v/>
      </c>
      <c r="I16" s="28">
        <f>I6*(1-(Dashboard!$B$29+(Dashboard!$B$30-Dashboard!$B$29)*MIN(1,2/3)))-(I10+I12+I14)</f>
        <v/>
      </c>
      <c r="J16" s="28">
        <f>J6*(1-(Dashboard!$B$29+(Dashboard!$B$30-Dashboard!$B$29)*MIN(1,3/3)))-(J10+J12+J14)</f>
        <v/>
      </c>
      <c r="K16" s="28">
        <f>K6*(1-(Dashboard!$B$29+(Dashboard!$B$30-Dashboard!$B$29)*MIN(1,4/3)))-(K10+K12+K14)</f>
        <v/>
      </c>
      <c r="L16" s="28">
        <f>L6*(1-(Dashboard!$B$29+(Dashboard!$B$30-Dashboard!$B$29)*MIN(1,5/3)))-(L10+L12+L14)</f>
        <v/>
      </c>
      <c r="M16" s="28">
        <f>M6*(1-(Dashboard!$B$29+(Dashboard!$B$30-Dashboard!$B$29)*MIN(1,6/3)))-(M10+M12+M14)</f>
        <v/>
      </c>
      <c r="N16" s="28">
        <f>N6*(1-(Dashboard!$B$29+(Dashboard!$B$30-Dashboard!$B$29)*MIN(1,7/3)))-(N10+N12+N14)</f>
        <v/>
      </c>
      <c r="O16" s="28">
        <f>O6*(1-(Dashboard!$B$29+(Dashboard!$B$30-Dashboard!$B$29)*MIN(1,8/3)))-(O10+O12+O14)</f>
        <v/>
      </c>
      <c r="P16" s="28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SUM(Financials!H27:K27)</f>
        <v/>
      </c>
      <c r="C24" s="28">
        <f>SUM(Financials!L27:O27)</f>
        <v/>
      </c>
      <c r="D24" s="28">
        <f>SUM(Financials!P27:S27)</f>
        <v/>
      </c>
      <c r="E24" s="28">
        <f>SUM(Financials!T27:W27)</f>
        <v/>
      </c>
      <c r="F24" s="28">
        <f>SUM(Financials!X27:AA27)</f>
        <v/>
      </c>
      <c r="G24" s="32">
        <f>G6*0.0152</f>
        <v/>
      </c>
      <c r="H24" s="32">
        <f>H6*0.0152</f>
        <v/>
      </c>
      <c r="I24" s="32">
        <f>I6*0.0152</f>
        <v/>
      </c>
      <c r="J24" s="32">
        <f>J6*0.0152</f>
        <v/>
      </c>
      <c r="K24" s="32">
        <f>K6*0.0152</f>
        <v/>
      </c>
      <c r="L24" s="32">
        <f>L6*0.0152</f>
        <v/>
      </c>
      <c r="M24" s="32">
        <f>M6*0.0152</f>
        <v/>
      </c>
      <c r="N24" s="32">
        <f>N6*0.0152</f>
        <v/>
      </c>
      <c r="O24" s="32">
        <f>O6*0.0152</f>
        <v/>
      </c>
      <c r="P24" s="32">
        <f>P6*0.0152</f>
        <v/>
      </c>
    </row>
    <row r="25">
      <c r="A25" s="4" t="inlineStr">
        <is>
          <t>+ SBC (non-cash)</t>
        </is>
      </c>
      <c r="B25" s="28">
        <f>SUM(Financials!H28:K28)</f>
        <v/>
      </c>
      <c r="C25" s="28">
        <f>SUM(Financials!L28:O28)</f>
        <v/>
      </c>
      <c r="D25" s="28">
        <f>SUM(Financials!P28:S28)</f>
        <v/>
      </c>
      <c r="E25" s="28">
        <f>SUM(Financials!T28:W28)</f>
        <v/>
      </c>
      <c r="F25" s="28">
        <f>SUM(Financials!X28:AA28)</f>
        <v/>
      </c>
      <c r="G25" s="32">
        <f>G6*0.0230</f>
        <v/>
      </c>
      <c r="H25" s="32">
        <f>H6*0.0220</f>
        <v/>
      </c>
      <c r="I25" s="32">
        <f>I6*0.0210</f>
        <v/>
      </c>
      <c r="J25" s="32">
        <f>J6*0.0199</f>
        <v/>
      </c>
      <c r="K25" s="32">
        <f>K6*0.0189</f>
        <v/>
      </c>
      <c r="L25" s="32">
        <f>L6*0.0179</f>
        <v/>
      </c>
      <c r="M25" s="32">
        <f>M6*0.0169</f>
        <v/>
      </c>
      <c r="N25" s="32">
        <f>N6*0.0159</f>
        <v/>
      </c>
      <c r="O25" s="32">
        <f>O6*0.0148</f>
        <v/>
      </c>
      <c r="P25" s="32">
        <f>P6*0.0138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-SUM(Financials!H31:K31)</f>
        <v/>
      </c>
      <c r="C27" s="28">
        <f>-SUM(Financials!L31:O31)</f>
        <v/>
      </c>
      <c r="D27" s="28">
        <f>-SUM(Financials!P31:S31)</f>
        <v/>
      </c>
      <c r="E27" s="28">
        <f>-SUM(Financials!T31:W31)</f>
        <v/>
      </c>
      <c r="F27" s="28">
        <f>-SUM(Financials!X31:AA31)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Financials!K25+Financials!K24-Financials!K19</f>
        <v/>
      </c>
      <c r="C34" s="28">
        <f>Financials!O25+Financials!O24-Financials!O19</f>
        <v/>
      </c>
      <c r="D34" s="28">
        <f>Financials!S25+Financials!S24-Financials!S19</f>
        <v/>
      </c>
      <c r="E34" s="28">
        <f>Financials!W25+Financials!W24-Financials!W19</f>
        <v/>
      </c>
      <c r="F34" s="28">
        <f>Financials!AA25+Financials!AA24-Financials!AA19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Financials!K25</f>
        <v/>
      </c>
      <c r="C35" s="28">
        <f>Financials!O25</f>
        <v/>
      </c>
      <c r="D35" s="28">
        <f>Financials!S25</f>
        <v/>
      </c>
      <c r="E35" s="28">
        <f>Financials!W25</f>
        <v/>
      </c>
      <c r="F35" s="28">
        <f>Financials!AA25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IFERROR(SUM(Financials!L15:O15)/B35,"")</f>
        <v/>
      </c>
      <c r="D37" s="48">
        <f>IFERROR(SUM(Financials!P15:S15)/C35,"")</f>
        <v/>
      </c>
      <c r="E37" s="48">
        <f>IFERROR(SUM(Financials!T15:W15)/D35,"")</f>
        <v/>
      </c>
      <c r="F37" s="48">
        <f>IFERROR(SUM(Financials!X15:AA15)/E35,"")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Q3 2019</t>
        </is>
      </c>
      <c r="C1" s="36" t="inlineStr">
        <is>
          <t>Q4 2019</t>
        </is>
      </c>
      <c r="D1" s="36" t="inlineStr">
        <is>
          <t>Q1 2020</t>
        </is>
      </c>
      <c r="E1" s="36" t="inlineStr">
        <is>
          <t>Q2 2020</t>
        </is>
      </c>
      <c r="F1" s="36" t="inlineStr">
        <is>
          <t>Q3 2020</t>
        </is>
      </c>
      <c r="G1" s="36" t="inlineStr">
        <is>
          <t>Q4 2020</t>
        </is>
      </c>
      <c r="H1" s="36" t="inlineStr">
        <is>
          <t>Q1 2021</t>
        </is>
      </c>
      <c r="I1" s="36" t="inlineStr">
        <is>
          <t>Q2 2021</t>
        </is>
      </c>
      <c r="J1" s="36" t="inlineStr">
        <is>
          <t>Q3 2021</t>
        </is>
      </c>
      <c r="K1" s="36" t="inlineStr">
        <is>
          <t>Q4 2021</t>
        </is>
      </c>
      <c r="L1" s="36" t="inlineStr">
        <is>
          <t>Q1 2022</t>
        </is>
      </c>
      <c r="M1" s="36" t="inlineStr">
        <is>
          <t>Q2 2022</t>
        </is>
      </c>
      <c r="N1" s="36" t="inlineStr">
        <is>
          <t>Q3 2022</t>
        </is>
      </c>
      <c r="O1" s="36" t="inlineStr">
        <is>
          <t>Q4 2022</t>
        </is>
      </c>
      <c r="P1" s="36" t="inlineStr">
        <is>
          <t>Q1 2023</t>
        </is>
      </c>
      <c r="Q1" s="36" t="inlineStr">
        <is>
          <t>Q2 2023</t>
        </is>
      </c>
      <c r="R1" s="36" t="inlineStr">
        <is>
          <t>Q3 2023</t>
        </is>
      </c>
      <c r="S1" s="36" t="inlineStr">
        <is>
          <t>Q4 2023</t>
        </is>
      </c>
      <c r="T1" s="36" t="inlineStr">
        <is>
          <t>Q1 2024</t>
        </is>
      </c>
      <c r="U1" s="36" t="inlineStr">
        <is>
          <t>Q2 2024</t>
        </is>
      </c>
      <c r="V1" s="36" t="inlineStr">
        <is>
          <t>Q3 2024</t>
        </is>
      </c>
      <c r="W1" s="36" t="inlineStr">
        <is>
          <t>Q4 2024</t>
        </is>
      </c>
      <c r="X1" s="36" t="inlineStr">
        <is>
          <t>Q1 2025</t>
        </is>
      </c>
      <c r="Y1" s="36" t="inlineStr">
        <is>
          <t>Q2 2025</t>
        </is>
      </c>
      <c r="Z1" s="36" t="inlineStr">
        <is>
          <t>Q3 2025</t>
        </is>
      </c>
      <c r="AA1" s="36" t="inlineStr">
        <is>
          <t>Q4 2025</t>
        </is>
      </c>
      <c r="AB1" s="36" t="inlineStr">
        <is>
          <t>Q1 2026</t>
        </is>
      </c>
      <c r="AC1" s="36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3562</v>
      </c>
      <c r="C3" s="18" t="n">
        <v>3754</v>
      </c>
      <c r="D3" s="18" t="n">
        <v>4162</v>
      </c>
      <c r="E3" s="18" t="n">
        <v>3957</v>
      </c>
      <c r="F3" s="18" t="n">
        <v>4395</v>
      </c>
      <c r="G3" s="18" t="n">
        <v>4688</v>
      </c>
      <c r="H3" s="18" t="n">
        <v>5162</v>
      </c>
      <c r="I3" s="18" t="n">
        <v>5582</v>
      </c>
      <c r="J3" s="18" t="n">
        <v>6196</v>
      </c>
      <c r="K3" s="18" t="n">
        <v>6123</v>
      </c>
      <c r="L3" s="18" t="n">
        <v>6271</v>
      </c>
      <c r="M3" s="18" t="n">
        <v>6245</v>
      </c>
      <c r="N3" s="18" t="n">
        <v>6520</v>
      </c>
      <c r="O3" s="18" t="n">
        <v>6749</v>
      </c>
      <c r="P3" s="18" t="n">
        <v>6739</v>
      </c>
      <c r="Q3" s="18" t="n">
        <v>6630</v>
      </c>
      <c r="R3" s="18" t="n">
        <v>6425</v>
      </c>
      <c r="S3" s="18" t="n">
        <v>6723</v>
      </c>
      <c r="T3" s="18" t="n">
        <v>6707</v>
      </c>
      <c r="U3" s="18" t="n">
        <v>6646</v>
      </c>
      <c r="V3" s="18" t="n">
        <v>6778</v>
      </c>
      <c r="W3" s="18" t="n">
        <v>7045</v>
      </c>
      <c r="X3" s="18" t="n">
        <v>7166</v>
      </c>
      <c r="Y3" s="18" t="n">
        <v>7100</v>
      </c>
      <c r="Z3" s="18" t="n">
        <v>7302</v>
      </c>
      <c r="AA3" s="18" t="n">
        <v>6800</v>
      </c>
      <c r="AB3" s="18" t="n">
        <v>7012</v>
      </c>
      <c r="AC3" s="18" t="n">
        <v>7910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2005</v>
      </c>
      <c r="C5" s="18" t="n">
        <v>2120</v>
      </c>
      <c r="D5" s="18" t="n">
        <v>2304</v>
      </c>
      <c r="E5" s="18" t="n">
        <v>2208</v>
      </c>
      <c r="F5" s="18" t="n">
        <v>2440</v>
      </c>
      <c r="G5" s="18" t="n">
        <v>2558</v>
      </c>
      <c r="H5" s="18" t="n">
        <v>2813</v>
      </c>
      <c r="I5" s="18" t="n">
        <v>2929</v>
      </c>
      <c r="J5" s="18" t="n">
        <v>3229</v>
      </c>
      <c r="K5" s="18" t="n">
        <v>3178</v>
      </c>
      <c r="L5" s="18" t="n">
        <v>3312</v>
      </c>
      <c r="M5" s="18" t="n">
        <v>3318</v>
      </c>
      <c r="N5" s="18" t="n">
        <v>3514</v>
      </c>
      <c r="O5" s="18" t="n">
        <v>3648</v>
      </c>
      <c r="P5" s="18" t="n">
        <v>3594</v>
      </c>
      <c r="Q5" s="18" t="n">
        <v>3536</v>
      </c>
      <c r="R5" s="18" t="n">
        <v>3449</v>
      </c>
      <c r="S5" s="18" t="n">
        <v>3554</v>
      </c>
      <c r="T5" s="18" t="n">
        <v>3503</v>
      </c>
      <c r="U5" s="18" t="n">
        <v>3493</v>
      </c>
      <c r="V5" s="18" t="n">
        <v>3573</v>
      </c>
      <c r="W5" s="18" t="n">
        <v>3710</v>
      </c>
      <c r="X5" s="18" t="n">
        <v>3670</v>
      </c>
      <c r="Y5" s="18" t="n">
        <v>3615</v>
      </c>
      <c r="Z5" s="18" t="n">
        <v>3740</v>
      </c>
      <c r="AA5" s="18" t="n">
        <v>3535</v>
      </c>
      <c r="AB5" s="18" t="n">
        <v>3577</v>
      </c>
      <c r="AC5" s="18" t="n">
        <v>3963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515</v>
      </c>
      <c r="C7" s="18" t="n">
        <v>515</v>
      </c>
      <c r="D7" s="18" t="n">
        <v>552</v>
      </c>
      <c r="E7" s="18" t="n">
        <v>550</v>
      </c>
      <c r="F7" s="18" t="n">
        <v>572</v>
      </c>
      <c r="G7" s="18" t="n">
        <v>560</v>
      </c>
      <c r="H7" s="18" t="n">
        <v>606</v>
      </c>
      <c r="I7" s="18" t="n">
        <v>617</v>
      </c>
      <c r="J7" s="18" t="n">
        <v>640</v>
      </c>
      <c r="K7" s="18" t="n">
        <v>622</v>
      </c>
      <c r="L7" s="18" t="n">
        <v>654</v>
      </c>
      <c r="M7" s="18" t="n">
        <v>686</v>
      </c>
      <c r="N7" s="18" t="n">
        <v>705</v>
      </c>
      <c r="O7" s="18" t="n">
        <v>726</v>
      </c>
      <c r="P7" s="18" t="n">
        <v>771</v>
      </c>
      <c r="Q7" s="18" t="n">
        <v>775</v>
      </c>
      <c r="R7" s="18" t="n">
        <v>767</v>
      </c>
      <c r="S7" s="18" t="n">
        <v>789</v>
      </c>
      <c r="T7" s="18" t="n">
        <v>754</v>
      </c>
      <c r="U7" s="18" t="n">
        <v>785</v>
      </c>
      <c r="V7" s="18" t="n">
        <v>836</v>
      </c>
      <c r="W7" s="18" t="n">
        <v>858</v>
      </c>
      <c r="X7" s="18" t="n">
        <v>859</v>
      </c>
      <c r="Y7" s="18" t="n">
        <v>893</v>
      </c>
      <c r="Z7" s="18" t="n">
        <v>901</v>
      </c>
      <c r="AA7" s="18" t="n">
        <v>917</v>
      </c>
      <c r="AB7" s="18" t="n">
        <v>928</v>
      </c>
      <c r="AC7" s="18" t="n">
        <v>1027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240</v>
      </c>
      <c r="C9" s="18" t="n">
        <v>255</v>
      </c>
      <c r="D9" s="18" t="n">
        <v>264</v>
      </c>
      <c r="E9" s="18" t="n">
        <v>267</v>
      </c>
      <c r="F9" s="18" t="n">
        <v>275</v>
      </c>
      <c r="G9" s="18" t="n">
        <v>287</v>
      </c>
      <c r="H9" s="18" t="n">
        <v>308</v>
      </c>
      <c r="I9" s="18" t="n">
        <v>297</v>
      </c>
      <c r="J9" s="18" t="n">
        <v>314</v>
      </c>
      <c r="K9" s="18" t="n">
        <v>310</v>
      </c>
      <c r="L9" s="18" t="n">
        <v>333</v>
      </c>
      <c r="M9" s="18" t="n">
        <v>347</v>
      </c>
      <c r="N9" s="18" t="n">
        <v>377</v>
      </c>
      <c r="O9" s="18" t="n">
        <v>381</v>
      </c>
      <c r="P9" s="18" t="n">
        <v>404</v>
      </c>
      <c r="Q9" s="18" t="n">
        <v>408</v>
      </c>
      <c r="R9" s="18" t="n">
        <v>407</v>
      </c>
      <c r="S9" s="18" t="n">
        <v>409</v>
      </c>
      <c r="T9" s="18" t="n">
        <v>483</v>
      </c>
      <c r="U9" s="18" t="n">
        <v>456</v>
      </c>
      <c r="V9" s="18" t="n">
        <v>427</v>
      </c>
      <c r="W9" s="18" t="n">
        <v>431</v>
      </c>
      <c r="X9" s="18" t="n">
        <v>462</v>
      </c>
      <c r="Y9" s="18" t="n">
        <v>423</v>
      </c>
      <c r="Z9" s="18" t="n">
        <v>428</v>
      </c>
      <c r="AA9" s="18" t="n">
        <v>455</v>
      </c>
      <c r="AB9" s="18" t="n">
        <v>411</v>
      </c>
      <c r="AC9" s="18" t="n">
        <v>397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1557</v>
      </c>
      <c r="C11" s="18" t="n">
        <v>1634</v>
      </c>
      <c r="D11" s="18" t="n">
        <v>1858</v>
      </c>
      <c r="E11" s="18" t="n">
        <v>1749</v>
      </c>
      <c r="F11" s="18" t="n">
        <v>1955</v>
      </c>
      <c r="G11" s="18" t="n">
        <v>2130</v>
      </c>
      <c r="H11" s="18" t="n">
        <v>2349</v>
      </c>
      <c r="I11" s="18" t="n">
        <v>2653</v>
      </c>
      <c r="J11" s="18" t="n">
        <v>2967</v>
      </c>
      <c r="K11" s="18" t="n">
        <v>2945</v>
      </c>
      <c r="L11" s="18" t="n">
        <v>2959</v>
      </c>
      <c r="M11" s="18" t="n">
        <v>2927</v>
      </c>
      <c r="N11" s="18" t="n">
        <v>3006</v>
      </c>
      <c r="O11" s="18" t="n">
        <v>3101</v>
      </c>
      <c r="P11" s="18" t="n">
        <v>3145</v>
      </c>
      <c r="Q11" s="18" t="n">
        <v>3094</v>
      </c>
      <c r="R11" s="18" t="n">
        <v>2976</v>
      </c>
      <c r="S11" s="18" t="n">
        <v>3169</v>
      </c>
      <c r="T11" s="18" t="n">
        <v>3204</v>
      </c>
      <c r="U11" s="18" t="n">
        <v>3153</v>
      </c>
      <c r="V11" s="18" t="n">
        <v>3205</v>
      </c>
      <c r="W11" s="18" t="n">
        <v>3335</v>
      </c>
      <c r="X11" s="18" t="n">
        <v>3496</v>
      </c>
      <c r="Y11" s="18" t="n">
        <v>3485</v>
      </c>
      <c r="Z11" s="18" t="n">
        <v>3562</v>
      </c>
      <c r="AA11" s="18" t="n">
        <v>3265</v>
      </c>
      <c r="AB11" s="18" t="n">
        <v>3435</v>
      </c>
      <c r="AC11" s="18" t="n">
        <v>3947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802</v>
      </c>
      <c r="C13" s="18" t="n">
        <v>864</v>
      </c>
      <c r="D13" s="18" t="n">
        <v>1042</v>
      </c>
      <c r="E13" s="18" t="n">
        <v>932</v>
      </c>
      <c r="F13" s="18" t="n">
        <v>1108</v>
      </c>
      <c r="G13" s="18" t="n">
        <v>1283</v>
      </c>
      <c r="H13" s="18" t="n">
        <v>1283</v>
      </c>
      <c r="I13" s="18" t="n">
        <v>1579</v>
      </c>
      <c r="J13" s="18" t="n">
        <v>2013</v>
      </c>
      <c r="K13" s="18" t="n">
        <v>2014</v>
      </c>
      <c r="L13" s="18" t="n">
        <v>1976</v>
      </c>
      <c r="M13" s="18" t="n">
        <v>1894</v>
      </c>
      <c r="N13" s="18" t="n">
        <v>1924</v>
      </c>
      <c r="O13" s="18" t="n">
        <v>1994</v>
      </c>
      <c r="P13" s="18" t="n">
        <v>1970</v>
      </c>
      <c r="Q13" s="18" t="n">
        <v>1911</v>
      </c>
      <c r="R13" s="18" t="n">
        <v>1802</v>
      </c>
      <c r="S13" s="18" t="n">
        <v>1971</v>
      </c>
      <c r="T13" s="18" t="n">
        <v>1967</v>
      </c>
      <c r="U13" s="18" t="n">
        <v>1912</v>
      </c>
      <c r="V13" s="18" t="n">
        <v>1942</v>
      </c>
      <c r="W13" s="18" t="n">
        <v>2046</v>
      </c>
      <c r="X13" s="18" t="n">
        <v>2175</v>
      </c>
      <c r="Y13" s="18" t="n">
        <v>2169</v>
      </c>
      <c r="Z13" s="18" t="n">
        <v>2233</v>
      </c>
      <c r="AA13" s="18" t="n">
        <v>1712</v>
      </c>
      <c r="AB13" s="18" t="n">
        <v>2096</v>
      </c>
      <c r="AC13" s="18" t="n">
        <v>2523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571</v>
      </c>
      <c r="C15" s="18" t="n">
        <v>698</v>
      </c>
      <c r="D15" s="18" t="n">
        <v>892</v>
      </c>
      <c r="E15" s="18" t="n">
        <v>755</v>
      </c>
      <c r="F15" s="18" t="n">
        <v>841</v>
      </c>
      <c r="G15" s="18" t="n">
        <v>1131</v>
      </c>
      <c r="H15" s="18" t="n">
        <v>1130</v>
      </c>
      <c r="I15" s="18" t="n">
        <v>1330</v>
      </c>
      <c r="J15" s="18" t="n">
        <v>1716</v>
      </c>
      <c r="K15" s="18" t="n">
        <v>1712</v>
      </c>
      <c r="L15" s="18" t="n">
        <v>1792</v>
      </c>
      <c r="M15" s="18" t="n">
        <v>1536</v>
      </c>
      <c r="N15" s="18" t="n">
        <v>1606</v>
      </c>
      <c r="O15" s="18" t="n">
        <v>1591</v>
      </c>
      <c r="P15" s="18" t="n">
        <v>1717</v>
      </c>
      <c r="Q15" s="18" t="n">
        <v>1575</v>
      </c>
      <c r="R15" s="18" t="n">
        <v>1560</v>
      </c>
      <c r="S15" s="18" t="n">
        <v>2004</v>
      </c>
      <c r="T15" s="18" t="n">
        <v>2019</v>
      </c>
      <c r="U15" s="18" t="n">
        <v>1722</v>
      </c>
      <c r="V15" s="18" t="n">
        <v>1705</v>
      </c>
      <c r="W15" s="18" t="n">
        <v>1731</v>
      </c>
      <c r="X15" s="18" t="n">
        <v>1185</v>
      </c>
      <c r="Y15" s="18" t="n">
        <v>2137</v>
      </c>
      <c r="Z15" s="18" t="n">
        <v>1779</v>
      </c>
      <c r="AA15" s="18" t="n">
        <v>1897</v>
      </c>
      <c r="AB15" s="18" t="n">
        <v>2026</v>
      </c>
      <c r="AC15" s="18" t="n">
        <v>2806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937</v>
      </c>
      <c r="C17" s="18" t="n">
        <v>931</v>
      </c>
      <c r="D17" s="18" t="n">
        <v>927</v>
      </c>
      <c r="E17" s="18" t="n">
        <v>923</v>
      </c>
      <c r="F17" s="18" t="n">
        <v>922</v>
      </c>
      <c r="G17" s="18" t="n">
        <v>921</v>
      </c>
      <c r="H17" s="18" t="n">
        <v>925</v>
      </c>
      <c r="I17" s="18" t="n">
        <v>927</v>
      </c>
      <c r="J17" s="18" t="n">
        <v>918</v>
      </c>
      <c r="K17" s="18" t="n">
        <v>907</v>
      </c>
      <c r="L17" s="18" t="n">
        <v>897</v>
      </c>
      <c r="M17" s="18" t="n">
        <v>883</v>
      </c>
      <c r="N17" s="18" t="n">
        <v>869</v>
      </c>
      <c r="O17" s="18" t="n">
        <v>859</v>
      </c>
      <c r="P17" s="18" t="n">
        <v>849</v>
      </c>
      <c r="Q17" s="18" t="n">
        <v>847</v>
      </c>
      <c r="R17" s="18" t="n">
        <v>842</v>
      </c>
      <c r="S17" s="18" t="n">
        <v>842</v>
      </c>
      <c r="T17" s="18" t="n">
        <v>837</v>
      </c>
      <c r="U17" s="18" t="n">
        <v>836</v>
      </c>
      <c r="V17" s="18" t="n">
        <v>833</v>
      </c>
      <c r="W17" s="18" t="n">
        <v>828</v>
      </c>
      <c r="X17" s="18" t="n">
        <v>819</v>
      </c>
      <c r="Y17" s="18" t="n">
        <v>815</v>
      </c>
      <c r="Z17" s="18" t="n">
        <v>811</v>
      </c>
      <c r="AA17" s="18" t="n">
        <v>798</v>
      </c>
      <c r="AB17" s="18" t="n">
        <v>799</v>
      </c>
      <c r="AC17" s="18" t="n">
        <v>799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3561</v>
      </c>
      <c r="C19" s="18" t="n">
        <v>3618</v>
      </c>
      <c r="D19" s="18" t="n">
        <v>3960</v>
      </c>
      <c r="E19" s="18" t="n">
        <v>5704</v>
      </c>
      <c r="F19" s="18" t="n">
        <v>4756</v>
      </c>
      <c r="G19" s="18" t="n">
        <v>5738</v>
      </c>
      <c r="H19" s="18" t="n">
        <v>6623</v>
      </c>
      <c r="I19" s="18" t="n">
        <v>6765</v>
      </c>
      <c r="J19" s="18" t="n">
        <v>6510</v>
      </c>
      <c r="K19" s="18" t="n">
        <v>5459</v>
      </c>
      <c r="L19" s="18" t="n">
        <v>5737</v>
      </c>
      <c r="M19" s="18" t="n">
        <v>3922</v>
      </c>
      <c r="N19" s="18" t="n">
        <v>3548</v>
      </c>
      <c r="O19" s="18" t="n">
        <v>2581</v>
      </c>
      <c r="P19" s="18" t="n">
        <v>4047</v>
      </c>
      <c r="Q19" s="18" t="n">
        <v>5098</v>
      </c>
      <c r="R19" s="18" t="n">
        <v>6535</v>
      </c>
      <c r="S19" s="18" t="n">
        <v>6869</v>
      </c>
      <c r="T19" s="18" t="n">
        <v>7492</v>
      </c>
      <c r="U19" s="18" t="n">
        <v>7557</v>
      </c>
      <c r="V19" s="18" t="n">
        <v>9103</v>
      </c>
      <c r="W19" s="18" t="n">
        <v>9471</v>
      </c>
      <c r="X19" s="18" t="n">
        <v>8213</v>
      </c>
      <c r="Y19" s="18" t="n">
        <v>6747</v>
      </c>
      <c r="Z19" s="18" t="n">
        <v>7014</v>
      </c>
      <c r="AA19" s="18" t="n">
        <v>8573</v>
      </c>
      <c r="AB19" s="18" t="n">
        <v>8511</v>
      </c>
      <c r="AC19" s="18" t="n">
        <v>8241</v>
      </c>
    </row>
    <row r="20">
      <c r="A20" s="4" t="inlineStr">
        <is>
          <t>Total Current Assets</t>
        </is>
      </c>
      <c r="B20" s="18" t="n">
        <v>10042</v>
      </c>
      <c r="C20" s="18" t="n">
        <v>10206</v>
      </c>
      <c r="D20" s="18" t="n">
        <v>10769</v>
      </c>
      <c r="E20" s="18" t="n">
        <v>12735</v>
      </c>
      <c r="F20" s="18" t="n">
        <v>12248</v>
      </c>
      <c r="G20" s="18" t="n">
        <v>13369</v>
      </c>
      <c r="H20" s="18" t="n">
        <v>14269</v>
      </c>
      <c r="I20" s="18" t="n">
        <v>14971</v>
      </c>
      <c r="J20" s="18" t="n">
        <v>15248</v>
      </c>
      <c r="K20" s="18" t="n">
        <v>16107</v>
      </c>
      <c r="L20" s="18" t="n">
        <v>15707</v>
      </c>
      <c r="M20" s="18" t="n">
        <v>15244</v>
      </c>
      <c r="N20" s="18" t="n">
        <v>15434</v>
      </c>
      <c r="O20" s="18" t="n">
        <v>15925</v>
      </c>
      <c r="P20" s="18" t="n">
        <v>16715</v>
      </c>
      <c r="Q20" s="18" t="n">
        <v>17773</v>
      </c>
      <c r="R20" s="18" t="n">
        <v>18879</v>
      </c>
      <c r="S20" s="18" t="n">
        <v>19147</v>
      </c>
      <c r="T20" s="18" t="n">
        <v>19182</v>
      </c>
      <c r="U20" s="18" t="n">
        <v>19265</v>
      </c>
      <c r="V20" s="18" t="n">
        <v>20671</v>
      </c>
      <c r="W20" s="18" t="n">
        <v>21220</v>
      </c>
      <c r="X20" s="18" t="n">
        <v>20694</v>
      </c>
      <c r="Y20" s="18" t="n">
        <v>19708</v>
      </c>
      <c r="Z20" s="18" t="n">
        <v>19718</v>
      </c>
      <c r="AA20" s="18" t="n">
        <v>20881</v>
      </c>
      <c r="AB20" s="18" t="n">
        <v>21049</v>
      </c>
      <c r="AC20" s="18" t="n">
        <v>22571</v>
      </c>
    </row>
    <row r="21">
      <c r="A21" s="4" t="inlineStr">
        <is>
          <t>PP&amp;E (net)</t>
        </is>
      </c>
      <c r="B21" s="18" t="n">
        <v>1513</v>
      </c>
      <c r="C21" s="18" t="n">
        <v>1529</v>
      </c>
      <c r="D21" s="18" t="n">
        <v>1711</v>
      </c>
      <c r="E21" s="18" t="n">
        <v>1776</v>
      </c>
      <c r="F21" s="18" t="n">
        <v>1784</v>
      </c>
      <c r="G21" s="18" t="n">
        <v>1856</v>
      </c>
      <c r="H21" s="18" t="n">
        <v>1879</v>
      </c>
      <c r="I21" s="18" t="n">
        <v>2014</v>
      </c>
      <c r="J21" s="18" t="n">
        <v>2076</v>
      </c>
      <c r="K21" s="18" t="n">
        <v>2228</v>
      </c>
      <c r="L21" s="18" t="n">
        <v>2270</v>
      </c>
      <c r="M21" s="18" t="n">
        <v>2463</v>
      </c>
      <c r="N21" s="18" t="n">
        <v>2595</v>
      </c>
      <c r="O21" s="18" t="n">
        <v>2696</v>
      </c>
      <c r="P21" s="18" t="n">
        <v>2978</v>
      </c>
      <c r="Q21" s="18" t="n">
        <v>3057</v>
      </c>
      <c r="R21" s="18" t="n">
        <v>3083</v>
      </c>
      <c r="S21" s="18" t="n">
        <v>3201</v>
      </c>
      <c r="T21" s="18" t="n">
        <v>3289</v>
      </c>
      <c r="U21" s="18" t="n">
        <v>3428</v>
      </c>
      <c r="V21" s="18" t="n">
        <v>3546</v>
      </c>
      <c r="W21" s="18" t="n">
        <v>3714</v>
      </c>
      <c r="X21" s="18" t="n">
        <v>3922</v>
      </c>
      <c r="Y21" s="18" t="n">
        <v>4266</v>
      </c>
      <c r="Z21" s="18" t="n">
        <v>4643</v>
      </c>
      <c r="AA21" s="18" t="n">
        <v>5119</v>
      </c>
      <c r="AB21" s="18" t="n">
        <v>4949</v>
      </c>
      <c r="AC21" s="18" t="n">
        <v>5255</v>
      </c>
    </row>
    <row r="22">
      <c r="A22" s="4" t="inlineStr">
        <is>
          <t>Total Assets</t>
        </is>
      </c>
      <c r="B22" s="18" t="n">
        <v>18805</v>
      </c>
      <c r="C22" s="18" t="n">
        <v>19035</v>
      </c>
      <c r="D22" s="18" t="n">
        <v>19767</v>
      </c>
      <c r="E22" s="18" t="n">
        <v>21815</v>
      </c>
      <c r="F22" s="18" t="n">
        <v>21171</v>
      </c>
      <c r="G22" s="18" t="n">
        <v>22353</v>
      </c>
      <c r="H22" s="18" t="n">
        <v>23305</v>
      </c>
      <c r="I22" s="18" t="n">
        <v>24085</v>
      </c>
      <c r="J22" s="18" t="n">
        <v>24479</v>
      </c>
      <c r="K22" s="18" t="n">
        <v>25825</v>
      </c>
      <c r="L22" s="18" t="n">
        <v>25428</v>
      </c>
      <c r="M22" s="18" t="n">
        <v>25459</v>
      </c>
      <c r="N22" s="18" t="n">
        <v>26161</v>
      </c>
      <c r="O22" s="18" t="n">
        <v>26726</v>
      </c>
      <c r="P22" s="18" t="n">
        <v>27959</v>
      </c>
      <c r="Q22" s="18" t="n">
        <v>29092</v>
      </c>
      <c r="R22" s="18" t="n">
        <v>30410</v>
      </c>
      <c r="S22" s="18" t="n">
        <v>30729</v>
      </c>
      <c r="T22" s="18" t="n">
        <v>31540</v>
      </c>
      <c r="U22" s="18" t="n">
        <v>31949</v>
      </c>
      <c r="V22" s="18" t="n">
        <v>33647</v>
      </c>
      <c r="W22" s="18" t="n">
        <v>34409</v>
      </c>
      <c r="X22" s="18" t="n">
        <v>33338</v>
      </c>
      <c r="Y22" s="18" t="n">
        <v>33632</v>
      </c>
      <c r="Z22" s="18" t="n">
        <v>34211</v>
      </c>
      <c r="AA22" s="18" t="n">
        <v>36299</v>
      </c>
      <c r="AB22" s="18" t="n">
        <v>37644</v>
      </c>
      <c r="AC22" s="18" t="n">
        <v>40286</v>
      </c>
    </row>
    <row r="23">
      <c r="A23" s="4" t="inlineStr">
        <is>
          <t>Total Current Liabilities</t>
        </is>
      </c>
      <c r="B23" s="18" t="n">
        <v>3785</v>
      </c>
      <c r="C23" s="18" t="n">
        <v>4447</v>
      </c>
      <c r="D23" s="18" t="n">
        <v>4569</v>
      </c>
      <c r="E23" s="18" t="n">
        <v>4765</v>
      </c>
      <c r="F23" s="18" t="n">
        <v>4285</v>
      </c>
      <c r="G23" s="18" t="n">
        <v>4459</v>
      </c>
      <c r="H23" s="18" t="n">
        <v>4504</v>
      </c>
      <c r="I23" s="18" t="n">
        <v>4822</v>
      </c>
      <c r="J23" s="18" t="n">
        <v>5125</v>
      </c>
      <c r="K23" s="18" t="n">
        <v>6344</v>
      </c>
      <c r="L23" s="18" t="n">
        <v>6264</v>
      </c>
      <c r="M23" s="18" t="n">
        <v>6650</v>
      </c>
      <c r="N23" s="18" t="n">
        <v>6833</v>
      </c>
      <c r="O23" s="18" t="n">
        <v>7379</v>
      </c>
      <c r="P23" s="18" t="n">
        <v>7250</v>
      </c>
      <c r="Q23" s="18" t="n">
        <v>7871</v>
      </c>
      <c r="R23" s="18" t="n">
        <v>8224</v>
      </c>
      <c r="S23" s="18" t="n">
        <v>7372</v>
      </c>
      <c r="T23" s="18" t="n">
        <v>7076</v>
      </c>
      <c r="U23" s="18" t="n">
        <v>6884</v>
      </c>
      <c r="V23" s="18" t="n">
        <v>7228</v>
      </c>
      <c r="W23" s="18" t="n">
        <v>8468</v>
      </c>
      <c r="X23" s="18" t="n">
        <v>7736</v>
      </c>
      <c r="Y23" s="18" t="n">
        <v>7996</v>
      </c>
      <c r="Z23" s="18" t="n">
        <v>7883</v>
      </c>
      <c r="AA23" s="18" t="n">
        <v>7999</v>
      </c>
      <c r="AB23" s="18" t="n">
        <v>7753</v>
      </c>
      <c r="AC23" s="18" t="n">
        <v>8998</v>
      </c>
    </row>
    <row r="24">
      <c r="A24" s="4" t="inlineStr">
        <is>
          <t>Long-term Debt</t>
        </is>
      </c>
      <c r="B24" s="18" t="n">
        <v>5312</v>
      </c>
      <c r="C24" s="18" t="n">
        <v>4713</v>
      </c>
      <c r="D24" s="18" t="n">
        <v>4714</v>
      </c>
      <c r="E24" s="18" t="n">
        <v>6215</v>
      </c>
      <c r="F24" s="18" t="n">
        <v>5447</v>
      </c>
      <c r="G24" s="18" t="n">
        <v>5448</v>
      </c>
      <c r="H24" s="18" t="n">
        <v>5449</v>
      </c>
      <c r="I24" s="18" t="n">
        <v>5450</v>
      </c>
      <c r="J24" s="18" t="n">
        <v>5451</v>
      </c>
      <c r="K24" s="18" t="n">
        <v>5452</v>
      </c>
      <c r="L24" s="18" t="n">
        <v>5454</v>
      </c>
      <c r="M24" s="18" t="n">
        <v>5455</v>
      </c>
      <c r="N24" s="18" t="n">
        <v>5456</v>
      </c>
      <c r="O24" s="18" t="n">
        <v>5457</v>
      </c>
      <c r="P24" s="18" t="n">
        <v>5458</v>
      </c>
      <c r="Q24" s="18" t="n">
        <v>5459</v>
      </c>
      <c r="R24" s="18" t="n">
        <v>5460</v>
      </c>
      <c r="S24" s="18" t="n">
        <v>5461</v>
      </c>
      <c r="T24" s="18" t="n">
        <v>5462</v>
      </c>
      <c r="U24" s="18" t="n">
        <v>5463</v>
      </c>
      <c r="V24" s="18" t="n">
        <v>6158</v>
      </c>
      <c r="W24" s="18" t="n">
        <v>5460</v>
      </c>
      <c r="X24" s="18" t="n">
        <v>5461</v>
      </c>
      <c r="Y24" s="18" t="n">
        <v>5462</v>
      </c>
      <c r="Z24" s="18" t="n">
        <v>5463</v>
      </c>
      <c r="AA24" s="18" t="n">
        <v>6455</v>
      </c>
      <c r="AB24" s="18" t="n">
        <v>6453</v>
      </c>
      <c r="AC24" s="18" t="n">
        <v>5256</v>
      </c>
    </row>
    <row r="25">
      <c r="A25" s="4" t="inlineStr">
        <is>
          <t>Total Equity</t>
        </is>
      </c>
      <c r="B25" s="18" t="n">
        <v>8116</v>
      </c>
      <c r="C25" s="18" t="n">
        <v>8214</v>
      </c>
      <c r="D25" s="18" t="n">
        <v>8660</v>
      </c>
      <c r="E25" s="18" t="n">
        <v>9024</v>
      </c>
      <c r="F25" s="18" t="n">
        <v>9569</v>
      </c>
      <c r="G25" s="18" t="n">
        <v>10578</v>
      </c>
      <c r="H25" s="18" t="n">
        <v>11473</v>
      </c>
      <c r="I25" s="18" t="n">
        <v>11993</v>
      </c>
      <c r="J25" s="18" t="n">
        <v>12060</v>
      </c>
      <c r="K25" s="18" t="n">
        <v>12247</v>
      </c>
      <c r="L25" s="18" t="n">
        <v>11890</v>
      </c>
      <c r="M25" s="18" t="n">
        <v>11579</v>
      </c>
      <c r="N25" s="18" t="n">
        <v>12070</v>
      </c>
      <c r="O25" s="18" t="n">
        <v>12194</v>
      </c>
      <c r="P25" s="18" t="n">
        <v>13420</v>
      </c>
      <c r="Q25" s="18" t="n">
        <v>14129</v>
      </c>
      <c r="R25" s="18" t="n">
        <v>15093</v>
      </c>
      <c r="S25" s="18" t="n">
        <v>16349</v>
      </c>
      <c r="T25" s="18" t="n">
        <v>17429</v>
      </c>
      <c r="U25" s="18" t="n">
        <v>18199</v>
      </c>
      <c r="V25" s="18" t="n">
        <v>18840</v>
      </c>
      <c r="W25" s="18" t="n">
        <v>19001</v>
      </c>
      <c r="X25" s="18" t="n">
        <v>18625</v>
      </c>
      <c r="Y25" s="18" t="n">
        <v>18961</v>
      </c>
      <c r="Z25" s="18" t="n">
        <v>19504</v>
      </c>
      <c r="AA25" s="18" t="n">
        <v>20415</v>
      </c>
      <c r="AB25" s="18" t="n">
        <v>21717</v>
      </c>
      <c r="AC25" s="18" t="n">
        <v>23909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89</v>
      </c>
      <c r="C27" s="18" t="n">
        <v>92</v>
      </c>
      <c r="D27" s="18" t="n">
        <v>94</v>
      </c>
      <c r="E27" s="18" t="n">
        <v>91</v>
      </c>
      <c r="F27" s="18" t="n">
        <v>94</v>
      </c>
      <c r="G27" s="18" t="n">
        <v>97</v>
      </c>
      <c r="H27" s="18" t="n">
        <v>94</v>
      </c>
      <c r="I27" s="18" t="n">
        <v>97</v>
      </c>
      <c r="J27" s="18" t="n">
        <v>98</v>
      </c>
      <c r="K27" s="18" t="n">
        <v>105</v>
      </c>
      <c r="L27" s="18" t="n">
        <v>102</v>
      </c>
      <c r="M27" s="18" t="n">
        <v>111</v>
      </c>
      <c r="N27" s="18" t="n">
        <v>108</v>
      </c>
      <c r="O27" s="18" t="n">
        <v>123</v>
      </c>
      <c r="P27" s="18" t="n">
        <v>120</v>
      </c>
      <c r="Q27" s="18" t="n">
        <v>129</v>
      </c>
      <c r="R27" s="18" t="n">
        <v>136</v>
      </c>
      <c r="S27" s="18" t="n">
        <v>130</v>
      </c>
      <c r="T27" s="18" t="n">
        <v>91</v>
      </c>
      <c r="U27" s="18" t="n">
        <v>96</v>
      </c>
      <c r="V27" s="18" t="n">
        <v>95</v>
      </c>
      <c r="W27" s="18" t="n">
        <v>110</v>
      </c>
      <c r="X27" s="18" t="n">
        <v>105</v>
      </c>
      <c r="Y27" s="18" t="n">
        <v>103</v>
      </c>
      <c r="Z27" s="18" t="n">
        <v>113</v>
      </c>
      <c r="AA27" s="18" t="n">
        <v>110</v>
      </c>
      <c r="AB27" s="18" t="n">
        <v>127</v>
      </c>
      <c r="AC27" s="18" t="n">
        <v>-8</v>
      </c>
    </row>
    <row r="28">
      <c r="A28" s="4" t="inlineStr">
        <is>
          <t>Stock-based Compensation</t>
        </is>
      </c>
      <c r="B28" s="18" t="n">
        <v>67</v>
      </c>
      <c r="C28" s="18" t="n">
        <v>66</v>
      </c>
      <c r="D28" s="18" t="n">
        <v>93</v>
      </c>
      <c r="E28" s="18" t="n">
        <v>71</v>
      </c>
      <c r="F28" s="18" t="n">
        <v>70</v>
      </c>
      <c r="G28" s="18" t="n">
        <v>73</v>
      </c>
      <c r="H28" s="18" t="n">
        <v>107</v>
      </c>
      <c r="I28" s="18" t="n">
        <v>84</v>
      </c>
      <c r="J28" s="18" t="n">
        <v>81</v>
      </c>
      <c r="K28" s="18" t="n">
        <v>74</v>
      </c>
      <c r="L28" s="18" t="n">
        <v>118</v>
      </c>
      <c r="M28" s="18" t="n">
        <v>101</v>
      </c>
      <c r="N28" s="18" t="n">
        <v>95</v>
      </c>
      <c r="O28" s="18" t="n">
        <v>99</v>
      </c>
      <c r="P28" s="18" t="n">
        <v>148</v>
      </c>
      <c r="Q28" s="18" t="n">
        <v>113</v>
      </c>
      <c r="R28" s="18" t="n">
        <v>114</v>
      </c>
      <c r="S28" s="18" t="n">
        <v>115</v>
      </c>
      <c r="T28" s="18" t="n">
        <v>170</v>
      </c>
      <c r="U28" s="18" t="n">
        <v>134</v>
      </c>
      <c r="V28" s="18" t="n">
        <v>132</v>
      </c>
      <c r="W28" s="18" t="n">
        <v>141</v>
      </c>
      <c r="X28" s="18" t="n">
        <v>195</v>
      </c>
      <c r="Y28" s="18" t="n">
        <v>159</v>
      </c>
      <c r="Z28" s="18" t="n">
        <v>158</v>
      </c>
      <c r="AA28" s="18" t="n">
        <v>141</v>
      </c>
      <c r="AB28" s="18" t="n">
        <v>207</v>
      </c>
      <c r="AC28" s="18" t="n">
        <v>38</v>
      </c>
    </row>
    <row r="29">
      <c r="A29" s="4" t="inlineStr">
        <is>
          <t>Change in Working Capital</t>
        </is>
      </c>
      <c r="B29" s="18" t="n">
        <v>62</v>
      </c>
      <c r="C29" s="18" t="n">
        <v>-22</v>
      </c>
      <c r="D29" s="18" t="n">
        <v>-137</v>
      </c>
      <c r="E29" s="18" t="n">
        <v>-278</v>
      </c>
      <c r="F29" s="18" t="n">
        <v>-250</v>
      </c>
      <c r="G29" s="18" t="n">
        <v>27</v>
      </c>
      <c r="H29" s="18" t="n">
        <v>-86</v>
      </c>
      <c r="I29" s="18" t="n">
        <v>-306</v>
      </c>
      <c r="J29" s="18" t="n">
        <v>-214</v>
      </c>
      <c r="K29" s="18" t="n">
        <v>-738</v>
      </c>
      <c r="L29" s="18" t="n">
        <v>633</v>
      </c>
      <c r="M29" s="18" t="n">
        <v>-1052</v>
      </c>
      <c r="N29" s="18" t="n">
        <v>-409</v>
      </c>
      <c r="O29" s="18" t="n">
        <v>-964</v>
      </c>
      <c r="P29" s="18" t="n">
        <v>299</v>
      </c>
      <c r="Q29" s="18" t="n">
        <v>423</v>
      </c>
      <c r="R29" s="18" t="n">
        <v>796</v>
      </c>
      <c r="S29" s="18" t="n">
        <v>-743</v>
      </c>
      <c r="T29" s="18" t="n">
        <v>352</v>
      </c>
      <c r="U29" s="18" t="n">
        <v>-414</v>
      </c>
      <c r="V29" s="18" t="n">
        <v>584</v>
      </c>
      <c r="W29" s="18" t="n">
        <v>595</v>
      </c>
      <c r="X29" s="18" t="n">
        <v>-1323</v>
      </c>
      <c r="Y29" s="18" t="n">
        <v>-723</v>
      </c>
      <c r="Z29" s="18" t="n">
        <v>588</v>
      </c>
      <c r="AA29" s="18" t="n">
        <v>1258</v>
      </c>
      <c r="AB29" s="18" t="n">
        <v>-394</v>
      </c>
      <c r="AC29" s="18" t="n">
        <v>1573</v>
      </c>
    </row>
    <row r="30">
      <c r="A30" s="4" t="inlineStr">
        <is>
          <t>Operating Cash Flow</t>
        </is>
      </c>
      <c r="B30" s="18" t="n">
        <v>787</v>
      </c>
      <c r="C30" s="18" t="n">
        <v>826</v>
      </c>
      <c r="D30" s="18" t="n">
        <v>987</v>
      </c>
      <c r="E30" s="18" t="n">
        <v>635</v>
      </c>
      <c r="F30" s="18" t="n">
        <v>867</v>
      </c>
      <c r="G30" s="18" t="n">
        <v>1315</v>
      </c>
      <c r="H30" s="18" t="n">
        <v>1421</v>
      </c>
      <c r="I30" s="18" t="n">
        <v>1187</v>
      </c>
      <c r="J30" s="18" t="n">
        <v>1686</v>
      </c>
      <c r="K30" s="18" t="n">
        <v>1148</v>
      </c>
      <c r="L30" s="18" t="n">
        <v>2658</v>
      </c>
      <c r="M30" s="18" t="n">
        <v>415</v>
      </c>
      <c r="N30" s="18" t="n">
        <v>1469</v>
      </c>
      <c r="O30" s="18" t="n">
        <v>857</v>
      </c>
      <c r="P30" s="18" t="n">
        <v>2270</v>
      </c>
      <c r="Q30" s="18" t="n">
        <v>2292</v>
      </c>
      <c r="R30" s="18" t="n">
        <v>2583</v>
      </c>
      <c r="S30" s="18" t="n">
        <v>1555</v>
      </c>
      <c r="T30" s="18" t="n">
        <v>2325</v>
      </c>
      <c r="U30" s="18" t="n">
        <v>1392</v>
      </c>
      <c r="V30" s="18" t="n">
        <v>2385</v>
      </c>
      <c r="W30" s="18" t="n">
        <v>2575</v>
      </c>
      <c r="X30" s="18" t="n">
        <v>925</v>
      </c>
      <c r="Y30" s="18" t="n">
        <v>1571</v>
      </c>
      <c r="Z30" s="18" t="n">
        <v>2634</v>
      </c>
      <c r="AA30" s="18" t="n">
        <v>2828</v>
      </c>
      <c r="AB30" s="18" t="n">
        <v>1686</v>
      </c>
      <c r="AC30" s="18" t="n">
        <v>843</v>
      </c>
    </row>
    <row r="31">
      <c r="A31" s="4" t="inlineStr">
        <is>
          <t>Capex</t>
        </is>
      </c>
      <c r="B31" s="18" t="n">
        <v>-93</v>
      </c>
      <c r="C31" s="18" t="n">
        <v>-97</v>
      </c>
      <c r="D31" s="18" t="n">
        <v>-102</v>
      </c>
      <c r="E31" s="18" t="n">
        <v>-71</v>
      </c>
      <c r="F31" s="18" t="n">
        <v>-87</v>
      </c>
      <c r="G31" s="18" t="n">
        <v>-162</v>
      </c>
      <c r="H31" s="18" t="n">
        <v>-121</v>
      </c>
      <c r="I31" s="18" t="n">
        <v>-204</v>
      </c>
      <c r="J31" s="18" t="n">
        <v>-137</v>
      </c>
      <c r="K31" s="18" t="n">
        <v>-206</v>
      </c>
      <c r="L31" s="18" t="n">
        <v>-144</v>
      </c>
      <c r="M31" s="18" t="n">
        <v>-210</v>
      </c>
      <c r="N31" s="18" t="n">
        <v>-210</v>
      </c>
      <c r="O31" s="18" t="n">
        <v>-223</v>
      </c>
      <c r="P31" s="18" t="n">
        <v>-287</v>
      </c>
      <c r="Q31" s="18" t="n">
        <v>-255</v>
      </c>
      <c r="R31" s="18" t="n">
        <v>-255</v>
      </c>
      <c r="S31" s="18" t="n">
        <v>-309</v>
      </c>
      <c r="T31" s="18" t="n">
        <v>-229</v>
      </c>
      <c r="U31" s="18" t="n">
        <v>-257</v>
      </c>
      <c r="V31" s="18" t="n">
        <v>-297</v>
      </c>
      <c r="W31" s="18" t="n">
        <v>-407</v>
      </c>
      <c r="X31" s="18" t="n">
        <v>-381</v>
      </c>
      <c r="Y31" s="18" t="n">
        <v>-510</v>
      </c>
      <c r="Z31" s="18" t="n">
        <v>-584</v>
      </c>
      <c r="AA31" s="18" t="n">
        <v>-785</v>
      </c>
      <c r="AB31" s="18" t="n">
        <v>-646</v>
      </c>
      <c r="AC31" s="18" t="n">
        <v>-11</v>
      </c>
    </row>
    <row r="32">
      <c r="A32" s="4" t="inlineStr">
        <is>
          <t>Free Cash Flow</t>
        </is>
      </c>
      <c r="B32" s="18" t="n">
        <v>694</v>
      </c>
      <c r="C32" s="18" t="n">
        <v>729</v>
      </c>
      <c r="D32" s="18" t="n">
        <v>885</v>
      </c>
      <c r="E32" s="18" t="n">
        <v>564</v>
      </c>
      <c r="F32" s="18" t="n">
        <v>780</v>
      </c>
      <c r="G32" s="18" t="n">
        <v>1153</v>
      </c>
      <c r="H32" s="18" t="n">
        <v>1300</v>
      </c>
      <c r="I32" s="18" t="n">
        <v>983</v>
      </c>
      <c r="J32" s="18" t="n">
        <v>1549</v>
      </c>
      <c r="K32" s="18" t="n">
        <v>942</v>
      </c>
      <c r="L32" s="18" t="n">
        <v>2514</v>
      </c>
      <c r="M32" s="18" t="n">
        <v>205</v>
      </c>
      <c r="N32" s="18" t="n">
        <v>1259</v>
      </c>
      <c r="O32" s="18" t="n">
        <v>634</v>
      </c>
      <c r="P32" s="18" t="n">
        <v>1983</v>
      </c>
      <c r="Q32" s="18" t="n">
        <v>2037</v>
      </c>
      <c r="R32" s="18" t="n">
        <v>2328</v>
      </c>
      <c r="S32" s="18" t="n">
        <v>1246</v>
      </c>
      <c r="T32" s="18" t="n">
        <v>2096</v>
      </c>
      <c r="U32" s="18" t="n">
        <v>1135</v>
      </c>
      <c r="V32" s="18" t="n">
        <v>2088</v>
      </c>
      <c r="W32" s="18" t="n">
        <v>2168</v>
      </c>
      <c r="X32" s="18" t="n">
        <v>544</v>
      </c>
      <c r="Y32" s="18" t="n">
        <v>1061</v>
      </c>
      <c r="Z32" s="18" t="n">
        <v>2050</v>
      </c>
      <c r="AA32" s="18" t="n">
        <v>2043</v>
      </c>
      <c r="AB32" s="18" t="n">
        <v>1040</v>
      </c>
      <c r="AC32" s="18" t="n">
        <v>832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33119.21544</v>
      </c>
      <c r="C4" s="18" t="n">
        <v>41439.96842</v>
      </c>
      <c r="D4" s="18" t="n">
        <v>48052.127698</v>
      </c>
      <c r="E4" s="18" t="n">
        <v>48097.392209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11954.201257</v>
      </c>
      <c r="C8" s="18" t="n">
        <v>14957.531935</v>
      </c>
      <c r="D8" s="18" t="n">
        <v>17344.154978</v>
      </c>
      <c r="E8" s="18" t="n">
        <v>17360.492958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12270.67227</v>
      </c>
      <c r="C12" s="18" t="n">
        <v>15353.511991</v>
      </c>
      <c r="D12" s="18" t="n">
        <v>17803.317592</v>
      </c>
      <c r="E12" s="18" t="n">
        <v>17820.088098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1979.870138</v>
      </c>
      <c r="C16" s="18" t="n">
        <v>2477.285615</v>
      </c>
      <c r="D16" s="18" t="n">
        <v>2872.561183</v>
      </c>
      <c r="E16" s="18" t="n">
        <v>2875.2671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10364.04559</v>
      </c>
      <c r="C20" s="18" t="n">
        <v>12794.79448</v>
      </c>
      <c r="D20" s="18" t="n">
        <v>14970.20511</v>
      </c>
      <c r="E20" s="18" t="n">
        <v>15448.216659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12.06273</v>
      </c>
      <c r="C24" s="62" t="n">
        <v>15.96519</v>
      </c>
      <c r="D24" s="62" t="n">
        <v>19.34462</v>
      </c>
      <c r="E24" s="62" t="n">
        <v>19.11908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Applied Materials,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0.01519317540891145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3.949141531322505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0.01888663013286518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0.015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1.032444872531482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2026-06-07T22:22:28Z</dcterms:created>
  <dcterms:modified xmlns:dcterms="http://purl.org/dc/terms/" xmlns:xsi="http://www.w3.org/2001/XMLSchema-instance" xsi:type="dcterms:W3CDTF">2026-06-07T22:22:28Z</dcterms:modified>
</cp:coreProperties>
</file>