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1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  <font>
      <b val="1"/>
      <color rgb="009C57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9" authorId="0" shapeId="0">
      <text>
        <t>Opus: 29.5%</t>
      </text>
    </comment>
    <comment ref="B30" authorId="0" shapeId="0">
      <text>
        <t>Opus: 30.0%</t>
      </text>
    </comment>
    <comment ref="B31" authorId="0" shapeId="0">
      <text>
        <t>Opus: 14.0%</t>
      </text>
    </comment>
    <comment ref="B34" authorId="0" shapeId="0">
      <text>
        <t>Opus: —
set from Opus 6% of FY1E revenue; edits not tracked (unit differs from the JSON)</t>
      </text>
    </comment>
    <comment ref="B35" authorId="0" shapeId="0">
      <text>
        <t>User-edited — overridden from Opus 1.1x on 2026-06-12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User-edited — overridden from Opus Perpetuity on 2026-06-12</t>
      </text>
    </comment>
    <comment ref="B44" authorId="0" shapeId="0">
      <text>
        <t>Opus: EV/EBITDA</t>
      </text>
    </comment>
    <comment ref="B45" authorId="0" shapeId="0">
      <text>
        <t>Opus: 13.0x</t>
      </text>
    </comment>
    <comment ref="B46" authorId="0" shapeId="0">
      <text>
        <t>Opus: 4.0%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Applied Materials, Inc. (AMAT)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2026-07-06</t>
        </is>
      </c>
    </row>
    <row r="5">
      <c r="A5" s="3" t="inlineStr">
        <is>
          <t>Data pulled (FMP)</t>
        </is>
      </c>
      <c r="B5" s="4" t="inlineStr">
        <is>
          <t>Q2 2026</t>
        </is>
      </c>
    </row>
    <row r="6">
      <c r="A6" s="3" t="inlineStr">
        <is>
          <t>Assumptions by</t>
        </is>
      </c>
      <c r="B6" s="4" t="inlineStr">
        <is>
          <t>Opus 4.8 — values as of 2026-06-12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AMAT is the diversified WFE leader riding an AI/HBM-driven capex super-cycle, with leading-edge logic, advanced packaging, and memory exposure powering double-digit Semiconductor Systems growth over the next several years before fading to GDP-like maturity. The recurring Applied Global Services base (subscriptions and 200mm installed-base support) provides margin stability, while elevated FY2025 capex (EPIC/innovation buildout) normalizes toward maintenance levels. Operating margins hold near 29-30% as scale and mix offset competitive intensity, supporting durable FCFF generation.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Applied Materials, Inc. (AMAT)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IF(Model!F34&lt;=0,"n/a (neg. capital)",Model!G36-WACC!B15)</f>
        <v/>
      </c>
      <c r="C15" s="10">
        <f>IF(Model!F34&lt;=0,"n/a",IF(Model!G36-WACC!B15&lt;0,"!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0.1448058467471212</v>
      </c>
      <c r="C20" s="15" t="n">
        <v>0.05</v>
      </c>
      <c r="D20" s="16" t="n">
        <v>0.1448058467471212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0.295</v>
      </c>
      <c r="D29" s="16" t="n">
        <v>0.295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0.3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0.14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1987.1529264</v>
      </c>
      <c r="D34" s="18" t="n">
        <v>1987.1529264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1.654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13</v>
      </c>
    </row>
    <row r="46">
      <c r="A46" s="4" t="inlineStr">
        <is>
          <t>Terminal growth (g)</t>
        </is>
      </c>
      <c r="B46" s="15" t="n">
        <v>0.04</v>
      </c>
    </row>
    <row r="47">
      <c r="A47" s="4" t="inlineStr">
        <is>
          <t>Country risk premium</t>
        </is>
      </c>
      <c r="B47" s="15" t="n">
        <v>0.005193803686902808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603.0399780273438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188.7812202718975</v>
      </c>
      <c r="C58" s="28" t="n">
        <v>256.4630962120982</v>
      </c>
      <c r="D58" s="28" t="n">
        <v>137.8028015216592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0.02301889452904681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0.01381133671742809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AMAT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2026-06-12 from the synced assumptions block (pass predates provenance tracking — may already include your edits)</t>
        </is>
      </c>
    </row>
    <row r="6">
      <c r="A6" s="5" t="inlineStr">
        <is>
          <t xml:space="preserve">  THE STORY (Opus narrative)</t>
        </is>
      </c>
      <c r="B6" s="6" t="n"/>
      <c r="C6" s="6" t="n"/>
      <c r="D6" s="6" t="n"/>
      <c r="E6" s="6" t="n"/>
      <c r="F6" s="6" t="n"/>
    </row>
    <row r="7">
      <c r="A7" s="31" t="inlineStr">
        <is>
          <t>AMAT is the diversified WFE leader riding an AI/HBM-driven capex super-cycle, with leading-edge logic, advanced packaging, and memory exposure powering double-digit Semiconductor Systems growth over the next several years before fading to GDP-like maturity. The recurring Applied Global Services base (subscriptions and 200mm installed-base support) provides margin stability, while elevated FY2025 capex (EPIC/innovation buildout) normalizes toward maintenance levels. Operating margins hold near 29-30% as scale and mix offset competitive intensity, supporting durable FCFF generation.</t>
        </is>
      </c>
    </row>
    <row r="8"/>
    <row r="9"/>
    <row r="10"/>
    <row r="12">
      <c r="A12" s="5" t="inlineStr">
        <is>
          <t xml:space="preserve">  KEY JUDGMENTS (Opus reasoning)</t>
        </is>
      </c>
      <c r="B12" s="6" t="n"/>
      <c r="C12" s="6" t="n"/>
      <c r="D12" s="6" t="n"/>
      <c r="E12" s="6" t="n"/>
      <c r="F12" s="6" t="n"/>
    </row>
    <row r="13">
      <c r="A13" s="31" t="inlineStr">
        <is>
          <t>Near-term growth is anchored to consensus (2026 +17%, 2027-2028 strong) then faded toward a ~3% terminal rate consistent with WFE cyclicality and mature semiconductor capital intensity; I did not extrapolate the unusually steep 2027 consensus jump into perpetuity. FY2025 capex/revenue of 8% is treated as a transient build-out, normalizing to ~6% in 2026 and converging to ~1.1x D&amp;A at terminal, and the ~14% tax rate reflects AMAT's recent effective rate with global mix benefits.</t>
        </is>
      </c>
    </row>
    <row r="14"/>
    <row r="15"/>
    <row r="16"/>
    <row r="18">
      <c r="A18" s="5" t="inlineStr">
        <is>
          <t xml:space="preserve">  DASHBOARD INPUTS — value · source · reasoning</t>
        </is>
      </c>
      <c r="B18" s="6" t="n"/>
      <c r="C18" s="6" t="n"/>
      <c r="D18" s="6" t="n"/>
      <c r="E18" s="6" t="n"/>
      <c r="F18" s="6" t="n"/>
    </row>
    <row r="19">
      <c r="A19" s="3" t="inlineStr">
        <is>
          <t>Input</t>
        </is>
      </c>
      <c r="B19" s="3" t="inlineStr">
        <is>
          <t>Cell</t>
        </is>
      </c>
      <c r="C19" s="3" t="inlineStr">
        <is>
          <t>Current</t>
        </is>
      </c>
      <c r="D19" s="3" t="inlineStr">
        <is>
          <t>Source</t>
        </is>
      </c>
      <c r="E19" s="3" t="inlineStr">
        <is>
          <t>Opus value</t>
        </is>
      </c>
      <c r="F19" s="3" t="inlineStr">
        <is>
          <t>Note</t>
        </is>
      </c>
    </row>
    <row r="20">
      <c r="A20" t="inlineStr">
        <is>
          <t>Total company — near-term growth</t>
        </is>
      </c>
      <c r="B20" t="inlineStr">
        <is>
          <t>B20</t>
        </is>
      </c>
      <c r="C20" s="11">
        <f>Dashboard!B20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Total company — terminal growth</t>
        </is>
      </c>
      <c r="B21" t="inlineStr">
        <is>
          <t>C20</t>
        </is>
      </c>
      <c r="C21" s="11">
        <f>Dashboard!C20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Near-term operating margin</t>
        </is>
      </c>
      <c r="B22" t="inlineStr">
        <is>
          <t>B29</t>
        </is>
      </c>
      <c r="C22" s="11">
        <f>Dashboard!B29</f>
        <v/>
      </c>
      <c r="D22" t="inlineStr">
        <is>
          <t>Opus</t>
        </is>
      </c>
      <c r="E22" t="inlineStr">
        <is>
          <t>29.5%</t>
        </is>
      </c>
      <c r="F22" s="31" t="inlineStr"/>
    </row>
    <row r="23">
      <c r="A23" t="inlineStr">
        <is>
          <t>Terminal operating margin</t>
        </is>
      </c>
      <c r="B23" t="inlineStr">
        <is>
          <t>B30</t>
        </is>
      </c>
      <c r="C23" s="11">
        <f>Dashboard!B30</f>
        <v/>
      </c>
      <c r="D23" t="inlineStr">
        <is>
          <t>Opus</t>
        </is>
      </c>
      <c r="E23" t="inlineStr">
        <is>
          <t>30.0%</t>
        </is>
      </c>
      <c r="F23" s="31" t="inlineStr"/>
    </row>
    <row r="24">
      <c r="A24" t="inlineStr">
        <is>
          <t>Tax rate</t>
        </is>
      </c>
      <c r="B24" t="inlineStr">
        <is>
          <t>B31</t>
        </is>
      </c>
      <c r="C24" s="11">
        <f>Dashboard!B31</f>
        <v/>
      </c>
      <c r="D24" t="inlineStr">
        <is>
          <t>Opus</t>
        </is>
      </c>
      <c r="E24" t="inlineStr">
        <is>
          <t>14.0%</t>
        </is>
      </c>
      <c r="F24" s="31" t="inlineStr"/>
    </row>
    <row r="25">
      <c r="A25" t="inlineStr">
        <is>
          <t>Terminal capex / D&amp;A</t>
        </is>
      </c>
      <c r="B25" t="inlineStr">
        <is>
          <t>B35</t>
        </is>
      </c>
      <c r="C25" s="13">
        <f>Dashboard!B35</f>
        <v/>
      </c>
      <c r="D25" s="32" t="inlineStr">
        <is>
          <t>user-edited</t>
        </is>
      </c>
      <c r="E25" t="inlineStr">
        <is>
          <t>1.1x</t>
        </is>
      </c>
      <c r="F25" s="31" t="inlineStr">
        <is>
          <t>overridden from Opus 1.1x on 2026-06-12</t>
        </is>
      </c>
    </row>
    <row r="26">
      <c r="A26" t="inlineStr">
        <is>
          <t>Risk-free rate (10Y)</t>
        </is>
      </c>
      <c r="B26" t="inlineStr">
        <is>
          <t>B38</t>
        </is>
      </c>
      <c r="C26" s="11">
        <f>Dashboard!B38</f>
        <v/>
      </c>
      <c r="D26" t="inlineStr">
        <is>
          <t>builder default</t>
        </is>
      </c>
      <c r="E26" t="inlineStr">
        <is>
          <t>—</t>
        </is>
      </c>
      <c r="F26" s="31" t="inlineStr"/>
    </row>
    <row r="27">
      <c r="A27" t="inlineStr">
        <is>
          <t>Equity risk premium</t>
        </is>
      </c>
      <c r="B27" t="inlineStr">
        <is>
          <t>B39</t>
        </is>
      </c>
      <c r="C27" s="11">
        <f>Dashboard!B39</f>
        <v/>
      </c>
      <c r="D27" t="inlineStr">
        <is>
          <t>builder default</t>
        </is>
      </c>
      <c r="E27" t="inlineStr">
        <is>
          <t>—</t>
        </is>
      </c>
      <c r="F27" s="31" t="inlineStr"/>
    </row>
    <row r="28">
      <c r="A28" t="inlineStr">
        <is>
          <t>Beta (levered)</t>
        </is>
      </c>
      <c r="B28" t="inlineStr">
        <is>
          <t>B40</t>
        </is>
      </c>
      <c r="C28" s="33">
        <f>Dashboard!B40</f>
        <v/>
      </c>
      <c r="D28" t="inlineStr">
        <is>
          <t>builder default</t>
        </is>
      </c>
      <c r="E28" t="inlineStr">
        <is>
          <t>—</t>
        </is>
      </c>
      <c r="F28" s="31" t="inlineStr"/>
    </row>
    <row r="29">
      <c r="A29" t="inlineStr">
        <is>
          <t>Pre-tax cost of debt</t>
        </is>
      </c>
      <c r="B29" t="inlineStr">
        <is>
          <t>B41</t>
        </is>
      </c>
      <c r="C29" s="11">
        <f>Dashboard!B41</f>
        <v/>
      </c>
      <c r="D29" t="inlineStr">
        <is>
          <t>builder default</t>
        </is>
      </c>
      <c r="E29" t="inlineStr">
        <is>
          <t>—</t>
        </is>
      </c>
      <c r="F29" s="31" t="inlineStr"/>
    </row>
    <row r="30">
      <c r="A30" t="inlineStr">
        <is>
          <t>Terminal method</t>
        </is>
      </c>
      <c r="B30" t="inlineStr">
        <is>
          <t>B43</t>
        </is>
      </c>
      <c r="C30" s="12">
        <f>Dashboard!B43</f>
        <v/>
      </c>
      <c r="D30" s="32" t="inlineStr">
        <is>
          <t>user-edited</t>
        </is>
      </c>
      <c r="E30" t="inlineStr">
        <is>
          <t>Perpetuity</t>
        </is>
      </c>
      <c r="F30" s="31" t="inlineStr">
        <is>
          <t>overridden from Opus Perpetuity on 2026-06-12</t>
        </is>
      </c>
    </row>
    <row r="31">
      <c r="A31" t="inlineStr">
        <is>
          <t>Exit basis</t>
        </is>
      </c>
      <c r="B31" t="inlineStr">
        <is>
          <t>B44</t>
        </is>
      </c>
      <c r="C31" s="12">
        <f>Dashboard!B44</f>
        <v/>
      </c>
      <c r="D31" t="inlineStr">
        <is>
          <t>Opus</t>
        </is>
      </c>
      <c r="E31" t="inlineStr">
        <is>
          <t>EV/EBITDA</t>
        </is>
      </c>
      <c r="F31" s="31" t="inlineStr"/>
    </row>
    <row r="32">
      <c r="A32" t="inlineStr">
        <is>
          <t>Exit multiple</t>
        </is>
      </c>
      <c r="B32" t="inlineStr">
        <is>
          <t>B45</t>
        </is>
      </c>
      <c r="C32" s="13">
        <f>Dashboard!B45</f>
        <v/>
      </c>
      <c r="D32" t="inlineStr">
        <is>
          <t>Opus</t>
        </is>
      </c>
      <c r="E32" t="inlineStr">
        <is>
          <t>13.0x</t>
        </is>
      </c>
      <c r="F32" s="31" t="inlineStr"/>
    </row>
    <row r="33">
      <c r="A33" t="inlineStr">
        <is>
          <t>Terminal growth (g)</t>
        </is>
      </c>
      <c r="B33" t="inlineStr">
        <is>
          <t>B46</t>
        </is>
      </c>
      <c r="C33" s="11">
        <f>Dashboard!B46</f>
        <v/>
      </c>
      <c r="D33" t="inlineStr">
        <is>
          <t>Opus</t>
        </is>
      </c>
      <c r="E33" t="inlineStr">
        <is>
          <t>4.0%</t>
        </is>
      </c>
      <c r="F33" s="31" t="inlineStr"/>
    </row>
    <row r="34">
      <c r="A34" t="inlineStr">
        <is>
          <t>2026 capex ($M)</t>
        </is>
      </c>
      <c r="B34" t="inlineStr">
        <is>
          <t>B34</t>
        </is>
      </c>
      <c r="C34" s="34">
        <f>Dashboard!B34</f>
        <v/>
      </c>
      <c r="D34" t="inlineStr">
        <is>
          <t>Opus</t>
        </is>
      </c>
      <c r="E34" t="inlineStr">
        <is>
          <t>—</t>
        </is>
      </c>
      <c r="F34" s="31" t="inlineStr">
        <is>
          <t>set from Opus 6% of FY1E revenue; edits not tracked (unit differs from the JSON)</t>
        </is>
      </c>
    </row>
    <row r="35">
      <c r="A35" t="inlineStr">
        <is>
          <t>Bull Δ — segment growth, near-term</t>
        </is>
      </c>
      <c r="B35" t="inlineStr">
        <is>
          <t>C52</t>
        </is>
      </c>
      <c r="C35" s="35">
        <f>Dashboard!C52</f>
        <v/>
      </c>
      <c r="D35" t="inlineStr">
        <is>
          <t>seed default</t>
        </is>
      </c>
      <c r="E35" t="inlineStr">
        <is>
          <t>3.0%</t>
        </is>
      </c>
      <c r="F35" s="31" t="inlineStr"/>
    </row>
    <row r="36">
      <c r="A36" t="inlineStr">
        <is>
          <t>Bear Δ — segment growth, near-term</t>
        </is>
      </c>
      <c r="B36" t="inlineStr">
        <is>
          <t>D52</t>
        </is>
      </c>
      <c r="C36" s="35">
        <f>Dashboard!D52</f>
        <v/>
      </c>
      <c r="D36" t="inlineStr">
        <is>
          <t>seed default</t>
        </is>
      </c>
      <c r="E36" t="inlineStr">
        <is>
          <t>-3.0%</t>
        </is>
      </c>
      <c r="F36" s="31" t="inlineStr"/>
    </row>
    <row r="37">
      <c r="A37" t="inlineStr">
        <is>
          <t>Bull Δ — segment growth, terminal</t>
        </is>
      </c>
      <c r="B37" t="inlineStr">
        <is>
          <t>C53</t>
        </is>
      </c>
      <c r="C37" s="35">
        <f>Dashboard!C53</f>
        <v/>
      </c>
      <c r="D37" t="inlineStr">
        <is>
          <t>seed default</t>
        </is>
      </c>
      <c r="E37" t="inlineStr">
        <is>
          <t>1.0%</t>
        </is>
      </c>
      <c r="F37" s="31" t="inlineStr"/>
    </row>
    <row r="38">
      <c r="A38" t="inlineStr">
        <is>
          <t>Bear Δ — segment growth, terminal</t>
        </is>
      </c>
      <c r="B38" t="inlineStr">
        <is>
          <t>D53</t>
        </is>
      </c>
      <c r="C38" s="35">
        <f>Dashboard!D53</f>
        <v/>
      </c>
      <c r="D38" t="inlineStr">
        <is>
          <t>seed default</t>
        </is>
      </c>
      <c r="E38" t="inlineStr">
        <is>
          <t>-1.0%</t>
        </is>
      </c>
      <c r="F38" s="31" t="inlineStr"/>
    </row>
    <row r="39">
      <c r="A39" t="inlineStr">
        <is>
          <t>Bull Δ — operating margin, near-term</t>
        </is>
      </c>
      <c r="B39" t="inlineStr">
        <is>
          <t>C54</t>
        </is>
      </c>
      <c r="C39" s="35">
        <f>Dashboard!C54</f>
        <v/>
      </c>
      <c r="D39" t="inlineStr">
        <is>
          <t>seed default</t>
        </is>
      </c>
      <c r="E39" t="inlineStr">
        <is>
          <t>1.0%</t>
        </is>
      </c>
      <c r="F39" s="31" t="inlineStr"/>
    </row>
    <row r="40">
      <c r="A40" t="inlineStr">
        <is>
          <t>Bear Δ — operating margin, near-term</t>
        </is>
      </c>
      <c r="B40" t="inlineStr">
        <is>
          <t>D54</t>
        </is>
      </c>
      <c r="C40" s="35">
        <f>Dashboard!D54</f>
        <v/>
      </c>
      <c r="D40" t="inlineStr">
        <is>
          <t>seed default</t>
        </is>
      </c>
      <c r="E40" t="inlineStr">
        <is>
          <t>-1.0%</t>
        </is>
      </c>
      <c r="F40" s="31" t="inlineStr"/>
    </row>
    <row r="41">
      <c r="A41" t="inlineStr">
        <is>
          <t>Bull Δ — operating margin, terminal</t>
        </is>
      </c>
      <c r="B41" t="inlineStr">
        <is>
          <t>C55</t>
        </is>
      </c>
      <c r="C41" s="35">
        <f>Dashboard!C55</f>
        <v/>
      </c>
      <c r="D41" t="inlineStr">
        <is>
          <t>seed default</t>
        </is>
      </c>
      <c r="E41" t="inlineStr">
        <is>
          <t>2.0%</t>
        </is>
      </c>
      <c r="F41" s="31" t="inlineStr"/>
    </row>
    <row r="42">
      <c r="A42" t="inlineStr">
        <is>
          <t>Bear Δ — operating margin, terminal</t>
        </is>
      </c>
      <c r="B42" t="inlineStr">
        <is>
          <t>D55</t>
        </is>
      </c>
      <c r="C42" s="35">
        <f>Dashboard!D55</f>
        <v/>
      </c>
      <c r="D42" t="inlineStr">
        <is>
          <t>seed default</t>
        </is>
      </c>
      <c r="E42" t="inlineStr">
        <is>
          <t>-2.0%</t>
        </is>
      </c>
      <c r="F42" s="31" t="inlineStr"/>
    </row>
    <row r="43">
      <c r="A43" t="inlineStr">
        <is>
          <t>Bull Δ — exit multiple</t>
        </is>
      </c>
      <c r="B43" t="inlineStr">
        <is>
          <t>C56</t>
        </is>
      </c>
      <c r="C43" s="36">
        <f>Dashboard!C56</f>
        <v/>
      </c>
      <c r="D43" t="inlineStr">
        <is>
          <t>seed default</t>
        </is>
      </c>
      <c r="E43" t="inlineStr">
        <is>
          <t>2.0x</t>
        </is>
      </c>
      <c r="F43" s="31" t="inlineStr"/>
    </row>
    <row r="44">
      <c r="A44" t="inlineStr">
        <is>
          <t>Bear Δ — exit multiple</t>
        </is>
      </c>
      <c r="B44" t="inlineStr">
        <is>
          <t>D56</t>
        </is>
      </c>
      <c r="C44" s="36">
        <f>Dashboard!D56</f>
        <v/>
      </c>
      <c r="D44" t="inlineStr">
        <is>
          <t>seed default</t>
        </is>
      </c>
      <c r="E44" t="inlineStr">
        <is>
          <t>-2.0x</t>
        </is>
      </c>
      <c r="F44" s="31" t="inlineStr"/>
    </row>
    <row r="45">
      <c r="A45" t="inlineStr">
        <is>
          <t>Bull Δ — terminal growth (g)</t>
        </is>
      </c>
      <c r="B45" t="inlineStr">
        <is>
          <t>C57</t>
        </is>
      </c>
      <c r="C45" s="35">
        <f>Dashboard!C57</f>
        <v/>
      </c>
      <c r="D45" t="inlineStr">
        <is>
          <t>seed default</t>
        </is>
      </c>
      <c r="E45" t="inlineStr">
        <is>
          <t>0.5%</t>
        </is>
      </c>
      <c r="F45" s="31" t="inlineStr"/>
    </row>
    <row r="46">
      <c r="A46" t="inlineStr">
        <is>
          <t>Bear Δ — terminal growth (g)</t>
        </is>
      </c>
      <c r="B46" t="inlineStr">
        <is>
          <t>D57</t>
        </is>
      </c>
      <c r="C46" s="35">
        <f>Dashboard!D57</f>
        <v/>
      </c>
      <c r="D46" t="inlineStr">
        <is>
          <t>seed default</t>
        </is>
      </c>
      <c r="E46" t="inlineStr">
        <is>
          <t>-0.5%</t>
        </is>
      </c>
      <c r="F46" s="31" t="inlineStr"/>
    </row>
  </sheetData>
  <mergeCells count="2">
    <mergeCell ref="A13:F16"/>
    <mergeCell ref="A7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7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8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3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4">
        <f>Dashboard!$B$48*Financials!AC17</f>
        <v/>
      </c>
    </row>
    <row r="11">
      <c r="A11" s="4" t="inlineStr">
        <is>
          <t>Total debt (D)</t>
        </is>
      </c>
      <c r="B11" s="34">
        <f>Financials!AC24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9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40" t="inlineStr">
        <is>
          <t>FY2021A</t>
        </is>
      </c>
      <c r="C1" s="40" t="inlineStr">
        <is>
          <t>FY2022A</t>
        </is>
      </c>
      <c r="D1" s="40" t="inlineStr">
        <is>
          <t>FY2023A</t>
        </is>
      </c>
      <c r="E1" s="40" t="inlineStr">
        <is>
          <t>FY2024A</t>
        </is>
      </c>
      <c r="F1" s="40" t="inlineStr">
        <is>
          <t>FY2025A</t>
        </is>
      </c>
      <c r="G1" s="41" t="inlineStr">
        <is>
          <t>FY2026E</t>
        </is>
      </c>
      <c r="H1" s="41" t="inlineStr">
        <is>
          <t>FY2027E</t>
        </is>
      </c>
      <c r="I1" s="41" t="inlineStr">
        <is>
          <t>FY2028E</t>
        </is>
      </c>
      <c r="J1" s="41" t="inlineStr">
        <is>
          <t>FY2029E</t>
        </is>
      </c>
      <c r="K1" s="41" t="inlineStr">
        <is>
          <t>FY2030E</t>
        </is>
      </c>
      <c r="L1" s="41" t="inlineStr">
        <is>
          <t>FY2031E</t>
        </is>
      </c>
      <c r="M1" s="41" t="inlineStr">
        <is>
          <t>FY2032E</t>
        </is>
      </c>
      <c r="N1" s="41" t="inlineStr">
        <is>
          <t>FY2033E</t>
        </is>
      </c>
      <c r="O1" s="41" t="inlineStr">
        <is>
          <t>FY2034E</t>
        </is>
      </c>
      <c r="P1" s="4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34">
        <f>SUM(Financials!H3:K3)</f>
        <v/>
      </c>
      <c r="C4" s="34">
        <f>SUM(Financials!L3:O3)</f>
        <v/>
      </c>
      <c r="D4" s="34">
        <f>SUM(Financials!P3:S3)</f>
        <v/>
      </c>
      <c r="E4" s="34">
        <f>SUM(Financials!T3:W3)</f>
        <v/>
      </c>
      <c r="F4" s="34">
        <f>SUM(Financials!X3:AA3)</f>
        <v/>
      </c>
      <c r="G4" s="42">
        <f>F4*(1+G5)</f>
        <v/>
      </c>
      <c r="H4" s="42">
        <f>G4*(1+H5)</f>
        <v/>
      </c>
      <c r="I4" s="42">
        <f>H4*(1+I5)</f>
        <v/>
      </c>
      <c r="J4" s="42">
        <f>I4*(1+J5)</f>
        <v/>
      </c>
      <c r="K4" s="42">
        <f>J4*(1+K5)</f>
        <v/>
      </c>
      <c r="L4" s="42">
        <f>K4*(1+L5)</f>
        <v/>
      </c>
      <c r="M4" s="42">
        <f>L4*(1+M5)</f>
        <v/>
      </c>
      <c r="N4" s="42">
        <f>M4*(1+N5)</f>
        <v/>
      </c>
      <c r="O4" s="42">
        <f>N4*(1+O5)</f>
        <v/>
      </c>
      <c r="P4" s="42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3" t="inlineStr">
        <is>
          <t>Total revenue</t>
        </is>
      </c>
      <c r="B6" s="43">
        <f>B4</f>
        <v/>
      </c>
      <c r="C6" s="43">
        <f>C4</f>
        <v/>
      </c>
      <c r="D6" s="43">
        <f>D4</f>
        <v/>
      </c>
      <c r="E6" s="43">
        <f>E4</f>
        <v/>
      </c>
      <c r="F6" s="43">
        <f>F4</f>
        <v/>
      </c>
      <c r="G6" s="43">
        <f>G4</f>
        <v/>
      </c>
      <c r="H6" s="43">
        <f>H4</f>
        <v/>
      </c>
      <c r="I6" s="43">
        <f>I4</f>
        <v/>
      </c>
      <c r="J6" s="43">
        <f>J4</f>
        <v/>
      </c>
      <c r="K6" s="43">
        <f>K4</f>
        <v/>
      </c>
      <c r="L6" s="43">
        <f>L4</f>
        <v/>
      </c>
      <c r="M6" s="43">
        <f>M4</f>
        <v/>
      </c>
      <c r="N6" s="43">
        <f>N4</f>
        <v/>
      </c>
      <c r="O6" s="43">
        <f>O4</f>
        <v/>
      </c>
      <c r="P6" s="43">
        <f>P4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  <c r="M7" s="25">
        <f>IFERROR(M6/L6-1,"")</f>
        <v/>
      </c>
      <c r="N7" s="25">
        <f>IFERROR(N6/M6-1,"")</f>
        <v/>
      </c>
      <c r="O7" s="25">
        <f>IFERROR(O6/N6-1,"")</f>
        <v/>
      </c>
      <c r="P7" s="25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34">
        <f>SUM(Financials!H5:K5)</f>
        <v/>
      </c>
      <c r="C10" s="34">
        <f>SUM(Financials!L5:O5)</f>
        <v/>
      </c>
      <c r="D10" s="34">
        <f>SUM(Financials!P5:S5)</f>
        <v/>
      </c>
      <c r="E10" s="34">
        <f>SUM(Financials!T5:W5)</f>
        <v/>
      </c>
      <c r="F10" s="34">
        <f>SUM(Financials!X5:AA5)</f>
        <v/>
      </c>
      <c r="G10" s="42">
        <f>G6*G11</f>
        <v/>
      </c>
      <c r="H10" s="42">
        <f>H6*H11</f>
        <v/>
      </c>
      <c r="I10" s="42">
        <f>I6*I11</f>
        <v/>
      </c>
      <c r="J10" s="42">
        <f>J6*J11</f>
        <v/>
      </c>
      <c r="K10" s="42">
        <f>K6*K11</f>
        <v/>
      </c>
      <c r="L10" s="42">
        <f>L6*L11</f>
        <v/>
      </c>
      <c r="M10" s="42">
        <f>M6*M11</f>
        <v/>
      </c>
      <c r="N10" s="42">
        <f>N6*N11</f>
        <v/>
      </c>
      <c r="O10" s="42">
        <f>O6*O11</f>
        <v/>
      </c>
      <c r="P10" s="42">
        <f>P6*P11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25">
        <f>IFERROR(C10/C6,"")</f>
        <v/>
      </c>
      <c r="D11" s="25">
        <f>IFERROR(D10/D6,"")</f>
        <v/>
      </c>
      <c r="E11" s="25">
        <f>IFERROR(E10/E6,"")</f>
        <v/>
      </c>
      <c r="F11" s="25">
        <f>IFERROR(F10/F6,"")</f>
        <v/>
      </c>
      <c r="G11" s="15" t="n">
        <v>0.5132543711223915</v>
      </c>
      <c r="H11" s="15" t="n">
        <v>0.5132543711223915</v>
      </c>
      <c r="I11" s="15" t="n">
        <v>0.5132543711223915</v>
      </c>
      <c r="J11" s="15" t="n">
        <v>0.5132543711223915</v>
      </c>
      <c r="K11" s="15" t="n">
        <v>0.5132543711223915</v>
      </c>
      <c r="L11" s="15" t="n">
        <v>0.5132543711223915</v>
      </c>
      <c r="M11" s="15" t="n">
        <v>0.5132543711223915</v>
      </c>
      <c r="N11" s="15" t="n">
        <v>0.5132543711223915</v>
      </c>
      <c r="O11" s="15" t="n">
        <v>0.5132543711223915</v>
      </c>
      <c r="P11" s="15" t="n">
        <v>0.5132543711223915</v>
      </c>
    </row>
    <row r="12">
      <c r="A12" s="4" t="inlineStr">
        <is>
          <t>R&amp;D / Technology</t>
        </is>
      </c>
      <c r="B12" s="34">
        <f>SUM(Financials!H7:K7)</f>
        <v/>
      </c>
      <c r="C12" s="34">
        <f>SUM(Financials!L7:O7)</f>
        <v/>
      </c>
      <c r="D12" s="34">
        <f>SUM(Financials!P7:S7)</f>
        <v/>
      </c>
      <c r="E12" s="34">
        <f>SUM(Financials!T7:W7)</f>
        <v/>
      </c>
      <c r="F12" s="34">
        <f>SUM(Financials!X7:AA7)</f>
        <v/>
      </c>
      <c r="G12" s="42">
        <f>G6*G13</f>
        <v/>
      </c>
      <c r="H12" s="42">
        <f>H6*H13</f>
        <v/>
      </c>
      <c r="I12" s="42">
        <f>I6*I13</f>
        <v/>
      </c>
      <c r="J12" s="42">
        <f>J6*J13</f>
        <v/>
      </c>
      <c r="K12" s="42">
        <f>K6*K13</f>
        <v/>
      </c>
      <c r="L12" s="42">
        <f>L6*L13</f>
        <v/>
      </c>
      <c r="M12" s="42">
        <f>M6*M13</f>
        <v/>
      </c>
      <c r="N12" s="42">
        <f>N6*N13</f>
        <v/>
      </c>
      <c r="O12" s="42">
        <f>O6*O13</f>
        <v/>
      </c>
      <c r="P12" s="42">
        <f>P6*P13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25">
        <f>IFERROR(C12/C6,"")</f>
        <v/>
      </c>
      <c r="D13" s="25">
        <f>IFERROR(D12/D6,"")</f>
        <v/>
      </c>
      <c r="E13" s="25">
        <f>IFERROR(E12/E6,"")</f>
        <v/>
      </c>
      <c r="F13" s="25">
        <f>IFERROR(F12/F6,"")</f>
        <v/>
      </c>
      <c r="G13" s="15" t="n">
        <v>0.1258460236886633</v>
      </c>
      <c r="H13" s="15" t="n">
        <v>0.1258460236886633</v>
      </c>
      <c r="I13" s="15" t="n">
        <v>0.1258460236886633</v>
      </c>
      <c r="J13" s="15" t="n">
        <v>0.1258460236886633</v>
      </c>
      <c r="K13" s="15" t="n">
        <v>0.1258460236886633</v>
      </c>
      <c r="L13" s="15" t="n">
        <v>0.1258460236886633</v>
      </c>
      <c r="M13" s="15" t="n">
        <v>0.1258460236886633</v>
      </c>
      <c r="N13" s="15" t="n">
        <v>0.1258460236886633</v>
      </c>
      <c r="O13" s="15" t="n">
        <v>0.1258460236886633</v>
      </c>
      <c r="P13" s="15" t="n">
        <v>0.1258460236886633</v>
      </c>
    </row>
    <row r="14">
      <c r="A14" s="4" t="inlineStr">
        <is>
          <t>SG&amp;A</t>
        </is>
      </c>
      <c r="B14" s="34">
        <f>SUM(Financials!H9:K9)</f>
        <v/>
      </c>
      <c r="C14" s="34">
        <f>SUM(Financials!L9:O9)</f>
        <v/>
      </c>
      <c r="D14" s="34">
        <f>SUM(Financials!P9:S9)</f>
        <v/>
      </c>
      <c r="E14" s="34">
        <f>SUM(Financials!T9:W9)</f>
        <v/>
      </c>
      <c r="F14" s="34">
        <f>SUM(Financials!X9:AA9)</f>
        <v/>
      </c>
      <c r="G14" s="42">
        <f>G6*G15</f>
        <v/>
      </c>
      <c r="H14" s="42">
        <f>H6*H15</f>
        <v/>
      </c>
      <c r="I14" s="42">
        <f>I6*I15</f>
        <v/>
      </c>
      <c r="J14" s="42">
        <f>J6*J15</f>
        <v/>
      </c>
      <c r="K14" s="42">
        <f>K6*K15</f>
        <v/>
      </c>
      <c r="L14" s="42">
        <f>L6*L15</f>
        <v/>
      </c>
      <c r="M14" s="42">
        <f>M6*M15</f>
        <v/>
      </c>
      <c r="N14" s="42">
        <f>N6*N15</f>
        <v/>
      </c>
      <c r="O14" s="42">
        <f>O6*O15</f>
        <v/>
      </c>
      <c r="P14" s="42">
        <f>P6*P15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25">
        <f>IFERROR(C14/C6,"")</f>
        <v/>
      </c>
      <c r="D15" s="25">
        <f>IFERROR(D14/D6,"")</f>
        <v/>
      </c>
      <c r="E15" s="25">
        <f>IFERROR(E14/E6,"")</f>
        <v/>
      </c>
      <c r="F15" s="25">
        <f>IFERROR(F14/F6,"")</f>
        <v/>
      </c>
      <c r="G15" s="15" t="n">
        <v>0.06232374506486182</v>
      </c>
      <c r="H15" s="15" t="n">
        <v>0.06232374506486182</v>
      </c>
      <c r="I15" s="15" t="n">
        <v>0.06232374506486182</v>
      </c>
      <c r="J15" s="15" t="n">
        <v>0.06232374506486182</v>
      </c>
      <c r="K15" s="15" t="n">
        <v>0.06232374506486182</v>
      </c>
      <c r="L15" s="15" t="n">
        <v>0.06232374506486182</v>
      </c>
      <c r="M15" s="15" t="n">
        <v>0.06232374506486182</v>
      </c>
      <c r="N15" s="15" t="n">
        <v>0.06232374506486182</v>
      </c>
      <c r="O15" s="15" t="n">
        <v>0.06232374506486182</v>
      </c>
      <c r="P15" s="15" t="n">
        <v>0.06232374506486182</v>
      </c>
    </row>
    <row r="16">
      <c r="A16" s="4" t="inlineStr">
        <is>
          <t>Other opex (fulfilment, etc.)</t>
        </is>
      </c>
      <c r="B16" s="34">
        <f>B6-(B10+B12+B14)-SUM(Financials!H13:K13)</f>
        <v/>
      </c>
      <c r="C16" s="34">
        <f>C6-(C10+C12+C14)-SUM(Financials!L13:O13)</f>
        <v/>
      </c>
      <c r="D16" s="34">
        <f>D6-(D10+D12+D14)-SUM(Financials!P13:S13)</f>
        <v/>
      </c>
      <c r="E16" s="34">
        <f>E6-(E10+E12+E14)-SUM(Financials!T13:W13)</f>
        <v/>
      </c>
      <c r="F16" s="34">
        <f>F6-(F10+F12+F14)-SUM(Financials!X13:AA13)</f>
        <v/>
      </c>
      <c r="G16" s="34">
        <f>G6*(1-(Dashboard!$B$29+(Dashboard!$B$30-Dashboard!$B$29)*MIN(1,0/3)))-(G10+G12+G14)</f>
        <v/>
      </c>
      <c r="H16" s="34">
        <f>H6*(1-(Dashboard!$B$29+(Dashboard!$B$30-Dashboard!$B$29)*MIN(1,1/3)))-(H10+H12+H14)</f>
        <v/>
      </c>
      <c r="I16" s="34">
        <f>I6*(1-(Dashboard!$B$29+(Dashboard!$B$30-Dashboard!$B$29)*MIN(1,2/3)))-(I10+I12+I14)</f>
        <v/>
      </c>
      <c r="J16" s="34">
        <f>J6*(1-(Dashboard!$B$29+(Dashboard!$B$30-Dashboard!$B$29)*MIN(1,3/3)))-(J10+J12+J14)</f>
        <v/>
      </c>
      <c r="K16" s="34">
        <f>K6*(1-(Dashboard!$B$29+(Dashboard!$B$30-Dashboard!$B$29)*MIN(1,4/3)))-(K10+K12+K14)</f>
        <v/>
      </c>
      <c r="L16" s="34">
        <f>L6*(1-(Dashboard!$B$29+(Dashboard!$B$30-Dashboard!$B$29)*MIN(1,5/3)))-(L10+L12+L14)</f>
        <v/>
      </c>
      <c r="M16" s="34">
        <f>M6*(1-(Dashboard!$B$29+(Dashboard!$B$30-Dashboard!$B$29)*MIN(1,6/3)))-(M10+M12+M14)</f>
        <v/>
      </c>
      <c r="N16" s="34">
        <f>N6*(1-(Dashboard!$B$29+(Dashboard!$B$30-Dashboard!$B$29)*MIN(1,7/3)))-(N10+N12+N14)</f>
        <v/>
      </c>
      <c r="O16" s="34">
        <f>O6*(1-(Dashboard!$B$29+(Dashboard!$B$30-Dashboard!$B$29)*MIN(1,8/3)))-(O10+O12+O14)</f>
        <v/>
      </c>
      <c r="P16" s="34">
        <f>P6*(1-(Dashboard!$B$29+(Dashboard!$B$30-Dashboard!$B$29)*MIN(1,9/3)))-(P10+P12+P14)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  <c r="M17" s="25">
        <f>IFERROR(M16/M6,"")</f>
        <v/>
      </c>
      <c r="N17" s="25">
        <f>IFERROR(N16/N6,"")</f>
        <v/>
      </c>
      <c r="O17" s="25">
        <f>IFERROR(O16/O6,"")</f>
        <v/>
      </c>
      <c r="P17" s="25">
        <f>IFERROR(P16/P6,"")</f>
        <v/>
      </c>
    </row>
    <row r="19">
      <c r="A19" s="3" t="inlineStr">
        <is>
          <t>Operating income (EBIT)</t>
        </is>
      </c>
      <c r="B19" s="43">
        <f>B6-(B10+B12+B14)-B16</f>
        <v/>
      </c>
      <c r="C19" s="43">
        <f>C6-(C10+C12+C14)-C16</f>
        <v/>
      </c>
      <c r="D19" s="43">
        <f>D6-(D10+D12+D14)-D16</f>
        <v/>
      </c>
      <c r="E19" s="43">
        <f>E6-(E10+E12+E14)-E16</f>
        <v/>
      </c>
      <c r="F19" s="43">
        <f>F6-(F10+F12+F14)-F16</f>
        <v/>
      </c>
      <c r="G19" s="43">
        <f>G6-(G10+G12+G14)-G16</f>
        <v/>
      </c>
      <c r="H19" s="43">
        <f>H6-(H10+H12+H14)-H16</f>
        <v/>
      </c>
      <c r="I19" s="43">
        <f>I6-(I10+I12+I14)-I16</f>
        <v/>
      </c>
      <c r="J19" s="43">
        <f>J6-(J10+J12+J14)-J16</f>
        <v/>
      </c>
      <c r="K19" s="43">
        <f>K6-(K10+K12+K14)-K16</f>
        <v/>
      </c>
      <c r="L19" s="43">
        <f>L6-(L10+L12+L14)-L16</f>
        <v/>
      </c>
      <c r="M19" s="43">
        <f>M6-(M10+M12+M14)-M16</f>
        <v/>
      </c>
      <c r="N19" s="43">
        <f>N6-(N10+N12+N14)-N16</f>
        <v/>
      </c>
      <c r="O19" s="43">
        <f>O6-(O10+O12+O14)-O16</f>
        <v/>
      </c>
      <c r="P19" s="43">
        <f>P6-(P10+P12+P14)-P16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  <c r="M20" s="25">
        <f>IFERROR(M19/M6,"")</f>
        <v/>
      </c>
      <c r="N20" s="25">
        <f>IFERROR(N19/N6,"")</f>
        <v/>
      </c>
      <c r="O20" s="25">
        <f>IFERROR(O19/O6,"")</f>
        <v/>
      </c>
      <c r="P20" s="25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34">
        <f>B19*(1-Valuation!$B$5)</f>
        <v/>
      </c>
      <c r="C23" s="34">
        <f>C19*(1-Valuation!$B$5)</f>
        <v/>
      </c>
      <c r="D23" s="34">
        <f>D19*(1-Valuation!$B$5)</f>
        <v/>
      </c>
      <c r="E23" s="34">
        <f>E19*(1-Valuation!$B$5)</f>
        <v/>
      </c>
      <c r="F23" s="34">
        <f>F19*(1-Valuation!$B$5)</f>
        <v/>
      </c>
      <c r="G23" s="34">
        <f>G19*(1-Valuation!$B$5)</f>
        <v/>
      </c>
      <c r="H23" s="34">
        <f>H19*(1-Valuation!$B$5)</f>
        <v/>
      </c>
      <c r="I23" s="34">
        <f>I19*(1-Valuation!$B$5)</f>
        <v/>
      </c>
      <c r="J23" s="34">
        <f>J19*(1-Valuation!$B$5)</f>
        <v/>
      </c>
      <c r="K23" s="34">
        <f>K19*(1-Valuation!$B$5)</f>
        <v/>
      </c>
      <c r="L23" s="34">
        <f>L19*(1-Valuation!$B$5)</f>
        <v/>
      </c>
      <c r="M23" s="34">
        <f>M19*(1-Valuation!$B$5)</f>
        <v/>
      </c>
      <c r="N23" s="34">
        <f>N19*(1-Valuation!$B$5)</f>
        <v/>
      </c>
      <c r="O23" s="34">
        <f>O19*(1-Valuation!$B$5)</f>
        <v/>
      </c>
      <c r="P23" s="34">
        <f>P19*(1-Valuation!$B$5)</f>
        <v/>
      </c>
    </row>
    <row r="24">
      <c r="A24" s="4" t="inlineStr">
        <is>
          <t>+ D&amp;A</t>
        </is>
      </c>
      <c r="B24" s="34">
        <f>SUM(Financials!H27:K27)</f>
        <v/>
      </c>
      <c r="C24" s="34">
        <f>SUM(Financials!L27:O27)</f>
        <v/>
      </c>
      <c r="D24" s="34">
        <f>SUM(Financials!P27:S27)</f>
        <v/>
      </c>
      <c r="E24" s="34">
        <f>SUM(Financials!T27:W27)</f>
        <v/>
      </c>
      <c r="F24" s="34">
        <f>SUM(Financials!X27:AA27)</f>
        <v/>
      </c>
      <c r="G24" s="42">
        <f>G6*0.0152</f>
        <v/>
      </c>
      <c r="H24" s="42">
        <f>H6*0.0152</f>
        <v/>
      </c>
      <c r="I24" s="42">
        <f>I6*0.0152</f>
        <v/>
      </c>
      <c r="J24" s="42">
        <f>J6*0.0152</f>
        <v/>
      </c>
      <c r="K24" s="42">
        <f>K6*0.0152</f>
        <v/>
      </c>
      <c r="L24" s="42">
        <f>L6*0.0152</f>
        <v/>
      </c>
      <c r="M24" s="42">
        <f>M6*0.0152</f>
        <v/>
      </c>
      <c r="N24" s="42">
        <f>N6*0.0152</f>
        <v/>
      </c>
      <c r="O24" s="42">
        <f>O6*0.0152</f>
        <v/>
      </c>
      <c r="P24" s="42">
        <f>P6*0.0152</f>
        <v/>
      </c>
    </row>
    <row r="25">
      <c r="A25" s="4" t="inlineStr">
        <is>
          <t>+ SBC (non-cash)</t>
        </is>
      </c>
      <c r="B25" s="34">
        <f>SUM(Financials!H28:K28)</f>
        <v/>
      </c>
      <c r="C25" s="34">
        <f>SUM(Financials!L28:O28)</f>
        <v/>
      </c>
      <c r="D25" s="34">
        <f>SUM(Financials!P28:S28)</f>
        <v/>
      </c>
      <c r="E25" s="34">
        <f>SUM(Financials!T28:W28)</f>
        <v/>
      </c>
      <c r="F25" s="34">
        <f>SUM(Financials!X28:AA28)</f>
        <v/>
      </c>
      <c r="G25" s="34">
        <f>G6*(Dashboard!$B$65+(Dashboard!$B$66-Dashboard!$B$65)*0/9)</f>
        <v/>
      </c>
      <c r="H25" s="34">
        <f>H6*(Dashboard!$B$65+(Dashboard!$B$66-Dashboard!$B$65)*1/9)</f>
        <v/>
      </c>
      <c r="I25" s="34">
        <f>I6*(Dashboard!$B$65+(Dashboard!$B$66-Dashboard!$B$65)*2/9)</f>
        <v/>
      </c>
      <c r="J25" s="34">
        <f>J6*(Dashboard!$B$65+(Dashboard!$B$66-Dashboard!$B$65)*3/9)</f>
        <v/>
      </c>
      <c r="K25" s="34">
        <f>K6*(Dashboard!$B$65+(Dashboard!$B$66-Dashboard!$B$65)*4/9)</f>
        <v/>
      </c>
      <c r="L25" s="34">
        <f>L6*(Dashboard!$B$65+(Dashboard!$B$66-Dashboard!$B$65)*5/9)</f>
        <v/>
      </c>
      <c r="M25" s="34">
        <f>M6*(Dashboard!$B$65+(Dashboard!$B$66-Dashboard!$B$65)*6/9)</f>
        <v/>
      </c>
      <c r="N25" s="34">
        <f>N6*(Dashboard!$B$65+(Dashboard!$B$66-Dashboard!$B$65)*7/9)</f>
        <v/>
      </c>
      <c r="O25" s="34">
        <f>O6*(Dashboard!$B$65+(Dashboard!$B$66-Dashboard!$B$65)*8/9)</f>
        <v/>
      </c>
      <c r="P25" s="34">
        <f>P6*(Dashboard!$B$65+(Dashboard!$B$66-Dashboard!$B$65)*9/9)</f>
        <v/>
      </c>
    </row>
    <row r="26">
      <c r="A26" s="4" t="inlineStr">
        <is>
          <t>- dNWC</t>
        </is>
      </c>
      <c r="G26" s="42">
        <f>(G6-F6)*0.0050</f>
        <v/>
      </c>
      <c r="H26" s="42">
        <f>(H6-G6)*0.0050</f>
        <v/>
      </c>
      <c r="I26" s="42">
        <f>(I6-H6)*0.0050</f>
        <v/>
      </c>
      <c r="J26" s="42">
        <f>(J6-I6)*0.0050</f>
        <v/>
      </c>
      <c r="K26" s="42">
        <f>(K6-J6)*0.0050</f>
        <v/>
      </c>
      <c r="L26" s="42">
        <f>(L6-K6)*0.0050</f>
        <v/>
      </c>
      <c r="M26" s="42">
        <f>(M6-L6)*0.0050</f>
        <v/>
      </c>
      <c r="N26" s="42">
        <f>(N6-M6)*0.0050</f>
        <v/>
      </c>
      <c r="O26" s="42">
        <f>(O6-N6)*0.0050</f>
        <v/>
      </c>
      <c r="P26" s="42">
        <f>(P6-O6)*0.0050</f>
        <v/>
      </c>
    </row>
    <row r="27">
      <c r="A27" s="4" t="inlineStr">
        <is>
          <t>- Capex</t>
        </is>
      </c>
      <c r="B27" s="34">
        <f>-SUM(Financials!H31:K31)</f>
        <v/>
      </c>
      <c r="C27" s="34">
        <f>-SUM(Financials!L31:O31)</f>
        <v/>
      </c>
      <c r="D27" s="34">
        <f>-SUM(Financials!P31:S31)</f>
        <v/>
      </c>
      <c r="E27" s="34">
        <f>-SUM(Financials!T31:W31)</f>
        <v/>
      </c>
      <c r="F27" s="34">
        <f>-SUM(Financials!X31:AA31)</f>
        <v/>
      </c>
      <c r="G27" s="42">
        <f>G24*G28</f>
        <v/>
      </c>
      <c r="H27" s="42">
        <f>H24*H28</f>
        <v/>
      </c>
      <c r="I27" s="42">
        <f>I24*I28</f>
        <v/>
      </c>
      <c r="J27" s="42">
        <f>J24*J28</f>
        <v/>
      </c>
      <c r="K27" s="42">
        <f>K24*K28</f>
        <v/>
      </c>
      <c r="L27" s="42">
        <f>L24*L28</f>
        <v/>
      </c>
      <c r="M27" s="42">
        <f>M24*M28</f>
        <v/>
      </c>
      <c r="N27" s="42">
        <f>N24*N28</f>
        <v/>
      </c>
      <c r="O27" s="42">
        <f>O24*O28</f>
        <v/>
      </c>
      <c r="P27" s="42">
        <f>P24*P28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26">
        <f>IFERROR(C27/C24,"")</f>
        <v/>
      </c>
      <c r="D28" s="26">
        <f>IFERROR(D27/D24,"")</f>
        <v/>
      </c>
      <c r="E28" s="26">
        <f>IFERROR(E27/E24,"")</f>
        <v/>
      </c>
      <c r="F28" s="26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43">
        <f>B23+B24+B25-B26-B27</f>
        <v/>
      </c>
      <c r="C30" s="43">
        <f>C23+C24+C25-C26-C27</f>
        <v/>
      </c>
      <c r="D30" s="43">
        <f>D23+D24+D25-D26-D27</f>
        <v/>
      </c>
      <c r="E30" s="43">
        <f>E23+E24+E25-E26-E27</f>
        <v/>
      </c>
      <c r="F30" s="43">
        <f>F23+F24+F25-F26-F27</f>
        <v/>
      </c>
      <c r="G30" s="43">
        <f>G23+G24+G25-G26-G27</f>
        <v/>
      </c>
      <c r="H30" s="43">
        <f>H23+H24+H25-H26-H27</f>
        <v/>
      </c>
      <c r="I30" s="43">
        <f>I23+I24+I25-I26-I27</f>
        <v/>
      </c>
      <c r="J30" s="43">
        <f>J23+J24+J25-J26-J27</f>
        <v/>
      </c>
      <c r="K30" s="43">
        <f>K23+K24+K25-K26-K27</f>
        <v/>
      </c>
      <c r="L30" s="43">
        <f>L23+L24+L25-L26-L27</f>
        <v/>
      </c>
      <c r="M30" s="43">
        <f>M23+M24+M25-M26-M27</f>
        <v/>
      </c>
      <c r="N30" s="43">
        <f>N23+N24+N25-N26-N27</f>
        <v/>
      </c>
      <c r="O30" s="43">
        <f>O23+O24+O25-O26-O27</f>
        <v/>
      </c>
      <c r="P30" s="43">
        <f>P23+P24+P25-P26-P27</f>
        <v/>
      </c>
    </row>
    <row r="31">
      <c r="A31" s="3" t="inlineStr">
        <is>
          <t>Valuation FCF (NOPAT + D&amp;A - dNWC - Capex - after-tax SBC)</t>
        </is>
      </c>
      <c r="B31" s="44">
        <f>B30-B25-B25*(1-Valuation!$B$5)</f>
        <v/>
      </c>
      <c r="C31" s="44">
        <f>C30-C25-C25*(1-Valuation!$B$5)</f>
        <v/>
      </c>
      <c r="D31" s="44">
        <f>D30-D25-D25*(1-Valuation!$B$5)</f>
        <v/>
      </c>
      <c r="E31" s="44">
        <f>E30-E25-E25*(1-Valuation!$B$5)</f>
        <v/>
      </c>
      <c r="F31" s="44">
        <f>F30-F25-F25*(1-Valuation!$B$5)</f>
        <v/>
      </c>
      <c r="G31" s="44">
        <f>G30-G25-G25*(1-Valuation!$B$5)</f>
        <v/>
      </c>
      <c r="H31" s="44">
        <f>H30-H25-H25*(1-Valuation!$B$5)</f>
        <v/>
      </c>
      <c r="I31" s="44">
        <f>I30-I25-I25*(1-Valuation!$B$5)</f>
        <v/>
      </c>
      <c r="J31" s="44">
        <f>J30-J25-J25*(1-Valuation!$B$5)</f>
        <v/>
      </c>
      <c r="K31" s="44">
        <f>K30-K25-K25*(1-Valuation!$B$5)</f>
        <v/>
      </c>
      <c r="L31" s="44">
        <f>L30-L25-L25*(1-Valuation!$B$5)</f>
        <v/>
      </c>
      <c r="M31" s="44">
        <f>M30-M25-M25*(1-Valuation!$B$5)</f>
        <v/>
      </c>
      <c r="N31" s="44">
        <f>N30-N25-N25*(1-Valuation!$B$5)</f>
        <v/>
      </c>
      <c r="O31" s="44">
        <f>O30-O25-O25*(1-Valuation!$B$5)</f>
        <v/>
      </c>
      <c r="P31" s="44">
        <f>P30-P25-P25*(1-Valuation!$B$5)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34">
        <f>Financials!K25+Financials!K24-Financials!K19</f>
        <v/>
      </c>
      <c r="C34" s="34">
        <f>Financials!O25+Financials!O24-Financials!O19</f>
        <v/>
      </c>
      <c r="D34" s="34">
        <f>Financials!S25+Financials!S24-Financials!S19</f>
        <v/>
      </c>
      <c r="E34" s="34">
        <f>Financials!W25+Financials!W24-Financials!W19</f>
        <v/>
      </c>
      <c r="F34" s="34">
        <f>Financials!AA25+Financials!AA24-Financials!AA19</f>
        <v/>
      </c>
      <c r="G34" s="42">
        <f>F34+G27-G24+G26</f>
        <v/>
      </c>
      <c r="H34" s="42">
        <f>G34+H27-H24+H26</f>
        <v/>
      </c>
      <c r="I34" s="42">
        <f>H34+I27-I24+I26</f>
        <v/>
      </c>
      <c r="J34" s="42">
        <f>I34+J27-J24+J26</f>
        <v/>
      </c>
      <c r="K34" s="42">
        <f>J34+K27-K24+K26</f>
        <v/>
      </c>
      <c r="L34" s="42">
        <f>K34+L27-L24+L26</f>
        <v/>
      </c>
      <c r="M34" s="42">
        <f>L34+M27-M24+M26</f>
        <v/>
      </c>
      <c r="N34" s="42">
        <f>M34+N27-N24+N26</f>
        <v/>
      </c>
      <c r="O34" s="42">
        <f>N34+O27-O24+O26</f>
        <v/>
      </c>
      <c r="P34" s="42">
        <f>O34+P27-P24+P26</f>
        <v/>
      </c>
    </row>
    <row r="35">
      <c r="A35" s="4" t="inlineStr">
        <is>
          <t>Book equity (year-end)</t>
        </is>
      </c>
      <c r="B35" s="34">
        <f>Financials!K25</f>
        <v/>
      </c>
      <c r="C35" s="34">
        <f>Financials!O25</f>
        <v/>
      </c>
      <c r="D35" s="34">
        <f>Financials!S25</f>
        <v/>
      </c>
      <c r="E35" s="34">
        <f>Financials!W25</f>
        <v/>
      </c>
      <c r="F35" s="34">
        <f>Financials!AA25</f>
        <v/>
      </c>
      <c r="G35" s="42">
        <f>F35+G23</f>
        <v/>
      </c>
      <c r="H35" s="42">
        <f>G35+H23</f>
        <v/>
      </c>
      <c r="I35" s="42">
        <f>H35+I23</f>
        <v/>
      </c>
      <c r="J35" s="42">
        <f>I35+J23</f>
        <v/>
      </c>
      <c r="K35" s="42">
        <f>J35+K23</f>
        <v/>
      </c>
      <c r="L35" s="42">
        <f>K35+L23</f>
        <v/>
      </c>
      <c r="M35" s="42">
        <f>L35+M23</f>
        <v/>
      </c>
      <c r="N35" s="42">
        <f>M35+N23</f>
        <v/>
      </c>
      <c r="O35" s="42">
        <f>N35+O23</f>
        <v/>
      </c>
      <c r="P35" s="42">
        <f>O35+P23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  <c r="M36" s="25">
        <f>IFERROR(M23/L34,"")</f>
        <v/>
      </c>
      <c r="N36" s="25">
        <f>IFERROR(N23/M34,"")</f>
        <v/>
      </c>
      <c r="O36" s="25">
        <f>IFERROR(O23/N34,"")</f>
        <v/>
      </c>
      <c r="P36" s="25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IFERROR(SUM(Financials!L15:O15)/B35,"")</f>
        <v/>
      </c>
      <c r="D37" s="11">
        <f>IFERROR(SUM(Financials!P15:S15)/C35,"")</f>
        <v/>
      </c>
      <c r="E37" s="11">
        <f>IFERROR(SUM(Financials!T15:W15)/D35,"")</f>
        <v/>
      </c>
      <c r="F37" s="11">
        <f>IFERROR(SUM(Financials!X15:AA15)/E35,"")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  <c r="M37" s="25">
        <f>IFERROR(M23/L35,"")</f>
        <v/>
      </c>
      <c r="N37" s="25">
        <f>IFERROR(N23/M35,"")</f>
        <v/>
      </c>
      <c r="O37" s="25">
        <f>IFERROR(O23/N35,"")</f>
        <v/>
      </c>
      <c r="P37" s="25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  <c r="M38" s="11">
        <f>IFERROR(M36-WACC!$B$15,"")</f>
        <v/>
      </c>
      <c r="N38" s="11">
        <f>IFERROR(N36-WACC!$B$15,"")</f>
        <v/>
      </c>
      <c r="O38" s="11">
        <f>IFERROR(O36-WACC!$B$15,"")</f>
        <v/>
      </c>
      <c r="P38" s="11">
        <f>IFERROR(P36-WACC!$B$15,"")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  <c r="M39" s="25">
        <f>IFERROR((M19-L19)/(M6-L6),"")</f>
        <v/>
      </c>
      <c r="N39" s="25">
        <f>IFERROR((N19-M19)/(N6-M6),"")</f>
        <v/>
      </c>
      <c r="O39" s="25">
        <f>IFERROR((O19-N19)/(O6-N6),"")</f>
        <v/>
      </c>
      <c r="P39" s="25">
        <f>IFERROR((P19-O19)/(P6-O6),"")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  <c r="M40" s="25">
        <f>IFERROR((M23-L23)/(M34-L34),"")</f>
        <v/>
      </c>
      <c r="N40" s="25">
        <f>IFERROR((N23-M23)/(N34-M34),"")</f>
        <v/>
      </c>
      <c r="O40" s="25">
        <f>IFERROR((O23-N23)/(O34-N34),"")</f>
        <v/>
      </c>
      <c r="P40" s="25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45">
        <f>IFERROR((C6-B6)/(C34-B34),"")</f>
        <v/>
      </c>
      <c r="D41" s="45">
        <f>IFERROR((D6-C6)/(D34-C34),"")</f>
        <v/>
      </c>
      <c r="E41" s="45">
        <f>IFERROR((E6-D6)/(E34-D34),"")</f>
        <v/>
      </c>
      <c r="F41" s="45">
        <f>IFERROR((F6-E6)/(F34-E34),"")</f>
        <v/>
      </c>
      <c r="G41" s="45">
        <f>IFERROR((G6-F6)/(G34-F34),"")</f>
        <v/>
      </c>
      <c r="H41" s="45">
        <f>IFERROR((H6-G6)/(H34-G34),"")</f>
        <v/>
      </c>
      <c r="I41" s="45">
        <f>IFERROR((I6-H6)/(I34-H34),"")</f>
        <v/>
      </c>
      <c r="J41" s="45">
        <f>IFERROR((J6-I6)/(J34-I34),"")</f>
        <v/>
      </c>
      <c r="K41" s="45">
        <f>IFERROR((K6-J6)/(K34-J34),"")</f>
        <v/>
      </c>
      <c r="L41" s="45">
        <f>IFERROR((L6-K6)/(L34-K34),"")</f>
        <v/>
      </c>
      <c r="M41" s="45">
        <f>IFERROR((M6-L6)/(M34-L34),"")</f>
        <v/>
      </c>
      <c r="N41" s="45">
        <f>IFERROR((N6-M6)/(N34-M34),"")</f>
        <v/>
      </c>
      <c r="O41" s="45">
        <f>IFERROR((O6-N6)/(O34-N34),"")</f>
        <v/>
      </c>
      <c r="P41" s="45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  <c r="M42" s="25">
        <f>IFERROR((M34-L34)/M23,"")</f>
        <v/>
      </c>
      <c r="N42" s="25">
        <f>IFERROR((N34-M34)/N23,"")</f>
        <v/>
      </c>
      <c r="O42" s="25">
        <f>IFERROR((O34-N34)/O23,"")</f>
        <v/>
      </c>
      <c r="P42" s="25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6" t="inlineStr">
        <is>
          <t>Q3 2019</t>
        </is>
      </c>
      <c r="C1" s="46" t="inlineStr">
        <is>
          <t>Q4 2019</t>
        </is>
      </c>
      <c r="D1" s="46" t="inlineStr">
        <is>
          <t>Q1 2020</t>
        </is>
      </c>
      <c r="E1" s="46" t="inlineStr">
        <is>
          <t>Q2 2020</t>
        </is>
      </c>
      <c r="F1" s="46" t="inlineStr">
        <is>
          <t>Q3 2020</t>
        </is>
      </c>
      <c r="G1" s="46" t="inlineStr">
        <is>
          <t>Q4 2020</t>
        </is>
      </c>
      <c r="H1" s="46" t="inlineStr">
        <is>
          <t>Q1 2021</t>
        </is>
      </c>
      <c r="I1" s="46" t="inlineStr">
        <is>
          <t>Q2 2021</t>
        </is>
      </c>
      <c r="J1" s="46" t="inlineStr">
        <is>
          <t>Q3 2021</t>
        </is>
      </c>
      <c r="K1" s="46" t="inlineStr">
        <is>
          <t>Q4 2021</t>
        </is>
      </c>
      <c r="L1" s="46" t="inlineStr">
        <is>
          <t>Q1 2022</t>
        </is>
      </c>
      <c r="M1" s="46" t="inlineStr">
        <is>
          <t>Q2 2022</t>
        </is>
      </c>
      <c r="N1" s="46" t="inlineStr">
        <is>
          <t>Q3 2022</t>
        </is>
      </c>
      <c r="O1" s="46" t="inlineStr">
        <is>
          <t>Q4 2022</t>
        </is>
      </c>
      <c r="P1" s="46" t="inlineStr">
        <is>
          <t>Q1 2023</t>
        </is>
      </c>
      <c r="Q1" s="46" t="inlineStr">
        <is>
          <t>Q2 2023</t>
        </is>
      </c>
      <c r="R1" s="46" t="inlineStr">
        <is>
          <t>Q3 2023</t>
        </is>
      </c>
      <c r="S1" s="46" t="inlineStr">
        <is>
          <t>Q4 2023</t>
        </is>
      </c>
      <c r="T1" s="46" t="inlineStr">
        <is>
          <t>Q1 2024</t>
        </is>
      </c>
      <c r="U1" s="46" t="inlineStr">
        <is>
          <t>Q2 2024</t>
        </is>
      </c>
      <c r="V1" s="46" t="inlineStr">
        <is>
          <t>Q3 2024</t>
        </is>
      </c>
      <c r="W1" s="46" t="inlineStr">
        <is>
          <t>Q4 2024</t>
        </is>
      </c>
      <c r="X1" s="46" t="inlineStr">
        <is>
          <t>Q1 2025</t>
        </is>
      </c>
      <c r="Y1" s="46" t="inlineStr">
        <is>
          <t>Q2 2025</t>
        </is>
      </c>
      <c r="Z1" s="46" t="inlineStr">
        <is>
          <t>Q3 2025</t>
        </is>
      </c>
      <c r="AA1" s="46" t="inlineStr">
        <is>
          <t>Q4 2025</t>
        </is>
      </c>
      <c r="AB1" s="46" t="inlineStr">
        <is>
          <t>Q1 2026</t>
        </is>
      </c>
      <c r="AC1" s="46" t="inlineStr">
        <is>
          <t>Q2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3562</v>
      </c>
      <c r="C3" s="18" t="n">
        <v>3754</v>
      </c>
      <c r="D3" s="18" t="n">
        <v>4162</v>
      </c>
      <c r="E3" s="18" t="n">
        <v>3957</v>
      </c>
      <c r="F3" s="18" t="n">
        <v>4395</v>
      </c>
      <c r="G3" s="18" t="n">
        <v>4688</v>
      </c>
      <c r="H3" s="18" t="n">
        <v>5162</v>
      </c>
      <c r="I3" s="18" t="n">
        <v>5582</v>
      </c>
      <c r="J3" s="18" t="n">
        <v>6196</v>
      </c>
      <c r="K3" s="18" t="n">
        <v>6123</v>
      </c>
      <c r="L3" s="18" t="n">
        <v>6271</v>
      </c>
      <c r="M3" s="18" t="n">
        <v>6245</v>
      </c>
      <c r="N3" s="18" t="n">
        <v>6520</v>
      </c>
      <c r="O3" s="18" t="n">
        <v>6749</v>
      </c>
      <c r="P3" s="18" t="n">
        <v>6739</v>
      </c>
      <c r="Q3" s="18" t="n">
        <v>6630</v>
      </c>
      <c r="R3" s="18" t="n">
        <v>6425</v>
      </c>
      <c r="S3" s="18" t="n">
        <v>6723</v>
      </c>
      <c r="T3" s="18" t="n">
        <v>6707</v>
      </c>
      <c r="U3" s="18" t="n">
        <v>6646</v>
      </c>
      <c r="V3" s="18" t="n">
        <v>6778</v>
      </c>
      <c r="W3" s="18" t="n">
        <v>7045</v>
      </c>
      <c r="X3" s="18" t="n">
        <v>7166</v>
      </c>
      <c r="Y3" s="18" t="n">
        <v>7100</v>
      </c>
      <c r="Z3" s="18" t="n">
        <v>7302</v>
      </c>
      <c r="AA3" s="18" t="n">
        <v>6800</v>
      </c>
      <c r="AB3" s="18" t="n">
        <v>7012</v>
      </c>
      <c r="AC3" s="18" t="n">
        <v>7910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2005</v>
      </c>
      <c r="C5" s="18" t="n">
        <v>2120</v>
      </c>
      <c r="D5" s="18" t="n">
        <v>2304</v>
      </c>
      <c r="E5" s="18" t="n">
        <v>2208</v>
      </c>
      <c r="F5" s="18" t="n">
        <v>2440</v>
      </c>
      <c r="G5" s="18" t="n">
        <v>2558</v>
      </c>
      <c r="H5" s="18" t="n">
        <v>2813</v>
      </c>
      <c r="I5" s="18" t="n">
        <v>2929</v>
      </c>
      <c r="J5" s="18" t="n">
        <v>3229</v>
      </c>
      <c r="K5" s="18" t="n">
        <v>3178</v>
      </c>
      <c r="L5" s="18" t="n">
        <v>3312</v>
      </c>
      <c r="M5" s="18" t="n">
        <v>3318</v>
      </c>
      <c r="N5" s="18" t="n">
        <v>3514</v>
      </c>
      <c r="O5" s="18" t="n">
        <v>3648</v>
      </c>
      <c r="P5" s="18" t="n">
        <v>3594</v>
      </c>
      <c r="Q5" s="18" t="n">
        <v>3536</v>
      </c>
      <c r="R5" s="18" t="n">
        <v>3449</v>
      </c>
      <c r="S5" s="18" t="n">
        <v>3554</v>
      </c>
      <c r="T5" s="18" t="n">
        <v>3503</v>
      </c>
      <c r="U5" s="18" t="n">
        <v>3493</v>
      </c>
      <c r="V5" s="18" t="n">
        <v>3573</v>
      </c>
      <c r="W5" s="18" t="n">
        <v>3710</v>
      </c>
      <c r="X5" s="18" t="n">
        <v>3670</v>
      </c>
      <c r="Y5" s="18" t="n">
        <v>3615</v>
      </c>
      <c r="Z5" s="18" t="n">
        <v>3740</v>
      </c>
      <c r="AA5" s="18" t="n">
        <v>3535</v>
      </c>
      <c r="AB5" s="18" t="n">
        <v>3577</v>
      </c>
      <c r="AC5" s="18" t="n">
        <v>3963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515</v>
      </c>
      <c r="C7" s="18" t="n">
        <v>515</v>
      </c>
      <c r="D7" s="18" t="n">
        <v>552</v>
      </c>
      <c r="E7" s="18" t="n">
        <v>550</v>
      </c>
      <c r="F7" s="18" t="n">
        <v>572</v>
      </c>
      <c r="G7" s="18" t="n">
        <v>560</v>
      </c>
      <c r="H7" s="18" t="n">
        <v>606</v>
      </c>
      <c r="I7" s="18" t="n">
        <v>617</v>
      </c>
      <c r="J7" s="18" t="n">
        <v>640</v>
      </c>
      <c r="K7" s="18" t="n">
        <v>622</v>
      </c>
      <c r="L7" s="18" t="n">
        <v>654</v>
      </c>
      <c r="M7" s="18" t="n">
        <v>686</v>
      </c>
      <c r="N7" s="18" t="n">
        <v>705</v>
      </c>
      <c r="O7" s="18" t="n">
        <v>726</v>
      </c>
      <c r="P7" s="18" t="n">
        <v>771</v>
      </c>
      <c r="Q7" s="18" t="n">
        <v>775</v>
      </c>
      <c r="R7" s="18" t="n">
        <v>767</v>
      </c>
      <c r="S7" s="18" t="n">
        <v>789</v>
      </c>
      <c r="T7" s="18" t="n">
        <v>754</v>
      </c>
      <c r="U7" s="18" t="n">
        <v>785</v>
      </c>
      <c r="V7" s="18" t="n">
        <v>836</v>
      </c>
      <c r="W7" s="18" t="n">
        <v>858</v>
      </c>
      <c r="X7" s="18" t="n">
        <v>859</v>
      </c>
      <c r="Y7" s="18" t="n">
        <v>893</v>
      </c>
      <c r="Z7" s="18" t="n">
        <v>901</v>
      </c>
      <c r="AA7" s="18" t="n">
        <v>917</v>
      </c>
      <c r="AB7" s="18" t="n">
        <v>928</v>
      </c>
      <c r="AC7" s="18" t="n">
        <v>1027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240</v>
      </c>
      <c r="C9" s="18" t="n">
        <v>255</v>
      </c>
      <c r="D9" s="18" t="n">
        <v>264</v>
      </c>
      <c r="E9" s="18" t="n">
        <v>267</v>
      </c>
      <c r="F9" s="18" t="n">
        <v>275</v>
      </c>
      <c r="G9" s="18" t="n">
        <v>287</v>
      </c>
      <c r="H9" s="18" t="n">
        <v>308</v>
      </c>
      <c r="I9" s="18" t="n">
        <v>297</v>
      </c>
      <c r="J9" s="18" t="n">
        <v>314</v>
      </c>
      <c r="K9" s="18" t="n">
        <v>310</v>
      </c>
      <c r="L9" s="18" t="n">
        <v>333</v>
      </c>
      <c r="M9" s="18" t="n">
        <v>347</v>
      </c>
      <c r="N9" s="18" t="n">
        <v>377</v>
      </c>
      <c r="O9" s="18" t="n">
        <v>381</v>
      </c>
      <c r="P9" s="18" t="n">
        <v>404</v>
      </c>
      <c r="Q9" s="18" t="n">
        <v>408</v>
      </c>
      <c r="R9" s="18" t="n">
        <v>407</v>
      </c>
      <c r="S9" s="18" t="n">
        <v>409</v>
      </c>
      <c r="T9" s="18" t="n">
        <v>483</v>
      </c>
      <c r="U9" s="18" t="n">
        <v>456</v>
      </c>
      <c r="V9" s="18" t="n">
        <v>427</v>
      </c>
      <c r="W9" s="18" t="n">
        <v>431</v>
      </c>
      <c r="X9" s="18" t="n">
        <v>462</v>
      </c>
      <c r="Y9" s="18" t="n">
        <v>423</v>
      </c>
      <c r="Z9" s="18" t="n">
        <v>428</v>
      </c>
      <c r="AA9" s="18" t="n">
        <v>455</v>
      </c>
      <c r="AB9" s="18" t="n">
        <v>411</v>
      </c>
      <c r="AC9" s="18" t="n">
        <v>397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1557</v>
      </c>
      <c r="C11" s="18" t="n">
        <v>1634</v>
      </c>
      <c r="D11" s="18" t="n">
        <v>1858</v>
      </c>
      <c r="E11" s="18" t="n">
        <v>1749</v>
      </c>
      <c r="F11" s="18" t="n">
        <v>1955</v>
      </c>
      <c r="G11" s="18" t="n">
        <v>2130</v>
      </c>
      <c r="H11" s="18" t="n">
        <v>2349</v>
      </c>
      <c r="I11" s="18" t="n">
        <v>2653</v>
      </c>
      <c r="J11" s="18" t="n">
        <v>2967</v>
      </c>
      <c r="K11" s="18" t="n">
        <v>2945</v>
      </c>
      <c r="L11" s="18" t="n">
        <v>2959</v>
      </c>
      <c r="M11" s="18" t="n">
        <v>2927</v>
      </c>
      <c r="N11" s="18" t="n">
        <v>3006</v>
      </c>
      <c r="O11" s="18" t="n">
        <v>3101</v>
      </c>
      <c r="P11" s="18" t="n">
        <v>3145</v>
      </c>
      <c r="Q11" s="18" t="n">
        <v>3094</v>
      </c>
      <c r="R11" s="18" t="n">
        <v>2976</v>
      </c>
      <c r="S11" s="18" t="n">
        <v>3169</v>
      </c>
      <c r="T11" s="18" t="n">
        <v>3204</v>
      </c>
      <c r="U11" s="18" t="n">
        <v>3153</v>
      </c>
      <c r="V11" s="18" t="n">
        <v>3205</v>
      </c>
      <c r="W11" s="18" t="n">
        <v>3335</v>
      </c>
      <c r="X11" s="18" t="n">
        <v>3496</v>
      </c>
      <c r="Y11" s="18" t="n">
        <v>3485</v>
      </c>
      <c r="Z11" s="18" t="n">
        <v>3562</v>
      </c>
      <c r="AA11" s="18" t="n">
        <v>3265</v>
      </c>
      <c r="AB11" s="18" t="n">
        <v>3435</v>
      </c>
      <c r="AC11" s="18" t="n">
        <v>3947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802</v>
      </c>
      <c r="C13" s="18" t="n">
        <v>864</v>
      </c>
      <c r="D13" s="18" t="n">
        <v>1042</v>
      </c>
      <c r="E13" s="18" t="n">
        <v>932</v>
      </c>
      <c r="F13" s="18" t="n">
        <v>1108</v>
      </c>
      <c r="G13" s="18" t="n">
        <v>1283</v>
      </c>
      <c r="H13" s="18" t="n">
        <v>1283</v>
      </c>
      <c r="I13" s="18" t="n">
        <v>1579</v>
      </c>
      <c r="J13" s="18" t="n">
        <v>2013</v>
      </c>
      <c r="K13" s="18" t="n">
        <v>2014</v>
      </c>
      <c r="L13" s="18" t="n">
        <v>1976</v>
      </c>
      <c r="M13" s="18" t="n">
        <v>1894</v>
      </c>
      <c r="N13" s="18" t="n">
        <v>1924</v>
      </c>
      <c r="O13" s="18" t="n">
        <v>1994</v>
      </c>
      <c r="P13" s="18" t="n">
        <v>1970</v>
      </c>
      <c r="Q13" s="18" t="n">
        <v>1911</v>
      </c>
      <c r="R13" s="18" t="n">
        <v>1802</v>
      </c>
      <c r="S13" s="18" t="n">
        <v>1971</v>
      </c>
      <c r="T13" s="18" t="n">
        <v>1967</v>
      </c>
      <c r="U13" s="18" t="n">
        <v>1912</v>
      </c>
      <c r="V13" s="18" t="n">
        <v>1942</v>
      </c>
      <c r="W13" s="18" t="n">
        <v>2046</v>
      </c>
      <c r="X13" s="18" t="n">
        <v>2175</v>
      </c>
      <c r="Y13" s="18" t="n">
        <v>2169</v>
      </c>
      <c r="Z13" s="18" t="n">
        <v>2233</v>
      </c>
      <c r="AA13" s="18" t="n">
        <v>1712</v>
      </c>
      <c r="AB13" s="18" t="n">
        <v>2096</v>
      </c>
      <c r="AC13" s="18" t="n">
        <v>2523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571</v>
      </c>
      <c r="C15" s="18" t="n">
        <v>698</v>
      </c>
      <c r="D15" s="18" t="n">
        <v>892</v>
      </c>
      <c r="E15" s="18" t="n">
        <v>755</v>
      </c>
      <c r="F15" s="18" t="n">
        <v>841</v>
      </c>
      <c r="G15" s="18" t="n">
        <v>1131</v>
      </c>
      <c r="H15" s="18" t="n">
        <v>1130</v>
      </c>
      <c r="I15" s="18" t="n">
        <v>1330</v>
      </c>
      <c r="J15" s="18" t="n">
        <v>1716</v>
      </c>
      <c r="K15" s="18" t="n">
        <v>1712</v>
      </c>
      <c r="L15" s="18" t="n">
        <v>1792</v>
      </c>
      <c r="M15" s="18" t="n">
        <v>1536</v>
      </c>
      <c r="N15" s="18" t="n">
        <v>1606</v>
      </c>
      <c r="O15" s="18" t="n">
        <v>1591</v>
      </c>
      <c r="P15" s="18" t="n">
        <v>1717</v>
      </c>
      <c r="Q15" s="18" t="n">
        <v>1575</v>
      </c>
      <c r="R15" s="18" t="n">
        <v>1560</v>
      </c>
      <c r="S15" s="18" t="n">
        <v>2004</v>
      </c>
      <c r="T15" s="18" t="n">
        <v>2019</v>
      </c>
      <c r="U15" s="18" t="n">
        <v>1722</v>
      </c>
      <c r="V15" s="18" t="n">
        <v>1705</v>
      </c>
      <c r="W15" s="18" t="n">
        <v>1731</v>
      </c>
      <c r="X15" s="18" t="n">
        <v>1185</v>
      </c>
      <c r="Y15" s="18" t="n">
        <v>2137</v>
      </c>
      <c r="Z15" s="18" t="n">
        <v>1779</v>
      </c>
      <c r="AA15" s="18" t="n">
        <v>1897</v>
      </c>
      <c r="AB15" s="18" t="n">
        <v>2026</v>
      </c>
      <c r="AC15" s="18" t="n">
        <v>2806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937</v>
      </c>
      <c r="C17" s="18" t="n">
        <v>931</v>
      </c>
      <c r="D17" s="18" t="n">
        <v>927</v>
      </c>
      <c r="E17" s="18" t="n">
        <v>923</v>
      </c>
      <c r="F17" s="18" t="n">
        <v>922</v>
      </c>
      <c r="G17" s="18" t="n">
        <v>921</v>
      </c>
      <c r="H17" s="18" t="n">
        <v>925</v>
      </c>
      <c r="I17" s="18" t="n">
        <v>927</v>
      </c>
      <c r="J17" s="18" t="n">
        <v>918</v>
      </c>
      <c r="K17" s="18" t="n">
        <v>907</v>
      </c>
      <c r="L17" s="18" t="n">
        <v>897</v>
      </c>
      <c r="M17" s="18" t="n">
        <v>883</v>
      </c>
      <c r="N17" s="18" t="n">
        <v>869</v>
      </c>
      <c r="O17" s="18" t="n">
        <v>859</v>
      </c>
      <c r="P17" s="18" t="n">
        <v>849</v>
      </c>
      <c r="Q17" s="18" t="n">
        <v>847</v>
      </c>
      <c r="R17" s="18" t="n">
        <v>842</v>
      </c>
      <c r="S17" s="18" t="n">
        <v>842</v>
      </c>
      <c r="T17" s="18" t="n">
        <v>837</v>
      </c>
      <c r="U17" s="18" t="n">
        <v>836</v>
      </c>
      <c r="V17" s="18" t="n">
        <v>833</v>
      </c>
      <c r="W17" s="18" t="n">
        <v>828</v>
      </c>
      <c r="X17" s="18" t="n">
        <v>819</v>
      </c>
      <c r="Y17" s="18" t="n">
        <v>815</v>
      </c>
      <c r="Z17" s="18" t="n">
        <v>811</v>
      </c>
      <c r="AA17" s="18" t="n">
        <v>798</v>
      </c>
      <c r="AB17" s="18" t="n">
        <v>799</v>
      </c>
      <c r="AC17" s="18" t="n">
        <v>799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Cash &amp; ST Investments</t>
        </is>
      </c>
      <c r="B19" s="18" t="n">
        <v>3561</v>
      </c>
      <c r="C19" s="18" t="n">
        <v>3618</v>
      </c>
      <c r="D19" s="18" t="n">
        <v>3960</v>
      </c>
      <c r="E19" s="18" t="n">
        <v>5704</v>
      </c>
      <c r="F19" s="18" t="n">
        <v>4756</v>
      </c>
      <c r="G19" s="18" t="n">
        <v>5738</v>
      </c>
      <c r="H19" s="18" t="n">
        <v>6623</v>
      </c>
      <c r="I19" s="18" t="n">
        <v>6765</v>
      </c>
      <c r="J19" s="18" t="n">
        <v>6510</v>
      </c>
      <c r="K19" s="18" t="n">
        <v>5459</v>
      </c>
      <c r="L19" s="18" t="n">
        <v>5737</v>
      </c>
      <c r="M19" s="18" t="n">
        <v>3922</v>
      </c>
      <c r="N19" s="18" t="n">
        <v>3548</v>
      </c>
      <c r="O19" s="18" t="n">
        <v>2581</v>
      </c>
      <c r="P19" s="18" t="n">
        <v>4047</v>
      </c>
      <c r="Q19" s="18" t="n">
        <v>5098</v>
      </c>
      <c r="R19" s="18" t="n">
        <v>6535</v>
      </c>
      <c r="S19" s="18" t="n">
        <v>6869</v>
      </c>
      <c r="T19" s="18" t="n">
        <v>7492</v>
      </c>
      <c r="U19" s="18" t="n">
        <v>7557</v>
      </c>
      <c r="V19" s="18" t="n">
        <v>9103</v>
      </c>
      <c r="W19" s="18" t="n">
        <v>9471</v>
      </c>
      <c r="X19" s="18" t="n">
        <v>8213</v>
      </c>
      <c r="Y19" s="18" t="n">
        <v>6747</v>
      </c>
      <c r="Z19" s="18" t="n">
        <v>7014</v>
      </c>
      <c r="AA19" s="18" t="n">
        <v>8573</v>
      </c>
      <c r="AB19" s="18" t="n">
        <v>8511</v>
      </c>
      <c r="AC19" s="18" t="n">
        <v>8241</v>
      </c>
    </row>
    <row r="20">
      <c r="A20" s="4" t="inlineStr">
        <is>
          <t>Total Current Assets</t>
        </is>
      </c>
      <c r="B20" s="18" t="n">
        <v>10042</v>
      </c>
      <c r="C20" s="18" t="n">
        <v>10206</v>
      </c>
      <c r="D20" s="18" t="n">
        <v>10769</v>
      </c>
      <c r="E20" s="18" t="n">
        <v>12735</v>
      </c>
      <c r="F20" s="18" t="n">
        <v>12248</v>
      </c>
      <c r="G20" s="18" t="n">
        <v>13369</v>
      </c>
      <c r="H20" s="18" t="n">
        <v>14269</v>
      </c>
      <c r="I20" s="18" t="n">
        <v>14971</v>
      </c>
      <c r="J20" s="18" t="n">
        <v>15248</v>
      </c>
      <c r="K20" s="18" t="n">
        <v>16107</v>
      </c>
      <c r="L20" s="18" t="n">
        <v>15707</v>
      </c>
      <c r="M20" s="18" t="n">
        <v>15244</v>
      </c>
      <c r="N20" s="18" t="n">
        <v>15434</v>
      </c>
      <c r="O20" s="18" t="n">
        <v>15925</v>
      </c>
      <c r="P20" s="18" t="n">
        <v>16715</v>
      </c>
      <c r="Q20" s="18" t="n">
        <v>17773</v>
      </c>
      <c r="R20" s="18" t="n">
        <v>18879</v>
      </c>
      <c r="S20" s="18" t="n">
        <v>19147</v>
      </c>
      <c r="T20" s="18" t="n">
        <v>19182</v>
      </c>
      <c r="U20" s="18" t="n">
        <v>19265</v>
      </c>
      <c r="V20" s="18" t="n">
        <v>20671</v>
      </c>
      <c r="W20" s="18" t="n">
        <v>21220</v>
      </c>
      <c r="X20" s="18" t="n">
        <v>20694</v>
      </c>
      <c r="Y20" s="18" t="n">
        <v>19708</v>
      </c>
      <c r="Z20" s="18" t="n">
        <v>19718</v>
      </c>
      <c r="AA20" s="18" t="n">
        <v>20881</v>
      </c>
      <c r="AB20" s="18" t="n">
        <v>21049</v>
      </c>
      <c r="AC20" s="18" t="n">
        <v>22571</v>
      </c>
    </row>
    <row r="21">
      <c r="A21" s="4" t="inlineStr">
        <is>
          <t>PP&amp;E (net)</t>
        </is>
      </c>
      <c r="B21" s="18" t="n">
        <v>1513</v>
      </c>
      <c r="C21" s="18" t="n">
        <v>1529</v>
      </c>
      <c r="D21" s="18" t="n">
        <v>1711</v>
      </c>
      <c r="E21" s="18" t="n">
        <v>1776</v>
      </c>
      <c r="F21" s="18" t="n">
        <v>1784</v>
      </c>
      <c r="G21" s="18" t="n">
        <v>1856</v>
      </c>
      <c r="H21" s="18" t="n">
        <v>1879</v>
      </c>
      <c r="I21" s="18" t="n">
        <v>2014</v>
      </c>
      <c r="J21" s="18" t="n">
        <v>2076</v>
      </c>
      <c r="K21" s="18" t="n">
        <v>2228</v>
      </c>
      <c r="L21" s="18" t="n">
        <v>2270</v>
      </c>
      <c r="M21" s="18" t="n">
        <v>2463</v>
      </c>
      <c r="N21" s="18" t="n">
        <v>2595</v>
      </c>
      <c r="O21" s="18" t="n">
        <v>2696</v>
      </c>
      <c r="P21" s="18" t="n">
        <v>2978</v>
      </c>
      <c r="Q21" s="18" t="n">
        <v>3057</v>
      </c>
      <c r="R21" s="18" t="n">
        <v>3083</v>
      </c>
      <c r="S21" s="18" t="n">
        <v>3201</v>
      </c>
      <c r="T21" s="18" t="n">
        <v>3289</v>
      </c>
      <c r="U21" s="18" t="n">
        <v>3428</v>
      </c>
      <c r="V21" s="18" t="n">
        <v>3546</v>
      </c>
      <c r="W21" s="18" t="n">
        <v>3714</v>
      </c>
      <c r="X21" s="18" t="n">
        <v>3922</v>
      </c>
      <c r="Y21" s="18" t="n">
        <v>4266</v>
      </c>
      <c r="Z21" s="18" t="n">
        <v>4643</v>
      </c>
      <c r="AA21" s="18" t="n">
        <v>5119</v>
      </c>
      <c r="AB21" s="18" t="n">
        <v>4949</v>
      </c>
      <c r="AC21" s="18" t="n">
        <v>5255</v>
      </c>
    </row>
    <row r="22">
      <c r="A22" s="4" t="inlineStr">
        <is>
          <t>Total Assets</t>
        </is>
      </c>
      <c r="B22" s="18" t="n">
        <v>18805</v>
      </c>
      <c r="C22" s="18" t="n">
        <v>19035</v>
      </c>
      <c r="D22" s="18" t="n">
        <v>19767</v>
      </c>
      <c r="E22" s="18" t="n">
        <v>21815</v>
      </c>
      <c r="F22" s="18" t="n">
        <v>21171</v>
      </c>
      <c r="G22" s="18" t="n">
        <v>22353</v>
      </c>
      <c r="H22" s="18" t="n">
        <v>23305</v>
      </c>
      <c r="I22" s="18" t="n">
        <v>24085</v>
      </c>
      <c r="J22" s="18" t="n">
        <v>24479</v>
      </c>
      <c r="K22" s="18" t="n">
        <v>25825</v>
      </c>
      <c r="L22" s="18" t="n">
        <v>25428</v>
      </c>
      <c r="M22" s="18" t="n">
        <v>25459</v>
      </c>
      <c r="N22" s="18" t="n">
        <v>26161</v>
      </c>
      <c r="O22" s="18" t="n">
        <v>26726</v>
      </c>
      <c r="P22" s="18" t="n">
        <v>27959</v>
      </c>
      <c r="Q22" s="18" t="n">
        <v>29092</v>
      </c>
      <c r="R22" s="18" t="n">
        <v>30410</v>
      </c>
      <c r="S22" s="18" t="n">
        <v>30729</v>
      </c>
      <c r="T22" s="18" t="n">
        <v>31540</v>
      </c>
      <c r="U22" s="18" t="n">
        <v>31949</v>
      </c>
      <c r="V22" s="18" t="n">
        <v>33647</v>
      </c>
      <c r="W22" s="18" t="n">
        <v>34409</v>
      </c>
      <c r="X22" s="18" t="n">
        <v>33338</v>
      </c>
      <c r="Y22" s="18" t="n">
        <v>33632</v>
      </c>
      <c r="Z22" s="18" t="n">
        <v>34211</v>
      </c>
      <c r="AA22" s="18" t="n">
        <v>36299</v>
      </c>
      <c r="AB22" s="18" t="n">
        <v>37644</v>
      </c>
      <c r="AC22" s="18" t="n">
        <v>40286</v>
      </c>
    </row>
    <row r="23">
      <c r="A23" s="4" t="inlineStr">
        <is>
          <t>Total Current Liabilities</t>
        </is>
      </c>
      <c r="B23" s="18" t="n">
        <v>3785</v>
      </c>
      <c r="C23" s="18" t="n">
        <v>4447</v>
      </c>
      <c r="D23" s="18" t="n">
        <v>4569</v>
      </c>
      <c r="E23" s="18" t="n">
        <v>4765</v>
      </c>
      <c r="F23" s="18" t="n">
        <v>4285</v>
      </c>
      <c r="G23" s="18" t="n">
        <v>4459</v>
      </c>
      <c r="H23" s="18" t="n">
        <v>4504</v>
      </c>
      <c r="I23" s="18" t="n">
        <v>4822</v>
      </c>
      <c r="J23" s="18" t="n">
        <v>5125</v>
      </c>
      <c r="K23" s="18" t="n">
        <v>6344</v>
      </c>
      <c r="L23" s="18" t="n">
        <v>6264</v>
      </c>
      <c r="M23" s="18" t="n">
        <v>6650</v>
      </c>
      <c r="N23" s="18" t="n">
        <v>6833</v>
      </c>
      <c r="O23" s="18" t="n">
        <v>7379</v>
      </c>
      <c r="P23" s="18" t="n">
        <v>7250</v>
      </c>
      <c r="Q23" s="18" t="n">
        <v>7871</v>
      </c>
      <c r="R23" s="18" t="n">
        <v>8224</v>
      </c>
      <c r="S23" s="18" t="n">
        <v>7372</v>
      </c>
      <c r="T23" s="18" t="n">
        <v>7076</v>
      </c>
      <c r="U23" s="18" t="n">
        <v>6884</v>
      </c>
      <c r="V23" s="18" t="n">
        <v>7228</v>
      </c>
      <c r="W23" s="18" t="n">
        <v>8468</v>
      </c>
      <c r="X23" s="18" t="n">
        <v>7736</v>
      </c>
      <c r="Y23" s="18" t="n">
        <v>7996</v>
      </c>
      <c r="Z23" s="18" t="n">
        <v>7883</v>
      </c>
      <c r="AA23" s="18" t="n">
        <v>7999</v>
      </c>
      <c r="AB23" s="18" t="n">
        <v>7753</v>
      </c>
      <c r="AC23" s="18" t="n">
        <v>8998</v>
      </c>
    </row>
    <row r="24">
      <c r="A24" s="4" t="inlineStr">
        <is>
          <t>Long-term Debt</t>
        </is>
      </c>
      <c r="B24" s="18" t="n">
        <v>5312</v>
      </c>
      <c r="C24" s="18" t="n">
        <v>4713</v>
      </c>
      <c r="D24" s="18" t="n">
        <v>4714</v>
      </c>
      <c r="E24" s="18" t="n">
        <v>6215</v>
      </c>
      <c r="F24" s="18" t="n">
        <v>5447</v>
      </c>
      <c r="G24" s="18" t="n">
        <v>5448</v>
      </c>
      <c r="H24" s="18" t="n">
        <v>5449</v>
      </c>
      <c r="I24" s="18" t="n">
        <v>5450</v>
      </c>
      <c r="J24" s="18" t="n">
        <v>5451</v>
      </c>
      <c r="K24" s="18" t="n">
        <v>5452</v>
      </c>
      <c r="L24" s="18" t="n">
        <v>5454</v>
      </c>
      <c r="M24" s="18" t="n">
        <v>5455</v>
      </c>
      <c r="N24" s="18" t="n">
        <v>5456</v>
      </c>
      <c r="O24" s="18" t="n">
        <v>5457</v>
      </c>
      <c r="P24" s="18" t="n">
        <v>5458</v>
      </c>
      <c r="Q24" s="18" t="n">
        <v>5459</v>
      </c>
      <c r="R24" s="18" t="n">
        <v>5460</v>
      </c>
      <c r="S24" s="18" t="n">
        <v>5461</v>
      </c>
      <c r="T24" s="18" t="n">
        <v>5462</v>
      </c>
      <c r="U24" s="18" t="n">
        <v>5463</v>
      </c>
      <c r="V24" s="18" t="n">
        <v>6158</v>
      </c>
      <c r="W24" s="18" t="n">
        <v>5460</v>
      </c>
      <c r="X24" s="18" t="n">
        <v>5461</v>
      </c>
      <c r="Y24" s="18" t="n">
        <v>5462</v>
      </c>
      <c r="Z24" s="18" t="n">
        <v>5463</v>
      </c>
      <c r="AA24" s="18" t="n">
        <v>6455</v>
      </c>
      <c r="AB24" s="18" t="n">
        <v>6453</v>
      </c>
      <c r="AC24" s="18" t="n">
        <v>5256</v>
      </c>
    </row>
    <row r="25">
      <c r="A25" s="4" t="inlineStr">
        <is>
          <t>Total Equity</t>
        </is>
      </c>
      <c r="B25" s="18" t="n">
        <v>8116</v>
      </c>
      <c r="C25" s="18" t="n">
        <v>8214</v>
      </c>
      <c r="D25" s="18" t="n">
        <v>8660</v>
      </c>
      <c r="E25" s="18" t="n">
        <v>9024</v>
      </c>
      <c r="F25" s="18" t="n">
        <v>9569</v>
      </c>
      <c r="G25" s="18" t="n">
        <v>10578</v>
      </c>
      <c r="H25" s="18" t="n">
        <v>11473</v>
      </c>
      <c r="I25" s="18" t="n">
        <v>11993</v>
      </c>
      <c r="J25" s="18" t="n">
        <v>12060</v>
      </c>
      <c r="K25" s="18" t="n">
        <v>12247</v>
      </c>
      <c r="L25" s="18" t="n">
        <v>11890</v>
      </c>
      <c r="M25" s="18" t="n">
        <v>11579</v>
      </c>
      <c r="N25" s="18" t="n">
        <v>12070</v>
      </c>
      <c r="O25" s="18" t="n">
        <v>12194</v>
      </c>
      <c r="P25" s="18" t="n">
        <v>13420</v>
      </c>
      <c r="Q25" s="18" t="n">
        <v>14129</v>
      </c>
      <c r="R25" s="18" t="n">
        <v>15093</v>
      </c>
      <c r="S25" s="18" t="n">
        <v>16349</v>
      </c>
      <c r="T25" s="18" t="n">
        <v>17429</v>
      </c>
      <c r="U25" s="18" t="n">
        <v>18199</v>
      </c>
      <c r="V25" s="18" t="n">
        <v>18840</v>
      </c>
      <c r="W25" s="18" t="n">
        <v>19001</v>
      </c>
      <c r="X25" s="18" t="n">
        <v>18625</v>
      </c>
      <c r="Y25" s="18" t="n">
        <v>18961</v>
      </c>
      <c r="Z25" s="18" t="n">
        <v>19504</v>
      </c>
      <c r="AA25" s="18" t="n">
        <v>20415</v>
      </c>
      <c r="AB25" s="18" t="n">
        <v>21717</v>
      </c>
      <c r="AC25" s="18" t="n">
        <v>23909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>
      <c r="A27" s="4" t="inlineStr">
        <is>
          <t>D&amp;A</t>
        </is>
      </c>
      <c r="B27" s="18" t="n">
        <v>89</v>
      </c>
      <c r="C27" s="18" t="n">
        <v>92</v>
      </c>
      <c r="D27" s="18" t="n">
        <v>94</v>
      </c>
      <c r="E27" s="18" t="n">
        <v>91</v>
      </c>
      <c r="F27" s="18" t="n">
        <v>94</v>
      </c>
      <c r="G27" s="18" t="n">
        <v>97</v>
      </c>
      <c r="H27" s="18" t="n">
        <v>94</v>
      </c>
      <c r="I27" s="18" t="n">
        <v>97</v>
      </c>
      <c r="J27" s="18" t="n">
        <v>98</v>
      </c>
      <c r="K27" s="18" t="n">
        <v>105</v>
      </c>
      <c r="L27" s="18" t="n">
        <v>102</v>
      </c>
      <c r="M27" s="18" t="n">
        <v>111</v>
      </c>
      <c r="N27" s="18" t="n">
        <v>108</v>
      </c>
      <c r="O27" s="18" t="n">
        <v>123</v>
      </c>
      <c r="P27" s="18" t="n">
        <v>120</v>
      </c>
      <c r="Q27" s="18" t="n">
        <v>129</v>
      </c>
      <c r="R27" s="18" t="n">
        <v>136</v>
      </c>
      <c r="S27" s="18" t="n">
        <v>130</v>
      </c>
      <c r="T27" s="18" t="n">
        <v>91</v>
      </c>
      <c r="U27" s="18" t="n">
        <v>96</v>
      </c>
      <c r="V27" s="18" t="n">
        <v>95</v>
      </c>
      <c r="W27" s="18" t="n">
        <v>110</v>
      </c>
      <c r="X27" s="18" t="n">
        <v>105</v>
      </c>
      <c r="Y27" s="18" t="n">
        <v>103</v>
      </c>
      <c r="Z27" s="18" t="n">
        <v>113</v>
      </c>
      <c r="AA27" s="18" t="n">
        <v>110</v>
      </c>
      <c r="AB27" s="18" t="n">
        <v>127</v>
      </c>
      <c r="AC27" s="18" t="n">
        <v>-8</v>
      </c>
    </row>
    <row r="28">
      <c r="A28" s="4" t="inlineStr">
        <is>
          <t>Stock-based Compensation</t>
        </is>
      </c>
      <c r="B28" s="18" t="n">
        <v>67</v>
      </c>
      <c r="C28" s="18" t="n">
        <v>66</v>
      </c>
      <c r="D28" s="18" t="n">
        <v>93</v>
      </c>
      <c r="E28" s="18" t="n">
        <v>71</v>
      </c>
      <c r="F28" s="18" t="n">
        <v>70</v>
      </c>
      <c r="G28" s="18" t="n">
        <v>73</v>
      </c>
      <c r="H28" s="18" t="n">
        <v>107</v>
      </c>
      <c r="I28" s="18" t="n">
        <v>84</v>
      </c>
      <c r="J28" s="18" t="n">
        <v>81</v>
      </c>
      <c r="K28" s="18" t="n">
        <v>74</v>
      </c>
      <c r="L28" s="18" t="n">
        <v>118</v>
      </c>
      <c r="M28" s="18" t="n">
        <v>101</v>
      </c>
      <c r="N28" s="18" t="n">
        <v>95</v>
      </c>
      <c r="O28" s="18" t="n">
        <v>99</v>
      </c>
      <c r="P28" s="18" t="n">
        <v>148</v>
      </c>
      <c r="Q28" s="18" t="n">
        <v>113</v>
      </c>
      <c r="R28" s="18" t="n">
        <v>114</v>
      </c>
      <c r="S28" s="18" t="n">
        <v>115</v>
      </c>
      <c r="T28" s="18" t="n">
        <v>170</v>
      </c>
      <c r="U28" s="18" t="n">
        <v>134</v>
      </c>
      <c r="V28" s="18" t="n">
        <v>132</v>
      </c>
      <c r="W28" s="18" t="n">
        <v>141</v>
      </c>
      <c r="X28" s="18" t="n">
        <v>195</v>
      </c>
      <c r="Y28" s="18" t="n">
        <v>159</v>
      </c>
      <c r="Z28" s="18" t="n">
        <v>158</v>
      </c>
      <c r="AA28" s="18" t="n">
        <v>141</v>
      </c>
      <c r="AB28" s="18" t="n">
        <v>207</v>
      </c>
      <c r="AC28" s="18" t="n">
        <v>38</v>
      </c>
    </row>
    <row r="29">
      <c r="A29" s="4" t="inlineStr">
        <is>
          <t>Change in Working Capital</t>
        </is>
      </c>
      <c r="B29" s="18" t="n">
        <v>62</v>
      </c>
      <c r="C29" s="18" t="n">
        <v>-22</v>
      </c>
      <c r="D29" s="18" t="n">
        <v>-137</v>
      </c>
      <c r="E29" s="18" t="n">
        <v>-278</v>
      </c>
      <c r="F29" s="18" t="n">
        <v>-250</v>
      </c>
      <c r="G29" s="18" t="n">
        <v>27</v>
      </c>
      <c r="H29" s="18" t="n">
        <v>-86</v>
      </c>
      <c r="I29" s="18" t="n">
        <v>-306</v>
      </c>
      <c r="J29" s="18" t="n">
        <v>-214</v>
      </c>
      <c r="K29" s="18" t="n">
        <v>-738</v>
      </c>
      <c r="L29" s="18" t="n">
        <v>633</v>
      </c>
      <c r="M29" s="18" t="n">
        <v>-1052</v>
      </c>
      <c r="N29" s="18" t="n">
        <v>-409</v>
      </c>
      <c r="O29" s="18" t="n">
        <v>-964</v>
      </c>
      <c r="P29" s="18" t="n">
        <v>299</v>
      </c>
      <c r="Q29" s="18" t="n">
        <v>423</v>
      </c>
      <c r="R29" s="18" t="n">
        <v>796</v>
      </c>
      <c r="S29" s="18" t="n">
        <v>-743</v>
      </c>
      <c r="T29" s="18" t="n">
        <v>352</v>
      </c>
      <c r="U29" s="18" t="n">
        <v>-414</v>
      </c>
      <c r="V29" s="18" t="n">
        <v>584</v>
      </c>
      <c r="W29" s="18" t="n">
        <v>595</v>
      </c>
      <c r="X29" s="18" t="n">
        <v>-1323</v>
      </c>
      <c r="Y29" s="18" t="n">
        <v>-723</v>
      </c>
      <c r="Z29" s="18" t="n">
        <v>588</v>
      </c>
      <c r="AA29" s="18" t="n">
        <v>1258</v>
      </c>
      <c r="AB29" s="18" t="n">
        <v>-394</v>
      </c>
      <c r="AC29" s="18" t="n">
        <v>1573</v>
      </c>
    </row>
    <row r="30">
      <c r="A30" s="4" t="inlineStr">
        <is>
          <t>Operating Cash Flow</t>
        </is>
      </c>
      <c r="B30" s="18" t="n">
        <v>787</v>
      </c>
      <c r="C30" s="18" t="n">
        <v>826</v>
      </c>
      <c r="D30" s="18" t="n">
        <v>987</v>
      </c>
      <c r="E30" s="18" t="n">
        <v>635</v>
      </c>
      <c r="F30" s="18" t="n">
        <v>867</v>
      </c>
      <c r="G30" s="18" t="n">
        <v>1315</v>
      </c>
      <c r="H30" s="18" t="n">
        <v>1421</v>
      </c>
      <c r="I30" s="18" t="n">
        <v>1187</v>
      </c>
      <c r="J30" s="18" t="n">
        <v>1686</v>
      </c>
      <c r="K30" s="18" t="n">
        <v>1148</v>
      </c>
      <c r="L30" s="18" t="n">
        <v>2658</v>
      </c>
      <c r="M30" s="18" t="n">
        <v>415</v>
      </c>
      <c r="N30" s="18" t="n">
        <v>1469</v>
      </c>
      <c r="O30" s="18" t="n">
        <v>857</v>
      </c>
      <c r="P30" s="18" t="n">
        <v>2270</v>
      </c>
      <c r="Q30" s="18" t="n">
        <v>2292</v>
      </c>
      <c r="R30" s="18" t="n">
        <v>2583</v>
      </c>
      <c r="S30" s="18" t="n">
        <v>1555</v>
      </c>
      <c r="T30" s="18" t="n">
        <v>2325</v>
      </c>
      <c r="U30" s="18" t="n">
        <v>1392</v>
      </c>
      <c r="V30" s="18" t="n">
        <v>2385</v>
      </c>
      <c r="W30" s="18" t="n">
        <v>2575</v>
      </c>
      <c r="X30" s="18" t="n">
        <v>925</v>
      </c>
      <c r="Y30" s="18" t="n">
        <v>1571</v>
      </c>
      <c r="Z30" s="18" t="n">
        <v>2634</v>
      </c>
      <c r="AA30" s="18" t="n">
        <v>2828</v>
      </c>
      <c r="AB30" s="18" t="n">
        <v>1686</v>
      </c>
      <c r="AC30" s="18" t="n">
        <v>843</v>
      </c>
    </row>
    <row r="31">
      <c r="A31" s="4" t="inlineStr">
        <is>
          <t>Capex</t>
        </is>
      </c>
      <c r="B31" s="18" t="n">
        <v>-93</v>
      </c>
      <c r="C31" s="18" t="n">
        <v>-97</v>
      </c>
      <c r="D31" s="18" t="n">
        <v>-102</v>
      </c>
      <c r="E31" s="18" t="n">
        <v>-71</v>
      </c>
      <c r="F31" s="18" t="n">
        <v>-87</v>
      </c>
      <c r="G31" s="18" t="n">
        <v>-162</v>
      </c>
      <c r="H31" s="18" t="n">
        <v>-121</v>
      </c>
      <c r="I31" s="18" t="n">
        <v>-204</v>
      </c>
      <c r="J31" s="18" t="n">
        <v>-137</v>
      </c>
      <c r="K31" s="18" t="n">
        <v>-206</v>
      </c>
      <c r="L31" s="18" t="n">
        <v>-144</v>
      </c>
      <c r="M31" s="18" t="n">
        <v>-210</v>
      </c>
      <c r="N31" s="18" t="n">
        <v>-210</v>
      </c>
      <c r="O31" s="18" t="n">
        <v>-223</v>
      </c>
      <c r="P31" s="18" t="n">
        <v>-287</v>
      </c>
      <c r="Q31" s="18" t="n">
        <v>-255</v>
      </c>
      <c r="R31" s="18" t="n">
        <v>-255</v>
      </c>
      <c r="S31" s="18" t="n">
        <v>-309</v>
      </c>
      <c r="T31" s="18" t="n">
        <v>-229</v>
      </c>
      <c r="U31" s="18" t="n">
        <v>-257</v>
      </c>
      <c r="V31" s="18" t="n">
        <v>-297</v>
      </c>
      <c r="W31" s="18" t="n">
        <v>-407</v>
      </c>
      <c r="X31" s="18" t="n">
        <v>-381</v>
      </c>
      <c r="Y31" s="18" t="n">
        <v>-510</v>
      </c>
      <c r="Z31" s="18" t="n">
        <v>-584</v>
      </c>
      <c r="AA31" s="18" t="n">
        <v>-785</v>
      </c>
      <c r="AB31" s="18" t="n">
        <v>-646</v>
      </c>
      <c r="AC31" s="18" t="n">
        <v>-11</v>
      </c>
    </row>
    <row r="32">
      <c r="A32" s="4" t="inlineStr">
        <is>
          <t>Free Cash Flow</t>
        </is>
      </c>
      <c r="B32" s="18" t="n">
        <v>694</v>
      </c>
      <c r="C32" s="18" t="n">
        <v>729</v>
      </c>
      <c r="D32" s="18" t="n">
        <v>885</v>
      </c>
      <c r="E32" s="18" t="n">
        <v>564</v>
      </c>
      <c r="F32" s="18" t="n">
        <v>780</v>
      </c>
      <c r="G32" s="18" t="n">
        <v>1153</v>
      </c>
      <c r="H32" s="18" t="n">
        <v>1300</v>
      </c>
      <c r="I32" s="18" t="n">
        <v>983</v>
      </c>
      <c r="J32" s="18" t="n">
        <v>1549</v>
      </c>
      <c r="K32" s="18" t="n">
        <v>942</v>
      </c>
      <c r="L32" s="18" t="n">
        <v>2514</v>
      </c>
      <c r="M32" s="18" t="n">
        <v>205</v>
      </c>
      <c r="N32" s="18" t="n">
        <v>1259</v>
      </c>
      <c r="O32" s="18" t="n">
        <v>634</v>
      </c>
      <c r="P32" s="18" t="n">
        <v>1983</v>
      </c>
      <c r="Q32" s="18" t="n">
        <v>2037</v>
      </c>
      <c r="R32" s="18" t="n">
        <v>2328</v>
      </c>
      <c r="S32" s="18" t="n">
        <v>1246</v>
      </c>
      <c r="T32" s="18" t="n">
        <v>2096</v>
      </c>
      <c r="U32" s="18" t="n">
        <v>1135</v>
      </c>
      <c r="V32" s="18" t="n">
        <v>2088</v>
      </c>
      <c r="W32" s="18" t="n">
        <v>2168</v>
      </c>
      <c r="X32" s="18" t="n">
        <v>544</v>
      </c>
      <c r="Y32" s="18" t="n">
        <v>1061</v>
      </c>
      <c r="Z32" s="18" t="n">
        <v>2050</v>
      </c>
      <c r="AA32" s="18" t="n">
        <v>2043</v>
      </c>
      <c r="AB32" s="18" t="n">
        <v>1040</v>
      </c>
      <c r="AC32" s="18" t="n">
        <v>832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6" t="n">
        <v>2026</v>
      </c>
      <c r="C2" s="46" t="n">
        <v>2027</v>
      </c>
      <c r="D2" s="46" t="n">
        <v>2028</v>
      </c>
      <c r="E2" s="46" t="n">
        <v>2029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</row>
    <row r="4">
      <c r="A4" s="3" t="inlineStr">
        <is>
          <t>Revenue — consensus</t>
        </is>
      </c>
      <c r="B4" s="18" t="n">
        <v>33119.21544</v>
      </c>
      <c r="C4" s="18" t="n">
        <v>41439.96842</v>
      </c>
      <c r="D4" s="18" t="n">
        <v>48052.127698</v>
      </c>
      <c r="E4" s="18" t="n">
        <v>48097.392209</v>
      </c>
    </row>
    <row r="5">
      <c r="A5" s="4" t="inlineStr">
        <is>
          <t xml:space="preserve">  model</t>
        </is>
      </c>
      <c r="B5" s="34">
        <f>Model!G6</f>
        <v/>
      </c>
      <c r="C5" s="34">
        <f>Model!H6</f>
        <v/>
      </c>
      <c r="D5" s="34">
        <f>Model!I6</f>
        <v/>
      </c>
      <c r="E5" s="34">
        <f>Model!J6</f>
        <v/>
      </c>
    </row>
    <row r="6">
      <c r="A6" s="4" t="inlineStr">
        <is>
          <t xml:space="preserve">  vs consensus</t>
        </is>
      </c>
      <c r="B6" s="47">
        <f>IFERROR(B5/B4-1,"")</f>
        <v/>
      </c>
      <c r="C6" s="47">
        <f>IFERROR(C5/C4-1,"")</f>
        <v/>
      </c>
      <c r="D6" s="47">
        <f>IFERROR(D5/D4-1,"")</f>
        <v/>
      </c>
      <c r="E6" s="47">
        <f>IFERROR(E5/E4-1,"")</f>
        <v/>
      </c>
    </row>
    <row r="8">
      <c r="A8" s="3" t="inlineStr">
        <is>
          <t>EBITDA* — consensus</t>
        </is>
      </c>
      <c r="B8" s="18" t="n">
        <v>11954.201257</v>
      </c>
      <c r="C8" s="18" t="n">
        <v>14957.531935</v>
      </c>
      <c r="D8" s="18" t="n">
        <v>17344.154978</v>
      </c>
      <c r="E8" s="18" t="n">
        <v>17360.492958</v>
      </c>
    </row>
    <row r="9">
      <c r="A9" s="4" t="inlineStr">
        <is>
          <t xml:space="preserve">  model</t>
        </is>
      </c>
      <c r="B9" s="34">
        <f>Model!G19+Model!G24</f>
        <v/>
      </c>
      <c r="C9" s="34">
        <f>Model!H19+Model!H24</f>
        <v/>
      </c>
      <c r="D9" s="34">
        <f>Model!I19+Model!I24</f>
        <v/>
      </c>
      <c r="E9" s="34">
        <f>Model!J19+Model!J24</f>
        <v/>
      </c>
    </row>
    <row r="10">
      <c r="A10" s="4" t="inlineStr">
        <is>
          <t xml:space="preserve">  vs consensus</t>
        </is>
      </c>
      <c r="B10" s="47">
        <f>IFERROR(B9/B8-1,"")</f>
        <v/>
      </c>
      <c r="C10" s="47">
        <f>IFERROR(C9/C8-1,"")</f>
        <v/>
      </c>
      <c r="D10" s="47">
        <f>IFERROR(D9/D8-1,"")</f>
        <v/>
      </c>
      <c r="E10" s="47">
        <f>IFERROR(E9/E8-1,"")</f>
        <v/>
      </c>
    </row>
    <row r="12">
      <c r="A12" s="3" t="inlineStr">
        <is>
          <t>EBIT* — consensus</t>
        </is>
      </c>
      <c r="B12" s="18" t="n">
        <v>12270.67227</v>
      </c>
      <c r="C12" s="18" t="n">
        <v>15353.511991</v>
      </c>
      <c r="D12" s="18" t="n">
        <v>17803.317592</v>
      </c>
      <c r="E12" s="18" t="n">
        <v>17820.088098</v>
      </c>
    </row>
    <row r="13">
      <c r="A13" s="4" t="inlineStr">
        <is>
          <t xml:space="preserve">  model</t>
        </is>
      </c>
      <c r="B13" s="34">
        <f>Model!G19</f>
        <v/>
      </c>
      <c r="C13" s="34">
        <f>Model!H19</f>
        <v/>
      </c>
      <c r="D13" s="34">
        <f>Model!I19</f>
        <v/>
      </c>
      <c r="E13" s="34">
        <f>Model!J19</f>
        <v/>
      </c>
    </row>
    <row r="14">
      <c r="A14" s="4" t="inlineStr">
        <is>
          <t xml:space="preserve">  vs consensus</t>
        </is>
      </c>
      <c r="B14" s="47">
        <f>IFERROR(B13/B12-1,"")</f>
        <v/>
      </c>
      <c r="C14" s="47">
        <f>IFERROR(C13/C12-1,"")</f>
        <v/>
      </c>
      <c r="D14" s="47">
        <f>IFERROR(D13/D12-1,"")</f>
        <v/>
      </c>
      <c r="E14" s="47">
        <f>IFERROR(E13/E12-1,"")</f>
        <v/>
      </c>
    </row>
    <row r="16">
      <c r="A16" s="3" t="inlineStr">
        <is>
          <t>SG&amp;A — consensus</t>
        </is>
      </c>
      <c r="B16" s="18" t="n">
        <v>1979.870138</v>
      </c>
      <c r="C16" s="18" t="n">
        <v>2477.285615</v>
      </c>
      <c r="D16" s="18" t="n">
        <v>2872.561183</v>
      </c>
      <c r="E16" s="18" t="n">
        <v>2875.2671</v>
      </c>
    </row>
    <row r="17">
      <c r="A17" s="4" t="inlineStr">
        <is>
          <t xml:space="preserve">  model</t>
        </is>
      </c>
      <c r="B17" s="34">
        <f>Model!G14</f>
        <v/>
      </c>
      <c r="C17" s="34">
        <f>Model!H14</f>
        <v/>
      </c>
      <c r="D17" s="34">
        <f>Model!I14</f>
        <v/>
      </c>
      <c r="E17" s="34">
        <f>Model!J14</f>
        <v/>
      </c>
    </row>
    <row r="18">
      <c r="A18" s="4" t="inlineStr">
        <is>
          <t xml:space="preserve">  vs consensus</t>
        </is>
      </c>
      <c r="B18" s="47">
        <f>IFERROR(B17/B16-1,"")</f>
        <v/>
      </c>
      <c r="C18" s="47">
        <f>IFERROR(C17/C16-1,"")</f>
        <v/>
      </c>
      <c r="D18" s="47">
        <f>IFERROR(D17/D16-1,"")</f>
        <v/>
      </c>
      <c r="E18" s="47">
        <f>IFERROR(E17/E16-1,"")</f>
        <v/>
      </c>
    </row>
    <row r="20">
      <c r="A20" s="3" t="inlineStr">
        <is>
          <t>Net income (NOPAT) — consensus</t>
        </is>
      </c>
      <c r="B20" s="18" t="n">
        <v>10364.04559</v>
      </c>
      <c r="C20" s="18" t="n">
        <v>12794.79448</v>
      </c>
      <c r="D20" s="18" t="n">
        <v>14970.20511</v>
      </c>
      <c r="E20" s="18" t="n">
        <v>15448.216659</v>
      </c>
    </row>
    <row r="21">
      <c r="A21" s="4" t="inlineStr">
        <is>
          <t xml:space="preserve">  model</t>
        </is>
      </c>
      <c r="B21" s="34">
        <f>Model!G23</f>
        <v/>
      </c>
      <c r="C21" s="34">
        <f>Model!H23</f>
        <v/>
      </c>
      <c r="D21" s="34">
        <f>Model!I23</f>
        <v/>
      </c>
      <c r="E21" s="34">
        <f>Model!J23</f>
        <v/>
      </c>
    </row>
    <row r="22">
      <c r="A22" s="4" t="inlineStr">
        <is>
          <t xml:space="preserve">  vs consensus</t>
        </is>
      </c>
      <c r="B22" s="47">
        <f>IFERROR(B21/B20-1,"")</f>
        <v/>
      </c>
      <c r="C22" s="47">
        <f>IFERROR(C21/C20-1,"")</f>
        <v/>
      </c>
      <c r="D22" s="47">
        <f>IFERROR(D21/D20-1,"")</f>
        <v/>
      </c>
      <c r="E22" s="47">
        <f>IFERROR(E21/E20-1,"")</f>
        <v/>
      </c>
    </row>
    <row r="24">
      <c r="A24" s="3" t="inlineStr">
        <is>
          <t>EPS — consensus</t>
        </is>
      </c>
      <c r="B24" s="48" t="n">
        <v>12.06273</v>
      </c>
      <c r="C24" s="48" t="n">
        <v>15.96519</v>
      </c>
      <c r="D24" s="48" t="n">
        <v>19.34462</v>
      </c>
      <c r="E24" s="48" t="n">
        <v>19.11908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  <c r="E25" s="8">
        <f>Model!J23/Financials!AC17</f>
        <v/>
      </c>
    </row>
    <row r="26">
      <c r="A26" s="4" t="inlineStr">
        <is>
          <t xml:space="preserve">  vs consensus</t>
        </is>
      </c>
      <c r="B26" s="47">
        <f>IFERROR(B25/B24-1,"")</f>
        <v/>
      </c>
      <c r="C26" s="47">
        <f>IFERROR(C25/C24-1,"")</f>
        <v/>
      </c>
      <c r="D26" s="47">
        <f>IFERROR(D25/D24-1,"")</f>
        <v/>
      </c>
      <c r="E26" s="47">
        <f>IFERROR(E25/E24-1,"")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Applied Materials,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6" t="n">
        <v>2026</v>
      </c>
      <c r="D11" s="46" t="n">
        <v>2027</v>
      </c>
      <c r="E11" s="46" t="n">
        <v>2028</v>
      </c>
      <c r="F11" s="46" t="n">
        <v>2029</v>
      </c>
      <c r="G11" s="46" t="n">
        <v>2030</v>
      </c>
      <c r="H11" s="46" t="n">
        <v>2031</v>
      </c>
      <c r="I11" s="46" t="n">
        <v>2032</v>
      </c>
      <c r="J11" s="46" t="n">
        <v>2033</v>
      </c>
      <c r="K11" s="46" t="n">
        <v>2034</v>
      </c>
      <c r="L11" s="46" t="n">
        <v>2035</v>
      </c>
    </row>
    <row r="12">
      <c r="A12" s="4" t="inlineStr">
        <is>
          <t>FCFF ($M)</t>
        </is>
      </c>
      <c r="C12" s="34">
        <f>Model!G31</f>
        <v/>
      </c>
      <c r="D12" s="34">
        <f>Model!H31</f>
        <v/>
      </c>
      <c r="E12" s="34">
        <f>Model!I31</f>
        <v/>
      </c>
      <c r="F12" s="34">
        <f>Model!J31</f>
        <v/>
      </c>
      <c r="G12" s="34">
        <f>Model!K31</f>
        <v/>
      </c>
      <c r="H12" s="34">
        <f>Model!L31</f>
        <v/>
      </c>
      <c r="I12" s="34">
        <f>Model!M31</f>
        <v/>
      </c>
      <c r="J12" s="34">
        <f>Model!N31</f>
        <v/>
      </c>
      <c r="K12" s="34">
        <f>Model!O31</f>
        <v/>
      </c>
      <c r="L12" s="34">
        <f>Model!P31</f>
        <v/>
      </c>
    </row>
    <row r="13">
      <c r="A13" s="4" t="inlineStr">
        <is>
          <t>PV factor</t>
        </is>
      </c>
      <c r="C13" s="49">
        <f>1/(1+$B$3)^1</f>
        <v/>
      </c>
      <c r="D13" s="49">
        <f>1/(1+$B$3)^2</f>
        <v/>
      </c>
      <c r="E13" s="49">
        <f>1/(1+$B$3)^3</f>
        <v/>
      </c>
      <c r="F13" s="49">
        <f>1/(1+$B$3)^4</f>
        <v/>
      </c>
      <c r="G13" s="49">
        <f>1/(1+$B$3)^5</f>
        <v/>
      </c>
      <c r="H13" s="49">
        <f>1/(1+$B$3)^6</f>
        <v/>
      </c>
      <c r="I13" s="49">
        <f>1/(1+$B$3)^7</f>
        <v/>
      </c>
      <c r="J13" s="49">
        <f>1/(1+$B$3)^8</f>
        <v/>
      </c>
      <c r="K13" s="49">
        <f>1/(1+$B$3)^9</f>
        <v/>
      </c>
      <c r="L13" s="49">
        <f>1/(1+$B$3)^10</f>
        <v/>
      </c>
    </row>
    <row r="14">
      <c r="A14" s="4" t="inlineStr">
        <is>
          <t>PV of FCFF ($M)</t>
        </is>
      </c>
      <c r="C14" s="42">
        <f>C12*C13</f>
        <v/>
      </c>
      <c r="D14" s="42">
        <f>D12*D13</f>
        <v/>
      </c>
      <c r="E14" s="42">
        <f>E12*E13</f>
        <v/>
      </c>
      <c r="F14" s="42">
        <f>F12*F13</f>
        <v/>
      </c>
      <c r="G14" s="42">
        <f>G12*G13</f>
        <v/>
      </c>
      <c r="H14" s="42">
        <f>H12*H13</f>
        <v/>
      </c>
      <c r="I14" s="42">
        <f>I12*I13</f>
        <v/>
      </c>
      <c r="J14" s="42">
        <f>J12*J13</f>
        <v/>
      </c>
      <c r="K14" s="42">
        <f>K12*K13</f>
        <v/>
      </c>
      <c r="L14" s="42">
        <f>L12*L13</f>
        <v/>
      </c>
    </row>
    <row r="16">
      <c r="A16" s="3" t="inlineStr">
        <is>
          <t>Sum PV of FCFF</t>
        </is>
      </c>
      <c r="B16" s="4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2">
        <f>L12</f>
        <v/>
      </c>
    </row>
    <row r="20">
      <c r="A20" s="4" t="inlineStr">
        <is>
          <t>Terminal revenue</t>
        </is>
      </c>
      <c r="B20" s="34">
        <f>Model!P6</f>
        <v/>
      </c>
    </row>
    <row r="21">
      <c r="A21" s="4" t="inlineStr">
        <is>
          <t>Terminal EBIT</t>
        </is>
      </c>
      <c r="B21" s="34">
        <f>Model!P19</f>
        <v/>
      </c>
    </row>
    <row r="22">
      <c r="A22" s="4" t="inlineStr">
        <is>
          <t>Terminal EBITDA (SBC-burdened)</t>
        </is>
      </c>
      <c r="B22" s="34">
        <f>Model!P19+Model!P24-Model!P25</f>
        <v/>
      </c>
    </row>
    <row r="23">
      <c r="A23" s="4" t="inlineStr">
        <is>
          <t>Terminal metric (per exit basis)</t>
        </is>
      </c>
      <c r="B23" s="4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2">
        <f>B23*$B$8</f>
        <v/>
      </c>
    </row>
    <row r="25">
      <c r="A25" s="4" t="inlineStr">
        <is>
          <t>PV of TV — exit multiple</t>
        </is>
      </c>
      <c r="B25" s="42">
        <f>B24/(1+$B$3)^10</f>
        <v/>
      </c>
    </row>
    <row r="26">
      <c r="A26" s="4" t="inlineStr">
        <is>
          <t>TV (perpetuity) = FCFF(1+g)/(WACC-g)</t>
        </is>
      </c>
      <c r="B26" s="42">
        <f>B19*(1+$B$4)/($B$3-$B$4)</f>
        <v/>
      </c>
    </row>
    <row r="27">
      <c r="A27" s="4" t="inlineStr">
        <is>
          <t>PV of TV — perpetuity</t>
        </is>
      </c>
      <c r="B27" s="42">
        <f>B26/(1+$B$3)^10</f>
        <v/>
      </c>
    </row>
    <row r="28">
      <c r="A28" s="3" t="inlineStr">
        <is>
          <t>PV of TV — SELECTED</t>
        </is>
      </c>
      <c r="B28" s="4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3">
        <f>B16+B28</f>
        <v/>
      </c>
    </row>
    <row r="32">
      <c r="A32" s="4" t="inlineStr">
        <is>
          <t>+ Cash &amp; ST investments</t>
        </is>
      </c>
      <c r="B32" s="34">
        <f>Financials!AC19</f>
        <v/>
      </c>
    </row>
    <row r="33">
      <c r="A33" s="4" t="inlineStr">
        <is>
          <t>- Long-term debt</t>
        </is>
      </c>
      <c r="B33" s="34">
        <f>-Financials!AC24</f>
        <v/>
      </c>
    </row>
    <row r="34">
      <c r="A34" s="3" t="inlineStr">
        <is>
          <t>Equity value</t>
        </is>
      </c>
      <c r="B34" s="43">
        <f>B31+B32+B33</f>
        <v/>
      </c>
    </row>
    <row r="35">
      <c r="A35" s="4" t="inlineStr">
        <is>
          <t>Diluted shares (M)</t>
        </is>
      </c>
      <c r="B35" s="34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50">
        <f>-$B$2</f>
        <v/>
      </c>
      <c r="C44" s="51">
        <f>C12/B35</f>
        <v/>
      </c>
      <c r="D44" s="51">
        <f>D12/B35</f>
        <v/>
      </c>
      <c r="E44" s="51">
        <f>E12/B35</f>
        <v/>
      </c>
      <c r="F44" s="51">
        <f>F12/B35</f>
        <v/>
      </c>
      <c r="G44" s="51">
        <f>G12/B35</f>
        <v/>
      </c>
      <c r="H44" s="51">
        <f>H12/B35</f>
        <v/>
      </c>
      <c r="I44" s="51">
        <f>I12/B35</f>
        <v/>
      </c>
      <c r="J44" s="51">
        <f>J12/B35</f>
        <v/>
      </c>
      <c r="K44" s="51">
        <f>K12/B35</f>
        <v/>
      </c>
      <c r="L44" s="51">
        <f>L12/B35+B36</f>
        <v/>
      </c>
    </row>
    <row r="45">
      <c r="A45" s="3" t="inlineStr">
        <is>
          <t>IRR (buy at price, hold 10y)</t>
        </is>
      </c>
      <c r="B45" s="39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2" t="n">
        <v>0.1067182049427388</v>
      </c>
      <c r="C4" s="52" t="n">
        <v>0.1117182049427388</v>
      </c>
      <c r="D4" s="52" t="n">
        <v>0.1167182049427388</v>
      </c>
      <c r="E4" s="52" t="n">
        <v>0.1217182049427388</v>
      </c>
      <c r="F4" s="52" t="n">
        <v>0.1267182049427387</v>
      </c>
      <c r="G4" s="52" t="n">
        <v>0.1317182049427388</v>
      </c>
      <c r="H4" s="52" t="n">
        <v>0.1367182049427388</v>
      </c>
    </row>
    <row r="5">
      <c r="A5" s="53" t="n">
        <v>10</v>
      </c>
      <c r="B5" s="54" t="n">
        <v>181.1792329651669</v>
      </c>
      <c r="C5" s="54" t="n">
        <v>174.8773219419295</v>
      </c>
      <c r="D5" s="54" t="n">
        <v>168.8540490318302</v>
      </c>
      <c r="E5" s="54" t="n">
        <v>163.0954894313658</v>
      </c>
      <c r="F5" s="54" t="n">
        <v>157.5884823328509</v>
      </c>
      <c r="G5" s="54" t="n">
        <v>152.3205855531288</v>
      </c>
      <c r="H5" s="54" t="n">
        <v>147.2800330529021</v>
      </c>
    </row>
    <row r="6">
      <c r="A6" s="53" t="n">
        <v>11</v>
      </c>
      <c r="B6" s="54" t="n">
        <v>190.9749857547231</v>
      </c>
      <c r="C6" s="54" t="n">
        <v>184.2413171048008</v>
      </c>
      <c r="D6" s="54" t="n">
        <v>177.8071275723472</v>
      </c>
      <c r="E6" s="54" t="n">
        <v>171.657399711543</v>
      </c>
      <c r="F6" s="54" t="n">
        <v>165.7779418598049</v>
      </c>
      <c r="G6" s="54" t="n">
        <v>160.1553390200845</v>
      </c>
      <c r="H6" s="54" t="n">
        <v>154.7769068761177</v>
      </c>
    </row>
    <row r="7">
      <c r="A7" s="53" t="n">
        <v>12</v>
      </c>
      <c r="B7" s="54" t="n">
        <v>200.7707385442794</v>
      </c>
      <c r="C7" s="54" t="n">
        <v>193.605312267672</v>
      </c>
      <c r="D7" s="54" t="n">
        <v>186.7602061128642</v>
      </c>
      <c r="E7" s="54" t="n">
        <v>180.2193099917203</v>
      </c>
      <c r="F7" s="54" t="n">
        <v>173.967401386759</v>
      </c>
      <c r="G7" s="54" t="n">
        <v>167.9900924870401</v>
      </c>
      <c r="H7" s="54" t="n">
        <v>162.2737806993332</v>
      </c>
    </row>
    <row r="8">
      <c r="A8" s="53" t="n">
        <v>13</v>
      </c>
      <c r="B8" s="54" t="n">
        <v>210.5664913338355</v>
      </c>
      <c r="C8" s="54" t="n">
        <v>202.9693074305432</v>
      </c>
      <c r="D8" s="54" t="n">
        <v>195.7132846533813</v>
      </c>
      <c r="E8" s="55" t="n">
        <v>188.7812202718975</v>
      </c>
      <c r="F8" s="54" t="n">
        <v>182.1568609137131</v>
      </c>
      <c r="G8" s="54" t="n">
        <v>175.8248459539958</v>
      </c>
      <c r="H8" s="54" t="n">
        <v>169.7706545225488</v>
      </c>
    </row>
    <row r="9">
      <c r="A9" s="53" t="n">
        <v>14</v>
      </c>
      <c r="B9" s="54" t="n">
        <v>220.3622441233917</v>
      </c>
      <c r="C9" s="54" t="n">
        <v>212.3333025934145</v>
      </c>
      <c r="D9" s="54" t="n">
        <v>204.6663631938983</v>
      </c>
      <c r="E9" s="54" t="n">
        <v>197.3431305520747</v>
      </c>
      <c r="F9" s="54" t="n">
        <v>190.3463204406672</v>
      </c>
      <c r="G9" s="54" t="n">
        <v>183.6595994209515</v>
      </c>
      <c r="H9" s="54" t="n">
        <v>177.2675283457643</v>
      </c>
    </row>
    <row r="10">
      <c r="A10" s="53" t="n">
        <v>15</v>
      </c>
      <c r="B10" s="54" t="n">
        <v>230.157996912948</v>
      </c>
      <c r="C10" s="54" t="n">
        <v>221.6972977562856</v>
      </c>
      <c r="D10" s="54" t="n">
        <v>213.6194417344153</v>
      </c>
      <c r="E10" s="54" t="n">
        <v>205.9050408322519</v>
      </c>
      <c r="F10" s="54" t="n">
        <v>198.5357799676213</v>
      </c>
      <c r="G10" s="54" t="n">
        <v>191.4943528879072</v>
      </c>
      <c r="H10" s="54" t="n">
        <v>184.7644021689799</v>
      </c>
    </row>
    <row r="11">
      <c r="A11" s="53" t="n">
        <v>16</v>
      </c>
      <c r="B11" s="54" t="n">
        <v>239.9537497025042</v>
      </c>
      <c r="C11" s="54" t="n">
        <v>231.0612929191569</v>
      </c>
      <c r="D11" s="54" t="n">
        <v>222.5725202749324</v>
      </c>
      <c r="E11" s="54" t="n">
        <v>214.4669511124291</v>
      </c>
      <c r="F11" s="54" t="n">
        <v>206.7252394945754</v>
      </c>
      <c r="G11" s="54" t="n">
        <v>199.3291063548628</v>
      </c>
      <c r="H11" s="54" t="n">
        <v>192.2612759921954</v>
      </c>
    </row>
    <row r="13">
      <c r="A13" s="3" t="inlineStr">
        <is>
          <t>Current price</t>
        </is>
      </c>
      <c r="B13" s="54" t="n">
        <v>603.0399780273438</v>
      </c>
    </row>
    <row r="14">
      <c r="A14" s="3" t="inlineStr">
        <is>
          <t>Base WACC / multiple</t>
        </is>
      </c>
      <c r="B14" s="56" t="n">
        <v>0.1217182049427388</v>
      </c>
      <c r="C14" s="57" t="n">
        <v>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50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50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9" t="n">
        <v>0.01519317540891145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50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9" t="n">
        <v>3.949141531322505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50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0.01888663013286518</v>
      </c>
      <c r="H6" s="4" t="inlineStr">
        <is>
          <t>nwc (% incr revenue)</t>
        </is>
      </c>
      <c r="I6" s="49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50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0.015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50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9" t="n">
        <v>0.9768232781557669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50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Financials!AC19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50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Financials!AC24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50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50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50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50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50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50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50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50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50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50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50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50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50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50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50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50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50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50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50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50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50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50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50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50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50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50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50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50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50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50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50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50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50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50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50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8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50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8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50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8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50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8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50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8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50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8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50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8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50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8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50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8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50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8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50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8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50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8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50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8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50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8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50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8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50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50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50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50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50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50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50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50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50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50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50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50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50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50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50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50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50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50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50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50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50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50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50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50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50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50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50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50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50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50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50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50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50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50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50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50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50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50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50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50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50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50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50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50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50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50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50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50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50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50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50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50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50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50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50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50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50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50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50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50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50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50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50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50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50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50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50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50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50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50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50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50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50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50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50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50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50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50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50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50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50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50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50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50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50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50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50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50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50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50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50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50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50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50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50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50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50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50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50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50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50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50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50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50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50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50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50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50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50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50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50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50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50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50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50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50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50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50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50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50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50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50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50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50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50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50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50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50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50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50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50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50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50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50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50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50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50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50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50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50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50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50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50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50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50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50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50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50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50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50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50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50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50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50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50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50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50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50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50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50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50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50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50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50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50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50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50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50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50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50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50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50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50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50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50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50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50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50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50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50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50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50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50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50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50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50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50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50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50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50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50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50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50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50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50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50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50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50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50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50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50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50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50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50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50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50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50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50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50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50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50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50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50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50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50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50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50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50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50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50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50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50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50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50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50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50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50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50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50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50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50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50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50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50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50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50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50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50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50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50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50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50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50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50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50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50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50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50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50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50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50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50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50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50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50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50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50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50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50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50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50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50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50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50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50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50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50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50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50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50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50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50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50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50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50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50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50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50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50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50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50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50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50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50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50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50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50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50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50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50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50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50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50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50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50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50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50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50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50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50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50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50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50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50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50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50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50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50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50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50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50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50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50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50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50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50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50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50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50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50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50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50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50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50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50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50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50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50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50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50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50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50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50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50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50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50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50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50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50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50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50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50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50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50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50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50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50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50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50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50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50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50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50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50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50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50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50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50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50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50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50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50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50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50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50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50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50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50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50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50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50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50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50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50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50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50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50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50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50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50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50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50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50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50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50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50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50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50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50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50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50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50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50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50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50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50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50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50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50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50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50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50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50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50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50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50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50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50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50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50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50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50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50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50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50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50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50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50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50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50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50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50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50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50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50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50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50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50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50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50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50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50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50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50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50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50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50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50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50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50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50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50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50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50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50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50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50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50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50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50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50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50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50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50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50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50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50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50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50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50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50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50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50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50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50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50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50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50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50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50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50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50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50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50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50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50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50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50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50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50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50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50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50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50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50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50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50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50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50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50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50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50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50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50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50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50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50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50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50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50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50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50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50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50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50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50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50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50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50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50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50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50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50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50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50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50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50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50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50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50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50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50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50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50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50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50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50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50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50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50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50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50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50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50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50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50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50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50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50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50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50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50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50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50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50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50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50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50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50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50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50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50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50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50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50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50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50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50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50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50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50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50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50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50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50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50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50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50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50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50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50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50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50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50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50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50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50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50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50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50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50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50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50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50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50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50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50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50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50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50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50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50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50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50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50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50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50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50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50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50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50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50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50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50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50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50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50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50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50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50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50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50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50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50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50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50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50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50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50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50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50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50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50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50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50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50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50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50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50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50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50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50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50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50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50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50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50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50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50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50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50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50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50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50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50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50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50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50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50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50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50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50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50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50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50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50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50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50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50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50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50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50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50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50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50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50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50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50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50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50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50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50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50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50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50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50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50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50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50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50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50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50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50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50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50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50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50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50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50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50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50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50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50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50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50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50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50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50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50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50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50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50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50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50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50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50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50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50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50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50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50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50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50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50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50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50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50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50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50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50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50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50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50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50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50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50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50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50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50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50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50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50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50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50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50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50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50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50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50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50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50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50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50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50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50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50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50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50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50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50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50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50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50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50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50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50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50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50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50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50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50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50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50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50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50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50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50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50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50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50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50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50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50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50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50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50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50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50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50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50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50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50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50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50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50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50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50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50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50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50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50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50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50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50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50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50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50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50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50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50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50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50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50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50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50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50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50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50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50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50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50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50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50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50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50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50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50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50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50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50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50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50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50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50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50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50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50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50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50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50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50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50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50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50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50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50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50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50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50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50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50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50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50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50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50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50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50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50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50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50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50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50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50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50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50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50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50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50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50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50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50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50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50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50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50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50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50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50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50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50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50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50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50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50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50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50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50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50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50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50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50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50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50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50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50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50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50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50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50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50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50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50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50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50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50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50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50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50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50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50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50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50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50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50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50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50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50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50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50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50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50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50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50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50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50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50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50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50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50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50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50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50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50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50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50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50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50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50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50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50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50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50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50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50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50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50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50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50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50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50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50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50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50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50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50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50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50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50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50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50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50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50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50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50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2026-07-06T20:34:12Z</dcterms:created>
  <dcterms:modified xmlns:dcterms="http://purl.org/dc/terms/" xmlns:xsi="http://www.w3.org/2001/XMLSchema-instance" xsi:type="dcterms:W3CDTF">2026-07-06T20:34:12Z</dcterms:modified>
</cp:coreProperties>
</file>