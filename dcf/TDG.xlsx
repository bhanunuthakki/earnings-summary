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TransDigm Group Incorporated (TDG)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TransDigm Group Incorporated (TDG)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Power And Control</t>
        </is>
      </c>
      <c r="B20" s="50" t="n">
        <v>0.09117807239715861</v>
      </c>
      <c r="C20" s="50" t="n">
        <v>0.05</v>
      </c>
      <c r="D20" s="51" t="n">
        <v>0.09117807239715861</v>
      </c>
      <c r="E20" s="2" t="inlineStr"/>
    </row>
    <row r="21">
      <c r="A21" s="4" t="inlineStr">
        <is>
          <t>Airframe</t>
        </is>
      </c>
      <c r="B21" s="50" t="n">
        <v>0.09117807239715861</v>
      </c>
      <c r="C21" s="50" t="n">
        <v>0.05</v>
      </c>
      <c r="D21" s="51" t="n">
        <v>0.09117807239715861</v>
      </c>
      <c r="E21" s="2" t="inlineStr"/>
    </row>
    <row r="22">
      <c r="A22" s="4" t="inlineStr">
        <is>
          <t>Non-Aviation Related Business</t>
        </is>
      </c>
      <c r="B22" s="50" t="n">
        <v>0.09117807239715861</v>
      </c>
      <c r="C22" s="50" t="n">
        <v>0.05</v>
      </c>
      <c r="D22" s="51" t="n">
        <v>0.09117807239715861</v>
      </c>
      <c r="E22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0.2932415325305358</v>
      </c>
      <c r="D29" s="51" t="n">
        <v>0.2932415325305358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0.3834858040978659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244.2</v>
      </c>
      <c r="D34" s="18" t="n">
        <v>244.2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0.879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1224.800048828125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Financials!AC34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Power And Control</t>
        </is>
      </c>
      <c r="B4" s="28">
        <f>SUM(Financials!H19:K19)</f>
        <v/>
      </c>
      <c r="C4" s="28">
        <f>SUM(Financials!L19:O19)</f>
        <v/>
      </c>
      <c r="D4" s="28">
        <f>SUM(Financials!P19:S19)</f>
        <v/>
      </c>
      <c r="E4" s="28">
        <f>SUM(Financials!T19:W19)</f>
        <v/>
      </c>
      <c r="F4" s="28">
        <f>SUM(Financials!X19:AA19)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Airframe</t>
        </is>
      </c>
      <c r="B6" s="28">
        <f>SUM(Financials!H22:K22)</f>
        <v/>
      </c>
      <c r="C6" s="28">
        <f>SUM(Financials!L22:O22)</f>
        <v/>
      </c>
      <c r="D6" s="28">
        <f>SUM(Financials!P22:S22)</f>
        <v/>
      </c>
      <c r="E6" s="28">
        <f>SUM(Financials!T22:W22)</f>
        <v/>
      </c>
      <c r="F6" s="28">
        <f>SUM(Financials!X22:AA22)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4" t="inlineStr">
        <is>
          <t>Non-Aviation Related Business</t>
        </is>
      </c>
      <c r="B8" s="28">
        <f>SUM(Financials!H25:K25)</f>
        <v/>
      </c>
      <c r="C8" s="28">
        <f>SUM(Financials!L25:O25)</f>
        <v/>
      </c>
      <c r="D8" s="28">
        <f>SUM(Financials!P25:S25)</f>
        <v/>
      </c>
      <c r="E8" s="28">
        <f>SUM(Financials!T25:W25)</f>
        <v/>
      </c>
      <c r="F8" s="28">
        <f>SUM(Financials!X25:AA25)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48">
        <f>Dashboard!$B$22+(Dashboard!$C$22-Dashboard!$B$22)*MAX(0,0-2)/7</f>
        <v/>
      </c>
      <c r="H9" s="48">
        <f>Dashboard!$B$22+(Dashboard!$C$22-Dashboard!$B$22)*MAX(0,1-2)/7</f>
        <v/>
      </c>
      <c r="I9" s="48">
        <f>Dashboard!$B$22+(Dashboard!$C$22-Dashboard!$B$22)*MAX(0,2-2)/7</f>
        <v/>
      </c>
      <c r="J9" s="48">
        <f>Dashboard!$B$22+(Dashboard!$C$22-Dashboard!$B$22)*MAX(0,3-2)/7</f>
        <v/>
      </c>
      <c r="K9" s="48">
        <f>Dashboard!$B$22+(Dashboard!$C$22-Dashboard!$B$22)*MAX(0,4-2)/7</f>
        <v/>
      </c>
      <c r="L9" s="48">
        <f>Dashboard!$B$22+(Dashboard!$C$22-Dashboard!$B$22)*MAX(0,5-2)/7</f>
        <v/>
      </c>
      <c r="M9" s="48">
        <f>Dashboard!$B$22+(Dashboard!$C$22-Dashboard!$B$22)*MAX(0,6-2)/7</f>
        <v/>
      </c>
      <c r="N9" s="48">
        <f>Dashboard!$B$22+(Dashboard!$C$22-Dashboard!$B$22)*MAX(0,7-2)/7</f>
        <v/>
      </c>
      <c r="O9" s="48">
        <f>Dashboard!$B$22+(Dashboard!$C$22-Dashboard!$B$22)*MAX(0,8-2)/7</f>
        <v/>
      </c>
      <c r="P9" s="48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57">
        <f>IFERROR(C10/B10-1,"")</f>
        <v/>
      </c>
      <c r="D11" s="57">
        <f>IFERROR(D10/C10-1,"")</f>
        <v/>
      </c>
      <c r="E11" s="57">
        <f>IFERROR(E10/D10-1,"")</f>
        <v/>
      </c>
      <c r="F11" s="57">
        <f>IFERROR(F10/E10-1,"")</f>
        <v/>
      </c>
      <c r="G11" s="57">
        <f>IFERROR(G10/F10-1,"")</f>
        <v/>
      </c>
      <c r="H11" s="57">
        <f>IFERROR(H10/G10-1,"")</f>
        <v/>
      </c>
      <c r="I11" s="57">
        <f>IFERROR(I10/H10-1,"")</f>
        <v/>
      </c>
      <c r="J11" s="57">
        <f>IFERROR(J10/I10-1,"")</f>
        <v/>
      </c>
      <c r="K11" s="57">
        <f>IFERROR(K10/J10-1,"")</f>
        <v/>
      </c>
      <c r="L11" s="57">
        <f>IFERROR(L10/K10-1,"")</f>
        <v/>
      </c>
      <c r="M11" s="57">
        <f>IFERROR(M10/L10-1,"")</f>
        <v/>
      </c>
      <c r="N11" s="57">
        <f>IFERROR(N10/M10-1,"")</f>
        <v/>
      </c>
      <c r="O11" s="57">
        <f>IFERROR(O10/N10-1,"")</f>
        <v/>
      </c>
      <c r="P11" s="5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SUM(Financials!H5:K5)</f>
        <v/>
      </c>
      <c r="C14" s="28">
        <f>SUM(Financials!L5:O5)</f>
        <v/>
      </c>
      <c r="D14" s="28">
        <f>SUM(Financials!P5:S5)</f>
        <v/>
      </c>
      <c r="E14" s="28">
        <f>SUM(Financials!T5:W5)</f>
        <v/>
      </c>
      <c r="F14" s="28">
        <f>SUM(Financials!X5:AA5)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57">
        <f>IFERROR(B14/B10,"")</f>
        <v/>
      </c>
      <c r="C15" s="57">
        <f>IFERROR(C14/C10,"")</f>
        <v/>
      </c>
      <c r="D15" s="57">
        <f>IFERROR(D14/D10,"")</f>
        <v/>
      </c>
      <c r="E15" s="57">
        <f>IFERROR(E14/E10,"")</f>
        <v/>
      </c>
      <c r="F15" s="57">
        <f>IFERROR(F14/F10,"")</f>
        <v/>
      </c>
      <c r="G15" s="50" t="n">
        <v>0.3985277463193658</v>
      </c>
      <c r="H15" s="50" t="n">
        <v>0.3985277463193658</v>
      </c>
      <c r="I15" s="50" t="n">
        <v>0.3985277463193658</v>
      </c>
      <c r="J15" s="50" t="n">
        <v>0.3985277463193658</v>
      </c>
      <c r="K15" s="50" t="n">
        <v>0.3985277463193658</v>
      </c>
      <c r="L15" s="50" t="n">
        <v>0.3985277463193658</v>
      </c>
      <c r="M15" s="50" t="n">
        <v>0.3985277463193658</v>
      </c>
      <c r="N15" s="50" t="n">
        <v>0.3985277463193658</v>
      </c>
      <c r="O15" s="50" t="n">
        <v>0.3985277463193658</v>
      </c>
      <c r="P15" s="50" t="n">
        <v>0.3985277463193658</v>
      </c>
    </row>
    <row r="16">
      <c r="A16" s="4" t="inlineStr">
        <is>
          <t>R&amp;D / Technology</t>
        </is>
      </c>
      <c r="B16" s="28">
        <f>SUM(Financials!H7:K7)</f>
        <v/>
      </c>
      <c r="C16" s="28">
        <f>SUM(Financials!L7:O7)</f>
        <v/>
      </c>
      <c r="D16" s="28">
        <f>SUM(Financials!P7:S7)</f>
        <v/>
      </c>
      <c r="E16" s="28">
        <f>SUM(Financials!T7:W7)</f>
        <v/>
      </c>
      <c r="F16" s="28">
        <f>SUM(Financials!X7:AA7)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57">
        <f>IFERROR(B16/B10,"")</f>
        <v/>
      </c>
      <c r="C17" s="57">
        <f>IFERROR(C16/C10,"")</f>
        <v/>
      </c>
      <c r="D17" s="57">
        <f>IFERROR(D16/D10,"")</f>
        <v/>
      </c>
      <c r="E17" s="57">
        <f>IFERROR(E16/E10,"")</f>
        <v/>
      </c>
      <c r="F17" s="57">
        <f>IFERROR(F16/F10,"")</f>
        <v/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0</v>
      </c>
      <c r="P17" s="50" t="n">
        <v>0</v>
      </c>
    </row>
    <row r="18">
      <c r="A18" s="4" t="inlineStr">
        <is>
          <t>SG&amp;A</t>
        </is>
      </c>
      <c r="B18" s="28">
        <f>SUM(Financials!H9:K9)</f>
        <v/>
      </c>
      <c r="C18" s="28">
        <f>SUM(Financials!L9:O9)</f>
        <v/>
      </c>
      <c r="D18" s="28">
        <f>SUM(Financials!P9:S9)</f>
        <v/>
      </c>
      <c r="E18" s="28">
        <f>SUM(Financials!T9:W9)</f>
        <v/>
      </c>
      <c r="F18" s="28">
        <f>SUM(Financials!X9:AA9)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57">
        <f>IFERROR(B18/B10,"")</f>
        <v/>
      </c>
      <c r="C19" s="57">
        <f>IFERROR(C18/C10,"")</f>
        <v/>
      </c>
      <c r="D19" s="57">
        <f>IFERROR(D18/D10,"")</f>
        <v/>
      </c>
      <c r="E19" s="57">
        <f>IFERROR(E18/E10,"")</f>
        <v/>
      </c>
      <c r="F19" s="57">
        <f>IFERROR(F18/F10,"")</f>
        <v/>
      </c>
      <c r="G19" s="50" t="n">
        <v>0.1044167610419026</v>
      </c>
      <c r="H19" s="50" t="n">
        <v>0.1044167610419026</v>
      </c>
      <c r="I19" s="50" t="n">
        <v>0.1044167610419026</v>
      </c>
      <c r="J19" s="50" t="n">
        <v>0.1044167610419026</v>
      </c>
      <c r="K19" s="50" t="n">
        <v>0.1044167610419026</v>
      </c>
      <c r="L19" s="50" t="n">
        <v>0.1044167610419026</v>
      </c>
      <c r="M19" s="50" t="n">
        <v>0.1044167610419026</v>
      </c>
      <c r="N19" s="50" t="n">
        <v>0.1044167610419026</v>
      </c>
      <c r="O19" s="50" t="n">
        <v>0.1044167610419026</v>
      </c>
      <c r="P19" s="50" t="n">
        <v>0.1044167610419026</v>
      </c>
    </row>
    <row r="20">
      <c r="A20" s="4" t="inlineStr">
        <is>
          <t>Other opex (fulfilment, etc.)</t>
        </is>
      </c>
      <c r="B20" s="28">
        <f>B10-(B14+B16+B18)-SUM(Financials!H13:K13)</f>
        <v/>
      </c>
      <c r="C20" s="28">
        <f>C10-(C14+C16+C18)-SUM(Financials!L13:O13)</f>
        <v/>
      </c>
      <c r="D20" s="28">
        <f>D10-(D14+D16+D18)-SUM(Financials!P13:S13)</f>
        <v/>
      </c>
      <c r="E20" s="28">
        <f>E10-(E14+E16+E18)-SUM(Financials!T13:W13)</f>
        <v/>
      </c>
      <c r="F20" s="28">
        <f>F10-(F14+F16+F18)-SUM(Financials!X13:AA13)</f>
        <v/>
      </c>
      <c r="G20" s="28">
        <f>G10*(1-(Dashboard!$B$29+(Dashboard!$B$30-Dashboard!$B$29)*MIN(1,0/4)))-(G14+G16+G18)</f>
        <v/>
      </c>
      <c r="H20" s="28">
        <f>H10*(1-(Dashboard!$B$29+(Dashboard!$B$30-Dashboard!$B$29)*MIN(1,1/4)))-(H14+H16+H18)</f>
        <v/>
      </c>
      <c r="I20" s="28">
        <f>I10*(1-(Dashboard!$B$29+(Dashboard!$B$30-Dashboard!$B$29)*MIN(1,2/4)))-(I14+I16+I18)</f>
        <v/>
      </c>
      <c r="J20" s="28">
        <f>J10*(1-(Dashboard!$B$29+(Dashboard!$B$30-Dashboard!$B$29)*MIN(1,3/4)))-(J14+J16+J18)</f>
        <v/>
      </c>
      <c r="K20" s="28">
        <f>K10*(1-(Dashboard!$B$29+(Dashboard!$B$30-Dashboard!$B$29)*MIN(1,4/4)))-(K14+K16+K18)</f>
        <v/>
      </c>
      <c r="L20" s="28">
        <f>L10*(1-(Dashboard!$B$29+(Dashboard!$B$30-Dashboard!$B$29)*MIN(1,5/4)))-(L14+L16+L18)</f>
        <v/>
      </c>
      <c r="M20" s="28">
        <f>M10*(1-(Dashboard!$B$29+(Dashboard!$B$30-Dashboard!$B$29)*MIN(1,6/4)))-(M14+M16+M18)</f>
        <v/>
      </c>
      <c r="N20" s="28">
        <f>N10*(1-(Dashboard!$B$29+(Dashboard!$B$30-Dashboard!$B$29)*MIN(1,7/4)))-(N14+N16+N18)</f>
        <v/>
      </c>
      <c r="O20" s="28">
        <f>O10*(1-(Dashboard!$B$29+(Dashboard!$B$30-Dashboard!$B$29)*MIN(1,8/4)))-(O14+O16+O18)</f>
        <v/>
      </c>
      <c r="P20" s="28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57">
        <f>IFERROR(B20/B10,"")</f>
        <v/>
      </c>
      <c r="C21" s="57">
        <f>IFERROR(C20/C10,"")</f>
        <v/>
      </c>
      <c r="D21" s="57">
        <f>IFERROR(D20/D10,"")</f>
        <v/>
      </c>
      <c r="E21" s="57">
        <f>IFERROR(E20/E10,"")</f>
        <v/>
      </c>
      <c r="F21" s="57">
        <f>IFERROR(F20/F10,"")</f>
        <v/>
      </c>
      <c r="G21" s="57">
        <f>IFERROR(G20/G10,"")</f>
        <v/>
      </c>
      <c r="H21" s="57">
        <f>IFERROR(H20/H10,"")</f>
        <v/>
      </c>
      <c r="I21" s="57">
        <f>IFERROR(I20/I10,"")</f>
        <v/>
      </c>
      <c r="J21" s="57">
        <f>IFERROR(J20/J10,"")</f>
        <v/>
      </c>
      <c r="K21" s="57">
        <f>IFERROR(K20/K10,"")</f>
        <v/>
      </c>
      <c r="L21" s="57">
        <f>IFERROR(L20/L10,"")</f>
        <v/>
      </c>
      <c r="M21" s="57">
        <f>IFERROR(M20/M10,"")</f>
        <v/>
      </c>
      <c r="N21" s="57">
        <f>IFERROR(N20/N10,"")</f>
        <v/>
      </c>
      <c r="O21" s="57">
        <f>IFERROR(O20/O10,"")</f>
        <v/>
      </c>
      <c r="P21" s="5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57">
        <f>IFERROR(B23/B10,"")</f>
        <v/>
      </c>
      <c r="C24" s="57">
        <f>IFERROR(C23/C10,"")</f>
        <v/>
      </c>
      <c r="D24" s="57">
        <f>IFERROR(D23/D10,"")</f>
        <v/>
      </c>
      <c r="E24" s="57">
        <f>IFERROR(E23/E10,"")</f>
        <v/>
      </c>
      <c r="F24" s="57">
        <f>IFERROR(F23/F10,"")</f>
        <v/>
      </c>
      <c r="G24" s="57">
        <f>IFERROR(G23/G10,"")</f>
        <v/>
      </c>
      <c r="H24" s="57">
        <f>IFERROR(H23/H10,"")</f>
        <v/>
      </c>
      <c r="I24" s="57">
        <f>IFERROR(I23/I10,"")</f>
        <v/>
      </c>
      <c r="J24" s="57">
        <f>IFERROR(J23/J10,"")</f>
        <v/>
      </c>
      <c r="K24" s="57">
        <f>IFERROR(K23/K10,"")</f>
        <v/>
      </c>
      <c r="L24" s="57">
        <f>IFERROR(L23/L10,"")</f>
        <v/>
      </c>
      <c r="M24" s="57">
        <f>IFERROR(M23/M10,"")</f>
        <v/>
      </c>
      <c r="N24" s="57">
        <f>IFERROR(N23/N10,"")</f>
        <v/>
      </c>
      <c r="O24" s="57">
        <f>IFERROR(O23/O10,"")</f>
        <v/>
      </c>
      <c r="P24" s="5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SUM(Financials!H37:K37)</f>
        <v/>
      </c>
      <c r="C28" s="28">
        <f>SUM(Financials!L37:O37)</f>
        <v/>
      </c>
      <c r="D28" s="28">
        <f>SUM(Financials!P37:S37)</f>
        <v/>
      </c>
      <c r="E28" s="28">
        <f>SUM(Financials!T37:W37)</f>
        <v/>
      </c>
      <c r="F28" s="28">
        <f>SUM(Financials!X37:AA37)</f>
        <v/>
      </c>
      <c r="G28" s="32">
        <f>G10*0.0416</f>
        <v/>
      </c>
      <c r="H28" s="32">
        <f>H10*0.0416</f>
        <v/>
      </c>
      <c r="I28" s="32">
        <f>I10*0.0416</f>
        <v/>
      </c>
      <c r="J28" s="32">
        <f>J10*0.0416</f>
        <v/>
      </c>
      <c r="K28" s="32">
        <f>K10*0.0416</f>
        <v/>
      </c>
      <c r="L28" s="32">
        <f>L10*0.0416</f>
        <v/>
      </c>
      <c r="M28" s="32">
        <f>M10*0.0416</f>
        <v/>
      </c>
      <c r="N28" s="32">
        <f>N10*0.0416</f>
        <v/>
      </c>
      <c r="O28" s="32">
        <f>O10*0.0416</f>
        <v/>
      </c>
      <c r="P28" s="32">
        <f>P10*0.0416</f>
        <v/>
      </c>
    </row>
    <row r="29">
      <c r="A29" s="4" t="inlineStr">
        <is>
          <t>+ SBC (non-cash)</t>
        </is>
      </c>
      <c r="B29" s="28">
        <f>SUM(Financials!H38:K38)</f>
        <v/>
      </c>
      <c r="C29" s="28">
        <f>SUM(Financials!L38:O38)</f>
        <v/>
      </c>
      <c r="D29" s="28">
        <f>SUM(Financials!P38:S38)</f>
        <v/>
      </c>
      <c r="E29" s="28">
        <f>SUM(Financials!T38:W38)</f>
        <v/>
      </c>
      <c r="F29" s="28">
        <f>SUM(Financials!X38:AA38)</f>
        <v/>
      </c>
      <c r="G29" s="32">
        <f>G10*0.0178</f>
        <v/>
      </c>
      <c r="H29" s="32">
        <f>H10*0.0170</f>
        <v/>
      </c>
      <c r="I29" s="32">
        <f>I10*0.0162</f>
        <v/>
      </c>
      <c r="J29" s="32">
        <f>J10*0.0154</f>
        <v/>
      </c>
      <c r="K29" s="32">
        <f>K10*0.0146</f>
        <v/>
      </c>
      <c r="L29" s="32">
        <f>L10*0.0138</f>
        <v/>
      </c>
      <c r="M29" s="32">
        <f>M10*0.0130</f>
        <v/>
      </c>
      <c r="N29" s="32">
        <f>N10*0.0122</f>
        <v/>
      </c>
      <c r="O29" s="32">
        <f>O10*0.0115</f>
        <v/>
      </c>
      <c r="P29" s="32">
        <f>P10*0.0107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-SUM(Financials!H41:K41)</f>
        <v/>
      </c>
      <c r="C31" s="28">
        <f>-SUM(Financials!L41:O41)</f>
        <v/>
      </c>
      <c r="D31" s="28">
        <f>-SUM(Financials!P41:S41)</f>
        <v/>
      </c>
      <c r="E31" s="28">
        <f>-SUM(Financials!T41:W41)</f>
        <v/>
      </c>
      <c r="F31" s="28">
        <f>-SUM(Financials!X41:AA41)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59">
        <f>IFERROR(B31/B28,"")</f>
        <v/>
      </c>
      <c r="C32" s="59">
        <f>IFERROR(C31/C28,"")</f>
        <v/>
      </c>
      <c r="D32" s="59">
        <f>IFERROR(D31/D28,"")</f>
        <v/>
      </c>
      <c r="E32" s="59">
        <f>IFERROR(E31/E28,"")</f>
        <v/>
      </c>
      <c r="F32" s="59">
        <f>IFERROR(F31/F28,"")</f>
        <v/>
      </c>
      <c r="G32" s="49">
        <f>(Dashboard!$B$34/G28)+(Dashboard!$B$35-(Dashboard!$B$34/G28))*0/9</f>
        <v/>
      </c>
      <c r="H32" s="49">
        <f>(Dashboard!$B$34/G28)+(Dashboard!$B$35-(Dashboard!$B$34/G28))*1/9</f>
        <v/>
      </c>
      <c r="I32" s="49">
        <f>(Dashboard!$B$34/G28)+(Dashboard!$B$35-(Dashboard!$B$34/G28))*2/9</f>
        <v/>
      </c>
      <c r="J32" s="49">
        <f>(Dashboard!$B$34/G28)+(Dashboard!$B$35-(Dashboard!$B$34/G28))*3/9</f>
        <v/>
      </c>
      <c r="K32" s="49">
        <f>(Dashboard!$B$34/G28)+(Dashboard!$B$35-(Dashboard!$B$34/G28))*4/9</f>
        <v/>
      </c>
      <c r="L32" s="49">
        <f>(Dashboard!$B$34/G28)+(Dashboard!$B$35-(Dashboard!$B$34/G28))*5/9</f>
        <v/>
      </c>
      <c r="M32" s="49">
        <f>(Dashboard!$B$34/G28)+(Dashboard!$B$35-(Dashboard!$B$34/G28))*6/9</f>
        <v/>
      </c>
      <c r="N32" s="49">
        <f>(Dashboard!$B$34/G28)+(Dashboard!$B$35-(Dashboard!$B$34/G28))*7/9</f>
        <v/>
      </c>
      <c r="O32" s="49">
        <f>(Dashboard!$B$34/G28)+(Dashboard!$B$35-(Dashboard!$B$34/G28))*8/9</f>
        <v/>
      </c>
      <c r="P32" s="49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Financials!K35+Financials!K34-Financials!K29</f>
        <v/>
      </c>
      <c r="C38" s="28">
        <f>Financials!O35+Financials!O34-Financials!O29</f>
        <v/>
      </c>
      <c r="D38" s="28">
        <f>Financials!S35+Financials!S34-Financials!S29</f>
        <v/>
      </c>
      <c r="E38" s="28">
        <f>Financials!W35+Financials!W34-Financials!W29</f>
        <v/>
      </c>
      <c r="F38" s="28">
        <f>Financials!AA35+Financials!AA34-Financials!AA29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Financials!K35</f>
        <v/>
      </c>
      <c r="C39" s="28">
        <f>Financials!O35</f>
        <v/>
      </c>
      <c r="D39" s="28">
        <f>Financials!S35</f>
        <v/>
      </c>
      <c r="E39" s="28">
        <f>Financials!W35</f>
        <v/>
      </c>
      <c r="F39" s="28">
        <f>Financials!AA35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57">
        <f>IFERROR(C27/B38,"")</f>
        <v/>
      </c>
      <c r="D40" s="57">
        <f>IFERROR(D27/C38,"")</f>
        <v/>
      </c>
      <c r="E40" s="57">
        <f>IFERROR(E27/D38,"")</f>
        <v/>
      </c>
      <c r="F40" s="57">
        <f>IFERROR(F27/E38,"")</f>
        <v/>
      </c>
      <c r="G40" s="57">
        <f>IFERROR(G27/F38,"")</f>
        <v/>
      </c>
      <c r="H40" s="57">
        <f>IFERROR(H27/G38,"")</f>
        <v/>
      </c>
      <c r="I40" s="57">
        <f>IFERROR(I27/H38,"")</f>
        <v/>
      </c>
      <c r="J40" s="57">
        <f>IFERROR(J27/I38,"")</f>
        <v/>
      </c>
      <c r="K40" s="57">
        <f>IFERROR(K27/J38,"")</f>
        <v/>
      </c>
      <c r="L40" s="57">
        <f>IFERROR(L27/K38,"")</f>
        <v/>
      </c>
      <c r="M40" s="57">
        <f>IFERROR(M27/L38,"")</f>
        <v/>
      </c>
      <c r="N40" s="57">
        <f>IFERROR(N27/M38,"")</f>
        <v/>
      </c>
      <c r="O40" s="57">
        <f>IFERROR(O27/N38,"")</f>
        <v/>
      </c>
      <c r="P40" s="57">
        <f>IFERROR(P27/O38,"")</f>
        <v/>
      </c>
    </row>
    <row r="41">
      <c r="A41" s="3" t="inlineStr">
        <is>
          <t xml:space="preserve">  ROE (earnings / beg. equity)</t>
        </is>
      </c>
      <c r="C41" s="48">
        <f>IFERROR(SUM(Financials!L15:O15)/B39,"")</f>
        <v/>
      </c>
      <c r="D41" s="48">
        <f>IFERROR(SUM(Financials!P15:S15)/C39,"")</f>
        <v/>
      </c>
      <c r="E41" s="48">
        <f>IFERROR(SUM(Financials!T15:W15)/D39,"")</f>
        <v/>
      </c>
      <c r="F41" s="48">
        <f>IFERROR(SUM(Financials!X15:AA15)/E39,"")</f>
        <v/>
      </c>
      <c r="G41" s="57">
        <f>IFERROR(G27/F39,"")</f>
        <v/>
      </c>
      <c r="H41" s="57">
        <f>IFERROR(H27/G39,"")</f>
        <v/>
      </c>
      <c r="I41" s="57">
        <f>IFERROR(I27/H39,"")</f>
        <v/>
      </c>
      <c r="J41" s="57">
        <f>IFERROR(J27/I39,"")</f>
        <v/>
      </c>
      <c r="K41" s="57">
        <f>IFERROR(K27/J39,"")</f>
        <v/>
      </c>
      <c r="L41" s="57">
        <f>IFERROR(L27/K39,"")</f>
        <v/>
      </c>
      <c r="M41" s="57">
        <f>IFERROR(M27/L39,"")</f>
        <v/>
      </c>
      <c r="N41" s="57">
        <f>IFERROR(N27/M39,"")</f>
        <v/>
      </c>
      <c r="O41" s="57">
        <f>IFERROR(O27/N39,"")</f>
        <v/>
      </c>
      <c r="P41" s="57">
        <f>IFERROR(P27/O39,"")</f>
        <v/>
      </c>
    </row>
    <row r="42">
      <c r="A42" s="4" t="inlineStr">
        <is>
          <t xml:space="preserve">  ROIC - WACC spread (value created)</t>
        </is>
      </c>
      <c r="C42" s="48">
        <f>IFERROR(C40-WACC!$B$14,"")</f>
        <v/>
      </c>
      <c r="D42" s="48">
        <f>IFERROR(D40-WACC!$B$14,"")</f>
        <v/>
      </c>
      <c r="E42" s="48">
        <f>IFERROR(E40-WACC!$B$14,"")</f>
        <v/>
      </c>
      <c r="F42" s="48">
        <f>IFERROR(F40-WACC!$B$14,"")</f>
        <v/>
      </c>
      <c r="G42" s="48">
        <f>IFERROR(G40-WACC!$B$14,"")</f>
        <v/>
      </c>
      <c r="H42" s="48">
        <f>IFERROR(H40-WACC!$B$14,"")</f>
        <v/>
      </c>
      <c r="I42" s="48">
        <f>IFERROR(I40-WACC!$B$14,"")</f>
        <v/>
      </c>
      <c r="J42" s="48">
        <f>IFERROR(J40-WACC!$B$14,"")</f>
        <v/>
      </c>
      <c r="K42" s="48">
        <f>IFERROR(K40-WACC!$B$14,"")</f>
        <v/>
      </c>
      <c r="L42" s="48">
        <f>IFERROR(L40-WACC!$B$14,"")</f>
        <v/>
      </c>
      <c r="M42" s="48">
        <f>IFERROR(M40-WACC!$B$14,"")</f>
        <v/>
      </c>
      <c r="N42" s="48">
        <f>IFERROR(N40-WACC!$B$14,"")</f>
        <v/>
      </c>
      <c r="O42" s="48">
        <f>IFERROR(O40-WACC!$B$14,"")</f>
        <v/>
      </c>
      <c r="P42" s="48">
        <f>IFERROR(P40-WACC!$B$14,"")</f>
        <v/>
      </c>
    </row>
    <row r="43">
      <c r="A43" s="4" t="inlineStr">
        <is>
          <t xml:space="preserve">  Incremental op margin (ΔEBIT / ΔRev)</t>
        </is>
      </c>
      <c r="C43" s="57">
        <f>IFERROR((C23-B23)/(C10-B10),"")</f>
        <v/>
      </c>
      <c r="D43" s="57">
        <f>IFERROR((D23-C23)/(D10-C10),"")</f>
        <v/>
      </c>
      <c r="E43" s="57">
        <f>IFERROR((E23-D23)/(E10-D10),"")</f>
        <v/>
      </c>
      <c r="F43" s="57">
        <f>IFERROR((F23-E23)/(F10-E10),"")</f>
        <v/>
      </c>
      <c r="G43" s="57">
        <f>IFERROR((G23-F23)/(G10-F10),"")</f>
        <v/>
      </c>
      <c r="H43" s="57">
        <f>IFERROR((H23-G23)/(H10-G10),"")</f>
        <v/>
      </c>
      <c r="I43" s="57">
        <f>IFERROR((I23-H23)/(I10-H10),"")</f>
        <v/>
      </c>
      <c r="J43" s="57">
        <f>IFERROR((J23-I23)/(J10-I10),"")</f>
        <v/>
      </c>
      <c r="K43" s="57">
        <f>IFERROR((K23-J23)/(K10-J10),"")</f>
        <v/>
      </c>
      <c r="L43" s="57">
        <f>IFERROR((L23-K23)/(L10-K10),"")</f>
        <v/>
      </c>
      <c r="M43" s="57">
        <f>IFERROR((M23-L23)/(M10-L10),"")</f>
        <v/>
      </c>
      <c r="N43" s="57">
        <f>IFERROR((N23-M23)/(N10-M10),"")</f>
        <v/>
      </c>
      <c r="O43" s="57">
        <f>IFERROR((O23-N23)/(O10-N10),"")</f>
        <v/>
      </c>
      <c r="P43" s="57">
        <f>IFERROR((P23-O23)/(P10-O10),"")</f>
        <v/>
      </c>
    </row>
    <row r="44">
      <c r="A44" s="3" t="inlineStr">
        <is>
          <t xml:space="preserve">  ROIIC (ΔNOPAT / ΔInvested capital)</t>
        </is>
      </c>
      <c r="C44" s="57">
        <f>IFERROR((C27-B27)/(C38-B38),"")</f>
        <v/>
      </c>
      <c r="D44" s="57">
        <f>IFERROR((D27-C27)/(D38-C38),"")</f>
        <v/>
      </c>
      <c r="E44" s="57">
        <f>IFERROR((E27-D27)/(E38-D38),"")</f>
        <v/>
      </c>
      <c r="F44" s="57">
        <f>IFERROR((F27-E27)/(F38-E38),"")</f>
        <v/>
      </c>
      <c r="G44" s="57">
        <f>IFERROR((G27-F27)/(G38-F38),"")</f>
        <v/>
      </c>
      <c r="H44" s="57">
        <f>IFERROR((H27-G27)/(H38-G38),"")</f>
        <v/>
      </c>
      <c r="I44" s="57">
        <f>IFERROR((I27-H27)/(I38-H38),"")</f>
        <v/>
      </c>
      <c r="J44" s="57">
        <f>IFERROR((J27-I27)/(J38-I38),"")</f>
        <v/>
      </c>
      <c r="K44" s="57">
        <f>IFERROR((K27-J27)/(K38-J38),"")</f>
        <v/>
      </c>
      <c r="L44" s="57">
        <f>IFERROR((L27-K27)/(L38-K38),"")</f>
        <v/>
      </c>
      <c r="M44" s="57">
        <f>IFERROR((M27-L27)/(M38-L38),"")</f>
        <v/>
      </c>
      <c r="N44" s="57">
        <f>IFERROR((N27-M27)/(N38-M38),"")</f>
        <v/>
      </c>
      <c r="O44" s="57">
        <f>IFERROR((O27-N27)/(O38-N38),"")</f>
        <v/>
      </c>
      <c r="P44" s="5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60">
        <f>IFERROR((C10-B10)/(C38-B38),"")</f>
        <v/>
      </c>
      <c r="D45" s="60">
        <f>IFERROR((D10-C10)/(D38-C38),"")</f>
        <v/>
      </c>
      <c r="E45" s="60">
        <f>IFERROR((E10-D10)/(E38-D38),"")</f>
        <v/>
      </c>
      <c r="F45" s="60">
        <f>IFERROR((F10-E10)/(F38-E38),"")</f>
        <v/>
      </c>
      <c r="G45" s="60">
        <f>IFERROR((G10-F10)/(G38-F38),"")</f>
        <v/>
      </c>
      <c r="H45" s="60">
        <f>IFERROR((H10-G10)/(H38-G38),"")</f>
        <v/>
      </c>
      <c r="I45" s="60">
        <f>IFERROR((I10-H10)/(I38-H38),"")</f>
        <v/>
      </c>
      <c r="J45" s="60">
        <f>IFERROR((J10-I10)/(J38-I38),"")</f>
        <v/>
      </c>
      <c r="K45" s="60">
        <f>IFERROR((K10-J10)/(K38-J38),"")</f>
        <v/>
      </c>
      <c r="L45" s="60">
        <f>IFERROR((L10-K10)/(L38-K38),"")</f>
        <v/>
      </c>
      <c r="M45" s="60">
        <f>IFERROR((M10-L10)/(M38-L38),"")</f>
        <v/>
      </c>
      <c r="N45" s="60">
        <f>IFERROR((N10-M10)/(N38-M38),"")</f>
        <v/>
      </c>
      <c r="O45" s="60">
        <f>IFERROR((O10-N10)/(O38-N38),"")</f>
        <v/>
      </c>
      <c r="P45" s="60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57">
        <f>IFERROR((C38-B38)/C27,"")</f>
        <v/>
      </c>
      <c r="D46" s="57">
        <f>IFERROR((D38-C38)/D27,"")</f>
        <v/>
      </c>
      <c r="E46" s="57">
        <f>IFERROR((E38-D38)/E27,"")</f>
        <v/>
      </c>
      <c r="F46" s="57">
        <f>IFERROR((F38-E38)/F27,"")</f>
        <v/>
      </c>
      <c r="G46" s="57">
        <f>IFERROR((G38-F38)/G27,"")</f>
        <v/>
      </c>
      <c r="H46" s="57">
        <f>IFERROR((H38-G38)/H27,"")</f>
        <v/>
      </c>
      <c r="I46" s="57">
        <f>IFERROR((I38-H38)/I27,"")</f>
        <v/>
      </c>
      <c r="J46" s="57">
        <f>IFERROR((J38-I38)/J27,"")</f>
        <v/>
      </c>
      <c r="K46" s="57">
        <f>IFERROR((K38-J38)/K27,"")</f>
        <v/>
      </c>
      <c r="L46" s="57">
        <f>IFERROR((L38-K38)/L27,"")</f>
        <v/>
      </c>
      <c r="M46" s="57">
        <f>IFERROR((M38-L38)/M27,"")</f>
        <v/>
      </c>
      <c r="N46" s="57">
        <f>IFERROR((N38-M38)/N27,"")</f>
        <v/>
      </c>
      <c r="O46" s="57">
        <f>IFERROR((O38-N38)/O27,"")</f>
        <v/>
      </c>
      <c r="P46" s="5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Q3 2019</t>
        </is>
      </c>
      <c r="C1" s="36" t="inlineStr">
        <is>
          <t>Q4 2019</t>
        </is>
      </c>
      <c r="D1" s="36" t="inlineStr">
        <is>
          <t>Q1 2020</t>
        </is>
      </c>
      <c r="E1" s="36" t="inlineStr">
        <is>
          <t>Q2 2020</t>
        </is>
      </c>
      <c r="F1" s="36" t="inlineStr">
        <is>
          <t>Q3 2020</t>
        </is>
      </c>
      <c r="G1" s="36" t="inlineStr">
        <is>
          <t>Q4 2020</t>
        </is>
      </c>
      <c r="H1" s="36" t="inlineStr">
        <is>
          <t>Q1 2021</t>
        </is>
      </c>
      <c r="I1" s="36" t="inlineStr">
        <is>
          <t>Q2 2021</t>
        </is>
      </c>
      <c r="J1" s="36" t="inlineStr">
        <is>
          <t>Q3 2021</t>
        </is>
      </c>
      <c r="K1" s="36" t="inlineStr">
        <is>
          <t>Q4 2021</t>
        </is>
      </c>
      <c r="L1" s="36" t="inlineStr">
        <is>
          <t>Q1 2022</t>
        </is>
      </c>
      <c r="M1" s="36" t="inlineStr">
        <is>
          <t>Q2 2022</t>
        </is>
      </c>
      <c r="N1" s="36" t="inlineStr">
        <is>
          <t>Q3 2022</t>
        </is>
      </c>
      <c r="O1" s="36" t="inlineStr">
        <is>
          <t>Q4 2022</t>
        </is>
      </c>
      <c r="P1" s="36" t="inlineStr">
        <is>
          <t>Q1 2023</t>
        </is>
      </c>
      <c r="Q1" s="36" t="inlineStr">
        <is>
          <t>Q2 2023</t>
        </is>
      </c>
      <c r="R1" s="36" t="inlineStr">
        <is>
          <t>Q3 2023</t>
        </is>
      </c>
      <c r="S1" s="36" t="inlineStr">
        <is>
          <t>Q4 2023</t>
        </is>
      </c>
      <c r="T1" s="36" t="inlineStr">
        <is>
          <t>Q1 2024</t>
        </is>
      </c>
      <c r="U1" s="36" t="inlineStr">
        <is>
          <t>Q2 2024</t>
        </is>
      </c>
      <c r="V1" s="36" t="inlineStr">
        <is>
          <t>Q3 2024</t>
        </is>
      </c>
      <c r="W1" s="36" t="inlineStr">
        <is>
          <t>Q4 2024</t>
        </is>
      </c>
      <c r="X1" s="36" t="inlineStr">
        <is>
          <t>Q1 2025</t>
        </is>
      </c>
      <c r="Y1" s="36" t="inlineStr">
        <is>
          <t>Q2 2025</t>
        </is>
      </c>
      <c r="Z1" s="36" t="inlineStr">
        <is>
          <t>Q3 2025</t>
        </is>
      </c>
      <c r="AA1" s="36" t="inlineStr">
        <is>
          <t>Q4 2025</t>
        </is>
      </c>
      <c r="AB1" s="36" t="inlineStr">
        <is>
          <t>Q1 2026</t>
        </is>
      </c>
      <c r="AC1" s="36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1521</v>
      </c>
      <c r="C3" s="18" t="n">
        <v>1540.927</v>
      </c>
      <c r="D3" s="18" t="n">
        <v>1465</v>
      </c>
      <c r="E3" s="18" t="n">
        <v>1443</v>
      </c>
      <c r="F3" s="18" t="n">
        <v>1022</v>
      </c>
      <c r="G3" s="18" t="n">
        <v>1173</v>
      </c>
      <c r="H3" s="18" t="n">
        <v>1108</v>
      </c>
      <c r="I3" s="18" t="n">
        <v>1194</v>
      </c>
      <c r="J3" s="18" t="n">
        <v>1218</v>
      </c>
      <c r="K3" s="18" t="n">
        <v>1279</v>
      </c>
      <c r="L3" s="18" t="n">
        <v>1194</v>
      </c>
      <c r="M3" s="18" t="n">
        <v>1327</v>
      </c>
      <c r="N3" s="18" t="n">
        <v>1398</v>
      </c>
      <c r="O3" s="18" t="n">
        <v>1510</v>
      </c>
      <c r="P3" s="18" t="n">
        <v>1397</v>
      </c>
      <c r="Q3" s="18" t="n">
        <v>1592</v>
      </c>
      <c r="R3" s="18" t="n">
        <v>1744</v>
      </c>
      <c r="S3" s="18" t="n">
        <v>1852</v>
      </c>
      <c r="T3" s="18" t="n">
        <v>1789</v>
      </c>
      <c r="U3" s="18" t="n">
        <v>1919</v>
      </c>
      <c r="V3" s="18" t="n">
        <v>2046</v>
      </c>
      <c r="W3" s="18" t="n">
        <v>2186</v>
      </c>
      <c r="X3" s="18" t="n">
        <v>2006</v>
      </c>
      <c r="Y3" s="18" t="n">
        <v>2150</v>
      </c>
      <c r="Z3" s="18" t="n">
        <v>2237</v>
      </c>
      <c r="AA3" s="18" t="n">
        <v>2437</v>
      </c>
      <c r="AB3" s="18" t="n">
        <v>2285</v>
      </c>
      <c r="AC3" s="18" t="n">
        <v>2544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833</v>
      </c>
      <c r="C5" s="18" t="n">
        <v>720.4690000000001</v>
      </c>
      <c r="D5" s="18" t="n">
        <v>664</v>
      </c>
      <c r="E5" s="18" t="n">
        <v>625</v>
      </c>
      <c r="F5" s="18" t="n">
        <v>531</v>
      </c>
      <c r="G5" s="18" t="n">
        <v>637</v>
      </c>
      <c r="H5" s="18" t="n">
        <v>567</v>
      </c>
      <c r="I5" s="18" t="n">
        <v>602</v>
      </c>
      <c r="J5" s="18" t="n">
        <v>563</v>
      </c>
      <c r="K5" s="18" t="n">
        <v>554</v>
      </c>
      <c r="L5" s="18" t="n">
        <v>533</v>
      </c>
      <c r="M5" s="18" t="n">
        <v>591</v>
      </c>
      <c r="N5" s="18" t="n">
        <v>582</v>
      </c>
      <c r="O5" s="18" t="n">
        <v>624</v>
      </c>
      <c r="P5" s="18" t="n">
        <v>604</v>
      </c>
      <c r="Q5" s="18" t="n">
        <v>663</v>
      </c>
      <c r="R5" s="18" t="n">
        <v>715</v>
      </c>
      <c r="S5" s="18" t="n">
        <v>760</v>
      </c>
      <c r="T5" s="18" t="n">
        <v>747</v>
      </c>
      <c r="U5" s="18" t="n">
        <v>767</v>
      </c>
      <c r="V5" s="18" t="n">
        <v>826</v>
      </c>
      <c r="W5" s="18" t="n">
        <v>927</v>
      </c>
      <c r="X5" s="18" t="n">
        <v>771</v>
      </c>
      <c r="Y5" s="18" t="n">
        <v>876</v>
      </c>
      <c r="Z5" s="18" t="n">
        <v>905</v>
      </c>
      <c r="AA5" s="18" t="n">
        <v>967</v>
      </c>
      <c r="AB5" s="18" t="n">
        <v>989</v>
      </c>
      <c r="AC5" s="18" t="n">
        <v>1033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214</v>
      </c>
      <c r="C9" s="18" t="n">
        <v>198.16</v>
      </c>
      <c r="D9" s="18" t="n">
        <v>200</v>
      </c>
      <c r="E9" s="18" t="n">
        <v>172</v>
      </c>
      <c r="F9" s="18" t="n">
        <v>147</v>
      </c>
      <c r="G9" s="18" t="n">
        <v>176</v>
      </c>
      <c r="H9" s="18" t="n">
        <v>182</v>
      </c>
      <c r="I9" s="18" t="n">
        <v>152</v>
      </c>
      <c r="J9" s="18" t="n">
        <v>168</v>
      </c>
      <c r="K9" s="18" t="n">
        <v>149</v>
      </c>
      <c r="L9" s="18" t="n">
        <v>166</v>
      </c>
      <c r="M9" s="18" t="n">
        <v>177</v>
      </c>
      <c r="N9" s="18" t="n">
        <v>181</v>
      </c>
      <c r="O9" s="18" t="n">
        <v>206</v>
      </c>
      <c r="P9" s="18" t="n">
        <v>169</v>
      </c>
      <c r="Q9" s="18" t="n">
        <v>196</v>
      </c>
      <c r="R9" s="18" t="n">
        <v>203</v>
      </c>
      <c r="S9" s="18" t="n">
        <v>199</v>
      </c>
      <c r="T9" s="18" t="n">
        <v>219</v>
      </c>
      <c r="U9" s="18" t="n">
        <v>237</v>
      </c>
      <c r="V9" s="18" t="n">
        <v>227</v>
      </c>
      <c r="W9" s="18" t="n">
        <v>252</v>
      </c>
      <c r="X9" s="18" t="n">
        <v>207</v>
      </c>
      <c r="Y9" s="18" t="n">
        <v>231</v>
      </c>
      <c r="Z9" s="18" t="n">
        <v>236</v>
      </c>
      <c r="AA9" s="18" t="n">
        <v>248</v>
      </c>
      <c r="AB9" s="18" t="n">
        <v>254</v>
      </c>
      <c r="AC9" s="18" t="n">
        <v>273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688</v>
      </c>
      <c r="C11" s="18" t="n">
        <v>820.458</v>
      </c>
      <c r="D11" s="18" t="n">
        <v>801</v>
      </c>
      <c r="E11" s="18" t="n">
        <v>818</v>
      </c>
      <c r="F11" s="18" t="n">
        <v>491</v>
      </c>
      <c r="G11" s="18" t="n">
        <v>536</v>
      </c>
      <c r="H11" s="18" t="n">
        <v>541</v>
      </c>
      <c r="I11" s="18" t="n">
        <v>592</v>
      </c>
      <c r="J11" s="18" t="n">
        <v>655</v>
      </c>
      <c r="K11" s="18" t="n">
        <v>725</v>
      </c>
      <c r="L11" s="18" t="n">
        <v>661</v>
      </c>
      <c r="M11" s="18" t="n">
        <v>736</v>
      </c>
      <c r="N11" s="18" t="n">
        <v>816</v>
      </c>
      <c r="O11" s="18" t="n">
        <v>886</v>
      </c>
      <c r="P11" s="18" t="n">
        <v>793</v>
      </c>
      <c r="Q11" s="18" t="n">
        <v>929</v>
      </c>
      <c r="R11" s="18" t="n">
        <v>1029</v>
      </c>
      <c r="S11" s="18" t="n">
        <v>1092</v>
      </c>
      <c r="T11" s="18" t="n">
        <v>1042</v>
      </c>
      <c r="U11" s="18" t="n">
        <v>1152</v>
      </c>
      <c r="V11" s="18" t="n">
        <v>1220</v>
      </c>
      <c r="W11" s="18" t="n">
        <v>1259</v>
      </c>
      <c r="X11" s="18" t="n">
        <v>1235</v>
      </c>
      <c r="Y11" s="18" t="n">
        <v>1274</v>
      </c>
      <c r="Z11" s="18" t="n">
        <v>1332</v>
      </c>
      <c r="AA11" s="18" t="n">
        <v>1470</v>
      </c>
      <c r="AB11" s="18" t="n">
        <v>1296</v>
      </c>
      <c r="AC11" s="18" t="n">
        <v>1511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474</v>
      </c>
      <c r="C13" s="18" t="n">
        <v>622.298</v>
      </c>
      <c r="D13" s="18" t="n">
        <v>560</v>
      </c>
      <c r="E13" s="18" t="n">
        <v>592</v>
      </c>
      <c r="F13" s="18" t="n">
        <v>286</v>
      </c>
      <c r="G13" s="18" t="n">
        <v>312</v>
      </c>
      <c r="H13" s="18" t="n">
        <v>315</v>
      </c>
      <c r="I13" s="18" t="n">
        <v>394</v>
      </c>
      <c r="J13" s="18" t="n">
        <v>447</v>
      </c>
      <c r="K13" s="18" t="n">
        <v>535</v>
      </c>
      <c r="L13" s="18" t="n">
        <v>455</v>
      </c>
      <c r="M13" s="18" t="n">
        <v>520</v>
      </c>
      <c r="N13" s="18" t="n">
        <v>599</v>
      </c>
      <c r="O13" s="18" t="n">
        <v>641</v>
      </c>
      <c r="P13" s="18" t="n">
        <v>590</v>
      </c>
      <c r="Q13" s="18" t="n">
        <v>695</v>
      </c>
      <c r="R13" s="18" t="n">
        <v>783</v>
      </c>
      <c r="S13" s="18" t="n">
        <v>856</v>
      </c>
      <c r="T13" s="18" t="n">
        <v>787</v>
      </c>
      <c r="U13" s="18" t="n">
        <v>867</v>
      </c>
      <c r="V13" s="18" t="n">
        <v>934</v>
      </c>
      <c r="W13" s="18" t="n">
        <v>943</v>
      </c>
      <c r="X13" s="18" t="n">
        <v>974</v>
      </c>
      <c r="Y13" s="18" t="n">
        <v>991</v>
      </c>
      <c r="Z13" s="18" t="n">
        <v>1039</v>
      </c>
      <c r="AA13" s="18" t="n">
        <v>1161</v>
      </c>
      <c r="AB13" s="18" t="n">
        <v>1042</v>
      </c>
      <c r="AC13" s="18" t="n">
        <v>1178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145</v>
      </c>
      <c r="C15" s="18" t="n">
        <v>260.158</v>
      </c>
      <c r="D15" s="18" t="n">
        <v>304</v>
      </c>
      <c r="E15" s="18" t="n">
        <v>319</v>
      </c>
      <c r="F15" s="18" t="n">
        <v>-6</v>
      </c>
      <c r="G15" s="18" t="n">
        <v>82</v>
      </c>
      <c r="H15" s="18" t="n">
        <v>50</v>
      </c>
      <c r="I15" s="18" t="n">
        <v>104</v>
      </c>
      <c r="J15" s="18" t="n">
        <v>317</v>
      </c>
      <c r="K15" s="18" t="n">
        <v>209</v>
      </c>
      <c r="L15" s="18" t="n">
        <v>163</v>
      </c>
      <c r="M15" s="18" t="n">
        <v>199</v>
      </c>
      <c r="N15" s="18" t="n">
        <v>238</v>
      </c>
      <c r="O15" s="18" t="n">
        <v>266</v>
      </c>
      <c r="P15" s="18" t="n">
        <v>228</v>
      </c>
      <c r="Q15" s="18" t="n">
        <v>304</v>
      </c>
      <c r="R15" s="18" t="n">
        <v>351</v>
      </c>
      <c r="S15" s="18" t="n">
        <v>415</v>
      </c>
      <c r="T15" s="18" t="n">
        <v>382</v>
      </c>
      <c r="U15" s="18" t="n">
        <v>403</v>
      </c>
      <c r="V15" s="18" t="n">
        <v>461</v>
      </c>
      <c r="W15" s="18" t="n">
        <v>468</v>
      </c>
      <c r="X15" s="18" t="n">
        <v>493</v>
      </c>
      <c r="Y15" s="18" t="n">
        <v>479</v>
      </c>
      <c r="Z15" s="18" t="n">
        <v>492</v>
      </c>
      <c r="AA15" s="18" t="n">
        <v>610</v>
      </c>
      <c r="AB15" s="18" t="n">
        <v>386</v>
      </c>
      <c r="AC15" s="18" t="n">
        <v>535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56.3</v>
      </c>
      <c r="C17" s="18" t="n">
        <v>56.265</v>
      </c>
      <c r="D17" s="18" t="n">
        <v>57.4</v>
      </c>
      <c r="E17" s="18" t="n">
        <v>57.4</v>
      </c>
      <c r="F17" s="18" t="n">
        <v>57.3</v>
      </c>
      <c r="G17" s="18" t="n">
        <v>57.3</v>
      </c>
      <c r="H17" s="18" t="n">
        <v>54.7</v>
      </c>
      <c r="I17" s="18" t="n">
        <v>58.4</v>
      </c>
      <c r="J17" s="18" t="n">
        <v>58.4</v>
      </c>
      <c r="K17" s="18" t="n">
        <v>58.4</v>
      </c>
      <c r="L17" s="18" t="n">
        <v>59.2</v>
      </c>
      <c r="M17" s="18" t="n">
        <v>58.9</v>
      </c>
      <c r="N17" s="18" t="n">
        <v>58</v>
      </c>
      <c r="O17" s="18" t="n">
        <v>56.8</v>
      </c>
      <c r="P17" s="18" t="n">
        <v>57.1</v>
      </c>
      <c r="Q17" s="18" t="n">
        <v>57.1</v>
      </c>
      <c r="R17" s="18" t="n">
        <v>57.2</v>
      </c>
      <c r="S17" s="18" t="n">
        <v>57.3</v>
      </c>
      <c r="T17" s="18" t="n">
        <v>57.7</v>
      </c>
      <c r="U17" s="18" t="n">
        <v>57.8</v>
      </c>
      <c r="V17" s="18" t="n">
        <v>57.9</v>
      </c>
      <c r="W17" s="18" t="n">
        <v>58</v>
      </c>
      <c r="X17" s="18" t="n">
        <v>58.3</v>
      </c>
      <c r="Y17" s="18" t="n">
        <v>58.1</v>
      </c>
      <c r="Z17" s="18" t="n">
        <v>58.1</v>
      </c>
      <c r="AA17" s="18" t="n">
        <v>58.1</v>
      </c>
      <c r="AB17" s="18" t="n">
        <v>58.2</v>
      </c>
      <c r="AC17" s="18" t="n">
        <v>58.2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Power And Control</t>
        </is>
      </c>
      <c r="B19" s="18" t="n">
        <v>768.548</v>
      </c>
      <c r="C19" s="18" t="n">
        <v>805.99</v>
      </c>
      <c r="D19" s="18" t="n">
        <v>752</v>
      </c>
      <c r="E19" s="18" t="n">
        <v>747</v>
      </c>
      <c r="F19" s="18" t="n">
        <v>556</v>
      </c>
      <c r="G19" s="18" t="n">
        <v>640</v>
      </c>
      <c r="H19" s="18" t="n">
        <v>601</v>
      </c>
      <c r="I19" s="18" t="n">
        <v>641</v>
      </c>
      <c r="J19" s="18" t="n">
        <v>628</v>
      </c>
      <c r="K19" s="18" t="n">
        <v>680</v>
      </c>
      <c r="L19" s="18" t="n">
        <v>650</v>
      </c>
      <c r="M19" s="18" t="n">
        <v>708</v>
      </c>
      <c r="N19" s="18" t="n">
        <v>737</v>
      </c>
      <c r="O19" s="18" t="n">
        <v>778</v>
      </c>
      <c r="P19" s="18" t="n">
        <v>725</v>
      </c>
      <c r="Q19" s="18" t="n">
        <v>816</v>
      </c>
      <c r="R19" s="18" t="n">
        <v>861</v>
      </c>
      <c r="S19" s="18" t="n">
        <v>914</v>
      </c>
      <c r="T19" s="18" t="n">
        <v>885</v>
      </c>
      <c r="U19" s="18" t="n">
        <v>914</v>
      </c>
      <c r="V19" s="18" t="n">
        <v>1023</v>
      </c>
      <c r="W19" s="18" t="n">
        <v>2142</v>
      </c>
      <c r="X19" s="18" t="n">
        <v>1027</v>
      </c>
      <c r="Y19" s="18" t="n">
        <v>1108</v>
      </c>
      <c r="Z19" s="18" t="n">
        <v>1139</v>
      </c>
      <c r="AA19" s="18" t="n">
        <v>1285</v>
      </c>
      <c r="AB19" s="18" t="n">
        <v>1224</v>
      </c>
      <c r="AC19" s="18" t="n">
        <v>1366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  <c r="AC20" s="57">
        <f>IFERROR(AC19/Y19-1,"")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  <c r="AC21" s="57">
        <f>IFERROR(AC19/AC3,"")</f>
        <v/>
      </c>
    </row>
    <row r="22">
      <c r="A22" s="4" t="inlineStr">
        <is>
          <t>Airframe</t>
        </is>
      </c>
      <c r="B22" s="18" t="n">
        <v>711.5359999999999</v>
      </c>
      <c r="C22" s="18" t="n">
        <v>782.563</v>
      </c>
      <c r="D22" s="18" t="n">
        <v>674</v>
      </c>
      <c r="E22" s="18" t="n">
        <v>655</v>
      </c>
      <c r="F22" s="18" t="n">
        <v>434</v>
      </c>
      <c r="G22" s="18" t="n">
        <v>490</v>
      </c>
      <c r="H22" s="18" t="n">
        <v>464</v>
      </c>
      <c r="I22" s="18" t="n">
        <v>513</v>
      </c>
      <c r="J22" s="18" t="n">
        <v>550</v>
      </c>
      <c r="K22" s="18" t="n">
        <v>556</v>
      </c>
      <c r="L22" s="18" t="n">
        <v>506</v>
      </c>
      <c r="M22" s="18" t="n">
        <v>579</v>
      </c>
      <c r="N22" s="18" t="n">
        <v>620</v>
      </c>
      <c r="O22" s="18" t="n">
        <v>686</v>
      </c>
      <c r="P22" s="18" t="n">
        <v>637</v>
      </c>
      <c r="Q22" s="18" t="n">
        <v>733</v>
      </c>
      <c r="R22" s="18" t="n">
        <v>835</v>
      </c>
      <c r="S22" s="18" t="n">
        <v>889</v>
      </c>
      <c r="T22" s="18" t="n">
        <v>862</v>
      </c>
      <c r="U22" s="18" t="n">
        <v>959</v>
      </c>
      <c r="V22" s="18" t="n">
        <v>974</v>
      </c>
      <c r="W22" s="18" t="n">
        <v>1988</v>
      </c>
      <c r="X22" s="18" t="n">
        <v>946</v>
      </c>
      <c r="Y22" s="18" t="n">
        <v>1002</v>
      </c>
      <c r="Z22" s="18" t="n">
        <v>1058</v>
      </c>
      <c r="AA22" s="18" t="n">
        <v>1106</v>
      </c>
      <c r="AB22" s="18" t="n">
        <v>1021</v>
      </c>
      <c r="AC22" s="18" t="n">
        <v>1133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  <c r="AC23" s="57">
        <f>IFERROR(AC22/Y22-1,"")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  <c r="AC24" s="57">
        <f>IFERROR(AC22/AC3,"")</f>
        <v/>
      </c>
    </row>
    <row r="25">
      <c r="A25" s="4" t="inlineStr">
        <is>
          <t>Non-Aviation Related Business</t>
        </is>
      </c>
      <c r="B25" s="18" t="n">
        <v>178.235</v>
      </c>
      <c r="C25" s="18" t="n">
        <v>0</v>
      </c>
      <c r="D25" s="18" t="n">
        <v>39</v>
      </c>
      <c r="E25" s="18" t="n">
        <v>41</v>
      </c>
      <c r="F25" s="18" t="n">
        <v>32</v>
      </c>
      <c r="G25" s="18" t="n">
        <v>43</v>
      </c>
      <c r="H25" s="18" t="n">
        <v>43</v>
      </c>
      <c r="I25" s="18" t="n">
        <v>40</v>
      </c>
      <c r="J25" s="18" t="n">
        <v>40</v>
      </c>
      <c r="K25" s="18" t="n">
        <v>42</v>
      </c>
      <c r="L25" s="18" t="n">
        <v>38</v>
      </c>
      <c r="M25" s="18" t="n">
        <v>40</v>
      </c>
      <c r="N25" s="18" t="n">
        <v>41</v>
      </c>
      <c r="O25" s="18" t="n">
        <v>46</v>
      </c>
      <c r="P25" s="18" t="n">
        <v>35</v>
      </c>
      <c r="Q25" s="18" t="n">
        <v>43</v>
      </c>
      <c r="R25" s="18" t="n">
        <v>48</v>
      </c>
      <c r="S25" s="18" t="n">
        <v>49</v>
      </c>
      <c r="T25" s="18" t="n">
        <v>42</v>
      </c>
      <c r="U25" s="18" t="n">
        <v>46</v>
      </c>
      <c r="V25" s="18" t="n">
        <v>49</v>
      </c>
      <c r="W25" s="18" t="n">
        <v>102</v>
      </c>
      <c r="X25" s="18" t="n">
        <v>33</v>
      </c>
      <c r="Y25" s="18" t="n">
        <v>40</v>
      </c>
      <c r="Z25" s="18" t="n">
        <v>40</v>
      </c>
      <c r="AA25" s="18" t="n">
        <v>47</v>
      </c>
      <c r="AB25" s="18" t="n">
        <v>40</v>
      </c>
      <c r="AC25" s="18" t="n">
        <v>45</v>
      </c>
    </row>
    <row r="26">
      <c r="A26" s="4" t="inlineStr">
        <is>
          <t xml:space="preserve">    % YoY</t>
        </is>
      </c>
      <c r="F26" s="57">
        <f>IFERROR(F25/B25-1,"")</f>
        <v/>
      </c>
      <c r="G26" s="57">
        <f>IFERROR(G25/C25-1,"")</f>
        <v/>
      </c>
      <c r="H26" s="57">
        <f>IFERROR(H25/D25-1,"")</f>
        <v/>
      </c>
      <c r="I26" s="57">
        <f>IFERROR(I25/E25-1,"")</f>
        <v/>
      </c>
      <c r="J26" s="57">
        <f>IFERROR(J25/F25-1,"")</f>
        <v/>
      </c>
      <c r="K26" s="57">
        <f>IFERROR(K25/G25-1,"")</f>
        <v/>
      </c>
      <c r="L26" s="57">
        <f>IFERROR(L25/H25-1,"")</f>
        <v/>
      </c>
      <c r="M26" s="57">
        <f>IFERROR(M25/I25-1,"")</f>
        <v/>
      </c>
      <c r="N26" s="57">
        <f>IFERROR(N25/J25-1,"")</f>
        <v/>
      </c>
      <c r="O26" s="57">
        <f>IFERROR(O25/K25-1,"")</f>
        <v/>
      </c>
      <c r="P26" s="57">
        <f>IFERROR(P25/L25-1,"")</f>
        <v/>
      </c>
      <c r="Q26" s="57">
        <f>IFERROR(Q25/M25-1,"")</f>
        <v/>
      </c>
      <c r="R26" s="57">
        <f>IFERROR(R25/N25-1,"")</f>
        <v/>
      </c>
      <c r="S26" s="57">
        <f>IFERROR(S25/O25-1,"")</f>
        <v/>
      </c>
      <c r="T26" s="57">
        <f>IFERROR(T25/P25-1,"")</f>
        <v/>
      </c>
      <c r="U26" s="57">
        <f>IFERROR(U25/Q25-1,"")</f>
        <v/>
      </c>
      <c r="V26" s="57">
        <f>IFERROR(V25/R25-1,"")</f>
        <v/>
      </c>
      <c r="W26" s="57">
        <f>IFERROR(W25/S25-1,"")</f>
        <v/>
      </c>
      <c r="X26" s="57">
        <f>IFERROR(X25/T25-1,"")</f>
        <v/>
      </c>
      <c r="Y26" s="57">
        <f>IFERROR(Y25/U25-1,"")</f>
        <v/>
      </c>
      <c r="Z26" s="57">
        <f>IFERROR(Z25/V25-1,"")</f>
        <v/>
      </c>
      <c r="AA26" s="57">
        <f>IFERROR(AA25/W25-1,"")</f>
        <v/>
      </c>
      <c r="AB26" s="57">
        <f>IFERROR(AB25/X25-1,"")</f>
        <v/>
      </c>
      <c r="AC26" s="57">
        <f>IFERROR(AC25/Y25-1,"")</f>
        <v/>
      </c>
    </row>
    <row r="27">
      <c r="A27" s="4" t="inlineStr">
        <is>
          <t xml:space="preserve">    % of revenue</t>
        </is>
      </c>
      <c r="B27" s="57">
        <f>IFERROR(B25/B3,"")</f>
        <v/>
      </c>
      <c r="C27" s="57">
        <f>IFERROR(C25/C3,"")</f>
        <v/>
      </c>
      <c r="D27" s="57">
        <f>IFERROR(D25/D3,"")</f>
        <v/>
      </c>
      <c r="E27" s="57">
        <f>IFERROR(E25/E3,"")</f>
        <v/>
      </c>
      <c r="F27" s="57">
        <f>IFERROR(F25/F3,"")</f>
        <v/>
      </c>
      <c r="G27" s="57">
        <f>IFERROR(G25/G3,"")</f>
        <v/>
      </c>
      <c r="H27" s="57">
        <f>IFERROR(H25/H3,"")</f>
        <v/>
      </c>
      <c r="I27" s="57">
        <f>IFERROR(I25/I3,"")</f>
        <v/>
      </c>
      <c r="J27" s="57">
        <f>IFERROR(J25/J3,"")</f>
        <v/>
      </c>
      <c r="K27" s="57">
        <f>IFERROR(K25/K3,"")</f>
        <v/>
      </c>
      <c r="L27" s="57">
        <f>IFERROR(L25/L3,"")</f>
        <v/>
      </c>
      <c r="M27" s="57">
        <f>IFERROR(M25/M3,"")</f>
        <v/>
      </c>
      <c r="N27" s="57">
        <f>IFERROR(N25/N3,"")</f>
        <v/>
      </c>
      <c r="O27" s="57">
        <f>IFERROR(O25/O3,"")</f>
        <v/>
      </c>
      <c r="P27" s="57">
        <f>IFERROR(P25/P3,"")</f>
        <v/>
      </c>
      <c r="Q27" s="57">
        <f>IFERROR(Q25/Q3,"")</f>
        <v/>
      </c>
      <c r="R27" s="57">
        <f>IFERROR(R25/R3,"")</f>
        <v/>
      </c>
      <c r="S27" s="57">
        <f>IFERROR(S25/S3,"")</f>
        <v/>
      </c>
      <c r="T27" s="57">
        <f>IFERROR(T25/T3,"")</f>
        <v/>
      </c>
      <c r="U27" s="57">
        <f>IFERROR(U25/U3,"")</f>
        <v/>
      </c>
      <c r="V27" s="57">
        <f>IFERROR(V25/V3,"")</f>
        <v/>
      </c>
      <c r="W27" s="57">
        <f>IFERROR(W25/W3,"")</f>
        <v/>
      </c>
      <c r="X27" s="57">
        <f>IFERROR(X25/X3,"")</f>
        <v/>
      </c>
      <c r="Y27" s="57">
        <f>IFERROR(Y25/Y3,"")</f>
        <v/>
      </c>
      <c r="Z27" s="57">
        <f>IFERROR(Z25/Z3,"")</f>
        <v/>
      </c>
      <c r="AA27" s="57">
        <f>IFERROR(AA25/AA3,"")</f>
        <v/>
      </c>
      <c r="AB27" s="57">
        <f>IFERROR(AB25/AB3,"")</f>
        <v/>
      </c>
      <c r="AC27" s="57">
        <f>IFERROR(AC25/AC3,"")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Cash &amp; ST Investments</t>
        </is>
      </c>
      <c r="B29" s="18" t="n">
        <v>2716.812</v>
      </c>
      <c r="C29" s="18" t="n">
        <v>1467</v>
      </c>
      <c r="D29" s="18" t="n">
        <v>4194</v>
      </c>
      <c r="E29" s="18" t="n">
        <v>2668</v>
      </c>
      <c r="F29" s="18" t="n">
        <v>4549</v>
      </c>
      <c r="G29" s="18" t="n">
        <v>4717</v>
      </c>
      <c r="H29" s="18" t="n">
        <v>4907</v>
      </c>
      <c r="I29" s="18" t="n">
        <v>4072</v>
      </c>
      <c r="J29" s="18" t="n">
        <v>4529</v>
      </c>
      <c r="K29" s="18" t="n">
        <v>4787</v>
      </c>
      <c r="L29" s="18" t="n">
        <v>4813</v>
      </c>
      <c r="M29" s="18" t="n">
        <v>4216</v>
      </c>
      <c r="N29" s="18" t="n">
        <v>3808</v>
      </c>
      <c r="O29" s="18" t="n">
        <v>3001</v>
      </c>
      <c r="P29" s="18" t="n">
        <v>3288</v>
      </c>
      <c r="Q29" s="18" t="n">
        <v>3418</v>
      </c>
      <c r="R29" s="18" t="n">
        <v>3071</v>
      </c>
      <c r="S29" s="18" t="n">
        <v>3472</v>
      </c>
      <c r="T29" s="18" t="n">
        <v>4135</v>
      </c>
      <c r="U29" s="18" t="n">
        <v>4288</v>
      </c>
      <c r="V29" s="18" t="n">
        <v>3360</v>
      </c>
      <c r="W29" s="18" t="n">
        <v>6261</v>
      </c>
      <c r="X29" s="18" t="n">
        <v>2459</v>
      </c>
      <c r="Y29" s="18" t="n">
        <v>2426</v>
      </c>
      <c r="Z29" s="18" t="n">
        <v>2792</v>
      </c>
      <c r="AA29" s="18" t="n">
        <v>2808</v>
      </c>
      <c r="AB29" s="18" t="n">
        <v>2528</v>
      </c>
      <c r="AC29" s="18" t="n">
        <v>3884</v>
      </c>
    </row>
    <row r="30">
      <c r="A30" s="4" t="inlineStr">
        <is>
          <t>Total Current Assets</t>
        </is>
      </c>
      <c r="B30" s="18" t="n">
        <v>5411.195</v>
      </c>
      <c r="C30" s="18" t="n">
        <v>4865.247</v>
      </c>
      <c r="D30" s="18" t="n">
        <v>6652</v>
      </c>
      <c r="E30" s="18" t="n">
        <v>5200</v>
      </c>
      <c r="F30" s="18" t="n">
        <v>6771</v>
      </c>
      <c r="G30" s="18" t="n">
        <v>6960</v>
      </c>
      <c r="H30" s="18" t="n">
        <v>7074</v>
      </c>
      <c r="I30" s="18" t="n">
        <v>6358</v>
      </c>
      <c r="J30" s="18" t="n">
        <v>6723</v>
      </c>
      <c r="K30" s="18" t="n">
        <v>7030</v>
      </c>
      <c r="L30" s="18" t="n">
        <v>6971</v>
      </c>
      <c r="M30" s="18" t="n">
        <v>6564</v>
      </c>
      <c r="N30" s="18" t="n">
        <v>6308</v>
      </c>
      <c r="O30" s="18" t="n">
        <v>5649</v>
      </c>
      <c r="P30" s="18" t="n">
        <v>5929</v>
      </c>
      <c r="Q30" s="18" t="n">
        <v>7456</v>
      </c>
      <c r="R30" s="18" t="n">
        <v>6252</v>
      </c>
      <c r="S30" s="18" t="n">
        <v>6738</v>
      </c>
      <c r="T30" s="18" t="n">
        <v>7396</v>
      </c>
      <c r="U30" s="18" t="n">
        <v>8282</v>
      </c>
      <c r="V30" s="18" t="n">
        <v>7061</v>
      </c>
      <c r="W30" s="18" t="n">
        <v>10029</v>
      </c>
      <c r="X30" s="18" t="n">
        <v>6156</v>
      </c>
      <c r="Y30" s="18" t="n">
        <v>6408</v>
      </c>
      <c r="Z30" s="18" t="n">
        <v>6915</v>
      </c>
      <c r="AA30" s="18" t="n">
        <v>7012</v>
      </c>
      <c r="AB30" s="18" t="n">
        <v>6971</v>
      </c>
      <c r="AC30" s="18" t="n">
        <v>8579</v>
      </c>
    </row>
    <row r="31">
      <c r="A31" s="4" t="inlineStr">
        <is>
          <t>PP&amp;E (net)</t>
        </is>
      </c>
      <c r="B31" s="18" t="n">
        <v>745.538</v>
      </c>
      <c r="C31" s="18" t="n">
        <v>757</v>
      </c>
      <c r="D31" s="18" t="n">
        <v>753</v>
      </c>
      <c r="E31" s="18" t="n">
        <v>748</v>
      </c>
      <c r="F31" s="18" t="n">
        <v>744</v>
      </c>
      <c r="G31" s="18" t="n">
        <v>752</v>
      </c>
      <c r="H31" s="18" t="n">
        <v>777</v>
      </c>
      <c r="I31" s="18" t="n">
        <v>790</v>
      </c>
      <c r="J31" s="18" t="n">
        <v>777</v>
      </c>
      <c r="K31" s="18" t="n">
        <v>770</v>
      </c>
      <c r="L31" s="18" t="n">
        <v>794</v>
      </c>
      <c r="M31" s="18" t="n">
        <v>810</v>
      </c>
      <c r="N31" s="18" t="n">
        <v>814</v>
      </c>
      <c r="O31" s="18" t="n">
        <v>807</v>
      </c>
      <c r="P31" s="18" t="n">
        <v>864</v>
      </c>
      <c r="Q31" s="18" t="n">
        <v>872</v>
      </c>
      <c r="R31" s="18" t="n">
        <v>983</v>
      </c>
      <c r="S31" s="18" t="n">
        <v>1255</v>
      </c>
      <c r="T31" s="18" t="n">
        <v>1335</v>
      </c>
      <c r="U31" s="18" t="n">
        <v>1288</v>
      </c>
      <c r="V31" s="18" t="n">
        <v>1431</v>
      </c>
      <c r="W31" s="18" t="n">
        <v>1488</v>
      </c>
      <c r="X31" s="18" t="n">
        <v>1477</v>
      </c>
      <c r="Y31" s="18" t="n">
        <v>1519</v>
      </c>
      <c r="Z31" s="18" t="n">
        <v>1540</v>
      </c>
      <c r="AA31" s="18" t="n">
        <v>1579</v>
      </c>
      <c r="AB31" s="18" t="n">
        <v>1653</v>
      </c>
      <c r="AC31" s="18" t="n">
        <v>1678</v>
      </c>
    </row>
    <row r="32">
      <c r="A32" s="4" t="inlineStr">
        <is>
          <t>Total Assets</t>
        </is>
      </c>
      <c r="B32" s="18" t="n">
        <v>17702.598</v>
      </c>
      <c r="C32" s="18" t="n">
        <v>16254.731</v>
      </c>
      <c r="D32" s="18" t="n">
        <v>18156</v>
      </c>
      <c r="E32" s="18" t="n">
        <v>16635</v>
      </c>
      <c r="F32" s="18" t="n">
        <v>18179</v>
      </c>
      <c r="G32" s="18" t="n">
        <v>18395</v>
      </c>
      <c r="H32" s="18" t="n">
        <v>18557</v>
      </c>
      <c r="I32" s="18" t="n">
        <v>18739</v>
      </c>
      <c r="J32" s="18" t="n">
        <v>19089</v>
      </c>
      <c r="K32" s="18" t="n">
        <v>19315</v>
      </c>
      <c r="L32" s="18" t="n">
        <v>19242</v>
      </c>
      <c r="M32" s="18" t="n">
        <v>18841</v>
      </c>
      <c r="N32" s="18" t="n">
        <v>18819</v>
      </c>
      <c r="O32" s="18" t="n">
        <v>18107</v>
      </c>
      <c r="P32" s="18" t="n">
        <v>18489</v>
      </c>
      <c r="Q32" s="18" t="n">
        <v>20008</v>
      </c>
      <c r="R32" s="18" t="n">
        <v>19555</v>
      </c>
      <c r="S32" s="18" t="n">
        <v>19970</v>
      </c>
      <c r="T32" s="18" t="n">
        <v>20685</v>
      </c>
      <c r="U32" s="18" t="n">
        <v>21577</v>
      </c>
      <c r="V32" s="18" t="n">
        <v>21828</v>
      </c>
      <c r="W32" s="18" t="n">
        <v>25586</v>
      </c>
      <c r="X32" s="18" t="n">
        <v>21515</v>
      </c>
      <c r="Y32" s="18" t="n">
        <v>21905</v>
      </c>
      <c r="Z32" s="18" t="n">
        <v>22700</v>
      </c>
      <c r="AA32" s="18" t="n">
        <v>22909</v>
      </c>
      <c r="AB32" s="18" t="n">
        <v>23757</v>
      </c>
      <c r="AC32" s="18" t="n">
        <v>25442</v>
      </c>
    </row>
    <row r="33">
      <c r="A33" s="4" t="inlineStr">
        <is>
          <t>Total Current Liabilities</t>
        </is>
      </c>
      <c r="B33" s="18" t="n">
        <v>1380.64</v>
      </c>
      <c r="C33" s="18" t="n">
        <v>1538.756</v>
      </c>
      <c r="D33" s="18" t="n">
        <v>3350</v>
      </c>
      <c r="E33" s="18" t="n">
        <v>1656</v>
      </c>
      <c r="F33" s="18" t="n">
        <v>1651</v>
      </c>
      <c r="G33" s="18" t="n">
        <v>1616</v>
      </c>
      <c r="H33" s="18" t="n">
        <v>1563</v>
      </c>
      <c r="I33" s="18" t="n">
        <v>1580</v>
      </c>
      <c r="J33" s="18" t="n">
        <v>1636</v>
      </c>
      <c r="K33" s="18" t="n">
        <v>1663</v>
      </c>
      <c r="L33" s="18" t="n">
        <v>1378</v>
      </c>
      <c r="M33" s="18" t="n">
        <v>1301</v>
      </c>
      <c r="N33" s="18" t="n">
        <v>1344</v>
      </c>
      <c r="O33" s="18" t="n">
        <v>1426</v>
      </c>
      <c r="P33" s="18" t="n">
        <v>1408</v>
      </c>
      <c r="Q33" s="18" t="n">
        <v>2522</v>
      </c>
      <c r="R33" s="18" t="n">
        <v>1533</v>
      </c>
      <c r="S33" s="18" t="n">
        <v>1579</v>
      </c>
      <c r="T33" s="18" t="n">
        <v>1818</v>
      </c>
      <c r="U33" s="18" t="n">
        <v>2235</v>
      </c>
      <c r="V33" s="18" t="n">
        <v>1851</v>
      </c>
      <c r="W33" s="18" t="n">
        <v>6339</v>
      </c>
      <c r="X33" s="18" t="n">
        <v>2284</v>
      </c>
      <c r="Y33" s="18" t="n">
        <v>2074</v>
      </c>
      <c r="Z33" s="18" t="n">
        <v>2211</v>
      </c>
      <c r="AA33" s="18" t="n">
        <v>2182</v>
      </c>
      <c r="AB33" s="18" t="n">
        <v>2535</v>
      </c>
      <c r="AC33" s="18" t="n">
        <v>2440</v>
      </c>
    </row>
    <row r="34">
      <c r="A34" s="4" t="inlineStr">
        <is>
          <t>Long-term Debt</t>
        </is>
      </c>
      <c r="B34" s="18" t="n">
        <v>16495.885</v>
      </c>
      <c r="C34" s="18" t="n">
        <v>16469</v>
      </c>
      <c r="D34" s="18" t="n">
        <v>17952</v>
      </c>
      <c r="E34" s="18" t="n">
        <v>17933</v>
      </c>
      <c r="F34" s="18" t="n">
        <v>19410</v>
      </c>
      <c r="G34" s="18" t="n">
        <v>19384</v>
      </c>
      <c r="H34" s="18" t="n">
        <v>19394</v>
      </c>
      <c r="I34" s="18" t="n">
        <v>19402</v>
      </c>
      <c r="J34" s="18" t="n">
        <v>19384</v>
      </c>
      <c r="K34" s="18" t="n">
        <v>19372</v>
      </c>
      <c r="L34" s="18" t="n">
        <v>19388</v>
      </c>
      <c r="M34" s="18" t="n">
        <v>19250</v>
      </c>
      <c r="N34" s="18" t="n">
        <v>19238</v>
      </c>
      <c r="O34" s="18" t="n">
        <v>19369</v>
      </c>
      <c r="P34" s="18" t="n">
        <v>19186</v>
      </c>
      <c r="Q34" s="18" t="n">
        <v>19349</v>
      </c>
      <c r="R34" s="18" t="n">
        <v>19348</v>
      </c>
      <c r="S34" s="18" t="n">
        <v>19330</v>
      </c>
      <c r="T34" s="18" t="n">
        <v>21346</v>
      </c>
      <c r="U34" s="18" t="n">
        <v>21331</v>
      </c>
      <c r="V34" s="18" t="n">
        <v>21364</v>
      </c>
      <c r="W34" s="18" t="n">
        <v>24296</v>
      </c>
      <c r="X34" s="18" t="n">
        <v>24302</v>
      </c>
      <c r="Y34" s="18" t="n">
        <v>24306</v>
      </c>
      <c r="Z34" s="18" t="n">
        <v>24268</v>
      </c>
      <c r="AA34" s="18" t="n">
        <v>29167</v>
      </c>
      <c r="AB34" s="18" t="n">
        <v>29197</v>
      </c>
      <c r="AC34" s="18" t="n">
        <v>31150</v>
      </c>
    </row>
    <row r="35">
      <c r="A35" s="4" t="inlineStr">
        <is>
          <t>Total Equity</t>
        </is>
      </c>
      <c r="B35" s="18" t="n">
        <v>-1321.244</v>
      </c>
      <c r="C35" s="18" t="n">
        <v>-2894.905</v>
      </c>
      <c r="D35" s="18" t="n">
        <v>-4303</v>
      </c>
      <c r="E35" s="18" t="n">
        <v>-4209</v>
      </c>
      <c r="F35" s="18" t="n">
        <v>-4183</v>
      </c>
      <c r="G35" s="18" t="n">
        <v>-3972</v>
      </c>
      <c r="H35" s="18" t="n">
        <v>-3728</v>
      </c>
      <c r="I35" s="18" t="n">
        <v>-3528</v>
      </c>
      <c r="J35" s="18" t="n">
        <v>-3138</v>
      </c>
      <c r="K35" s="18" t="n">
        <v>-2916</v>
      </c>
      <c r="L35" s="18" t="n">
        <v>-2633</v>
      </c>
      <c r="M35" s="18" t="n">
        <v>-2899</v>
      </c>
      <c r="N35" s="18" t="n">
        <v>-2976</v>
      </c>
      <c r="O35" s="18" t="n">
        <v>-3773</v>
      </c>
      <c r="P35" s="18" t="n">
        <v>-3336</v>
      </c>
      <c r="Q35" s="18" t="n">
        <v>-2901</v>
      </c>
      <c r="R35" s="18" t="n">
        <v>-2394</v>
      </c>
      <c r="S35" s="18" t="n">
        <v>-1984</v>
      </c>
      <c r="T35" s="18" t="n">
        <v>-3513</v>
      </c>
      <c r="U35" s="18" t="n">
        <v>-3029</v>
      </c>
      <c r="V35" s="18" t="n">
        <v>-2518</v>
      </c>
      <c r="W35" s="18" t="n">
        <v>-6290</v>
      </c>
      <c r="X35" s="18" t="n">
        <v>-6258</v>
      </c>
      <c r="Y35" s="18" t="n">
        <v>-5671</v>
      </c>
      <c r="Z35" s="18" t="n">
        <v>-5004</v>
      </c>
      <c r="AA35" s="18" t="n">
        <v>-9686</v>
      </c>
      <c r="AB35" s="18" t="n">
        <v>-9270</v>
      </c>
      <c r="AC35" s="18" t="n">
        <v>-9402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4" t="inlineStr">
        <is>
          <t>D&amp;A</t>
        </is>
      </c>
      <c r="B37" s="18" t="n">
        <v>71.318</v>
      </c>
      <c r="C37" s="18" t="n">
        <v>78.15600000000001</v>
      </c>
      <c r="D37" s="18" t="n">
        <v>69</v>
      </c>
      <c r="E37" s="18" t="n">
        <v>72</v>
      </c>
      <c r="F37" s="18" t="n">
        <v>70</v>
      </c>
      <c r="G37" s="18" t="n">
        <v>72</v>
      </c>
      <c r="H37" s="18" t="n">
        <v>58</v>
      </c>
      <c r="I37" s="18" t="n">
        <v>66</v>
      </c>
      <c r="J37" s="18" t="n">
        <v>64</v>
      </c>
      <c r="K37" s="18" t="n">
        <v>65</v>
      </c>
      <c r="L37" s="18" t="n">
        <v>65</v>
      </c>
      <c r="M37" s="18" t="n">
        <v>62</v>
      </c>
      <c r="N37" s="18" t="n">
        <v>60</v>
      </c>
      <c r="O37" s="18" t="n">
        <v>65</v>
      </c>
      <c r="P37" s="18" t="n">
        <v>63</v>
      </c>
      <c r="Q37" s="18" t="n">
        <v>77</v>
      </c>
      <c r="R37" s="18" t="n">
        <v>70</v>
      </c>
      <c r="S37" s="18" t="n">
        <v>69</v>
      </c>
      <c r="T37" s="18" t="n">
        <v>71</v>
      </c>
      <c r="U37" s="18" t="n">
        <v>72</v>
      </c>
      <c r="V37" s="18" t="n">
        <v>85</v>
      </c>
      <c r="W37" s="18" t="n">
        <v>93</v>
      </c>
      <c r="X37" s="18" t="n">
        <v>90</v>
      </c>
      <c r="Y37" s="18" t="n">
        <v>89</v>
      </c>
      <c r="Z37" s="18" t="n">
        <v>92</v>
      </c>
      <c r="AA37" s="18" t="n">
        <v>96</v>
      </c>
      <c r="AB37" s="18" t="n">
        <v>111</v>
      </c>
      <c r="AC37" s="18" t="n">
        <v>105</v>
      </c>
    </row>
    <row r="38">
      <c r="A38" s="4" t="inlineStr">
        <is>
          <t>Stock-based Compensation</t>
        </is>
      </c>
      <c r="B38" s="18" t="n">
        <v>32</v>
      </c>
      <c r="C38" s="18" t="n">
        <v>23.28</v>
      </c>
      <c r="D38" s="18" t="n">
        <v>26</v>
      </c>
      <c r="E38" s="18" t="n">
        <v>11</v>
      </c>
      <c r="F38" s="18" t="n">
        <v>22</v>
      </c>
      <c r="G38" s="18" t="n">
        <v>34</v>
      </c>
      <c r="H38" s="18" t="n">
        <v>49</v>
      </c>
      <c r="I38" s="18" t="n">
        <v>21</v>
      </c>
      <c r="J38" s="18" t="n">
        <v>35</v>
      </c>
      <c r="K38" s="18" t="n">
        <v>24</v>
      </c>
      <c r="L38" s="18" t="n">
        <v>37</v>
      </c>
      <c r="M38" s="18" t="n">
        <v>43</v>
      </c>
      <c r="N38" s="18" t="n">
        <v>47</v>
      </c>
      <c r="O38" s="18" t="n">
        <v>38</v>
      </c>
      <c r="P38" s="18" t="n">
        <v>35</v>
      </c>
      <c r="Q38" s="18" t="n">
        <v>42</v>
      </c>
      <c r="R38" s="18" t="n">
        <v>54</v>
      </c>
      <c r="S38" s="18" t="n">
        <v>26</v>
      </c>
      <c r="T38" s="18" t="n">
        <v>51</v>
      </c>
      <c r="U38" s="18" t="n">
        <v>60</v>
      </c>
      <c r="V38" s="18" t="n">
        <v>48</v>
      </c>
      <c r="W38" s="18" t="n">
        <v>59</v>
      </c>
      <c r="X38" s="18" t="n">
        <v>25</v>
      </c>
      <c r="Y38" s="18" t="n">
        <v>48</v>
      </c>
      <c r="Z38" s="18" t="n">
        <v>51</v>
      </c>
      <c r="AA38" s="18" t="n">
        <v>33</v>
      </c>
      <c r="AB38" s="18" t="n">
        <v>27</v>
      </c>
      <c r="AC38" s="18" t="n">
        <v>26</v>
      </c>
    </row>
    <row r="39">
      <c r="A39" s="4" t="inlineStr">
        <is>
          <t>Change in Working Capital</t>
        </is>
      </c>
      <c r="B39" s="18" t="n">
        <v>-61.413</v>
      </c>
      <c r="C39" s="18" t="n">
        <v>-82.95699999999999</v>
      </c>
      <c r="D39" s="18" t="n">
        <v>87</v>
      </c>
      <c r="E39" s="18" t="n">
        <v>-235</v>
      </c>
      <c r="F39" s="18" t="n">
        <v>314</v>
      </c>
      <c r="G39" s="18" t="n">
        <v>-31</v>
      </c>
      <c r="H39" s="18" t="n">
        <v>121</v>
      </c>
      <c r="I39" s="18" t="n">
        <v>-118</v>
      </c>
      <c r="J39" s="18" t="n">
        <v>-110</v>
      </c>
      <c r="K39" s="18" t="n">
        <v>-17</v>
      </c>
      <c r="L39" s="18" t="n">
        <v>19</v>
      </c>
      <c r="M39" s="18" t="n">
        <v>-213</v>
      </c>
      <c r="N39" s="18" t="n">
        <v>-10</v>
      </c>
      <c r="O39" s="18" t="n">
        <v>-56</v>
      </c>
      <c r="P39" s="18" t="n">
        <v>29</v>
      </c>
      <c r="Q39" s="18" t="n">
        <v>-258</v>
      </c>
      <c r="R39" s="18" t="n">
        <v>-102</v>
      </c>
      <c r="S39" s="18" t="n">
        <v>-63</v>
      </c>
      <c r="T39" s="18" t="n">
        <v>111</v>
      </c>
      <c r="U39" s="18" t="n">
        <v>-326</v>
      </c>
      <c r="V39" s="18" t="n">
        <v>-19</v>
      </c>
      <c r="W39" s="18" t="n">
        <v>-84</v>
      </c>
      <c r="X39" s="18" t="n">
        <v>188</v>
      </c>
      <c r="Y39" s="18" t="n">
        <v>-477</v>
      </c>
      <c r="Z39" s="18" t="n">
        <v>-37</v>
      </c>
      <c r="AA39" s="18" t="n">
        <v>-232</v>
      </c>
      <c r="AB39" s="18" t="n">
        <v>223</v>
      </c>
      <c r="AC39" s="18" t="n">
        <v>-544</v>
      </c>
    </row>
    <row r="40">
      <c r="A40" s="4" t="inlineStr">
        <is>
          <t>Operating Cash Flow</t>
        </is>
      </c>
      <c r="B40" s="18" t="n">
        <v>315.359</v>
      </c>
      <c r="C40" s="18" t="n">
        <v>247.116</v>
      </c>
      <c r="D40" s="18" t="n">
        <v>433</v>
      </c>
      <c r="E40" s="18" t="n">
        <v>161</v>
      </c>
      <c r="F40" s="18" t="n">
        <v>397</v>
      </c>
      <c r="G40" s="18" t="n">
        <v>222</v>
      </c>
      <c r="H40" s="18" t="n">
        <v>274</v>
      </c>
      <c r="I40" s="18" t="n">
        <v>98</v>
      </c>
      <c r="J40" s="18" t="n">
        <v>252</v>
      </c>
      <c r="K40" s="18" t="n">
        <v>289</v>
      </c>
      <c r="L40" s="18" t="n">
        <v>279</v>
      </c>
      <c r="M40" s="18" t="n">
        <v>87</v>
      </c>
      <c r="N40" s="18" t="n">
        <v>309</v>
      </c>
      <c r="O40" s="18" t="n">
        <v>273</v>
      </c>
      <c r="P40" s="18" t="n">
        <v>377</v>
      </c>
      <c r="Q40" s="18" t="n">
        <v>130</v>
      </c>
      <c r="R40" s="18" t="n">
        <v>406</v>
      </c>
      <c r="S40" s="18" t="n">
        <v>462</v>
      </c>
      <c r="T40" s="18" t="n">
        <v>636</v>
      </c>
      <c r="U40" s="18" t="n">
        <v>229</v>
      </c>
      <c r="V40" s="18" t="n">
        <v>608</v>
      </c>
      <c r="W40" s="18" t="n">
        <v>572</v>
      </c>
      <c r="X40" s="18" t="n">
        <v>752</v>
      </c>
      <c r="Y40" s="18" t="n">
        <v>148</v>
      </c>
      <c r="Z40" s="18" t="n">
        <v>631</v>
      </c>
      <c r="AA40" s="18" t="n">
        <v>507</v>
      </c>
      <c r="AB40" s="18" t="n">
        <v>832</v>
      </c>
      <c r="AC40" s="18" t="n">
        <v>135</v>
      </c>
    </row>
    <row r="41">
      <c r="A41" s="4" t="inlineStr">
        <is>
          <t>Capex</t>
        </is>
      </c>
      <c r="B41" s="18" t="n">
        <v>-37.017</v>
      </c>
      <c r="C41" s="18" t="n">
        <v>-21.17</v>
      </c>
      <c r="D41" s="18" t="n">
        <v>-27</v>
      </c>
      <c r="E41" s="18" t="n">
        <v>-23</v>
      </c>
      <c r="F41" s="18" t="n">
        <v>-12</v>
      </c>
      <c r="G41" s="18" t="n">
        <v>-43</v>
      </c>
      <c r="H41" s="18" t="n">
        <v>-31</v>
      </c>
      <c r="I41" s="18" t="n">
        <v>-29</v>
      </c>
      <c r="J41" s="18" t="n">
        <v>-20</v>
      </c>
      <c r="K41" s="18" t="n">
        <v>-25</v>
      </c>
      <c r="L41" s="18" t="n">
        <v>-25</v>
      </c>
      <c r="M41" s="18" t="n">
        <v>-32</v>
      </c>
      <c r="N41" s="18" t="n">
        <v>-29</v>
      </c>
      <c r="O41" s="18" t="n">
        <v>-33</v>
      </c>
      <c r="P41" s="18" t="n">
        <v>-31</v>
      </c>
      <c r="Q41" s="18" t="n">
        <v>-35</v>
      </c>
      <c r="R41" s="18" t="n">
        <v>-36</v>
      </c>
      <c r="S41" s="18" t="n">
        <v>-37</v>
      </c>
      <c r="T41" s="18" t="n">
        <v>-36</v>
      </c>
      <c r="U41" s="18" t="n">
        <v>-48</v>
      </c>
      <c r="V41" s="18" t="n">
        <v>-40</v>
      </c>
      <c r="W41" s="18" t="n">
        <v>-41</v>
      </c>
      <c r="X41" s="18" t="n">
        <v>-42</v>
      </c>
      <c r="Y41" s="18" t="n">
        <v>-56</v>
      </c>
      <c r="Z41" s="18" t="n">
        <v>-58</v>
      </c>
      <c r="AA41" s="18" t="n">
        <v>-66</v>
      </c>
      <c r="AB41" s="18" t="n">
        <v>-60</v>
      </c>
      <c r="AC41" s="18" t="n">
        <v>-71</v>
      </c>
    </row>
    <row r="42">
      <c r="A42" s="4" t="inlineStr">
        <is>
          <t>Free Cash Flow</t>
        </is>
      </c>
      <c r="B42" s="18" t="n">
        <v>278.342</v>
      </c>
      <c r="C42" s="18" t="n">
        <v>225.946</v>
      </c>
      <c r="D42" s="18" t="n">
        <v>406</v>
      </c>
      <c r="E42" s="18" t="n">
        <v>138</v>
      </c>
      <c r="F42" s="18" t="n">
        <v>385</v>
      </c>
      <c r="G42" s="18" t="n">
        <v>179</v>
      </c>
      <c r="H42" s="18" t="n">
        <v>243</v>
      </c>
      <c r="I42" s="18" t="n">
        <v>69</v>
      </c>
      <c r="J42" s="18" t="n">
        <v>232</v>
      </c>
      <c r="K42" s="18" t="n">
        <v>264</v>
      </c>
      <c r="L42" s="18" t="n">
        <v>254</v>
      </c>
      <c r="M42" s="18" t="n">
        <v>55</v>
      </c>
      <c r="N42" s="18" t="n">
        <v>280</v>
      </c>
      <c r="O42" s="18" t="n">
        <v>240</v>
      </c>
      <c r="P42" s="18" t="n">
        <v>346</v>
      </c>
      <c r="Q42" s="18" t="n">
        <v>95</v>
      </c>
      <c r="R42" s="18" t="n">
        <v>370</v>
      </c>
      <c r="S42" s="18" t="n">
        <v>425</v>
      </c>
      <c r="T42" s="18" t="n">
        <v>600</v>
      </c>
      <c r="U42" s="18" t="n">
        <v>181</v>
      </c>
      <c r="V42" s="18" t="n">
        <v>568</v>
      </c>
      <c r="W42" s="18" t="n">
        <v>531</v>
      </c>
      <c r="X42" s="18" t="n">
        <v>710</v>
      </c>
      <c r="Y42" s="18" t="n">
        <v>92</v>
      </c>
      <c r="Z42" s="18" t="n">
        <v>573</v>
      </c>
      <c r="AA42" s="18" t="n">
        <v>441</v>
      </c>
      <c r="AB42" s="18" t="n">
        <v>772</v>
      </c>
      <c r="AC42" s="18" t="n">
        <v>64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10374.907394</v>
      </c>
      <c r="C4" s="18" t="n">
        <v>11345.888252</v>
      </c>
      <c r="D4" s="18" t="n">
        <v>12207.75361</v>
      </c>
      <c r="E4" s="18" t="n">
        <v>12697.333333</v>
      </c>
      <c r="F4" s="18" t="n">
        <v>13604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  <c r="F5" s="28">
        <f>Model!K10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6296.521725</v>
      </c>
      <c r="C8" s="18" t="n">
        <v>6885.809112</v>
      </c>
      <c r="D8" s="18" t="n">
        <v>7408.874403</v>
      </c>
      <c r="E8" s="18" t="n">
        <v>7705.999885</v>
      </c>
      <c r="F8" s="18" t="n">
        <v>8256.255048999999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  <c r="F9" s="28">
        <f>Model!K23+Model!K28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5985.91368</v>
      </c>
      <c r="C12" s="18" t="n">
        <v>6546.131461</v>
      </c>
      <c r="D12" s="18" t="n">
        <v>7043.393889</v>
      </c>
      <c r="E12" s="18" t="n">
        <v>7325.862141</v>
      </c>
      <c r="F12" s="18" t="n">
        <v>7848.973163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  <c r="F13" s="28">
        <f>Model!K23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1284.465298</v>
      </c>
      <c r="C16" s="18" t="n">
        <v>1404.677573</v>
      </c>
      <c r="D16" s="18" t="n">
        <v>1511.380804</v>
      </c>
      <c r="E16" s="18" t="n">
        <v>1571.993216</v>
      </c>
      <c r="F16" s="18" t="n">
        <v>1684.243073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  <c r="F17" s="28">
        <f>Model!K18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2312.1888455</v>
      </c>
      <c r="C20" s="18" t="n">
        <v>2782.2941155</v>
      </c>
      <c r="D20" s="18" t="n">
        <v>3015.58892</v>
      </c>
      <c r="E20" s="18" t="n">
        <v>3579.493867</v>
      </c>
      <c r="F20" s="18" t="n">
        <v>3964.875068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  <c r="F21" s="28">
        <f>Model!K27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39.99369</v>
      </c>
      <c r="C24" s="62" t="n">
        <v>46.98245</v>
      </c>
      <c r="D24" s="62" t="n">
        <v>53.97823</v>
      </c>
      <c r="E24" s="62" t="n">
        <v>61.50333</v>
      </c>
      <c r="F24" s="62" t="n">
        <v>68.125</v>
      </c>
    </row>
    <row r="25">
      <c r="A25" s="4" t="inlineStr">
        <is>
          <t xml:space="preserve">  model</t>
        </is>
      </c>
      <c r="B25" s="46">
        <f>Model!G27/Financials!AC17</f>
        <v/>
      </c>
      <c r="C25" s="46">
        <f>Model!H27/Financials!AC17</f>
        <v/>
      </c>
      <c r="D25" s="46">
        <f>Model!I27/Financials!AC17</f>
        <v/>
      </c>
      <c r="E25" s="46">
        <f>Model!J27/Financials!AC17</f>
        <v/>
      </c>
      <c r="F25" s="46">
        <f>Model!K27/Financials!AC17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TransDigm Group Incorporated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Financials!AC29</f>
        <v/>
      </c>
    </row>
    <row r="33">
      <c r="A33" s="4" t="inlineStr">
        <is>
          <t>- Long-term debt</t>
        </is>
      </c>
      <c r="B33" s="28">
        <f>-Financials!AC34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0.04156285390713477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0.5663123986529237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(Model!P10/Model!F10)^(1/10)-1</f>
        <v/>
      </c>
      <c r="D6" s="50" t="n">
        <v>0.02221363665742363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0.9382814290669892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Financials!AC29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2026-06-05T14:18:58Z</dcterms:created>
  <dcterms:modified xmlns:dcterms="http://purl.org/dc/terms/" xmlns:xsi="http://www.w3.org/2001/XMLSchema-instance" xsi:type="dcterms:W3CDTF">2026-06-05T14:18:58Z</dcterms:modified>
</cp:coreProperties>
</file>