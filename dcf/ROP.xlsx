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Roper Technologies, Inc. (ROP)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Roper Technologies, Inc. (ROP)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0.1011470599757239</v>
      </c>
      <c r="C20" s="15" t="n">
        <v>0.04999999999999999</v>
      </c>
      <c r="D20" s="16" t="n">
        <v>0.1011470599757239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0.3613273056871198</v>
      </c>
      <c r="D29" s="16" t="n">
        <v>0.3613273056871198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0.3775265193206833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52.14000000000001</v>
      </c>
      <c r="D34" s="18" t="n">
        <v>52.14000000000001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0.803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364.2000122070312</v>
      </c>
    </row>
    <row r="49">
      <c r="A49" s="4" t="inlineStr">
        <is>
          <t>Growth fade curvature</t>
        </is>
      </c>
      <c r="B49" s="20" t="n">
        <v>3.8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562.5162528353679</v>
      </c>
      <c r="C58" s="28" t="n">
        <v>755.9118331760835</v>
      </c>
      <c r="D58" s="28" t="n">
        <v>408.8148665856202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0.01628598532110092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0.009771591192660549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ROP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0.3075608984498576</v>
      </c>
      <c r="H11" s="15" t="n">
        <v>0.3075608984498576</v>
      </c>
      <c r="I11" s="15" t="n">
        <v>0.3075608984498576</v>
      </c>
      <c r="J11" s="15" t="n">
        <v>0.3075608984498576</v>
      </c>
      <c r="K11" s="15" t="n">
        <v>0.3075608984498576</v>
      </c>
      <c r="L11" s="15" t="n">
        <v>0.3075608984498576</v>
      </c>
      <c r="M11" s="15" t="n">
        <v>0.3075608984498576</v>
      </c>
      <c r="N11" s="15" t="n">
        <v>0.3075608984498576</v>
      </c>
      <c r="O11" s="15" t="n">
        <v>0.3075608984498576</v>
      </c>
      <c r="P11" s="15" t="n">
        <v>0.3075608984498576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0.4095665928503638</v>
      </c>
      <c r="H15" s="15" t="n">
        <v>0.4095665928503638</v>
      </c>
      <c r="I15" s="15" t="n">
        <v>0.4095665928503638</v>
      </c>
      <c r="J15" s="15" t="n">
        <v>0.4095665928503638</v>
      </c>
      <c r="K15" s="15" t="n">
        <v>0.4095665928503638</v>
      </c>
      <c r="L15" s="15" t="n">
        <v>0.4095665928503638</v>
      </c>
      <c r="M15" s="15" t="n">
        <v>0.4095665928503638</v>
      </c>
      <c r="N15" s="15" t="n">
        <v>0.4095665928503638</v>
      </c>
      <c r="O15" s="15" t="n">
        <v>0.4095665928503638</v>
      </c>
      <c r="P15" s="15" t="n">
        <v>0.4095665928503638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G6*(1-(Dashboard!$B$29+(Dashboard!$B$30-Dashboard!$B$29)*MIN(1,0/3)))-(G10+G12+G14)</f>
        <v/>
      </c>
      <c r="H16" s="33">
        <f>H6*(1-(Dashboard!$B$29+(Dashboard!$B$30-Dashboard!$B$29)*MIN(1,1/3)))-(H10+H12+H14)</f>
        <v/>
      </c>
      <c r="I16" s="33">
        <f>I6*(1-(Dashboard!$B$29+(Dashboard!$B$30-Dashboard!$B$29)*MIN(1,2/3)))-(I10+I12+I14)</f>
        <v/>
      </c>
      <c r="J16" s="33">
        <f>J6*(1-(Dashboard!$B$29+(Dashboard!$B$30-Dashboard!$B$29)*MIN(1,3/3)))-(J10+J12+J14)</f>
        <v/>
      </c>
      <c r="K16" s="33">
        <f>K6*(1-(Dashboard!$B$29+(Dashboard!$B$30-Dashboard!$B$29)*MIN(1,4/3)))-(K10+K12+K14)</f>
        <v/>
      </c>
      <c r="L16" s="33">
        <f>L6*(1-(Dashboard!$B$29+(Dashboard!$B$30-Dashboard!$B$29)*MIN(1,5/3)))-(L10+L12+L14)</f>
        <v/>
      </c>
      <c r="M16" s="33">
        <f>M6*(1-(Dashboard!$B$29+(Dashboard!$B$30-Dashboard!$B$29)*MIN(1,6/3)))-(M10+M12+M14)</f>
        <v/>
      </c>
      <c r="N16" s="33">
        <f>N6*(1-(Dashboard!$B$29+(Dashboard!$B$30-Dashboard!$B$29)*MIN(1,7/3)))-(N10+N12+N14)</f>
        <v/>
      </c>
      <c r="O16" s="33">
        <f>O6*(1-(Dashboard!$B$29+(Dashboard!$B$30-Dashboard!$B$29)*MIN(1,8/3)))-(O10+O12+O14)</f>
        <v/>
      </c>
      <c r="P16" s="33">
        <f>P6*(1-(Dashboard!$B$29+(Dashboard!$B$30-Dashboard!$B$29)*MIN(1,9/3)))-(P10+P12+P14)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SUM(Financials!I27:L27)</f>
        <v/>
      </c>
      <c r="C24" s="33">
        <f>SUM(Financials!M27:P27)</f>
        <v/>
      </c>
      <c r="D24" s="33">
        <f>SUM(Financials!Q27:T27)</f>
        <v/>
      </c>
      <c r="E24" s="33">
        <f>SUM(Financials!U27:X27)</f>
        <v/>
      </c>
      <c r="F24" s="33">
        <f>SUM(Financials!Y27:AB27)</f>
        <v/>
      </c>
      <c r="G24" s="41">
        <f>G6*0.1136</f>
        <v/>
      </c>
      <c r="H24" s="41">
        <f>H6*0.1136</f>
        <v/>
      </c>
      <c r="I24" s="41">
        <f>I6*0.1136</f>
        <v/>
      </c>
      <c r="J24" s="41">
        <f>J6*0.1136</f>
        <v/>
      </c>
      <c r="K24" s="41">
        <f>K6*0.1136</f>
        <v/>
      </c>
      <c r="L24" s="41">
        <f>L6*0.1136</f>
        <v/>
      </c>
      <c r="M24" s="41">
        <f>M6*0.1136</f>
        <v/>
      </c>
      <c r="N24" s="41">
        <f>N6*0.1136</f>
        <v/>
      </c>
      <c r="O24" s="41">
        <f>O6*0.1136</f>
        <v/>
      </c>
      <c r="P24" s="41">
        <f>P6*0.1136</f>
        <v/>
      </c>
    </row>
    <row r="25">
      <c r="A25" s="4" t="inlineStr">
        <is>
          <t>+ SBC (non-cash)</t>
        </is>
      </c>
      <c r="B25" s="33">
        <f>SUM(Financials!I28:L28)</f>
        <v/>
      </c>
      <c r="C25" s="33">
        <f>SUM(Financials!M28:P28)</f>
        <v/>
      </c>
      <c r="D25" s="33">
        <f>SUM(Financials!Q28:T28)</f>
        <v/>
      </c>
      <c r="E25" s="33">
        <f>SUM(Financials!U28:X28)</f>
        <v/>
      </c>
      <c r="F25" s="33">
        <f>SUM(Financials!Y28:AB28)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-SUM(Financials!I31:L31)</f>
        <v/>
      </c>
      <c r="C27" s="33">
        <f>-SUM(Financials!M31:P31)</f>
        <v/>
      </c>
      <c r="D27" s="33">
        <f>-SUM(Financials!Q31:T31)</f>
        <v/>
      </c>
      <c r="E27" s="33">
        <f>-SUM(Financials!U31:X31)</f>
        <v/>
      </c>
      <c r="F27" s="33">
        <f>-SUM(Financials!Y31:AB31)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Financials!L25+Financials!L24-Financials!L19</f>
        <v/>
      </c>
      <c r="C34" s="33">
        <f>Financials!P25+Financials!P24-Financials!P19</f>
        <v/>
      </c>
      <c r="D34" s="33">
        <f>Financials!T25+Financials!T24-Financials!T19</f>
        <v/>
      </c>
      <c r="E34" s="33">
        <f>Financials!X25+Financials!X24-Financials!X19</f>
        <v/>
      </c>
      <c r="F34" s="33">
        <f>Financials!AB25+Financials!AB24-Financials!AB19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Financials!L25</f>
        <v/>
      </c>
      <c r="C35" s="33">
        <f>Financials!P25</f>
        <v/>
      </c>
      <c r="D35" s="33">
        <f>Financials!T25</f>
        <v/>
      </c>
      <c r="E35" s="33">
        <f>Financials!X25</f>
        <v/>
      </c>
      <c r="F35" s="33">
        <f>Financials!AB25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1330.3</v>
      </c>
      <c r="C3" s="18" t="n">
        <v>1354.5</v>
      </c>
      <c r="D3" s="18" t="n">
        <v>1394.8</v>
      </c>
      <c r="E3" s="18" t="n">
        <v>1350.7</v>
      </c>
      <c r="F3" s="18" t="n">
        <v>1305</v>
      </c>
      <c r="G3" s="18" t="n">
        <v>1198.2</v>
      </c>
      <c r="H3" s="18" t="n">
        <v>1335.6</v>
      </c>
      <c r="I3" s="18" t="n">
        <v>1376.1</v>
      </c>
      <c r="J3" s="18" t="n">
        <v>1189.8</v>
      </c>
      <c r="K3" s="18" t="n">
        <v>1232.1</v>
      </c>
      <c r="L3" s="18" t="n">
        <v>1256.6</v>
      </c>
      <c r="M3" s="18" t="n">
        <v>1279.8</v>
      </c>
      <c r="N3" s="18" t="n">
        <v>1310.8</v>
      </c>
      <c r="O3" s="18" t="n">
        <v>1350.3</v>
      </c>
      <c r="P3" s="18" t="n">
        <v>1430.9</v>
      </c>
      <c r="Q3" s="18" t="n">
        <v>1469.7</v>
      </c>
      <c r="R3" s="18" t="n">
        <v>1531.2</v>
      </c>
      <c r="S3" s="18" t="n">
        <v>1563.4</v>
      </c>
      <c r="T3" s="18" t="n">
        <v>1613.5</v>
      </c>
      <c r="U3" s="18" t="n">
        <v>1680.7</v>
      </c>
      <c r="V3" s="18" t="n">
        <v>1716.8</v>
      </c>
      <c r="W3" s="18" t="n">
        <v>1764.6</v>
      </c>
      <c r="X3" s="18" t="n">
        <v>1877.1</v>
      </c>
      <c r="Y3" s="18" t="n">
        <v>1882.8</v>
      </c>
      <c r="Z3" s="18" t="n">
        <v>1943.6</v>
      </c>
      <c r="AA3" s="18" t="n">
        <v>2017.5</v>
      </c>
      <c r="AB3" s="18" t="n">
        <v>2058.6</v>
      </c>
      <c r="AC3" s="18" t="n">
        <v>2095.3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480.3</v>
      </c>
      <c r="C5" s="18" t="n">
        <v>480.9</v>
      </c>
      <c r="D5" s="18" t="n">
        <v>501.9</v>
      </c>
      <c r="E5" s="18" t="n">
        <v>493.9</v>
      </c>
      <c r="F5" s="18" t="n">
        <v>461.3</v>
      </c>
      <c r="G5" s="18" t="n">
        <v>388.3</v>
      </c>
      <c r="H5" s="18" t="n">
        <v>434.7</v>
      </c>
      <c r="I5" s="18" t="n">
        <v>440.1</v>
      </c>
      <c r="J5" s="18" t="n">
        <v>350.6</v>
      </c>
      <c r="K5" s="18" t="n">
        <v>360.4</v>
      </c>
      <c r="L5" s="18" t="n">
        <v>376.2</v>
      </c>
      <c r="M5" s="18" t="n">
        <v>382.6</v>
      </c>
      <c r="N5" s="18" t="n">
        <v>399.3</v>
      </c>
      <c r="O5" s="18" t="n">
        <v>408.5</v>
      </c>
      <c r="P5" s="18" t="n">
        <v>428.6</v>
      </c>
      <c r="Q5" s="18" t="n">
        <v>451.1</v>
      </c>
      <c r="R5" s="18" t="n">
        <v>464.1</v>
      </c>
      <c r="S5" s="18" t="n">
        <v>467.1</v>
      </c>
      <c r="T5" s="18" t="n">
        <v>488.3</v>
      </c>
      <c r="U5" s="18" t="n">
        <v>499.7</v>
      </c>
      <c r="V5" s="18" t="n">
        <v>523.5</v>
      </c>
      <c r="W5" s="18" t="n">
        <v>542.9</v>
      </c>
      <c r="X5" s="18" t="n">
        <v>594.8</v>
      </c>
      <c r="Y5" s="18" t="n">
        <v>589.1</v>
      </c>
      <c r="Z5" s="18" t="n">
        <v>598.2</v>
      </c>
      <c r="AA5" s="18" t="n">
        <v>614.5</v>
      </c>
      <c r="AB5" s="18" t="n">
        <v>628.7</v>
      </c>
      <c r="AC5" s="18" t="n">
        <v>641.5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481.6</v>
      </c>
      <c r="C9" s="18" t="n">
        <v>488.4</v>
      </c>
      <c r="D9" s="18" t="n">
        <v>494.5</v>
      </c>
      <c r="E9" s="18" t="n">
        <v>507.6</v>
      </c>
      <c r="F9" s="18" t="n">
        <v>510.1</v>
      </c>
      <c r="G9" s="18" t="n">
        <v>479.4</v>
      </c>
      <c r="H9" s="18" t="n">
        <v>557.9</v>
      </c>
      <c r="I9" s="18" t="n">
        <v>561.4</v>
      </c>
      <c r="J9" s="18" t="n">
        <v>523</v>
      </c>
      <c r="K9" s="18" t="n">
        <v>524.799999</v>
      </c>
      <c r="L9" s="18" t="n">
        <v>525.5</v>
      </c>
      <c r="M9" s="18" t="n">
        <v>541.3</v>
      </c>
      <c r="N9" s="18" t="n">
        <v>548.6</v>
      </c>
      <c r="O9" s="18" t="n">
        <v>548.6</v>
      </c>
      <c r="P9" s="18" t="n">
        <v>589.8</v>
      </c>
      <c r="Q9" s="18" t="n">
        <v>617.6</v>
      </c>
      <c r="R9" s="18" t="n">
        <v>631.8</v>
      </c>
      <c r="S9" s="18" t="n">
        <v>650.2</v>
      </c>
      <c r="T9" s="18" t="n">
        <v>662.4</v>
      </c>
      <c r="U9" s="18" t="n">
        <v>699.7</v>
      </c>
      <c r="V9" s="18" t="n">
        <v>699.1</v>
      </c>
      <c r="W9" s="18" t="n">
        <v>725.1</v>
      </c>
      <c r="X9" s="18" t="n">
        <v>757.6</v>
      </c>
      <c r="Y9" s="18" t="n">
        <v>767.9</v>
      </c>
      <c r="Z9" s="18" t="n">
        <v>797.1</v>
      </c>
      <c r="AA9" s="18" t="n">
        <v>830</v>
      </c>
      <c r="AB9" s="18" t="n">
        <v>841.6</v>
      </c>
      <c r="AC9" s="18" t="n">
        <v>884.2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850</v>
      </c>
      <c r="C11" s="18" t="n">
        <v>873.6</v>
      </c>
      <c r="D11" s="18" t="n">
        <v>892.9</v>
      </c>
      <c r="E11" s="18" t="n">
        <v>856.8</v>
      </c>
      <c r="F11" s="18" t="n">
        <v>843.7</v>
      </c>
      <c r="G11" s="18" t="n">
        <v>809.9</v>
      </c>
      <c r="H11" s="18" t="n">
        <v>900.9</v>
      </c>
      <c r="I11" s="18" t="n">
        <v>936</v>
      </c>
      <c r="J11" s="18" t="n">
        <v>839.2</v>
      </c>
      <c r="K11" s="18" t="n">
        <v>871.7</v>
      </c>
      <c r="L11" s="18" t="n">
        <v>880.4</v>
      </c>
      <c r="M11" s="18" t="n">
        <v>897.2</v>
      </c>
      <c r="N11" s="18" t="n">
        <v>911.5</v>
      </c>
      <c r="O11" s="18" t="n">
        <v>941.8</v>
      </c>
      <c r="P11" s="18" t="n">
        <v>1002.3</v>
      </c>
      <c r="Q11" s="18" t="n">
        <v>1018.6</v>
      </c>
      <c r="R11" s="18" t="n">
        <v>1067.099999</v>
      </c>
      <c r="S11" s="18" t="n">
        <v>1096.3</v>
      </c>
      <c r="T11" s="18" t="n">
        <v>1125.2</v>
      </c>
      <c r="U11" s="18" t="n">
        <v>1181</v>
      </c>
      <c r="V11" s="18" t="n">
        <v>1193.3</v>
      </c>
      <c r="W11" s="18" t="n">
        <v>1221.7</v>
      </c>
      <c r="X11" s="18" t="n">
        <v>1282.3</v>
      </c>
      <c r="Y11" s="18" t="n">
        <v>1293.7</v>
      </c>
      <c r="Z11" s="18" t="n">
        <v>1345.4</v>
      </c>
      <c r="AA11" s="18" t="n">
        <v>1403</v>
      </c>
      <c r="AB11" s="18" t="n">
        <v>1429.9</v>
      </c>
      <c r="AC11" s="18" t="n">
        <v>1453.8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368.4</v>
      </c>
      <c r="C13" s="18" t="n">
        <v>385.2</v>
      </c>
      <c r="D13" s="18" t="n">
        <v>398.4</v>
      </c>
      <c r="E13" s="18" t="n">
        <v>349.2</v>
      </c>
      <c r="F13" s="18" t="n">
        <v>333.6</v>
      </c>
      <c r="G13" s="18" t="n">
        <v>330.5</v>
      </c>
      <c r="H13" s="18" t="n">
        <v>343</v>
      </c>
      <c r="I13" s="18" t="n">
        <v>374.6</v>
      </c>
      <c r="J13" s="18" t="n">
        <v>316.2</v>
      </c>
      <c r="K13" s="18" t="n">
        <v>346.9</v>
      </c>
      <c r="L13" s="18" t="n">
        <v>354.9</v>
      </c>
      <c r="M13" s="18" t="n">
        <v>355.9</v>
      </c>
      <c r="N13" s="18" t="n">
        <v>362.9</v>
      </c>
      <c r="O13" s="18" t="n">
        <v>393.2</v>
      </c>
      <c r="P13" s="18" t="n">
        <v>412.5</v>
      </c>
      <c r="Q13" s="18" t="n">
        <v>401</v>
      </c>
      <c r="R13" s="18" t="n">
        <v>435.3</v>
      </c>
      <c r="S13" s="18" t="n">
        <v>446.1</v>
      </c>
      <c r="T13" s="18" t="n">
        <v>462.8</v>
      </c>
      <c r="U13" s="18" t="n">
        <v>481.3</v>
      </c>
      <c r="V13" s="18" t="n">
        <v>494.2</v>
      </c>
      <c r="W13" s="18" t="n">
        <v>496.6</v>
      </c>
      <c r="X13" s="18" t="n">
        <v>524.7</v>
      </c>
      <c r="Y13" s="18" t="n">
        <v>525.799999</v>
      </c>
      <c r="Z13" s="18" t="n">
        <v>548.3</v>
      </c>
      <c r="AA13" s="18" t="n">
        <v>573</v>
      </c>
      <c r="AB13" s="18" t="n">
        <v>588.3</v>
      </c>
      <c r="AC13" s="18" t="n">
        <v>569.6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249.7</v>
      </c>
      <c r="C15" s="18" t="n">
        <v>277.5</v>
      </c>
      <c r="D15" s="18" t="n">
        <v>871.1</v>
      </c>
      <c r="E15" s="18" t="n">
        <v>240.3</v>
      </c>
      <c r="F15" s="18" t="n">
        <v>219.2</v>
      </c>
      <c r="G15" s="18" t="n">
        <v>234.4</v>
      </c>
      <c r="H15" s="18" t="n">
        <v>255.8</v>
      </c>
      <c r="I15" s="18" t="n">
        <v>289</v>
      </c>
      <c r="J15" s="18" t="n">
        <v>286.3</v>
      </c>
      <c r="K15" s="18" t="n">
        <v>289.5</v>
      </c>
      <c r="L15" s="18" t="n">
        <v>231.9</v>
      </c>
      <c r="M15" s="18" t="n">
        <v>303.2</v>
      </c>
      <c r="N15" s="18" t="n">
        <v>279.5</v>
      </c>
      <c r="O15" s="18" t="n">
        <v>325.9</v>
      </c>
      <c r="P15" s="18" t="n">
        <v>279.8</v>
      </c>
      <c r="Q15" s="18" t="n">
        <v>283.1</v>
      </c>
      <c r="R15" s="18" t="n">
        <v>361</v>
      </c>
      <c r="S15" s="18" t="n">
        <v>342.7</v>
      </c>
      <c r="T15" s="18" t="n">
        <v>377.5</v>
      </c>
      <c r="U15" s="18" t="n">
        <v>382</v>
      </c>
      <c r="V15" s="18" t="n">
        <v>337.1</v>
      </c>
      <c r="W15" s="18" t="n">
        <v>367.9</v>
      </c>
      <c r="X15" s="18" t="n">
        <v>462.3</v>
      </c>
      <c r="Y15" s="18" t="n">
        <v>331.1</v>
      </c>
      <c r="Z15" s="18" t="n">
        <v>378.3</v>
      </c>
      <c r="AA15" s="18" t="n">
        <v>398.5</v>
      </c>
      <c r="AB15" s="18" t="n">
        <v>428.4</v>
      </c>
      <c r="AC15" s="18" t="n">
        <v>508.9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105.1</v>
      </c>
      <c r="C17" s="18" t="n">
        <v>105.2</v>
      </c>
      <c r="D17" s="18" t="n">
        <v>105.2</v>
      </c>
      <c r="E17" s="18" t="n">
        <v>105.3</v>
      </c>
      <c r="F17" s="18" t="n">
        <v>105.5</v>
      </c>
      <c r="G17" s="18" t="n">
        <v>105.9</v>
      </c>
      <c r="H17" s="18" t="n">
        <v>106</v>
      </c>
      <c r="I17" s="18" t="n">
        <v>106</v>
      </c>
      <c r="J17" s="18" t="n">
        <v>106.4</v>
      </c>
      <c r="K17" s="18" t="n">
        <v>106.7</v>
      </c>
      <c r="L17" s="18" t="n">
        <v>106.7</v>
      </c>
      <c r="M17" s="18" t="n">
        <v>106.7</v>
      </c>
      <c r="N17" s="18" t="n">
        <v>106.8</v>
      </c>
      <c r="O17" s="18" t="n">
        <v>106.8</v>
      </c>
      <c r="P17" s="18" t="n">
        <v>106.8</v>
      </c>
      <c r="Q17" s="18" t="n">
        <v>107</v>
      </c>
      <c r="R17" s="18" t="n">
        <v>107.4</v>
      </c>
      <c r="S17" s="18" t="n">
        <v>107.6</v>
      </c>
      <c r="T17" s="18" t="n">
        <v>107.7</v>
      </c>
      <c r="U17" s="18" t="n">
        <v>107.9</v>
      </c>
      <c r="V17" s="18" t="n">
        <v>107.9</v>
      </c>
      <c r="W17" s="18" t="n">
        <v>108.1</v>
      </c>
      <c r="X17" s="18" t="n">
        <v>108.1</v>
      </c>
      <c r="Y17" s="18" t="n">
        <v>108.2</v>
      </c>
      <c r="Z17" s="18" t="n">
        <v>108.4</v>
      </c>
      <c r="AA17" s="18" t="n">
        <v>108.3</v>
      </c>
      <c r="AB17" s="18" t="n">
        <v>107.8</v>
      </c>
      <c r="AC17" s="18" t="n">
        <v>104.6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320.8</v>
      </c>
      <c r="C19" s="18" t="n">
        <v>323</v>
      </c>
      <c r="D19" s="18" t="n">
        <v>709.7</v>
      </c>
      <c r="E19" s="18" t="n">
        <v>999.8</v>
      </c>
      <c r="F19" s="18" t="n">
        <v>1870.8</v>
      </c>
      <c r="G19" s="18" t="n">
        <v>302.1</v>
      </c>
      <c r="H19" s="18" t="n">
        <v>308.3</v>
      </c>
      <c r="I19" s="18" t="n">
        <v>331</v>
      </c>
      <c r="J19" s="18" t="n">
        <v>337.8</v>
      </c>
      <c r="K19" s="18" t="n">
        <v>352.5</v>
      </c>
      <c r="L19" s="18" t="n">
        <v>351.5</v>
      </c>
      <c r="M19" s="18" t="n">
        <v>3237.5</v>
      </c>
      <c r="N19" s="18" t="n">
        <v>2879.1</v>
      </c>
      <c r="O19" s="18" t="n">
        <v>1894.5</v>
      </c>
      <c r="P19" s="18" t="n">
        <v>792.8</v>
      </c>
      <c r="Q19" s="18" t="n">
        <v>1181.6</v>
      </c>
      <c r="R19" s="18" t="n">
        <v>1462.8</v>
      </c>
      <c r="S19" s="18" t="n">
        <v>299.5</v>
      </c>
      <c r="T19" s="18" t="n">
        <v>214.3</v>
      </c>
      <c r="U19" s="18" t="n">
        <v>198.4</v>
      </c>
      <c r="V19" s="18" t="n">
        <v>251.5</v>
      </c>
      <c r="W19" s="18" t="n">
        <v>269.6</v>
      </c>
      <c r="X19" s="18" t="n">
        <v>188.2</v>
      </c>
      <c r="Y19" s="18" t="n">
        <v>372.8</v>
      </c>
      <c r="Z19" s="18" t="n">
        <v>242.4</v>
      </c>
      <c r="AA19" s="18" t="n">
        <v>320</v>
      </c>
      <c r="AB19" s="18" t="n">
        <v>297.4</v>
      </c>
      <c r="AC19" s="18" t="n">
        <v>382.9</v>
      </c>
    </row>
    <row r="20">
      <c r="A20" s="4" t="inlineStr">
        <is>
          <t>Total Current Assets</t>
        </is>
      </c>
      <c r="B20" s="18" t="n">
        <v>1602.3</v>
      </c>
      <c r="C20" s="18" t="n">
        <v>1619.4</v>
      </c>
      <c r="D20" s="18" t="n">
        <v>1999.5</v>
      </c>
      <c r="E20" s="18" t="n">
        <v>2273.4</v>
      </c>
      <c r="F20" s="18" t="n">
        <v>3179.2</v>
      </c>
      <c r="G20" s="18" t="n">
        <v>1706.2</v>
      </c>
      <c r="H20" s="18" t="n">
        <v>1752.3</v>
      </c>
      <c r="I20" s="18" t="n">
        <v>1739.4</v>
      </c>
      <c r="J20" s="18" t="n">
        <v>1796.7</v>
      </c>
      <c r="K20" s="18" t="n">
        <v>2375.2</v>
      </c>
      <c r="L20" s="18" t="n">
        <v>2421.1</v>
      </c>
      <c r="M20" s="18" t="n">
        <v>4485.6</v>
      </c>
      <c r="N20" s="18" t="n">
        <v>4992</v>
      </c>
      <c r="O20" s="18" t="n">
        <v>3991.4</v>
      </c>
      <c r="P20" s="18" t="n">
        <v>1932.4</v>
      </c>
      <c r="Q20" s="18" t="n">
        <v>2232.2</v>
      </c>
      <c r="R20" s="18" t="n">
        <v>2606.1</v>
      </c>
      <c r="S20" s="18" t="n">
        <v>1504.5</v>
      </c>
      <c r="T20" s="18" t="n">
        <v>1481.4</v>
      </c>
      <c r="U20" s="18" t="n">
        <v>1425.7</v>
      </c>
      <c r="V20" s="18" t="n">
        <v>1490.2</v>
      </c>
      <c r="W20" s="18" t="n">
        <v>1592.3</v>
      </c>
      <c r="X20" s="18" t="n">
        <v>1542.7</v>
      </c>
      <c r="Y20" s="18" t="n">
        <v>1704.6</v>
      </c>
      <c r="Z20" s="18" t="n">
        <v>1654.3</v>
      </c>
      <c r="AA20" s="18" t="n">
        <v>1803.2</v>
      </c>
      <c r="AB20" s="18" t="n">
        <v>1928.1</v>
      </c>
      <c r="AC20" s="18" t="n">
        <v>1912.1</v>
      </c>
    </row>
    <row r="21">
      <c r="A21" s="4" t="inlineStr">
        <is>
          <t>PP&amp;E (net)</t>
        </is>
      </c>
      <c r="B21" s="18" t="n">
        <v>134.2</v>
      </c>
      <c r="C21" s="18" t="n">
        <v>142.6</v>
      </c>
      <c r="D21" s="18" t="n">
        <v>139.9</v>
      </c>
      <c r="E21" s="18" t="n">
        <v>133.4</v>
      </c>
      <c r="F21" s="18" t="n">
        <v>129.6</v>
      </c>
      <c r="G21" s="18" t="n">
        <v>146.6</v>
      </c>
      <c r="H21" s="18" t="n">
        <v>140.6</v>
      </c>
      <c r="I21" s="18" t="n">
        <v>134.6</v>
      </c>
      <c r="J21" s="18" t="n">
        <v>125.3</v>
      </c>
      <c r="K21" s="18" t="n">
        <v>105.6</v>
      </c>
      <c r="L21" s="18" t="n">
        <v>102.8</v>
      </c>
      <c r="M21" s="18" t="n">
        <v>98.90000000000001</v>
      </c>
      <c r="N21" s="18" t="n">
        <v>77.3</v>
      </c>
      <c r="O21" s="18" t="n">
        <v>83.2</v>
      </c>
      <c r="P21" s="18" t="n">
        <v>85.3</v>
      </c>
      <c r="Q21" s="18" t="n">
        <v>86.3</v>
      </c>
      <c r="R21" s="18" t="n">
        <v>93.7</v>
      </c>
      <c r="S21" s="18" t="n">
        <v>98.3</v>
      </c>
      <c r="T21" s="18" t="n">
        <v>119.6</v>
      </c>
      <c r="U21" s="18" t="n">
        <v>119.6</v>
      </c>
      <c r="V21" s="18" t="n">
        <v>116.4</v>
      </c>
      <c r="W21" s="18" t="n">
        <v>132.8</v>
      </c>
      <c r="X21" s="18" t="n">
        <v>149.7</v>
      </c>
      <c r="Y21" s="18" t="n">
        <v>150</v>
      </c>
      <c r="Z21" s="18" t="n">
        <v>156.5</v>
      </c>
      <c r="AA21" s="18" t="n">
        <v>157.6</v>
      </c>
      <c r="AB21" s="18" t="n">
        <v>156.9</v>
      </c>
      <c r="AC21" s="18" t="n">
        <v>158.2</v>
      </c>
    </row>
    <row r="22">
      <c r="A22" s="4" t="inlineStr">
        <is>
          <t>Total Assets</t>
        </is>
      </c>
      <c r="B22" s="18" t="n">
        <v>15908.3</v>
      </c>
      <c r="C22" s="18" t="n">
        <v>17819.1</v>
      </c>
      <c r="D22" s="18" t="n">
        <v>18108.9</v>
      </c>
      <c r="E22" s="18" t="n">
        <v>18137.8</v>
      </c>
      <c r="F22" s="18" t="n">
        <v>19142.3</v>
      </c>
      <c r="G22" s="18" t="n">
        <v>23652</v>
      </c>
      <c r="H22" s="18" t="n">
        <v>24024.8</v>
      </c>
      <c r="I22" s="18" t="n">
        <v>23871.1</v>
      </c>
      <c r="J22" s="18" t="n">
        <v>23833.7</v>
      </c>
      <c r="K22" s="18" t="n">
        <v>23728.1</v>
      </c>
      <c r="L22" s="18" t="n">
        <v>23713.9</v>
      </c>
      <c r="M22" s="18" t="n">
        <v>25635.8</v>
      </c>
      <c r="N22" s="18" t="n">
        <v>25350.3</v>
      </c>
      <c r="O22" s="18" t="n">
        <v>24397.2</v>
      </c>
      <c r="P22" s="18" t="n">
        <v>26980.8</v>
      </c>
      <c r="Q22" s="18" t="n">
        <v>27134.8</v>
      </c>
      <c r="R22" s="18" t="n">
        <v>27460.4</v>
      </c>
      <c r="S22" s="18" t="n">
        <v>28188</v>
      </c>
      <c r="T22" s="18" t="n">
        <v>28167.5</v>
      </c>
      <c r="U22" s="18" t="n">
        <v>29978.5</v>
      </c>
      <c r="V22" s="18" t="n">
        <v>29847.5</v>
      </c>
      <c r="W22" s="18" t="n">
        <v>31552.7</v>
      </c>
      <c r="X22" s="18" t="n">
        <v>31334.7</v>
      </c>
      <c r="Y22" s="18" t="n">
        <v>31418.8</v>
      </c>
      <c r="Z22" s="18" t="n">
        <v>33220.4</v>
      </c>
      <c r="AA22" s="18" t="n">
        <v>34584.4</v>
      </c>
      <c r="AB22" s="18" t="n">
        <v>34577</v>
      </c>
      <c r="AC22" s="18" t="n">
        <v>34550.8</v>
      </c>
    </row>
    <row r="23">
      <c r="A23" s="4" t="inlineStr">
        <is>
          <t>Total Current Liabilities</t>
        </is>
      </c>
      <c r="B23" s="18" t="n">
        <v>1443.2</v>
      </c>
      <c r="C23" s="18" t="n">
        <v>1500.9</v>
      </c>
      <c r="D23" s="18" t="n">
        <v>2397.4</v>
      </c>
      <c r="E23" s="18" t="n">
        <v>2366.1</v>
      </c>
      <c r="F23" s="18" t="n">
        <v>2498.6</v>
      </c>
      <c r="G23" s="18" t="n">
        <v>2339.9</v>
      </c>
      <c r="H23" s="18" t="n">
        <v>2444.4</v>
      </c>
      <c r="I23" s="18" t="n">
        <v>2462.9</v>
      </c>
      <c r="J23" s="18" t="n">
        <v>2503.1</v>
      </c>
      <c r="K23" s="18" t="n">
        <v>2861.1</v>
      </c>
      <c r="L23" s="18" t="n">
        <v>3121.8</v>
      </c>
      <c r="M23" s="18" t="n">
        <v>3501.8</v>
      </c>
      <c r="N23" s="18" t="n">
        <v>3166.1</v>
      </c>
      <c r="O23" s="18" t="n">
        <v>2840.4</v>
      </c>
      <c r="P23" s="18" t="n">
        <v>2892.5</v>
      </c>
      <c r="Q23" s="18" t="n">
        <v>2775.4</v>
      </c>
      <c r="R23" s="18" t="n">
        <v>2763.9</v>
      </c>
      <c r="S23" s="18" t="n">
        <v>2812.7</v>
      </c>
      <c r="T23" s="18" t="n">
        <v>2963.2</v>
      </c>
      <c r="U23" s="18" t="n">
        <v>2909.5</v>
      </c>
      <c r="V23" s="18" t="n">
        <v>2807.8</v>
      </c>
      <c r="W23" s="18" t="n">
        <v>3289.7</v>
      </c>
      <c r="X23" s="18" t="n">
        <v>3832.2</v>
      </c>
      <c r="Y23" s="18" t="n">
        <v>3688</v>
      </c>
      <c r="Z23" s="18" t="n">
        <v>3564.5</v>
      </c>
      <c r="AA23" s="18" t="n">
        <v>3125.2</v>
      </c>
      <c r="AB23" s="18" t="n">
        <v>3725.6</v>
      </c>
      <c r="AC23" s="18" t="n">
        <v>3577.6</v>
      </c>
    </row>
    <row r="24">
      <c r="A24" s="4" t="inlineStr">
        <is>
          <t>Long-term Debt</t>
        </is>
      </c>
      <c r="B24" s="18" t="n">
        <v>4718.9</v>
      </c>
      <c r="C24" s="18" t="n">
        <v>6195.1</v>
      </c>
      <c r="D24" s="18" t="n">
        <v>4673.1</v>
      </c>
      <c r="E24" s="18" t="n">
        <v>4674.2</v>
      </c>
      <c r="F24" s="18" t="n">
        <v>5263.8</v>
      </c>
      <c r="G24" s="18" t="n">
        <v>9101.200000000001</v>
      </c>
      <c r="H24" s="18" t="n">
        <v>9061.4</v>
      </c>
      <c r="I24" s="18" t="n">
        <v>8571.799999999999</v>
      </c>
      <c r="J24" s="18" t="n">
        <v>8199.5</v>
      </c>
      <c r="K24" s="18" t="n">
        <v>7529.9</v>
      </c>
      <c r="L24" s="18" t="n">
        <v>7122.6</v>
      </c>
      <c r="M24" s="18" t="n">
        <v>6654.8</v>
      </c>
      <c r="N24" s="18" t="n">
        <v>6657.1</v>
      </c>
      <c r="O24" s="18" t="n">
        <v>5960.6</v>
      </c>
      <c r="P24" s="18" t="n">
        <v>5962.5</v>
      </c>
      <c r="Q24" s="18" t="n">
        <v>5964.4</v>
      </c>
      <c r="R24" s="18" t="n">
        <v>5966.3</v>
      </c>
      <c r="S24" s="18" t="n">
        <v>6379</v>
      </c>
      <c r="T24" s="18" t="n">
        <v>5830.6</v>
      </c>
      <c r="U24" s="18" t="n">
        <v>7222.3</v>
      </c>
      <c r="V24" s="18" t="n">
        <v>6923.9</v>
      </c>
      <c r="W24" s="18" t="n">
        <v>7677.6</v>
      </c>
      <c r="X24" s="18" t="n">
        <v>6579.9</v>
      </c>
      <c r="Y24" s="18" t="n">
        <v>6457</v>
      </c>
      <c r="Z24" s="18" t="n">
        <v>7859.2</v>
      </c>
      <c r="AA24" s="18" t="n">
        <v>9154.1</v>
      </c>
      <c r="AB24" s="18" t="n">
        <v>8595.799999999999</v>
      </c>
      <c r="AC24" s="18" t="n">
        <v>9748.4</v>
      </c>
    </row>
    <row r="25">
      <c r="A25" s="4" t="inlineStr">
        <is>
          <t>Total Equity</t>
        </is>
      </c>
      <c r="B25" s="18" t="n">
        <v>8351</v>
      </c>
      <c r="C25" s="18" t="n">
        <v>8571.299999999999</v>
      </c>
      <c r="D25" s="18" t="n">
        <v>9491.9</v>
      </c>
      <c r="E25" s="18" t="n">
        <v>9591.299999999999</v>
      </c>
      <c r="F25" s="18" t="n">
        <v>9879.700000000001</v>
      </c>
      <c r="G25" s="18" t="n">
        <v>10160.9</v>
      </c>
      <c r="H25" s="18" t="n">
        <v>10479.8</v>
      </c>
      <c r="I25" s="18" t="n">
        <v>10765.7</v>
      </c>
      <c r="J25" s="18" t="n">
        <v>11089.2</v>
      </c>
      <c r="K25" s="18" t="n">
        <v>11342.3</v>
      </c>
      <c r="L25" s="18" t="n">
        <v>11563.8</v>
      </c>
      <c r="M25" s="18" t="n">
        <v>13551.9</v>
      </c>
      <c r="N25" s="18" t="n">
        <v>13726.5</v>
      </c>
      <c r="O25" s="18" t="n">
        <v>13857.8</v>
      </c>
      <c r="P25" s="18" t="n">
        <v>16037.8</v>
      </c>
      <c r="Q25" s="18" t="n">
        <v>16332.7</v>
      </c>
      <c r="R25" s="18" t="n">
        <v>16745.9</v>
      </c>
      <c r="S25" s="18" t="n">
        <v>17038.7</v>
      </c>
      <c r="T25" s="18" t="n">
        <v>17444.8</v>
      </c>
      <c r="U25" s="18" t="n">
        <v>17797.6</v>
      </c>
      <c r="V25" s="18" t="n">
        <v>18139</v>
      </c>
      <c r="W25" s="18" t="n">
        <v>18515.5</v>
      </c>
      <c r="X25" s="18" t="n">
        <v>18867.6</v>
      </c>
      <c r="Y25" s="18" t="n">
        <v>19223.6</v>
      </c>
      <c r="Z25" s="18" t="n">
        <v>19633.9</v>
      </c>
      <c r="AA25" s="18" t="n">
        <v>19992.8</v>
      </c>
      <c r="AB25" s="18" t="n">
        <v>19881.5</v>
      </c>
      <c r="AC25" s="18" t="n">
        <v>18818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98.2</v>
      </c>
      <c r="C27" s="18" t="n">
        <v>106.3</v>
      </c>
      <c r="D27" s="18" t="n">
        <v>116.9</v>
      </c>
      <c r="E27" s="18" t="n">
        <v>114.6</v>
      </c>
      <c r="F27" s="18" t="n">
        <v>113.5</v>
      </c>
      <c r="G27" s="18" t="n">
        <v>130</v>
      </c>
      <c r="H27" s="18" t="n">
        <v>162.7</v>
      </c>
      <c r="I27" s="18" t="n">
        <v>161.3</v>
      </c>
      <c r="J27" s="18" t="n">
        <v>161.1</v>
      </c>
      <c r="K27" s="18" t="n">
        <v>154.6</v>
      </c>
      <c r="L27" s="18" t="n">
        <v>157.1</v>
      </c>
      <c r="M27" s="18" t="n">
        <v>159.1</v>
      </c>
      <c r="N27" s="18" t="n">
        <v>154.7</v>
      </c>
      <c r="O27" s="18" t="n">
        <v>156.4</v>
      </c>
      <c r="P27" s="18" t="n">
        <v>183.7</v>
      </c>
      <c r="Q27" s="18" t="n">
        <v>183.7</v>
      </c>
      <c r="R27" s="18" t="n">
        <v>184.2</v>
      </c>
      <c r="S27" s="18" t="n">
        <v>191.2</v>
      </c>
      <c r="T27" s="18" t="n">
        <v>196</v>
      </c>
      <c r="U27" s="18" t="n">
        <v>194.2</v>
      </c>
      <c r="V27" s="18" t="n">
        <v>201.5</v>
      </c>
      <c r="W27" s="18" t="n">
        <v>206</v>
      </c>
      <c r="X27" s="18" t="n">
        <v>213.9</v>
      </c>
      <c r="Y27" s="18" t="n">
        <v>213.1</v>
      </c>
      <c r="Z27" s="18" t="n">
        <v>223.7</v>
      </c>
      <c r="AA27" s="18" t="n">
        <v>231.1</v>
      </c>
      <c r="AB27" s="18" t="n">
        <v>230</v>
      </c>
      <c r="AC27" s="18" t="n">
        <v>230.4</v>
      </c>
    </row>
    <row r="28">
      <c r="A28" s="4" t="inlineStr">
        <is>
          <t>Stock-based Compensation</t>
        </is>
      </c>
      <c r="B28" s="18" t="n">
        <v>29</v>
      </c>
      <c r="C28" s="18" t="n">
        <v>26.1</v>
      </c>
      <c r="D28" s="18" t="n">
        <v>24.1</v>
      </c>
      <c r="E28" s="18" t="n">
        <v>27.7</v>
      </c>
      <c r="F28" s="18" t="n">
        <v>30.5</v>
      </c>
      <c r="G28" s="18" t="n">
        <v>30.2</v>
      </c>
      <c r="H28" s="18" t="n">
        <v>33.3</v>
      </c>
      <c r="I28" s="18" t="n">
        <v>32.9</v>
      </c>
      <c r="J28" s="18" t="n">
        <v>36.4</v>
      </c>
      <c r="K28" s="18" t="n">
        <v>33.6</v>
      </c>
      <c r="L28" s="18" t="n">
        <v>33.2</v>
      </c>
      <c r="M28" s="18" t="n">
        <v>35.9</v>
      </c>
      <c r="N28" s="18" t="n">
        <v>28.2</v>
      </c>
      <c r="O28" s="18" t="n">
        <v>29.6</v>
      </c>
      <c r="P28" s="18" t="n">
        <v>27.7</v>
      </c>
      <c r="Q28" s="18" t="n">
        <v>29.6</v>
      </c>
      <c r="R28" s="18" t="n">
        <v>33.9</v>
      </c>
      <c r="S28" s="18" t="n">
        <v>35.7</v>
      </c>
      <c r="T28" s="18" t="n">
        <v>24.3</v>
      </c>
      <c r="U28" s="18" t="n">
        <v>33.6</v>
      </c>
      <c r="V28" s="18" t="n">
        <v>39.7</v>
      </c>
      <c r="W28" s="18" t="n">
        <v>39.6</v>
      </c>
      <c r="X28" s="18" t="n">
        <v>33</v>
      </c>
      <c r="Y28" s="18" t="n">
        <v>38.8</v>
      </c>
      <c r="Z28" s="18" t="n">
        <v>43.9</v>
      </c>
      <c r="AA28" s="18" t="n">
        <v>45.999999</v>
      </c>
      <c r="AB28" s="18" t="n">
        <v>0</v>
      </c>
      <c r="AC28" s="18" t="n">
        <v>52.6</v>
      </c>
    </row>
    <row r="29">
      <c r="A29" s="4" t="inlineStr">
        <is>
          <t>Change in Working Capital</t>
        </is>
      </c>
      <c r="B29" s="18" t="n">
        <v>-82.90000000000001</v>
      </c>
      <c r="C29" s="18" t="n">
        <v>0.3</v>
      </c>
      <c r="D29" s="18" t="n">
        <v>52.2</v>
      </c>
      <c r="E29" s="18" t="n">
        <v>-50.9</v>
      </c>
      <c r="F29" s="18" t="n">
        <v>90.09999999999999</v>
      </c>
      <c r="G29" s="18" t="n">
        <v>-21.8</v>
      </c>
      <c r="H29" s="18" t="n">
        <v>139.5</v>
      </c>
      <c r="I29" s="18" t="n">
        <v>54</v>
      </c>
      <c r="J29" s="18" t="n">
        <v>20.3</v>
      </c>
      <c r="K29" s="18" t="n">
        <v>-52.1</v>
      </c>
      <c r="L29" s="18" t="n">
        <v>75.09999999999999</v>
      </c>
      <c r="M29" s="18" t="n">
        <v>-38.9</v>
      </c>
      <c r="N29" s="18" t="n">
        <v>17.5</v>
      </c>
      <c r="O29" s="18" t="n">
        <v>-68.09999999999999</v>
      </c>
      <c r="P29" s="18" t="n">
        <v>71.40000000000001</v>
      </c>
      <c r="Q29" s="18" t="n">
        <v>-68.40000000000001</v>
      </c>
      <c r="R29" s="18" t="n">
        <v>-77.09999999999999</v>
      </c>
      <c r="S29" s="18" t="n">
        <v>103.5</v>
      </c>
      <c r="T29" s="18" t="n">
        <v>-346.5</v>
      </c>
      <c r="U29" s="18" t="n">
        <v>-80.2</v>
      </c>
      <c r="V29" s="18" t="n">
        <v>9.6</v>
      </c>
      <c r="W29" s="18" t="n">
        <v>170.4</v>
      </c>
      <c r="X29" s="18" t="n">
        <v>28.1</v>
      </c>
      <c r="Y29" s="18" t="n">
        <v>-159.3</v>
      </c>
      <c r="Z29" s="18" t="n">
        <v>-92.2</v>
      </c>
      <c r="AA29" s="18" t="n">
        <v>251.5</v>
      </c>
      <c r="AB29" s="18" t="n">
        <v>-365.1</v>
      </c>
      <c r="AC29" s="18" t="n">
        <v>-119.2</v>
      </c>
    </row>
    <row r="30">
      <c r="A30" s="4" t="inlineStr">
        <is>
          <t>Operating Cash Flow</t>
        </is>
      </c>
      <c r="B30" s="18" t="n">
        <v>300.8</v>
      </c>
      <c r="C30" s="18" t="n">
        <v>404.5</v>
      </c>
      <c r="D30" s="18" t="n">
        <v>466.2</v>
      </c>
      <c r="E30" s="18" t="n">
        <v>363.9</v>
      </c>
      <c r="F30" s="18" t="n">
        <v>449.1</v>
      </c>
      <c r="G30" s="18" t="n">
        <v>137.9</v>
      </c>
      <c r="H30" s="18" t="n">
        <v>574.2</v>
      </c>
      <c r="I30" s="18" t="n">
        <v>559.6</v>
      </c>
      <c r="J30" s="18" t="n">
        <v>425.5</v>
      </c>
      <c r="K30" s="18" t="n">
        <v>447.3</v>
      </c>
      <c r="L30" s="18" t="n">
        <v>579.5</v>
      </c>
      <c r="M30" s="18" t="n">
        <v>475.3</v>
      </c>
      <c r="N30" s="18" t="n">
        <v>-64.2</v>
      </c>
      <c r="O30" s="18" t="n">
        <v>251.8</v>
      </c>
      <c r="P30" s="18" t="n">
        <v>71.7</v>
      </c>
      <c r="Q30" s="18" t="n">
        <v>463.7</v>
      </c>
      <c r="R30" s="18" t="n">
        <v>319.6</v>
      </c>
      <c r="S30" s="18" t="n">
        <v>630</v>
      </c>
      <c r="T30" s="18" t="n">
        <v>621.8</v>
      </c>
      <c r="U30" s="18" t="n">
        <v>531.5</v>
      </c>
      <c r="V30" s="18" t="n">
        <v>384.1</v>
      </c>
      <c r="W30" s="18" t="n">
        <v>755.4</v>
      </c>
      <c r="X30" s="18" t="n">
        <v>722.2</v>
      </c>
      <c r="Y30" s="18" t="n">
        <v>528.7</v>
      </c>
      <c r="Z30" s="18" t="n">
        <v>404.1</v>
      </c>
      <c r="AA30" s="18" t="n">
        <v>869.5</v>
      </c>
      <c r="AB30" s="18" t="n">
        <v>738</v>
      </c>
      <c r="AC30" s="18" t="n">
        <v>592.1</v>
      </c>
    </row>
    <row r="31">
      <c r="A31" s="4" t="inlineStr">
        <is>
          <t>Capex</t>
        </is>
      </c>
      <c r="B31" s="18" t="n">
        <v>-15</v>
      </c>
      <c r="C31" s="18" t="n">
        <v>-17.1</v>
      </c>
      <c r="D31" s="18" t="n">
        <v>-13</v>
      </c>
      <c r="E31" s="18" t="n">
        <v>-10.5</v>
      </c>
      <c r="F31" s="18" t="n">
        <v>-10.2</v>
      </c>
      <c r="G31" s="18" t="n">
        <v>-12.1</v>
      </c>
      <c r="H31" s="18" t="n">
        <v>-16.1</v>
      </c>
      <c r="I31" s="18" t="n">
        <v>-16.3</v>
      </c>
      <c r="J31" s="18" t="n">
        <v>-16.2</v>
      </c>
      <c r="K31" s="18" t="n">
        <v>-12.3</v>
      </c>
      <c r="L31" s="18" t="n">
        <v>-17.8</v>
      </c>
      <c r="M31" s="18" t="n">
        <v>-14.6</v>
      </c>
      <c r="N31" s="18" t="n">
        <v>-14.1</v>
      </c>
      <c r="O31" s="18" t="n">
        <v>-23.2</v>
      </c>
      <c r="P31" s="18" t="n">
        <v>-18.4</v>
      </c>
      <c r="Q31" s="18" t="n">
        <v>-19.7</v>
      </c>
      <c r="R31" s="18" t="n">
        <v>-24.5</v>
      </c>
      <c r="S31" s="18" t="n">
        <v>-22.3</v>
      </c>
      <c r="T31" s="18" t="n">
        <v>-41.5</v>
      </c>
      <c r="U31" s="18" t="n">
        <v>-18.9</v>
      </c>
      <c r="V31" s="18" t="n">
        <v>-17.5</v>
      </c>
      <c r="W31" s="18" t="n">
        <v>-36.2</v>
      </c>
      <c r="X31" s="18" t="n">
        <v>-26.8</v>
      </c>
      <c r="Y31" s="18" t="n">
        <v>-9.5</v>
      </c>
      <c r="Z31" s="18" t="n">
        <v>-16.5</v>
      </c>
      <c r="AA31" s="18" t="n">
        <v>-11.6</v>
      </c>
      <c r="AB31" s="18" t="n">
        <v>-9.800000000000001</v>
      </c>
      <c r="AC31" s="18" t="n">
        <v>-14.3</v>
      </c>
    </row>
    <row r="32">
      <c r="A32" s="4" t="inlineStr">
        <is>
          <t>Free Cash Flow</t>
        </is>
      </c>
      <c r="B32" s="18" t="n">
        <v>285.8</v>
      </c>
      <c r="C32" s="18" t="n">
        <v>387.4</v>
      </c>
      <c r="D32" s="18" t="n">
        <v>453.2</v>
      </c>
      <c r="E32" s="18" t="n">
        <v>353.4</v>
      </c>
      <c r="F32" s="18" t="n">
        <v>438.9</v>
      </c>
      <c r="G32" s="18" t="n">
        <v>125.8</v>
      </c>
      <c r="H32" s="18" t="n">
        <v>558.1</v>
      </c>
      <c r="I32" s="18" t="n">
        <v>543.3</v>
      </c>
      <c r="J32" s="18" t="n">
        <v>409.3</v>
      </c>
      <c r="K32" s="18" t="n">
        <v>435</v>
      </c>
      <c r="L32" s="18" t="n">
        <v>561.7</v>
      </c>
      <c r="M32" s="18" t="n">
        <v>460.7</v>
      </c>
      <c r="N32" s="18" t="n">
        <v>-78.3</v>
      </c>
      <c r="O32" s="18" t="n">
        <v>228.6</v>
      </c>
      <c r="P32" s="18" t="n">
        <v>53.3</v>
      </c>
      <c r="Q32" s="18" t="n">
        <v>444</v>
      </c>
      <c r="R32" s="18" t="n">
        <v>295.1</v>
      </c>
      <c r="S32" s="18" t="n">
        <v>607.7</v>
      </c>
      <c r="T32" s="18" t="n">
        <v>580.3</v>
      </c>
      <c r="U32" s="18" t="n">
        <v>512.6</v>
      </c>
      <c r="V32" s="18" t="n">
        <v>366.6</v>
      </c>
      <c r="W32" s="18" t="n">
        <v>719.2</v>
      </c>
      <c r="X32" s="18" t="n">
        <v>695.4</v>
      </c>
      <c r="Y32" s="18" t="n">
        <v>519.2</v>
      </c>
      <c r="Z32" s="18" t="n">
        <v>387.6</v>
      </c>
      <c r="AA32" s="18" t="n">
        <v>857.9</v>
      </c>
      <c r="AB32" s="18" t="n">
        <v>728.2</v>
      </c>
      <c r="AC32" s="18" t="n">
        <v>577.8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8533.837169</v>
      </c>
      <c r="C4" s="18" t="n">
        <v>9075.620333000001</v>
      </c>
      <c r="D4" s="18" t="n">
        <v>9747.199181</v>
      </c>
      <c r="E4" s="18" t="n">
        <v>11572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</row>
    <row r="8">
      <c r="A8" s="3" t="inlineStr">
        <is>
          <t>EBITDA* — consensus</t>
        </is>
      </c>
      <c r="B8" s="18" t="n">
        <v>3488.767322</v>
      </c>
      <c r="C8" s="18" t="n">
        <v>3710.25683</v>
      </c>
      <c r="D8" s="18" t="n">
        <v>3984.808863</v>
      </c>
      <c r="E8" s="18" t="n">
        <v>4730.816238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</row>
    <row r="12">
      <c r="A12" s="3" t="inlineStr">
        <is>
          <t>EBIT* — consensus</t>
        </is>
      </c>
      <c r="B12" s="18" t="n">
        <v>2470.64959</v>
      </c>
      <c r="C12" s="18" t="n">
        <v>2627.502401</v>
      </c>
      <c r="D12" s="18" t="n">
        <v>2821.932641</v>
      </c>
      <c r="E12" s="18" t="n">
        <v>3350.234659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</row>
    <row r="16">
      <c r="A16" s="3" t="inlineStr">
        <is>
          <t>SG&amp;A — consensus</t>
        </is>
      </c>
      <c r="B16" s="18" t="n">
        <v>2845.710638</v>
      </c>
      <c r="C16" s="18" t="n">
        <v>3026.37475</v>
      </c>
      <c r="D16" s="18" t="n">
        <v>3250.320794</v>
      </c>
      <c r="E16" s="18" t="n">
        <v>3858.822574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</row>
    <row r="20">
      <c r="A20" s="3" t="inlineStr">
        <is>
          <t>Net income (NOPAT) — consensus</t>
        </is>
      </c>
      <c r="B20" s="18" t="n">
        <v>2343.4663775</v>
      </c>
      <c r="C20" s="18" t="n">
        <v>2581.2629385</v>
      </c>
      <c r="D20" s="18" t="n">
        <v>2746.754805</v>
      </c>
      <c r="E20" s="18" t="n">
        <v>3320.24003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</row>
    <row r="24">
      <c r="A24" s="3" t="inlineStr">
        <is>
          <t>EPS — consensus</t>
        </is>
      </c>
      <c r="B24" s="47" t="n">
        <v>21.91934</v>
      </c>
      <c r="C24" s="47" t="n">
        <v>23.84965</v>
      </c>
      <c r="D24" s="47" t="n">
        <v>25.4801</v>
      </c>
      <c r="E24" s="47" t="n">
        <v>30.8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Roper Technologies,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0.05497926666008722</v>
      </c>
      <c r="C4" s="51" t="n">
        <v>0.05997926666008722</v>
      </c>
      <c r="D4" s="51" t="n">
        <v>0.06497926666008721</v>
      </c>
      <c r="E4" s="51" t="n">
        <v>0.06997926666008722</v>
      </c>
      <c r="F4" s="51" t="n">
        <v>0.07497926666008722</v>
      </c>
      <c r="G4" s="51" t="n">
        <v>0.07997926666008721</v>
      </c>
      <c r="H4" s="51" t="n">
        <v>0.08497926666008722</v>
      </c>
    </row>
    <row r="5">
      <c r="A5" s="52" t="n">
        <v>9</v>
      </c>
      <c r="B5" s="8" t="n">
        <v>525.9206365227674</v>
      </c>
      <c r="C5" s="8" t="n">
        <v>503.2784894074447</v>
      </c>
      <c r="D5" s="8" t="n">
        <v>481.6863079177763</v>
      </c>
      <c r="E5" s="8" t="n">
        <v>461.088993230926</v>
      </c>
      <c r="F5" s="8" t="n">
        <v>441.4346197816235</v>
      </c>
      <c r="G5" s="8" t="n">
        <v>422.6742375639798</v>
      </c>
      <c r="H5" s="8" t="n">
        <v>404.761687639454</v>
      </c>
    </row>
    <row r="6">
      <c r="A6" s="52" t="n">
        <v>10</v>
      </c>
      <c r="B6" s="8" t="n">
        <v>564.8563210158439</v>
      </c>
      <c r="C6" s="8" t="n">
        <v>540.4160484379443</v>
      </c>
      <c r="D6" s="8" t="n">
        <v>517.1166651507589</v>
      </c>
      <c r="E6" s="8" t="n">
        <v>494.89807976574</v>
      </c>
      <c r="F6" s="8" t="n">
        <v>473.7036697783577</v>
      </c>
      <c r="G6" s="8" t="n">
        <v>453.4800651041147</v>
      </c>
      <c r="H6" s="8" t="n">
        <v>434.1769460912353</v>
      </c>
    </row>
    <row r="7">
      <c r="A7" s="52" t="n">
        <v>11</v>
      </c>
      <c r="B7" s="8" t="n">
        <v>603.7920055089206</v>
      </c>
      <c r="C7" s="8" t="n">
        <v>577.5536074684437</v>
      </c>
      <c r="D7" s="8" t="n">
        <v>552.5470223837416</v>
      </c>
      <c r="E7" s="8" t="n">
        <v>528.7071663005539</v>
      </c>
      <c r="F7" s="8" t="n">
        <v>505.9727197750918</v>
      </c>
      <c r="G7" s="8" t="n">
        <v>484.2858926442496</v>
      </c>
      <c r="H7" s="8" t="n">
        <v>463.5922045430166</v>
      </c>
    </row>
    <row r="8">
      <c r="A8" s="52" t="n">
        <v>12</v>
      </c>
      <c r="B8" s="8" t="n">
        <v>642.7276900019974</v>
      </c>
      <c r="C8" s="8" t="n">
        <v>614.6911664989432</v>
      </c>
      <c r="D8" s="8" t="n">
        <v>587.9773796167241</v>
      </c>
      <c r="E8" s="53" t="n">
        <v>562.5162528353679</v>
      </c>
      <c r="F8" s="8" t="n">
        <v>538.2417697718257</v>
      </c>
      <c r="G8" s="8" t="n">
        <v>515.0917201843845</v>
      </c>
      <c r="H8" s="8" t="n">
        <v>493.0074629947979</v>
      </c>
    </row>
    <row r="9">
      <c r="A9" s="52" t="n">
        <v>13</v>
      </c>
      <c r="B9" s="8" t="n">
        <v>681.6633744950741</v>
      </c>
      <c r="C9" s="8" t="n">
        <v>651.8287255294429</v>
      </c>
      <c r="D9" s="8" t="n">
        <v>623.4077368497067</v>
      </c>
      <c r="E9" s="8" t="n">
        <v>596.3253393701818</v>
      </c>
      <c r="F9" s="8" t="n">
        <v>570.5108197685599</v>
      </c>
      <c r="G9" s="8" t="n">
        <v>545.8975477245192</v>
      </c>
      <c r="H9" s="8" t="n">
        <v>522.4227214465793</v>
      </c>
    </row>
    <row r="10">
      <c r="A10" s="52" t="n">
        <v>14</v>
      </c>
      <c r="B10" s="8" t="n">
        <v>720.5990589881509</v>
      </c>
      <c r="C10" s="8" t="n">
        <v>688.9662845599424</v>
      </c>
      <c r="D10" s="8" t="n">
        <v>658.8380940826893</v>
      </c>
      <c r="E10" s="8" t="n">
        <v>630.134425904996</v>
      </c>
      <c r="F10" s="8" t="n">
        <v>602.7798697652941</v>
      </c>
      <c r="G10" s="8" t="n">
        <v>576.7033752646541</v>
      </c>
      <c r="H10" s="8" t="n">
        <v>551.8379798983606</v>
      </c>
    </row>
    <row r="11">
      <c r="A11" s="52" t="n">
        <v>15</v>
      </c>
      <c r="B11" s="8" t="n">
        <v>759.5347434812275</v>
      </c>
      <c r="C11" s="8" t="n">
        <v>726.1038435904418</v>
      </c>
      <c r="D11" s="8" t="n">
        <v>694.2684513156719</v>
      </c>
      <c r="E11" s="8" t="n">
        <v>663.9435124398099</v>
      </c>
      <c r="F11" s="8" t="n">
        <v>635.0489197620282</v>
      </c>
      <c r="G11" s="8" t="n">
        <v>607.5092028047889</v>
      </c>
      <c r="H11" s="8" t="n">
        <v>581.2532383501418</v>
      </c>
    </row>
    <row r="13">
      <c r="A13" s="3" t="inlineStr">
        <is>
          <t>Current price</t>
        </is>
      </c>
      <c r="B13" s="54" t="n">
        <v>364.2000122070312</v>
      </c>
    </row>
    <row r="14">
      <c r="A14" s="3" t="inlineStr">
        <is>
          <t>Base WACC / multiple</t>
        </is>
      </c>
      <c r="B14" s="55" t="n">
        <v>0.06997926666008722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0.1136222714330908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0.05377286891735846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0.01687770859234794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0.015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1.037737366951215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2026-07-06T20:35:34Z</dcterms:created>
  <dcterms:modified xmlns:dcterms="http://purl.org/dc/terms/" xmlns:xsi="http://www.w3.org/2001/XMLSchema-instance" xsi:type="dcterms:W3CDTF">2026-07-06T20:35:34Z</dcterms:modified>
</cp:coreProperties>
</file>