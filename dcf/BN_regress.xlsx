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OTP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,&quot;B&quot;"/>
    <numFmt numFmtId="165" formatCode="0.0&quot;x&quot;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374151"/>
    </font>
    <font>
      <color rgb="006B7280"/>
    </font>
    <font>
      <color rgb="00374151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3" fontId="0" fillId="3" borderId="1" pivotButton="0" quotePrefix="0" xfId="0"/>
    <xf numFmtId="2" fontId="0" fillId="3" borderId="1" pivotButton="0" quotePrefix="0" xfId="0"/>
    <xf numFmtId="0" fontId="4" fillId="0" borderId="0" pivotButton="0" quotePrefix="0" xfId="0"/>
    <xf numFmtId="164" fontId="0" fillId="0" borderId="0" pivotButton="0" quotePrefix="0" xfId="0"/>
    <xf numFmtId="2" fontId="5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BN — Holdco Sum-of-the-Parts · Dashboard ($B)</t>
        </is>
      </c>
    </row>
    <row r="2">
      <c r="A2" s="2" t="inlineStr">
        <is>
          <t>① Asset management (fee business)</t>
        </is>
      </c>
    </row>
    <row r="3">
      <c r="A3" s="3" t="inlineStr">
        <is>
          <t>BAM total FRE</t>
        </is>
      </c>
      <c r="B3" s="4" t="n">
        <v>4</v>
      </c>
    </row>
    <row r="4">
      <c r="A4" s="3" t="inlineStr">
        <is>
          <t>FRE multiple</t>
        </is>
      </c>
      <c r="B4" s="5" t="n">
        <v>20</v>
      </c>
    </row>
    <row r="5">
      <c r="A5" s="3" t="inlineStr">
        <is>
          <t>BN ownership of BAM</t>
        </is>
      </c>
      <c r="B5" s="6" t="n">
        <v>0.73</v>
      </c>
    </row>
    <row r="6">
      <c r="A6" s="2" t="inlineStr">
        <is>
          <t>② Carried interest — BN-RETAINED ONLY (never ×73%)</t>
        </is>
      </c>
    </row>
    <row r="7">
      <c r="A7" s="3" t="inlineStr">
        <is>
          <t>Accrued carry (gross, legacy=100% BN)</t>
        </is>
      </c>
      <c r="B7" s="4" t="n">
        <v>11.8</v>
      </c>
    </row>
    <row r="8">
      <c r="A8" s="3" t="inlineStr">
        <is>
          <t>Employee carry pool</t>
        </is>
      </c>
      <c r="B8" s="6" t="n">
        <v>0.22</v>
      </c>
    </row>
    <row r="9">
      <c r="A9" s="3" t="inlineStr">
        <is>
          <t>Realization/timing haircut</t>
        </is>
      </c>
      <c r="B9" s="6" t="n">
        <v>0.4</v>
      </c>
    </row>
    <row r="10">
      <c r="A10" s="3" t="inlineStr">
        <is>
          <t>Future carry / yr (gross)</t>
        </is>
      </c>
      <c r="B10" s="4" t="n">
        <v>2.4</v>
      </c>
    </row>
    <row r="11">
      <c r="A11" s="3" t="inlineStr">
        <is>
          <t>BN share of future carry (1/3)</t>
        </is>
      </c>
      <c r="B11" s="6" t="n">
        <v>0.333</v>
      </c>
    </row>
    <row r="12">
      <c r="A12" s="3" t="inlineStr">
        <is>
          <t>Future-carry capitalization</t>
        </is>
      </c>
      <c r="B12" s="5" t="n">
        <v>5</v>
      </c>
    </row>
    <row r="13">
      <c r="A13" s="3" t="inlineStr">
        <is>
          <t>Cash tax on carry</t>
        </is>
      </c>
      <c r="B13" s="6" t="n">
        <v>0.18</v>
      </c>
    </row>
    <row r="14">
      <c r="A14" s="2" t="inlineStr">
        <is>
          <t>③ Insurance (BWS) — DE multiple</t>
        </is>
      </c>
    </row>
    <row r="15">
      <c r="A15" s="3" t="inlineStr">
        <is>
          <t>BWS distributable earnings</t>
        </is>
      </c>
      <c r="B15" s="4" t="n">
        <v>1.7</v>
      </c>
    </row>
    <row r="16">
      <c r="A16" s="3" t="inlineStr">
        <is>
          <t>BWS DE multiple</t>
        </is>
      </c>
      <c r="B16" s="5" t="n">
        <v>13</v>
      </c>
    </row>
    <row r="17">
      <c r="A17" s="2" t="inlineStr">
        <is>
          <t>④ Invested capital</t>
        </is>
      </c>
    </row>
    <row r="18">
      <c r="A18" s="3" t="inlineStr">
        <is>
          <t>Listed affiliates @ market × own</t>
        </is>
      </c>
      <c r="B18" s="4" t="n">
        <v>45</v>
      </c>
    </row>
    <row r="19">
      <c r="A19" s="3" t="inlineStr">
        <is>
          <t>Private + real estate (IFRS)</t>
        </is>
      </c>
      <c r="B19" s="4" t="n">
        <v>35</v>
      </c>
    </row>
    <row r="20">
      <c r="A20" s="3" t="inlineStr">
        <is>
          <t>Private/RE haircut</t>
        </is>
      </c>
      <c r="B20" s="6" t="n">
        <v>0.3</v>
      </c>
    </row>
    <row r="21">
      <c r="A21" s="2" t="inlineStr">
        <is>
          <t>⑤ Corporate (subtract)</t>
        </is>
      </c>
    </row>
    <row r="22">
      <c r="A22" s="3" t="inlineStr">
        <is>
          <t>Recourse corporate debt</t>
        </is>
      </c>
      <c r="B22" s="4" t="n">
        <v>12</v>
      </c>
    </row>
    <row r="23">
      <c r="A23" s="3" t="inlineStr">
        <is>
          <t>Preferred equity</t>
        </is>
      </c>
      <c r="B23" s="4" t="n">
        <v>4.1</v>
      </c>
    </row>
    <row r="24">
      <c r="A24" s="3" t="inlineStr">
        <is>
          <t>PV corporate overhead</t>
        </is>
      </c>
      <c r="B24" s="4" t="n">
        <v>6</v>
      </c>
    </row>
    <row r="25">
      <c r="A25" s="2" t="inlineStr">
        <is>
          <t>Discount / market</t>
        </is>
      </c>
    </row>
    <row r="26">
      <c r="A26" s="3" t="inlineStr">
        <is>
          <t>Blended cost of equity Ke</t>
        </is>
      </c>
      <c r="B26" s="6" t="n">
        <v>0.1</v>
      </c>
    </row>
    <row r="27">
      <c r="A27" s="3" t="inlineStr">
        <is>
          <t>Diluted shares (M, incl. exchangeables)</t>
        </is>
      </c>
      <c r="B27" s="7" t="n">
        <v>2367</v>
      </c>
    </row>
    <row r="28">
      <c r="A28" s="3" t="inlineStr">
        <is>
          <t>Current price ($)</t>
        </is>
      </c>
      <c r="B28" s="8" t="n">
        <v>45.06</v>
      </c>
    </row>
    <row r="29">
      <c r="A29" s="3" t="inlineStr">
        <is>
          <t>Management plan value ($)</t>
        </is>
      </c>
      <c r="B29" s="8" t="n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BN — Sum-of-the-Parts build ($B)</t>
        </is>
      </c>
    </row>
    <row r="3">
      <c r="A3" s="9" t="inlineStr">
        <is>
          <t>① Asset management</t>
        </is>
      </c>
      <c r="B3" s="10">
        <f>Dashboard!$B$3*Dashboard!$B$4*Dashboard!$B$5</f>
        <v/>
      </c>
    </row>
    <row r="4">
      <c r="A4" s="9" t="inlineStr">
        <is>
          <t>② Carried interest (BN-retained)</t>
        </is>
      </c>
      <c r="B4" s="10">
        <f>(Dashboard!$B$7*(1-Dashboard!$B$8)*(1-Dashboard!$B$9)+Dashboard!$B$10*Dashboard!$B$11*(1-Dashboard!$B$8)*Dashboard!$B$12)*(1-Dashboard!$B$13)</f>
        <v/>
      </c>
    </row>
    <row r="5">
      <c r="A5" s="9" t="inlineStr">
        <is>
          <t>③ Insurance (BWS)</t>
        </is>
      </c>
      <c r="B5" s="10">
        <f>Dashboard!$B$15*Dashboard!$B$16</f>
        <v/>
      </c>
    </row>
    <row r="6">
      <c r="A6" s="9" t="inlineStr">
        <is>
          <t>④ Invested capital</t>
        </is>
      </c>
      <c r="B6" s="10">
        <f>Dashboard!$B$18+Dashboard!$B$19*(1-Dashboard!$B$20)</f>
        <v/>
      </c>
    </row>
    <row r="7">
      <c r="A7" s="9" t="inlineStr">
        <is>
          <t>⑤ − Corporate</t>
        </is>
      </c>
      <c r="B7" s="10">
        <f>-(Dashboard!$B$22+Dashboard!$B$23+Dashboard!$B$24)</f>
        <v/>
      </c>
    </row>
    <row r="8">
      <c r="A8" s="2">
        <f> SOTP equity value</f>
        <v/>
      </c>
      <c r="B8" s="10">
        <f>SUM(B3:B7)</f>
        <v/>
      </c>
    </row>
    <row r="9">
      <c r="A9" s="2" t="inlineStr">
        <is>
          <t>÷ shares → value / share ($)</t>
        </is>
      </c>
      <c r="B9" s="11">
        <f>B8*1000/Dashboard!$B$27</f>
        <v/>
      </c>
    </row>
    <row r="10">
      <c r="A10" s="9" t="inlineStr">
        <is>
          <t>Upside vs price</t>
        </is>
      </c>
      <c r="B10" s="12">
        <f>B9/Dashboard!$B$28-1</f>
        <v/>
      </c>
    </row>
    <row r="11">
      <c r="A11" s="9" t="inlineStr">
        <is>
          <t>Discount to plan value</t>
        </is>
      </c>
      <c r="B11" s="12">
        <f>B9/Dashboard!$B$29-1</f>
        <v/>
      </c>
    </row>
    <row r="12">
      <c r="A12" s="9" t="inlineStr">
        <is>
          <t>Market-implied $ for carry+private-RE</t>
        </is>
      </c>
      <c r="B12" s="10">
        <f>Dashboard!$B$28*Dashboard!$B$27/1000-(Dashboard!$B$3*Dashboard!$B$4*Dashboard!$B$5+Dashboard!$B$15*Dashboard!$B$16+Dashboard!$B$18-(Dashboard!$B$22+Dashboard!$B$23+Dashboard!$B$24))</f>
        <v/>
      </c>
    </row>
    <row r="13">
      <c r="A13" s="9" t="inlineStr">
        <is>
          <t>Modeled $ for carry+private-RE</t>
        </is>
      </c>
      <c r="B13" s="10">
        <f>B4+Dashboard!$B$19*(1-Dashboard!$B$20)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Scenarios &amp; the thesis</t>
        </is>
      </c>
    </row>
    <row r="3">
      <c r="A3" s="9" t="inlineStr">
        <is>
          <t>Worst case  (carry = 0, private/RE = 0): only AM + BWS + listed − corporate.</t>
        </is>
      </c>
    </row>
    <row r="4">
      <c r="A4" s="9" t="inlineStr">
        <is>
          <t>Moderate    (defaults): realization/timing haircut on carry + RE haircut.</t>
        </is>
      </c>
    </row>
    <row r="5">
      <c r="A5" s="9" t="inlineStr">
        <is>
          <t>Base case   (no haircuts): full carry + full private/RE marks.</t>
        </is>
      </c>
    </row>
    <row r="6">
      <c r="A6" s="9" t="inlineStr"/>
    </row>
    <row r="7">
      <c r="A7" s="9" t="inlineStr">
        <is>
          <t>THE THESIS: the current price ≈ the WORST case — i.e. the market is paying</t>
        </is>
      </c>
    </row>
    <row r="8">
      <c r="A8" s="9" t="inlineStr">
        <is>
          <t>almost nothing for the carried-interest stack and the private real estate.</t>
        </is>
      </c>
    </row>
    <row r="9">
      <c r="A9" s="9" t="inlineStr">
        <is>
          <t>The reverse-solve on the SOTP sheet quantifies exactly how little.</t>
        </is>
      </c>
    </row>
    <row r="10">
      <c r="A10" s="9" t="inlineStr"/>
    </row>
    <row r="11">
      <c r="A11" s="9" t="inlineStr">
        <is>
          <t>Holdco discount is an OUTPUT (price-to-NAV gap), not an input — only PV of</t>
        </is>
      </c>
    </row>
    <row r="12">
      <c r="A12" s="9" t="inlineStr">
        <is>
          <t>corporate overhead is deducted. DE-capitalization is a sanity band, not an</t>
        </is>
      </c>
    </row>
    <row r="13">
      <c r="A13" s="9" t="inlineStr">
        <is>
          <t>independent cross-check (DE already sums the same four buckets).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2026-06-08T02:27:53Z</dcterms:created>
  <dcterms:modified xmlns:dcterms="http://purl.org/dc/terms/" xmlns:xsi="http://www.w3.org/2001/XMLSchema-instance" xsi:type="dcterms:W3CDTF">2026-06-08T02:27:53Z</dcterms:modified>
</cp:coreProperties>
</file>