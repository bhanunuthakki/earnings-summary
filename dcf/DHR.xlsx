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Danaher Corporation (DHR)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2026-06-05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2026-06-05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Danaher Corporation (DHR)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Model!G38-WACC!B14</f>
        <v/>
      </c>
      <c r="C15" s="10">
        <f>IF(Model!G38-WACC!B14&lt;0,"!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Revenue from Contract with Customer, Measurement, Recurring</t>
        </is>
      </c>
      <c r="B20" s="50" t="n">
        <v>0.05980498198673009</v>
      </c>
      <c r="C20" s="50" t="n">
        <v>0.05</v>
      </c>
      <c r="D20" s="51" t="n">
        <v>0.05980498198673009</v>
      </c>
      <c r="E20" s="2" t="inlineStr"/>
    </row>
    <row r="21">
      <c r="A21" s="4" t="inlineStr">
        <is>
          <t>Revenue from Contract with Customer, Measurement, Nonrecurring</t>
        </is>
      </c>
      <c r="B21" s="50" t="n">
        <v>0.01751205373234315</v>
      </c>
      <c r="C21" s="50" t="n">
        <v>0.05</v>
      </c>
      <c r="D21" s="51" t="n">
        <v>0.01751205373234315</v>
      </c>
      <c r="E21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0.3101847024263765</v>
      </c>
      <c r="D29" s="51" t="n">
        <v>0.3101847024263765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0.3391068193852461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1271.6</v>
      </c>
      <c r="D34" s="18" t="n">
        <v>1271.6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0.841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12</v>
      </c>
    </row>
    <row r="46">
      <c r="A46" s="4" t="inlineStr">
        <is>
          <t>Terminal growth (g)</t>
        </is>
      </c>
      <c r="B46" s="50" t="n">
        <v>0.045</v>
      </c>
    </row>
    <row r="48">
      <c r="A48" s="4" t="inlineStr">
        <is>
          <t>Current price</t>
        </is>
      </c>
      <c r="B48" s="55" t="n">
        <v>186.0399932861328</v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Financials!AC38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Revenue from Contract with Customer, Measurement, Recurring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4" t="inlineStr">
        <is>
          <t>Revenue from Contract with Customer, Measurement, Nonrecurring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48">
        <f>Dashboard!$B$21+(Dashboard!$C$21-Dashboard!$B$21)*MAX(0,0-2)/7</f>
        <v/>
      </c>
      <c r="H7" s="48">
        <f>Dashboard!$B$21+(Dashboard!$C$21-Dashboard!$B$21)*MAX(0,1-2)/7</f>
        <v/>
      </c>
      <c r="I7" s="48">
        <f>Dashboard!$B$21+(Dashboard!$C$21-Dashboard!$B$21)*MAX(0,2-2)/7</f>
        <v/>
      </c>
      <c r="J7" s="48">
        <f>Dashboard!$B$21+(Dashboard!$C$21-Dashboard!$B$21)*MAX(0,3-2)/7</f>
        <v/>
      </c>
      <c r="K7" s="48">
        <f>Dashboard!$B$21+(Dashboard!$C$21-Dashboard!$B$21)*MAX(0,4-2)/7</f>
        <v/>
      </c>
      <c r="L7" s="48">
        <f>Dashboard!$B$21+(Dashboard!$C$21-Dashboard!$B$21)*MAX(0,5-2)/7</f>
        <v/>
      </c>
      <c r="M7" s="48">
        <f>Dashboard!$B$21+(Dashboard!$C$21-Dashboard!$B$21)*MAX(0,6-2)/7</f>
        <v/>
      </c>
      <c r="N7" s="48">
        <f>Dashboard!$B$21+(Dashboard!$C$21-Dashboard!$B$21)*MAX(0,7-2)/7</f>
        <v/>
      </c>
      <c r="O7" s="48">
        <f>Dashboard!$B$21+(Dashboard!$C$21-Dashboard!$B$21)*MAX(0,8-2)/7</f>
        <v/>
      </c>
      <c r="P7" s="48">
        <f>Dashboard!$B$21+(Dashboard!$C$21-Dashboard!$B$21)*MAX(0,9-2)/7</f>
        <v/>
      </c>
    </row>
    <row r="8">
      <c r="A8" s="3" t="inlineStr">
        <is>
          <t>Total revenue</t>
        </is>
      </c>
      <c r="B8" s="33">
        <f>B4+B6</f>
        <v/>
      </c>
      <c r="C8" s="33">
        <f>C4+C6</f>
        <v/>
      </c>
      <c r="D8" s="33">
        <f>D4+D6</f>
        <v/>
      </c>
      <c r="E8" s="33">
        <f>E4+E6</f>
        <v/>
      </c>
      <c r="F8" s="33">
        <f>F4+F6</f>
        <v/>
      </c>
      <c r="G8" s="33">
        <f>G4+G6</f>
        <v/>
      </c>
      <c r="H8" s="33">
        <f>H4+H6</f>
        <v/>
      </c>
      <c r="I8" s="33">
        <f>I4+I6</f>
        <v/>
      </c>
      <c r="J8" s="33">
        <f>J4+J6</f>
        <v/>
      </c>
      <c r="K8" s="33">
        <f>K4+K6</f>
        <v/>
      </c>
      <c r="L8" s="33">
        <f>L4+L6</f>
        <v/>
      </c>
      <c r="M8" s="33">
        <f>M4+M6</f>
        <v/>
      </c>
      <c r="N8" s="33">
        <f>N4+N6</f>
        <v/>
      </c>
      <c r="O8" s="33">
        <f>O4+O6</f>
        <v/>
      </c>
      <c r="P8" s="33">
        <f>P4+P6</f>
        <v/>
      </c>
    </row>
    <row r="9">
      <c r="A9" s="4" t="inlineStr">
        <is>
          <t xml:space="preserve">    growth %</t>
        </is>
      </c>
      <c r="C9" s="57">
        <f>IFERROR(C8/B8-1,"")</f>
        <v/>
      </c>
      <c r="D9" s="57">
        <f>IFERROR(D8/C8-1,"")</f>
        <v/>
      </c>
      <c r="E9" s="57">
        <f>IFERROR(E8/D8-1,"")</f>
        <v/>
      </c>
      <c r="F9" s="57">
        <f>IFERROR(F8/E8-1,"")</f>
        <v/>
      </c>
      <c r="G9" s="57">
        <f>IFERROR(G8/F8-1,"")</f>
        <v/>
      </c>
      <c r="H9" s="57">
        <f>IFERROR(H8/G8-1,"")</f>
        <v/>
      </c>
      <c r="I9" s="57">
        <f>IFERROR(I8/H8-1,"")</f>
        <v/>
      </c>
      <c r="J9" s="57">
        <f>IFERROR(J8/I8-1,"")</f>
        <v/>
      </c>
      <c r="K9" s="57">
        <f>IFERROR(K8/J8-1,"")</f>
        <v/>
      </c>
      <c r="L9" s="57">
        <f>IFERROR(L8/K8-1,"")</f>
        <v/>
      </c>
      <c r="M9" s="57">
        <f>IFERROR(M8/L8-1,"")</f>
        <v/>
      </c>
      <c r="N9" s="57">
        <f>IFERROR(N8/M8-1,"")</f>
        <v/>
      </c>
      <c r="O9" s="57">
        <f>IFERROR(O8/N8-1,"")</f>
        <v/>
      </c>
      <c r="P9" s="57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28">
        <f>SUM(Financials!I5:L5)</f>
        <v/>
      </c>
      <c r="C12" s="28">
        <f>SUM(Financials!M5:P5)</f>
        <v/>
      </c>
      <c r="D12" s="28">
        <f>SUM(Financials!Q5:T5)</f>
        <v/>
      </c>
      <c r="E12" s="28">
        <f>SUM(Financials!U5:X5)</f>
        <v/>
      </c>
      <c r="F12" s="28">
        <f>SUM(Financials!Y5:AB5)</f>
        <v/>
      </c>
      <c r="G12" s="32">
        <f>G8*G13</f>
        <v/>
      </c>
      <c r="H12" s="32">
        <f>H8*H13</f>
        <v/>
      </c>
      <c r="I12" s="32">
        <f>I8*I13</f>
        <v/>
      </c>
      <c r="J12" s="32">
        <f>J8*J13</f>
        <v/>
      </c>
      <c r="K12" s="32">
        <f>K8*K13</f>
        <v/>
      </c>
      <c r="L12" s="32">
        <f>L8*L13</f>
        <v/>
      </c>
      <c r="M12" s="32">
        <f>M8*M13</f>
        <v/>
      </c>
      <c r="N12" s="32">
        <f>N8*N13</f>
        <v/>
      </c>
      <c r="O12" s="32">
        <f>O8*O13</f>
        <v/>
      </c>
      <c r="P12" s="32">
        <f>P8*P13</f>
        <v/>
      </c>
    </row>
    <row r="13">
      <c r="A13" s="4" t="inlineStr">
        <is>
          <t xml:space="preserve">    % of revenue</t>
        </is>
      </c>
      <c r="B13" s="57">
        <f>IFERROR(B12/B8,"")</f>
        <v/>
      </c>
      <c r="C13" s="57">
        <f>IFERROR(C12/C8,"")</f>
        <v/>
      </c>
      <c r="D13" s="57">
        <f>IFERROR(D12/D8,"")</f>
        <v/>
      </c>
      <c r="E13" s="57">
        <f>IFERROR(E12/E8,"")</f>
        <v/>
      </c>
      <c r="F13" s="57">
        <f>IFERROR(F12/F8,"")</f>
        <v/>
      </c>
      <c r="G13" s="50" t="n">
        <v>0.3906707912732009</v>
      </c>
      <c r="H13" s="50" t="n">
        <v>0.3906707912732009</v>
      </c>
      <c r="I13" s="50" t="n">
        <v>0.3906707912732009</v>
      </c>
      <c r="J13" s="50" t="n">
        <v>0.3906707912732009</v>
      </c>
      <c r="K13" s="50" t="n">
        <v>0.3906707912732009</v>
      </c>
      <c r="L13" s="50" t="n">
        <v>0.3906707912732009</v>
      </c>
      <c r="M13" s="50" t="n">
        <v>0.3906707912732009</v>
      </c>
      <c r="N13" s="50" t="n">
        <v>0.3906707912732009</v>
      </c>
      <c r="O13" s="50" t="n">
        <v>0.3906707912732009</v>
      </c>
      <c r="P13" s="50" t="n">
        <v>0.3906707912732009</v>
      </c>
    </row>
    <row r="14">
      <c r="A14" s="4" t="inlineStr">
        <is>
          <t>R&amp;D / Technology</t>
        </is>
      </c>
      <c r="B14" s="28">
        <f>SUM(Financials!I7:L7)</f>
        <v/>
      </c>
      <c r="C14" s="28">
        <f>SUM(Financials!M7:P7)</f>
        <v/>
      </c>
      <c r="D14" s="28">
        <f>SUM(Financials!Q7:T7)</f>
        <v/>
      </c>
      <c r="E14" s="28">
        <f>SUM(Financials!U7:X7)</f>
        <v/>
      </c>
      <c r="F14" s="28">
        <f>SUM(Financials!Y7:AB7)</f>
        <v/>
      </c>
      <c r="G14" s="32">
        <f>G8*G15</f>
        <v/>
      </c>
      <c r="H14" s="32">
        <f>H8*H15</f>
        <v/>
      </c>
      <c r="I14" s="32">
        <f>I8*I15</f>
        <v/>
      </c>
      <c r="J14" s="32">
        <f>J8*J15</f>
        <v/>
      </c>
      <c r="K14" s="32">
        <f>K8*K15</f>
        <v/>
      </c>
      <c r="L14" s="32">
        <f>L8*L15</f>
        <v/>
      </c>
      <c r="M14" s="32">
        <f>M8*M15</f>
        <v/>
      </c>
      <c r="N14" s="32">
        <f>N8*N15</f>
        <v/>
      </c>
      <c r="O14" s="32">
        <f>O8*O15</f>
        <v/>
      </c>
      <c r="P14" s="32">
        <f>P8*P15</f>
        <v/>
      </c>
    </row>
    <row r="15">
      <c r="A15" s="4" t="inlineStr">
        <is>
          <t xml:space="preserve">    % of revenue</t>
        </is>
      </c>
      <c r="B15" s="57">
        <f>IFERROR(B14/B8,"")</f>
        <v/>
      </c>
      <c r="C15" s="57">
        <f>IFERROR(C14/C8,"")</f>
        <v/>
      </c>
      <c r="D15" s="57">
        <f>IFERROR(D14/D8,"")</f>
        <v/>
      </c>
      <c r="E15" s="57">
        <f>IFERROR(E14/E8,"")</f>
        <v/>
      </c>
      <c r="F15" s="57">
        <f>IFERROR(F14/F8,"")</f>
        <v/>
      </c>
      <c r="G15" s="50" t="n">
        <v>0.06504395962227287</v>
      </c>
      <c r="H15" s="50" t="n">
        <v>0.06504395962227287</v>
      </c>
      <c r="I15" s="50" t="n">
        <v>0.06504395962227287</v>
      </c>
      <c r="J15" s="50" t="n">
        <v>0.06504395962227287</v>
      </c>
      <c r="K15" s="50" t="n">
        <v>0.06504395962227287</v>
      </c>
      <c r="L15" s="50" t="n">
        <v>0.06504395962227287</v>
      </c>
      <c r="M15" s="50" t="n">
        <v>0.06504395962227287</v>
      </c>
      <c r="N15" s="50" t="n">
        <v>0.06504395962227287</v>
      </c>
      <c r="O15" s="50" t="n">
        <v>0.06504395962227287</v>
      </c>
      <c r="P15" s="50" t="n">
        <v>0.06504395962227287</v>
      </c>
    </row>
    <row r="16">
      <c r="A16" s="4" t="inlineStr">
        <is>
          <t>SG&amp;A</t>
        </is>
      </c>
      <c r="B16" s="28">
        <f>SUM(Financials!I9:L9)</f>
        <v/>
      </c>
      <c r="C16" s="28">
        <f>SUM(Financials!M9:P9)</f>
        <v/>
      </c>
      <c r="D16" s="28">
        <f>SUM(Financials!Q9:T9)</f>
        <v/>
      </c>
      <c r="E16" s="28">
        <f>SUM(Financials!U9:X9)</f>
        <v/>
      </c>
      <c r="F16" s="28">
        <f>SUM(Financials!Y9:AB9)</f>
        <v/>
      </c>
      <c r="G16" s="32">
        <f>G8*G17</f>
        <v/>
      </c>
      <c r="H16" s="32">
        <f>H8*H17</f>
        <v/>
      </c>
      <c r="I16" s="32">
        <f>I8*I17</f>
        <v/>
      </c>
      <c r="J16" s="32">
        <f>J8*J17</f>
        <v/>
      </c>
      <c r="K16" s="32">
        <f>K8*K17</f>
        <v/>
      </c>
      <c r="L16" s="32">
        <f>L8*L17</f>
        <v/>
      </c>
      <c r="M16" s="32">
        <f>M8*M17</f>
        <v/>
      </c>
      <c r="N16" s="32">
        <f>N8*N17</f>
        <v/>
      </c>
      <c r="O16" s="32">
        <f>O8*O17</f>
        <v/>
      </c>
      <c r="P16" s="32">
        <f>P8*P17</f>
        <v/>
      </c>
    </row>
    <row r="17">
      <c r="A17" s="4" t="inlineStr">
        <is>
          <t xml:space="preserve">    % of revenue</t>
        </is>
      </c>
      <c r="B17" s="57">
        <f>IFERROR(B16/B8,"")</f>
        <v/>
      </c>
      <c r="C17" s="57">
        <f>IFERROR(C16/C8,"")</f>
        <v/>
      </c>
      <c r="D17" s="57">
        <f>IFERROR(D16/D8,"")</f>
        <v/>
      </c>
      <c r="E17" s="57">
        <f>IFERROR(E16/E8,"")</f>
        <v/>
      </c>
      <c r="F17" s="57">
        <f>IFERROR(F16/F8,"")</f>
        <v/>
      </c>
      <c r="G17" s="50" t="n">
        <v>0.335192119830674</v>
      </c>
      <c r="H17" s="50" t="n">
        <v>0.335192119830674</v>
      </c>
      <c r="I17" s="50" t="n">
        <v>0.335192119830674</v>
      </c>
      <c r="J17" s="50" t="n">
        <v>0.335192119830674</v>
      </c>
      <c r="K17" s="50" t="n">
        <v>0.335192119830674</v>
      </c>
      <c r="L17" s="50" t="n">
        <v>0.335192119830674</v>
      </c>
      <c r="M17" s="50" t="n">
        <v>0.335192119830674</v>
      </c>
      <c r="N17" s="50" t="n">
        <v>0.335192119830674</v>
      </c>
      <c r="O17" s="50" t="n">
        <v>0.335192119830674</v>
      </c>
      <c r="P17" s="50" t="n">
        <v>0.335192119830674</v>
      </c>
    </row>
    <row r="18">
      <c r="A18" s="4" t="inlineStr">
        <is>
          <t>Other opex (fulfilment, etc.)</t>
        </is>
      </c>
      <c r="B18" s="28">
        <f>B8-(B12+B14+B16)-SUM(Financials!I13:L13)</f>
        <v/>
      </c>
      <c r="C18" s="28">
        <f>C8-(C12+C14+C16)-SUM(Financials!M13:P13)</f>
        <v/>
      </c>
      <c r="D18" s="28">
        <f>D8-(D12+D14+D16)-SUM(Financials!Q13:T13)</f>
        <v/>
      </c>
      <c r="E18" s="28">
        <f>E8-(E12+E14+E16)-SUM(Financials!U13:X13)</f>
        <v/>
      </c>
      <c r="F18" s="28">
        <f>F8-(F12+F14+F16)-SUM(Financials!Y13:AB13)</f>
        <v/>
      </c>
      <c r="G18" s="28">
        <f>G8*(1-(Dashboard!$B$29+(Dashboard!$B$30-Dashboard!$B$29)*MIN(1,0/4)))-(G12+G14+G16)</f>
        <v/>
      </c>
      <c r="H18" s="28">
        <f>H8*(1-(Dashboard!$B$29+(Dashboard!$B$30-Dashboard!$B$29)*MIN(1,1/4)))-(H12+H14+H16)</f>
        <v/>
      </c>
      <c r="I18" s="28">
        <f>I8*(1-(Dashboard!$B$29+(Dashboard!$B$30-Dashboard!$B$29)*MIN(1,2/4)))-(I12+I14+I16)</f>
        <v/>
      </c>
      <c r="J18" s="28">
        <f>J8*(1-(Dashboard!$B$29+(Dashboard!$B$30-Dashboard!$B$29)*MIN(1,3/4)))-(J12+J14+J16)</f>
        <v/>
      </c>
      <c r="K18" s="28">
        <f>K8*(1-(Dashboard!$B$29+(Dashboard!$B$30-Dashboard!$B$29)*MIN(1,4/4)))-(K12+K14+K16)</f>
        <v/>
      </c>
      <c r="L18" s="28">
        <f>L8*(1-(Dashboard!$B$29+(Dashboard!$B$30-Dashboard!$B$29)*MIN(1,5/4)))-(L12+L14+L16)</f>
        <v/>
      </c>
      <c r="M18" s="28">
        <f>M8*(1-(Dashboard!$B$29+(Dashboard!$B$30-Dashboard!$B$29)*MIN(1,6/4)))-(M12+M14+M16)</f>
        <v/>
      </c>
      <c r="N18" s="28">
        <f>N8*(1-(Dashboard!$B$29+(Dashboard!$B$30-Dashboard!$B$29)*MIN(1,7/4)))-(N12+N14+N16)</f>
        <v/>
      </c>
      <c r="O18" s="28">
        <f>O8*(1-(Dashboard!$B$29+(Dashboard!$B$30-Dashboard!$B$29)*MIN(1,8/4)))-(O12+O14+O16)</f>
        <v/>
      </c>
      <c r="P18" s="28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57">
        <f>IFERROR(B18/B8,"")</f>
        <v/>
      </c>
      <c r="C19" s="57">
        <f>IFERROR(C18/C8,"")</f>
        <v/>
      </c>
      <c r="D19" s="57">
        <f>IFERROR(D18/D8,"")</f>
        <v/>
      </c>
      <c r="E19" s="57">
        <f>IFERROR(E18/E8,"")</f>
        <v/>
      </c>
      <c r="F19" s="57">
        <f>IFERROR(F18/F8,"")</f>
        <v/>
      </c>
      <c r="G19" s="57">
        <f>IFERROR(G18/G8,"")</f>
        <v/>
      </c>
      <c r="H19" s="57">
        <f>IFERROR(H18/H8,"")</f>
        <v/>
      </c>
      <c r="I19" s="57">
        <f>IFERROR(I18/I8,"")</f>
        <v/>
      </c>
      <c r="J19" s="57">
        <f>IFERROR(J18/J8,"")</f>
        <v/>
      </c>
      <c r="K19" s="57">
        <f>IFERROR(K18/K8,"")</f>
        <v/>
      </c>
      <c r="L19" s="57">
        <f>IFERROR(L18/L8,"")</f>
        <v/>
      </c>
      <c r="M19" s="57">
        <f>IFERROR(M18/M8,"")</f>
        <v/>
      </c>
      <c r="N19" s="57">
        <f>IFERROR(N18/N8,"")</f>
        <v/>
      </c>
      <c r="O19" s="57">
        <f>IFERROR(O18/O8,"")</f>
        <v/>
      </c>
      <c r="P19" s="57">
        <f>IFERROR(P18/P8,"")</f>
        <v/>
      </c>
    </row>
    <row r="21">
      <c r="A21" s="3" t="inlineStr">
        <is>
          <t>Operating income (EBIT)</t>
        </is>
      </c>
      <c r="B21" s="33">
        <f>B8-(B12+B14+B16)-B18</f>
        <v/>
      </c>
      <c r="C21" s="33">
        <f>C8-(C12+C14+C16)-C18</f>
        <v/>
      </c>
      <c r="D21" s="33">
        <f>D8-(D12+D14+D16)-D18</f>
        <v/>
      </c>
      <c r="E21" s="33">
        <f>E8-(E12+E14+E16)-E18</f>
        <v/>
      </c>
      <c r="F21" s="33">
        <f>F8-(F12+F14+F16)-F18</f>
        <v/>
      </c>
      <c r="G21" s="33">
        <f>G8-(G12+G14+G16)-G18</f>
        <v/>
      </c>
      <c r="H21" s="33">
        <f>H8-(H12+H14+H16)-H18</f>
        <v/>
      </c>
      <c r="I21" s="33">
        <f>I8-(I12+I14+I16)-I18</f>
        <v/>
      </c>
      <c r="J21" s="33">
        <f>J8-(J12+J14+J16)-J18</f>
        <v/>
      </c>
      <c r="K21" s="33">
        <f>K8-(K12+K14+K16)-K18</f>
        <v/>
      </c>
      <c r="L21" s="33">
        <f>L8-(L12+L14+L16)-L18</f>
        <v/>
      </c>
      <c r="M21" s="33">
        <f>M8-(M12+M14+M16)-M18</f>
        <v/>
      </c>
      <c r="N21" s="33">
        <f>N8-(N12+N14+N16)-N18</f>
        <v/>
      </c>
      <c r="O21" s="33">
        <f>O8-(O12+O14+O16)-O18</f>
        <v/>
      </c>
      <c r="P21" s="33">
        <f>P8-(P12+P14+P16)-P18</f>
        <v/>
      </c>
    </row>
    <row r="22">
      <c r="A22" s="4" t="inlineStr">
        <is>
          <t xml:space="preserve">    operating margin</t>
        </is>
      </c>
      <c r="B22" s="57">
        <f>IFERROR(B21/B8,"")</f>
        <v/>
      </c>
      <c r="C22" s="57">
        <f>IFERROR(C21/C8,"")</f>
        <v/>
      </c>
      <c r="D22" s="57">
        <f>IFERROR(D21/D8,"")</f>
        <v/>
      </c>
      <c r="E22" s="57">
        <f>IFERROR(E21/E8,"")</f>
        <v/>
      </c>
      <c r="F22" s="57">
        <f>IFERROR(F21/F8,"")</f>
        <v/>
      </c>
      <c r="G22" s="57">
        <f>IFERROR(G21/G8,"")</f>
        <v/>
      </c>
      <c r="H22" s="57">
        <f>IFERROR(H21/H8,"")</f>
        <v/>
      </c>
      <c r="I22" s="57">
        <f>IFERROR(I21/I8,"")</f>
        <v/>
      </c>
      <c r="J22" s="57">
        <f>IFERROR(J21/J8,"")</f>
        <v/>
      </c>
      <c r="K22" s="57">
        <f>IFERROR(K21/K8,"")</f>
        <v/>
      </c>
      <c r="L22" s="57">
        <f>IFERROR(L21/L8,"")</f>
        <v/>
      </c>
      <c r="M22" s="57">
        <f>IFERROR(M21/M8,"")</f>
        <v/>
      </c>
      <c r="N22" s="57">
        <f>IFERROR(N21/N8,"")</f>
        <v/>
      </c>
      <c r="O22" s="57">
        <f>IFERROR(O21/O8,"")</f>
        <v/>
      </c>
      <c r="P22" s="57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28">
        <f>B21*(1-Valuation!$B$5)</f>
        <v/>
      </c>
      <c r="C25" s="28">
        <f>C21*(1-Valuation!$B$5)</f>
        <v/>
      </c>
      <c r="D25" s="28">
        <f>D21*(1-Valuation!$B$5)</f>
        <v/>
      </c>
      <c r="E25" s="28">
        <f>E21*(1-Valuation!$B$5)</f>
        <v/>
      </c>
      <c r="F25" s="28">
        <f>F21*(1-Valuation!$B$5)</f>
        <v/>
      </c>
      <c r="G25" s="28">
        <f>G21*(1-Valuation!$B$5)</f>
        <v/>
      </c>
      <c r="H25" s="28">
        <f>H21*(1-Valuation!$B$5)</f>
        <v/>
      </c>
      <c r="I25" s="28">
        <f>I21*(1-Valuation!$B$5)</f>
        <v/>
      </c>
      <c r="J25" s="28">
        <f>J21*(1-Valuation!$B$5)</f>
        <v/>
      </c>
      <c r="K25" s="28">
        <f>K21*(1-Valuation!$B$5)</f>
        <v/>
      </c>
      <c r="L25" s="28">
        <f>L21*(1-Valuation!$B$5)</f>
        <v/>
      </c>
      <c r="M25" s="28">
        <f>M21*(1-Valuation!$B$5)</f>
        <v/>
      </c>
      <c r="N25" s="28">
        <f>N21*(1-Valuation!$B$5)</f>
        <v/>
      </c>
      <c r="O25" s="28">
        <f>O21*(1-Valuation!$B$5)</f>
        <v/>
      </c>
      <c r="P25" s="28">
        <f>P21*(1-Valuation!$B$5)</f>
        <v/>
      </c>
    </row>
    <row r="26">
      <c r="A26" s="4" t="inlineStr">
        <is>
          <t>+ D&amp;A</t>
        </is>
      </c>
      <c r="B26" s="28">
        <f>SUM(Financials!I41:L41)</f>
        <v/>
      </c>
      <c r="C26" s="28">
        <f>SUM(Financials!M41:P41)</f>
        <v/>
      </c>
      <c r="D26" s="28">
        <f>SUM(Financials!Q41:T41)</f>
        <v/>
      </c>
      <c r="E26" s="28">
        <f>SUM(Financials!U41:X41)</f>
        <v/>
      </c>
      <c r="F26" s="28">
        <f>SUM(Financials!Y41:AB41)</f>
        <v/>
      </c>
      <c r="G26" s="32">
        <f>G8*0.0955</f>
        <v/>
      </c>
      <c r="H26" s="32">
        <f>H8*0.0955</f>
        <v/>
      </c>
      <c r="I26" s="32">
        <f>I8*0.0955</f>
        <v/>
      </c>
      <c r="J26" s="32">
        <f>J8*0.0955</f>
        <v/>
      </c>
      <c r="K26" s="32">
        <f>K8*0.0955</f>
        <v/>
      </c>
      <c r="L26" s="32">
        <f>L8*0.0955</f>
        <v/>
      </c>
      <c r="M26" s="32">
        <f>M8*0.0955</f>
        <v/>
      </c>
      <c r="N26" s="32">
        <f>N8*0.0955</f>
        <v/>
      </c>
      <c r="O26" s="32">
        <f>O8*0.0955</f>
        <v/>
      </c>
      <c r="P26" s="32">
        <f>P8*0.0955</f>
        <v/>
      </c>
    </row>
    <row r="27">
      <c r="A27" s="4" t="inlineStr">
        <is>
          <t>+ SBC (non-cash)</t>
        </is>
      </c>
      <c r="B27" s="28">
        <f>SUM(Financials!I42:L42)</f>
        <v/>
      </c>
      <c r="C27" s="28">
        <f>SUM(Financials!M42:P42)</f>
        <v/>
      </c>
      <c r="D27" s="28">
        <f>SUM(Financials!Q42:T42)</f>
        <v/>
      </c>
      <c r="E27" s="28">
        <f>SUM(Financials!U42:X42)</f>
        <v/>
      </c>
      <c r="F27" s="28">
        <f>SUM(Financials!Y42:AB42)</f>
        <v/>
      </c>
      <c r="G27" s="32">
        <f>G8*0.0155</f>
        <v/>
      </c>
      <c r="H27" s="32">
        <f>H8*0.0148</f>
        <v/>
      </c>
      <c r="I27" s="32">
        <f>I8*0.0141</f>
        <v/>
      </c>
      <c r="J27" s="32">
        <f>J8*0.0134</f>
        <v/>
      </c>
      <c r="K27" s="32">
        <f>K8*0.0128</f>
        <v/>
      </c>
      <c r="L27" s="32">
        <f>L8*0.0121</f>
        <v/>
      </c>
      <c r="M27" s="32">
        <f>M8*0.0114</f>
        <v/>
      </c>
      <c r="N27" s="32">
        <f>N8*0.0107</f>
        <v/>
      </c>
      <c r="O27" s="32">
        <f>O8*0.0100</f>
        <v/>
      </c>
      <c r="P27" s="32">
        <f>P8*0.0093</f>
        <v/>
      </c>
    </row>
    <row r="28">
      <c r="A28" s="4" t="inlineStr">
        <is>
          <t>- dNWC</t>
        </is>
      </c>
      <c r="G28" s="32">
        <f>(G8-F8)*0.0050</f>
        <v/>
      </c>
      <c r="H28" s="32">
        <f>(H8-G8)*0.0050</f>
        <v/>
      </c>
      <c r="I28" s="32">
        <f>(I8-H8)*0.0050</f>
        <v/>
      </c>
      <c r="J28" s="32">
        <f>(J8-I8)*0.0050</f>
        <v/>
      </c>
      <c r="K28" s="32">
        <f>(K8-J8)*0.0050</f>
        <v/>
      </c>
      <c r="L28" s="32">
        <f>(L8-K8)*0.0050</f>
        <v/>
      </c>
      <c r="M28" s="32">
        <f>(M8-L8)*0.0050</f>
        <v/>
      </c>
      <c r="N28" s="32">
        <f>(N8-M8)*0.0050</f>
        <v/>
      </c>
      <c r="O28" s="32">
        <f>(O8-N8)*0.0050</f>
        <v/>
      </c>
      <c r="P28" s="32">
        <f>(P8-O8)*0.0050</f>
        <v/>
      </c>
    </row>
    <row r="29">
      <c r="A29" s="4" t="inlineStr">
        <is>
          <t>- Capex</t>
        </is>
      </c>
      <c r="B29" s="28">
        <f>-SUM(Financials!I45:L45)</f>
        <v/>
      </c>
      <c r="C29" s="28">
        <f>-SUM(Financials!M45:P45)</f>
        <v/>
      </c>
      <c r="D29" s="28">
        <f>-SUM(Financials!Q45:T45)</f>
        <v/>
      </c>
      <c r="E29" s="28">
        <f>-SUM(Financials!U45:X45)</f>
        <v/>
      </c>
      <c r="F29" s="28">
        <f>-SUM(Financials!Y45:AB45)</f>
        <v/>
      </c>
      <c r="G29" s="32">
        <f>G26*G30</f>
        <v/>
      </c>
      <c r="H29" s="32">
        <f>H26*H30</f>
        <v/>
      </c>
      <c r="I29" s="32">
        <f>I26*I30</f>
        <v/>
      </c>
      <c r="J29" s="32">
        <f>J26*J30</f>
        <v/>
      </c>
      <c r="K29" s="32">
        <f>K26*K30</f>
        <v/>
      </c>
      <c r="L29" s="32">
        <f>L26*L30</f>
        <v/>
      </c>
      <c r="M29" s="32">
        <f>M26*M30</f>
        <v/>
      </c>
      <c r="N29" s="32">
        <f>N26*N30</f>
        <v/>
      </c>
      <c r="O29" s="32">
        <f>O26*O30</f>
        <v/>
      </c>
      <c r="P29" s="32">
        <f>P26*P30</f>
        <v/>
      </c>
    </row>
    <row r="30">
      <c r="A30" s="4" t="inlineStr">
        <is>
          <t xml:space="preserve">    Capex / D&amp;A  (from Dashboard: $cap'26 -&gt; terminal)</t>
        </is>
      </c>
      <c r="B30" s="59">
        <f>IFERROR(B29/B26,"")</f>
        <v/>
      </c>
      <c r="C30" s="59">
        <f>IFERROR(C29/C26,"")</f>
        <v/>
      </c>
      <c r="D30" s="59">
        <f>IFERROR(D29/D26,"")</f>
        <v/>
      </c>
      <c r="E30" s="59">
        <f>IFERROR(E29/E26,"")</f>
        <v/>
      </c>
      <c r="F30" s="59">
        <f>IFERROR(F29/F26,"")</f>
        <v/>
      </c>
      <c r="G30" s="49">
        <f>(Dashboard!$B$34/G26)+(Dashboard!$B$35-(Dashboard!$B$34/G26))*0/9</f>
        <v/>
      </c>
      <c r="H30" s="49">
        <f>(Dashboard!$B$34/G26)+(Dashboard!$B$35-(Dashboard!$B$34/G26))*1/9</f>
        <v/>
      </c>
      <c r="I30" s="49">
        <f>(Dashboard!$B$34/G26)+(Dashboard!$B$35-(Dashboard!$B$34/G26))*2/9</f>
        <v/>
      </c>
      <c r="J30" s="49">
        <f>(Dashboard!$B$34/G26)+(Dashboard!$B$35-(Dashboard!$B$34/G26))*3/9</f>
        <v/>
      </c>
      <c r="K30" s="49">
        <f>(Dashboard!$B$34/G26)+(Dashboard!$B$35-(Dashboard!$B$34/G26))*4/9</f>
        <v/>
      </c>
      <c r="L30" s="49">
        <f>(Dashboard!$B$34/G26)+(Dashboard!$B$35-(Dashboard!$B$34/G26))*5/9</f>
        <v/>
      </c>
      <c r="M30" s="49">
        <f>(Dashboard!$B$34/G26)+(Dashboard!$B$35-(Dashboard!$B$34/G26))*6/9</f>
        <v/>
      </c>
      <c r="N30" s="49">
        <f>(Dashboard!$B$34/G26)+(Dashboard!$B$35-(Dashboard!$B$34/G26))*7/9</f>
        <v/>
      </c>
      <c r="O30" s="49">
        <f>(Dashboard!$B$34/G26)+(Dashboard!$B$35-(Dashboard!$B$34/G26))*8/9</f>
        <v/>
      </c>
      <c r="P30" s="49">
        <f>(Dashboard!$B$34/G26)+(Dashboard!$B$35-(Dashboard!$B$34/G26))*9/9</f>
        <v/>
      </c>
    </row>
    <row r="32">
      <c r="A32" s="3" t="inlineStr">
        <is>
          <t>FCFF (firm)</t>
        </is>
      </c>
      <c r="B32" s="33">
        <f>B25+B26+B27-B28-B29</f>
        <v/>
      </c>
      <c r="C32" s="33">
        <f>C25+C26+C27-C28-C29</f>
        <v/>
      </c>
      <c r="D32" s="33">
        <f>D25+D26+D27-D28-D29</f>
        <v/>
      </c>
      <c r="E32" s="33">
        <f>E25+E26+E27-E28-E29</f>
        <v/>
      </c>
      <c r="F32" s="33">
        <f>F25+F26+F27-F28-F29</f>
        <v/>
      </c>
      <c r="G32" s="33">
        <f>G25+G26+G27-G28-G29</f>
        <v/>
      </c>
      <c r="H32" s="33">
        <f>H25+H26+H27-H28-H29</f>
        <v/>
      </c>
      <c r="I32" s="33">
        <f>I25+I26+I27-I28-I29</f>
        <v/>
      </c>
      <c r="J32" s="33">
        <f>J25+J26+J27-J28-J29</f>
        <v/>
      </c>
      <c r="K32" s="33">
        <f>K25+K26+K27-K28-K29</f>
        <v/>
      </c>
      <c r="L32" s="33">
        <f>L25+L26+L27-L28-L29</f>
        <v/>
      </c>
      <c r="M32" s="33">
        <f>M25+M26+M27-M28-M29</f>
        <v/>
      </c>
      <c r="N32" s="33">
        <f>N25+N26+N27-N28-N29</f>
        <v/>
      </c>
      <c r="O32" s="33">
        <f>O25+O26+O27-O28-O29</f>
        <v/>
      </c>
      <c r="P32" s="33">
        <f>P25+P26+P27-P28-P29</f>
        <v/>
      </c>
    </row>
    <row r="33">
      <c r="A33" s="3" t="inlineStr">
        <is>
          <t>Valuation FCF (FCFF - SBC)</t>
        </is>
      </c>
      <c r="B33" s="33">
        <f>B32-B27</f>
        <v/>
      </c>
      <c r="C33" s="33">
        <f>C32-C27</f>
        <v/>
      </c>
      <c r="D33" s="33">
        <f>D32-D27</f>
        <v/>
      </c>
      <c r="E33" s="33">
        <f>E32-E27</f>
        <v/>
      </c>
      <c r="F33" s="33">
        <f>F32-F27</f>
        <v/>
      </c>
      <c r="G33" s="33">
        <f>G32-G27</f>
        <v/>
      </c>
      <c r="H33" s="33">
        <f>H32-H27</f>
        <v/>
      </c>
      <c r="I33" s="33">
        <f>I32-I27</f>
        <v/>
      </c>
      <c r="J33" s="33">
        <f>J32-J27</f>
        <v/>
      </c>
      <c r="K33" s="33">
        <f>K32-K27</f>
        <v/>
      </c>
      <c r="L33" s="33">
        <f>L32-L27</f>
        <v/>
      </c>
      <c r="M33" s="33">
        <f>M32-M27</f>
        <v/>
      </c>
      <c r="N33" s="33">
        <f>N32-N27</f>
        <v/>
      </c>
      <c r="O33" s="33">
        <f>O32-O27</f>
        <v/>
      </c>
      <c r="P33" s="33">
        <f>P32-P27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28">
        <f>Financials!L39+Financials!L38-Financials!L33</f>
        <v/>
      </c>
      <c r="C36" s="28">
        <f>Financials!P39+Financials!P38-Financials!P33</f>
        <v/>
      </c>
      <c r="D36" s="28">
        <f>Financials!T39+Financials!T38-Financials!T33</f>
        <v/>
      </c>
      <c r="E36" s="28">
        <f>Financials!X39+Financials!X38-Financials!X33</f>
        <v/>
      </c>
      <c r="F36" s="28">
        <f>Financials!AB39+Financials!AB38-Financials!AB33</f>
        <v/>
      </c>
      <c r="G36" s="32">
        <f>F36+G29-G26+G28</f>
        <v/>
      </c>
      <c r="H36" s="32">
        <f>G36+H29-H26+H28</f>
        <v/>
      </c>
      <c r="I36" s="32">
        <f>H36+I29-I26+I28</f>
        <v/>
      </c>
      <c r="J36" s="32">
        <f>I36+J29-J26+J28</f>
        <v/>
      </c>
      <c r="K36" s="32">
        <f>J36+K29-K26+K28</f>
        <v/>
      </c>
      <c r="L36" s="32">
        <f>K36+L29-L26+L28</f>
        <v/>
      </c>
      <c r="M36" s="32">
        <f>L36+M29-M26+M28</f>
        <v/>
      </c>
      <c r="N36" s="32">
        <f>M36+N29-N26+N28</f>
        <v/>
      </c>
      <c r="O36" s="32">
        <f>N36+O29-O26+O28</f>
        <v/>
      </c>
      <c r="P36" s="32">
        <f>O36+P29-P26+P28</f>
        <v/>
      </c>
    </row>
    <row r="37">
      <c r="A37" s="4" t="inlineStr">
        <is>
          <t>Book equity (year-end)</t>
        </is>
      </c>
      <c r="B37" s="28">
        <f>Financials!L39</f>
        <v/>
      </c>
      <c r="C37" s="28">
        <f>Financials!P39</f>
        <v/>
      </c>
      <c r="D37" s="28">
        <f>Financials!T39</f>
        <v/>
      </c>
      <c r="E37" s="28">
        <f>Financials!X39</f>
        <v/>
      </c>
      <c r="F37" s="28">
        <f>Financials!AB39</f>
        <v/>
      </c>
      <c r="G37" s="32">
        <f>F37+G25</f>
        <v/>
      </c>
      <c r="H37" s="32">
        <f>G37+H25</f>
        <v/>
      </c>
      <c r="I37" s="32">
        <f>H37+I25</f>
        <v/>
      </c>
      <c r="J37" s="32">
        <f>I37+J25</f>
        <v/>
      </c>
      <c r="K37" s="32">
        <f>J37+K25</f>
        <v/>
      </c>
      <c r="L37" s="32">
        <f>K37+L25</f>
        <v/>
      </c>
      <c r="M37" s="32">
        <f>L37+M25</f>
        <v/>
      </c>
      <c r="N37" s="32">
        <f>M37+N25</f>
        <v/>
      </c>
      <c r="O37" s="32">
        <f>N37+O25</f>
        <v/>
      </c>
      <c r="P37" s="32">
        <f>O37+P25</f>
        <v/>
      </c>
    </row>
    <row r="38">
      <c r="A38" s="3" t="inlineStr">
        <is>
          <t xml:space="preserve">  ROIC (NOPAT / beg. invested capital)</t>
        </is>
      </c>
      <c r="C38" s="57">
        <f>IFERROR(C25/B36,"")</f>
        <v/>
      </c>
      <c r="D38" s="57">
        <f>IFERROR(D25/C36,"")</f>
        <v/>
      </c>
      <c r="E38" s="57">
        <f>IFERROR(E25/D36,"")</f>
        <v/>
      </c>
      <c r="F38" s="57">
        <f>IFERROR(F25/E36,"")</f>
        <v/>
      </c>
      <c r="G38" s="57">
        <f>IFERROR(G25/F36,"")</f>
        <v/>
      </c>
      <c r="H38" s="57">
        <f>IFERROR(H25/G36,"")</f>
        <v/>
      </c>
      <c r="I38" s="57">
        <f>IFERROR(I25/H36,"")</f>
        <v/>
      </c>
      <c r="J38" s="57">
        <f>IFERROR(J25/I36,"")</f>
        <v/>
      </c>
      <c r="K38" s="57">
        <f>IFERROR(K25/J36,"")</f>
        <v/>
      </c>
      <c r="L38" s="57">
        <f>IFERROR(L25/K36,"")</f>
        <v/>
      </c>
      <c r="M38" s="57">
        <f>IFERROR(M25/L36,"")</f>
        <v/>
      </c>
      <c r="N38" s="57">
        <f>IFERROR(N25/M36,"")</f>
        <v/>
      </c>
      <c r="O38" s="57">
        <f>IFERROR(O25/N36,"")</f>
        <v/>
      </c>
      <c r="P38" s="57">
        <f>IFERROR(P25/O36,"")</f>
        <v/>
      </c>
    </row>
    <row r="39">
      <c r="A39" s="3" t="inlineStr">
        <is>
          <t xml:space="preserve">  ROE (earnings / beg. equity)</t>
        </is>
      </c>
      <c r="C39" s="48">
        <f>IFERROR(SUM(Financials!M15:P15)/B37,"")</f>
        <v/>
      </c>
      <c r="D39" s="48">
        <f>IFERROR(SUM(Financials!Q15:T15)/C37,"")</f>
        <v/>
      </c>
      <c r="E39" s="48">
        <f>IFERROR(SUM(Financials!U15:X15)/D37,"")</f>
        <v/>
      </c>
      <c r="F39" s="48">
        <f>IFERROR(SUM(Financials!Y15:AB15)/E37,"")</f>
        <v/>
      </c>
      <c r="G39" s="57">
        <f>IFERROR(G25/F37,"")</f>
        <v/>
      </c>
      <c r="H39" s="57">
        <f>IFERROR(H25/G37,"")</f>
        <v/>
      </c>
      <c r="I39" s="57">
        <f>IFERROR(I25/H37,"")</f>
        <v/>
      </c>
      <c r="J39" s="57">
        <f>IFERROR(J25/I37,"")</f>
        <v/>
      </c>
      <c r="K39" s="57">
        <f>IFERROR(K25/J37,"")</f>
        <v/>
      </c>
      <c r="L39" s="57">
        <f>IFERROR(L25/K37,"")</f>
        <v/>
      </c>
      <c r="M39" s="57">
        <f>IFERROR(M25/L37,"")</f>
        <v/>
      </c>
      <c r="N39" s="57">
        <f>IFERROR(N25/M37,"")</f>
        <v/>
      </c>
      <c r="O39" s="57">
        <f>IFERROR(O25/N37,"")</f>
        <v/>
      </c>
      <c r="P39" s="57">
        <f>IFERROR(P25/O37,"")</f>
        <v/>
      </c>
    </row>
    <row r="40">
      <c r="A40" s="4" t="inlineStr">
        <is>
          <t xml:space="preserve">  ROIC - WACC spread (value created)</t>
        </is>
      </c>
      <c r="C40" s="48">
        <f>IFERROR(C38-WACC!$B$14,"")</f>
        <v/>
      </c>
      <c r="D40" s="48">
        <f>IFERROR(D38-WACC!$B$14,"")</f>
        <v/>
      </c>
      <c r="E40" s="48">
        <f>IFERROR(E38-WACC!$B$14,"")</f>
        <v/>
      </c>
      <c r="F40" s="48">
        <f>IFERROR(F38-WACC!$B$14,"")</f>
        <v/>
      </c>
      <c r="G40" s="48">
        <f>IFERROR(G38-WACC!$B$14,"")</f>
        <v/>
      </c>
      <c r="H40" s="48">
        <f>IFERROR(H38-WACC!$B$14,"")</f>
        <v/>
      </c>
      <c r="I40" s="48">
        <f>IFERROR(I38-WACC!$B$14,"")</f>
        <v/>
      </c>
      <c r="J40" s="48">
        <f>IFERROR(J38-WACC!$B$14,"")</f>
        <v/>
      </c>
      <c r="K40" s="48">
        <f>IFERROR(K38-WACC!$B$14,"")</f>
        <v/>
      </c>
      <c r="L40" s="48">
        <f>IFERROR(L38-WACC!$B$14,"")</f>
        <v/>
      </c>
      <c r="M40" s="48">
        <f>IFERROR(M38-WACC!$B$14,"")</f>
        <v/>
      </c>
      <c r="N40" s="48">
        <f>IFERROR(N38-WACC!$B$14,"")</f>
        <v/>
      </c>
      <c r="O40" s="48">
        <f>IFERROR(O38-WACC!$B$14,"")</f>
        <v/>
      </c>
      <c r="P40" s="48">
        <f>IFERROR(P38-WACC!$B$14,"")</f>
        <v/>
      </c>
    </row>
    <row r="41">
      <c r="A41" s="4" t="inlineStr">
        <is>
          <t xml:space="preserve">  Incremental op margin (ΔEBIT / ΔRev)</t>
        </is>
      </c>
      <c r="C41" s="57">
        <f>IFERROR((C21-B21)/(C8-B8),"")</f>
        <v/>
      </c>
      <c r="D41" s="57">
        <f>IFERROR((D21-C21)/(D8-C8),"")</f>
        <v/>
      </c>
      <c r="E41" s="57">
        <f>IFERROR((E21-D21)/(E8-D8),"")</f>
        <v/>
      </c>
      <c r="F41" s="57">
        <f>IFERROR((F21-E21)/(F8-E8),"")</f>
        <v/>
      </c>
      <c r="G41" s="57">
        <f>IFERROR((G21-F21)/(G8-F8),"")</f>
        <v/>
      </c>
      <c r="H41" s="57">
        <f>IFERROR((H21-G21)/(H8-G8),"")</f>
        <v/>
      </c>
      <c r="I41" s="57">
        <f>IFERROR((I21-H21)/(I8-H8),"")</f>
        <v/>
      </c>
      <c r="J41" s="57">
        <f>IFERROR((J21-I21)/(J8-I8),"")</f>
        <v/>
      </c>
      <c r="K41" s="57">
        <f>IFERROR((K21-J21)/(K8-J8),"")</f>
        <v/>
      </c>
      <c r="L41" s="57">
        <f>IFERROR((L21-K21)/(L8-K8),"")</f>
        <v/>
      </c>
      <c r="M41" s="57">
        <f>IFERROR((M21-L21)/(M8-L8),"")</f>
        <v/>
      </c>
      <c r="N41" s="57">
        <f>IFERROR((N21-M21)/(N8-M8),"")</f>
        <v/>
      </c>
      <c r="O41" s="57">
        <f>IFERROR((O21-N21)/(O8-N8),"")</f>
        <v/>
      </c>
      <c r="P41" s="57">
        <f>IFERROR((P21-O21)/(P8-O8),"")</f>
        <v/>
      </c>
    </row>
    <row r="42">
      <c r="A42" s="3" t="inlineStr">
        <is>
          <t xml:space="preserve">  ROIIC (ΔNOPAT / ΔInvested capital)</t>
        </is>
      </c>
      <c r="C42" s="57">
        <f>IFERROR((C25-B25)/(C36-B36),"")</f>
        <v/>
      </c>
      <c r="D42" s="57">
        <f>IFERROR((D25-C25)/(D36-C36),"")</f>
        <v/>
      </c>
      <c r="E42" s="57">
        <f>IFERROR((E25-D25)/(E36-D36),"")</f>
        <v/>
      </c>
      <c r="F42" s="57">
        <f>IFERROR((F25-E25)/(F36-E36),"")</f>
        <v/>
      </c>
      <c r="G42" s="57">
        <f>IFERROR((G25-F25)/(G36-F36),"")</f>
        <v/>
      </c>
      <c r="H42" s="57">
        <f>IFERROR((H25-G25)/(H36-G36),"")</f>
        <v/>
      </c>
      <c r="I42" s="57">
        <f>IFERROR((I25-H25)/(I36-H36),"")</f>
        <v/>
      </c>
      <c r="J42" s="57">
        <f>IFERROR((J25-I25)/(J36-I36),"")</f>
        <v/>
      </c>
      <c r="K42" s="57">
        <f>IFERROR((K25-J25)/(K36-J36),"")</f>
        <v/>
      </c>
      <c r="L42" s="57">
        <f>IFERROR((L25-K25)/(L36-K36),"")</f>
        <v/>
      </c>
      <c r="M42" s="57">
        <f>IFERROR((M25-L25)/(M36-L36),"")</f>
        <v/>
      </c>
      <c r="N42" s="57">
        <f>IFERROR((N25-M25)/(N36-M36),"")</f>
        <v/>
      </c>
      <c r="O42" s="57">
        <f>IFERROR((O25-N25)/(O36-N36),"")</f>
        <v/>
      </c>
      <c r="P42" s="57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60">
        <f>IFERROR((C8-B8)/(C36-B36),"")</f>
        <v/>
      </c>
      <c r="D43" s="60">
        <f>IFERROR((D8-C8)/(D36-C36),"")</f>
        <v/>
      </c>
      <c r="E43" s="60">
        <f>IFERROR((E8-D8)/(E36-D36),"")</f>
        <v/>
      </c>
      <c r="F43" s="60">
        <f>IFERROR((F8-E8)/(F36-E36),"")</f>
        <v/>
      </c>
      <c r="G43" s="60">
        <f>IFERROR((G8-F8)/(G36-F36),"")</f>
        <v/>
      </c>
      <c r="H43" s="60">
        <f>IFERROR((H8-G8)/(H36-G36),"")</f>
        <v/>
      </c>
      <c r="I43" s="60">
        <f>IFERROR((I8-H8)/(I36-H36),"")</f>
        <v/>
      </c>
      <c r="J43" s="60">
        <f>IFERROR((J8-I8)/(J36-I36),"")</f>
        <v/>
      </c>
      <c r="K43" s="60">
        <f>IFERROR((K8-J8)/(K36-J36),"")</f>
        <v/>
      </c>
      <c r="L43" s="60">
        <f>IFERROR((L8-K8)/(L36-K36),"")</f>
        <v/>
      </c>
      <c r="M43" s="60">
        <f>IFERROR((M8-L8)/(M36-L36),"")</f>
        <v/>
      </c>
      <c r="N43" s="60">
        <f>IFERROR((N8-M8)/(N36-M36),"")</f>
        <v/>
      </c>
      <c r="O43" s="60">
        <f>IFERROR((O8-N8)/(O36-N36),"")</f>
        <v/>
      </c>
      <c r="P43" s="60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57">
        <f>IFERROR((C36-B36)/C25,"")</f>
        <v/>
      </c>
      <c r="D44" s="57">
        <f>IFERROR((D36-C36)/D25,"")</f>
        <v/>
      </c>
      <c r="E44" s="57">
        <f>IFERROR((E36-D36)/E25,"")</f>
        <v/>
      </c>
      <c r="F44" s="57">
        <f>IFERROR((F36-E36)/F25,"")</f>
        <v/>
      </c>
      <c r="G44" s="57">
        <f>IFERROR((G36-F36)/G25,"")</f>
        <v/>
      </c>
      <c r="H44" s="57">
        <f>IFERROR((H36-G36)/H25,"")</f>
        <v/>
      </c>
      <c r="I44" s="57">
        <f>IFERROR((I36-H36)/I25,"")</f>
        <v/>
      </c>
      <c r="J44" s="57">
        <f>IFERROR((J36-I36)/J25,"")</f>
        <v/>
      </c>
      <c r="K44" s="57">
        <f>IFERROR((K36-J36)/K25,"")</f>
        <v/>
      </c>
      <c r="L44" s="57">
        <f>IFERROR((L36-K36)/L25,"")</f>
        <v/>
      </c>
      <c r="M44" s="57">
        <f>IFERROR((M36-L36)/M25,"")</f>
        <v/>
      </c>
      <c r="N44" s="57">
        <f>IFERROR((N36-M36)/N25,"")</f>
        <v/>
      </c>
      <c r="O44" s="57">
        <f>IFERROR((O36-N36)/O25,"")</f>
        <v/>
      </c>
      <c r="P44" s="57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4444.5</v>
      </c>
      <c r="C3" s="18" t="n">
        <v>4378</v>
      </c>
      <c r="D3" s="18" t="n">
        <v>4868.4</v>
      </c>
      <c r="E3" s="18" t="n">
        <v>4343.1</v>
      </c>
      <c r="F3" s="18" t="n">
        <v>5297.4</v>
      </c>
      <c r="G3" s="18" t="n">
        <v>5883.2</v>
      </c>
      <c r="H3" s="18" t="n">
        <v>6760</v>
      </c>
      <c r="I3" s="18" t="n">
        <v>6858</v>
      </c>
      <c r="J3" s="18" t="n">
        <v>7218</v>
      </c>
      <c r="K3" s="18" t="n">
        <v>7229</v>
      </c>
      <c r="L3" s="18" t="n">
        <v>8148</v>
      </c>
      <c r="M3" s="18" t="n">
        <v>7688</v>
      </c>
      <c r="N3" s="18" t="n">
        <v>7751</v>
      </c>
      <c r="O3" s="18" t="n">
        <v>7663</v>
      </c>
      <c r="P3" s="18" t="n">
        <v>7134</v>
      </c>
      <c r="Q3" s="18" t="n">
        <v>5949</v>
      </c>
      <c r="R3" s="18" t="n">
        <v>7157</v>
      </c>
      <c r="S3" s="18" t="n">
        <v>5624</v>
      </c>
      <c r="T3" s="18" t="n">
        <v>6405</v>
      </c>
      <c r="U3" s="18" t="n">
        <v>5796</v>
      </c>
      <c r="V3" s="18" t="n">
        <v>5743</v>
      </c>
      <c r="W3" s="18" t="n">
        <v>5798</v>
      </c>
      <c r="X3" s="18" t="n">
        <v>6538</v>
      </c>
      <c r="Y3" s="18" t="n">
        <v>5741</v>
      </c>
      <c r="Z3" s="18" t="n">
        <v>5936</v>
      </c>
      <c r="AA3" s="18" t="n">
        <v>6053</v>
      </c>
      <c r="AB3" s="18" t="n">
        <v>6838</v>
      </c>
      <c r="AC3" s="18" t="n">
        <v>5951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1960.7</v>
      </c>
      <c r="C5" s="18" t="n">
        <v>1936.6</v>
      </c>
      <c r="D5" s="18" t="n">
        <v>2164.8</v>
      </c>
      <c r="E5" s="18" t="n">
        <v>1900.3</v>
      </c>
      <c r="F5" s="18" t="n">
        <v>2444.8</v>
      </c>
      <c r="G5" s="18" t="n">
        <v>2657.7</v>
      </c>
      <c r="H5" s="18" t="n">
        <v>2806</v>
      </c>
      <c r="I5" s="18" t="n">
        <v>2605</v>
      </c>
      <c r="J5" s="18" t="n">
        <v>2821</v>
      </c>
      <c r="K5" s="18" t="n">
        <v>2870</v>
      </c>
      <c r="L5" s="18" t="n">
        <v>3205</v>
      </c>
      <c r="M5" s="18" t="n">
        <v>2983</v>
      </c>
      <c r="N5" s="18" t="n">
        <v>3030</v>
      </c>
      <c r="O5" s="18" t="n">
        <v>3079</v>
      </c>
      <c r="P5" s="18" t="n">
        <v>2908</v>
      </c>
      <c r="Q5" s="18" t="n">
        <v>2287</v>
      </c>
      <c r="R5" s="18" t="n">
        <v>3116</v>
      </c>
      <c r="S5" s="18" t="n">
        <v>2349</v>
      </c>
      <c r="T5" s="18" t="n">
        <v>2626</v>
      </c>
      <c r="U5" s="18" t="n">
        <v>2309</v>
      </c>
      <c r="V5" s="18" t="n">
        <v>2315</v>
      </c>
      <c r="W5" s="18" t="n">
        <v>2397</v>
      </c>
      <c r="X5" s="18" t="n">
        <v>2648</v>
      </c>
      <c r="Y5" s="18" t="n">
        <v>2215</v>
      </c>
      <c r="Z5" s="18" t="n">
        <v>1981</v>
      </c>
      <c r="AA5" s="18" t="n">
        <v>2530</v>
      </c>
      <c r="AB5" s="18" t="n">
        <v>2872</v>
      </c>
      <c r="AC5" s="18" t="n">
        <v>2360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282.1</v>
      </c>
      <c r="C7" s="18" t="n">
        <v>282.6</v>
      </c>
      <c r="D7" s="18" t="n">
        <v>293.8</v>
      </c>
      <c r="E7" s="18" t="n">
        <v>287</v>
      </c>
      <c r="F7" s="18" t="n">
        <v>322.6</v>
      </c>
      <c r="G7" s="18" t="n">
        <v>342.6</v>
      </c>
      <c r="H7" s="18" t="n">
        <v>396</v>
      </c>
      <c r="I7" s="18" t="n">
        <v>380</v>
      </c>
      <c r="J7" s="18" t="n">
        <v>426</v>
      </c>
      <c r="K7" s="18" t="n">
        <v>441</v>
      </c>
      <c r="L7" s="18" t="n">
        <v>495</v>
      </c>
      <c r="M7" s="18" t="n">
        <v>441</v>
      </c>
      <c r="N7" s="18" t="n">
        <v>431</v>
      </c>
      <c r="O7" s="18" t="n">
        <v>420</v>
      </c>
      <c r="P7" s="18" t="n">
        <v>400</v>
      </c>
      <c r="Q7" s="18" t="n">
        <v>373</v>
      </c>
      <c r="R7" s="18" t="n">
        <v>418</v>
      </c>
      <c r="S7" s="18" t="n">
        <v>362</v>
      </c>
      <c r="T7" s="18" t="n">
        <v>407</v>
      </c>
      <c r="U7" s="18" t="n">
        <v>368</v>
      </c>
      <c r="V7" s="18" t="n">
        <v>391</v>
      </c>
      <c r="W7" s="18" t="n">
        <v>383</v>
      </c>
      <c r="X7" s="18" t="n">
        <v>442</v>
      </c>
      <c r="Y7" s="18" t="n">
        <v>379</v>
      </c>
      <c r="Z7" s="18" t="n">
        <v>403</v>
      </c>
      <c r="AA7" s="18" t="n">
        <v>378</v>
      </c>
      <c r="AB7" s="18" t="n">
        <v>438</v>
      </c>
      <c r="AC7" s="18" t="n">
        <v>387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1390</v>
      </c>
      <c r="C9" s="18" t="n">
        <v>1382.5</v>
      </c>
      <c r="D9" s="18" t="n">
        <v>1448.1</v>
      </c>
      <c r="E9" s="18" t="n">
        <v>1450.3</v>
      </c>
      <c r="F9" s="18" t="n">
        <v>1685.4</v>
      </c>
      <c r="G9" s="18" t="n">
        <v>1781.3</v>
      </c>
      <c r="H9" s="18" t="n">
        <v>1957</v>
      </c>
      <c r="I9" s="18" t="n">
        <v>1866</v>
      </c>
      <c r="J9" s="18" t="n">
        <v>1966</v>
      </c>
      <c r="K9" s="18" t="n">
        <v>2034</v>
      </c>
      <c r="L9" s="18" t="n">
        <v>2294</v>
      </c>
      <c r="M9" s="18" t="n">
        <v>2092</v>
      </c>
      <c r="N9" s="18" t="n">
        <v>2085</v>
      </c>
      <c r="O9" s="18" t="n">
        <v>2149</v>
      </c>
      <c r="P9" s="18" t="n">
        <v>1829</v>
      </c>
      <c r="Q9" s="18" t="n">
        <v>1772</v>
      </c>
      <c r="R9" s="18" t="n">
        <v>2194</v>
      </c>
      <c r="S9" s="18" t="n">
        <v>1728</v>
      </c>
      <c r="T9" s="18" t="n">
        <v>1958</v>
      </c>
      <c r="U9" s="18" t="n">
        <v>1807</v>
      </c>
      <c r="V9" s="18" t="n">
        <v>1869</v>
      </c>
      <c r="W9" s="18" t="n">
        <v>2060</v>
      </c>
      <c r="X9" s="18" t="n">
        <v>1702</v>
      </c>
      <c r="Y9" s="18" t="n">
        <v>1858</v>
      </c>
      <c r="Z9" s="18" t="n">
        <v>2360</v>
      </c>
      <c r="AA9" s="18" t="n">
        <v>1991</v>
      </c>
      <c r="AB9" s="18" t="n">
        <v>2026</v>
      </c>
      <c r="AC9" s="18" t="n">
        <v>1860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2483.8</v>
      </c>
      <c r="C11" s="18" t="n">
        <v>2441.4</v>
      </c>
      <c r="D11" s="18" t="n">
        <v>2703.6</v>
      </c>
      <c r="E11" s="18" t="n">
        <v>2442.8</v>
      </c>
      <c r="F11" s="18" t="n">
        <v>2852.6</v>
      </c>
      <c r="G11" s="18" t="n">
        <v>3225.5</v>
      </c>
      <c r="H11" s="18" t="n">
        <v>3954</v>
      </c>
      <c r="I11" s="18" t="n">
        <v>4253</v>
      </c>
      <c r="J11" s="18" t="n">
        <v>4397</v>
      </c>
      <c r="K11" s="18" t="n">
        <v>4359</v>
      </c>
      <c r="L11" s="18" t="n">
        <v>4943</v>
      </c>
      <c r="M11" s="18" t="n">
        <v>4705</v>
      </c>
      <c r="N11" s="18" t="n">
        <v>4721</v>
      </c>
      <c r="O11" s="18" t="n">
        <v>4584</v>
      </c>
      <c r="P11" s="18" t="n">
        <v>4226</v>
      </c>
      <c r="Q11" s="18" t="n">
        <v>3662</v>
      </c>
      <c r="R11" s="18" t="n">
        <v>4041</v>
      </c>
      <c r="S11" s="18" t="n">
        <v>3275</v>
      </c>
      <c r="T11" s="18" t="n">
        <v>3779</v>
      </c>
      <c r="U11" s="18" t="n">
        <v>3487</v>
      </c>
      <c r="V11" s="18" t="n">
        <v>3428</v>
      </c>
      <c r="W11" s="18" t="n">
        <v>3401</v>
      </c>
      <c r="X11" s="18" t="n">
        <v>3890</v>
      </c>
      <c r="Y11" s="18" t="n">
        <v>3526</v>
      </c>
      <c r="Z11" s="18" t="n">
        <v>3955</v>
      </c>
      <c r="AA11" s="18" t="n">
        <v>3523</v>
      </c>
      <c r="AB11" s="18" t="n">
        <v>3966</v>
      </c>
      <c r="AC11" s="18" t="n">
        <v>3591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811.7</v>
      </c>
      <c r="C13" s="18" t="n">
        <v>776.3</v>
      </c>
      <c r="D13" s="18" t="n">
        <v>961.7</v>
      </c>
      <c r="E13" s="18" t="n">
        <v>705.5</v>
      </c>
      <c r="F13" s="18" t="n">
        <v>844.6</v>
      </c>
      <c r="G13" s="18" t="n">
        <v>1101.6</v>
      </c>
      <c r="H13" s="18" t="n">
        <v>1601</v>
      </c>
      <c r="I13" s="18" t="n">
        <v>2007</v>
      </c>
      <c r="J13" s="18" t="n">
        <v>2005</v>
      </c>
      <c r="K13" s="18" t="n">
        <v>1884</v>
      </c>
      <c r="L13" s="18" t="n">
        <v>2154</v>
      </c>
      <c r="M13" s="18" t="n">
        <v>2172</v>
      </c>
      <c r="N13" s="18" t="n">
        <v>2205</v>
      </c>
      <c r="O13" s="18" t="n">
        <v>2015</v>
      </c>
      <c r="P13" s="18" t="n">
        <v>1997</v>
      </c>
      <c r="Q13" s="18" t="n">
        <v>1517</v>
      </c>
      <c r="R13" s="18" t="n">
        <v>1429</v>
      </c>
      <c r="S13" s="18" t="n">
        <v>1185</v>
      </c>
      <c r="T13" s="18" t="n">
        <v>1414</v>
      </c>
      <c r="U13" s="18" t="n">
        <v>1312</v>
      </c>
      <c r="V13" s="18" t="n">
        <v>1168</v>
      </c>
      <c r="W13" s="18" t="n">
        <v>958</v>
      </c>
      <c r="X13" s="18" t="n">
        <v>1746</v>
      </c>
      <c r="Y13" s="18" t="n">
        <v>1289</v>
      </c>
      <c r="Z13" s="18" t="n">
        <v>1192</v>
      </c>
      <c r="AA13" s="18" t="n">
        <v>1154</v>
      </c>
      <c r="AB13" s="18" t="n">
        <v>1502</v>
      </c>
      <c r="AC13" s="18" t="n">
        <v>1344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731.3</v>
      </c>
      <c r="C15" s="18" t="n">
        <v>668</v>
      </c>
      <c r="D15" s="18" t="n">
        <v>824.1</v>
      </c>
      <c r="E15" s="18" t="n">
        <v>595.1</v>
      </c>
      <c r="F15" s="18" t="n">
        <v>927.3</v>
      </c>
      <c r="G15" s="18" t="n">
        <v>883.5</v>
      </c>
      <c r="H15" s="18" t="n">
        <v>1241</v>
      </c>
      <c r="I15" s="18" t="n">
        <v>1702</v>
      </c>
      <c r="J15" s="18" t="n">
        <v>1785</v>
      </c>
      <c r="K15" s="18" t="n">
        <v>1158</v>
      </c>
      <c r="L15" s="18" t="n">
        <v>1788</v>
      </c>
      <c r="M15" s="18" t="n">
        <v>1725</v>
      </c>
      <c r="N15" s="18" t="n">
        <v>1680</v>
      </c>
      <c r="O15" s="18" t="n">
        <v>1572</v>
      </c>
      <c r="P15" s="18" t="n">
        <v>2232</v>
      </c>
      <c r="Q15" s="18" t="n">
        <v>1450</v>
      </c>
      <c r="R15" s="18" t="n">
        <v>1106</v>
      </c>
      <c r="S15" s="18" t="n">
        <v>1129</v>
      </c>
      <c r="T15" s="18" t="n">
        <v>1079</v>
      </c>
      <c r="U15" s="18" t="n">
        <v>1088</v>
      </c>
      <c r="V15" s="18" t="n">
        <v>907</v>
      </c>
      <c r="W15" s="18" t="n">
        <v>818</v>
      </c>
      <c r="X15" s="18" t="n">
        <v>1086</v>
      </c>
      <c r="Y15" s="18" t="n">
        <v>954</v>
      </c>
      <c r="Z15" s="18" t="n">
        <v>555</v>
      </c>
      <c r="AA15" s="18" t="n">
        <v>908</v>
      </c>
      <c r="AB15" s="18" t="n">
        <v>1197</v>
      </c>
      <c r="AC15" s="18" t="n">
        <v>1029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727.9</v>
      </c>
      <c r="C17" s="18" t="n">
        <v>729.3</v>
      </c>
      <c r="D17" s="18" t="n">
        <v>726.3</v>
      </c>
      <c r="E17" s="18" t="n">
        <v>707.9</v>
      </c>
      <c r="F17" s="18" t="n">
        <v>718.2</v>
      </c>
      <c r="G17" s="18" t="n">
        <v>724.3</v>
      </c>
      <c r="H17" s="18" t="n">
        <v>724.5</v>
      </c>
      <c r="I17" s="18" t="n">
        <v>735.1</v>
      </c>
      <c r="J17" s="18" t="n">
        <v>736</v>
      </c>
      <c r="K17" s="18" t="n">
        <v>727</v>
      </c>
      <c r="L17" s="18" t="n">
        <v>738.4</v>
      </c>
      <c r="M17" s="18" t="n">
        <v>737.7</v>
      </c>
      <c r="N17" s="18" t="n">
        <v>736</v>
      </c>
      <c r="O17" s="18" t="n">
        <v>737.4</v>
      </c>
      <c r="P17" s="18" t="n">
        <v>745.7</v>
      </c>
      <c r="Q17" s="18" t="n">
        <v>737.2</v>
      </c>
      <c r="R17" s="18" t="n">
        <v>744.7</v>
      </c>
      <c r="S17" s="18" t="n">
        <v>745.9</v>
      </c>
      <c r="T17" s="18" t="n">
        <v>746.1</v>
      </c>
      <c r="U17" s="18" t="n">
        <v>748.6</v>
      </c>
      <c r="V17" s="18" t="n">
        <v>742.4</v>
      </c>
      <c r="W17" s="18" t="n">
        <v>729.4</v>
      </c>
      <c r="X17" s="18" t="n">
        <v>737.2</v>
      </c>
      <c r="Y17" s="18" t="n">
        <v>720.8</v>
      </c>
      <c r="Z17" s="18" t="n">
        <v>719.1</v>
      </c>
      <c r="AA17" s="18" t="n">
        <v>713.7</v>
      </c>
      <c r="AB17" s="18" t="n">
        <v>711</v>
      </c>
      <c r="AC17" s="18" t="n">
        <v>711.2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Revenue from Contract with Customer, Measurement, Recurring</t>
        </is>
      </c>
      <c r="B19" s="18" t="n">
        <v>3607.4</v>
      </c>
      <c r="C19" s="18" t="n">
        <v>3502.1</v>
      </c>
      <c r="D19" s="18" t="n">
        <v>1735.7</v>
      </c>
      <c r="E19" s="18" t="n">
        <v>3206.9</v>
      </c>
      <c r="F19" s="18" t="n">
        <v>3815.4</v>
      </c>
      <c r="G19" s="18" t="n">
        <v>4227</v>
      </c>
      <c r="H19" s="18" t="n">
        <v>4728.7</v>
      </c>
      <c r="I19" s="18" t="n">
        <v>5079</v>
      </c>
      <c r="J19" s="18" t="n">
        <v>5320</v>
      </c>
      <c r="K19" s="18" t="n">
        <v>5419</v>
      </c>
      <c r="L19" s="18" t="n">
        <v>5977</v>
      </c>
      <c r="M19" s="18" t="n">
        <v>5898</v>
      </c>
      <c r="N19" s="18" t="n">
        <v>5892</v>
      </c>
      <c r="O19" s="18" t="n">
        <v>5825</v>
      </c>
      <c r="P19" s="18" t="n">
        <v>6102</v>
      </c>
      <c r="Q19" s="18" t="n">
        <v>5386</v>
      </c>
      <c r="R19" s="18" t="n">
        <v>5338</v>
      </c>
      <c r="S19" s="18" t="n">
        <v>5182</v>
      </c>
      <c r="T19" s="18" t="n">
        <v>2776</v>
      </c>
      <c r="U19" s="18" t="n">
        <v>4795</v>
      </c>
      <c r="V19" s="18" t="n">
        <v>4689</v>
      </c>
      <c r="W19" s="18" t="n">
        <v>4777</v>
      </c>
      <c r="X19" s="18" t="n">
        <v>5105</v>
      </c>
      <c r="Y19" s="18" t="n">
        <v>4816</v>
      </c>
      <c r="Z19" s="18" t="n">
        <v>4970</v>
      </c>
      <c r="AA19" s="18" t="n">
        <v>5017</v>
      </c>
      <c r="AB19" s="18" t="n">
        <v>5324</v>
      </c>
      <c r="AC19" s="18" t="n">
        <v>5031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  <c r="Y20" s="57">
        <f>IFERROR(Y19/U19-1,"")</f>
        <v/>
      </c>
      <c r="Z20" s="57">
        <f>IFERROR(Z19/V19-1,"")</f>
        <v/>
      </c>
      <c r="AA20" s="57">
        <f>IFERROR(AA19/W19-1,"")</f>
        <v/>
      </c>
      <c r="AB20" s="57">
        <f>IFERROR(AB19/X19-1,"")</f>
        <v/>
      </c>
      <c r="AC20" s="57">
        <f>IFERROR(AC19/Y19-1,"")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  <c r="Y21" s="57">
        <f>IFERROR(Y19/Y3,"")</f>
        <v/>
      </c>
      <c r="Z21" s="57">
        <f>IFERROR(Z19/Z3,"")</f>
        <v/>
      </c>
      <c r="AA21" s="57">
        <f>IFERROR(AA19/AA3,"")</f>
        <v/>
      </c>
      <c r="AB21" s="57">
        <f>IFERROR(AB19/AB3,"")</f>
        <v/>
      </c>
      <c r="AC21" s="57">
        <f>IFERROR(AC19/AC3,"")</f>
        <v/>
      </c>
    </row>
    <row r="22">
      <c r="A22" s="4" t="inlineStr">
        <is>
          <t>Revenue from Contract with Customer, Measurement, Nonrecurring</t>
        </is>
      </c>
      <c r="B22" s="18" t="n">
        <v>1549.2</v>
      </c>
      <c r="C22" s="18" t="n">
        <v>1535.2</v>
      </c>
      <c r="D22" s="18" t="n">
        <v>1101.6</v>
      </c>
      <c r="E22" s="18" t="n">
        <v>1136.2</v>
      </c>
      <c r="F22" s="18" t="n">
        <v>1482</v>
      </c>
      <c r="G22" s="18" t="n">
        <v>1656.2</v>
      </c>
      <c r="H22" s="18" t="n">
        <v>2031.6</v>
      </c>
      <c r="I22" s="18" t="n">
        <v>1779</v>
      </c>
      <c r="J22" s="18" t="n">
        <v>1898</v>
      </c>
      <c r="K22" s="18" t="n">
        <v>1810</v>
      </c>
      <c r="L22" s="18" t="n">
        <v>2171</v>
      </c>
      <c r="M22" s="18" t="n">
        <v>1790</v>
      </c>
      <c r="N22" s="18" t="n">
        <v>1859</v>
      </c>
      <c r="O22" s="18" t="n">
        <v>1838</v>
      </c>
      <c r="P22" s="18" t="n">
        <v>2267</v>
      </c>
      <c r="Q22" s="18" t="n">
        <v>1781</v>
      </c>
      <c r="R22" s="18" t="n">
        <v>1819</v>
      </c>
      <c r="S22" s="18" t="n">
        <v>1691</v>
      </c>
      <c r="T22" s="18" t="n">
        <v>0</v>
      </c>
      <c r="U22" s="18" t="n">
        <v>1001</v>
      </c>
      <c r="V22" s="18" t="n">
        <v>1054</v>
      </c>
      <c r="W22" s="18" t="n">
        <v>1021</v>
      </c>
      <c r="X22" s="18" t="n">
        <v>1433</v>
      </c>
      <c r="Y22" s="18" t="n">
        <v>925</v>
      </c>
      <c r="Z22" s="18" t="n">
        <v>966</v>
      </c>
      <c r="AA22" s="18" t="n">
        <v>1036</v>
      </c>
      <c r="AB22" s="18" t="n">
        <v>1514</v>
      </c>
      <c r="AC22" s="18" t="n">
        <v>920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  <c r="Y23" s="57">
        <f>IFERROR(Y22/U22-1,"")</f>
        <v/>
      </c>
      <c r="Z23" s="57">
        <f>IFERROR(Z22/V22-1,"")</f>
        <v/>
      </c>
      <c r="AA23" s="57">
        <f>IFERROR(AA22/W22-1,"")</f>
        <v/>
      </c>
      <c r="AB23" s="57">
        <f>IFERROR(AB22/X22-1,"")</f>
        <v/>
      </c>
      <c r="AC23" s="57">
        <f>IFERROR(AC22/Y22-1,"")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  <c r="Y24" s="57">
        <f>IFERROR(Y22/Y3,"")</f>
        <v/>
      </c>
      <c r="Z24" s="57">
        <f>IFERROR(Z22/Z3,"")</f>
        <v/>
      </c>
      <c r="AA24" s="57">
        <f>IFERROR(AA22/AA3,"")</f>
        <v/>
      </c>
      <c r="AB24" s="57">
        <f>IFERROR(AB22/AB3,"")</f>
        <v/>
      </c>
      <c r="AC24" s="57">
        <f>IFERROR(AC22/AC3,"")</f>
        <v/>
      </c>
    </row>
    <row r="25">
      <c r="A25" s="5" t="inlineStr">
        <is>
          <t xml:space="preserve">  REVENUE BY SEGMENT — GEOGRAPHY (% YoY, % of revenue)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North America</t>
        </is>
      </c>
      <c r="B26" s="18" t="n">
        <v>2083.1</v>
      </c>
      <c r="C26" s="18" t="n">
        <v>2033.3</v>
      </c>
      <c r="D26" s="18" t="n">
        <v>575.9</v>
      </c>
      <c r="E26" s="18" t="n">
        <v>1872.3</v>
      </c>
      <c r="F26" s="18" t="n">
        <v>2143</v>
      </c>
      <c r="G26" s="18" t="n">
        <v>2379.4</v>
      </c>
      <c r="I26" s="18" t="n">
        <v>2727</v>
      </c>
      <c r="J26" s="18" t="n">
        <v>2816</v>
      </c>
      <c r="K26" s="18" t="n">
        <v>2886</v>
      </c>
      <c r="M26" s="18" t="n">
        <v>3354</v>
      </c>
      <c r="N26" s="18" t="n">
        <v>3382</v>
      </c>
      <c r="O26" s="18" t="n">
        <v>3480</v>
      </c>
      <c r="Q26" s="18" t="n">
        <v>3022</v>
      </c>
      <c r="R26" s="18" t="n">
        <v>2927</v>
      </c>
      <c r="S26" s="18" t="n">
        <v>2974</v>
      </c>
      <c r="U26" s="18" t="n">
        <v>2632</v>
      </c>
      <c r="V26" s="18" t="n">
        <v>2434</v>
      </c>
      <c r="W26" s="18" t="n">
        <v>2456</v>
      </c>
      <c r="Y26" s="18" t="n">
        <v>2582</v>
      </c>
      <c r="Z26" s="18" t="n">
        <v>2438</v>
      </c>
      <c r="AA26" s="18" t="n">
        <v>2580</v>
      </c>
      <c r="AC26" s="18" t="n">
        <v>2478</v>
      </c>
    </row>
    <row r="27">
      <c r="A27" s="4" t="inlineStr">
        <is>
          <t xml:space="preserve">    % YoY</t>
        </is>
      </c>
      <c r="F27" s="57">
        <f>IFERROR(F26/B26-1,"")</f>
        <v/>
      </c>
      <c r="G27" s="57">
        <f>IFERROR(G26/C26-1,"")</f>
        <v/>
      </c>
      <c r="H27" s="57">
        <f>IFERROR(H26/D26-1,"")</f>
        <v/>
      </c>
      <c r="I27" s="57">
        <f>IFERROR(I26/E26-1,"")</f>
        <v/>
      </c>
      <c r="J27" s="57">
        <f>IFERROR(J26/F26-1,"")</f>
        <v/>
      </c>
      <c r="K27" s="57">
        <f>IFERROR(K26/G26-1,"")</f>
        <v/>
      </c>
      <c r="L27" s="57">
        <f>IFERROR(L26/H26-1,"")</f>
        <v/>
      </c>
      <c r="M27" s="57">
        <f>IFERROR(M26/I26-1,"")</f>
        <v/>
      </c>
      <c r="N27" s="57">
        <f>IFERROR(N26/J26-1,"")</f>
        <v/>
      </c>
      <c r="O27" s="57">
        <f>IFERROR(O26/K26-1,"")</f>
        <v/>
      </c>
      <c r="P27" s="57">
        <f>IFERROR(P26/L26-1,"")</f>
        <v/>
      </c>
      <c r="Q27" s="57">
        <f>IFERROR(Q26/M26-1,"")</f>
        <v/>
      </c>
      <c r="R27" s="57">
        <f>IFERROR(R26/N26-1,"")</f>
        <v/>
      </c>
      <c r="S27" s="57">
        <f>IFERROR(S26/O26-1,"")</f>
        <v/>
      </c>
      <c r="T27" s="57">
        <f>IFERROR(T26/P26-1,"")</f>
        <v/>
      </c>
      <c r="U27" s="57">
        <f>IFERROR(U26/Q26-1,"")</f>
        <v/>
      </c>
      <c r="V27" s="57">
        <f>IFERROR(V26/R26-1,"")</f>
        <v/>
      </c>
      <c r="W27" s="57">
        <f>IFERROR(W26/S26-1,"")</f>
        <v/>
      </c>
      <c r="X27" s="57">
        <f>IFERROR(X26/T26-1,"")</f>
        <v/>
      </c>
      <c r="Y27" s="57">
        <f>IFERROR(Y26/U26-1,"")</f>
        <v/>
      </c>
      <c r="Z27" s="57">
        <f>IFERROR(Z26/V26-1,"")</f>
        <v/>
      </c>
      <c r="AA27" s="57">
        <f>IFERROR(AA26/W26-1,"")</f>
        <v/>
      </c>
      <c r="AB27" s="57">
        <f>IFERROR(AB26/X26-1,"")</f>
        <v/>
      </c>
      <c r="AC27" s="57">
        <f>IFERROR(AC26/Y26-1,"")</f>
        <v/>
      </c>
    </row>
    <row r="28">
      <c r="A28" s="4" t="inlineStr">
        <is>
          <t xml:space="preserve">    % of revenue</t>
        </is>
      </c>
      <c r="B28" s="57">
        <f>IFERROR(B26/B3,"")</f>
        <v/>
      </c>
      <c r="C28" s="57">
        <f>IFERROR(C26/C3,"")</f>
        <v/>
      </c>
      <c r="D28" s="57">
        <f>IFERROR(D26/D3,"")</f>
        <v/>
      </c>
      <c r="E28" s="57">
        <f>IFERROR(E26/E3,"")</f>
        <v/>
      </c>
      <c r="F28" s="57">
        <f>IFERROR(F26/F3,"")</f>
        <v/>
      </c>
      <c r="G28" s="57">
        <f>IFERROR(G26/G3,"")</f>
        <v/>
      </c>
      <c r="H28" s="57">
        <f>IFERROR(H26/H3,"")</f>
        <v/>
      </c>
      <c r="I28" s="57">
        <f>IFERROR(I26/I3,"")</f>
        <v/>
      </c>
      <c r="J28" s="57">
        <f>IFERROR(J26/J3,"")</f>
        <v/>
      </c>
      <c r="K28" s="57">
        <f>IFERROR(K26/K3,"")</f>
        <v/>
      </c>
      <c r="L28" s="57">
        <f>IFERROR(L26/L3,"")</f>
        <v/>
      </c>
      <c r="M28" s="57">
        <f>IFERROR(M26/M3,"")</f>
        <v/>
      </c>
      <c r="N28" s="57">
        <f>IFERROR(N26/N3,"")</f>
        <v/>
      </c>
      <c r="O28" s="57">
        <f>IFERROR(O26/O3,"")</f>
        <v/>
      </c>
      <c r="P28" s="57">
        <f>IFERROR(P26/P3,"")</f>
        <v/>
      </c>
      <c r="Q28" s="57">
        <f>IFERROR(Q26/Q3,"")</f>
        <v/>
      </c>
      <c r="R28" s="57">
        <f>IFERROR(R26/R3,"")</f>
        <v/>
      </c>
      <c r="S28" s="57">
        <f>IFERROR(S26/S3,"")</f>
        <v/>
      </c>
      <c r="T28" s="57">
        <f>IFERROR(T26/T3,"")</f>
        <v/>
      </c>
      <c r="U28" s="57">
        <f>IFERROR(U26/U3,"")</f>
        <v/>
      </c>
      <c r="V28" s="57">
        <f>IFERROR(V26/V3,"")</f>
        <v/>
      </c>
      <c r="W28" s="57">
        <f>IFERROR(W26/W3,"")</f>
        <v/>
      </c>
      <c r="X28" s="57">
        <f>IFERROR(X26/X3,"")</f>
        <v/>
      </c>
      <c r="Y28" s="57">
        <f>IFERROR(Y26/Y3,"")</f>
        <v/>
      </c>
      <c r="Z28" s="57">
        <f>IFERROR(Z26/Z3,"")</f>
        <v/>
      </c>
      <c r="AA28" s="57">
        <f>IFERROR(AA26/AA3,"")</f>
        <v/>
      </c>
      <c r="AB28" s="57">
        <f>IFERROR(AB26/AB3,"")</f>
        <v/>
      </c>
      <c r="AC28" s="57">
        <f>IFERROR(AC26/AC3,"")</f>
        <v/>
      </c>
    </row>
    <row r="29">
      <c r="A29" s="4" t="inlineStr">
        <is>
          <t>Western Europe</t>
        </is>
      </c>
      <c r="B29" s="18" t="n">
        <v>1158.7</v>
      </c>
      <c r="C29" s="18" t="n">
        <v>1082.3</v>
      </c>
      <c r="E29" s="18" t="n">
        <v>1037.4</v>
      </c>
      <c r="F29" s="18" t="n">
        <v>1246.2</v>
      </c>
      <c r="G29" s="18" t="n">
        <v>1374</v>
      </c>
      <c r="I29" s="18" t="n">
        <v>1664</v>
      </c>
      <c r="J29" s="18" t="n">
        <v>1770</v>
      </c>
      <c r="K29" s="18" t="n">
        <v>1669</v>
      </c>
      <c r="M29" s="18" t="n">
        <v>1828</v>
      </c>
      <c r="N29" s="18" t="n">
        <v>1691</v>
      </c>
      <c r="O29" s="18" t="n">
        <v>1541</v>
      </c>
      <c r="Q29" s="18" t="n">
        <v>1708</v>
      </c>
      <c r="R29" s="18" t="n">
        <v>1708</v>
      </c>
      <c r="S29" s="18" t="n">
        <v>1467</v>
      </c>
      <c r="U29" s="18" t="n">
        <v>1324</v>
      </c>
      <c r="V29" s="18" t="n">
        <v>1321</v>
      </c>
      <c r="W29" s="18" t="n">
        <v>1320</v>
      </c>
      <c r="Y29" s="18" t="n">
        <v>1344</v>
      </c>
      <c r="Z29" s="18" t="n">
        <v>1507</v>
      </c>
      <c r="AA29" s="18" t="n">
        <v>1396</v>
      </c>
      <c r="AC29" s="18" t="n">
        <v>1565</v>
      </c>
    </row>
    <row r="30">
      <c r="A30" s="4" t="inlineStr">
        <is>
          <t xml:space="preserve">    % YoY</t>
        </is>
      </c>
      <c r="F30" s="57">
        <f>IFERROR(F29/B29-1,"")</f>
        <v/>
      </c>
      <c r="G30" s="57">
        <f>IFERROR(G29/C29-1,"")</f>
        <v/>
      </c>
      <c r="H30" s="57">
        <f>IFERROR(H29/D29-1,"")</f>
        <v/>
      </c>
      <c r="I30" s="57">
        <f>IFERROR(I29/E29-1,"")</f>
        <v/>
      </c>
      <c r="J30" s="57">
        <f>IFERROR(J29/F29-1,"")</f>
        <v/>
      </c>
      <c r="K30" s="57">
        <f>IFERROR(K29/G29-1,"")</f>
        <v/>
      </c>
      <c r="L30" s="57">
        <f>IFERROR(L29/H29-1,"")</f>
        <v/>
      </c>
      <c r="M30" s="57">
        <f>IFERROR(M29/I29-1,"")</f>
        <v/>
      </c>
      <c r="N30" s="57">
        <f>IFERROR(N29/J29-1,"")</f>
        <v/>
      </c>
      <c r="O30" s="57">
        <f>IFERROR(O29/K29-1,"")</f>
        <v/>
      </c>
      <c r="P30" s="57">
        <f>IFERROR(P29/L29-1,"")</f>
        <v/>
      </c>
      <c r="Q30" s="57">
        <f>IFERROR(Q29/M29-1,"")</f>
        <v/>
      </c>
      <c r="R30" s="57">
        <f>IFERROR(R29/N29-1,"")</f>
        <v/>
      </c>
      <c r="S30" s="57">
        <f>IFERROR(S29/O29-1,"")</f>
        <v/>
      </c>
      <c r="T30" s="57">
        <f>IFERROR(T29/P29-1,"")</f>
        <v/>
      </c>
      <c r="U30" s="57">
        <f>IFERROR(U29/Q29-1,"")</f>
        <v/>
      </c>
      <c r="V30" s="57">
        <f>IFERROR(V29/R29-1,"")</f>
        <v/>
      </c>
      <c r="W30" s="57">
        <f>IFERROR(W29/S29-1,"")</f>
        <v/>
      </c>
      <c r="X30" s="57">
        <f>IFERROR(X29/T29-1,"")</f>
        <v/>
      </c>
      <c r="Y30" s="57">
        <f>IFERROR(Y29/U29-1,"")</f>
        <v/>
      </c>
      <c r="Z30" s="57">
        <f>IFERROR(Z29/V29-1,"")</f>
        <v/>
      </c>
      <c r="AA30" s="57">
        <f>IFERROR(AA29/W29-1,"")</f>
        <v/>
      </c>
      <c r="AB30" s="57">
        <f>IFERROR(AB29/X29-1,"")</f>
        <v/>
      </c>
      <c r="AC30" s="57">
        <f>IFERROR(AC29/Y29-1,"")</f>
        <v/>
      </c>
    </row>
    <row r="31">
      <c r="A31" s="4" t="inlineStr">
        <is>
          <t xml:space="preserve">    % of revenue</t>
        </is>
      </c>
      <c r="B31" s="57">
        <f>IFERROR(B29/B3,"")</f>
        <v/>
      </c>
      <c r="C31" s="57">
        <f>IFERROR(C29/C3,"")</f>
        <v/>
      </c>
      <c r="D31" s="57">
        <f>IFERROR(D29/D3,"")</f>
        <v/>
      </c>
      <c r="E31" s="57">
        <f>IFERROR(E29/E3,"")</f>
        <v/>
      </c>
      <c r="F31" s="57">
        <f>IFERROR(F29/F3,"")</f>
        <v/>
      </c>
      <c r="G31" s="57">
        <f>IFERROR(G29/G3,"")</f>
        <v/>
      </c>
      <c r="H31" s="57">
        <f>IFERROR(H29/H3,"")</f>
        <v/>
      </c>
      <c r="I31" s="57">
        <f>IFERROR(I29/I3,"")</f>
        <v/>
      </c>
      <c r="J31" s="57">
        <f>IFERROR(J29/J3,"")</f>
        <v/>
      </c>
      <c r="K31" s="57">
        <f>IFERROR(K29/K3,"")</f>
        <v/>
      </c>
      <c r="L31" s="57">
        <f>IFERROR(L29/L3,"")</f>
        <v/>
      </c>
      <c r="M31" s="57">
        <f>IFERROR(M29/M3,"")</f>
        <v/>
      </c>
      <c r="N31" s="57">
        <f>IFERROR(N29/N3,"")</f>
        <v/>
      </c>
      <c r="O31" s="57">
        <f>IFERROR(O29/O3,"")</f>
        <v/>
      </c>
      <c r="P31" s="57">
        <f>IFERROR(P29/P3,"")</f>
        <v/>
      </c>
      <c r="Q31" s="57">
        <f>IFERROR(Q29/Q3,"")</f>
        <v/>
      </c>
      <c r="R31" s="57">
        <f>IFERROR(R29/R3,"")</f>
        <v/>
      </c>
      <c r="S31" s="57">
        <f>IFERROR(S29/S3,"")</f>
        <v/>
      </c>
      <c r="T31" s="57">
        <f>IFERROR(T29/T3,"")</f>
        <v/>
      </c>
      <c r="U31" s="57">
        <f>IFERROR(U29/U3,"")</f>
        <v/>
      </c>
      <c r="V31" s="57">
        <f>IFERROR(V29/V3,"")</f>
        <v/>
      </c>
      <c r="W31" s="57">
        <f>IFERROR(W29/W3,"")</f>
        <v/>
      </c>
      <c r="X31" s="57">
        <f>IFERROR(X29/X3,"")</f>
        <v/>
      </c>
      <c r="Y31" s="57">
        <f>IFERROR(Y29/Y3,"")</f>
        <v/>
      </c>
      <c r="Z31" s="57">
        <f>IFERROR(Z29/Z3,"")</f>
        <v/>
      </c>
      <c r="AA31" s="57">
        <f>IFERROR(AA29/AA3,"")</f>
        <v/>
      </c>
      <c r="AB31" s="57">
        <f>IFERROR(AB29/AB3,"")</f>
        <v/>
      </c>
      <c r="AC31" s="57">
        <f>IFERROR(AC29/AC3,"")</f>
        <v/>
      </c>
    </row>
    <row r="32">
      <c r="A32" s="5" t="inlineStr">
        <is>
          <t xml:space="preserve">  BALANCE SHEET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4" t="inlineStr">
        <is>
          <t>Cash &amp; ST Investments</t>
        </is>
      </c>
      <c r="B33" s="18" t="n">
        <v>5433.6</v>
      </c>
      <c r="C33" s="18" t="n">
        <v>14252.1</v>
      </c>
      <c r="D33" s="18" t="n">
        <v>19912.3</v>
      </c>
      <c r="E33" s="18" t="n">
        <v>4367.7</v>
      </c>
      <c r="F33" s="18" t="n">
        <v>5539.3</v>
      </c>
      <c r="G33" s="18" t="n">
        <v>5687.7</v>
      </c>
      <c r="H33" s="18" t="n">
        <v>6035</v>
      </c>
      <c r="I33" s="18" t="n">
        <v>6330</v>
      </c>
      <c r="J33" s="18" t="n">
        <v>7322</v>
      </c>
      <c r="K33" s="18" t="n">
        <v>2552</v>
      </c>
      <c r="L33" s="18" t="n">
        <v>2586</v>
      </c>
      <c r="M33" s="18" t="n">
        <v>3717</v>
      </c>
      <c r="N33" s="18" t="n">
        <v>3984</v>
      </c>
      <c r="O33" s="18" t="n">
        <v>5150</v>
      </c>
      <c r="P33" s="18" t="n">
        <v>5995</v>
      </c>
      <c r="Q33" s="18" t="n">
        <v>7379</v>
      </c>
      <c r="R33" s="18" t="n">
        <v>8575</v>
      </c>
      <c r="S33" s="18" t="n">
        <v>12277</v>
      </c>
      <c r="T33" s="18" t="n">
        <v>5864</v>
      </c>
      <c r="U33" s="18" t="n">
        <v>7031</v>
      </c>
      <c r="V33" s="18" t="n">
        <v>2374</v>
      </c>
      <c r="W33" s="18" t="n">
        <v>2627</v>
      </c>
      <c r="X33" s="18" t="n">
        <v>2078</v>
      </c>
      <c r="Y33" s="18" t="n">
        <v>1993</v>
      </c>
      <c r="Z33" s="18" t="n">
        <v>2957</v>
      </c>
      <c r="AA33" s="18" t="n">
        <v>1528</v>
      </c>
      <c r="AB33" s="18" t="n">
        <v>4615</v>
      </c>
      <c r="AC33" s="18" t="n">
        <v>5701</v>
      </c>
    </row>
    <row r="34">
      <c r="A34" s="4" t="inlineStr">
        <is>
          <t>Total Current Assets</t>
        </is>
      </c>
      <c r="B34" s="18" t="n">
        <v>11603.7</v>
      </c>
      <c r="C34" s="18" t="n">
        <v>20353.7</v>
      </c>
      <c r="D34" s="18" t="n">
        <v>25596.6</v>
      </c>
      <c r="E34" s="18" t="n">
        <v>11142.6</v>
      </c>
      <c r="F34" s="18" t="n">
        <v>12343.8</v>
      </c>
      <c r="G34" s="18" t="n">
        <v>12541.2</v>
      </c>
      <c r="H34" s="18" t="n">
        <v>13802</v>
      </c>
      <c r="I34" s="18" t="n">
        <v>14012</v>
      </c>
      <c r="J34" s="18" t="n">
        <v>15392</v>
      </c>
      <c r="K34" s="18" t="n">
        <v>10776</v>
      </c>
      <c r="L34" s="18" t="n">
        <v>11648</v>
      </c>
      <c r="M34" s="18" t="n">
        <v>12670</v>
      </c>
      <c r="N34" s="18" t="n">
        <v>13229</v>
      </c>
      <c r="O34" s="18" t="n">
        <v>14250</v>
      </c>
      <c r="P34" s="18" t="n">
        <v>15883</v>
      </c>
      <c r="Q34" s="18" t="n">
        <v>16532</v>
      </c>
      <c r="R34" s="18" t="n">
        <v>17461</v>
      </c>
      <c r="S34" s="18" t="n">
        <v>21205</v>
      </c>
      <c r="T34" s="18" t="n">
        <v>13937</v>
      </c>
      <c r="U34" s="18" t="n">
        <v>14372</v>
      </c>
      <c r="V34" s="18" t="n">
        <v>9609</v>
      </c>
      <c r="W34" s="18" t="n">
        <v>10060</v>
      </c>
      <c r="X34" s="18" t="n">
        <v>9497</v>
      </c>
      <c r="Y34" s="18" t="n">
        <v>9525</v>
      </c>
      <c r="Z34" s="18" t="n">
        <v>10999</v>
      </c>
      <c r="AA34" s="18" t="n">
        <v>9606</v>
      </c>
      <c r="AB34" s="18" t="n">
        <v>12756</v>
      </c>
      <c r="AC34" s="18" t="n">
        <v>13935</v>
      </c>
    </row>
    <row r="35">
      <c r="A35" s="4" t="inlineStr">
        <is>
          <t>PP&amp;E (net)</t>
        </is>
      </c>
      <c r="B35" s="18" t="n">
        <v>3466.5</v>
      </c>
      <c r="C35" s="18" t="n">
        <v>3475.7</v>
      </c>
      <c r="D35" s="18" t="n">
        <v>3065.7</v>
      </c>
      <c r="E35" s="18" t="n">
        <v>3815.5</v>
      </c>
      <c r="F35" s="18" t="n">
        <v>3842.9</v>
      </c>
      <c r="G35" s="18" t="n">
        <v>3958.3</v>
      </c>
      <c r="H35" s="18" t="n">
        <v>4204</v>
      </c>
      <c r="I35" s="18" t="n">
        <v>4211</v>
      </c>
      <c r="J35" s="18" t="n">
        <v>4378</v>
      </c>
      <c r="K35" s="18" t="n">
        <v>4620</v>
      </c>
      <c r="L35" s="18" t="n">
        <v>4831</v>
      </c>
      <c r="M35" s="18" t="n">
        <v>4815</v>
      </c>
      <c r="N35" s="18" t="n">
        <v>4794</v>
      </c>
      <c r="O35" s="18" t="n">
        <v>4684</v>
      </c>
      <c r="P35" s="18" t="n">
        <v>4593</v>
      </c>
      <c r="Q35" s="18" t="n">
        <v>5165</v>
      </c>
      <c r="R35" s="18" t="n">
        <v>5176</v>
      </c>
      <c r="S35" s="18" t="n">
        <v>5302</v>
      </c>
      <c r="T35" s="18" t="n">
        <v>5605</v>
      </c>
      <c r="U35" s="18" t="n">
        <v>5662</v>
      </c>
      <c r="V35" s="18" t="n">
        <v>5743</v>
      </c>
      <c r="W35" s="18" t="n">
        <v>6043</v>
      </c>
      <c r="X35" s="18" t="n">
        <v>6074</v>
      </c>
      <c r="Y35" s="18" t="n">
        <v>6210</v>
      </c>
      <c r="Z35" s="18" t="n">
        <v>6409</v>
      </c>
      <c r="AA35" s="18" t="n">
        <v>5376</v>
      </c>
      <c r="AB35" s="18" t="n">
        <v>5531</v>
      </c>
      <c r="AC35" s="18" t="n">
        <v>5468</v>
      </c>
    </row>
    <row r="36">
      <c r="A36" s="4" t="inlineStr">
        <is>
          <t>Total Assets</t>
        </is>
      </c>
      <c r="B36" s="18" t="n">
        <v>53322</v>
      </c>
      <c r="C36" s="18" t="n">
        <v>61531.1</v>
      </c>
      <c r="D36" s="18" t="n">
        <v>62081.6</v>
      </c>
      <c r="E36" s="18" t="n">
        <v>68930.3</v>
      </c>
      <c r="F36" s="18" t="n">
        <v>71268.39999999999</v>
      </c>
      <c r="G36" s="18" t="n">
        <v>72890.7</v>
      </c>
      <c r="H36" s="18" t="n">
        <v>76161</v>
      </c>
      <c r="I36" s="18" t="n">
        <v>75426</v>
      </c>
      <c r="J36" s="18" t="n">
        <v>78027</v>
      </c>
      <c r="K36" s="18" t="n">
        <v>82498</v>
      </c>
      <c r="L36" s="18" t="n">
        <v>83184</v>
      </c>
      <c r="M36" s="18" t="n">
        <v>83392</v>
      </c>
      <c r="N36" s="18" t="n">
        <v>81806</v>
      </c>
      <c r="O36" s="18" t="n">
        <v>81030</v>
      </c>
      <c r="P36" s="18" t="n">
        <v>84350</v>
      </c>
      <c r="Q36" s="18" t="n">
        <v>85040</v>
      </c>
      <c r="R36" s="18" t="n">
        <v>84902</v>
      </c>
      <c r="S36" s="18" t="n">
        <v>87734</v>
      </c>
      <c r="T36" s="18" t="n">
        <v>84488</v>
      </c>
      <c r="U36" s="18" t="n">
        <v>83402</v>
      </c>
      <c r="V36" s="18" t="n">
        <v>78555</v>
      </c>
      <c r="W36" s="18" t="n">
        <v>80615</v>
      </c>
      <c r="X36" s="18" t="n">
        <v>77542</v>
      </c>
      <c r="Y36" s="18" t="n">
        <v>79116</v>
      </c>
      <c r="Z36" s="18" t="n">
        <v>81620</v>
      </c>
      <c r="AA36" s="18" t="n">
        <v>79897</v>
      </c>
      <c r="AB36" s="18" t="n">
        <v>83464</v>
      </c>
      <c r="AC36" s="18" t="n">
        <v>83544</v>
      </c>
    </row>
    <row r="37">
      <c r="A37" s="4" t="inlineStr">
        <is>
          <t>Total Current Liabilities</t>
        </is>
      </c>
      <c r="B37" s="18" t="n">
        <v>5008</v>
      </c>
      <c r="C37" s="18" t="n">
        <v>5934</v>
      </c>
      <c r="D37" s="18" t="n">
        <v>4932.1</v>
      </c>
      <c r="E37" s="18" t="n">
        <v>8465.6</v>
      </c>
      <c r="F37" s="18" t="n">
        <v>5599.9</v>
      </c>
      <c r="G37" s="18" t="n">
        <v>6038.4</v>
      </c>
      <c r="H37" s="18" t="n">
        <v>7402</v>
      </c>
      <c r="I37" s="18" t="n">
        <v>6824</v>
      </c>
      <c r="J37" s="18" t="n">
        <v>6825</v>
      </c>
      <c r="K37" s="18" t="n">
        <v>7257</v>
      </c>
      <c r="L37" s="18" t="n">
        <v>8140</v>
      </c>
      <c r="M37" s="18" t="n">
        <v>7547</v>
      </c>
      <c r="N37" s="18" t="n">
        <v>7556</v>
      </c>
      <c r="O37" s="18" t="n">
        <v>8002</v>
      </c>
      <c r="P37" s="18" t="n">
        <v>8389</v>
      </c>
      <c r="Q37" s="18" t="n">
        <v>8730</v>
      </c>
      <c r="R37" s="18" t="n">
        <v>8404</v>
      </c>
      <c r="S37" s="18" t="n">
        <v>9367</v>
      </c>
      <c r="T37" s="18" t="n">
        <v>8274</v>
      </c>
      <c r="U37" s="18" t="n">
        <v>7778</v>
      </c>
      <c r="V37" s="18" t="n">
        <v>6701</v>
      </c>
      <c r="W37" s="18" t="n">
        <v>7339</v>
      </c>
      <c r="X37" s="18" t="n">
        <v>6798</v>
      </c>
      <c r="Y37" s="18" t="n">
        <v>6645</v>
      </c>
      <c r="Z37" s="18" t="n">
        <v>6792</v>
      </c>
      <c r="AA37" s="18" t="n">
        <v>6324</v>
      </c>
      <c r="AB37" s="18" t="n">
        <v>6807</v>
      </c>
      <c r="AC37" s="18" t="n">
        <v>7460</v>
      </c>
    </row>
    <row r="38">
      <c r="A38" s="4" t="inlineStr">
        <is>
          <t>Long-term Debt</t>
        </is>
      </c>
      <c r="B38" s="18" t="n">
        <v>10144.4</v>
      </c>
      <c r="C38" s="18" t="n">
        <v>16536.2</v>
      </c>
      <c r="D38" s="18" t="n">
        <v>21517</v>
      </c>
      <c r="E38" s="18" t="n">
        <v>22737.2</v>
      </c>
      <c r="F38" s="18" t="n">
        <v>22370</v>
      </c>
      <c r="G38" s="18" t="n">
        <v>21806.1</v>
      </c>
      <c r="H38" s="18" t="n">
        <v>21193</v>
      </c>
      <c r="I38" s="18" t="n">
        <v>20267</v>
      </c>
      <c r="J38" s="18" t="n">
        <v>20400</v>
      </c>
      <c r="K38" s="18" t="n">
        <v>23591</v>
      </c>
      <c r="L38" s="18" t="n">
        <v>22168</v>
      </c>
      <c r="M38" s="18" t="n">
        <v>21768</v>
      </c>
      <c r="N38" s="18" t="n">
        <v>20052</v>
      </c>
      <c r="O38" s="18" t="n">
        <v>18542</v>
      </c>
      <c r="P38" s="18" t="n">
        <v>19086</v>
      </c>
      <c r="Q38" s="18" t="n">
        <v>18261</v>
      </c>
      <c r="R38" s="18" t="n">
        <v>18285</v>
      </c>
      <c r="S38" s="18" t="n">
        <v>19513</v>
      </c>
      <c r="T38" s="18" t="n">
        <v>16707</v>
      </c>
      <c r="U38" s="18" t="n">
        <v>16417</v>
      </c>
      <c r="V38" s="18" t="n">
        <v>16309</v>
      </c>
      <c r="W38" s="18" t="n">
        <v>16324</v>
      </c>
      <c r="X38" s="18" t="n">
        <v>15500</v>
      </c>
      <c r="Y38" s="18" t="n">
        <v>15976</v>
      </c>
      <c r="Z38" s="18" t="n">
        <v>16853</v>
      </c>
      <c r="AA38" s="18" t="n">
        <v>16833</v>
      </c>
      <c r="AB38" s="18" t="n">
        <v>18416</v>
      </c>
      <c r="AC38" s="18" t="n">
        <v>17561</v>
      </c>
    </row>
    <row r="39">
      <c r="A39" s="4" t="inlineStr">
        <is>
          <t>Total Equity</t>
        </is>
      </c>
      <c r="B39" s="18" t="n">
        <v>32201.2</v>
      </c>
      <c r="C39" s="18" t="n">
        <v>32502.3</v>
      </c>
      <c r="D39" s="18" t="n">
        <v>30270.6</v>
      </c>
      <c r="E39" s="18" t="n">
        <v>31055.1</v>
      </c>
      <c r="F39" s="18" t="n">
        <v>36261.7</v>
      </c>
      <c r="G39" s="18" t="n">
        <v>37961</v>
      </c>
      <c r="H39" s="18" t="n">
        <v>39766</v>
      </c>
      <c r="I39" s="18" t="n">
        <v>40419</v>
      </c>
      <c r="J39" s="18" t="n">
        <v>42756</v>
      </c>
      <c r="K39" s="18" t="n">
        <v>43451</v>
      </c>
      <c r="L39" s="18" t="n">
        <v>45167</v>
      </c>
      <c r="M39" s="18" t="n">
        <v>46356</v>
      </c>
      <c r="N39" s="18" t="n">
        <v>46594</v>
      </c>
      <c r="O39" s="18" t="n">
        <v>46985</v>
      </c>
      <c r="P39" s="18" t="n">
        <v>50082</v>
      </c>
      <c r="Q39" s="18" t="n">
        <v>51478</v>
      </c>
      <c r="R39" s="18" t="n">
        <v>51716</v>
      </c>
      <c r="S39" s="18" t="n">
        <v>52407</v>
      </c>
      <c r="T39" s="18" t="n">
        <v>53486</v>
      </c>
      <c r="U39" s="18" t="n">
        <v>53442</v>
      </c>
      <c r="V39" s="18" t="n">
        <v>49897</v>
      </c>
      <c r="W39" s="18" t="n">
        <v>51299</v>
      </c>
      <c r="X39" s="18" t="n">
        <v>49543</v>
      </c>
      <c r="Y39" s="18" t="n">
        <v>50849</v>
      </c>
      <c r="Z39" s="18" t="n">
        <v>52334</v>
      </c>
      <c r="AA39" s="18" t="n">
        <v>51071</v>
      </c>
      <c r="AB39" s="18" t="n">
        <v>52534</v>
      </c>
      <c r="AC39" s="18" t="n">
        <v>52949</v>
      </c>
    </row>
    <row r="40">
      <c r="A40" s="5" t="inlineStr">
        <is>
          <t xml:space="preserve">  CASH FLOW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4" t="inlineStr">
        <is>
          <t>D&amp;A</t>
        </is>
      </c>
      <c r="B41" s="18" t="n">
        <v>298.3</v>
      </c>
      <c r="C41" s="18" t="n">
        <v>295.4</v>
      </c>
      <c r="D41" s="18" t="n">
        <v>202.6</v>
      </c>
      <c r="E41" s="18" t="n">
        <v>297.8</v>
      </c>
      <c r="F41" s="18" t="n">
        <v>477.1</v>
      </c>
      <c r="G41" s="18" t="n">
        <v>491.5</v>
      </c>
      <c r="H41" s="18" t="n">
        <v>508.6</v>
      </c>
      <c r="I41" s="18" t="n">
        <v>502</v>
      </c>
      <c r="J41" s="18" t="n">
        <v>525</v>
      </c>
      <c r="K41" s="18" t="n">
        <v>554</v>
      </c>
      <c r="L41" s="18" t="n">
        <v>587</v>
      </c>
      <c r="M41" s="18" t="n">
        <v>565</v>
      </c>
      <c r="N41" s="18" t="n">
        <v>552</v>
      </c>
      <c r="O41" s="18" t="n">
        <v>540</v>
      </c>
      <c r="P41" s="18" t="n">
        <v>565</v>
      </c>
      <c r="Q41" s="18" t="n">
        <v>557</v>
      </c>
      <c r="R41" s="18" t="n">
        <v>540</v>
      </c>
      <c r="S41" s="18" t="n">
        <v>533</v>
      </c>
      <c r="T41" s="18" t="n">
        <v>493</v>
      </c>
      <c r="U41" s="18" t="n">
        <v>586</v>
      </c>
      <c r="V41" s="18" t="n">
        <v>580</v>
      </c>
      <c r="W41" s="18" t="n">
        <v>591</v>
      </c>
      <c r="X41" s="18" t="n">
        <v>595</v>
      </c>
      <c r="Y41" s="18" t="n">
        <v>591</v>
      </c>
      <c r="Z41" s="18" t="n">
        <v>611</v>
      </c>
      <c r="AA41" s="18" t="n">
        <v>622</v>
      </c>
      <c r="AB41" s="18" t="n">
        <v>522</v>
      </c>
      <c r="AC41" s="18" t="n">
        <v>627</v>
      </c>
    </row>
    <row r="42">
      <c r="A42" s="4" t="inlineStr">
        <is>
          <t>Stock-based Compensation</t>
        </is>
      </c>
      <c r="B42" s="18" t="n">
        <v>41.4</v>
      </c>
      <c r="C42" s="18" t="n">
        <v>41</v>
      </c>
      <c r="D42" s="18" t="n">
        <v>28.8</v>
      </c>
      <c r="E42" s="18" t="n">
        <v>45</v>
      </c>
      <c r="F42" s="18" t="n">
        <v>47</v>
      </c>
      <c r="G42" s="18" t="n">
        <v>45</v>
      </c>
      <c r="H42" s="18" t="n">
        <v>49.9</v>
      </c>
      <c r="I42" s="18" t="n">
        <v>54</v>
      </c>
      <c r="J42" s="18" t="n">
        <v>53</v>
      </c>
      <c r="K42" s="18" t="n">
        <v>52</v>
      </c>
      <c r="L42" s="18" t="n">
        <v>59</v>
      </c>
      <c r="M42" s="18" t="n">
        <v>80</v>
      </c>
      <c r="N42" s="18" t="n">
        <v>101</v>
      </c>
      <c r="O42" s="18" t="n">
        <v>89</v>
      </c>
      <c r="P42" s="18" t="n">
        <v>66</v>
      </c>
      <c r="Q42" s="18" t="n">
        <v>70</v>
      </c>
      <c r="R42" s="18" t="n">
        <v>96</v>
      </c>
      <c r="S42" s="18" t="n">
        <v>79</v>
      </c>
      <c r="T42" s="18" t="n">
        <v>26</v>
      </c>
      <c r="U42" s="18" t="n">
        <v>60</v>
      </c>
      <c r="V42" s="18" t="n">
        <v>87</v>
      </c>
      <c r="W42" s="18" t="n">
        <v>84</v>
      </c>
      <c r="X42" s="18" t="n">
        <v>57</v>
      </c>
      <c r="Y42" s="18" t="n">
        <v>61</v>
      </c>
      <c r="Z42" s="18" t="n">
        <v>91</v>
      </c>
      <c r="AA42" s="18" t="n">
        <v>83</v>
      </c>
      <c r="AB42" s="18" t="n">
        <v>146</v>
      </c>
      <c r="AC42" s="18" t="n">
        <v>58</v>
      </c>
    </row>
    <row r="43">
      <c r="A43" s="4" t="inlineStr">
        <is>
          <t>Change in Working Capital</t>
        </is>
      </c>
      <c r="B43" s="18" t="n">
        <v>40.3</v>
      </c>
      <c r="C43" s="18" t="n">
        <v>-80.59999999999999</v>
      </c>
      <c r="D43" s="18" t="n">
        <v>-107.7</v>
      </c>
      <c r="E43" s="18" t="n">
        <v>-112.1</v>
      </c>
      <c r="F43" s="18" t="n">
        <v>448.6</v>
      </c>
      <c r="G43" s="18" t="n">
        <v>-114.8</v>
      </c>
      <c r="H43" s="18" t="n">
        <v>383.3</v>
      </c>
      <c r="I43" s="18" t="n">
        <v>-314</v>
      </c>
      <c r="J43" s="18" t="n">
        <v>-44</v>
      </c>
      <c r="K43" s="18" t="n">
        <v>-161</v>
      </c>
      <c r="L43" s="18" t="n">
        <v>-139</v>
      </c>
      <c r="M43" s="18" t="n">
        <v>-426</v>
      </c>
      <c r="N43" s="18" t="n">
        <v>-431</v>
      </c>
      <c r="O43" s="18" t="n">
        <v>-255</v>
      </c>
      <c r="P43" s="18" t="n">
        <v>-407</v>
      </c>
      <c r="Q43" s="18" t="n">
        <v>-117</v>
      </c>
      <c r="R43" s="18" t="n">
        <v>117</v>
      </c>
      <c r="S43" s="18" t="n">
        <v>-151</v>
      </c>
      <c r="T43" s="18" t="n">
        <v>-242</v>
      </c>
      <c r="U43" s="18" t="n">
        <v>-57</v>
      </c>
      <c r="V43" s="18" t="n">
        <v>-216</v>
      </c>
      <c r="W43" s="18" t="n">
        <v>-99</v>
      </c>
      <c r="X43" s="18" t="n">
        <v>174</v>
      </c>
      <c r="Y43" s="18" t="n">
        <v>-403</v>
      </c>
      <c r="Z43" s="18" t="n">
        <v>-395</v>
      </c>
      <c r="AA43" s="18" t="n">
        <v>-67</v>
      </c>
      <c r="AB43" s="18" t="n">
        <v>155</v>
      </c>
      <c r="AC43" s="18" t="n">
        <v>-147</v>
      </c>
    </row>
    <row r="44">
      <c r="A44" s="4" t="inlineStr">
        <is>
          <t>Operating Cash Flow</t>
        </is>
      </c>
      <c r="B44" s="18" t="n">
        <v>1171.5</v>
      </c>
      <c r="C44" s="18" t="n">
        <v>965.6</v>
      </c>
      <c r="D44" s="18" t="n">
        <v>1111.2</v>
      </c>
      <c r="E44" s="18" t="n">
        <v>819</v>
      </c>
      <c r="F44" s="18" t="n">
        <v>1445</v>
      </c>
      <c r="G44" s="18" t="n">
        <v>1722.7</v>
      </c>
      <c r="H44" s="18" t="n">
        <v>2221.3</v>
      </c>
      <c r="I44" s="18" t="n">
        <v>1871</v>
      </c>
      <c r="J44" s="18" t="n">
        <v>2120</v>
      </c>
      <c r="K44" s="18" t="n">
        <v>2034</v>
      </c>
      <c r="L44" s="18" t="n">
        <v>2333</v>
      </c>
      <c r="M44" s="18" t="n">
        <v>1968</v>
      </c>
      <c r="N44" s="18" t="n">
        <v>2000</v>
      </c>
      <c r="O44" s="18" t="n">
        <v>2010</v>
      </c>
      <c r="P44" s="18" t="n">
        <v>2541</v>
      </c>
      <c r="Q44" s="18" t="n">
        <v>1947</v>
      </c>
      <c r="R44" s="18" t="n">
        <v>1926</v>
      </c>
      <c r="S44" s="18" t="n">
        <v>1672</v>
      </c>
      <c r="T44" s="18" t="n">
        <v>1619</v>
      </c>
      <c r="U44" s="18" t="n">
        <v>1739</v>
      </c>
      <c r="V44" s="18" t="n">
        <v>1417</v>
      </c>
      <c r="W44" s="18" t="n">
        <v>1513</v>
      </c>
      <c r="X44" s="18" t="n">
        <v>2019</v>
      </c>
      <c r="Y44" s="18" t="n">
        <v>1299</v>
      </c>
      <c r="Z44" s="18" t="n">
        <v>1338</v>
      </c>
      <c r="AA44" s="18" t="n">
        <v>1662</v>
      </c>
      <c r="AB44" s="18" t="n">
        <v>2117</v>
      </c>
      <c r="AC44" s="18" t="n">
        <v>1322</v>
      </c>
    </row>
    <row r="45">
      <c r="A45" s="4" t="inlineStr">
        <is>
          <t>Capex</t>
        </is>
      </c>
      <c r="B45" s="18" t="n">
        <v>-154.3</v>
      </c>
      <c r="C45" s="18" t="n">
        <v>-162.1</v>
      </c>
      <c r="D45" s="18" t="n">
        <v>-179.5</v>
      </c>
      <c r="E45" s="18" t="n">
        <v>-133</v>
      </c>
      <c r="F45" s="18" t="n">
        <v>-155</v>
      </c>
      <c r="G45" s="18" t="n">
        <v>-187</v>
      </c>
      <c r="H45" s="18" t="n">
        <v>-316</v>
      </c>
      <c r="I45" s="18" t="n">
        <v>-251</v>
      </c>
      <c r="J45" s="18" t="n">
        <v>-305</v>
      </c>
      <c r="K45" s="18" t="n">
        <v>-318</v>
      </c>
      <c r="L45" s="18" t="n">
        <v>-420</v>
      </c>
      <c r="M45" s="18" t="n">
        <v>-250</v>
      </c>
      <c r="N45" s="18" t="n">
        <v>-296</v>
      </c>
      <c r="O45" s="18" t="n">
        <v>-277</v>
      </c>
      <c r="P45" s="18" t="n">
        <v>-329</v>
      </c>
      <c r="Q45" s="18" t="n">
        <v>-275</v>
      </c>
      <c r="R45" s="18" t="n">
        <v>-341</v>
      </c>
      <c r="S45" s="18" t="n">
        <v>-365</v>
      </c>
      <c r="T45" s="18" t="n">
        <v>-402</v>
      </c>
      <c r="U45" s="18" t="n">
        <v>-291</v>
      </c>
      <c r="V45" s="18" t="n">
        <v>-287</v>
      </c>
      <c r="W45" s="18" t="n">
        <v>-298</v>
      </c>
      <c r="X45" s="18" t="n">
        <v>-516</v>
      </c>
      <c r="Y45" s="18" t="n">
        <v>-245</v>
      </c>
      <c r="Z45" s="18" t="n">
        <v>-248</v>
      </c>
      <c r="AA45" s="18" t="n">
        <v>-292</v>
      </c>
      <c r="AB45" s="18" t="n">
        <v>-371</v>
      </c>
      <c r="AC45" s="18" t="n">
        <v>-237</v>
      </c>
    </row>
    <row r="46">
      <c r="A46" s="4" t="inlineStr">
        <is>
          <t>Free Cash Flow</t>
        </is>
      </c>
      <c r="B46" s="18" t="n">
        <v>1017.2</v>
      </c>
      <c r="C46" s="18" t="n">
        <v>803.5</v>
      </c>
      <c r="D46" s="18" t="n">
        <v>931.7</v>
      </c>
      <c r="E46" s="18" t="n">
        <v>686</v>
      </c>
      <c r="F46" s="18" t="n">
        <v>1290</v>
      </c>
      <c r="G46" s="18" t="n">
        <v>1535.7</v>
      </c>
      <c r="H46" s="18" t="n">
        <v>1905.3</v>
      </c>
      <c r="I46" s="18" t="n">
        <v>1620</v>
      </c>
      <c r="J46" s="18" t="n">
        <v>1815</v>
      </c>
      <c r="K46" s="18" t="n">
        <v>1716</v>
      </c>
      <c r="L46" s="18" t="n">
        <v>1913</v>
      </c>
      <c r="M46" s="18" t="n">
        <v>1718</v>
      </c>
      <c r="N46" s="18" t="n">
        <v>1704</v>
      </c>
      <c r="O46" s="18" t="n">
        <v>1733</v>
      </c>
      <c r="P46" s="18" t="n">
        <v>2212</v>
      </c>
      <c r="Q46" s="18" t="n">
        <v>1672</v>
      </c>
      <c r="R46" s="18" t="n">
        <v>1585</v>
      </c>
      <c r="S46" s="18" t="n">
        <v>1307</v>
      </c>
      <c r="T46" s="18" t="n">
        <v>1217</v>
      </c>
      <c r="U46" s="18" t="n">
        <v>1448</v>
      </c>
      <c r="V46" s="18" t="n">
        <v>1130</v>
      </c>
      <c r="W46" s="18" t="n">
        <v>1215</v>
      </c>
      <c r="X46" s="18" t="n">
        <v>1503</v>
      </c>
      <c r="Y46" s="18" t="n">
        <v>1054</v>
      </c>
      <c r="Z46" s="18" t="n">
        <v>1090</v>
      </c>
      <c r="AA46" s="18" t="n">
        <v>1370</v>
      </c>
      <c r="AB46" s="18" t="n">
        <v>1746</v>
      </c>
      <c r="AC46" s="18" t="n">
        <v>1085</v>
      </c>
    </row>
    <row r="48">
      <c r="A48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25474.126918</v>
      </c>
      <c r="C4" s="18" t="n">
        <v>27011.15236</v>
      </c>
      <c r="D4" s="18" t="n">
        <v>28874.518597</v>
      </c>
      <c r="E4" s="18" t="n">
        <v>30779.273449</v>
      </c>
      <c r="F4" s="18" t="n">
        <v>31735.333333</v>
      </c>
    </row>
    <row r="5">
      <c r="A5" s="4" t="inlineStr">
        <is>
          <t xml:space="preserve">  model</t>
        </is>
      </c>
      <c r="B5" s="28">
        <f>Model!G8</f>
        <v/>
      </c>
      <c r="C5" s="28">
        <f>Model!H8</f>
        <v/>
      </c>
      <c r="D5" s="28">
        <f>Model!I8</f>
        <v/>
      </c>
      <c r="E5" s="28">
        <f>Model!J8</f>
        <v/>
      </c>
      <c r="F5" s="28">
        <f>Model!K8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8136.949977</v>
      </c>
      <c r="C8" s="18" t="n">
        <v>8627.906906</v>
      </c>
      <c r="D8" s="18" t="n">
        <v>9223.103668</v>
      </c>
      <c r="E8" s="18" t="n">
        <v>9831.520789</v>
      </c>
      <c r="F8" s="18" t="n">
        <v>10136.905601</v>
      </c>
    </row>
    <row r="9">
      <c r="A9" s="4" t="inlineStr">
        <is>
          <t xml:space="preserve">  model</t>
        </is>
      </c>
      <c r="B9" s="28">
        <f>Model!G21+Model!G26</f>
        <v/>
      </c>
      <c r="C9" s="28">
        <f>Model!H21+Model!H26</f>
        <v/>
      </c>
      <c r="D9" s="28">
        <f>Model!I21+Model!I26</f>
        <v/>
      </c>
      <c r="E9" s="28">
        <f>Model!J21+Model!J26</f>
        <v/>
      </c>
      <c r="F9" s="28">
        <f>Model!K21+Model!K26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5882.950492</v>
      </c>
      <c r="C12" s="18" t="n">
        <v>6237.908469</v>
      </c>
      <c r="D12" s="18" t="n">
        <v>6668.231022</v>
      </c>
      <c r="E12" s="18" t="n">
        <v>7108.111789</v>
      </c>
      <c r="F12" s="18" t="n">
        <v>7328.902593</v>
      </c>
    </row>
    <row r="13">
      <c r="A13" s="4" t="inlineStr">
        <is>
          <t xml:space="preserve">  model</t>
        </is>
      </c>
      <c r="B13" s="28">
        <f>Model!G21</f>
        <v/>
      </c>
      <c r="C13" s="28">
        <f>Model!H21</f>
        <v/>
      </c>
      <c r="D13" s="28">
        <f>Model!I21</f>
        <v/>
      </c>
      <c r="E13" s="28">
        <f>Model!J21</f>
        <v/>
      </c>
      <c r="F13" s="28">
        <f>Model!K21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7615.379382</v>
      </c>
      <c r="C16" s="18" t="n">
        <v>8074.866449</v>
      </c>
      <c r="D16" s="18" t="n">
        <v>8631.911677</v>
      </c>
      <c r="E16" s="18" t="n">
        <v>9201.329851</v>
      </c>
      <c r="F16" s="18" t="n">
        <v>9487.139792</v>
      </c>
    </row>
    <row r="17">
      <c r="A17" s="4" t="inlineStr">
        <is>
          <t xml:space="preserve">  model</t>
        </is>
      </c>
      <c r="B17" s="28">
        <f>Model!G16</f>
        <v/>
      </c>
      <c r="C17" s="28">
        <f>Model!H16</f>
        <v/>
      </c>
      <c r="D17" s="28">
        <f>Model!I16</f>
        <v/>
      </c>
      <c r="E17" s="28">
        <f>Model!J16</f>
        <v/>
      </c>
      <c r="F17" s="28">
        <f>Model!K16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6005.280203</v>
      </c>
      <c r="C20" s="18" t="n">
        <v>6519.5856085</v>
      </c>
      <c r="D20" s="18" t="n">
        <v>6519.82396</v>
      </c>
      <c r="E20" s="18" t="n">
        <v>7709.71429</v>
      </c>
      <c r="F20" s="18" t="n">
        <v>8178.867641</v>
      </c>
    </row>
    <row r="21">
      <c r="A21" s="4" t="inlineStr">
        <is>
          <t xml:space="preserve">  model</t>
        </is>
      </c>
      <c r="B21" s="28">
        <f>Model!G25</f>
        <v/>
      </c>
      <c r="C21" s="28">
        <f>Model!H25</f>
        <v/>
      </c>
      <c r="D21" s="28">
        <f>Model!I25</f>
        <v/>
      </c>
      <c r="E21" s="28">
        <f>Model!J25</f>
        <v/>
      </c>
      <c r="F21" s="28">
        <f>Model!K25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8.43624</v>
      </c>
      <c r="C24" s="62" t="n">
        <v>9.099679999999999</v>
      </c>
      <c r="D24" s="62" t="n">
        <v>9.95703</v>
      </c>
      <c r="E24" s="62" t="n">
        <v>10.84348</v>
      </c>
      <c r="F24" s="62" t="n">
        <v>11.50333</v>
      </c>
    </row>
    <row r="25">
      <c r="A25" s="4" t="inlineStr">
        <is>
          <t xml:space="preserve">  model</t>
        </is>
      </c>
      <c r="B25" s="46">
        <f>Model!G25/Financials!AC17</f>
        <v/>
      </c>
      <c r="C25" s="46">
        <f>Model!H25/Financials!AC17</f>
        <v/>
      </c>
      <c r="D25" s="46">
        <f>Model!I25/Financials!AC17</f>
        <v/>
      </c>
      <c r="E25" s="46">
        <f>Model!J25/Financials!AC17</f>
        <v/>
      </c>
      <c r="F25" s="46">
        <f>Model!K25/Financials!AC17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Danaher Corporation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Model!G33</f>
        <v/>
      </c>
      <c r="D12" s="28">
        <f>Model!H33</f>
        <v/>
      </c>
      <c r="E12" s="28">
        <f>Model!I33</f>
        <v/>
      </c>
      <c r="F12" s="28">
        <f>Model!J33</f>
        <v/>
      </c>
      <c r="G12" s="28">
        <f>Model!K33</f>
        <v/>
      </c>
      <c r="H12" s="28">
        <f>Model!L33</f>
        <v/>
      </c>
      <c r="I12" s="28">
        <f>Model!M33</f>
        <v/>
      </c>
      <c r="J12" s="28">
        <f>Model!N33</f>
        <v/>
      </c>
      <c r="K12" s="28">
        <f>Model!O33</f>
        <v/>
      </c>
      <c r="L12" s="28">
        <f>Model!P33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Model!P8</f>
        <v/>
      </c>
    </row>
    <row r="21">
      <c r="A21" s="4" t="inlineStr">
        <is>
          <t>Terminal EBIT</t>
        </is>
      </c>
      <c r="B21" s="28">
        <f>Model!P21</f>
        <v/>
      </c>
    </row>
    <row r="22">
      <c r="A22" s="4" t="inlineStr">
        <is>
          <t>Terminal EBITDA</t>
        </is>
      </c>
      <c r="B22" s="28">
        <f>Model!P21+Model!P26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Financials!AC33</f>
        <v/>
      </c>
    </row>
    <row r="33">
      <c r="A33" s="4" t="inlineStr">
        <is>
          <t>- Long-term debt</t>
        </is>
      </c>
      <c r="B33" s="28">
        <f>-Financials!AC38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0.09549006838163465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0.5227487544051039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(Model!P8/Model!F8)^(1/10)-1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0.02954883224208627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1.067163810995776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Financials!AC33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Financials!AC38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2026-06-05T13:42:32Z</dcterms:created>
  <dcterms:modified xmlns:dcterms="http://purl.org/dc/terms/" xmlns:xsi="http://www.w3.org/2001/XMLSchema-instance" xsi:type="dcterms:W3CDTF">2026-06-05T13:42:33Z</dcterms:modified>
</cp:coreProperties>
</file>