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Elastic N.V. (ESTC)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Q3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Elastic N.V. (ESTC)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Subscription</t>
        </is>
      </c>
      <c r="B20" s="15" t="n">
        <v>0.1483966536561649</v>
      </c>
      <c r="C20" s="15" t="n">
        <v>0.05</v>
      </c>
      <c r="D20" s="16" t="n">
        <v>0.1483966536561649</v>
      </c>
      <c r="E20" s="2" t="inlineStr"/>
    </row>
    <row r="21">
      <c r="A21" s="4" t="inlineStr">
        <is>
          <t>Professional Services</t>
        </is>
      </c>
      <c r="B21" s="15" t="n">
        <v>0.07519178412060185</v>
      </c>
      <c r="C21" s="15" t="n">
        <v>0.05</v>
      </c>
      <c r="D21" s="16" t="n">
        <v>0.07519178412060185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0.1985050778717334</v>
      </c>
      <c r="D29" s="16" t="n">
        <v>0.1985050778717334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0.2061720428283184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4.779500000000001</v>
      </c>
      <c r="D34" s="18" t="n">
        <v>4.779500000000001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0.885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58.04000091552734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37.08316730221545</v>
      </c>
      <c r="C58" s="28" t="n">
        <v>55.10242524861258</v>
      </c>
      <c r="D58" s="28" t="n">
        <v>24.526834133011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0.1737899920177766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0.104273995210666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ESTC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Subscription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Subscription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Professional Services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Professional Services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Near-term operating margin</t>
        </is>
      </c>
      <c r="B12" t="inlineStr">
        <is>
          <t>B29</t>
        </is>
      </c>
      <c r="C12" s="11">
        <f>Dashboard!B29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operating margin</t>
        </is>
      </c>
      <c r="B13" t="inlineStr">
        <is>
          <t>B30</t>
        </is>
      </c>
      <c r="C13" s="11">
        <f>Dashboard!B30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Tax rate</t>
        </is>
      </c>
      <c r="B14" t="inlineStr">
        <is>
          <t>B31</t>
        </is>
      </c>
      <c r="C14" s="11">
        <f>Dashboard!B31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Terminal capex / D&amp;A</t>
        </is>
      </c>
      <c r="B15" t="inlineStr">
        <is>
          <t>B35</t>
        </is>
      </c>
      <c r="C15" s="13">
        <f>Dashboard!B35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Risk-free rate (10Y)</t>
        </is>
      </c>
      <c r="B16" t="inlineStr">
        <is>
          <t>B38</t>
        </is>
      </c>
      <c r="C16" s="11">
        <f>Dashboard!B38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Equity risk premium</t>
        </is>
      </c>
      <c r="B17" t="inlineStr">
        <is>
          <t>B39</t>
        </is>
      </c>
      <c r="C17" s="11">
        <f>Dashboard!B39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Beta (levered)</t>
        </is>
      </c>
      <c r="B18" t="inlineStr">
        <is>
          <t>B40</t>
        </is>
      </c>
      <c r="C18" s="32">
        <f>Dashboard!B40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Pre-tax cost of debt</t>
        </is>
      </c>
      <c r="B19" t="inlineStr">
        <is>
          <t>B41</t>
        </is>
      </c>
      <c r="C19" s="11">
        <f>Dashboard!B41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Terminal method</t>
        </is>
      </c>
      <c r="B20" t="inlineStr">
        <is>
          <t>B43</t>
        </is>
      </c>
      <c r="C20" s="12">
        <f>Dashboard!B43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Exit basis</t>
        </is>
      </c>
      <c r="B21" t="inlineStr">
        <is>
          <t>B44</t>
        </is>
      </c>
      <c r="C21" s="12">
        <f>Dashboard!B44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Exit multiple</t>
        </is>
      </c>
      <c r="B22" t="inlineStr">
        <is>
          <t>B45</t>
        </is>
      </c>
      <c r="C22" s="13">
        <f>Dashboard!B45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Terminal growth (g)</t>
        </is>
      </c>
      <c r="B23" t="inlineStr">
        <is>
          <t>B46</t>
        </is>
      </c>
      <c r="C23" s="11">
        <f>Dashboard!B46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2026 capex ($M)</t>
        </is>
      </c>
      <c r="B24" t="inlineStr">
        <is>
          <t>B34</t>
        </is>
      </c>
      <c r="C24" s="33">
        <f>Dashboard!B34</f>
        <v/>
      </c>
      <c r="D24" t="inlineStr">
        <is>
          <t>builder default</t>
        </is>
      </c>
      <c r="E24" t="inlineStr">
        <is>
          <t>—</t>
        </is>
      </c>
      <c r="F24" s="31" t="inlineStr">
        <is>
          <t>last-year capex +10% unless set to guidance; edits not tracked</t>
        </is>
      </c>
    </row>
    <row r="25">
      <c r="A25" t="inlineStr">
        <is>
          <t>Bull Δ — segment growth, near-term</t>
        </is>
      </c>
      <c r="B25" t="inlineStr">
        <is>
          <t>C52</t>
        </is>
      </c>
      <c r="C25" s="34">
        <f>Dashboard!C52</f>
        <v/>
      </c>
      <c r="D25" t="inlineStr">
        <is>
          <t>seed default</t>
        </is>
      </c>
      <c r="E25" t="inlineStr">
        <is>
          <t>3.0%</t>
        </is>
      </c>
      <c r="F25" s="31" t="inlineStr"/>
    </row>
    <row r="26">
      <c r="A26" t="inlineStr">
        <is>
          <t>Bear Δ — segment growth, near-term</t>
        </is>
      </c>
      <c r="B26" t="inlineStr">
        <is>
          <t>D52</t>
        </is>
      </c>
      <c r="C26" s="34">
        <f>Dashboard!D52</f>
        <v/>
      </c>
      <c r="D26" t="inlineStr">
        <is>
          <t>seed default</t>
        </is>
      </c>
      <c r="E26" t="inlineStr">
        <is>
          <t>-3.0%</t>
        </is>
      </c>
      <c r="F26" s="31" t="inlineStr"/>
    </row>
    <row r="27">
      <c r="A27" t="inlineStr">
        <is>
          <t>Bull Δ — segment growth, terminal</t>
        </is>
      </c>
      <c r="B27" t="inlineStr">
        <is>
          <t>C53</t>
        </is>
      </c>
      <c r="C27" s="34">
        <f>Dashboard!C53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segment growth, terminal</t>
        </is>
      </c>
      <c r="B28" t="inlineStr">
        <is>
          <t>D53</t>
        </is>
      </c>
      <c r="C28" s="34">
        <f>Dashboard!D53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near-term</t>
        </is>
      </c>
      <c r="B29" t="inlineStr">
        <is>
          <t>C54</t>
        </is>
      </c>
      <c r="C29" s="34">
        <f>Dashboard!C54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operating margin, near-term</t>
        </is>
      </c>
      <c r="B30" t="inlineStr">
        <is>
          <t>D54</t>
        </is>
      </c>
      <c r="C30" s="34">
        <f>Dashboard!D54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terminal</t>
        </is>
      </c>
      <c r="B31" t="inlineStr">
        <is>
          <t>C55</t>
        </is>
      </c>
      <c r="C31" s="34">
        <f>Dashboard!C55</f>
        <v/>
      </c>
      <c r="D31" t="inlineStr">
        <is>
          <t>seed default</t>
        </is>
      </c>
      <c r="E31" t="inlineStr">
        <is>
          <t>2.0%</t>
        </is>
      </c>
      <c r="F31" s="31" t="inlineStr"/>
    </row>
    <row r="32">
      <c r="A32" t="inlineStr">
        <is>
          <t>Bear Δ — operating margin, terminal</t>
        </is>
      </c>
      <c r="B32" t="inlineStr">
        <is>
          <t>D55</t>
        </is>
      </c>
      <c r="C32" s="34">
        <f>Dashboard!D55</f>
        <v/>
      </c>
      <c r="D32" t="inlineStr">
        <is>
          <t>seed default</t>
        </is>
      </c>
      <c r="E32" t="inlineStr">
        <is>
          <t>-2.0%</t>
        </is>
      </c>
      <c r="F32" s="31" t="inlineStr"/>
    </row>
    <row r="33">
      <c r="A33" t="inlineStr">
        <is>
          <t>Bull Δ — exit multiple</t>
        </is>
      </c>
      <c r="B33" t="inlineStr">
        <is>
          <t>C56</t>
        </is>
      </c>
      <c r="C33" s="35">
        <f>Dashboard!C56</f>
        <v/>
      </c>
      <c r="D33" t="inlineStr">
        <is>
          <t>seed default</t>
        </is>
      </c>
      <c r="E33" t="inlineStr">
        <is>
          <t>2.0x</t>
        </is>
      </c>
      <c r="F33" s="31" t="inlineStr"/>
    </row>
    <row r="34">
      <c r="A34" t="inlineStr">
        <is>
          <t>Bear Δ — exit multiple</t>
        </is>
      </c>
      <c r="B34" t="inlineStr">
        <is>
          <t>D56</t>
        </is>
      </c>
      <c r="C34" s="35">
        <f>Dashboard!D56</f>
        <v/>
      </c>
      <c r="D34" t="inlineStr">
        <is>
          <t>seed default</t>
        </is>
      </c>
      <c r="E34" t="inlineStr">
        <is>
          <t>-2.0x</t>
        </is>
      </c>
      <c r="F34" s="31" t="inlineStr"/>
    </row>
    <row r="35">
      <c r="A35" t="inlineStr">
        <is>
          <t>Bull Δ — terminal growth (g)</t>
        </is>
      </c>
      <c r="B35" t="inlineStr">
        <is>
          <t>C57</t>
        </is>
      </c>
      <c r="C35" s="34">
        <f>Dashboard!C57</f>
        <v/>
      </c>
      <c r="D35" t="inlineStr">
        <is>
          <t>seed default</t>
        </is>
      </c>
      <c r="E35" t="inlineStr">
        <is>
          <t>0.5%</t>
        </is>
      </c>
      <c r="F35" s="31" t="inlineStr"/>
    </row>
    <row r="36">
      <c r="A36" t="inlineStr">
        <is>
          <t>Bear Δ — terminal growth (g)</t>
        </is>
      </c>
      <c r="B36" t="inlineStr">
        <is>
          <t>D57</t>
        </is>
      </c>
      <c r="C36" s="34">
        <f>Dashboard!D57</f>
        <v/>
      </c>
      <c r="D36" t="inlineStr">
        <is>
          <t>seed default</t>
        </is>
      </c>
      <c r="E36" t="inlineStr">
        <is>
          <t>-0.5%</t>
        </is>
      </c>
      <c r="F36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Financials!AC38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Subscription</t>
        </is>
      </c>
      <c r="B4" s="33">
        <f>SUM(Financials!G19:J19)</f>
        <v/>
      </c>
      <c r="C4" s="33">
        <f>SUM(Financials!K19:N19)</f>
        <v/>
      </c>
      <c r="D4" s="33">
        <f>SUM(Financials!O19:R19)</f>
        <v/>
      </c>
      <c r="E4" s="33">
        <f>SUM(Financials!S19:V19)</f>
        <v/>
      </c>
      <c r="F4" s="33">
        <f>SUM(Financials!W19:Z19)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Professional Services</t>
        </is>
      </c>
      <c r="B6" s="33">
        <f>SUM(Financials!G22:J22)</f>
        <v/>
      </c>
      <c r="C6" s="33">
        <f>SUM(Financials!K22:N22)</f>
        <v/>
      </c>
      <c r="D6" s="33">
        <f>SUM(Financials!O22:R22)</f>
        <v/>
      </c>
      <c r="E6" s="33">
        <f>SUM(Financials!S22:V22)</f>
        <v/>
      </c>
      <c r="F6" s="33">
        <f>SUM(Financials!W22:Z22)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2">
        <f>B4+B6</f>
        <v/>
      </c>
      <c r="C8" s="42">
        <f>C4+C6</f>
        <v/>
      </c>
      <c r="D8" s="42">
        <f>D4+D6</f>
        <v/>
      </c>
      <c r="E8" s="42">
        <f>E4+E6</f>
        <v/>
      </c>
      <c r="F8" s="42">
        <f>F4+F6</f>
        <v/>
      </c>
      <c r="G8" s="42">
        <f>G4+G6</f>
        <v/>
      </c>
      <c r="H8" s="42">
        <f>H4+H6</f>
        <v/>
      </c>
      <c r="I8" s="42">
        <f>I4+I6</f>
        <v/>
      </c>
      <c r="J8" s="42">
        <f>J4+J6</f>
        <v/>
      </c>
      <c r="K8" s="42">
        <f>K4+K6</f>
        <v/>
      </c>
      <c r="L8" s="42">
        <f>L4+L6</f>
        <v/>
      </c>
      <c r="M8" s="42">
        <f>M4+M6</f>
        <v/>
      </c>
      <c r="N8" s="42">
        <f>N4+N6</f>
        <v/>
      </c>
      <c r="O8" s="42">
        <f>O4+O6</f>
        <v/>
      </c>
      <c r="P8" s="42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3">
        <f>SUM(Financials!G5:J5)</f>
        <v/>
      </c>
      <c r="C12" s="33">
        <f>SUM(Financials!K5:N5)</f>
        <v/>
      </c>
      <c r="D12" s="33">
        <f>SUM(Financials!O5:R5)</f>
        <v/>
      </c>
      <c r="E12" s="33">
        <f>SUM(Financials!S5:V5)</f>
        <v/>
      </c>
      <c r="F12" s="33">
        <f>SUM(Financials!W5:Z5)</f>
        <v/>
      </c>
      <c r="G12" s="41">
        <f>G8*G13</f>
        <v/>
      </c>
      <c r="H12" s="41">
        <f>H8*H13</f>
        <v/>
      </c>
      <c r="I12" s="41">
        <f>I8*I13</f>
        <v/>
      </c>
      <c r="J12" s="41">
        <f>J8*J13</f>
        <v/>
      </c>
      <c r="K12" s="41">
        <f>K8*K13</f>
        <v/>
      </c>
      <c r="L12" s="41">
        <f>L8*L13</f>
        <v/>
      </c>
      <c r="M12" s="41">
        <f>M8*M13</f>
        <v/>
      </c>
      <c r="N12" s="41">
        <f>N8*N13</f>
        <v/>
      </c>
      <c r="O12" s="41">
        <f>O8*O13</f>
        <v/>
      </c>
      <c r="P12" s="41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0.2561006029814683</v>
      </c>
      <c r="H13" s="15" t="n">
        <v>0.2561006029814683</v>
      </c>
      <c r="I13" s="15" t="n">
        <v>0.2561006029814683</v>
      </c>
      <c r="J13" s="15" t="n">
        <v>0.2561006029814683</v>
      </c>
      <c r="K13" s="15" t="n">
        <v>0.2561006029814683</v>
      </c>
      <c r="L13" s="15" t="n">
        <v>0.2561006029814683</v>
      </c>
      <c r="M13" s="15" t="n">
        <v>0.2561006029814683</v>
      </c>
      <c r="N13" s="15" t="n">
        <v>0.2561006029814683</v>
      </c>
      <c r="O13" s="15" t="n">
        <v>0.2561006029814683</v>
      </c>
      <c r="P13" s="15" t="n">
        <v>0.2561006029814683</v>
      </c>
    </row>
    <row r="14">
      <c r="A14" s="4" t="inlineStr">
        <is>
          <t>R&amp;D / Technology</t>
        </is>
      </c>
      <c r="B14" s="33">
        <f>SUM(Financials!G7:J7)</f>
        <v/>
      </c>
      <c r="C14" s="33">
        <f>SUM(Financials!K7:N7)</f>
        <v/>
      </c>
      <c r="D14" s="33">
        <f>SUM(Financials!O7:R7)</f>
        <v/>
      </c>
      <c r="E14" s="33">
        <f>SUM(Financials!S7:V7)</f>
        <v/>
      </c>
      <c r="F14" s="33">
        <f>SUM(Financials!W7:Z7)</f>
        <v/>
      </c>
      <c r="G14" s="41">
        <f>G8*G15</f>
        <v/>
      </c>
      <c r="H14" s="41">
        <f>H8*H15</f>
        <v/>
      </c>
      <c r="I14" s="41">
        <f>I8*I15</f>
        <v/>
      </c>
      <c r="J14" s="41">
        <f>J8*J15</f>
        <v/>
      </c>
      <c r="K14" s="41">
        <f>K8*K15</f>
        <v/>
      </c>
      <c r="L14" s="41">
        <f>L8*L15</f>
        <v/>
      </c>
      <c r="M14" s="41">
        <f>M8*M15</f>
        <v/>
      </c>
      <c r="N14" s="41">
        <f>N8*N15</f>
        <v/>
      </c>
      <c r="O14" s="41">
        <f>O8*O15</f>
        <v/>
      </c>
      <c r="P14" s="41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0.2465846331413285</v>
      </c>
      <c r="H15" s="15" t="n">
        <v>0.2465846331413285</v>
      </c>
      <c r="I15" s="15" t="n">
        <v>0.2465846331413285</v>
      </c>
      <c r="J15" s="15" t="n">
        <v>0.2465846331413285</v>
      </c>
      <c r="K15" s="15" t="n">
        <v>0.2465846331413285</v>
      </c>
      <c r="L15" s="15" t="n">
        <v>0.2465846331413285</v>
      </c>
      <c r="M15" s="15" t="n">
        <v>0.2465846331413285</v>
      </c>
      <c r="N15" s="15" t="n">
        <v>0.2465846331413285</v>
      </c>
      <c r="O15" s="15" t="n">
        <v>0.2465846331413285</v>
      </c>
      <c r="P15" s="15" t="n">
        <v>0.2465846331413285</v>
      </c>
    </row>
    <row r="16">
      <c r="A16" s="4" t="inlineStr">
        <is>
          <t>SG&amp;A</t>
        </is>
      </c>
      <c r="B16" s="33">
        <f>SUM(Financials!G9:J9)</f>
        <v/>
      </c>
      <c r="C16" s="33">
        <f>SUM(Financials!K9:N9)</f>
        <v/>
      </c>
      <c r="D16" s="33">
        <f>SUM(Financials!O9:R9)</f>
        <v/>
      </c>
      <c r="E16" s="33">
        <f>SUM(Financials!S9:V9)</f>
        <v/>
      </c>
      <c r="F16" s="33">
        <f>SUM(Financials!W9:Z9)</f>
        <v/>
      </c>
      <c r="G16" s="41">
        <f>G8*G17</f>
        <v/>
      </c>
      <c r="H16" s="41">
        <f>H8*H17</f>
        <v/>
      </c>
      <c r="I16" s="41">
        <f>I8*I17</f>
        <v/>
      </c>
      <c r="J16" s="41">
        <f>J8*J17</f>
        <v/>
      </c>
      <c r="K16" s="41">
        <f>K8*K17</f>
        <v/>
      </c>
      <c r="L16" s="41">
        <f>L8*L17</f>
        <v/>
      </c>
      <c r="M16" s="41">
        <f>M8*M17</f>
        <v/>
      </c>
      <c r="N16" s="41">
        <f>N8*N17</f>
        <v/>
      </c>
      <c r="O16" s="41">
        <f>O8*O17</f>
        <v/>
      </c>
      <c r="P16" s="41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0.5341900739973681</v>
      </c>
      <c r="H17" s="15" t="n">
        <v>0.5341900739973681</v>
      </c>
      <c r="I17" s="15" t="n">
        <v>0.5341900739973681</v>
      </c>
      <c r="J17" s="15" t="n">
        <v>0.5341900739973681</v>
      </c>
      <c r="K17" s="15" t="n">
        <v>0.5341900739973681</v>
      </c>
      <c r="L17" s="15" t="n">
        <v>0.5341900739973681</v>
      </c>
      <c r="M17" s="15" t="n">
        <v>0.5341900739973681</v>
      </c>
      <c r="N17" s="15" t="n">
        <v>0.5341900739973681</v>
      </c>
      <c r="O17" s="15" t="n">
        <v>0.5341900739973681</v>
      </c>
      <c r="P17" s="15" t="n">
        <v>0.5341900739973681</v>
      </c>
    </row>
    <row r="18">
      <c r="A18" s="4" t="inlineStr">
        <is>
          <t>Other opex (fulfilment, etc.)</t>
        </is>
      </c>
      <c r="B18" s="33">
        <f>B8-(B12+B14+B16)-SUM(Financials!G13:J13)</f>
        <v/>
      </c>
      <c r="C18" s="33">
        <f>C8-(C12+C14+C16)-SUM(Financials!K13:N13)</f>
        <v/>
      </c>
      <c r="D18" s="33">
        <f>D8-(D12+D14+D16)-SUM(Financials!O13:R13)</f>
        <v/>
      </c>
      <c r="E18" s="33">
        <f>E8-(E12+E14+E16)-SUM(Financials!S13:V13)</f>
        <v/>
      </c>
      <c r="F18" s="33">
        <f>F8-(F12+F14+F16)-SUM(Financials!W13:Z13)</f>
        <v/>
      </c>
      <c r="G18" s="33">
        <f>G8*(1-(Dashboard!$B$29+(Dashboard!$B$30-Dashboard!$B$29)*MIN(1,0/3)))-(G12+G14+G16)</f>
        <v/>
      </c>
      <c r="H18" s="33">
        <f>H8*(1-(Dashboard!$B$29+(Dashboard!$B$30-Dashboard!$B$29)*MIN(1,1/3)))-(H12+H14+H16)</f>
        <v/>
      </c>
      <c r="I18" s="33">
        <f>I8*(1-(Dashboard!$B$29+(Dashboard!$B$30-Dashboard!$B$29)*MIN(1,2/3)))-(I12+I14+I16)</f>
        <v/>
      </c>
      <c r="J18" s="33">
        <f>J8*(1-(Dashboard!$B$29+(Dashboard!$B$30-Dashboard!$B$29)*MIN(1,3/3)))-(J12+J14+J16)</f>
        <v/>
      </c>
      <c r="K18" s="33">
        <f>K8*(1-(Dashboard!$B$29+(Dashboard!$B$30-Dashboard!$B$29)*MIN(1,4/3)))-(K12+K14+K16)</f>
        <v/>
      </c>
      <c r="L18" s="33">
        <f>L8*(1-(Dashboard!$B$29+(Dashboard!$B$30-Dashboard!$B$29)*MIN(1,5/3)))-(L12+L14+L16)</f>
        <v/>
      </c>
      <c r="M18" s="33">
        <f>M8*(1-(Dashboard!$B$29+(Dashboard!$B$30-Dashboard!$B$29)*MIN(1,6/3)))-(M12+M14+M16)</f>
        <v/>
      </c>
      <c r="N18" s="33">
        <f>N8*(1-(Dashboard!$B$29+(Dashboard!$B$30-Dashboard!$B$29)*MIN(1,7/3)))-(N12+N14+N16)</f>
        <v/>
      </c>
      <c r="O18" s="33">
        <f>O8*(1-(Dashboard!$B$29+(Dashboard!$B$30-Dashboard!$B$29)*MIN(1,8/3)))-(O12+O14+O16)</f>
        <v/>
      </c>
      <c r="P18" s="33">
        <f>P8*(1-(Dashboard!$B$29+(Dashboard!$B$30-Dashboard!$B$29)*MIN(1,9/3)))-(P12+P14+P16)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2">
        <f>B8-(B12+B14+B16)-B18</f>
        <v/>
      </c>
      <c r="C21" s="42">
        <f>C8-(C12+C14+C16)-C18</f>
        <v/>
      </c>
      <c r="D21" s="42">
        <f>D8-(D12+D14+D16)-D18</f>
        <v/>
      </c>
      <c r="E21" s="42">
        <f>E8-(E12+E14+E16)-E18</f>
        <v/>
      </c>
      <c r="F21" s="42">
        <f>F8-(F12+F14+F16)-F18</f>
        <v/>
      </c>
      <c r="G21" s="42">
        <f>G8-(G12+G14+G16)-G18</f>
        <v/>
      </c>
      <c r="H21" s="42">
        <f>H8-(H12+H14+H16)-H18</f>
        <v/>
      </c>
      <c r="I21" s="42">
        <f>I8-(I12+I14+I16)-I18</f>
        <v/>
      </c>
      <c r="J21" s="42">
        <f>J8-(J12+J14+J16)-J18</f>
        <v/>
      </c>
      <c r="K21" s="42">
        <f>K8-(K12+K14+K16)-K18</f>
        <v/>
      </c>
      <c r="L21" s="42">
        <f>L8-(L12+L14+L16)-L18</f>
        <v/>
      </c>
      <c r="M21" s="42">
        <f>M8-(M12+M14+M16)-M18</f>
        <v/>
      </c>
      <c r="N21" s="42">
        <f>N8-(N12+N14+N16)-N18</f>
        <v/>
      </c>
      <c r="O21" s="42">
        <f>O8-(O12+O14+O16)-O18</f>
        <v/>
      </c>
      <c r="P21" s="42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3">
        <f>B21*(1-Valuation!$B$5)</f>
        <v/>
      </c>
      <c r="C25" s="33">
        <f>C21*(1-Valuation!$B$5)</f>
        <v/>
      </c>
      <c r="D25" s="33">
        <f>D21*(1-Valuation!$B$5)</f>
        <v/>
      </c>
      <c r="E25" s="33">
        <f>E21*(1-Valuation!$B$5)</f>
        <v/>
      </c>
      <c r="F25" s="33">
        <f>F21*(1-Valuation!$B$5)</f>
        <v/>
      </c>
      <c r="G25" s="33">
        <f>G21*(1-Valuation!$B$5)</f>
        <v/>
      </c>
      <c r="H25" s="33">
        <f>H21*(1-Valuation!$B$5)</f>
        <v/>
      </c>
      <c r="I25" s="33">
        <f>I21*(1-Valuation!$B$5)</f>
        <v/>
      </c>
      <c r="J25" s="33">
        <f>J21*(1-Valuation!$B$5)</f>
        <v/>
      </c>
      <c r="K25" s="33">
        <f>K21*(1-Valuation!$B$5)</f>
        <v/>
      </c>
      <c r="L25" s="33">
        <f>L21*(1-Valuation!$B$5)</f>
        <v/>
      </c>
      <c r="M25" s="33">
        <f>M21*(1-Valuation!$B$5)</f>
        <v/>
      </c>
      <c r="N25" s="33">
        <f>N21*(1-Valuation!$B$5)</f>
        <v/>
      </c>
      <c r="O25" s="33">
        <f>O21*(1-Valuation!$B$5)</f>
        <v/>
      </c>
      <c r="P25" s="33">
        <f>P21*(1-Valuation!$B$5)</f>
        <v/>
      </c>
    </row>
    <row r="26">
      <c r="A26" s="4" t="inlineStr">
        <is>
          <t>+ D&amp;A</t>
        </is>
      </c>
      <c r="B26" s="33">
        <f>SUM(Financials!G41:J41)</f>
        <v/>
      </c>
      <c r="C26" s="33">
        <f>SUM(Financials!K41:N41)</f>
        <v/>
      </c>
      <c r="D26" s="33">
        <f>SUM(Financials!O41:R41)</f>
        <v/>
      </c>
      <c r="E26" s="33">
        <f>SUM(Financials!S41:V41)</f>
        <v/>
      </c>
      <c r="F26" s="33">
        <f>SUM(Financials!W41:Z41)</f>
        <v/>
      </c>
      <c r="G26" s="41">
        <f>G8*0.0083</f>
        <v/>
      </c>
      <c r="H26" s="41">
        <f>H8*0.0083</f>
        <v/>
      </c>
      <c r="I26" s="41">
        <f>I8*0.0083</f>
        <v/>
      </c>
      <c r="J26" s="41">
        <f>J8*0.0083</f>
        <v/>
      </c>
      <c r="K26" s="41">
        <f>K8*0.0083</f>
        <v/>
      </c>
      <c r="L26" s="41">
        <f>L8*0.0083</f>
        <v/>
      </c>
      <c r="M26" s="41">
        <f>M8*0.0083</f>
        <v/>
      </c>
      <c r="N26" s="41">
        <f>N8*0.0083</f>
        <v/>
      </c>
      <c r="O26" s="41">
        <f>O8*0.0083</f>
        <v/>
      </c>
      <c r="P26" s="41">
        <f>P8*0.0083</f>
        <v/>
      </c>
    </row>
    <row r="27">
      <c r="A27" s="4" t="inlineStr">
        <is>
          <t>+ SBC (non-cash)</t>
        </is>
      </c>
      <c r="B27" s="33">
        <f>SUM(Financials!G42:J42)</f>
        <v/>
      </c>
      <c r="C27" s="33">
        <f>SUM(Financials!K42:N42)</f>
        <v/>
      </c>
      <c r="D27" s="33">
        <f>SUM(Financials!O42:R42)</f>
        <v/>
      </c>
      <c r="E27" s="33">
        <f>SUM(Financials!S42:V42)</f>
        <v/>
      </c>
      <c r="F27" s="33">
        <f>SUM(Financials!W42:Z42)</f>
        <v/>
      </c>
      <c r="G27" s="33">
        <f>G8*(Dashboard!$B$65+(Dashboard!$B$66-Dashboard!$B$65)*0/9)</f>
        <v/>
      </c>
      <c r="H27" s="33">
        <f>H8*(Dashboard!$B$65+(Dashboard!$B$66-Dashboard!$B$65)*1/9)</f>
        <v/>
      </c>
      <c r="I27" s="33">
        <f>I8*(Dashboard!$B$65+(Dashboard!$B$66-Dashboard!$B$65)*2/9)</f>
        <v/>
      </c>
      <c r="J27" s="33">
        <f>J8*(Dashboard!$B$65+(Dashboard!$B$66-Dashboard!$B$65)*3/9)</f>
        <v/>
      </c>
      <c r="K27" s="33">
        <f>K8*(Dashboard!$B$65+(Dashboard!$B$66-Dashboard!$B$65)*4/9)</f>
        <v/>
      </c>
      <c r="L27" s="33">
        <f>L8*(Dashboard!$B$65+(Dashboard!$B$66-Dashboard!$B$65)*5/9)</f>
        <v/>
      </c>
      <c r="M27" s="33">
        <f>M8*(Dashboard!$B$65+(Dashboard!$B$66-Dashboard!$B$65)*6/9)</f>
        <v/>
      </c>
      <c r="N27" s="33">
        <f>N8*(Dashboard!$B$65+(Dashboard!$B$66-Dashboard!$B$65)*7/9)</f>
        <v/>
      </c>
      <c r="O27" s="33">
        <f>O8*(Dashboard!$B$65+(Dashboard!$B$66-Dashboard!$B$65)*8/9)</f>
        <v/>
      </c>
      <c r="P27" s="33">
        <f>P8*(Dashboard!$B$65+(Dashboard!$B$66-Dashboard!$B$65)*9/9)</f>
        <v/>
      </c>
    </row>
    <row r="28">
      <c r="A28" s="4" t="inlineStr">
        <is>
          <t>- dNWC</t>
        </is>
      </c>
      <c r="G28" s="41">
        <f>(G8-F8)*0.0050</f>
        <v/>
      </c>
      <c r="H28" s="41">
        <f>(H8-G8)*0.0050</f>
        <v/>
      </c>
      <c r="I28" s="41">
        <f>(I8-H8)*0.0050</f>
        <v/>
      </c>
      <c r="J28" s="41">
        <f>(J8-I8)*0.0050</f>
        <v/>
      </c>
      <c r="K28" s="41">
        <f>(K8-J8)*0.0050</f>
        <v/>
      </c>
      <c r="L28" s="41">
        <f>(L8-K8)*0.0050</f>
        <v/>
      </c>
      <c r="M28" s="41">
        <f>(M8-L8)*0.0050</f>
        <v/>
      </c>
      <c r="N28" s="41">
        <f>(N8-M8)*0.0050</f>
        <v/>
      </c>
      <c r="O28" s="41">
        <f>(O8-N8)*0.0050</f>
        <v/>
      </c>
      <c r="P28" s="41">
        <f>(P8-O8)*0.0050</f>
        <v/>
      </c>
    </row>
    <row r="29">
      <c r="A29" s="4" t="inlineStr">
        <is>
          <t>- Capex</t>
        </is>
      </c>
      <c r="B29" s="33">
        <f>-SUM(Financials!G45:J45)</f>
        <v/>
      </c>
      <c r="C29" s="33">
        <f>-SUM(Financials!K45:N45)</f>
        <v/>
      </c>
      <c r="D29" s="33">
        <f>-SUM(Financials!O45:R45)</f>
        <v/>
      </c>
      <c r="E29" s="33">
        <f>-SUM(Financials!S45:V45)</f>
        <v/>
      </c>
      <c r="F29" s="33">
        <f>-SUM(Financials!W45:Z45)</f>
        <v/>
      </c>
      <c r="G29" s="41">
        <f>G26*G30</f>
        <v/>
      </c>
      <c r="H29" s="41">
        <f>H26*H30</f>
        <v/>
      </c>
      <c r="I29" s="41">
        <f>I26*I30</f>
        <v/>
      </c>
      <c r="J29" s="41">
        <f>J26*J30</f>
        <v/>
      </c>
      <c r="K29" s="41">
        <f>K26*K30</f>
        <v/>
      </c>
      <c r="L29" s="41">
        <f>L26*L30</f>
        <v/>
      </c>
      <c r="M29" s="41">
        <f>M26*M30</f>
        <v/>
      </c>
      <c r="N29" s="41">
        <f>N26*N30</f>
        <v/>
      </c>
      <c r="O29" s="41">
        <f>O26*O30</f>
        <v/>
      </c>
      <c r="P29" s="41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2">
        <f>B25+B26+B27-B28-B29</f>
        <v/>
      </c>
      <c r="C32" s="42">
        <f>C25+C26+C27-C28-C29</f>
        <v/>
      </c>
      <c r="D32" s="42">
        <f>D25+D26+D27-D28-D29</f>
        <v/>
      </c>
      <c r="E32" s="42">
        <f>E25+E26+E27-E28-E29</f>
        <v/>
      </c>
      <c r="F32" s="42">
        <f>F25+F26+F27-F28-F29</f>
        <v/>
      </c>
      <c r="G32" s="42">
        <f>G25+G26+G27-G28-G29</f>
        <v/>
      </c>
      <c r="H32" s="42">
        <f>H25+H26+H27-H28-H29</f>
        <v/>
      </c>
      <c r="I32" s="42">
        <f>I25+I26+I27-I28-I29</f>
        <v/>
      </c>
      <c r="J32" s="42">
        <f>J25+J26+J27-J28-J29</f>
        <v/>
      </c>
      <c r="K32" s="42">
        <f>K25+K26+K27-K28-K29</f>
        <v/>
      </c>
      <c r="L32" s="42">
        <f>L25+L26+L27-L28-L29</f>
        <v/>
      </c>
      <c r="M32" s="42">
        <f>M25+M26+M27-M28-M29</f>
        <v/>
      </c>
      <c r="N32" s="42">
        <f>N25+N26+N27-N28-N29</f>
        <v/>
      </c>
      <c r="O32" s="42">
        <f>O25+O26+O27-O28-O29</f>
        <v/>
      </c>
      <c r="P32" s="42">
        <f>P25+P26+P27-P28-P29</f>
        <v/>
      </c>
    </row>
    <row r="33">
      <c r="A33" s="3" t="inlineStr">
        <is>
          <t>Valuation FCF (NOPAT + D&amp;A - dNWC - Capex - after-tax SBC)</t>
        </is>
      </c>
      <c r="B33" s="43">
        <f>B32-B27-B27*(1-Valuation!$B$5)</f>
        <v/>
      </c>
      <c r="C33" s="43">
        <f>C32-C27-C27*(1-Valuation!$B$5)</f>
        <v/>
      </c>
      <c r="D33" s="43">
        <f>D32-D27-D27*(1-Valuation!$B$5)</f>
        <v/>
      </c>
      <c r="E33" s="43">
        <f>E32-E27-E27*(1-Valuation!$B$5)</f>
        <v/>
      </c>
      <c r="F33" s="43">
        <f>F32-F27-F27*(1-Valuation!$B$5)</f>
        <v/>
      </c>
      <c r="G33" s="43">
        <f>G32-G27-G27*(1-Valuation!$B$5)</f>
        <v/>
      </c>
      <c r="H33" s="43">
        <f>H32-H27-H27*(1-Valuation!$B$5)</f>
        <v/>
      </c>
      <c r="I33" s="43">
        <f>I32-I27-I27*(1-Valuation!$B$5)</f>
        <v/>
      </c>
      <c r="J33" s="43">
        <f>J32-J27-J27*(1-Valuation!$B$5)</f>
        <v/>
      </c>
      <c r="K33" s="43">
        <f>K32-K27-K27*(1-Valuation!$B$5)</f>
        <v/>
      </c>
      <c r="L33" s="43">
        <f>L32-L27-L27*(1-Valuation!$B$5)</f>
        <v/>
      </c>
      <c r="M33" s="43">
        <f>M32-M27-M27*(1-Valuation!$B$5)</f>
        <v/>
      </c>
      <c r="N33" s="43">
        <f>N32-N27-N27*(1-Valuation!$B$5)</f>
        <v/>
      </c>
      <c r="O33" s="43">
        <f>O32-O27-O27*(1-Valuation!$B$5)</f>
        <v/>
      </c>
      <c r="P33" s="43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3">
        <f>Financials!J39+Financials!J38-Financials!J33</f>
        <v/>
      </c>
      <c r="C36" s="33">
        <f>Financials!N39+Financials!N38-Financials!N33</f>
        <v/>
      </c>
      <c r="D36" s="33">
        <f>Financials!R39+Financials!R38-Financials!R33</f>
        <v/>
      </c>
      <c r="E36" s="33">
        <f>Financials!V39+Financials!V38-Financials!V33</f>
        <v/>
      </c>
      <c r="F36" s="33">
        <f>Financials!Z39+Financials!Z38-Financials!Z33</f>
        <v/>
      </c>
      <c r="G36" s="41">
        <f>F36+G29-G26+G28</f>
        <v/>
      </c>
      <c r="H36" s="41">
        <f>G36+H29-H26+H28</f>
        <v/>
      </c>
      <c r="I36" s="41">
        <f>H36+I29-I26+I28</f>
        <v/>
      </c>
      <c r="J36" s="41">
        <f>I36+J29-J26+J28</f>
        <v/>
      </c>
      <c r="K36" s="41">
        <f>J36+K29-K26+K28</f>
        <v/>
      </c>
      <c r="L36" s="41">
        <f>K36+L29-L26+L28</f>
        <v/>
      </c>
      <c r="M36" s="41">
        <f>L36+M29-M26+M28</f>
        <v/>
      </c>
      <c r="N36" s="41">
        <f>M36+N29-N26+N28</f>
        <v/>
      </c>
      <c r="O36" s="41">
        <f>N36+O29-O26+O28</f>
        <v/>
      </c>
      <c r="P36" s="41">
        <f>O36+P29-P26+P28</f>
        <v/>
      </c>
    </row>
    <row r="37">
      <c r="A37" s="4" t="inlineStr">
        <is>
          <t>Book equity (year-end)</t>
        </is>
      </c>
      <c r="B37" s="33">
        <f>Financials!J39</f>
        <v/>
      </c>
      <c r="C37" s="33">
        <f>Financials!N39</f>
        <v/>
      </c>
      <c r="D37" s="33">
        <f>Financials!R39</f>
        <v/>
      </c>
      <c r="E37" s="33">
        <f>Financials!V39</f>
        <v/>
      </c>
      <c r="F37" s="33">
        <f>Financials!Z39</f>
        <v/>
      </c>
      <c r="G37" s="41">
        <f>F37+G25</f>
        <v/>
      </c>
      <c r="H37" s="41">
        <f>G37+H25</f>
        <v/>
      </c>
      <c r="I37" s="41">
        <f>H37+I25</f>
        <v/>
      </c>
      <c r="J37" s="41">
        <f>I37+J25</f>
        <v/>
      </c>
      <c r="K37" s="41">
        <f>J37+K25</f>
        <v/>
      </c>
      <c r="L37" s="41">
        <f>K37+L25</f>
        <v/>
      </c>
      <c r="M37" s="41">
        <f>L37+M25</f>
        <v/>
      </c>
      <c r="N37" s="41">
        <f>M37+N25</f>
        <v/>
      </c>
      <c r="O37" s="41">
        <f>N37+O25</f>
        <v/>
      </c>
      <c r="P37" s="41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IFERROR(SUM(Financials!K15:N15)/B37,"")</f>
        <v/>
      </c>
      <c r="D39" s="11">
        <f>IFERROR(SUM(Financials!O15:R15)/C37,"")</f>
        <v/>
      </c>
      <c r="E39" s="11">
        <f>IFERROR(SUM(Financials!S15:V15)/D37,"")</f>
        <v/>
      </c>
      <c r="F39" s="11">
        <f>IFERROR(SUM(Financials!W15:Z15)/E37,"")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4">
        <f>IFERROR((C8-B8)/(C36-B36),"")</f>
        <v/>
      </c>
      <c r="D43" s="44">
        <f>IFERROR((D8-C8)/(D36-C36),"")</f>
        <v/>
      </c>
      <c r="E43" s="44">
        <f>IFERROR((E8-D8)/(E36-D36),"")</f>
        <v/>
      </c>
      <c r="F43" s="44">
        <f>IFERROR((F8-E8)/(F36-E36),"")</f>
        <v/>
      </c>
      <c r="G43" s="44">
        <f>IFERROR((G8-F8)/(G36-F36),"")</f>
        <v/>
      </c>
      <c r="H43" s="44">
        <f>IFERROR((H8-G8)/(H36-G36),"")</f>
        <v/>
      </c>
      <c r="I43" s="44">
        <f>IFERROR((I8-H8)/(I36-H36),"")</f>
        <v/>
      </c>
      <c r="J43" s="44">
        <f>IFERROR((J8-I8)/(J36-I36),"")</f>
        <v/>
      </c>
      <c r="K43" s="44">
        <f>IFERROR((K8-J8)/(K36-J36),"")</f>
        <v/>
      </c>
      <c r="L43" s="44">
        <f>IFERROR((L8-K8)/(L36-K36),"")</f>
        <v/>
      </c>
      <c r="M43" s="44">
        <f>IFERROR((M8-L8)/(M36-L36),"")</f>
        <v/>
      </c>
      <c r="N43" s="44">
        <f>IFERROR((N8-M8)/(N36-M36),"")</f>
        <v/>
      </c>
      <c r="O43" s="44">
        <f>IFERROR((O8-N8)/(O36-N36),"")</f>
        <v/>
      </c>
      <c r="P43" s="44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Q4 2019</t>
        </is>
      </c>
      <c r="C1" s="45" t="inlineStr">
        <is>
          <t>Q1 2020</t>
        </is>
      </c>
      <c r="D1" s="45" t="inlineStr">
        <is>
          <t>Q2 2020</t>
        </is>
      </c>
      <c r="E1" s="45" t="inlineStr">
        <is>
          <t>Q3 2020</t>
        </is>
      </c>
      <c r="F1" s="45" t="inlineStr">
        <is>
          <t>Q4 2020</t>
        </is>
      </c>
      <c r="G1" s="45" t="inlineStr">
        <is>
          <t>Q1 2021</t>
        </is>
      </c>
      <c r="H1" s="45" t="inlineStr">
        <is>
          <t>Q2 2021</t>
        </is>
      </c>
      <c r="I1" s="45" t="inlineStr">
        <is>
          <t>Q3 2021</t>
        </is>
      </c>
      <c r="J1" s="45" t="inlineStr">
        <is>
          <t>Q4 2021</t>
        </is>
      </c>
      <c r="K1" s="45" t="inlineStr">
        <is>
          <t>Q1 2022</t>
        </is>
      </c>
      <c r="L1" s="45" t="inlineStr">
        <is>
          <t>Q2 2022</t>
        </is>
      </c>
      <c r="M1" s="45" t="inlineStr">
        <is>
          <t>Q3 2022</t>
        </is>
      </c>
      <c r="N1" s="45" t="inlineStr">
        <is>
          <t>Q4 2022</t>
        </is>
      </c>
      <c r="O1" s="45" t="inlineStr">
        <is>
          <t>Q1 2023</t>
        </is>
      </c>
      <c r="P1" s="45" t="inlineStr">
        <is>
          <t>Q2 2023</t>
        </is>
      </c>
      <c r="Q1" s="45" t="inlineStr">
        <is>
          <t>Q3 2023</t>
        </is>
      </c>
      <c r="R1" s="45" t="inlineStr">
        <is>
          <t>Q4 2023</t>
        </is>
      </c>
      <c r="S1" s="45" t="inlineStr">
        <is>
          <t>Q1 2024</t>
        </is>
      </c>
      <c r="T1" s="45" t="inlineStr">
        <is>
          <t>Q2 2024</t>
        </is>
      </c>
      <c r="U1" s="45" t="inlineStr">
        <is>
          <t>Q3 2024</t>
        </is>
      </c>
      <c r="V1" s="45" t="inlineStr">
        <is>
          <t>Q4 2024</t>
        </is>
      </c>
      <c r="W1" s="45" t="inlineStr">
        <is>
          <t>Q1 2025</t>
        </is>
      </c>
      <c r="X1" s="45" t="inlineStr">
        <is>
          <t>Q2 2025</t>
        </is>
      </c>
      <c r="Y1" s="45" t="inlineStr">
        <is>
          <t>Q3 2025</t>
        </is>
      </c>
      <c r="Z1" s="45" t="inlineStr">
        <is>
          <t>Q4 2025</t>
        </is>
      </c>
      <c r="AA1" s="45" t="inlineStr">
        <is>
          <t>Q1 2026</t>
        </is>
      </c>
      <c r="AB1" s="45" t="inlineStr">
        <is>
          <t>Q2 2026</t>
        </is>
      </c>
      <c r="AC1" s="45" t="inlineStr">
        <is>
          <t>Q3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80.599</v>
      </c>
      <c r="C3" s="18" t="n">
        <v>89.70999999999999</v>
      </c>
      <c r="D3" s="18" t="n">
        <v>101.106</v>
      </c>
      <c r="E3" s="18" t="n">
        <v>113.181</v>
      </c>
      <c r="F3" s="18" t="n">
        <v>123.623</v>
      </c>
      <c r="G3" s="18" t="n">
        <v>128.87</v>
      </c>
      <c r="H3" s="18" t="n">
        <v>144.894</v>
      </c>
      <c r="I3" s="18" t="n">
        <v>157.115</v>
      </c>
      <c r="J3" s="18" t="n">
        <v>177.61</v>
      </c>
      <c r="K3" s="18" t="n">
        <v>193.095</v>
      </c>
      <c r="L3" s="18" t="n">
        <v>205.98</v>
      </c>
      <c r="M3" s="18" t="n">
        <v>223.944</v>
      </c>
      <c r="N3" s="18" t="n">
        <v>239.355</v>
      </c>
      <c r="O3" s="18" t="n">
        <v>250.081</v>
      </c>
      <c r="P3" s="18" t="n">
        <v>264.401</v>
      </c>
      <c r="Q3" s="18" t="n">
        <v>274.566</v>
      </c>
      <c r="R3" s="18" t="n">
        <v>279.941</v>
      </c>
      <c r="S3" s="18" t="n">
        <v>293.753</v>
      </c>
      <c r="T3" s="18" t="n">
        <v>310.612</v>
      </c>
      <c r="U3" s="18" t="n">
        <v>327.957</v>
      </c>
      <c r="V3" s="18" t="n">
        <v>334.999</v>
      </c>
      <c r="W3" s="18" t="n">
        <v>347.42</v>
      </c>
      <c r="X3" s="18" t="n">
        <v>365.361</v>
      </c>
      <c r="Y3" s="18" t="n">
        <v>382.083</v>
      </c>
      <c r="Z3" s="18" t="n">
        <v>388.432</v>
      </c>
      <c r="AA3" s="18" t="n">
        <v>415.288</v>
      </c>
      <c r="AB3" s="18" t="n">
        <v>423.481</v>
      </c>
      <c r="AC3" s="18" t="n">
        <v>449.881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23.442</v>
      </c>
      <c r="C5" s="18" t="n">
        <v>26.251</v>
      </c>
      <c r="D5" s="18" t="n">
        <v>28.761</v>
      </c>
      <c r="E5" s="18" t="n">
        <v>33.405</v>
      </c>
      <c r="F5" s="18" t="n">
        <v>34.273</v>
      </c>
      <c r="G5" s="18" t="n">
        <v>34.831</v>
      </c>
      <c r="H5" s="18" t="n">
        <v>38.448</v>
      </c>
      <c r="I5" s="18" t="n">
        <v>41.968</v>
      </c>
      <c r="J5" s="18" t="n">
        <v>45.807</v>
      </c>
      <c r="K5" s="18" t="n">
        <v>49.662</v>
      </c>
      <c r="L5" s="18" t="n">
        <v>53.884</v>
      </c>
      <c r="M5" s="18" t="n">
        <v>61.284</v>
      </c>
      <c r="N5" s="18" t="n">
        <v>67.364</v>
      </c>
      <c r="O5" s="18" t="n">
        <v>72.979</v>
      </c>
      <c r="P5" s="18" t="n">
        <v>74.75700000000001</v>
      </c>
      <c r="Q5" s="18" t="n">
        <v>75.208</v>
      </c>
      <c r="R5" s="18" t="n">
        <v>73.682</v>
      </c>
      <c r="S5" s="18" t="n">
        <v>77.477</v>
      </c>
      <c r="T5" s="18" t="n">
        <v>80.089</v>
      </c>
      <c r="U5" s="18" t="n">
        <v>84.642</v>
      </c>
      <c r="V5" s="18" t="n">
        <v>87.871</v>
      </c>
      <c r="W5" s="18" t="n">
        <v>91.75700000000001</v>
      </c>
      <c r="X5" s="18" t="n">
        <v>93.179</v>
      </c>
      <c r="Y5" s="18" t="n">
        <v>97.152</v>
      </c>
      <c r="Z5" s="18" t="n">
        <v>97.785</v>
      </c>
      <c r="AA5" s="18" t="n">
        <v>96.746</v>
      </c>
      <c r="AB5" s="18" t="n">
        <v>102.027</v>
      </c>
      <c r="AC5" s="18" t="n">
        <v>106.439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31.004</v>
      </c>
      <c r="C7" s="18" t="n">
        <v>35.182</v>
      </c>
      <c r="D7" s="18" t="n">
        <v>38.478</v>
      </c>
      <c r="E7" s="18" t="n">
        <v>46.119</v>
      </c>
      <c r="F7" s="18" t="n">
        <v>45.591</v>
      </c>
      <c r="G7" s="18" t="n">
        <v>45.678</v>
      </c>
      <c r="H7" s="18" t="n">
        <v>46.688</v>
      </c>
      <c r="I7" s="18" t="n">
        <v>51.4</v>
      </c>
      <c r="J7" s="18" t="n">
        <v>55.437</v>
      </c>
      <c r="K7" s="18" t="n">
        <v>59.382</v>
      </c>
      <c r="L7" s="18" t="n">
        <v>63.763</v>
      </c>
      <c r="M7" s="18" t="n">
        <v>71.749</v>
      </c>
      <c r="N7" s="18" t="n">
        <v>78.867</v>
      </c>
      <c r="O7" s="18" t="n">
        <v>78.649</v>
      </c>
      <c r="P7" s="18" t="n">
        <v>75.568</v>
      </c>
      <c r="Q7" s="18" t="n">
        <v>77.47199999999999</v>
      </c>
      <c r="R7" s="18" t="n">
        <v>81.765</v>
      </c>
      <c r="S7" s="18" t="n">
        <v>80.69</v>
      </c>
      <c r="T7" s="18" t="n">
        <v>80.108</v>
      </c>
      <c r="U7" s="18" t="n">
        <v>87.202</v>
      </c>
      <c r="V7" s="18" t="n">
        <v>93.741</v>
      </c>
      <c r="W7" s="18" t="n">
        <v>89.33199999999999</v>
      </c>
      <c r="X7" s="18" t="n">
        <v>88.163</v>
      </c>
      <c r="Y7" s="18" t="n">
        <v>93.598</v>
      </c>
      <c r="Z7" s="18" t="n">
        <v>94.66500000000001</v>
      </c>
      <c r="AA7" s="18" t="n">
        <v>109.122</v>
      </c>
      <c r="AB7" s="18" t="n">
        <v>108.152</v>
      </c>
      <c r="AC7" s="18" t="n">
        <v>114.39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58.238</v>
      </c>
      <c r="C9" s="18" t="n">
        <v>70.57899999999999</v>
      </c>
      <c r="D9" s="18" t="n">
        <v>85.828</v>
      </c>
      <c r="E9" s="18" t="n">
        <v>75.925</v>
      </c>
      <c r="F9" s="18" t="n">
        <v>78.333</v>
      </c>
      <c r="G9" s="18" t="n">
        <v>77.88</v>
      </c>
      <c r="H9" s="18" t="n">
        <v>88.179</v>
      </c>
      <c r="I9" s="18" t="n">
        <v>98.208</v>
      </c>
      <c r="J9" s="18" t="n">
        <v>113.443</v>
      </c>
      <c r="K9" s="18" t="n">
        <v>115.085</v>
      </c>
      <c r="L9" s="18" t="n">
        <v>125.508</v>
      </c>
      <c r="M9" s="18" t="n">
        <v>136.76</v>
      </c>
      <c r="N9" s="18" t="n">
        <v>152.746</v>
      </c>
      <c r="O9" s="18" t="n">
        <v>159.094</v>
      </c>
      <c r="P9" s="18" t="n">
        <v>163.104</v>
      </c>
      <c r="Q9" s="18" t="n">
        <v>161.428</v>
      </c>
      <c r="R9" s="18" t="n">
        <v>163.158</v>
      </c>
      <c r="S9" s="18" t="n">
        <v>171.108</v>
      </c>
      <c r="T9" s="18" t="n">
        <v>171.925</v>
      </c>
      <c r="U9" s="18" t="n">
        <v>181.835</v>
      </c>
      <c r="V9" s="18" t="n">
        <v>194.726</v>
      </c>
      <c r="W9" s="18" t="n">
        <v>200.03</v>
      </c>
      <c r="X9" s="18" t="n">
        <v>188.359</v>
      </c>
      <c r="Y9" s="18" t="n">
        <v>195.971</v>
      </c>
      <c r="Z9" s="18" t="n">
        <v>208.002</v>
      </c>
      <c r="AA9" s="18" t="n">
        <v>218.86</v>
      </c>
      <c r="AB9" s="18" t="n">
        <v>221.538</v>
      </c>
      <c r="AC9" s="18" t="n">
        <v>228.441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57.157</v>
      </c>
      <c r="C11" s="18" t="n">
        <v>63.459</v>
      </c>
      <c r="D11" s="18" t="n">
        <v>72.345</v>
      </c>
      <c r="E11" s="18" t="n">
        <v>79.776</v>
      </c>
      <c r="F11" s="18" t="n">
        <v>89.34999999999999</v>
      </c>
      <c r="G11" s="18" t="n">
        <v>94.039</v>
      </c>
      <c r="H11" s="18" t="n">
        <v>106.446</v>
      </c>
      <c r="I11" s="18" t="n">
        <v>115.147</v>
      </c>
      <c r="J11" s="18" t="n">
        <v>131.803</v>
      </c>
      <c r="K11" s="18" t="n">
        <v>143.433</v>
      </c>
      <c r="L11" s="18" t="n">
        <v>152.096</v>
      </c>
      <c r="M11" s="18" t="n">
        <v>162.66</v>
      </c>
      <c r="N11" s="18" t="n">
        <v>171.991</v>
      </c>
      <c r="O11" s="18" t="n">
        <v>177.102</v>
      </c>
      <c r="P11" s="18" t="n">
        <v>189.644</v>
      </c>
      <c r="Q11" s="18" t="n">
        <v>199.358</v>
      </c>
      <c r="R11" s="18" t="n">
        <v>206.259</v>
      </c>
      <c r="S11" s="18" t="n">
        <v>216.276</v>
      </c>
      <c r="T11" s="18" t="n">
        <v>230.523</v>
      </c>
      <c r="U11" s="18" t="n">
        <v>243.315</v>
      </c>
      <c r="V11" s="18" t="n">
        <v>247.128</v>
      </c>
      <c r="W11" s="18" t="n">
        <v>255.663</v>
      </c>
      <c r="X11" s="18" t="n">
        <v>272.182</v>
      </c>
      <c r="Y11" s="18" t="n">
        <v>284.931</v>
      </c>
      <c r="Z11" s="18" t="n">
        <v>290.647</v>
      </c>
      <c r="AA11" s="18" t="n">
        <v>318.542</v>
      </c>
      <c r="AB11" s="18" t="n">
        <v>321.454</v>
      </c>
      <c r="AC11" s="18" t="n">
        <v>343.442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-32.085</v>
      </c>
      <c r="C13" s="18" t="n">
        <v>-42.302</v>
      </c>
      <c r="D13" s="18" t="n">
        <v>-51.961</v>
      </c>
      <c r="E13" s="18" t="n">
        <v>-42.268</v>
      </c>
      <c r="F13" s="18" t="n">
        <v>-34.574</v>
      </c>
      <c r="G13" s="18" t="n">
        <v>-29.519</v>
      </c>
      <c r="H13" s="18" t="n">
        <v>-28.421</v>
      </c>
      <c r="I13" s="18" t="n">
        <v>-34.461</v>
      </c>
      <c r="J13" s="18" t="n">
        <v>-37.077</v>
      </c>
      <c r="K13" s="18" t="n">
        <v>-31.034</v>
      </c>
      <c r="L13" s="18" t="n">
        <v>-37.175</v>
      </c>
      <c r="M13" s="18" t="n">
        <v>-45.849</v>
      </c>
      <c r="N13" s="18" t="n">
        <v>-59.622</v>
      </c>
      <c r="O13" s="18" t="n">
        <v>-60.641</v>
      </c>
      <c r="P13" s="18" t="n">
        <v>-49.028</v>
      </c>
      <c r="Q13" s="18" t="n">
        <v>-69.34699999999999</v>
      </c>
      <c r="R13" s="18" t="n">
        <v>-40.156</v>
      </c>
      <c r="S13" s="18" t="n">
        <v>-36.247</v>
      </c>
      <c r="T13" s="18" t="n">
        <v>-21.539</v>
      </c>
      <c r="U13" s="18" t="n">
        <v>-26.404</v>
      </c>
      <c r="V13" s="18" t="n">
        <v>-45.712</v>
      </c>
      <c r="W13" s="18" t="n">
        <v>-33.838</v>
      </c>
      <c r="X13" s="18" t="n">
        <v>-4.426</v>
      </c>
      <c r="Y13" s="18" t="n">
        <v>-4.638</v>
      </c>
      <c r="Z13" s="18" t="n">
        <v>-12.02</v>
      </c>
      <c r="AA13" s="18" t="n">
        <v>-9.44</v>
      </c>
      <c r="AB13" s="18" t="n">
        <v>-8.236000000000001</v>
      </c>
      <c r="AC13" s="18" t="n">
        <v>0.611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-34.835</v>
      </c>
      <c r="C15" s="18" t="n">
        <v>-41.769</v>
      </c>
      <c r="D15" s="18" t="n">
        <v>-49.973</v>
      </c>
      <c r="E15" s="18" t="n">
        <v>-44.281</v>
      </c>
      <c r="F15" s="18" t="n">
        <v>-31.151</v>
      </c>
      <c r="G15" s="18" t="n">
        <v>-19.001</v>
      </c>
      <c r="H15" s="18" t="n">
        <v>-29.158</v>
      </c>
      <c r="I15" s="18" t="n">
        <v>-37.974</v>
      </c>
      <c r="J15" s="18" t="n">
        <v>-43.301</v>
      </c>
      <c r="K15" s="18" t="n">
        <v>-34.489</v>
      </c>
      <c r="L15" s="18" t="n">
        <v>-47.023</v>
      </c>
      <c r="M15" s="18" t="n">
        <v>-56.726</v>
      </c>
      <c r="N15" s="18" t="n">
        <v>-65.61</v>
      </c>
      <c r="O15" s="18" t="n">
        <v>-69.551</v>
      </c>
      <c r="P15" s="18" t="n">
        <v>-47.305</v>
      </c>
      <c r="Q15" s="18" t="n">
        <v>-72.574</v>
      </c>
      <c r="R15" s="18" t="n">
        <v>-46.731</v>
      </c>
      <c r="S15" s="18" t="n">
        <v>-48.508</v>
      </c>
      <c r="T15" s="18" t="n">
        <v>-24.796</v>
      </c>
      <c r="U15" s="18" t="n">
        <v>176.124</v>
      </c>
      <c r="V15" s="18" t="n">
        <v>-41.1</v>
      </c>
      <c r="W15" s="18" t="n">
        <v>-49.227</v>
      </c>
      <c r="X15" s="18" t="n">
        <v>-25.45</v>
      </c>
      <c r="Y15" s="18" t="n">
        <v>-17.056</v>
      </c>
      <c r="Z15" s="18" t="n">
        <v>-16.381</v>
      </c>
      <c r="AA15" s="18" t="n">
        <v>-24.603</v>
      </c>
      <c r="AB15" s="18" t="n">
        <v>-51.284</v>
      </c>
      <c r="AC15" s="18" t="n">
        <v>7.753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72.30799</v>
      </c>
      <c r="C17" s="18" t="n">
        <v>74.643782</v>
      </c>
      <c r="D17" s="18" t="n">
        <v>77.772406</v>
      </c>
      <c r="E17" s="18" t="n">
        <v>80.73723699999999</v>
      </c>
      <c r="F17" s="18" t="n">
        <v>82.12338099999999</v>
      </c>
      <c r="G17" s="18" t="n">
        <v>84.175287</v>
      </c>
      <c r="H17" s="18" t="n">
        <v>86.373166</v>
      </c>
      <c r="I17" s="18" t="n">
        <v>88.341038</v>
      </c>
      <c r="J17" s="18" t="n">
        <v>90.02882200000001</v>
      </c>
      <c r="K17" s="18" t="n">
        <v>91.20137200000001</v>
      </c>
      <c r="L17" s="18" t="n">
        <v>92.206199</v>
      </c>
      <c r="M17" s="18" t="n">
        <v>93.015185</v>
      </c>
      <c r="N17" s="18" t="n">
        <v>93.80690199999999</v>
      </c>
      <c r="O17" s="18" t="n">
        <v>94.621365</v>
      </c>
      <c r="P17" s="18" t="n">
        <v>95.307146</v>
      </c>
      <c r="Q17" s="18" t="n">
        <v>96.052025</v>
      </c>
      <c r="R17" s="18" t="n">
        <v>96.978043</v>
      </c>
      <c r="S17" s="18" t="n">
        <v>97.942049</v>
      </c>
      <c r="T17" s="18" t="n">
        <v>99.073401</v>
      </c>
      <c r="U17" s="18" t="n">
        <v>104.50329</v>
      </c>
      <c r="V17" s="18" t="n">
        <v>101.323761</v>
      </c>
      <c r="W17" s="18" t="n">
        <v>102.284</v>
      </c>
      <c r="X17" s="18" t="n">
        <v>103.239</v>
      </c>
      <c r="Y17" s="18" t="n">
        <v>104.085</v>
      </c>
      <c r="Z17" s="18" t="n">
        <v>105.085</v>
      </c>
      <c r="AA17" s="18" t="n">
        <v>105.961879</v>
      </c>
      <c r="AB17" s="18" t="n">
        <v>106.274275</v>
      </c>
      <c r="AC17" s="18" t="n">
        <v>105.683461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Subscription</t>
        </is>
      </c>
      <c r="B19" s="18" t="n">
        <v>73.623</v>
      </c>
      <c r="C19" s="18" t="n">
        <v>82.39</v>
      </c>
      <c r="D19" s="18" t="n">
        <v>91.679</v>
      </c>
      <c r="E19" s="18" t="n">
        <v>104.198</v>
      </c>
      <c r="F19" s="18" t="n">
        <v>113.903</v>
      </c>
      <c r="G19" s="18" t="n">
        <v>121.342</v>
      </c>
      <c r="H19" s="18" t="n">
        <v>134.209</v>
      </c>
      <c r="I19" s="18" t="n">
        <v>147.249</v>
      </c>
      <c r="J19" s="18" t="n">
        <v>164.539</v>
      </c>
      <c r="K19" s="18" t="n">
        <v>177.185</v>
      </c>
      <c r="L19" s="18" t="n">
        <v>190.257</v>
      </c>
      <c r="M19" s="18" t="n">
        <v>209.614</v>
      </c>
      <c r="N19" s="18" t="n">
        <v>221.714</v>
      </c>
      <c r="O19" s="18" t="n">
        <v>231.814</v>
      </c>
      <c r="P19" s="18" t="n">
        <v>241.211</v>
      </c>
      <c r="Q19" s="18" t="n">
        <v>255.613</v>
      </c>
      <c r="R19" s="18" t="n">
        <v>256.124</v>
      </c>
      <c r="S19" s="18" t="n">
        <v>270.247</v>
      </c>
      <c r="T19" s="18" t="n">
        <v>287.743</v>
      </c>
      <c r="U19" s="18" t="n">
        <v>307.632</v>
      </c>
      <c r="V19" s="18" t="n">
        <v>310.984</v>
      </c>
      <c r="W19" s="18" t="n">
        <v>323.774</v>
      </c>
      <c r="X19" s="18" t="n">
        <v>340.807</v>
      </c>
      <c r="Y19" s="18" t="n">
        <v>358.198</v>
      </c>
      <c r="Z19" s="18" t="n">
        <v>361.741</v>
      </c>
      <c r="AA19" s="18" t="n">
        <v>388.583</v>
      </c>
      <c r="AB19" s="18" t="n">
        <v>397.699</v>
      </c>
      <c r="AC19" s="18" t="n">
        <v>425.727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Professional Services</t>
        </is>
      </c>
      <c r="B22" s="18" t="n">
        <v>6.976</v>
      </c>
      <c r="C22" s="18" t="n">
        <v>7.32</v>
      </c>
      <c r="D22" s="18" t="n">
        <v>9.427</v>
      </c>
      <c r="E22" s="18" t="n">
        <v>8.983000000000001</v>
      </c>
      <c r="F22" s="18" t="n">
        <v>9.720000000000001</v>
      </c>
      <c r="G22" s="18" t="n">
        <v>7.528</v>
      </c>
      <c r="H22" s="18" t="n">
        <v>10.685</v>
      </c>
      <c r="I22" s="18" t="n">
        <v>9.866</v>
      </c>
      <c r="J22" s="18" t="n">
        <v>13.071</v>
      </c>
      <c r="K22" s="18" t="n">
        <v>15.91</v>
      </c>
      <c r="L22" s="18" t="n">
        <v>15.723</v>
      </c>
      <c r="M22" s="18" t="n">
        <v>14.33</v>
      </c>
      <c r="N22" s="18" t="n">
        <v>17.641</v>
      </c>
      <c r="O22" s="18" t="n">
        <v>18.267</v>
      </c>
      <c r="P22" s="18" t="n">
        <v>23.19</v>
      </c>
      <c r="Q22" s="18" t="n">
        <v>18.953</v>
      </c>
      <c r="R22" s="18" t="n">
        <v>23.817</v>
      </c>
      <c r="S22" s="18" t="n">
        <v>23.506</v>
      </c>
      <c r="T22" s="18" t="n">
        <v>22.869</v>
      </c>
      <c r="U22" s="18" t="n">
        <v>20.325</v>
      </c>
      <c r="V22" s="18" t="n">
        <v>24.015</v>
      </c>
      <c r="W22" s="18" t="n">
        <v>23.646</v>
      </c>
      <c r="X22" s="18" t="n">
        <v>24.554</v>
      </c>
      <c r="Y22" s="18" t="n">
        <v>23.885</v>
      </c>
      <c r="Z22" s="18" t="n">
        <v>26.691</v>
      </c>
      <c r="AA22" s="18" t="n">
        <v>26.705</v>
      </c>
      <c r="AB22" s="18" t="n">
        <v>25.782</v>
      </c>
      <c r="AC22" s="18" t="n">
        <v>24.154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UNITED STATES</t>
        </is>
      </c>
      <c r="B26" s="18" t="n">
        <v>45.557</v>
      </c>
      <c r="C26" s="18" t="n">
        <v>48.962</v>
      </c>
      <c r="D26" s="18" t="n">
        <v>57.501</v>
      </c>
      <c r="E26" s="18" t="n">
        <v>63.195</v>
      </c>
      <c r="F26" s="18" t="n">
        <v>71.98999999999999</v>
      </c>
      <c r="G26" s="18" t="n">
        <v>71.794</v>
      </c>
      <c r="H26" s="18" t="n">
        <v>80.241</v>
      </c>
      <c r="I26" s="18" t="n">
        <v>83.15300000000001</v>
      </c>
      <c r="J26" s="18" t="n">
        <v>96.581</v>
      </c>
      <c r="K26" s="18" t="n">
        <v>103.14</v>
      </c>
      <c r="L26" s="18" t="n">
        <v>115.509</v>
      </c>
      <c r="M26" s="18" t="n">
        <v>125.831</v>
      </c>
      <c r="N26" s="18" t="n">
        <v>137.109</v>
      </c>
      <c r="O26" s="18" t="n">
        <v>145.367</v>
      </c>
      <c r="P26" s="18" t="n">
        <v>159.694</v>
      </c>
      <c r="Q26" s="18" t="n">
        <v>159.125</v>
      </c>
      <c r="R26" s="18" t="n">
        <v>162.502</v>
      </c>
      <c r="S26" s="18" t="n">
        <v>170.239</v>
      </c>
      <c r="T26" s="18" t="n">
        <v>180.976</v>
      </c>
      <c r="U26" s="18" t="n">
        <v>186.177</v>
      </c>
      <c r="V26" s="18" t="n">
        <v>193.096</v>
      </c>
      <c r="W26" s="18" t="n">
        <v>198.289</v>
      </c>
      <c r="X26" s="18" t="n">
        <v>206.614</v>
      </c>
      <c r="Y26" s="18" t="n">
        <v>213.37</v>
      </c>
      <c r="Z26" s="18" t="n">
        <v>217.953</v>
      </c>
      <c r="AA26" s="18" t="n">
        <v>230.263</v>
      </c>
      <c r="AB26" s="18" t="n">
        <v>233.608</v>
      </c>
      <c r="AC26" s="18" t="n">
        <v>239.756</v>
      </c>
    </row>
    <row r="27">
      <c r="A27" s="4" t="inlineStr">
        <is>
          <t xml:space="preserve">    % YoY</t>
        </is>
      </c>
      <c r="F27" s="25">
        <f>IFERROR(F26/B26-1,"")</f>
        <v/>
      </c>
      <c r="G27" s="25">
        <f>IFERROR(G26/C26-1,"")</f>
        <v/>
      </c>
      <c r="H27" s="25">
        <f>IFERROR(H26/D26-1,"")</f>
        <v/>
      </c>
      <c r="I27" s="25">
        <f>IFERROR(I26/E26-1,"")</f>
        <v/>
      </c>
      <c r="J27" s="25">
        <f>IFERROR(J26/F26-1,"")</f>
        <v/>
      </c>
      <c r="K27" s="25">
        <f>IFERROR(K26/G26-1,"")</f>
        <v/>
      </c>
      <c r="L27" s="25">
        <f>IFERROR(L26/H26-1,"")</f>
        <v/>
      </c>
      <c r="M27" s="25">
        <f>IFERROR(M26/I26-1,"")</f>
        <v/>
      </c>
      <c r="N27" s="25">
        <f>IFERROR(N26/J26-1,"")</f>
        <v/>
      </c>
      <c r="O27" s="25">
        <f>IFERROR(O26/K26-1,"")</f>
        <v/>
      </c>
      <c r="P27" s="25">
        <f>IFERROR(P26/L26-1,"")</f>
        <v/>
      </c>
      <c r="Q27" s="25">
        <f>IFERROR(Q26/M26-1,"")</f>
        <v/>
      </c>
      <c r="R27" s="25">
        <f>IFERROR(R26/N26-1,"")</f>
        <v/>
      </c>
      <c r="S27" s="25">
        <f>IFERROR(S26/O26-1,"")</f>
        <v/>
      </c>
      <c r="T27" s="25">
        <f>IFERROR(T26/P26-1,"")</f>
        <v/>
      </c>
      <c r="U27" s="25">
        <f>IFERROR(U26/Q26-1,"")</f>
        <v/>
      </c>
      <c r="V27" s="25">
        <f>IFERROR(V26/R26-1,"")</f>
        <v/>
      </c>
      <c r="W27" s="25">
        <f>IFERROR(W26/S26-1,"")</f>
        <v/>
      </c>
      <c r="X27" s="25">
        <f>IFERROR(X26/T26-1,"")</f>
        <v/>
      </c>
      <c r="Y27" s="25">
        <f>IFERROR(Y26/U26-1,"")</f>
        <v/>
      </c>
      <c r="Z27" s="25">
        <f>IFERROR(Z26/V26-1,"")</f>
        <v/>
      </c>
      <c r="AA27" s="25">
        <f>IFERROR(AA26/W26-1,"")</f>
        <v/>
      </c>
      <c r="AB27" s="25">
        <f>IFERROR(AB26/X26-1,"")</f>
        <v/>
      </c>
      <c r="AC27" s="25">
        <f>IFERROR(AC26/Y26-1,"")</f>
        <v/>
      </c>
    </row>
    <row r="28">
      <c r="A28" s="4" t="inlineStr">
        <is>
          <t xml:space="preserve">    % of revenue</t>
        </is>
      </c>
      <c r="B28" s="25">
        <f>IFERROR(B26/B3,"")</f>
        <v/>
      </c>
      <c r="C28" s="25">
        <f>IFERROR(C26/C3,"")</f>
        <v/>
      </c>
      <c r="D28" s="25">
        <f>IFERROR(D26/D3,"")</f>
        <v/>
      </c>
      <c r="E28" s="25">
        <f>IFERROR(E26/E3,"")</f>
        <v/>
      </c>
      <c r="F28" s="25">
        <f>IFERROR(F26/F3,"")</f>
        <v/>
      </c>
      <c r="G28" s="25">
        <f>IFERROR(G26/G3,"")</f>
        <v/>
      </c>
      <c r="H28" s="25">
        <f>IFERROR(H26/H3,"")</f>
        <v/>
      </c>
      <c r="I28" s="25">
        <f>IFERROR(I26/I3,"")</f>
        <v/>
      </c>
      <c r="J28" s="25">
        <f>IFERROR(J26/J3,"")</f>
        <v/>
      </c>
      <c r="K28" s="25">
        <f>IFERROR(K26/K3,"")</f>
        <v/>
      </c>
      <c r="L28" s="25">
        <f>IFERROR(L26/L3,"")</f>
        <v/>
      </c>
      <c r="M28" s="25">
        <f>IFERROR(M26/M3,"")</f>
        <v/>
      </c>
      <c r="N28" s="25">
        <f>IFERROR(N26/N3,"")</f>
        <v/>
      </c>
      <c r="O28" s="25">
        <f>IFERROR(O26/O3,"")</f>
        <v/>
      </c>
      <c r="P28" s="25">
        <f>IFERROR(P26/P3,"")</f>
        <v/>
      </c>
      <c r="Q28" s="25">
        <f>IFERROR(Q26/Q3,"")</f>
        <v/>
      </c>
      <c r="R28" s="25">
        <f>IFERROR(R26/R3,"")</f>
        <v/>
      </c>
      <c r="S28" s="25">
        <f>IFERROR(S26/S3,"")</f>
        <v/>
      </c>
      <c r="T28" s="25">
        <f>IFERROR(T26/T3,"")</f>
        <v/>
      </c>
      <c r="U28" s="25">
        <f>IFERROR(U26/U3,"")</f>
        <v/>
      </c>
      <c r="V28" s="25">
        <f>IFERROR(V26/V3,"")</f>
        <v/>
      </c>
      <c r="W28" s="25">
        <f>IFERROR(W26/W3,"")</f>
        <v/>
      </c>
      <c r="X28" s="25">
        <f>IFERROR(X26/X3,"")</f>
        <v/>
      </c>
      <c r="Y28" s="25">
        <f>IFERROR(Y26/Y3,"")</f>
        <v/>
      </c>
      <c r="Z28" s="25">
        <f>IFERROR(Z26/Z3,"")</f>
        <v/>
      </c>
      <c r="AA28" s="25">
        <f>IFERROR(AA26/AA3,"")</f>
        <v/>
      </c>
      <c r="AB28" s="25">
        <f>IFERROR(AB26/AB3,"")</f>
        <v/>
      </c>
      <c r="AC28" s="25">
        <f>IFERROR(AC26/AC3,"")</f>
        <v/>
      </c>
    </row>
    <row r="29">
      <c r="A29" s="4" t="inlineStr">
        <is>
          <t>Non-US</t>
        </is>
      </c>
      <c r="F29" s="18" t="n">
        <v>51.633</v>
      </c>
      <c r="G29" s="18" t="n">
        <v>57.076</v>
      </c>
      <c r="H29" s="18" t="n">
        <v>64.65300000000001</v>
      </c>
      <c r="I29" s="18" t="n">
        <v>73.962</v>
      </c>
      <c r="J29" s="18" t="n">
        <v>81.029</v>
      </c>
      <c r="K29" s="18" t="n">
        <v>89.955</v>
      </c>
      <c r="L29" s="18" t="n">
        <v>90.471</v>
      </c>
      <c r="M29" s="18" t="n">
        <v>98.113</v>
      </c>
      <c r="N29" s="18" t="n">
        <v>102.246</v>
      </c>
      <c r="O29" s="18" t="n">
        <v>104.714</v>
      </c>
      <c r="P29" s="18" t="n">
        <v>104.707</v>
      </c>
      <c r="Q29" s="18" t="n">
        <v>115.441</v>
      </c>
      <c r="R29" s="18" t="n">
        <v>117.439</v>
      </c>
      <c r="S29" s="18" t="n">
        <v>123.514</v>
      </c>
      <c r="T29" s="18" t="n">
        <v>129.636</v>
      </c>
      <c r="U29" s="18" t="n">
        <v>141.78</v>
      </c>
      <c r="V29" s="18" t="n">
        <v>141.903</v>
      </c>
      <c r="W29" s="18" t="n">
        <v>149.131</v>
      </c>
      <c r="X29" s="18" t="n">
        <v>158.747</v>
      </c>
      <c r="Y29" s="18" t="n">
        <v>168.713</v>
      </c>
      <c r="Z29" s="18" t="n">
        <v>170.479</v>
      </c>
      <c r="AA29" s="18" t="n">
        <v>185.025</v>
      </c>
      <c r="AB29" s="18" t="n">
        <v>189.873</v>
      </c>
      <c r="AC29" s="18" t="n">
        <v>210.125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5" t="inlineStr">
        <is>
          <t xml:space="preserve">  BALANCE SHEET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4" t="inlineStr">
        <is>
          <t>Cash &amp; ST Investments</t>
        </is>
      </c>
      <c r="B33" s="18" t="n">
        <v>298</v>
      </c>
      <c r="C33" s="18" t="n">
        <v>315.152</v>
      </c>
      <c r="D33" s="18" t="n">
        <v>305.246</v>
      </c>
      <c r="E33" s="18" t="n">
        <v>294.076</v>
      </c>
      <c r="F33" s="18" t="n">
        <v>297.081</v>
      </c>
      <c r="G33" s="18" t="n">
        <v>350.418</v>
      </c>
      <c r="H33" s="18" t="n">
        <v>348.986</v>
      </c>
      <c r="I33" s="18" t="n">
        <v>393.134</v>
      </c>
      <c r="J33" s="18" t="n">
        <v>400.814</v>
      </c>
      <c r="K33" s="18" t="n">
        <v>991.342</v>
      </c>
      <c r="L33" s="18" t="n">
        <v>876.059</v>
      </c>
      <c r="M33" s="18" t="n">
        <v>864.3630000000001</v>
      </c>
      <c r="N33" s="18" t="n">
        <v>860.949</v>
      </c>
      <c r="O33" s="18" t="n">
        <v>848.761</v>
      </c>
      <c r="P33" s="18" t="n">
        <v>856.237</v>
      </c>
      <c r="Q33" s="18" t="n">
        <v>877.683</v>
      </c>
      <c r="R33" s="18" t="n">
        <v>915.208</v>
      </c>
      <c r="S33" s="18" t="n">
        <v>957.093</v>
      </c>
      <c r="T33" s="18" t="n">
        <v>966.359</v>
      </c>
      <c r="U33" s="18" t="n">
        <v>1015.026</v>
      </c>
      <c r="V33" s="18" t="n">
        <v>1084.399</v>
      </c>
      <c r="W33" s="18" t="n">
        <v>1147.33</v>
      </c>
      <c r="X33" s="18" t="n">
        <v>1197.57</v>
      </c>
      <c r="Y33" s="18" t="n">
        <v>1284.039</v>
      </c>
      <c r="Z33" s="18" t="n">
        <v>1397.26</v>
      </c>
      <c r="AA33" s="18" t="n">
        <v>1494.338</v>
      </c>
      <c r="AB33" s="18" t="n">
        <v>1396.071</v>
      </c>
      <c r="AC33" s="18" t="n">
        <v>1251.737</v>
      </c>
    </row>
    <row r="34">
      <c r="A34" s="4" t="inlineStr">
        <is>
          <t>Total Current Assets</t>
        </is>
      </c>
      <c r="B34" s="18" t="n">
        <v>429.641</v>
      </c>
      <c r="C34" s="18" t="n">
        <v>417.434</v>
      </c>
      <c r="D34" s="18" t="n">
        <v>433.105</v>
      </c>
      <c r="E34" s="18" t="n">
        <v>418.506</v>
      </c>
      <c r="F34" s="18" t="n">
        <v>480.239</v>
      </c>
      <c r="G34" s="18" t="n">
        <v>497.929</v>
      </c>
      <c r="H34" s="18" t="n">
        <v>544.126</v>
      </c>
      <c r="I34" s="18" t="n">
        <v>574.04</v>
      </c>
      <c r="J34" s="18" t="n">
        <v>637.2140000000001</v>
      </c>
      <c r="K34" s="18" t="n">
        <v>1179.987</v>
      </c>
      <c r="L34" s="18" t="n">
        <v>1109.908</v>
      </c>
      <c r="M34" s="18" t="n">
        <v>1092.852</v>
      </c>
      <c r="N34" s="18" t="n">
        <v>1163.708</v>
      </c>
      <c r="O34" s="18" t="n">
        <v>1100.214</v>
      </c>
      <c r="P34" s="18" t="n">
        <v>1122.976</v>
      </c>
      <c r="Q34" s="18" t="n">
        <v>1164.728</v>
      </c>
      <c r="R34" s="18" t="n">
        <v>1274.28</v>
      </c>
      <c r="S34" s="18" t="n">
        <v>1240.364</v>
      </c>
      <c r="T34" s="18" t="n">
        <v>1301.769</v>
      </c>
      <c r="U34" s="18" t="n">
        <v>1362.123</v>
      </c>
      <c r="V34" s="18" t="n">
        <v>1530.897</v>
      </c>
      <c r="W34" s="18" t="n">
        <v>1466.148</v>
      </c>
      <c r="X34" s="18" t="n">
        <v>1575.754</v>
      </c>
      <c r="Y34" s="18" t="n">
        <v>1693.436</v>
      </c>
      <c r="Z34" s="18" t="n">
        <v>1931.007</v>
      </c>
      <c r="AA34" s="18" t="n">
        <v>1878.311</v>
      </c>
      <c r="AB34" s="18" t="n">
        <v>1825.492</v>
      </c>
      <c r="AC34" s="18" t="n">
        <v>1787.543</v>
      </c>
    </row>
    <row r="35">
      <c r="A35" s="4" t="inlineStr">
        <is>
          <t>PP&amp;E (net)</t>
        </is>
      </c>
      <c r="B35" s="18" t="n">
        <v>5.448</v>
      </c>
      <c r="C35" s="18" t="n">
        <v>38.534</v>
      </c>
      <c r="D35" s="18" t="n">
        <v>48.179</v>
      </c>
      <c r="E35" s="18" t="n">
        <v>41.772</v>
      </c>
      <c r="F35" s="18" t="n">
        <v>40.543</v>
      </c>
      <c r="G35" s="18" t="n">
        <v>39.454</v>
      </c>
      <c r="H35" s="18" t="n">
        <v>38.281</v>
      </c>
      <c r="I35" s="18" t="n">
        <v>38.005</v>
      </c>
      <c r="J35" s="18" t="n">
        <v>34.345</v>
      </c>
      <c r="K35" s="18" t="n">
        <v>33.303</v>
      </c>
      <c r="L35" s="18" t="n">
        <v>31.177</v>
      </c>
      <c r="M35" s="18" t="n">
        <v>28.193</v>
      </c>
      <c r="N35" s="18" t="n">
        <v>32.644</v>
      </c>
      <c r="O35" s="18" t="n">
        <v>31.312</v>
      </c>
      <c r="P35" s="18" t="n">
        <v>35.536</v>
      </c>
      <c r="Q35" s="18" t="n">
        <v>26.474</v>
      </c>
      <c r="R35" s="18" t="n">
        <v>25.089</v>
      </c>
      <c r="S35" s="18" t="n">
        <v>22.469</v>
      </c>
      <c r="T35" s="18" t="n">
        <v>23.232</v>
      </c>
      <c r="U35" s="18" t="n">
        <v>28.6</v>
      </c>
      <c r="V35" s="18" t="n">
        <v>25.959</v>
      </c>
      <c r="W35" s="18" t="n">
        <v>22.711</v>
      </c>
      <c r="X35" s="18" t="n">
        <v>21.438</v>
      </c>
      <c r="Y35" s="18" t="n">
        <v>20.652</v>
      </c>
      <c r="Z35" s="18" t="n">
        <v>28.923</v>
      </c>
      <c r="AA35" s="18" t="n">
        <v>27.917</v>
      </c>
      <c r="AB35" s="18" t="n">
        <v>23.755</v>
      </c>
      <c r="AC35" s="18" t="n">
        <v>25.182</v>
      </c>
    </row>
    <row r="36">
      <c r="A36" s="4" t="inlineStr">
        <is>
          <t>Total Assets</t>
        </is>
      </c>
      <c r="B36" s="18" t="n">
        <v>485.738</v>
      </c>
      <c r="C36" s="18" t="n">
        <v>505.736</v>
      </c>
      <c r="D36" s="18" t="n">
        <v>766.789</v>
      </c>
      <c r="E36" s="18" t="n">
        <v>741.849</v>
      </c>
      <c r="F36" s="18" t="n">
        <v>803.9109999999999</v>
      </c>
      <c r="G36" s="18" t="n">
        <v>821.342</v>
      </c>
      <c r="H36" s="18" t="n">
        <v>867.561</v>
      </c>
      <c r="I36" s="18" t="n">
        <v>899.98</v>
      </c>
      <c r="J36" s="18" t="n">
        <v>973.172</v>
      </c>
      <c r="K36" s="18" t="n">
        <v>1519.885</v>
      </c>
      <c r="L36" s="18" t="n">
        <v>1561.701</v>
      </c>
      <c r="M36" s="18" t="n">
        <v>1559.296</v>
      </c>
      <c r="N36" s="18" t="n">
        <v>1642.931</v>
      </c>
      <c r="O36" s="18" t="n">
        <v>1571.019</v>
      </c>
      <c r="P36" s="18" t="n">
        <v>1594.232</v>
      </c>
      <c r="Q36" s="18" t="n">
        <v>1627.969</v>
      </c>
      <c r="R36" s="18" t="n">
        <v>1743.482</v>
      </c>
      <c r="S36" s="18" t="n">
        <v>1701.41</v>
      </c>
      <c r="T36" s="18" t="n">
        <v>1757.846</v>
      </c>
      <c r="U36" s="18" t="n">
        <v>2058.922</v>
      </c>
      <c r="V36" s="18" t="n">
        <v>2242.566</v>
      </c>
      <c r="W36" s="18" t="n">
        <v>2150.473</v>
      </c>
      <c r="X36" s="18" t="n">
        <v>2231.5</v>
      </c>
      <c r="Y36" s="18" t="n">
        <v>2330.147</v>
      </c>
      <c r="Z36" s="18" t="n">
        <v>2592.853</v>
      </c>
      <c r="AA36" s="18" t="n">
        <v>2524.002</v>
      </c>
      <c r="AB36" s="18" t="n">
        <v>2476.57</v>
      </c>
      <c r="AC36" s="18" t="n">
        <v>2438.415</v>
      </c>
    </row>
    <row r="37">
      <c r="A37" s="4" t="inlineStr">
        <is>
          <t>Total Current Liabilities</t>
        </is>
      </c>
      <c r="B37" s="18" t="n">
        <v>203.58</v>
      </c>
      <c r="C37" s="18" t="n">
        <v>202.527</v>
      </c>
      <c r="D37" s="18" t="n">
        <v>264.749</v>
      </c>
      <c r="E37" s="18" t="n">
        <v>260.556</v>
      </c>
      <c r="F37" s="18" t="n">
        <v>333.067</v>
      </c>
      <c r="G37" s="18" t="n">
        <v>317.397</v>
      </c>
      <c r="H37" s="18" t="n">
        <v>348.132</v>
      </c>
      <c r="I37" s="18" t="n">
        <v>371.421</v>
      </c>
      <c r="J37" s="18" t="n">
        <v>450.015</v>
      </c>
      <c r="K37" s="18" t="n">
        <v>434.687</v>
      </c>
      <c r="L37" s="18" t="n">
        <v>480.39</v>
      </c>
      <c r="M37" s="18" t="n">
        <v>491.353</v>
      </c>
      <c r="N37" s="18" t="n">
        <v>593.33</v>
      </c>
      <c r="O37" s="18" t="n">
        <v>560.323</v>
      </c>
      <c r="P37" s="18" t="n">
        <v>586.972</v>
      </c>
      <c r="Q37" s="18" t="n">
        <v>617.109</v>
      </c>
      <c r="R37" s="18" t="n">
        <v>716.619</v>
      </c>
      <c r="S37" s="18" t="n">
        <v>671.734</v>
      </c>
      <c r="T37" s="18" t="n">
        <v>687.231</v>
      </c>
      <c r="U37" s="18" t="n">
        <v>728.272</v>
      </c>
      <c r="V37" s="18" t="n">
        <v>871.091</v>
      </c>
      <c r="W37" s="18" t="n">
        <v>768.2190000000001</v>
      </c>
      <c r="X37" s="18" t="n">
        <v>790.729</v>
      </c>
      <c r="Y37" s="18" t="n">
        <v>837.032</v>
      </c>
      <c r="Z37" s="18" t="n">
        <v>1008.256</v>
      </c>
      <c r="AA37" s="18" t="n">
        <v>900.813</v>
      </c>
      <c r="AB37" s="18" t="n">
        <v>927.044</v>
      </c>
      <c r="AC37" s="18" t="n">
        <v>983.244</v>
      </c>
    </row>
    <row r="38">
      <c r="A38" s="4" t="inlineStr">
        <is>
          <t>Long-term Debt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565.842</v>
      </c>
      <c r="L38" s="18" t="n">
        <v>566.045</v>
      </c>
      <c r="M38" s="18" t="n">
        <v>566.271</v>
      </c>
      <c r="N38" s="18" t="n">
        <v>566.52</v>
      </c>
      <c r="O38" s="18" t="n">
        <v>566.772</v>
      </c>
      <c r="P38" s="18" t="n">
        <v>567.026</v>
      </c>
      <c r="Q38" s="18" t="n">
        <v>567.283</v>
      </c>
      <c r="R38" s="18" t="n">
        <v>567.543</v>
      </c>
      <c r="S38" s="18" t="n">
        <v>567.806</v>
      </c>
      <c r="T38" s="18" t="n">
        <v>568.072</v>
      </c>
      <c r="U38" s="18" t="n">
        <v>568.341</v>
      </c>
      <c r="V38" s="18" t="n">
        <v>568.612</v>
      </c>
      <c r="W38" s="18" t="n">
        <v>568.8869999999999</v>
      </c>
      <c r="X38" s="18" t="n">
        <v>569.165</v>
      </c>
      <c r="Y38" s="18" t="n">
        <v>569.4450000000001</v>
      </c>
      <c r="Z38" s="18" t="n">
        <v>569.729</v>
      </c>
      <c r="AA38" s="18" t="n">
        <v>570.016</v>
      </c>
      <c r="AB38" s="18" t="n">
        <v>570.306</v>
      </c>
      <c r="AC38" s="18" t="n">
        <v>570.599</v>
      </c>
    </row>
    <row r="39">
      <c r="A39" s="4" t="inlineStr">
        <is>
          <t>Total Equity</t>
        </is>
      </c>
      <c r="B39" s="18" t="n">
        <v>263.012</v>
      </c>
      <c r="C39" s="18" t="n">
        <v>255.05</v>
      </c>
      <c r="D39" s="18" t="n">
        <v>433.156</v>
      </c>
      <c r="E39" s="18" t="n">
        <v>418.442</v>
      </c>
      <c r="F39" s="18" t="n">
        <v>413.647</v>
      </c>
      <c r="G39" s="18" t="n">
        <v>432.379</v>
      </c>
      <c r="H39" s="18" t="n">
        <v>442.657</v>
      </c>
      <c r="I39" s="18" t="n">
        <v>455.581</v>
      </c>
      <c r="J39" s="18" t="n">
        <v>450.831</v>
      </c>
      <c r="K39" s="18" t="n">
        <v>455.663</v>
      </c>
      <c r="L39" s="18" t="n">
        <v>449.8</v>
      </c>
      <c r="M39" s="18" t="n">
        <v>432.309</v>
      </c>
      <c r="N39" s="18" t="n">
        <v>415.433</v>
      </c>
      <c r="O39" s="18" t="n">
        <v>393.538</v>
      </c>
      <c r="P39" s="18" t="n">
        <v>391.565</v>
      </c>
      <c r="Q39" s="18" t="n">
        <v>384.989</v>
      </c>
      <c r="R39" s="18" t="n">
        <v>398.897</v>
      </c>
      <c r="S39" s="18" t="n">
        <v>411.723</v>
      </c>
      <c r="T39" s="18" t="n">
        <v>455.136</v>
      </c>
      <c r="U39" s="18" t="n">
        <v>707.837</v>
      </c>
      <c r="V39" s="18" t="n">
        <v>738.1849999999999</v>
      </c>
      <c r="W39" s="18" t="n">
        <v>759.418</v>
      </c>
      <c r="X39" s="18" t="n">
        <v>811.518</v>
      </c>
      <c r="Y39" s="18" t="n">
        <v>859.106</v>
      </c>
      <c r="Z39" s="18" t="n">
        <v>927.234</v>
      </c>
      <c r="AA39" s="18" t="n">
        <v>971.356</v>
      </c>
      <c r="AB39" s="18" t="n">
        <v>891.112</v>
      </c>
      <c r="AC39" s="18" t="n">
        <v>790.991</v>
      </c>
    </row>
    <row r="40">
      <c r="A40" s="5" t="inlineStr">
        <is>
          <t xml:space="preserve">  CASH FLOW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4" t="inlineStr">
        <is>
          <t>D&amp;A</t>
        </is>
      </c>
      <c r="B41" s="18" t="n">
        <v>1.309</v>
      </c>
      <c r="C41" s="18" t="n">
        <v>1.288</v>
      </c>
      <c r="D41" s="18" t="n">
        <v>2.05</v>
      </c>
      <c r="E41" s="18" t="n">
        <v>5.235</v>
      </c>
      <c r="F41" s="18" t="n">
        <v>4.286</v>
      </c>
      <c r="G41" s="18" t="n">
        <v>4.256</v>
      </c>
      <c r="H41" s="18" t="n">
        <v>4.31</v>
      </c>
      <c r="I41" s="18" t="n">
        <v>4.29</v>
      </c>
      <c r="J41" s="18" t="n">
        <v>4.381</v>
      </c>
      <c r="K41" s="18" t="n">
        <v>4.404</v>
      </c>
      <c r="L41" s="18" t="n">
        <v>4.921</v>
      </c>
      <c r="M41" s="18" t="n">
        <v>5.233</v>
      </c>
      <c r="N41" s="18" t="n">
        <v>5.17</v>
      </c>
      <c r="O41" s="18" t="n">
        <v>5.214</v>
      </c>
      <c r="P41" s="18" t="n">
        <v>5.216</v>
      </c>
      <c r="Q41" s="18" t="n">
        <v>5.045</v>
      </c>
      <c r="R41" s="18" t="n">
        <v>4.758</v>
      </c>
      <c r="S41" s="18" t="n">
        <v>5.053</v>
      </c>
      <c r="T41" s="18" t="n">
        <v>4.728</v>
      </c>
      <c r="U41" s="18" t="n">
        <v>4.072</v>
      </c>
      <c r="V41" s="18" t="n">
        <v>4.146</v>
      </c>
      <c r="W41" s="18" t="n">
        <v>4.173</v>
      </c>
      <c r="X41" s="18" t="n">
        <v>3.565</v>
      </c>
      <c r="Y41" s="18" t="n">
        <v>2.286</v>
      </c>
      <c r="Z41" s="18" t="n">
        <v>2.291</v>
      </c>
      <c r="AA41" s="18" t="n">
        <v>2.316</v>
      </c>
      <c r="AB41" s="18" t="n">
        <v>0.377</v>
      </c>
      <c r="AC41" s="18" t="n">
        <v>2.886</v>
      </c>
    </row>
    <row r="42">
      <c r="A42" s="4" t="inlineStr">
        <is>
          <t>Stock-based Compensation</t>
        </is>
      </c>
      <c r="B42" s="18" t="n">
        <v>11.927</v>
      </c>
      <c r="C42" s="18" t="n">
        <v>12.771</v>
      </c>
      <c r="D42" s="18" t="n">
        <v>14.416</v>
      </c>
      <c r="E42" s="18" t="n">
        <v>15.588</v>
      </c>
      <c r="F42" s="18" t="n">
        <v>17.232</v>
      </c>
      <c r="G42" s="18" t="n">
        <v>18.591</v>
      </c>
      <c r="H42" s="18" t="n">
        <v>21.487</v>
      </c>
      <c r="I42" s="18" t="n">
        <v>25.227</v>
      </c>
      <c r="J42" s="18" t="n">
        <v>28.375</v>
      </c>
      <c r="K42" s="18" t="n">
        <v>30.178</v>
      </c>
      <c r="L42" s="18" t="n">
        <v>29.4</v>
      </c>
      <c r="M42" s="18" t="n">
        <v>37.393</v>
      </c>
      <c r="N42" s="18" t="n">
        <v>43.641</v>
      </c>
      <c r="O42" s="18" t="n">
        <v>46.883</v>
      </c>
      <c r="P42" s="18" t="n">
        <v>47.287</v>
      </c>
      <c r="Q42" s="18" t="n">
        <v>54.456</v>
      </c>
      <c r="R42" s="18" t="n">
        <v>55.413</v>
      </c>
      <c r="S42" s="18" t="n">
        <v>57.127</v>
      </c>
      <c r="T42" s="18" t="n">
        <v>56.455</v>
      </c>
      <c r="U42" s="18" t="n">
        <v>62.762</v>
      </c>
      <c r="V42" s="18" t="n">
        <v>62.793</v>
      </c>
      <c r="W42" s="18" t="n">
        <v>63.543</v>
      </c>
      <c r="X42" s="18" t="n">
        <v>64.065</v>
      </c>
      <c r="Y42" s="18" t="n">
        <v>64.634</v>
      </c>
      <c r="Z42" s="18" t="n">
        <v>65.54000000000001</v>
      </c>
      <c r="AA42" s="18" t="n">
        <v>69.935</v>
      </c>
      <c r="AB42" s="18" t="n">
        <v>72.893</v>
      </c>
      <c r="AC42" s="18" t="n">
        <v>78.14100000000001</v>
      </c>
    </row>
    <row r="43">
      <c r="A43" s="4" t="inlineStr">
        <is>
          <t>Change in Working Capital</t>
        </is>
      </c>
      <c r="B43" s="18" t="n">
        <v>-8.471</v>
      </c>
      <c r="C43" s="18" t="n">
        <v>17.927</v>
      </c>
      <c r="D43" s="18" t="n">
        <v>16.465</v>
      </c>
      <c r="E43" s="18" t="n">
        <v>-9.444000000000001</v>
      </c>
      <c r="F43" s="18" t="n">
        <v>-5.358</v>
      </c>
      <c r="G43" s="18" t="n">
        <v>17.882</v>
      </c>
      <c r="H43" s="18" t="n">
        <v>-24.044</v>
      </c>
      <c r="I43" s="18" t="n">
        <v>14.273</v>
      </c>
      <c r="J43" s="18" t="n">
        <v>-6.351</v>
      </c>
      <c r="K43" s="18" t="n">
        <v>-0.679</v>
      </c>
      <c r="L43" s="18" t="n">
        <v>-15.616</v>
      </c>
      <c r="M43" s="18" t="n">
        <v>-0.046</v>
      </c>
      <c r="N43" s="18" t="n">
        <v>-4.308</v>
      </c>
      <c r="O43" s="18" t="n">
        <v>-15.42</v>
      </c>
      <c r="P43" s="18" t="n">
        <v>-13.251</v>
      </c>
      <c r="Q43" s="18" t="n">
        <v>-7.143</v>
      </c>
      <c r="R43" s="18" t="n">
        <v>0.441</v>
      </c>
      <c r="S43" s="18" t="n">
        <v>4.563</v>
      </c>
      <c r="T43" s="18" t="n">
        <v>-58.133</v>
      </c>
      <c r="U43" s="18" t="n">
        <v>-2.53</v>
      </c>
      <c r="V43" s="18" t="n">
        <v>19.485</v>
      </c>
      <c r="W43" s="18" t="n">
        <v>-4.371</v>
      </c>
      <c r="X43" s="18" t="n">
        <v>-54.802</v>
      </c>
      <c r="Y43" s="18" t="n">
        <v>-3.929</v>
      </c>
      <c r="Z43" s="18" t="n">
        <v>6.947</v>
      </c>
      <c r="AA43" s="18" t="n">
        <v>8.606</v>
      </c>
      <c r="AB43" s="18" t="n">
        <v>-8.606</v>
      </c>
      <c r="AC43" s="18" t="n">
        <v>-102.961</v>
      </c>
    </row>
    <row r="44">
      <c r="A44" s="4" t="inlineStr">
        <is>
          <t>Operating Cash Flow</t>
        </is>
      </c>
      <c r="B44" s="18" t="n">
        <v>-19.79</v>
      </c>
      <c r="C44" s="18" t="n">
        <v>-1.694</v>
      </c>
      <c r="D44" s="18" t="n">
        <v>0.29</v>
      </c>
      <c r="E44" s="18" t="n">
        <v>-23.227</v>
      </c>
      <c r="F44" s="18" t="n">
        <v>-5.933</v>
      </c>
      <c r="G44" s="18" t="n">
        <v>21.998</v>
      </c>
      <c r="H44" s="18" t="n">
        <v>-17.289</v>
      </c>
      <c r="I44" s="18" t="n">
        <v>19.401</v>
      </c>
      <c r="J44" s="18" t="n">
        <v>-1.565</v>
      </c>
      <c r="K44" s="18" t="n">
        <v>14.051</v>
      </c>
      <c r="L44" s="18" t="n">
        <v>-10.383</v>
      </c>
      <c r="M44" s="18" t="n">
        <v>5.054</v>
      </c>
      <c r="N44" s="18" t="n">
        <v>-3.05</v>
      </c>
      <c r="O44" s="18" t="n">
        <v>-9.705</v>
      </c>
      <c r="P44" s="18" t="n">
        <v>10.642</v>
      </c>
      <c r="Q44" s="18" t="n">
        <v>7.17</v>
      </c>
      <c r="R44" s="18" t="n">
        <v>27.555</v>
      </c>
      <c r="S44" s="18" t="n">
        <v>37.812</v>
      </c>
      <c r="T44" s="18" t="n">
        <v>-2.387</v>
      </c>
      <c r="U44" s="18" t="n">
        <v>52.389</v>
      </c>
      <c r="V44" s="18" t="n">
        <v>60.948</v>
      </c>
      <c r="W44" s="18" t="n">
        <v>52.754</v>
      </c>
      <c r="X44" s="18" t="n">
        <v>38.377</v>
      </c>
      <c r="Y44" s="18" t="n">
        <v>88.05800000000001</v>
      </c>
      <c r="Z44" s="18" t="n">
        <v>86.979</v>
      </c>
      <c r="AA44" s="18" t="n">
        <v>104.835</v>
      </c>
      <c r="AB44" s="18" t="n">
        <v>26.612</v>
      </c>
      <c r="AC44" s="18" t="n">
        <v>42.737</v>
      </c>
    </row>
    <row r="45">
      <c r="A45" s="4" t="inlineStr">
        <is>
          <t>Capex</t>
        </is>
      </c>
      <c r="B45" s="18" t="n">
        <v>-1.088</v>
      </c>
      <c r="C45" s="18" t="n">
        <v>-1.585</v>
      </c>
      <c r="D45" s="18" t="n">
        <v>-1.645</v>
      </c>
      <c r="E45" s="18" t="n">
        <v>-1.007</v>
      </c>
      <c r="F45" s="18" t="n">
        <v>-0.826</v>
      </c>
      <c r="G45" s="18" t="n">
        <v>-0.379</v>
      </c>
      <c r="H45" s="18" t="n">
        <v>-1.277</v>
      </c>
      <c r="I45" s="18" t="n">
        <v>-1.076</v>
      </c>
      <c r="J45" s="18" t="n">
        <v>-1.497</v>
      </c>
      <c r="K45" s="18" t="n">
        <v>-1.634</v>
      </c>
      <c r="L45" s="18" t="n">
        <v>-1.83</v>
      </c>
      <c r="M45" s="18" t="n">
        <v>-1.75</v>
      </c>
      <c r="N45" s="18" t="n">
        <v>-2.203</v>
      </c>
      <c r="O45" s="18" t="n">
        <v>-0.479</v>
      </c>
      <c r="P45" s="18" t="n">
        <v>-0.343</v>
      </c>
      <c r="Q45" s="18" t="n">
        <v>-0.197</v>
      </c>
      <c r="R45" s="18" t="n">
        <v>-1.665</v>
      </c>
      <c r="S45" s="18" t="n">
        <v>-0.632</v>
      </c>
      <c r="T45" s="18" t="n">
        <v>-0.896</v>
      </c>
      <c r="U45" s="18" t="n">
        <v>-1.077</v>
      </c>
      <c r="V45" s="18" t="n">
        <v>-0.845</v>
      </c>
      <c r="W45" s="18" t="n">
        <v>-0.747</v>
      </c>
      <c r="X45" s="18" t="n">
        <v>-0.715</v>
      </c>
      <c r="Y45" s="18" t="n">
        <v>-0.766</v>
      </c>
      <c r="Z45" s="18" t="n">
        <v>-2.117</v>
      </c>
      <c r="AA45" s="18" t="n">
        <v>-0.656</v>
      </c>
      <c r="AB45" s="18" t="n">
        <v>-0.605</v>
      </c>
      <c r="AC45" s="18" t="n">
        <v>-0.9360000000000001</v>
      </c>
    </row>
    <row r="46">
      <c r="A46" s="4" t="inlineStr">
        <is>
          <t>Free Cash Flow</t>
        </is>
      </c>
      <c r="B46" s="18" t="n">
        <v>-20.878</v>
      </c>
      <c r="C46" s="18" t="n">
        <v>-3.279</v>
      </c>
      <c r="D46" s="18" t="n">
        <v>-1.355</v>
      </c>
      <c r="E46" s="18" t="n">
        <v>-24.234</v>
      </c>
      <c r="F46" s="18" t="n">
        <v>-6.759</v>
      </c>
      <c r="G46" s="18" t="n">
        <v>21.619</v>
      </c>
      <c r="H46" s="18" t="n">
        <v>-18.566</v>
      </c>
      <c r="I46" s="18" t="n">
        <v>18.325</v>
      </c>
      <c r="J46" s="18" t="n">
        <v>-3.062</v>
      </c>
      <c r="K46" s="18" t="n">
        <v>12.417</v>
      </c>
      <c r="L46" s="18" t="n">
        <v>-12.213</v>
      </c>
      <c r="M46" s="18" t="n">
        <v>3.304</v>
      </c>
      <c r="N46" s="18" t="n">
        <v>-5.253</v>
      </c>
      <c r="O46" s="18" t="n">
        <v>-10.184</v>
      </c>
      <c r="P46" s="18" t="n">
        <v>10.299</v>
      </c>
      <c r="Q46" s="18" t="n">
        <v>6.973</v>
      </c>
      <c r="R46" s="18" t="n">
        <v>25.89</v>
      </c>
      <c r="S46" s="18" t="n">
        <v>37.18</v>
      </c>
      <c r="T46" s="18" t="n">
        <v>-3.283</v>
      </c>
      <c r="U46" s="18" t="n">
        <v>51.312</v>
      </c>
      <c r="V46" s="18" t="n">
        <v>60.103</v>
      </c>
      <c r="W46" s="18" t="n">
        <v>52.007</v>
      </c>
      <c r="X46" s="18" t="n">
        <v>37.662</v>
      </c>
      <c r="Y46" s="18" t="n">
        <v>87.292</v>
      </c>
      <c r="Z46" s="18" t="n">
        <v>84.86199999999999</v>
      </c>
      <c r="AA46" s="18" t="n">
        <v>104.179</v>
      </c>
      <c r="AB46" s="18" t="n">
        <v>26.007</v>
      </c>
      <c r="AC46" s="18" t="n">
        <v>41.801</v>
      </c>
    </row>
    <row r="48">
      <c r="A48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1735.218749</v>
      </c>
      <c r="C4" s="18" t="n">
        <v>1969.632858</v>
      </c>
      <c r="D4" s="18" t="n">
        <v>2236.599883</v>
      </c>
      <c r="E4" s="18" t="n">
        <v>2539.144487</v>
      </c>
    </row>
    <row r="5">
      <c r="A5" s="4" t="inlineStr">
        <is>
          <t xml:space="preserve">  model</t>
        </is>
      </c>
      <c r="B5" s="33">
        <f>Model!G8</f>
        <v/>
      </c>
      <c r="C5" s="33">
        <f>Model!H8</f>
        <v/>
      </c>
      <c r="D5" s="33">
        <f>Model!I8</f>
        <v/>
      </c>
      <c r="E5" s="33">
        <f>Model!J8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</row>
    <row r="8">
      <c r="A8" s="3" t="inlineStr">
        <is>
          <t>EBITDA* — consensus</t>
        </is>
      </c>
      <c r="B8" s="18" t="n">
        <v>342.776625</v>
      </c>
      <c r="C8" s="18" t="n">
        <v>389.082993</v>
      </c>
      <c r="D8" s="18" t="n">
        <v>441.819892</v>
      </c>
      <c r="E8" s="18" t="n">
        <v>501.584817</v>
      </c>
    </row>
    <row r="9">
      <c r="A9" s="4" t="inlineStr">
        <is>
          <t xml:space="preserve">  model</t>
        </is>
      </c>
      <c r="B9" s="33">
        <f>Model!G21+Model!G26</f>
        <v/>
      </c>
      <c r="C9" s="33">
        <f>Model!H21+Model!H26</f>
        <v/>
      </c>
      <c r="D9" s="33">
        <f>Model!I21+Model!I26</f>
        <v/>
      </c>
      <c r="E9" s="33">
        <f>Model!J21+Model!J26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</row>
    <row r="12">
      <c r="A12" s="3" t="inlineStr">
        <is>
          <t>EBIT* — consensus</t>
        </is>
      </c>
      <c r="B12" s="18" t="n">
        <v>356.948614</v>
      </c>
      <c r="C12" s="18" t="n">
        <v>405.169503</v>
      </c>
      <c r="D12" s="18" t="n">
        <v>460.086793</v>
      </c>
      <c r="E12" s="18" t="n">
        <v>522.322679</v>
      </c>
    </row>
    <row r="13">
      <c r="A13" s="4" t="inlineStr">
        <is>
          <t xml:space="preserve">  model</t>
        </is>
      </c>
      <c r="B13" s="33">
        <f>Model!G21</f>
        <v/>
      </c>
      <c r="C13" s="33">
        <f>Model!H21</f>
        <v/>
      </c>
      <c r="D13" s="33">
        <f>Model!I21</f>
        <v/>
      </c>
      <c r="E13" s="33">
        <f>Model!J21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</row>
    <row r="16">
      <c r="A16" s="3" t="inlineStr">
        <is>
          <t>SG&amp;A — consensus</t>
        </is>
      </c>
      <c r="B16" s="18" t="n">
        <v>1021.35315</v>
      </c>
      <c r="C16" s="18" t="n">
        <v>1159.329753</v>
      </c>
      <c r="D16" s="18" t="n">
        <v>1316.467066</v>
      </c>
      <c r="E16" s="18" t="n">
        <v>1494.545412</v>
      </c>
    </row>
    <row r="17">
      <c r="A17" s="4" t="inlineStr">
        <is>
          <t xml:space="preserve">  model</t>
        </is>
      </c>
      <c r="B17" s="33">
        <f>Model!G16</f>
        <v/>
      </c>
      <c r="C17" s="33">
        <f>Model!H16</f>
        <v/>
      </c>
      <c r="D17" s="33">
        <f>Model!I16</f>
        <v/>
      </c>
      <c r="E17" s="33">
        <f>Model!J16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</row>
    <row r="20">
      <c r="A20" s="3" t="inlineStr">
        <is>
          <t>Net income (NOPAT) — consensus</t>
        </is>
      </c>
      <c r="B20" s="18" t="n">
        <v>261.781797</v>
      </c>
      <c r="C20" s="18" t="n">
        <v>298.650743</v>
      </c>
      <c r="D20" s="18" t="n">
        <v>90.85639</v>
      </c>
      <c r="E20" s="18" t="n">
        <v>397.8604605</v>
      </c>
    </row>
    <row r="21">
      <c r="A21" s="4" t="inlineStr">
        <is>
          <t xml:space="preserve">  model</t>
        </is>
      </c>
      <c r="B21" s="33">
        <f>Model!G25</f>
        <v/>
      </c>
      <c r="C21" s="33">
        <f>Model!H25</f>
        <v/>
      </c>
      <c r="D21" s="33">
        <f>Model!I25</f>
        <v/>
      </c>
      <c r="E21" s="33">
        <f>Model!J25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</row>
    <row r="24">
      <c r="A24" s="3" t="inlineStr">
        <is>
          <t>EPS — consensus</t>
        </is>
      </c>
      <c r="B24" s="47" t="n">
        <v>2.52534</v>
      </c>
      <c r="C24" s="47" t="n">
        <v>2.84665</v>
      </c>
      <c r="D24" s="47" t="n">
        <v>3.3295</v>
      </c>
      <c r="E24" s="47" t="n">
        <v>3.84697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Elastic N.V.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Model!G33</f>
        <v/>
      </c>
      <c r="D12" s="33">
        <f>Model!H33</f>
        <v/>
      </c>
      <c r="E12" s="33">
        <f>Model!I33</f>
        <v/>
      </c>
      <c r="F12" s="33">
        <f>Model!J33</f>
        <v/>
      </c>
      <c r="G12" s="33">
        <f>Model!K33</f>
        <v/>
      </c>
      <c r="H12" s="33">
        <f>Model!L33</f>
        <v/>
      </c>
      <c r="I12" s="33">
        <f>Model!M33</f>
        <v/>
      </c>
      <c r="J12" s="33">
        <f>Model!N33</f>
        <v/>
      </c>
      <c r="K12" s="33">
        <f>Model!O33</f>
        <v/>
      </c>
      <c r="L12" s="33">
        <f>Model!P33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Model!P8</f>
        <v/>
      </c>
    </row>
    <row r="21">
      <c r="A21" s="4" t="inlineStr">
        <is>
          <t>Terminal EBIT</t>
        </is>
      </c>
      <c r="B21" s="33">
        <f>Model!P21</f>
        <v/>
      </c>
    </row>
    <row r="22">
      <c r="A22" s="4" t="inlineStr">
        <is>
          <t>Terminal EBITDA (SBC-burdened)</t>
        </is>
      </c>
      <c r="B22" s="33">
        <f>Model!P21+Model!P26-Model!P27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Financials!AC33</f>
        <v/>
      </c>
    </row>
    <row r="33">
      <c r="A33" s="4" t="inlineStr">
        <is>
          <t>- Long-term debt</t>
        </is>
      </c>
      <c r="B33" s="33">
        <f>-Financials!AC38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0.06368665825586801</v>
      </c>
      <c r="C4" s="51" t="n">
        <v>0.06868665825586802</v>
      </c>
      <c r="D4" s="51" t="n">
        <v>0.07368665825586801</v>
      </c>
      <c r="E4" s="51" t="n">
        <v>0.07868665825586801</v>
      </c>
      <c r="F4" s="51" t="n">
        <v>0.08368665825586802</v>
      </c>
      <c r="G4" s="51" t="n">
        <v>0.08868665825586801</v>
      </c>
      <c r="H4" s="51" t="n">
        <v>0.09368665825586801</v>
      </c>
    </row>
    <row r="5">
      <c r="A5" s="52" t="n">
        <v>9</v>
      </c>
      <c r="B5" s="53" t="n">
        <v>34.91455665609995</v>
      </c>
      <c r="C5" s="53" t="n">
        <v>33.75910655948027</v>
      </c>
      <c r="D5" s="53" t="n">
        <v>32.65850121728511</v>
      </c>
      <c r="E5" s="53" t="n">
        <v>31.60984785843488</v>
      </c>
      <c r="F5" s="53" t="n">
        <v>30.61042007935013</v>
      </c>
      <c r="G5" s="53" t="n">
        <v>29.65764752285346</v>
      </c>
      <c r="H5" s="53" t="n">
        <v>28.74910624263871</v>
      </c>
    </row>
    <row r="6">
      <c r="A6" s="52" t="n">
        <v>10</v>
      </c>
      <c r="B6" s="53" t="n">
        <v>37.01323312769909</v>
      </c>
      <c r="C6" s="53" t="n">
        <v>35.76163520523567</v>
      </c>
      <c r="D6" s="53" t="n">
        <v>34.56970522577743</v>
      </c>
      <c r="E6" s="53" t="n">
        <v>33.43428767302841</v>
      </c>
      <c r="F6" s="53" t="n">
        <v>32.35240883380216</v>
      </c>
      <c r="G6" s="53" t="n">
        <v>31.32126550477515</v>
      </c>
      <c r="H6" s="53" t="n">
        <v>30.33821445011261</v>
      </c>
    </row>
    <row r="7">
      <c r="A7" s="52" t="n">
        <v>11</v>
      </c>
      <c r="B7" s="53" t="n">
        <v>39.11190959929822</v>
      </c>
      <c r="C7" s="53" t="n">
        <v>37.76416385099107</v>
      </c>
      <c r="D7" s="53" t="n">
        <v>36.48090923426977</v>
      </c>
      <c r="E7" s="53" t="n">
        <v>35.25872748762193</v>
      </c>
      <c r="F7" s="53" t="n">
        <v>34.09439758825419</v>
      </c>
      <c r="G7" s="53" t="n">
        <v>32.98488348669683</v>
      </c>
      <c r="H7" s="53" t="n">
        <v>31.92732265758649</v>
      </c>
    </row>
    <row r="8">
      <c r="A8" s="52" t="n">
        <v>12</v>
      </c>
      <c r="B8" s="53" t="n">
        <v>41.21058607089736</v>
      </c>
      <c r="C8" s="53" t="n">
        <v>39.76669249674648</v>
      </c>
      <c r="D8" s="53" t="n">
        <v>38.39211324276209</v>
      </c>
      <c r="E8" s="54" t="n">
        <v>37.08316730221545</v>
      </c>
      <c r="F8" s="53" t="n">
        <v>35.83638634270621</v>
      </c>
      <c r="G8" s="53" t="n">
        <v>34.64850146861852</v>
      </c>
      <c r="H8" s="53" t="n">
        <v>33.51643086506038</v>
      </c>
    </row>
    <row r="9">
      <c r="A9" s="52" t="n">
        <v>13</v>
      </c>
      <c r="B9" s="53" t="n">
        <v>43.3092625424965</v>
      </c>
      <c r="C9" s="53" t="n">
        <v>41.76922114250189</v>
      </c>
      <c r="D9" s="53" t="n">
        <v>40.30331725125443</v>
      </c>
      <c r="E9" s="53" t="n">
        <v>38.90760711680897</v>
      </c>
      <c r="F9" s="53" t="n">
        <v>37.57837509715824</v>
      </c>
      <c r="G9" s="53" t="n">
        <v>36.31211945054021</v>
      </c>
      <c r="H9" s="53" t="n">
        <v>35.10553907253427</v>
      </c>
    </row>
    <row r="10">
      <c r="A10" s="52" t="n">
        <v>14</v>
      </c>
      <c r="B10" s="53" t="n">
        <v>45.40793901409563</v>
      </c>
      <c r="C10" s="53" t="n">
        <v>43.77174978825729</v>
      </c>
      <c r="D10" s="53" t="n">
        <v>42.21452125974676</v>
      </c>
      <c r="E10" s="53" t="n">
        <v>40.73204693140249</v>
      </c>
      <c r="F10" s="53" t="n">
        <v>39.32036385161027</v>
      </c>
      <c r="G10" s="53" t="n">
        <v>37.9757374324619</v>
      </c>
      <c r="H10" s="53" t="n">
        <v>36.69464728000816</v>
      </c>
    </row>
    <row r="11">
      <c r="A11" s="52" t="n">
        <v>15</v>
      </c>
      <c r="B11" s="53" t="n">
        <v>47.50661548569478</v>
      </c>
      <c r="C11" s="53" t="n">
        <v>45.7742784340127</v>
      </c>
      <c r="D11" s="53" t="n">
        <v>44.12572526823909</v>
      </c>
      <c r="E11" s="53" t="n">
        <v>42.55648674599601</v>
      </c>
      <c r="F11" s="53" t="n">
        <v>41.0623526060623</v>
      </c>
      <c r="G11" s="53" t="n">
        <v>39.63935541438359</v>
      </c>
      <c r="H11" s="53" t="n">
        <v>38.28375548748204</v>
      </c>
    </row>
    <row r="13">
      <c r="A13" s="3" t="inlineStr">
        <is>
          <t>Current price</t>
        </is>
      </c>
      <c r="B13" s="53" t="n">
        <v>58.04000091552734</v>
      </c>
    </row>
    <row r="14">
      <c r="A14" s="3" t="inlineStr">
        <is>
          <t>Base WACC / multiple</t>
        </is>
      </c>
      <c r="B14" s="55" t="n">
        <v>0.07868665825586801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0.008302456151705391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0.3317581829821639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0.6077822244202611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Financials!AC33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Financials!AC38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2026-07-06T20:34:46Z</dcterms:created>
  <dcterms:modified xmlns:dcterms="http://purl.org/dc/terms/" xmlns:xsi="http://www.w3.org/2001/XMLSchema-instance" xsi:type="dcterms:W3CDTF">2026-07-06T20:34:46Z</dcterms:modified>
</cp:coreProperties>
</file>