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Fortinet, Inc. (FTNT)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Fortinet, Inc. (FTNT)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Security Subscription</t>
        </is>
      </c>
      <c r="B20" s="15" t="n">
        <v>0.1164013125472133</v>
      </c>
      <c r="C20" s="15" t="n">
        <v>0.05</v>
      </c>
      <c r="D20" s="16" t="n">
        <v>0.1164013125472133</v>
      </c>
      <c r="E20" s="2" t="inlineStr"/>
    </row>
    <row r="21">
      <c r="A21" s="4" t="inlineStr">
        <is>
          <t>Product</t>
        </is>
      </c>
      <c r="B21" s="15" t="n">
        <v>0.1363437636348828</v>
      </c>
      <c r="C21" s="15" t="n">
        <v>0.05</v>
      </c>
      <c r="D21" s="16" t="n">
        <v>0.1363437636348828</v>
      </c>
      <c r="E21" s="2" t="inlineStr"/>
    </row>
    <row r="22">
      <c r="A22" s="4" t="inlineStr">
        <is>
          <t>Technical Support and Other</t>
        </is>
      </c>
      <c r="B22" s="15" t="n">
        <v>0.1079503930343169</v>
      </c>
      <c r="C22" s="15" t="n">
        <v>0.05</v>
      </c>
      <c r="D22" s="16" t="n">
        <v>0.1079503930343169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0.3927953184859849</v>
      </c>
      <c r="D29" s="16" t="n">
        <v>0.3927953184859849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0.2711106003838615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401.28</v>
      </c>
      <c r="D34" s="18" t="n">
        <v>401.28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0.919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0.006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161.6100006103516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51.78305415310506</v>
      </c>
      <c r="C58" s="28" t="n">
        <v>70.14817045804514</v>
      </c>
      <c r="D58" s="28" t="n">
        <v>38.14758984200124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0.04119359962350726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0.02471615977410436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FTNT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Security Subscription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Security Subscription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Product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Product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Technical Support and Other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Technical Support and Other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Security Subscription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Product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Technical Support and Other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SUM(Financials!I5:L5)</f>
        <v/>
      </c>
      <c r="C14" s="33">
        <f>SUM(Financials!M5:P5)</f>
        <v/>
      </c>
      <c r="D14" s="33">
        <f>SUM(Financials!Q5:T5)</f>
        <v/>
      </c>
      <c r="E14" s="33">
        <f>SUM(Financials!U5:X5)</f>
        <v/>
      </c>
      <c r="F14" s="33">
        <f>SUM(Financials!Y5:AB5)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0.191570092358374</v>
      </c>
      <c r="H15" s="15" t="n">
        <v>0.191570092358374</v>
      </c>
      <c r="I15" s="15" t="n">
        <v>0.191570092358374</v>
      </c>
      <c r="J15" s="15" t="n">
        <v>0.191570092358374</v>
      </c>
      <c r="K15" s="15" t="n">
        <v>0.191570092358374</v>
      </c>
      <c r="L15" s="15" t="n">
        <v>0.191570092358374</v>
      </c>
      <c r="M15" s="15" t="n">
        <v>0.191570092358374</v>
      </c>
      <c r="N15" s="15" t="n">
        <v>0.191570092358374</v>
      </c>
      <c r="O15" s="15" t="n">
        <v>0.191570092358374</v>
      </c>
      <c r="P15" s="15" t="n">
        <v>0.191570092358374</v>
      </c>
    </row>
    <row r="16">
      <c r="A16" s="4" t="inlineStr">
        <is>
          <t>R&amp;D / Technology</t>
        </is>
      </c>
      <c r="B16" s="33">
        <f>SUM(Financials!I7:L7)</f>
        <v/>
      </c>
      <c r="C16" s="33">
        <f>SUM(Financials!M7:P7)</f>
        <v/>
      </c>
      <c r="D16" s="33">
        <f>SUM(Financials!Q7:T7)</f>
        <v/>
      </c>
      <c r="E16" s="33">
        <f>SUM(Financials!U7:X7)</f>
        <v/>
      </c>
      <c r="F16" s="33">
        <f>SUM(Financials!Y7:AB7)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0.1199335255015001</v>
      </c>
      <c r="H17" s="15" t="n">
        <v>0.1199335255015001</v>
      </c>
      <c r="I17" s="15" t="n">
        <v>0.1199335255015001</v>
      </c>
      <c r="J17" s="15" t="n">
        <v>0.1199335255015001</v>
      </c>
      <c r="K17" s="15" t="n">
        <v>0.1199335255015001</v>
      </c>
      <c r="L17" s="15" t="n">
        <v>0.1199335255015001</v>
      </c>
      <c r="M17" s="15" t="n">
        <v>0.1199335255015001</v>
      </c>
      <c r="N17" s="15" t="n">
        <v>0.1199335255015001</v>
      </c>
      <c r="O17" s="15" t="n">
        <v>0.1199335255015001</v>
      </c>
      <c r="P17" s="15" t="n">
        <v>0.1199335255015001</v>
      </c>
    </row>
    <row r="18">
      <c r="A18" s="4" t="inlineStr">
        <is>
          <t>SG&amp;A</t>
        </is>
      </c>
      <c r="B18" s="33">
        <f>SUM(Financials!I9:L9)</f>
        <v/>
      </c>
      <c r="C18" s="33">
        <f>SUM(Financials!M9:P9)</f>
        <v/>
      </c>
      <c r="D18" s="33">
        <f>SUM(Financials!Q9:T9)</f>
        <v/>
      </c>
      <c r="E18" s="33">
        <f>SUM(Financials!U9:X9)</f>
        <v/>
      </c>
      <c r="F18" s="33">
        <f>SUM(Financials!Y9:AB9)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0.379566445085005</v>
      </c>
      <c r="H19" s="15" t="n">
        <v>0.379566445085005</v>
      </c>
      <c r="I19" s="15" t="n">
        <v>0.379566445085005</v>
      </c>
      <c r="J19" s="15" t="n">
        <v>0.379566445085005</v>
      </c>
      <c r="K19" s="15" t="n">
        <v>0.379566445085005</v>
      </c>
      <c r="L19" s="15" t="n">
        <v>0.379566445085005</v>
      </c>
      <c r="M19" s="15" t="n">
        <v>0.379566445085005</v>
      </c>
      <c r="N19" s="15" t="n">
        <v>0.379566445085005</v>
      </c>
      <c r="O19" s="15" t="n">
        <v>0.379566445085005</v>
      </c>
      <c r="P19" s="15" t="n">
        <v>0.379566445085005</v>
      </c>
    </row>
    <row r="20">
      <c r="A20" s="4" t="inlineStr">
        <is>
          <t>Other opex (fulfilment, etc.)</t>
        </is>
      </c>
      <c r="B20" s="33">
        <f>B10-(B14+B16+B18)-SUM(Financials!I13:L13)</f>
        <v/>
      </c>
      <c r="C20" s="33">
        <f>C10-(C14+C16+C18)-SUM(Financials!M13:P13)</f>
        <v/>
      </c>
      <c r="D20" s="33">
        <f>D10-(D14+D16+D18)-SUM(Financials!Q13:T13)</f>
        <v/>
      </c>
      <c r="E20" s="33">
        <f>E10-(E14+E16+E18)-SUM(Financials!U13:X13)</f>
        <v/>
      </c>
      <c r="F20" s="33">
        <f>F10-(F14+F16+F18)-SUM(Financials!Y13:AB13)</f>
        <v/>
      </c>
      <c r="G20" s="33">
        <f>G10*(1-(Dashboard!$B$29+(Dashboard!$B$30-Dashboard!$B$29)*MIN(1,0/4)))-(G14+G16+G18)</f>
        <v/>
      </c>
      <c r="H20" s="33">
        <f>H10*(1-(Dashboard!$B$29+(Dashboard!$B$30-Dashboard!$B$29)*MIN(1,1/4)))-(H14+H16+H18)</f>
        <v/>
      </c>
      <c r="I20" s="33">
        <f>I10*(1-(Dashboard!$B$29+(Dashboard!$B$30-Dashboard!$B$29)*MIN(1,2/4)))-(I14+I16+I18)</f>
        <v/>
      </c>
      <c r="J20" s="33">
        <f>J10*(1-(Dashboard!$B$29+(Dashboard!$B$30-Dashboard!$B$29)*MIN(1,3/4)))-(J14+J16+J18)</f>
        <v/>
      </c>
      <c r="K20" s="33">
        <f>K10*(1-(Dashboard!$B$29+(Dashboard!$B$30-Dashboard!$B$29)*MIN(1,4/4)))-(K14+K16+K18)</f>
        <v/>
      </c>
      <c r="L20" s="33">
        <f>L10*(1-(Dashboard!$B$29+(Dashboard!$B$30-Dashboard!$B$29)*MIN(1,5/4)))-(L14+L16+L18)</f>
        <v/>
      </c>
      <c r="M20" s="33">
        <f>M10*(1-(Dashboard!$B$29+(Dashboard!$B$30-Dashboard!$B$29)*MIN(1,6/4)))-(M14+M16+M18)</f>
        <v/>
      </c>
      <c r="N20" s="33">
        <f>N10*(1-(Dashboard!$B$29+(Dashboard!$B$30-Dashboard!$B$29)*MIN(1,7/4)))-(N14+N16+N18)</f>
        <v/>
      </c>
      <c r="O20" s="33">
        <f>O10*(1-(Dashboard!$B$29+(Dashboard!$B$30-Dashboard!$B$29)*MIN(1,8/4)))-(O14+O16+O18)</f>
        <v/>
      </c>
      <c r="P20" s="33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SUM(Financials!I47:L47)</f>
        <v/>
      </c>
      <c r="C28" s="33">
        <f>SUM(Financials!M47:P47)</f>
        <v/>
      </c>
      <c r="D28" s="33">
        <f>SUM(Financials!Q47:T47)</f>
        <v/>
      </c>
      <c r="E28" s="33">
        <f>SUM(Financials!U47:X47)</f>
        <v/>
      </c>
      <c r="F28" s="33">
        <f>SUM(Financials!Y47:AB47)</f>
        <v/>
      </c>
      <c r="G28" s="41">
        <f>G10*0.0356</f>
        <v/>
      </c>
      <c r="H28" s="41">
        <f>H10*0.0356</f>
        <v/>
      </c>
      <c r="I28" s="41">
        <f>I10*0.0356</f>
        <v/>
      </c>
      <c r="J28" s="41">
        <f>J10*0.0356</f>
        <v/>
      </c>
      <c r="K28" s="41">
        <f>K10*0.0356</f>
        <v/>
      </c>
      <c r="L28" s="41">
        <f>L10*0.0356</f>
        <v/>
      </c>
      <c r="M28" s="41">
        <f>M10*0.0356</f>
        <v/>
      </c>
      <c r="N28" s="41">
        <f>N10*0.0356</f>
        <v/>
      </c>
      <c r="O28" s="41">
        <f>O10*0.0356</f>
        <v/>
      </c>
      <c r="P28" s="41">
        <f>P10*0.0356</f>
        <v/>
      </c>
    </row>
    <row r="29">
      <c r="A29" s="4" t="inlineStr">
        <is>
          <t>+ SBC (non-cash)</t>
        </is>
      </c>
      <c r="B29" s="33">
        <f>SUM(Financials!I48:L48)</f>
        <v/>
      </c>
      <c r="C29" s="33">
        <f>SUM(Financials!M48:P48)</f>
        <v/>
      </c>
      <c r="D29" s="33">
        <f>SUM(Financials!Q48:T48)</f>
        <v/>
      </c>
      <c r="E29" s="33">
        <f>SUM(Financials!U48:X48)</f>
        <v/>
      </c>
      <c r="F29" s="33">
        <f>SUM(Financials!Y48:AB48)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-SUM(Financials!I51:L51)</f>
        <v/>
      </c>
      <c r="C31" s="33">
        <f>-SUM(Financials!M51:P51)</f>
        <v/>
      </c>
      <c r="D31" s="33">
        <f>-SUM(Financials!Q51:T51)</f>
        <v/>
      </c>
      <c r="E31" s="33">
        <f>-SUM(Financials!U51:X51)</f>
        <v/>
      </c>
      <c r="F31" s="33">
        <f>-SUM(Financials!Y51:AB51)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Financials!L45+Financials!L44-Financials!L39</f>
        <v/>
      </c>
      <c r="C38" s="33">
        <f>Financials!P45+Financials!P44-Financials!P39</f>
        <v/>
      </c>
      <c r="D38" s="33">
        <f>Financials!T45+Financials!T44-Financials!T39</f>
        <v/>
      </c>
      <c r="E38" s="33">
        <f>Financials!X45+Financials!X44-Financials!X39</f>
        <v/>
      </c>
      <c r="F38" s="33">
        <f>Financials!AB45+Financials!AB44-Financials!AB39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Financials!L45</f>
        <v/>
      </c>
      <c r="C39" s="33">
        <f>Financials!P45</f>
        <v/>
      </c>
      <c r="D39" s="33">
        <f>Financials!T45</f>
        <v/>
      </c>
      <c r="E39" s="33">
        <f>Financials!X45</f>
        <v/>
      </c>
      <c r="F39" s="33">
        <f>Financials!AB45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521.7</v>
      </c>
      <c r="C3" s="18" t="n">
        <v>548.1</v>
      </c>
      <c r="D3" s="18" t="n">
        <v>614.4</v>
      </c>
      <c r="E3" s="18" t="n">
        <v>577.7</v>
      </c>
      <c r="F3" s="18" t="n">
        <v>617.6</v>
      </c>
      <c r="G3" s="18" t="n">
        <v>651.1</v>
      </c>
      <c r="H3" s="18" t="n">
        <v>748</v>
      </c>
      <c r="I3" s="18" t="n">
        <v>710.3</v>
      </c>
      <c r="J3" s="18" t="n">
        <v>801.1</v>
      </c>
      <c r="K3" s="18" t="n">
        <v>867.2</v>
      </c>
      <c r="L3" s="18" t="n">
        <v>963.6</v>
      </c>
      <c r="M3" s="18" t="n">
        <v>954.8</v>
      </c>
      <c r="N3" s="18" t="n">
        <v>1030.1</v>
      </c>
      <c r="O3" s="18" t="n">
        <v>1149.5</v>
      </c>
      <c r="P3" s="18" t="n">
        <v>1283</v>
      </c>
      <c r="Q3" s="18" t="n">
        <v>1262.3</v>
      </c>
      <c r="R3" s="18" t="n">
        <v>1292.8</v>
      </c>
      <c r="S3" s="18" t="n">
        <v>1334.6</v>
      </c>
      <c r="T3" s="18" t="n">
        <v>1415.1</v>
      </c>
      <c r="U3" s="18" t="n">
        <v>1353.3</v>
      </c>
      <c r="V3" s="18" t="n">
        <v>1434.3</v>
      </c>
      <c r="W3" s="18" t="n">
        <v>1508.1</v>
      </c>
      <c r="X3" s="18" t="n">
        <v>1660.1</v>
      </c>
      <c r="Y3" s="18" t="n">
        <v>1539.7</v>
      </c>
      <c r="Z3" s="18" t="n">
        <v>1630</v>
      </c>
      <c r="AA3" s="18" t="n">
        <v>1724.9</v>
      </c>
      <c r="AB3" s="18" t="n">
        <v>1905</v>
      </c>
      <c r="AC3" s="18" t="n">
        <v>1849.6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128.3</v>
      </c>
      <c r="C5" s="18" t="n">
        <v>124.1</v>
      </c>
      <c r="D5" s="18" t="n">
        <v>140.5</v>
      </c>
      <c r="E5" s="18" t="n">
        <v>128.7</v>
      </c>
      <c r="F5" s="18" t="n">
        <v>135.1</v>
      </c>
      <c r="G5" s="18" t="n">
        <v>139.2</v>
      </c>
      <c r="H5" s="18" t="n">
        <v>167</v>
      </c>
      <c r="I5" s="18" t="n">
        <v>156.6</v>
      </c>
      <c r="J5" s="18" t="n">
        <v>186.9</v>
      </c>
      <c r="K5" s="18" t="n">
        <v>211.2</v>
      </c>
      <c r="L5" s="18" t="n">
        <v>228.3</v>
      </c>
      <c r="M5" s="18" t="n">
        <v>253.8</v>
      </c>
      <c r="N5" s="18" t="n">
        <v>250.8</v>
      </c>
      <c r="O5" s="18" t="n">
        <v>283</v>
      </c>
      <c r="P5" s="18" t="n">
        <v>297.3</v>
      </c>
      <c r="Q5" s="18" t="n">
        <v>307.8</v>
      </c>
      <c r="R5" s="18" t="n">
        <v>295.8</v>
      </c>
      <c r="S5" s="18" t="n">
        <v>317.7</v>
      </c>
      <c r="T5" s="18" t="n">
        <v>315.9</v>
      </c>
      <c r="U5" s="18" t="n">
        <v>304.7</v>
      </c>
      <c r="V5" s="18" t="n">
        <v>275</v>
      </c>
      <c r="W5" s="18" t="n">
        <v>263.4</v>
      </c>
      <c r="X5" s="18" t="n">
        <v>314.5</v>
      </c>
      <c r="Y5" s="18" t="n">
        <v>293.1</v>
      </c>
      <c r="Z5" s="18" t="n">
        <v>301.7</v>
      </c>
      <c r="AA5" s="18" t="n">
        <v>318.6</v>
      </c>
      <c r="AB5" s="18" t="n">
        <v>389.2</v>
      </c>
      <c r="AC5" s="18" t="n">
        <v>364.5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67.40000000000001</v>
      </c>
      <c r="C7" s="18" t="n">
        <v>69.90000000000001</v>
      </c>
      <c r="D7" s="18" t="n">
        <v>71.2</v>
      </c>
      <c r="E7" s="18" t="n">
        <v>80.3</v>
      </c>
      <c r="F7" s="18" t="n">
        <v>82.09999999999999</v>
      </c>
      <c r="G7" s="18" t="n">
        <v>90</v>
      </c>
      <c r="H7" s="18" t="n">
        <v>89</v>
      </c>
      <c r="I7" s="18" t="n">
        <v>97.2</v>
      </c>
      <c r="J7" s="18" t="n">
        <v>106.6</v>
      </c>
      <c r="K7" s="18" t="n">
        <v>107.8</v>
      </c>
      <c r="L7" s="18" t="n">
        <v>112.6</v>
      </c>
      <c r="M7" s="18" t="n">
        <v>124.9</v>
      </c>
      <c r="N7" s="18" t="n">
        <v>124.3</v>
      </c>
      <c r="O7" s="18" t="n">
        <v>134.3</v>
      </c>
      <c r="P7" s="18" t="n">
        <v>128.9</v>
      </c>
      <c r="Q7" s="18" t="n">
        <v>151.1</v>
      </c>
      <c r="R7" s="18" t="n">
        <v>153.3</v>
      </c>
      <c r="S7" s="18" t="n">
        <v>156.9</v>
      </c>
      <c r="T7" s="18" t="n">
        <v>152.5</v>
      </c>
      <c r="U7" s="18" t="n">
        <v>173</v>
      </c>
      <c r="V7" s="18" t="n">
        <v>165.4</v>
      </c>
      <c r="W7" s="18" t="n">
        <v>187.3</v>
      </c>
      <c r="X7" s="18" t="n">
        <v>191.1</v>
      </c>
      <c r="Y7" s="18" t="n">
        <v>198.6</v>
      </c>
      <c r="Z7" s="18" t="n">
        <v>209.5</v>
      </c>
      <c r="AA7" s="18" t="n">
        <v>202.4</v>
      </c>
      <c r="AB7" s="18" t="n">
        <v>205</v>
      </c>
      <c r="AC7" s="18" t="n">
        <v>214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250.8</v>
      </c>
      <c r="C9" s="18" t="n">
        <v>253.5</v>
      </c>
      <c r="D9" s="18" t="n">
        <v>284.3</v>
      </c>
      <c r="E9" s="18" t="n">
        <v>288.8</v>
      </c>
      <c r="F9" s="18" t="n">
        <v>282.7</v>
      </c>
      <c r="G9" s="18" t="n">
        <v>296.1</v>
      </c>
      <c r="H9" s="18" t="n">
        <v>323.8</v>
      </c>
      <c r="I9" s="18" t="n">
        <v>336</v>
      </c>
      <c r="J9" s="18" t="n">
        <v>361.3</v>
      </c>
      <c r="K9" s="18" t="n">
        <v>382.9</v>
      </c>
      <c r="L9" s="18" t="n">
        <v>409</v>
      </c>
      <c r="M9" s="18" t="n">
        <v>426.2</v>
      </c>
      <c r="N9" s="18" t="n">
        <v>460.9</v>
      </c>
      <c r="O9" s="18" t="n">
        <v>467.8</v>
      </c>
      <c r="P9" s="18" t="n">
        <v>500.2</v>
      </c>
      <c r="Q9" s="18" t="n">
        <v>531.1</v>
      </c>
      <c r="R9" s="18" t="n">
        <v>565.8</v>
      </c>
      <c r="S9" s="18" t="n">
        <v>557.9</v>
      </c>
      <c r="T9" s="18" t="n">
        <v>562.5</v>
      </c>
      <c r="U9" s="18" t="n">
        <v>555.5</v>
      </c>
      <c r="V9" s="18" t="n">
        <v>557.9</v>
      </c>
      <c r="W9" s="18" t="n">
        <v>587.6</v>
      </c>
      <c r="X9" s="18" t="n">
        <v>581.6</v>
      </c>
      <c r="Y9" s="18" t="n">
        <v>600.5</v>
      </c>
      <c r="Z9" s="18" t="n">
        <v>648.9</v>
      </c>
      <c r="AA9" s="18" t="n">
        <v>644.9</v>
      </c>
      <c r="AB9" s="18" t="n">
        <v>686.6</v>
      </c>
      <c r="AC9" s="18" t="n">
        <v>692.5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393.4</v>
      </c>
      <c r="C11" s="18" t="n">
        <v>424</v>
      </c>
      <c r="D11" s="18" t="n">
        <v>473.9</v>
      </c>
      <c r="E11" s="18" t="n">
        <v>449</v>
      </c>
      <c r="F11" s="18" t="n">
        <v>482.5</v>
      </c>
      <c r="G11" s="18" t="n">
        <v>511.9</v>
      </c>
      <c r="H11" s="18" t="n">
        <v>581</v>
      </c>
      <c r="I11" s="18" t="n">
        <v>553.7</v>
      </c>
      <c r="J11" s="18" t="n">
        <v>614.2</v>
      </c>
      <c r="K11" s="18" t="n">
        <v>656</v>
      </c>
      <c r="L11" s="18" t="n">
        <v>735.3</v>
      </c>
      <c r="M11" s="18" t="n">
        <v>701</v>
      </c>
      <c r="N11" s="18" t="n">
        <v>779.3</v>
      </c>
      <c r="O11" s="18" t="n">
        <v>866.5</v>
      </c>
      <c r="P11" s="18" t="n">
        <v>985.7</v>
      </c>
      <c r="Q11" s="18" t="n">
        <v>954.5</v>
      </c>
      <c r="R11" s="18" t="n">
        <v>997</v>
      </c>
      <c r="S11" s="18" t="n">
        <v>1016.9</v>
      </c>
      <c r="T11" s="18" t="n">
        <v>1099.2</v>
      </c>
      <c r="U11" s="18" t="n">
        <v>1048.6</v>
      </c>
      <c r="V11" s="18" t="n">
        <v>1159.3</v>
      </c>
      <c r="W11" s="18" t="n">
        <v>1244.7</v>
      </c>
      <c r="X11" s="18" t="n">
        <v>1345.6</v>
      </c>
      <c r="Y11" s="18" t="n">
        <v>1246.6</v>
      </c>
      <c r="Z11" s="18" t="n">
        <v>1328.3</v>
      </c>
      <c r="AA11" s="18" t="n">
        <v>1406.3</v>
      </c>
      <c r="AB11" s="18" t="n">
        <v>1515.8</v>
      </c>
      <c r="AC11" s="18" t="n">
        <v>1485.1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75.2</v>
      </c>
      <c r="C13" s="18" t="n">
        <v>100.6</v>
      </c>
      <c r="D13" s="18" t="n">
        <v>118.4</v>
      </c>
      <c r="E13" s="18" t="n">
        <v>116.7</v>
      </c>
      <c r="F13" s="18" t="n">
        <v>118.8</v>
      </c>
      <c r="G13" s="18" t="n">
        <v>126.9</v>
      </c>
      <c r="H13" s="18" t="n">
        <v>169.4</v>
      </c>
      <c r="I13" s="18" t="n">
        <v>121.6</v>
      </c>
      <c r="J13" s="18" t="n">
        <v>147.5</v>
      </c>
      <c r="K13" s="18" t="n">
        <v>166.4</v>
      </c>
      <c r="L13" s="18" t="n">
        <v>214.9</v>
      </c>
      <c r="M13" s="18" t="n">
        <v>151</v>
      </c>
      <c r="N13" s="18" t="n">
        <v>195.3</v>
      </c>
      <c r="O13" s="18" t="n">
        <v>265.5</v>
      </c>
      <c r="P13" s="18" t="n">
        <v>357.8</v>
      </c>
      <c r="Q13" s="18" t="n">
        <v>273.5</v>
      </c>
      <c r="R13" s="18" t="n">
        <v>279</v>
      </c>
      <c r="S13" s="18" t="n">
        <v>303.2</v>
      </c>
      <c r="T13" s="18" t="n">
        <v>385.4</v>
      </c>
      <c r="U13" s="18" t="n">
        <v>321.2</v>
      </c>
      <c r="V13" s="18" t="n">
        <v>437.2</v>
      </c>
      <c r="W13" s="18" t="n">
        <v>470.9</v>
      </c>
      <c r="X13" s="18" t="n">
        <v>574.1</v>
      </c>
      <c r="Y13" s="18" t="n">
        <v>453.8</v>
      </c>
      <c r="Z13" s="18" t="n">
        <v>456.7</v>
      </c>
      <c r="AA13" s="18" t="n">
        <v>545.9</v>
      </c>
      <c r="AB13" s="18" t="n">
        <v>625.6</v>
      </c>
      <c r="AC13" s="18" t="n">
        <v>580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72.7</v>
      </c>
      <c r="C15" s="18" t="n">
        <v>80.2</v>
      </c>
      <c r="D15" s="18" t="n">
        <v>115.2</v>
      </c>
      <c r="E15" s="18" t="n">
        <v>104.6</v>
      </c>
      <c r="F15" s="18" t="n">
        <v>113.8</v>
      </c>
      <c r="G15" s="18" t="n">
        <v>123.4</v>
      </c>
      <c r="H15" s="18" t="n">
        <v>146.7</v>
      </c>
      <c r="I15" s="18" t="n">
        <v>107.2</v>
      </c>
      <c r="J15" s="18" t="n">
        <v>137.5</v>
      </c>
      <c r="K15" s="18" t="n">
        <v>163.1</v>
      </c>
      <c r="L15" s="18" t="n">
        <v>199</v>
      </c>
      <c r="M15" s="18" t="n">
        <v>138.4</v>
      </c>
      <c r="N15" s="18" t="n">
        <v>173.5</v>
      </c>
      <c r="O15" s="18" t="n">
        <v>231.6</v>
      </c>
      <c r="P15" s="18" t="n">
        <v>313.8</v>
      </c>
      <c r="Q15" s="18" t="n">
        <v>247.7</v>
      </c>
      <c r="R15" s="18" t="n">
        <v>266.3</v>
      </c>
      <c r="S15" s="18" t="n">
        <v>322.9</v>
      </c>
      <c r="T15" s="18" t="n">
        <v>310.9</v>
      </c>
      <c r="U15" s="18" t="n">
        <v>299.3</v>
      </c>
      <c r="V15" s="18" t="n">
        <v>379.8</v>
      </c>
      <c r="W15" s="18" t="n">
        <v>539.9</v>
      </c>
      <c r="X15" s="18" t="n">
        <v>526.2</v>
      </c>
      <c r="Y15" s="18" t="n">
        <v>433.4</v>
      </c>
      <c r="Z15" s="18" t="n">
        <v>440.1</v>
      </c>
      <c r="AA15" s="18" t="n">
        <v>473.9</v>
      </c>
      <c r="AB15" s="18" t="n">
        <v>506</v>
      </c>
      <c r="AC15" s="18" t="n">
        <v>534.5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875.5</v>
      </c>
      <c r="C17" s="18" t="n">
        <v>874</v>
      </c>
      <c r="D17" s="18" t="n">
        <v>876</v>
      </c>
      <c r="E17" s="18" t="n">
        <v>871</v>
      </c>
      <c r="F17" s="18" t="n">
        <v>827</v>
      </c>
      <c r="G17" s="18" t="n">
        <v>828</v>
      </c>
      <c r="H17" s="18" t="n">
        <v>827.5</v>
      </c>
      <c r="I17" s="18" t="n">
        <v>832</v>
      </c>
      <c r="J17" s="18" t="n">
        <v>835.4</v>
      </c>
      <c r="K17" s="18" t="n">
        <v>838.6</v>
      </c>
      <c r="L17" s="18" t="n">
        <v>835</v>
      </c>
      <c r="M17" s="18" t="n">
        <v>821</v>
      </c>
      <c r="N17" s="18" t="n">
        <v>810.1</v>
      </c>
      <c r="O17" s="18" t="n">
        <v>798.6</v>
      </c>
      <c r="P17" s="18" t="n">
        <v>791.8</v>
      </c>
      <c r="Q17" s="18" t="n">
        <v>793.4</v>
      </c>
      <c r="R17" s="18" t="n">
        <v>795.9</v>
      </c>
      <c r="S17" s="18" t="n">
        <v>791.2</v>
      </c>
      <c r="T17" s="18" t="n">
        <v>772.3</v>
      </c>
      <c r="U17" s="18" t="n">
        <v>770.5</v>
      </c>
      <c r="V17" s="18" t="n">
        <v>769.9</v>
      </c>
      <c r="W17" s="18" t="n">
        <v>771.9</v>
      </c>
      <c r="X17" s="18" t="n">
        <v>775.2</v>
      </c>
      <c r="Y17" s="18" t="n">
        <v>776.8</v>
      </c>
      <c r="Z17" s="18" t="n">
        <v>774.8</v>
      </c>
      <c r="AA17" s="18" t="n">
        <v>770.2</v>
      </c>
      <c r="AB17" s="18" t="n">
        <v>748</v>
      </c>
      <c r="AC17" s="18" t="n">
        <v>742.8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Security Subscription</t>
        </is>
      </c>
      <c r="B19" s="18" t="n">
        <v>183.1</v>
      </c>
      <c r="C19" s="18" t="n">
        <v>192.8</v>
      </c>
      <c r="D19" s="18" t="n">
        <v>205.4</v>
      </c>
      <c r="E19" s="18" t="n">
        <v>211.4</v>
      </c>
      <c r="F19" s="18" t="n">
        <v>222.6</v>
      </c>
      <c r="G19" s="18" t="n">
        <v>235.4</v>
      </c>
      <c r="H19" s="18" t="n">
        <v>249.3</v>
      </c>
      <c r="I19" s="18" t="n">
        <v>255.3</v>
      </c>
      <c r="J19" s="18" t="n">
        <v>272.9</v>
      </c>
      <c r="K19" s="18" t="n">
        <v>287.4</v>
      </c>
      <c r="L19" s="18" t="n">
        <v>309.4</v>
      </c>
      <c r="M19" s="18" t="n">
        <v>312.9</v>
      </c>
      <c r="N19" s="18" t="n">
        <v>340.4</v>
      </c>
      <c r="O19" s="18" t="n">
        <v>369.8</v>
      </c>
      <c r="P19" s="18" t="n">
        <v>403.9</v>
      </c>
      <c r="Q19" s="18" t="n">
        <v>421.7</v>
      </c>
      <c r="R19" s="18" t="n">
        <v>457.3</v>
      </c>
      <c r="S19" s="18" t="n">
        <v>494.6</v>
      </c>
      <c r="T19" s="18" t="n">
        <v>524.5</v>
      </c>
      <c r="U19" s="18" t="n">
        <v>536.9</v>
      </c>
      <c r="V19" s="18" t="n">
        <v>558.7</v>
      </c>
      <c r="W19" s="18" t="n">
        <v>595.8</v>
      </c>
      <c r="X19" s="18" t="n">
        <v>625.3</v>
      </c>
      <c r="Y19" s="18" t="n">
        <v>623.1</v>
      </c>
      <c r="Z19" s="18" t="n">
        <v>644.4</v>
      </c>
      <c r="AA19" s="18" t="n">
        <v>672</v>
      </c>
      <c r="AB19" s="18" t="n">
        <v>693.7</v>
      </c>
      <c r="AC19" s="18" t="n">
        <v>694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Product</t>
        </is>
      </c>
      <c r="B22" s="18" t="n">
        <v>189.9</v>
      </c>
      <c r="C22" s="18" t="n">
        <v>197.1</v>
      </c>
      <c r="D22" s="18" t="n">
        <v>238.8</v>
      </c>
      <c r="E22" s="18" t="n">
        <v>192.3</v>
      </c>
      <c r="F22" s="18" t="n">
        <v>211.9</v>
      </c>
      <c r="G22" s="18" t="n">
        <v>223.8</v>
      </c>
      <c r="H22" s="18" t="n">
        <v>288.4</v>
      </c>
      <c r="I22" s="18" t="n">
        <v>240.7</v>
      </c>
      <c r="J22" s="18" t="n">
        <v>298.3</v>
      </c>
      <c r="K22" s="18" t="n">
        <v>337.1</v>
      </c>
      <c r="L22" s="18" t="n">
        <v>378.9</v>
      </c>
      <c r="M22" s="18" t="n">
        <v>371</v>
      </c>
      <c r="N22" s="18" t="n">
        <v>400.7</v>
      </c>
      <c r="O22" s="18" t="n">
        <v>468.7</v>
      </c>
      <c r="P22" s="18" t="n">
        <v>540.1</v>
      </c>
      <c r="Q22" s="18" t="n">
        <v>500.7</v>
      </c>
      <c r="R22" s="18" t="n">
        <v>472.6</v>
      </c>
      <c r="S22" s="18" t="n">
        <v>465.9</v>
      </c>
      <c r="T22" s="18" t="n">
        <v>488.1</v>
      </c>
      <c r="U22" s="18" t="n">
        <v>408.9</v>
      </c>
      <c r="V22" s="18" t="n">
        <v>451.9</v>
      </c>
      <c r="W22" s="18" t="n">
        <v>473.9</v>
      </c>
      <c r="X22" s="18" t="n">
        <v>574</v>
      </c>
      <c r="Y22" s="18" t="n">
        <v>459.1</v>
      </c>
      <c r="Z22" s="18" t="n">
        <v>508.9</v>
      </c>
      <c r="AA22" s="18" t="n">
        <v>559.3</v>
      </c>
      <c r="AB22" s="18" t="n">
        <v>691.1</v>
      </c>
      <c r="AC22" s="18" t="n">
        <v>645.1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Technical Support and Other</t>
        </is>
      </c>
      <c r="B25" s="18" t="n">
        <v>148.7</v>
      </c>
      <c r="C25" s="18" t="n">
        <v>157.6</v>
      </c>
      <c r="D25" s="18" t="n">
        <v>170.2</v>
      </c>
      <c r="E25" s="18" t="n">
        <v>173.2</v>
      </c>
      <c r="F25" s="18" t="n">
        <v>181</v>
      </c>
      <c r="G25" s="18" t="n">
        <v>191.9</v>
      </c>
      <c r="H25" s="18" t="n">
        <v>213.2</v>
      </c>
      <c r="I25" s="18" t="n">
        <v>214.3</v>
      </c>
      <c r="J25" s="18" t="n">
        <v>229.9</v>
      </c>
      <c r="K25" s="18" t="n">
        <v>242.7</v>
      </c>
      <c r="L25" s="18" t="n">
        <v>275.3</v>
      </c>
      <c r="M25" s="18" t="n">
        <v>270.9</v>
      </c>
      <c r="N25" s="18" t="n">
        <v>289</v>
      </c>
      <c r="O25" s="18" t="n">
        <v>311</v>
      </c>
      <c r="P25" s="18" t="n">
        <v>339</v>
      </c>
      <c r="Q25" s="18" t="n">
        <v>339.9</v>
      </c>
      <c r="R25" s="18" t="n">
        <v>362.9</v>
      </c>
      <c r="S25" s="18" t="n">
        <v>374.1</v>
      </c>
      <c r="T25" s="18" t="n">
        <v>402.5</v>
      </c>
      <c r="U25" s="18" t="n">
        <v>407.5</v>
      </c>
      <c r="V25" s="18" t="n">
        <v>423.7</v>
      </c>
      <c r="W25" s="18" t="n">
        <v>438.4</v>
      </c>
      <c r="X25" s="18" t="n">
        <v>460.8</v>
      </c>
      <c r="Y25" s="18" t="n">
        <v>457.5</v>
      </c>
      <c r="Z25" s="18" t="n">
        <v>476.7</v>
      </c>
      <c r="AA25" s="18" t="n">
        <v>493.6</v>
      </c>
      <c r="AB25" s="18" t="n">
        <v>520.2</v>
      </c>
      <c r="AC25" s="18" t="n">
        <v>510.5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REVENUE BY SEGMENT — GEOGRAPHY (% YoY, % of revenue)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Europe, Middle East and Africa</t>
        </is>
      </c>
      <c r="B29" s="18" t="n">
        <v>192</v>
      </c>
      <c r="C29" s="18" t="n">
        <v>200.7</v>
      </c>
      <c r="D29" s="18" t="n">
        <v>244</v>
      </c>
      <c r="E29" s="18" t="n">
        <v>220.7</v>
      </c>
      <c r="F29" s="18" t="n">
        <v>228.4</v>
      </c>
      <c r="G29" s="18" t="n">
        <v>243.3</v>
      </c>
      <c r="H29" s="18" t="n">
        <v>299.5</v>
      </c>
      <c r="I29" s="18" t="n">
        <v>275.7</v>
      </c>
      <c r="J29" s="18" t="n">
        <v>306.2</v>
      </c>
      <c r="K29" s="18" t="n">
        <v>323.2</v>
      </c>
      <c r="L29" s="18" t="n">
        <v>370.8</v>
      </c>
      <c r="M29" s="18" t="n">
        <v>346</v>
      </c>
      <c r="N29" s="18" t="n">
        <v>391.8</v>
      </c>
      <c r="O29" s="18" t="n">
        <v>443.9</v>
      </c>
      <c r="P29" s="18" t="n">
        <v>510.1</v>
      </c>
      <c r="Q29" s="18" t="n">
        <v>478.2</v>
      </c>
      <c r="R29" s="18" t="n">
        <v>506.9</v>
      </c>
      <c r="S29" s="18" t="n">
        <v>512.2</v>
      </c>
      <c r="T29" s="18" t="n">
        <v>575.6</v>
      </c>
      <c r="U29" s="18" t="n">
        <v>539.4</v>
      </c>
      <c r="V29" s="18" t="n">
        <v>565.2</v>
      </c>
      <c r="W29" s="18" t="n">
        <v>599.3</v>
      </c>
      <c r="X29" s="18" t="n">
        <v>692.3</v>
      </c>
      <c r="Y29" s="18" t="n">
        <v>628.4</v>
      </c>
      <c r="Z29" s="18" t="n">
        <v>667.1</v>
      </c>
      <c r="AA29" s="18" t="n">
        <v>713.7</v>
      </c>
      <c r="AB29" s="18" t="n">
        <v>825.1</v>
      </c>
      <c r="AC29" s="18" t="n">
        <v>784.8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Americas</t>
        </is>
      </c>
      <c r="B32" s="18" t="n">
        <v>225.5</v>
      </c>
      <c r="C32" s="18" t="n">
        <v>240.7</v>
      </c>
      <c r="D32" s="18" t="n">
        <v>250.6</v>
      </c>
      <c r="E32" s="18" t="n">
        <v>242.2</v>
      </c>
      <c r="F32" s="18" t="n">
        <v>260.2</v>
      </c>
      <c r="G32" s="18" t="n">
        <v>272.4</v>
      </c>
      <c r="H32" s="18" t="n">
        <v>302.4</v>
      </c>
      <c r="I32" s="18" t="n">
        <v>290.9</v>
      </c>
      <c r="J32" s="18" t="n">
        <v>337</v>
      </c>
      <c r="K32" s="18" t="n">
        <v>350.1</v>
      </c>
      <c r="L32" s="18" t="n">
        <v>380.8</v>
      </c>
      <c r="M32" s="18" t="n">
        <v>382.6</v>
      </c>
      <c r="N32" s="18" t="n">
        <v>413.6</v>
      </c>
      <c r="O32" s="18" t="n">
        <v>467.6</v>
      </c>
      <c r="P32" s="18" t="n">
        <v>521.2</v>
      </c>
      <c r="Q32" s="18" t="n">
        <v>523.5</v>
      </c>
      <c r="R32" s="18" t="n">
        <v>537</v>
      </c>
      <c r="S32" s="18" t="n">
        <v>545.6</v>
      </c>
      <c r="T32" s="18" t="n">
        <v>569.1</v>
      </c>
      <c r="U32" s="18" t="n">
        <v>557</v>
      </c>
      <c r="V32" s="18" t="n">
        <v>595.3</v>
      </c>
      <c r="W32" s="18" t="n">
        <v>624</v>
      </c>
      <c r="X32" s="18" t="n">
        <v>665.9</v>
      </c>
      <c r="Y32" s="18" t="n">
        <v>629.8</v>
      </c>
      <c r="Z32" s="18" t="n">
        <v>658.8</v>
      </c>
      <c r="AA32" s="18" t="n">
        <v>680.5</v>
      </c>
      <c r="AB32" s="18" t="n">
        <v>731.3</v>
      </c>
      <c r="AC32" s="18" t="n">
        <v>739.8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Asia Pacific and Japan</t>
        </is>
      </c>
      <c r="B35" s="18" t="n">
        <v>104.2</v>
      </c>
      <c r="C35" s="18" t="n">
        <v>106.1</v>
      </c>
      <c r="D35" s="18" t="n">
        <v>119.8</v>
      </c>
      <c r="E35" s="18" t="n">
        <v>114</v>
      </c>
      <c r="F35" s="18" t="n">
        <v>126.9</v>
      </c>
      <c r="G35" s="18" t="n">
        <v>135.4</v>
      </c>
      <c r="H35" s="18" t="n">
        <v>149</v>
      </c>
      <c r="I35" s="18" t="n">
        <v>143.7</v>
      </c>
      <c r="J35" s="18" t="n">
        <v>157.9</v>
      </c>
      <c r="K35" s="18" t="n">
        <v>193.9</v>
      </c>
      <c r="L35" s="18" t="n">
        <v>212</v>
      </c>
      <c r="M35" s="18" t="n">
        <v>226.2</v>
      </c>
      <c r="N35" s="18" t="n">
        <v>224.7</v>
      </c>
      <c r="O35" s="18" t="n">
        <v>238</v>
      </c>
      <c r="P35" s="18" t="n">
        <v>251.7</v>
      </c>
      <c r="Q35" s="18" t="n">
        <v>260.6</v>
      </c>
      <c r="R35" s="18" t="n">
        <v>248.9</v>
      </c>
      <c r="S35" s="18" t="n">
        <v>276.8</v>
      </c>
      <c r="T35" s="18" t="n">
        <v>270.4</v>
      </c>
      <c r="U35" s="18" t="n">
        <v>256.9</v>
      </c>
      <c r="V35" s="18" t="n">
        <v>273.8</v>
      </c>
      <c r="W35" s="18" t="n">
        <v>284.8</v>
      </c>
      <c r="X35" s="18" t="n">
        <v>301.9</v>
      </c>
      <c r="Y35" s="18" t="n">
        <v>281.5</v>
      </c>
      <c r="Z35" s="18" t="n">
        <v>304.1</v>
      </c>
      <c r="AA35" s="18" t="n">
        <v>330.7</v>
      </c>
      <c r="AB35" s="18" t="n">
        <v>348.6</v>
      </c>
      <c r="AC35" s="18" t="n">
        <v>325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1830.2</v>
      </c>
      <c r="C39" s="18" t="n">
        <v>1940.3</v>
      </c>
      <c r="D39" s="18" t="n">
        <v>2065.6</v>
      </c>
      <c r="E39" s="18" t="n">
        <v>1401.3</v>
      </c>
      <c r="F39" s="18" t="n">
        <v>1526.9</v>
      </c>
      <c r="G39" s="18" t="n">
        <v>1656.7</v>
      </c>
      <c r="H39" s="18" t="n">
        <v>1837.3</v>
      </c>
      <c r="I39" s="18" t="n">
        <v>2936.9</v>
      </c>
      <c r="J39" s="18" t="n">
        <v>3113.2</v>
      </c>
      <c r="K39" s="18" t="n">
        <v>3121</v>
      </c>
      <c r="L39" s="18" t="n">
        <v>2551.7</v>
      </c>
      <c r="M39" s="18" t="n">
        <v>2141.6</v>
      </c>
      <c r="N39" s="18" t="n">
        <v>1754.9</v>
      </c>
      <c r="O39" s="18" t="n">
        <v>1730.4</v>
      </c>
      <c r="P39" s="18" t="n">
        <v>2211</v>
      </c>
      <c r="Q39" s="18" t="n">
        <v>2879.1</v>
      </c>
      <c r="R39" s="18" t="n">
        <v>3313.5</v>
      </c>
      <c r="S39" s="18" t="n">
        <v>3168.8</v>
      </c>
      <c r="T39" s="18" t="n">
        <v>2440.4</v>
      </c>
      <c r="U39" s="18" t="n">
        <v>3023.1</v>
      </c>
      <c r="V39" s="18" t="n">
        <v>3339.3</v>
      </c>
      <c r="W39" s="18" t="n">
        <v>3700.7</v>
      </c>
      <c r="X39" s="18" t="n">
        <v>4066.5</v>
      </c>
      <c r="Y39" s="18" t="n">
        <v>4780.5</v>
      </c>
      <c r="Z39" s="18" t="n">
        <v>4562.9</v>
      </c>
      <c r="AA39" s="18" t="n">
        <v>3123.4</v>
      </c>
      <c r="AB39" s="18" t="n">
        <v>3582.5</v>
      </c>
      <c r="AC39" s="18" t="n">
        <v>3294.9</v>
      </c>
    </row>
    <row r="40">
      <c r="A40" s="4" t="inlineStr">
        <is>
          <t>Total Current Assets</t>
        </is>
      </c>
      <c r="B40" s="18" t="n">
        <v>2360.7</v>
      </c>
      <c r="C40" s="18" t="n">
        <v>2466.2</v>
      </c>
      <c r="D40" s="18" t="n">
        <v>2769</v>
      </c>
      <c r="E40" s="18" t="n">
        <v>2035.3</v>
      </c>
      <c r="F40" s="18" t="n">
        <v>2208.7</v>
      </c>
      <c r="G40" s="18" t="n">
        <v>2384.6</v>
      </c>
      <c r="H40" s="18" t="n">
        <v>2740.4</v>
      </c>
      <c r="I40" s="18" t="n">
        <v>3781.2</v>
      </c>
      <c r="J40" s="18" t="n">
        <v>3908.2</v>
      </c>
      <c r="K40" s="18" t="n">
        <v>3963.5</v>
      </c>
      <c r="L40" s="18" t="n">
        <v>3600.6</v>
      </c>
      <c r="M40" s="18" t="n">
        <v>3208.3</v>
      </c>
      <c r="N40" s="18" t="n">
        <v>2952.9</v>
      </c>
      <c r="O40" s="18" t="n">
        <v>2982.2</v>
      </c>
      <c r="P40" s="18" t="n">
        <v>3810.4</v>
      </c>
      <c r="Q40" s="18" t="n">
        <v>4358.7</v>
      </c>
      <c r="R40" s="18" t="n">
        <v>4878.1</v>
      </c>
      <c r="S40" s="18" t="n">
        <v>4752.7</v>
      </c>
      <c r="T40" s="18" t="n">
        <v>4428.3</v>
      </c>
      <c r="U40" s="18" t="n">
        <v>4559.7</v>
      </c>
      <c r="V40" s="18" t="n">
        <v>4919.3</v>
      </c>
      <c r="W40" s="18" t="n">
        <v>5220.6</v>
      </c>
      <c r="X40" s="18" t="n">
        <v>5971.5</v>
      </c>
      <c r="Y40" s="18" t="n">
        <v>6442.6</v>
      </c>
      <c r="Z40" s="18" t="n">
        <v>6346.3</v>
      </c>
      <c r="AA40" s="18" t="n">
        <v>4913.5</v>
      </c>
      <c r="AB40" s="18" t="n">
        <v>5900.2</v>
      </c>
      <c r="AC40" s="18" t="n">
        <v>5332.6</v>
      </c>
    </row>
    <row r="41">
      <c r="A41" s="4" t="inlineStr">
        <is>
          <t>PP&amp;E (net)</t>
        </is>
      </c>
      <c r="B41" s="18" t="n">
        <v>284.7</v>
      </c>
      <c r="C41" s="18" t="n">
        <v>305.5</v>
      </c>
      <c r="D41" s="18" t="n">
        <v>344.3</v>
      </c>
      <c r="E41" s="18" t="n">
        <v>374.2</v>
      </c>
      <c r="F41" s="18" t="n">
        <v>392.6</v>
      </c>
      <c r="G41" s="18" t="n">
        <v>419.4</v>
      </c>
      <c r="H41" s="18" t="n">
        <v>448</v>
      </c>
      <c r="I41" s="18" t="n">
        <v>494.2</v>
      </c>
      <c r="J41" s="18" t="n">
        <v>506.5</v>
      </c>
      <c r="K41" s="18" t="n">
        <v>556.6</v>
      </c>
      <c r="L41" s="18" t="n">
        <v>687.6</v>
      </c>
      <c r="M41" s="18" t="n">
        <v>786.5</v>
      </c>
      <c r="N41" s="18" t="n">
        <v>814.6</v>
      </c>
      <c r="O41" s="18" t="n">
        <v>889.5</v>
      </c>
      <c r="P41" s="18" t="n">
        <v>898.5</v>
      </c>
      <c r="Q41" s="18" t="n">
        <v>917.4</v>
      </c>
      <c r="R41" s="18" t="n">
        <v>981.9</v>
      </c>
      <c r="S41" s="18" t="n">
        <v>1038</v>
      </c>
      <c r="T41" s="18" t="n">
        <v>1044.4</v>
      </c>
      <c r="U41" s="18" t="n">
        <v>1247.4</v>
      </c>
      <c r="V41" s="18" t="n">
        <v>1242.7</v>
      </c>
      <c r="W41" s="18" t="n">
        <v>1273.4</v>
      </c>
      <c r="X41" s="18" t="n">
        <v>1349.5</v>
      </c>
      <c r="Y41" s="18" t="n">
        <v>1403.8</v>
      </c>
      <c r="Z41" s="18" t="n">
        <v>1544.8</v>
      </c>
      <c r="AA41" s="18" t="n">
        <v>1605.2</v>
      </c>
      <c r="AB41" s="18" t="n">
        <v>1619</v>
      </c>
      <c r="AC41" s="18" t="n">
        <v>1691.5</v>
      </c>
    </row>
    <row r="42">
      <c r="A42" s="4" t="inlineStr">
        <is>
          <t>Total Assets</t>
        </is>
      </c>
      <c r="B42" s="18" t="n">
        <v>3369.4</v>
      </c>
      <c r="C42" s="18" t="n">
        <v>3545.6</v>
      </c>
      <c r="D42" s="18" t="n">
        <v>3879.2</v>
      </c>
      <c r="E42" s="18" t="n">
        <v>3206.2</v>
      </c>
      <c r="F42" s="18" t="n">
        <v>3330.6</v>
      </c>
      <c r="G42" s="18" t="n">
        <v>3586.2</v>
      </c>
      <c r="H42" s="18" t="n">
        <v>4044.5</v>
      </c>
      <c r="I42" s="18" t="n">
        <v>5282.2</v>
      </c>
      <c r="J42" s="18" t="n">
        <v>5558.9</v>
      </c>
      <c r="K42" s="18" t="n">
        <v>5970.6</v>
      </c>
      <c r="L42" s="18" t="n">
        <v>5919.1</v>
      </c>
      <c r="M42" s="18" t="n">
        <v>5651.1</v>
      </c>
      <c r="N42" s="18" t="n">
        <v>5294.5</v>
      </c>
      <c r="O42" s="18" t="n">
        <v>5335.9</v>
      </c>
      <c r="P42" s="18" t="n">
        <v>6228</v>
      </c>
      <c r="Q42" s="18" t="n">
        <v>6832.3</v>
      </c>
      <c r="R42" s="18" t="n">
        <v>7486.1</v>
      </c>
      <c r="S42" s="18" t="n">
        <v>7479.3</v>
      </c>
      <c r="T42" s="18" t="n">
        <v>7258.9</v>
      </c>
      <c r="U42" s="18" t="n">
        <v>7662.1</v>
      </c>
      <c r="V42" s="18" t="n">
        <v>8052.9</v>
      </c>
      <c r="W42" s="18" t="n">
        <v>8852</v>
      </c>
      <c r="X42" s="18" t="n">
        <v>9763.1</v>
      </c>
      <c r="Y42" s="18" t="n">
        <v>10407</v>
      </c>
      <c r="Z42" s="18" t="n">
        <v>10641.4</v>
      </c>
      <c r="AA42" s="18" t="n">
        <v>9361.299999999999</v>
      </c>
      <c r="AB42" s="18" t="n">
        <v>10389.2</v>
      </c>
      <c r="AC42" s="18" t="n">
        <v>9883.5</v>
      </c>
    </row>
    <row r="43">
      <c r="A43" s="4" t="inlineStr">
        <is>
          <t>Total Current Liabilities</t>
        </is>
      </c>
      <c r="B43" s="18" t="n">
        <v>1293.7</v>
      </c>
      <c r="C43" s="18" t="n">
        <v>1341.9</v>
      </c>
      <c r="D43" s="18" t="n">
        <v>1455.8</v>
      </c>
      <c r="E43" s="18" t="n">
        <v>1543</v>
      </c>
      <c r="F43" s="18" t="n">
        <v>1611.9</v>
      </c>
      <c r="G43" s="18" t="n">
        <v>1645.6</v>
      </c>
      <c r="H43" s="18" t="n">
        <v>1829.5</v>
      </c>
      <c r="I43" s="18" t="n">
        <v>1879.7</v>
      </c>
      <c r="J43" s="18" t="n">
        <v>1998.5</v>
      </c>
      <c r="K43" s="18" t="n">
        <v>2198</v>
      </c>
      <c r="L43" s="18" t="n">
        <v>2318.1</v>
      </c>
      <c r="M43" s="18" t="n">
        <v>2510.5</v>
      </c>
      <c r="N43" s="18" t="n">
        <v>2634.9</v>
      </c>
      <c r="O43" s="18" t="n">
        <v>2779.6</v>
      </c>
      <c r="P43" s="18" t="n">
        <v>3078.4</v>
      </c>
      <c r="Q43" s="18" t="n">
        <v>3261.8</v>
      </c>
      <c r="R43" s="18" t="n">
        <v>3500.6</v>
      </c>
      <c r="S43" s="18" t="n">
        <v>3649</v>
      </c>
      <c r="T43" s="18" t="n">
        <v>3719</v>
      </c>
      <c r="U43" s="18" t="n">
        <v>3800.4</v>
      </c>
      <c r="V43" s="18" t="n">
        <v>3725.3</v>
      </c>
      <c r="W43" s="18" t="n">
        <v>3883.9</v>
      </c>
      <c r="X43" s="18" t="n">
        <v>4060.7</v>
      </c>
      <c r="Y43" s="18" t="n">
        <v>4727.8</v>
      </c>
      <c r="Z43" s="18" t="n">
        <v>4777.1</v>
      </c>
      <c r="AA43" s="18" t="n">
        <v>4786.1</v>
      </c>
      <c r="AB43" s="18" t="n">
        <v>5034</v>
      </c>
      <c r="AC43" s="18" t="n">
        <v>4623.5</v>
      </c>
    </row>
    <row r="44">
      <c r="A44" s="4" t="inlineStr">
        <is>
          <t>Long-term Debt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987</v>
      </c>
      <c r="J44" s="18" t="n">
        <v>987.5</v>
      </c>
      <c r="K44" s="18" t="n">
        <v>988</v>
      </c>
      <c r="L44" s="18" t="n">
        <v>988.4</v>
      </c>
      <c r="M44" s="18" t="n">
        <v>988.9</v>
      </c>
      <c r="N44" s="18" t="n">
        <v>989.4</v>
      </c>
      <c r="O44" s="18" t="n">
        <v>989.9</v>
      </c>
      <c r="P44" s="18" t="n">
        <v>990.4</v>
      </c>
      <c r="Q44" s="18" t="n">
        <v>990.9</v>
      </c>
      <c r="R44" s="18" t="n">
        <v>991.3</v>
      </c>
      <c r="S44" s="18" t="n">
        <v>991.8</v>
      </c>
      <c r="T44" s="18" t="n">
        <v>992.3</v>
      </c>
      <c r="U44" s="18" t="n">
        <v>992.8</v>
      </c>
      <c r="V44" s="18" t="n">
        <v>993.3</v>
      </c>
      <c r="W44" s="18" t="n">
        <v>993.8</v>
      </c>
      <c r="X44" s="18" t="n">
        <v>994.3</v>
      </c>
      <c r="Y44" s="18" t="n">
        <v>496.2</v>
      </c>
      <c r="Z44" s="18" t="n">
        <v>496.3</v>
      </c>
      <c r="AA44" s="18" t="n">
        <v>496.5</v>
      </c>
      <c r="AB44" s="18" t="n">
        <v>496.6</v>
      </c>
      <c r="AC44" s="18" t="n">
        <v>496.8</v>
      </c>
    </row>
    <row r="45">
      <c r="A45" s="4" t="inlineStr">
        <is>
          <t>Total Equity</t>
        </is>
      </c>
      <c r="B45" s="18" t="n">
        <v>1122.3</v>
      </c>
      <c r="C45" s="18" t="n">
        <v>1200.4</v>
      </c>
      <c r="D45" s="18" t="n">
        <v>1342.4</v>
      </c>
      <c r="E45" s="18" t="n">
        <v>536.3</v>
      </c>
      <c r="F45" s="18" t="n">
        <v>543.9</v>
      </c>
      <c r="G45" s="18" t="n">
        <v>713.2</v>
      </c>
      <c r="H45" s="18" t="n">
        <v>856</v>
      </c>
      <c r="I45" s="18" t="n">
        <v>980.8</v>
      </c>
      <c r="J45" s="18" t="n">
        <v>1050.2</v>
      </c>
      <c r="K45" s="18" t="n">
        <v>1118.1</v>
      </c>
      <c r="L45" s="18" t="n">
        <v>781.7</v>
      </c>
      <c r="M45" s="18" t="n">
        <v>217.7</v>
      </c>
      <c r="N45" s="18" t="n">
        <v>-392.9</v>
      </c>
      <c r="O45" s="18" t="n">
        <v>-634.7</v>
      </c>
      <c r="P45" s="18" t="n">
        <v>-281.6</v>
      </c>
      <c r="Q45" s="18" t="n">
        <v>11.4</v>
      </c>
      <c r="R45" s="18" t="n">
        <v>321.2</v>
      </c>
      <c r="S45" s="18" t="n">
        <v>74.09999999999999</v>
      </c>
      <c r="T45" s="18" t="n">
        <v>-463.4</v>
      </c>
      <c r="U45" s="18" t="n">
        <v>-137.5</v>
      </c>
      <c r="V45" s="18" t="n">
        <v>288.2</v>
      </c>
      <c r="W45" s="18" t="n">
        <v>908.1</v>
      </c>
      <c r="X45" s="18" t="n">
        <v>1493.8</v>
      </c>
      <c r="Y45" s="18" t="n">
        <v>1962.9</v>
      </c>
      <c r="Z45" s="18" t="n">
        <v>2060.4</v>
      </c>
      <c r="AA45" s="18" t="n">
        <v>735.1</v>
      </c>
      <c r="AB45" s="18" t="n">
        <v>1237.5</v>
      </c>
      <c r="AC45" s="18" t="n">
        <v>989.7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15.2</v>
      </c>
      <c r="C47" s="18" t="n">
        <v>15</v>
      </c>
      <c r="D47" s="18" t="n">
        <v>15.7</v>
      </c>
      <c r="E47" s="18" t="n">
        <v>17.6</v>
      </c>
      <c r="F47" s="18" t="n">
        <v>17.8</v>
      </c>
      <c r="G47" s="18" t="n">
        <v>16.7</v>
      </c>
      <c r="H47" s="18" t="n">
        <v>16.7</v>
      </c>
      <c r="I47" s="18" t="n">
        <v>17.3</v>
      </c>
      <c r="J47" s="18" t="n">
        <v>18.9</v>
      </c>
      <c r="K47" s="18" t="n">
        <v>22.9</v>
      </c>
      <c r="L47" s="18" t="n">
        <v>25.3</v>
      </c>
      <c r="M47" s="18" t="n">
        <v>25.5</v>
      </c>
      <c r="N47" s="18" t="n">
        <v>25.1</v>
      </c>
      <c r="O47" s="18" t="n">
        <v>26.4</v>
      </c>
      <c r="P47" s="18" t="n">
        <v>27.3</v>
      </c>
      <c r="Q47" s="18" t="n">
        <v>27.5</v>
      </c>
      <c r="R47" s="18" t="n">
        <v>27.4</v>
      </c>
      <c r="S47" s="18" t="n">
        <v>28.3</v>
      </c>
      <c r="T47" s="18" t="n">
        <v>30.2</v>
      </c>
      <c r="U47" s="18" t="n">
        <v>28.6</v>
      </c>
      <c r="V47" s="18" t="n">
        <v>29.2</v>
      </c>
      <c r="W47" s="18" t="n">
        <v>29.8</v>
      </c>
      <c r="X47" s="18" t="n">
        <v>35.2</v>
      </c>
      <c r="Y47" s="18" t="n">
        <v>35.8</v>
      </c>
      <c r="Z47" s="18" t="n">
        <v>38.3</v>
      </c>
      <c r="AA47" s="18" t="n">
        <v>38.4</v>
      </c>
      <c r="AB47" s="18" t="n">
        <v>129.8</v>
      </c>
      <c r="AC47" s="18" t="n">
        <v>94.2</v>
      </c>
    </row>
    <row r="48">
      <c r="A48" s="4" t="inlineStr">
        <is>
          <t>Stock-based Compensation</t>
        </is>
      </c>
      <c r="B48" s="18" t="n">
        <v>45</v>
      </c>
      <c r="C48" s="18" t="n">
        <v>42.4</v>
      </c>
      <c r="D48" s="18" t="n">
        <v>43.7</v>
      </c>
      <c r="E48" s="18" t="n">
        <v>44.8</v>
      </c>
      <c r="F48" s="18" t="n">
        <v>48.9</v>
      </c>
      <c r="G48" s="18" t="n">
        <v>49.3</v>
      </c>
      <c r="H48" s="18" t="n">
        <v>48.7</v>
      </c>
      <c r="I48" s="18" t="n">
        <v>49.5</v>
      </c>
      <c r="J48" s="18" t="n">
        <v>52.6</v>
      </c>
      <c r="K48" s="18" t="n">
        <v>52.7</v>
      </c>
      <c r="L48" s="18" t="n">
        <v>53.1</v>
      </c>
      <c r="M48" s="18" t="n">
        <v>53.2</v>
      </c>
      <c r="N48" s="18" t="n">
        <v>54.7</v>
      </c>
      <c r="O48" s="18" t="n">
        <v>54.7</v>
      </c>
      <c r="P48" s="18" t="n">
        <v>54.7</v>
      </c>
      <c r="Q48" s="18" t="n">
        <v>56.3</v>
      </c>
      <c r="R48" s="18" t="n">
        <v>65</v>
      </c>
      <c r="S48" s="18" t="n">
        <v>64.3</v>
      </c>
      <c r="T48" s="18" t="n">
        <v>63.4</v>
      </c>
      <c r="U48" s="18" t="n">
        <v>62.3</v>
      </c>
      <c r="V48" s="18" t="n">
        <v>63.9</v>
      </c>
      <c r="W48" s="18" t="n">
        <v>65.90000000000001</v>
      </c>
      <c r="X48" s="18" t="n">
        <v>65.8</v>
      </c>
      <c r="Y48" s="18" t="n">
        <v>66.09999999999999</v>
      </c>
      <c r="Z48" s="18" t="n">
        <v>69.09999999999999</v>
      </c>
      <c r="AA48" s="18" t="n">
        <v>71.8</v>
      </c>
      <c r="AB48" s="18" t="n">
        <v>73.09999999999999</v>
      </c>
      <c r="AC48" s="18" t="n">
        <v>72.5</v>
      </c>
    </row>
    <row r="49">
      <c r="A49" s="4" t="inlineStr">
        <is>
          <t>Change in Working Capital</t>
        </is>
      </c>
      <c r="B49" s="18" t="n">
        <v>38</v>
      </c>
      <c r="C49" s="18" t="n">
        <v>51.5</v>
      </c>
      <c r="D49" s="18" t="n">
        <v>-13</v>
      </c>
      <c r="E49" s="18" t="n">
        <v>117.4</v>
      </c>
      <c r="F49" s="18" t="n">
        <v>31.9</v>
      </c>
      <c r="G49" s="18" t="n">
        <v>-4.8</v>
      </c>
      <c r="H49" s="18" t="n">
        <v>45.5</v>
      </c>
      <c r="I49" s="18" t="n">
        <v>100.6</v>
      </c>
      <c r="J49" s="18" t="n">
        <v>165.5</v>
      </c>
      <c r="K49" s="18" t="n">
        <v>106.1</v>
      </c>
      <c r="L49" s="18" t="n">
        <v>30.2</v>
      </c>
      <c r="M49" s="18" t="n">
        <v>108</v>
      </c>
      <c r="N49" s="18" t="n">
        <v>-8</v>
      </c>
      <c r="O49" s="18" t="n">
        <v>108.6</v>
      </c>
      <c r="P49" s="18" t="n">
        <v>24.4</v>
      </c>
      <c r="Q49" s="18" t="n">
        <v>257.9</v>
      </c>
      <c r="R49" s="18" t="n">
        <v>86.3</v>
      </c>
      <c r="S49" s="18" t="n">
        <v>67.8</v>
      </c>
      <c r="T49" s="18" t="n">
        <v>-285.9</v>
      </c>
      <c r="U49" s="18" t="n">
        <v>370.5</v>
      </c>
      <c r="V49" s="18" t="n">
        <v>-206.6</v>
      </c>
      <c r="W49" s="18" t="n">
        <v>22.6</v>
      </c>
      <c r="X49" s="18" t="n">
        <v>-207.1</v>
      </c>
      <c r="Y49" s="18" t="n">
        <v>295.8</v>
      </c>
      <c r="Z49" s="18" t="n">
        <v>-159.2</v>
      </c>
      <c r="AA49" s="18" t="n">
        <v>1.3</v>
      </c>
      <c r="AB49" s="18" t="n">
        <v>-134.6</v>
      </c>
      <c r="AC49" s="18" t="n">
        <v>374.8</v>
      </c>
    </row>
    <row r="50">
      <c r="A50" s="4" t="inlineStr">
        <is>
          <t>Operating Cash Flow</t>
        </is>
      </c>
      <c r="B50" s="18" t="n">
        <v>195.1</v>
      </c>
      <c r="C50" s="18" t="n">
        <v>221.2</v>
      </c>
      <c r="D50" s="18" t="n">
        <v>190.4</v>
      </c>
      <c r="E50" s="18" t="n">
        <v>319.4</v>
      </c>
      <c r="F50" s="18" t="n">
        <v>247</v>
      </c>
      <c r="G50" s="18" t="n">
        <v>220.8</v>
      </c>
      <c r="H50" s="18" t="n">
        <v>296.5</v>
      </c>
      <c r="I50" s="18" t="n">
        <v>315.9</v>
      </c>
      <c r="J50" s="18" t="n">
        <v>418.2</v>
      </c>
      <c r="K50" s="18" t="n">
        <v>398.8</v>
      </c>
      <c r="L50" s="18" t="n">
        <v>366.8</v>
      </c>
      <c r="M50" s="18" t="n">
        <v>396.1</v>
      </c>
      <c r="N50" s="18" t="n">
        <v>323.4</v>
      </c>
      <c r="O50" s="18" t="n">
        <v>483</v>
      </c>
      <c r="P50" s="18" t="n">
        <v>528.1</v>
      </c>
      <c r="Q50" s="18" t="n">
        <v>677.5</v>
      </c>
      <c r="R50" s="18" t="n">
        <v>515.1</v>
      </c>
      <c r="S50" s="18" t="n">
        <v>551.2</v>
      </c>
      <c r="T50" s="18" t="n">
        <v>191.7</v>
      </c>
      <c r="U50" s="18" t="n">
        <v>830.4</v>
      </c>
      <c r="V50" s="18" t="n">
        <v>342</v>
      </c>
      <c r="W50" s="18" t="n">
        <v>608.1</v>
      </c>
      <c r="X50" s="18" t="n">
        <v>477.6</v>
      </c>
      <c r="Y50" s="18" t="n">
        <v>863.3</v>
      </c>
      <c r="Z50" s="18" t="n">
        <v>451.9</v>
      </c>
      <c r="AA50" s="18" t="n">
        <v>655.2</v>
      </c>
      <c r="AB50" s="18" t="n">
        <v>620.2</v>
      </c>
      <c r="AC50" s="18" t="n">
        <v>1077.1</v>
      </c>
    </row>
    <row r="51">
      <c r="A51" s="4" t="inlineStr">
        <is>
          <t>Capex</t>
        </is>
      </c>
      <c r="B51" s="18" t="n">
        <v>-17.3</v>
      </c>
      <c r="C51" s="18" t="n">
        <v>-17.5</v>
      </c>
      <c r="D51" s="18" t="n">
        <v>-47.2</v>
      </c>
      <c r="E51" s="18" t="n">
        <v>-27.6</v>
      </c>
      <c r="F51" s="18" t="n">
        <v>-30.9</v>
      </c>
      <c r="G51" s="18" t="n">
        <v>-35.1</v>
      </c>
      <c r="H51" s="18" t="n">
        <v>-32.3</v>
      </c>
      <c r="I51" s="18" t="n">
        <v>-52.1</v>
      </c>
      <c r="J51" s="18" t="n">
        <v>-23.5</v>
      </c>
      <c r="K51" s="18" t="n">
        <v>-69</v>
      </c>
      <c r="L51" s="18" t="n">
        <v>-151.3</v>
      </c>
      <c r="M51" s="18" t="n">
        <v>-122.6</v>
      </c>
      <c r="N51" s="18" t="n">
        <v>-39.9</v>
      </c>
      <c r="O51" s="18" t="n">
        <v>-87.8</v>
      </c>
      <c r="P51" s="18" t="n">
        <v>-30.9</v>
      </c>
      <c r="Q51" s="18" t="n">
        <v>-30.3</v>
      </c>
      <c r="R51" s="18" t="n">
        <v>-76.8</v>
      </c>
      <c r="S51" s="18" t="n">
        <v>-70.09999999999999</v>
      </c>
      <c r="T51" s="18" t="n">
        <v>-26.9</v>
      </c>
      <c r="U51" s="18" t="n">
        <v>-221.9</v>
      </c>
      <c r="V51" s="18" t="n">
        <v>-23.1</v>
      </c>
      <c r="W51" s="18" t="n">
        <v>-36.3</v>
      </c>
      <c r="X51" s="18" t="n">
        <v>-97.59999999999999</v>
      </c>
      <c r="Y51" s="18" t="n">
        <v>-66.5</v>
      </c>
      <c r="Z51" s="18" t="n">
        <v>-167.8</v>
      </c>
      <c r="AA51" s="18" t="n">
        <v>-87.7</v>
      </c>
      <c r="AB51" s="18" t="n">
        <v>-42.8</v>
      </c>
      <c r="AC51" s="18" t="n">
        <v>-70.59999999999999</v>
      </c>
    </row>
    <row r="52">
      <c r="A52" s="4" t="inlineStr">
        <is>
          <t>Free Cash Flow</t>
        </is>
      </c>
      <c r="B52" s="18" t="n">
        <v>177.8</v>
      </c>
      <c r="C52" s="18" t="n">
        <v>203.7</v>
      </c>
      <c r="D52" s="18" t="n">
        <v>143.2</v>
      </c>
      <c r="E52" s="18" t="n">
        <v>291.8</v>
      </c>
      <c r="F52" s="18" t="n">
        <v>216.1</v>
      </c>
      <c r="G52" s="18" t="n">
        <v>185.7</v>
      </c>
      <c r="H52" s="18" t="n">
        <v>264.2</v>
      </c>
      <c r="I52" s="18" t="n">
        <v>263.8</v>
      </c>
      <c r="J52" s="18" t="n">
        <v>394.7</v>
      </c>
      <c r="K52" s="18" t="n">
        <v>329.8</v>
      </c>
      <c r="L52" s="18" t="n">
        <v>215.5</v>
      </c>
      <c r="M52" s="18" t="n">
        <v>273.5</v>
      </c>
      <c r="N52" s="18" t="n">
        <v>283.5</v>
      </c>
      <c r="O52" s="18" t="n">
        <v>395.2</v>
      </c>
      <c r="P52" s="18" t="n">
        <v>497.2</v>
      </c>
      <c r="Q52" s="18" t="n">
        <v>647.2</v>
      </c>
      <c r="R52" s="18" t="n">
        <v>438.3</v>
      </c>
      <c r="S52" s="18" t="n">
        <v>481.1</v>
      </c>
      <c r="T52" s="18" t="n">
        <v>164.8</v>
      </c>
      <c r="U52" s="18" t="n">
        <v>608.5</v>
      </c>
      <c r="V52" s="18" t="n">
        <v>318.9</v>
      </c>
      <c r="W52" s="18" t="n">
        <v>571.8</v>
      </c>
      <c r="X52" s="18" t="n">
        <v>380</v>
      </c>
      <c r="Y52" s="18" t="n">
        <v>796.8</v>
      </c>
      <c r="Z52" s="18" t="n">
        <v>284.1</v>
      </c>
      <c r="AA52" s="18" t="n">
        <v>567.5</v>
      </c>
      <c r="AB52" s="18" t="n">
        <v>577.4</v>
      </c>
      <c r="AC52" s="18" t="n">
        <v>1006.5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7804.822369</v>
      </c>
      <c r="C4" s="18" t="n">
        <v>8632.463976999999</v>
      </c>
      <c r="D4" s="18" t="n">
        <v>9505.274368</v>
      </c>
      <c r="E4" s="18" t="n">
        <v>11227.422341</v>
      </c>
      <c r="F4" s="18" t="n">
        <v>11984.645262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  <c r="F5" s="33">
        <f>Model!K10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4101.765136</v>
      </c>
      <c r="C8" s="18" t="n">
        <v>4536.725899</v>
      </c>
      <c r="D8" s="18" t="n">
        <v>4995.424773</v>
      </c>
      <c r="E8" s="18" t="n">
        <v>5900.486565</v>
      </c>
      <c r="F8" s="18" t="n">
        <v>6298.439322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  <c r="F9" s="33">
        <f>Model!K23+Model!K28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3958.844146</v>
      </c>
      <c r="C12" s="18" t="n">
        <v>4378.649233</v>
      </c>
      <c r="D12" s="18" t="n">
        <v>4821.365305</v>
      </c>
      <c r="E12" s="18" t="n">
        <v>5694.891325</v>
      </c>
      <c r="F12" s="18" t="n">
        <v>6078.977905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  <c r="F13" s="33">
        <f>Model!K23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3194.24957</v>
      </c>
      <c r="C16" s="18" t="n">
        <v>3532.975261</v>
      </c>
      <c r="D16" s="18" t="n">
        <v>3890.187006</v>
      </c>
      <c r="E16" s="18" t="n">
        <v>4595.00387</v>
      </c>
      <c r="F16" s="18" t="n">
        <v>4904.909576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  <c r="F17" s="33">
        <f>Model!K18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2329.930243</v>
      </c>
      <c r="C20" s="18" t="n">
        <v>2267.87591</v>
      </c>
      <c r="D20" s="18" t="n">
        <v>2581.29463</v>
      </c>
      <c r="E20" s="18" t="n">
        <v>2314.873003</v>
      </c>
      <c r="F20" s="18" t="n">
        <v>2469.364923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  <c r="F21" s="33">
        <f>Model!K27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3.15022</v>
      </c>
      <c r="C24" s="47" t="n">
        <v>3.41873</v>
      </c>
      <c r="D24" s="47" t="n">
        <v>3.81317</v>
      </c>
      <c r="E24" s="47" t="n">
        <v>3.09475</v>
      </c>
      <c r="F24" s="47" t="n">
        <v>3.30129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Fortinet,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Financials!AC39</f>
        <v/>
      </c>
    </row>
    <row r="33">
      <c r="A33" s="4" t="inlineStr">
        <is>
          <t>- Long-term debt</t>
        </is>
      </c>
      <c r="B33" s="33">
        <f>-Financials!AC44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0.07512356114122815</v>
      </c>
      <c r="C4" s="51" t="n">
        <v>0.08012356114122815</v>
      </c>
      <c r="D4" s="51" t="n">
        <v>0.08512356114122814</v>
      </c>
      <c r="E4" s="51" t="n">
        <v>0.09012356114122815</v>
      </c>
      <c r="F4" s="51" t="n">
        <v>0.09512356114122815</v>
      </c>
      <c r="G4" s="51" t="n">
        <v>0.1001235611412281</v>
      </c>
      <c r="H4" s="51" t="n">
        <v>0.1051235611412281</v>
      </c>
    </row>
    <row r="5">
      <c r="A5" s="52" t="n">
        <v>9</v>
      </c>
      <c r="B5" s="53" t="n">
        <v>49.06310226246448</v>
      </c>
      <c r="C5" s="53" t="n">
        <v>47.43052546153152</v>
      </c>
      <c r="D5" s="53" t="n">
        <v>45.87239071511339</v>
      </c>
      <c r="E5" s="53" t="n">
        <v>44.38485845755363</v>
      </c>
      <c r="F5" s="53" t="n">
        <v>42.96430637362122</v>
      </c>
      <c r="G5" s="53" t="n">
        <v>41.60731610368684</v>
      </c>
      <c r="H5" s="53" t="n">
        <v>40.31066082116197</v>
      </c>
    </row>
    <row r="6">
      <c r="A6" s="52" t="n">
        <v>10</v>
      </c>
      <c r="B6" s="53" t="n">
        <v>51.89565515670283</v>
      </c>
      <c r="C6" s="53" t="n">
        <v>50.13465459348794</v>
      </c>
      <c r="D6" s="53" t="n">
        <v>48.45447187802631</v>
      </c>
      <c r="E6" s="53" t="n">
        <v>46.85092368940411</v>
      </c>
      <c r="F6" s="53" t="n">
        <v>45.32006394530875</v>
      </c>
      <c r="G6" s="53" t="n">
        <v>43.85816926115088</v>
      </c>
      <c r="H6" s="53" t="n">
        <v>42.46172536430574</v>
      </c>
    </row>
    <row r="7">
      <c r="A7" s="52" t="n">
        <v>11</v>
      </c>
      <c r="B7" s="53" t="n">
        <v>54.72820805094116</v>
      </c>
      <c r="C7" s="53" t="n">
        <v>52.83878372544437</v>
      </c>
      <c r="D7" s="53" t="n">
        <v>51.03655304093925</v>
      </c>
      <c r="E7" s="53" t="n">
        <v>49.31698892125458</v>
      </c>
      <c r="F7" s="53" t="n">
        <v>47.67582151699627</v>
      </c>
      <c r="G7" s="53" t="n">
        <v>46.10902241861492</v>
      </c>
      <c r="H7" s="53" t="n">
        <v>44.61278990744947</v>
      </c>
    </row>
    <row r="8">
      <c r="A8" s="52" t="n">
        <v>12</v>
      </c>
      <c r="B8" s="53" t="n">
        <v>57.56076094517951</v>
      </c>
      <c r="C8" s="53" t="n">
        <v>55.54291285740077</v>
      </c>
      <c r="D8" s="53" t="n">
        <v>53.61863420385217</v>
      </c>
      <c r="E8" s="54" t="n">
        <v>51.78305415310506</v>
      </c>
      <c r="F8" s="53" t="n">
        <v>50.0315790886838</v>
      </c>
      <c r="G8" s="53" t="n">
        <v>48.35987557607896</v>
      </c>
      <c r="H8" s="53" t="n">
        <v>46.76385445059324</v>
      </c>
    </row>
    <row r="9">
      <c r="A9" s="52" t="n">
        <v>13</v>
      </c>
      <c r="B9" s="53" t="n">
        <v>60.39331383941785</v>
      </c>
      <c r="C9" s="53" t="n">
        <v>58.24704198935718</v>
      </c>
      <c r="D9" s="53" t="n">
        <v>56.2007153667651</v>
      </c>
      <c r="E9" s="53" t="n">
        <v>54.24911938495553</v>
      </c>
      <c r="F9" s="53" t="n">
        <v>52.38733666037134</v>
      </c>
      <c r="G9" s="53" t="n">
        <v>50.61072873354301</v>
      </c>
      <c r="H9" s="53" t="n">
        <v>48.91491899373699</v>
      </c>
    </row>
    <row r="10">
      <c r="A10" s="52" t="n">
        <v>14</v>
      </c>
      <c r="B10" s="53" t="n">
        <v>63.22586673365619</v>
      </c>
      <c r="C10" s="53" t="n">
        <v>60.9511711213136</v>
      </c>
      <c r="D10" s="53" t="n">
        <v>58.78279652967802</v>
      </c>
      <c r="E10" s="53" t="n">
        <v>56.71518461680599</v>
      </c>
      <c r="F10" s="53" t="n">
        <v>54.74309423205886</v>
      </c>
      <c r="G10" s="53" t="n">
        <v>52.86158189100704</v>
      </c>
      <c r="H10" s="53" t="n">
        <v>51.06598353688074</v>
      </c>
    </row>
    <row r="11">
      <c r="A11" s="52" t="n">
        <v>15</v>
      </c>
      <c r="B11" s="53" t="n">
        <v>66.05841962789454</v>
      </c>
      <c r="C11" s="53" t="n">
        <v>63.65530025327002</v>
      </c>
      <c r="D11" s="53" t="n">
        <v>61.36487769259096</v>
      </c>
      <c r="E11" s="53" t="n">
        <v>59.18124984865648</v>
      </c>
      <c r="F11" s="53" t="n">
        <v>57.09885180374639</v>
      </c>
      <c r="G11" s="53" t="n">
        <v>55.11243504847109</v>
      </c>
      <c r="H11" s="53" t="n">
        <v>53.2170480800245</v>
      </c>
    </row>
    <row r="13">
      <c r="A13" s="3" t="inlineStr">
        <is>
          <t>Current price</t>
        </is>
      </c>
      <c r="B13" s="53" t="n">
        <v>161.6100006103516</v>
      </c>
    </row>
    <row r="14">
      <c r="A14" s="3" t="inlineStr">
        <is>
          <t>Base WACC / multiple</t>
        </is>
      </c>
      <c r="B14" s="55" t="n">
        <v>0.09012356114122815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0.03563444908524031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1.442827603863317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0.9483726516760821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2026-07-08T07:03:40Z</dcterms:created>
  <dcterms:modified xmlns:dcterms="http://purl.org/dc/terms/" xmlns:xsi="http://www.w3.org/2001/XMLSchema-instance" xsi:type="dcterms:W3CDTF">2026-07-08T07:03:40Z</dcterms:modified>
</cp:coreProperties>
</file>