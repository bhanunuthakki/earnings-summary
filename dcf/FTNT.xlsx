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1" authorId="0" shapeId="0">
      <text>
        <t>builder default</t>
      </text>
    </comment>
    <comment ref="C21" authorId="0" shapeId="0">
      <text>
        <t>builder default</t>
      </text>
    </comment>
    <comment ref="B22" authorId="0" shapeId="0">
      <text>
        <t>builder default</t>
      </text>
    </comment>
    <comment ref="C22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Fortinet, Inc. (FTNT)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Fortinet, Inc. (FTNT)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IF(Model!F38&lt;=0,"n/a (neg. capital)",Model!G40-WACC!B15)</f>
        <v/>
      </c>
      <c r="C15" s="10">
        <f>IF(Model!F38&lt;=0,"n/a",IF(Model!G40-WACC!B15&lt;0,"!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Security Subscription</t>
        </is>
      </c>
      <c r="B20" s="15" t="n">
        <v>0.1164013125472133</v>
      </c>
      <c r="C20" s="15" t="n">
        <v>0.05</v>
      </c>
      <c r="D20" s="16" t="n">
        <v>0.1164013125472133</v>
      </c>
      <c r="E20" s="2" t="inlineStr"/>
    </row>
    <row r="21">
      <c r="A21" s="4" t="inlineStr">
        <is>
          <t>Product</t>
        </is>
      </c>
      <c r="B21" s="15" t="n">
        <v>0.1363437636348828</v>
      </c>
      <c r="C21" s="15" t="n">
        <v>0.05</v>
      </c>
      <c r="D21" s="16" t="n">
        <v>0.1363437636348828</v>
      </c>
      <c r="E21" s="2" t="inlineStr"/>
    </row>
    <row r="22">
      <c r="A22" s="4" t="inlineStr">
        <is>
          <t>Technical Support and Other</t>
        </is>
      </c>
      <c r="B22" s="15" t="n">
        <v>0.1079503930343169</v>
      </c>
      <c r="C22" s="15" t="n">
        <v>0.05</v>
      </c>
      <c r="D22" s="16" t="n">
        <v>0.1079503930343169</v>
      </c>
      <c r="E22" s="2" t="inlineStr"/>
    </row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0.3927953184859849</v>
      </c>
      <c r="D29" s="16" t="n">
        <v>0.3927953184859849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0.2711106003838615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401.28</v>
      </c>
      <c r="D34" s="18" t="n">
        <v>401.28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0.919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0.006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156.25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51.78588880800146</v>
      </c>
      <c r="C58" s="28" t="n">
        <v>70.15223997784784</v>
      </c>
      <c r="D58" s="28" t="n">
        <v>38.14952128425249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0.04119359962350726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0.02471615977410436</v>
      </c>
      <c r="E66" s="2" t="inlineStr">
        <is>
          <t>fades near-&gt;terminal; also burdens the exit-multiple EBITDA</t>
        </is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FTNT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Security Subscription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Security Subscription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Product — near-term growth</t>
        </is>
      </c>
      <c r="B10" t="inlineStr">
        <is>
          <t>B21</t>
        </is>
      </c>
      <c r="C10" s="11">
        <f>Dashboard!B21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Product — terminal growth</t>
        </is>
      </c>
      <c r="B11" t="inlineStr">
        <is>
          <t>C21</t>
        </is>
      </c>
      <c r="C11" s="11">
        <f>Dashboard!C21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Technical Support and Other — near-term growth</t>
        </is>
      </c>
      <c r="B12" t="inlineStr">
        <is>
          <t>B22</t>
        </is>
      </c>
      <c r="C12" s="11">
        <f>Dashboard!B22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Technical Support and Other — terminal growth</t>
        </is>
      </c>
      <c r="B13" t="inlineStr">
        <is>
          <t>C22</t>
        </is>
      </c>
      <c r="C13" s="11">
        <f>Dashboard!C22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Near-term operating margin</t>
        </is>
      </c>
      <c r="B14" t="inlineStr">
        <is>
          <t>B29</t>
        </is>
      </c>
      <c r="C14" s="11">
        <f>Dashboard!B29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Terminal operating margin</t>
        </is>
      </c>
      <c r="B15" t="inlineStr">
        <is>
          <t>B30</t>
        </is>
      </c>
      <c r="C15" s="11">
        <f>Dashboard!B30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Tax rate</t>
        </is>
      </c>
      <c r="B16" t="inlineStr">
        <is>
          <t>B31</t>
        </is>
      </c>
      <c r="C16" s="11">
        <f>Dashboard!B31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Terminal capex / D&amp;A</t>
        </is>
      </c>
      <c r="B17" t="inlineStr">
        <is>
          <t>B35</t>
        </is>
      </c>
      <c r="C17" s="13">
        <f>Dashboard!B35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Risk-free rate (10Y)</t>
        </is>
      </c>
      <c r="B18" t="inlineStr">
        <is>
          <t>B38</t>
        </is>
      </c>
      <c r="C18" s="11">
        <f>Dashboard!B38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Equity risk premium</t>
        </is>
      </c>
      <c r="B19" t="inlineStr">
        <is>
          <t>B39</t>
        </is>
      </c>
      <c r="C19" s="11">
        <f>Dashboard!B39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Beta (levered)</t>
        </is>
      </c>
      <c r="B20" t="inlineStr">
        <is>
          <t>B40</t>
        </is>
      </c>
      <c r="C20" s="32">
        <f>Dashboard!B40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Pre-tax cost of debt</t>
        </is>
      </c>
      <c r="B21" t="inlineStr">
        <is>
          <t>B41</t>
        </is>
      </c>
      <c r="C21" s="11">
        <f>Dashboard!B41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Terminal method</t>
        </is>
      </c>
      <c r="B22" t="inlineStr">
        <is>
          <t>B43</t>
        </is>
      </c>
      <c r="C22" s="12">
        <f>Dashboard!B43</f>
        <v/>
      </c>
      <c r="D22" t="inlineStr">
        <is>
          <t>builder default</t>
        </is>
      </c>
      <c r="E22" t="inlineStr">
        <is>
          <t>—</t>
        </is>
      </c>
      <c r="F22" s="31" t="inlineStr"/>
    </row>
    <row r="23">
      <c r="A23" t="inlineStr">
        <is>
          <t>Exit basis</t>
        </is>
      </c>
      <c r="B23" t="inlineStr">
        <is>
          <t>B44</t>
        </is>
      </c>
      <c r="C23" s="12">
        <f>Dashboard!B44</f>
        <v/>
      </c>
      <c r="D23" t="inlineStr">
        <is>
          <t>builder default</t>
        </is>
      </c>
      <c r="E23" t="inlineStr">
        <is>
          <t>—</t>
        </is>
      </c>
      <c r="F23" s="31" t="inlineStr"/>
    </row>
    <row r="24">
      <c r="A24" t="inlineStr">
        <is>
          <t>Exit multiple</t>
        </is>
      </c>
      <c r="B24" t="inlineStr">
        <is>
          <t>B45</t>
        </is>
      </c>
      <c r="C24" s="13">
        <f>Dashboard!B45</f>
        <v/>
      </c>
      <c r="D24" t="inlineStr">
        <is>
          <t>builder default</t>
        </is>
      </c>
      <c r="E24" t="inlineStr">
        <is>
          <t>—</t>
        </is>
      </c>
      <c r="F24" s="31" t="inlineStr"/>
    </row>
    <row r="25">
      <c r="A25" t="inlineStr">
        <is>
          <t>Terminal growth (g)</t>
        </is>
      </c>
      <c r="B25" t="inlineStr">
        <is>
          <t>B46</t>
        </is>
      </c>
      <c r="C25" s="11">
        <f>Dashboard!B46</f>
        <v/>
      </c>
      <c r="D25" t="inlineStr">
        <is>
          <t>builder default</t>
        </is>
      </c>
      <c r="E25" t="inlineStr">
        <is>
          <t>—</t>
        </is>
      </c>
      <c r="F25" s="31" t="inlineStr"/>
    </row>
    <row r="26">
      <c r="A26" t="inlineStr">
        <is>
          <t>2026 capex ($M)</t>
        </is>
      </c>
      <c r="B26" t="inlineStr">
        <is>
          <t>B34</t>
        </is>
      </c>
      <c r="C26" s="33">
        <f>Dashboard!B34</f>
        <v/>
      </c>
      <c r="D26" t="inlineStr">
        <is>
          <t>builder default</t>
        </is>
      </c>
      <c r="E26" t="inlineStr">
        <is>
          <t>—</t>
        </is>
      </c>
      <c r="F26" s="31" t="inlineStr">
        <is>
          <t>last-year capex +10% unless set to guidance; edits not tracked</t>
        </is>
      </c>
    </row>
    <row r="27">
      <c r="A27" t="inlineStr">
        <is>
          <t>Bull Δ — segment growth, near-term</t>
        </is>
      </c>
      <c r="B27" t="inlineStr">
        <is>
          <t>C52</t>
        </is>
      </c>
      <c r="C27" s="34">
        <f>Dashboard!C52</f>
        <v/>
      </c>
      <c r="D27" t="inlineStr">
        <is>
          <t>seed default</t>
        </is>
      </c>
      <c r="E27" t="inlineStr">
        <is>
          <t>3.0%</t>
        </is>
      </c>
      <c r="F27" s="31" t="inlineStr"/>
    </row>
    <row r="28">
      <c r="A28" t="inlineStr">
        <is>
          <t>Bear Δ — segment growth, near-term</t>
        </is>
      </c>
      <c r="B28" t="inlineStr">
        <is>
          <t>D52</t>
        </is>
      </c>
      <c r="C28" s="34">
        <f>Dashboard!D52</f>
        <v/>
      </c>
      <c r="D28" t="inlineStr">
        <is>
          <t>seed default</t>
        </is>
      </c>
      <c r="E28" t="inlineStr">
        <is>
          <t>-3.0%</t>
        </is>
      </c>
      <c r="F28" s="31" t="inlineStr"/>
    </row>
    <row r="29">
      <c r="A29" t="inlineStr">
        <is>
          <t>Bull Δ — segment growth, terminal</t>
        </is>
      </c>
      <c r="B29" t="inlineStr">
        <is>
          <t>C53</t>
        </is>
      </c>
      <c r="C29" s="34">
        <f>Dashboard!C53</f>
        <v/>
      </c>
      <c r="D29" t="inlineStr">
        <is>
          <t>seed default</t>
        </is>
      </c>
      <c r="E29" t="inlineStr">
        <is>
          <t>1.0%</t>
        </is>
      </c>
      <c r="F29" s="31" t="inlineStr"/>
    </row>
    <row r="30">
      <c r="A30" t="inlineStr">
        <is>
          <t>Bear Δ — segment growth, terminal</t>
        </is>
      </c>
      <c r="B30" t="inlineStr">
        <is>
          <t>D53</t>
        </is>
      </c>
      <c r="C30" s="34">
        <f>Dashboard!D53</f>
        <v/>
      </c>
      <c r="D30" t="inlineStr">
        <is>
          <t>seed default</t>
        </is>
      </c>
      <c r="E30" t="inlineStr">
        <is>
          <t>-1.0%</t>
        </is>
      </c>
      <c r="F30" s="31" t="inlineStr"/>
    </row>
    <row r="31">
      <c r="A31" t="inlineStr">
        <is>
          <t>Bull Δ — operating margin, near-term</t>
        </is>
      </c>
      <c r="B31" t="inlineStr">
        <is>
          <t>C54</t>
        </is>
      </c>
      <c r="C31" s="34">
        <f>Dashboard!C54</f>
        <v/>
      </c>
      <c r="D31" t="inlineStr">
        <is>
          <t>seed default</t>
        </is>
      </c>
      <c r="E31" t="inlineStr">
        <is>
          <t>1.0%</t>
        </is>
      </c>
      <c r="F31" s="31" t="inlineStr"/>
    </row>
    <row r="32">
      <c r="A32" t="inlineStr">
        <is>
          <t>Bear Δ — operating margin, near-term</t>
        </is>
      </c>
      <c r="B32" t="inlineStr">
        <is>
          <t>D54</t>
        </is>
      </c>
      <c r="C32" s="34">
        <f>Dashboard!D54</f>
        <v/>
      </c>
      <c r="D32" t="inlineStr">
        <is>
          <t>seed default</t>
        </is>
      </c>
      <c r="E32" t="inlineStr">
        <is>
          <t>-1.0%</t>
        </is>
      </c>
      <c r="F32" s="31" t="inlineStr"/>
    </row>
    <row r="33">
      <c r="A33" t="inlineStr">
        <is>
          <t>Bull Δ — operating margin, terminal</t>
        </is>
      </c>
      <c r="B33" t="inlineStr">
        <is>
          <t>C55</t>
        </is>
      </c>
      <c r="C33" s="34">
        <f>Dashboard!C55</f>
        <v/>
      </c>
      <c r="D33" t="inlineStr">
        <is>
          <t>seed default</t>
        </is>
      </c>
      <c r="E33" t="inlineStr">
        <is>
          <t>2.0%</t>
        </is>
      </c>
      <c r="F33" s="31" t="inlineStr"/>
    </row>
    <row r="34">
      <c r="A34" t="inlineStr">
        <is>
          <t>Bear Δ — operating margin, terminal</t>
        </is>
      </c>
      <c r="B34" t="inlineStr">
        <is>
          <t>D55</t>
        </is>
      </c>
      <c r="C34" s="34">
        <f>Dashboard!D55</f>
        <v/>
      </c>
      <c r="D34" t="inlineStr">
        <is>
          <t>seed default</t>
        </is>
      </c>
      <c r="E34" t="inlineStr">
        <is>
          <t>-2.0%</t>
        </is>
      </c>
      <c r="F34" s="31" t="inlineStr"/>
    </row>
    <row r="35">
      <c r="A35" t="inlineStr">
        <is>
          <t>Bull Δ — exit multiple</t>
        </is>
      </c>
      <c r="B35" t="inlineStr">
        <is>
          <t>C56</t>
        </is>
      </c>
      <c r="C35" s="35">
        <f>Dashboard!C56</f>
        <v/>
      </c>
      <c r="D35" t="inlineStr">
        <is>
          <t>seed default</t>
        </is>
      </c>
      <c r="E35" t="inlineStr">
        <is>
          <t>2.0x</t>
        </is>
      </c>
      <c r="F35" s="31" t="inlineStr"/>
    </row>
    <row r="36">
      <c r="A36" t="inlineStr">
        <is>
          <t>Bear Δ — exit multiple</t>
        </is>
      </c>
      <c r="B36" t="inlineStr">
        <is>
          <t>D56</t>
        </is>
      </c>
      <c r="C36" s="35">
        <f>Dashboard!D56</f>
        <v/>
      </c>
      <c r="D36" t="inlineStr">
        <is>
          <t>seed default</t>
        </is>
      </c>
      <c r="E36" t="inlineStr">
        <is>
          <t>-2.0x</t>
        </is>
      </c>
      <c r="F36" s="31" t="inlineStr"/>
    </row>
    <row r="37">
      <c r="A37" t="inlineStr">
        <is>
          <t>Bull Δ — terminal growth (g)</t>
        </is>
      </c>
      <c r="B37" t="inlineStr">
        <is>
          <t>C57</t>
        </is>
      </c>
      <c r="C37" s="34">
        <f>Dashboard!C57</f>
        <v/>
      </c>
      <c r="D37" t="inlineStr">
        <is>
          <t>seed default</t>
        </is>
      </c>
      <c r="E37" t="inlineStr">
        <is>
          <t>0.5%</t>
        </is>
      </c>
      <c r="F37" s="31" t="inlineStr"/>
    </row>
    <row r="38">
      <c r="A38" t="inlineStr">
        <is>
          <t>Bear Δ — terminal growth (g)</t>
        </is>
      </c>
      <c r="B38" t="inlineStr">
        <is>
          <t>D57</t>
        </is>
      </c>
      <c r="C38" s="34">
        <f>Dashboard!D57</f>
        <v/>
      </c>
      <c r="D38" t="inlineStr">
        <is>
          <t>seed default</t>
        </is>
      </c>
      <c r="E38" t="inlineStr">
        <is>
          <t>-0.5%</t>
        </is>
      </c>
      <c r="F38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Financials!AC44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Security Subscription</t>
        </is>
      </c>
      <c r="B4" s="33">
        <f>SUM(Financials!I19:L19)</f>
        <v/>
      </c>
      <c r="C4" s="33">
        <f>SUM(Financials!M19:P19)</f>
        <v/>
      </c>
      <c r="D4" s="33">
        <f>SUM(Financials!Q19:T19)</f>
        <v/>
      </c>
      <c r="E4" s="33">
        <f>SUM(Financials!U19:X19)</f>
        <v/>
      </c>
      <c r="F4" s="33">
        <f>SUM(Financials!Y19:AB19)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Product</t>
        </is>
      </c>
      <c r="B6" s="33">
        <f>SUM(Financials!I22:L22)</f>
        <v/>
      </c>
      <c r="C6" s="33">
        <f>SUM(Financials!M22:P22)</f>
        <v/>
      </c>
      <c r="D6" s="33">
        <f>SUM(Financials!Q22:T22)</f>
        <v/>
      </c>
      <c r="E6" s="33">
        <f>SUM(Financials!U22:X22)</f>
        <v/>
      </c>
      <c r="F6" s="33">
        <f>SUM(Financials!Y22:AB22)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Technical Support and Other</t>
        </is>
      </c>
      <c r="B8" s="33">
        <f>SUM(Financials!I25:L25)</f>
        <v/>
      </c>
      <c r="C8" s="33">
        <f>SUM(Financials!M25:P25)</f>
        <v/>
      </c>
      <c r="D8" s="33">
        <f>SUM(Financials!Q25:T25)</f>
        <v/>
      </c>
      <c r="E8" s="33">
        <f>SUM(Financials!U25:X25)</f>
        <v/>
      </c>
      <c r="F8" s="33">
        <f>SUM(Financials!Y25:AB25)</f>
        <v/>
      </c>
      <c r="G8" s="41">
        <f>F8*(1+G9)</f>
        <v/>
      </c>
      <c r="H8" s="41">
        <f>G8*(1+H9)</f>
        <v/>
      </c>
      <c r="I8" s="41">
        <f>H8*(1+I9)</f>
        <v/>
      </c>
      <c r="J8" s="41">
        <f>I8*(1+J9)</f>
        <v/>
      </c>
      <c r="K8" s="41">
        <f>J8*(1+K9)</f>
        <v/>
      </c>
      <c r="L8" s="41">
        <f>K8*(1+L9)</f>
        <v/>
      </c>
      <c r="M8" s="41">
        <f>L8*(1+M9)</f>
        <v/>
      </c>
      <c r="N8" s="41">
        <f>M8*(1+N9)</f>
        <v/>
      </c>
      <c r="O8" s="41">
        <f>N8*(1+O9)</f>
        <v/>
      </c>
      <c r="P8" s="41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3" t="inlineStr">
        <is>
          <t>Total revenue</t>
        </is>
      </c>
      <c r="B10" s="42">
        <f>B4+B6+B8</f>
        <v/>
      </c>
      <c r="C10" s="42">
        <f>C4+C6+C8</f>
        <v/>
      </c>
      <c r="D10" s="42">
        <f>D4+D6+D8</f>
        <v/>
      </c>
      <c r="E10" s="42">
        <f>E4+E6+E8</f>
        <v/>
      </c>
      <c r="F10" s="42">
        <f>F4+F6+F8</f>
        <v/>
      </c>
      <c r="G10" s="42">
        <f>G4+G6+G8</f>
        <v/>
      </c>
      <c r="H10" s="42">
        <f>H4+H6+H8</f>
        <v/>
      </c>
      <c r="I10" s="42">
        <f>I4+I6+I8</f>
        <v/>
      </c>
      <c r="J10" s="42">
        <f>J4+J6+J8</f>
        <v/>
      </c>
      <c r="K10" s="42">
        <f>K4+K6+K8</f>
        <v/>
      </c>
      <c r="L10" s="42">
        <f>L4+L6+L8</f>
        <v/>
      </c>
      <c r="M10" s="42">
        <f>M4+M6+M8</f>
        <v/>
      </c>
      <c r="N10" s="42">
        <f>N4+N6+N8</f>
        <v/>
      </c>
      <c r="O10" s="42">
        <f>O4+O6+O8</f>
        <v/>
      </c>
      <c r="P10" s="42">
        <f>P4+P6+P8</f>
        <v/>
      </c>
    </row>
    <row r="11">
      <c r="A11" s="4" t="inlineStr">
        <is>
          <t xml:space="preserve">    growth %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25">
        <f>IFERROR(G10/F10-1,"")</f>
        <v/>
      </c>
      <c r="H11" s="25">
        <f>IFERROR(H10/G10-1,"")</f>
        <v/>
      </c>
      <c r="I11" s="25">
        <f>IFERROR(I10/H10-1,"")</f>
        <v/>
      </c>
      <c r="J11" s="25">
        <f>IFERROR(J10/I10-1,"")</f>
        <v/>
      </c>
      <c r="K11" s="25">
        <f>IFERROR(K10/J10-1,"")</f>
        <v/>
      </c>
      <c r="L11" s="25">
        <f>IFERROR(L10/K10-1,"")</f>
        <v/>
      </c>
      <c r="M11" s="25">
        <f>IFERROR(M10/L10-1,"")</f>
        <v/>
      </c>
      <c r="N11" s="25">
        <f>IFERROR(N10/M10-1,"")</f>
        <v/>
      </c>
      <c r="O11" s="25">
        <f>IFERROR(O10/N10-1,"")</f>
        <v/>
      </c>
      <c r="P11" s="25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33">
        <f>SUM(Financials!I5:L5)</f>
        <v/>
      </c>
      <c r="C14" s="33">
        <f>SUM(Financials!M5:P5)</f>
        <v/>
      </c>
      <c r="D14" s="33">
        <f>SUM(Financials!Q5:T5)</f>
        <v/>
      </c>
      <c r="E14" s="33">
        <f>SUM(Financials!U5:X5)</f>
        <v/>
      </c>
      <c r="F14" s="33">
        <f>SUM(Financials!Y5:AB5)</f>
        <v/>
      </c>
      <c r="G14" s="41">
        <f>G10*G15</f>
        <v/>
      </c>
      <c r="H14" s="41">
        <f>H10*H15</f>
        <v/>
      </c>
      <c r="I14" s="41">
        <f>I10*I15</f>
        <v/>
      </c>
      <c r="J14" s="41">
        <f>J10*J15</f>
        <v/>
      </c>
      <c r="K14" s="41">
        <f>K10*K15</f>
        <v/>
      </c>
      <c r="L14" s="41">
        <f>L10*L15</f>
        <v/>
      </c>
      <c r="M14" s="41">
        <f>M10*M15</f>
        <v/>
      </c>
      <c r="N14" s="41">
        <f>N10*N15</f>
        <v/>
      </c>
      <c r="O14" s="41">
        <f>O10*O15</f>
        <v/>
      </c>
      <c r="P14" s="41">
        <f>P10*P15</f>
        <v/>
      </c>
    </row>
    <row r="15">
      <c r="A15" s="4" t="inlineStr">
        <is>
          <t xml:space="preserve">    % of revenue</t>
        </is>
      </c>
      <c r="B15" s="25">
        <f>IFERROR(B14/B10,"")</f>
        <v/>
      </c>
      <c r="C15" s="25">
        <f>IFERROR(C14/C10,"")</f>
        <v/>
      </c>
      <c r="D15" s="25">
        <f>IFERROR(D14/D10,"")</f>
        <v/>
      </c>
      <c r="E15" s="25">
        <f>IFERROR(E14/E10,"")</f>
        <v/>
      </c>
      <c r="F15" s="25">
        <f>IFERROR(F14/F10,"")</f>
        <v/>
      </c>
      <c r="G15" s="15" t="n">
        <v>0.191570092358374</v>
      </c>
      <c r="H15" s="15" t="n">
        <v>0.191570092358374</v>
      </c>
      <c r="I15" s="15" t="n">
        <v>0.191570092358374</v>
      </c>
      <c r="J15" s="15" t="n">
        <v>0.191570092358374</v>
      </c>
      <c r="K15" s="15" t="n">
        <v>0.191570092358374</v>
      </c>
      <c r="L15" s="15" t="n">
        <v>0.191570092358374</v>
      </c>
      <c r="M15" s="15" t="n">
        <v>0.191570092358374</v>
      </c>
      <c r="N15" s="15" t="n">
        <v>0.191570092358374</v>
      </c>
      <c r="O15" s="15" t="n">
        <v>0.191570092358374</v>
      </c>
      <c r="P15" s="15" t="n">
        <v>0.191570092358374</v>
      </c>
    </row>
    <row r="16">
      <c r="A16" s="4" t="inlineStr">
        <is>
          <t>R&amp;D / Technology</t>
        </is>
      </c>
      <c r="B16" s="33">
        <f>SUM(Financials!I7:L7)</f>
        <v/>
      </c>
      <c r="C16" s="33">
        <f>SUM(Financials!M7:P7)</f>
        <v/>
      </c>
      <c r="D16" s="33">
        <f>SUM(Financials!Q7:T7)</f>
        <v/>
      </c>
      <c r="E16" s="33">
        <f>SUM(Financials!U7:X7)</f>
        <v/>
      </c>
      <c r="F16" s="33">
        <f>SUM(Financials!Y7:AB7)</f>
        <v/>
      </c>
      <c r="G16" s="41">
        <f>G10*G17</f>
        <v/>
      </c>
      <c r="H16" s="41">
        <f>H10*H17</f>
        <v/>
      </c>
      <c r="I16" s="41">
        <f>I10*I17</f>
        <v/>
      </c>
      <c r="J16" s="41">
        <f>J10*J17</f>
        <v/>
      </c>
      <c r="K16" s="41">
        <f>K10*K17</f>
        <v/>
      </c>
      <c r="L16" s="41">
        <f>L10*L17</f>
        <v/>
      </c>
      <c r="M16" s="41">
        <f>M10*M17</f>
        <v/>
      </c>
      <c r="N16" s="41">
        <f>N10*N17</f>
        <v/>
      </c>
      <c r="O16" s="41">
        <f>O10*O17</f>
        <v/>
      </c>
      <c r="P16" s="41">
        <f>P10*P17</f>
        <v/>
      </c>
    </row>
    <row r="17">
      <c r="A17" s="4" t="inlineStr">
        <is>
          <t xml:space="preserve">    % of revenue</t>
        </is>
      </c>
      <c r="B17" s="25">
        <f>IFERROR(B16/B10,"")</f>
        <v/>
      </c>
      <c r="C17" s="25">
        <f>IFERROR(C16/C10,"")</f>
        <v/>
      </c>
      <c r="D17" s="25">
        <f>IFERROR(D16/D10,"")</f>
        <v/>
      </c>
      <c r="E17" s="25">
        <f>IFERROR(E16/E10,"")</f>
        <v/>
      </c>
      <c r="F17" s="25">
        <f>IFERROR(F16/F10,"")</f>
        <v/>
      </c>
      <c r="G17" s="15" t="n">
        <v>0.1199335255015001</v>
      </c>
      <c r="H17" s="15" t="n">
        <v>0.1199335255015001</v>
      </c>
      <c r="I17" s="15" t="n">
        <v>0.1199335255015001</v>
      </c>
      <c r="J17" s="15" t="n">
        <v>0.1199335255015001</v>
      </c>
      <c r="K17" s="15" t="n">
        <v>0.1199335255015001</v>
      </c>
      <c r="L17" s="15" t="n">
        <v>0.1199335255015001</v>
      </c>
      <c r="M17" s="15" t="n">
        <v>0.1199335255015001</v>
      </c>
      <c r="N17" s="15" t="n">
        <v>0.1199335255015001</v>
      </c>
      <c r="O17" s="15" t="n">
        <v>0.1199335255015001</v>
      </c>
      <c r="P17" s="15" t="n">
        <v>0.1199335255015001</v>
      </c>
    </row>
    <row r="18">
      <c r="A18" s="4" t="inlineStr">
        <is>
          <t>SG&amp;A</t>
        </is>
      </c>
      <c r="B18" s="33">
        <f>SUM(Financials!I9:L9)</f>
        <v/>
      </c>
      <c r="C18" s="33">
        <f>SUM(Financials!M9:P9)</f>
        <v/>
      </c>
      <c r="D18" s="33">
        <f>SUM(Financials!Q9:T9)</f>
        <v/>
      </c>
      <c r="E18" s="33">
        <f>SUM(Financials!U9:X9)</f>
        <v/>
      </c>
      <c r="F18" s="33">
        <f>SUM(Financials!Y9:AB9)</f>
        <v/>
      </c>
      <c r="G18" s="41">
        <f>G10*G19</f>
        <v/>
      </c>
      <c r="H18" s="41">
        <f>H10*H19</f>
        <v/>
      </c>
      <c r="I18" s="41">
        <f>I10*I19</f>
        <v/>
      </c>
      <c r="J18" s="41">
        <f>J10*J19</f>
        <v/>
      </c>
      <c r="K18" s="41">
        <f>K10*K19</f>
        <v/>
      </c>
      <c r="L18" s="41">
        <f>L10*L19</f>
        <v/>
      </c>
      <c r="M18" s="41">
        <f>M10*M19</f>
        <v/>
      </c>
      <c r="N18" s="41">
        <f>N10*N19</f>
        <v/>
      </c>
      <c r="O18" s="41">
        <f>O10*O19</f>
        <v/>
      </c>
      <c r="P18" s="41">
        <f>P10*P19</f>
        <v/>
      </c>
    </row>
    <row r="19">
      <c r="A19" s="4" t="inlineStr">
        <is>
          <t xml:space="preserve">    % of revenue</t>
        </is>
      </c>
      <c r="B19" s="25">
        <f>IFERROR(B18/B10,"")</f>
        <v/>
      </c>
      <c r="C19" s="25">
        <f>IFERROR(C18/C10,"")</f>
        <v/>
      </c>
      <c r="D19" s="25">
        <f>IFERROR(D18/D10,"")</f>
        <v/>
      </c>
      <c r="E19" s="25">
        <f>IFERROR(E18/E10,"")</f>
        <v/>
      </c>
      <c r="F19" s="25">
        <f>IFERROR(F18/F10,"")</f>
        <v/>
      </c>
      <c r="G19" s="15" t="n">
        <v>0.379566445085005</v>
      </c>
      <c r="H19" s="15" t="n">
        <v>0.379566445085005</v>
      </c>
      <c r="I19" s="15" t="n">
        <v>0.379566445085005</v>
      </c>
      <c r="J19" s="15" t="n">
        <v>0.379566445085005</v>
      </c>
      <c r="K19" s="15" t="n">
        <v>0.379566445085005</v>
      </c>
      <c r="L19" s="15" t="n">
        <v>0.379566445085005</v>
      </c>
      <c r="M19" s="15" t="n">
        <v>0.379566445085005</v>
      </c>
      <c r="N19" s="15" t="n">
        <v>0.379566445085005</v>
      </c>
      <c r="O19" s="15" t="n">
        <v>0.379566445085005</v>
      </c>
      <c r="P19" s="15" t="n">
        <v>0.379566445085005</v>
      </c>
    </row>
    <row r="20">
      <c r="A20" s="4" t="inlineStr">
        <is>
          <t>Other opex (fulfilment, etc.)</t>
        </is>
      </c>
      <c r="B20" s="33">
        <f>B10-(B14+B16+B18)-SUM(Financials!I13:L13)</f>
        <v/>
      </c>
      <c r="C20" s="33">
        <f>C10-(C14+C16+C18)-SUM(Financials!M13:P13)</f>
        <v/>
      </c>
      <c r="D20" s="33">
        <f>D10-(D14+D16+D18)-SUM(Financials!Q13:T13)</f>
        <v/>
      </c>
      <c r="E20" s="33">
        <f>E10-(E14+E16+E18)-SUM(Financials!U13:X13)</f>
        <v/>
      </c>
      <c r="F20" s="33">
        <f>F10-(F14+F16+F18)-SUM(Financials!Y13:AB13)</f>
        <v/>
      </c>
      <c r="G20" s="33">
        <f>G10*(1-(Dashboard!$B$29+(Dashboard!$B$30-Dashboard!$B$29)*MIN(1,0/4)))-(G14+G16+G18)</f>
        <v/>
      </c>
      <c r="H20" s="33">
        <f>H10*(1-(Dashboard!$B$29+(Dashboard!$B$30-Dashboard!$B$29)*MIN(1,1/4)))-(H14+H16+H18)</f>
        <v/>
      </c>
      <c r="I20" s="33">
        <f>I10*(1-(Dashboard!$B$29+(Dashboard!$B$30-Dashboard!$B$29)*MIN(1,2/4)))-(I14+I16+I18)</f>
        <v/>
      </c>
      <c r="J20" s="33">
        <f>J10*(1-(Dashboard!$B$29+(Dashboard!$B$30-Dashboard!$B$29)*MIN(1,3/4)))-(J14+J16+J18)</f>
        <v/>
      </c>
      <c r="K20" s="33">
        <f>K10*(1-(Dashboard!$B$29+(Dashboard!$B$30-Dashboard!$B$29)*MIN(1,4/4)))-(K14+K16+K18)</f>
        <v/>
      </c>
      <c r="L20" s="33">
        <f>L10*(1-(Dashboard!$B$29+(Dashboard!$B$30-Dashboard!$B$29)*MIN(1,5/4)))-(L14+L16+L18)</f>
        <v/>
      </c>
      <c r="M20" s="33">
        <f>M10*(1-(Dashboard!$B$29+(Dashboard!$B$30-Dashboard!$B$29)*MIN(1,6/4)))-(M14+M16+M18)</f>
        <v/>
      </c>
      <c r="N20" s="33">
        <f>N10*(1-(Dashboard!$B$29+(Dashboard!$B$30-Dashboard!$B$29)*MIN(1,7/4)))-(N14+N16+N18)</f>
        <v/>
      </c>
      <c r="O20" s="33">
        <f>O10*(1-(Dashboard!$B$29+(Dashboard!$B$30-Dashboard!$B$29)*MIN(1,8/4)))-(O14+O16+O18)</f>
        <v/>
      </c>
      <c r="P20" s="33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25">
        <f>IFERROR(B20/B10,"")</f>
        <v/>
      </c>
      <c r="C21" s="25">
        <f>IFERROR(C20/C10,"")</f>
        <v/>
      </c>
      <c r="D21" s="25">
        <f>IFERROR(D20/D10,"")</f>
        <v/>
      </c>
      <c r="E21" s="25">
        <f>IFERROR(E20/E10,"")</f>
        <v/>
      </c>
      <c r="F21" s="25">
        <f>IFERROR(F20/F10,"")</f>
        <v/>
      </c>
      <c r="G21" s="25">
        <f>IFERROR(G20/G10,"")</f>
        <v/>
      </c>
      <c r="H21" s="25">
        <f>IFERROR(H20/H10,"")</f>
        <v/>
      </c>
      <c r="I21" s="25">
        <f>IFERROR(I20/I10,"")</f>
        <v/>
      </c>
      <c r="J21" s="25">
        <f>IFERROR(J20/J10,"")</f>
        <v/>
      </c>
      <c r="K21" s="25">
        <f>IFERROR(K20/K10,"")</f>
        <v/>
      </c>
      <c r="L21" s="25">
        <f>IFERROR(L20/L10,"")</f>
        <v/>
      </c>
      <c r="M21" s="25">
        <f>IFERROR(M20/M10,"")</f>
        <v/>
      </c>
      <c r="N21" s="25">
        <f>IFERROR(N20/N10,"")</f>
        <v/>
      </c>
      <c r="O21" s="25">
        <f>IFERROR(O20/O10,"")</f>
        <v/>
      </c>
      <c r="P21" s="25">
        <f>IFERROR(P20/P10,"")</f>
        <v/>
      </c>
    </row>
    <row r="23">
      <c r="A23" s="3" t="inlineStr">
        <is>
          <t>Operating income (EBIT)</t>
        </is>
      </c>
      <c r="B23" s="42">
        <f>B10-(B14+B16+B18)-B20</f>
        <v/>
      </c>
      <c r="C23" s="42">
        <f>C10-(C14+C16+C18)-C20</f>
        <v/>
      </c>
      <c r="D23" s="42">
        <f>D10-(D14+D16+D18)-D20</f>
        <v/>
      </c>
      <c r="E23" s="42">
        <f>E10-(E14+E16+E18)-E20</f>
        <v/>
      </c>
      <c r="F23" s="42">
        <f>F10-(F14+F16+F18)-F20</f>
        <v/>
      </c>
      <c r="G23" s="42">
        <f>G10-(G14+G16+G18)-G20</f>
        <v/>
      </c>
      <c r="H23" s="42">
        <f>H10-(H14+H16+H18)-H20</f>
        <v/>
      </c>
      <c r="I23" s="42">
        <f>I10-(I14+I16+I18)-I20</f>
        <v/>
      </c>
      <c r="J23" s="42">
        <f>J10-(J14+J16+J18)-J20</f>
        <v/>
      </c>
      <c r="K23" s="42">
        <f>K10-(K14+K16+K18)-K20</f>
        <v/>
      </c>
      <c r="L23" s="42">
        <f>L10-(L14+L16+L18)-L20</f>
        <v/>
      </c>
      <c r="M23" s="42">
        <f>M10-(M14+M16+M18)-M20</f>
        <v/>
      </c>
      <c r="N23" s="42">
        <f>N10-(N14+N16+N18)-N20</f>
        <v/>
      </c>
      <c r="O23" s="42">
        <f>O10-(O14+O16+O18)-O20</f>
        <v/>
      </c>
      <c r="P23" s="42">
        <f>P10-(P14+P16+P18)-P20</f>
        <v/>
      </c>
    </row>
    <row r="24">
      <c r="A24" s="4" t="inlineStr">
        <is>
          <t xml:space="preserve">    operating margin</t>
        </is>
      </c>
      <c r="B24" s="25">
        <f>IFERROR(B23/B10,"")</f>
        <v/>
      </c>
      <c r="C24" s="25">
        <f>IFERROR(C23/C10,"")</f>
        <v/>
      </c>
      <c r="D24" s="25">
        <f>IFERROR(D23/D10,"")</f>
        <v/>
      </c>
      <c r="E24" s="25">
        <f>IFERROR(E23/E10,"")</f>
        <v/>
      </c>
      <c r="F24" s="25">
        <f>IFERROR(F23/F10,"")</f>
        <v/>
      </c>
      <c r="G24" s="25">
        <f>IFERROR(G23/G10,"")</f>
        <v/>
      </c>
      <c r="H24" s="25">
        <f>IFERROR(H23/H10,"")</f>
        <v/>
      </c>
      <c r="I24" s="25">
        <f>IFERROR(I23/I10,"")</f>
        <v/>
      </c>
      <c r="J24" s="25">
        <f>IFERROR(J23/J10,"")</f>
        <v/>
      </c>
      <c r="K24" s="25">
        <f>IFERROR(K23/K10,"")</f>
        <v/>
      </c>
      <c r="L24" s="25">
        <f>IFERROR(L23/L10,"")</f>
        <v/>
      </c>
      <c r="M24" s="25">
        <f>IFERROR(M23/M10,"")</f>
        <v/>
      </c>
      <c r="N24" s="25">
        <f>IFERROR(N23/N10,"")</f>
        <v/>
      </c>
      <c r="O24" s="25">
        <f>IFERROR(O23/O10,"")</f>
        <v/>
      </c>
      <c r="P24" s="25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33">
        <f>B23*(1-Valuation!$B$5)</f>
        <v/>
      </c>
      <c r="C27" s="33">
        <f>C23*(1-Valuation!$B$5)</f>
        <v/>
      </c>
      <c r="D27" s="33">
        <f>D23*(1-Valuation!$B$5)</f>
        <v/>
      </c>
      <c r="E27" s="33">
        <f>E23*(1-Valuation!$B$5)</f>
        <v/>
      </c>
      <c r="F27" s="33">
        <f>F23*(1-Valuation!$B$5)</f>
        <v/>
      </c>
      <c r="G27" s="33">
        <f>G23*(1-Valuation!$B$5)</f>
        <v/>
      </c>
      <c r="H27" s="33">
        <f>H23*(1-Valuation!$B$5)</f>
        <v/>
      </c>
      <c r="I27" s="33">
        <f>I23*(1-Valuation!$B$5)</f>
        <v/>
      </c>
      <c r="J27" s="33">
        <f>J23*(1-Valuation!$B$5)</f>
        <v/>
      </c>
      <c r="K27" s="33">
        <f>K23*(1-Valuation!$B$5)</f>
        <v/>
      </c>
      <c r="L27" s="33">
        <f>L23*(1-Valuation!$B$5)</f>
        <v/>
      </c>
      <c r="M27" s="33">
        <f>M23*(1-Valuation!$B$5)</f>
        <v/>
      </c>
      <c r="N27" s="33">
        <f>N23*(1-Valuation!$B$5)</f>
        <v/>
      </c>
      <c r="O27" s="33">
        <f>O23*(1-Valuation!$B$5)</f>
        <v/>
      </c>
      <c r="P27" s="33">
        <f>P23*(1-Valuation!$B$5)</f>
        <v/>
      </c>
    </row>
    <row r="28">
      <c r="A28" s="4" t="inlineStr">
        <is>
          <t>+ D&amp;A</t>
        </is>
      </c>
      <c r="B28" s="33">
        <f>SUM(Financials!I47:L47)</f>
        <v/>
      </c>
      <c r="C28" s="33">
        <f>SUM(Financials!M47:P47)</f>
        <v/>
      </c>
      <c r="D28" s="33">
        <f>SUM(Financials!Q47:T47)</f>
        <v/>
      </c>
      <c r="E28" s="33">
        <f>SUM(Financials!U47:X47)</f>
        <v/>
      </c>
      <c r="F28" s="33">
        <f>SUM(Financials!Y47:AB47)</f>
        <v/>
      </c>
      <c r="G28" s="41">
        <f>G10*0.0356</f>
        <v/>
      </c>
      <c r="H28" s="41">
        <f>H10*0.0356</f>
        <v/>
      </c>
      <c r="I28" s="41">
        <f>I10*0.0356</f>
        <v/>
      </c>
      <c r="J28" s="41">
        <f>J10*0.0356</f>
        <v/>
      </c>
      <c r="K28" s="41">
        <f>K10*0.0356</f>
        <v/>
      </c>
      <c r="L28" s="41">
        <f>L10*0.0356</f>
        <v/>
      </c>
      <c r="M28" s="41">
        <f>M10*0.0356</f>
        <v/>
      </c>
      <c r="N28" s="41">
        <f>N10*0.0356</f>
        <v/>
      </c>
      <c r="O28" s="41">
        <f>O10*0.0356</f>
        <v/>
      </c>
      <c r="P28" s="41">
        <f>P10*0.0356</f>
        <v/>
      </c>
    </row>
    <row r="29">
      <c r="A29" s="4" t="inlineStr">
        <is>
          <t>+ SBC (non-cash)</t>
        </is>
      </c>
      <c r="B29" s="33">
        <f>SUM(Financials!I48:L48)</f>
        <v/>
      </c>
      <c r="C29" s="33">
        <f>SUM(Financials!M48:P48)</f>
        <v/>
      </c>
      <c r="D29" s="33">
        <f>SUM(Financials!Q48:T48)</f>
        <v/>
      </c>
      <c r="E29" s="33">
        <f>SUM(Financials!U48:X48)</f>
        <v/>
      </c>
      <c r="F29" s="33">
        <f>SUM(Financials!Y48:AB48)</f>
        <v/>
      </c>
      <c r="G29" s="33">
        <f>G10*(Dashboard!$B$65+(Dashboard!$B$66-Dashboard!$B$65)*0/9)</f>
        <v/>
      </c>
      <c r="H29" s="33">
        <f>H10*(Dashboard!$B$65+(Dashboard!$B$66-Dashboard!$B$65)*1/9)</f>
        <v/>
      </c>
      <c r="I29" s="33">
        <f>I10*(Dashboard!$B$65+(Dashboard!$B$66-Dashboard!$B$65)*2/9)</f>
        <v/>
      </c>
      <c r="J29" s="33">
        <f>J10*(Dashboard!$B$65+(Dashboard!$B$66-Dashboard!$B$65)*3/9)</f>
        <v/>
      </c>
      <c r="K29" s="33">
        <f>K10*(Dashboard!$B$65+(Dashboard!$B$66-Dashboard!$B$65)*4/9)</f>
        <v/>
      </c>
      <c r="L29" s="33">
        <f>L10*(Dashboard!$B$65+(Dashboard!$B$66-Dashboard!$B$65)*5/9)</f>
        <v/>
      </c>
      <c r="M29" s="33">
        <f>M10*(Dashboard!$B$65+(Dashboard!$B$66-Dashboard!$B$65)*6/9)</f>
        <v/>
      </c>
      <c r="N29" s="33">
        <f>N10*(Dashboard!$B$65+(Dashboard!$B$66-Dashboard!$B$65)*7/9)</f>
        <v/>
      </c>
      <c r="O29" s="33">
        <f>O10*(Dashboard!$B$65+(Dashboard!$B$66-Dashboard!$B$65)*8/9)</f>
        <v/>
      </c>
      <c r="P29" s="33">
        <f>P10*(Dashboard!$B$65+(Dashboard!$B$66-Dashboard!$B$65)*9/9)</f>
        <v/>
      </c>
    </row>
    <row r="30">
      <c r="A30" s="4" t="inlineStr">
        <is>
          <t>- dNWC</t>
        </is>
      </c>
      <c r="G30" s="41">
        <f>(G10-F10)*0.0050</f>
        <v/>
      </c>
      <c r="H30" s="41">
        <f>(H10-G10)*0.0050</f>
        <v/>
      </c>
      <c r="I30" s="41">
        <f>(I10-H10)*0.0050</f>
        <v/>
      </c>
      <c r="J30" s="41">
        <f>(J10-I10)*0.0050</f>
        <v/>
      </c>
      <c r="K30" s="41">
        <f>(K10-J10)*0.0050</f>
        <v/>
      </c>
      <c r="L30" s="41">
        <f>(L10-K10)*0.0050</f>
        <v/>
      </c>
      <c r="M30" s="41">
        <f>(M10-L10)*0.0050</f>
        <v/>
      </c>
      <c r="N30" s="41">
        <f>(N10-M10)*0.0050</f>
        <v/>
      </c>
      <c r="O30" s="41">
        <f>(O10-N10)*0.0050</f>
        <v/>
      </c>
      <c r="P30" s="41">
        <f>(P10-O10)*0.0050</f>
        <v/>
      </c>
    </row>
    <row r="31">
      <c r="A31" s="4" t="inlineStr">
        <is>
          <t>- Capex</t>
        </is>
      </c>
      <c r="B31" s="33">
        <f>-SUM(Financials!I51:L51)</f>
        <v/>
      </c>
      <c r="C31" s="33">
        <f>-SUM(Financials!M51:P51)</f>
        <v/>
      </c>
      <c r="D31" s="33">
        <f>-SUM(Financials!Q51:T51)</f>
        <v/>
      </c>
      <c r="E31" s="33">
        <f>-SUM(Financials!U51:X51)</f>
        <v/>
      </c>
      <c r="F31" s="33">
        <f>-SUM(Financials!Y51:AB51)</f>
        <v/>
      </c>
      <c r="G31" s="41">
        <f>G28*G32</f>
        <v/>
      </c>
      <c r="H31" s="41">
        <f>H28*H32</f>
        <v/>
      </c>
      <c r="I31" s="41">
        <f>I28*I32</f>
        <v/>
      </c>
      <c r="J31" s="41">
        <f>J28*J32</f>
        <v/>
      </c>
      <c r="K31" s="41">
        <f>K28*K32</f>
        <v/>
      </c>
      <c r="L31" s="41">
        <f>L28*L32</f>
        <v/>
      </c>
      <c r="M31" s="41">
        <f>M28*M32</f>
        <v/>
      </c>
      <c r="N31" s="41">
        <f>N28*N32</f>
        <v/>
      </c>
      <c r="O31" s="41">
        <f>O28*O32</f>
        <v/>
      </c>
      <c r="P31" s="41">
        <f>P28*P32</f>
        <v/>
      </c>
    </row>
    <row r="32">
      <c r="A32" s="4" t="inlineStr">
        <is>
          <t xml:space="preserve">    Capex / D&amp;A  (from Dashboard: $cap'26 -&gt; terminal)</t>
        </is>
      </c>
      <c r="B32" s="26">
        <f>IFERROR(B31/B28,"")</f>
        <v/>
      </c>
      <c r="C32" s="26">
        <f>IFERROR(C31/C28,"")</f>
        <v/>
      </c>
      <c r="D32" s="26">
        <f>IFERROR(D31/D28,"")</f>
        <v/>
      </c>
      <c r="E32" s="26">
        <f>IFERROR(E31/E28,"")</f>
        <v/>
      </c>
      <c r="F32" s="26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42">
        <f>B27+B28+B29-B30-B31</f>
        <v/>
      </c>
      <c r="C34" s="42">
        <f>C27+C28+C29-C30-C31</f>
        <v/>
      </c>
      <c r="D34" s="42">
        <f>D27+D28+D29-D30-D31</f>
        <v/>
      </c>
      <c r="E34" s="42">
        <f>E27+E28+E29-E30-E31</f>
        <v/>
      </c>
      <c r="F34" s="42">
        <f>F27+F28+F29-F30-F31</f>
        <v/>
      </c>
      <c r="G34" s="42">
        <f>G27+G28+G29-G30-G31</f>
        <v/>
      </c>
      <c r="H34" s="42">
        <f>H27+H28+H29-H30-H31</f>
        <v/>
      </c>
      <c r="I34" s="42">
        <f>I27+I28+I29-I30-I31</f>
        <v/>
      </c>
      <c r="J34" s="42">
        <f>J27+J28+J29-J30-J31</f>
        <v/>
      </c>
      <c r="K34" s="42">
        <f>K27+K28+K29-K30-K31</f>
        <v/>
      </c>
      <c r="L34" s="42">
        <f>L27+L28+L29-L30-L31</f>
        <v/>
      </c>
      <c r="M34" s="42">
        <f>M27+M28+M29-M30-M31</f>
        <v/>
      </c>
      <c r="N34" s="42">
        <f>N27+N28+N29-N30-N31</f>
        <v/>
      </c>
      <c r="O34" s="42">
        <f>O27+O28+O29-O30-O31</f>
        <v/>
      </c>
      <c r="P34" s="42">
        <f>P27+P28+P29-P30-P31</f>
        <v/>
      </c>
    </row>
    <row r="35">
      <c r="A35" s="3" t="inlineStr">
        <is>
          <t>Valuation FCF (NOPAT + D&amp;A - dNWC - Capex - after-tax SBC)</t>
        </is>
      </c>
      <c r="B35" s="43">
        <f>B34-B29-B29*(1-Valuation!$B$5)</f>
        <v/>
      </c>
      <c r="C35" s="43">
        <f>C34-C29-C29*(1-Valuation!$B$5)</f>
        <v/>
      </c>
      <c r="D35" s="43">
        <f>D34-D29-D29*(1-Valuation!$B$5)</f>
        <v/>
      </c>
      <c r="E35" s="43">
        <f>E34-E29-E29*(1-Valuation!$B$5)</f>
        <v/>
      </c>
      <c r="F35" s="43">
        <f>F34-F29-F29*(1-Valuation!$B$5)</f>
        <v/>
      </c>
      <c r="G35" s="43">
        <f>G34-G29-G29*(1-Valuation!$B$5)</f>
        <v/>
      </c>
      <c r="H35" s="43">
        <f>H34-H29-H29*(1-Valuation!$B$5)</f>
        <v/>
      </c>
      <c r="I35" s="43">
        <f>I34-I29-I29*(1-Valuation!$B$5)</f>
        <v/>
      </c>
      <c r="J35" s="43">
        <f>J34-J29-J29*(1-Valuation!$B$5)</f>
        <v/>
      </c>
      <c r="K35" s="43">
        <f>K34-K29-K29*(1-Valuation!$B$5)</f>
        <v/>
      </c>
      <c r="L35" s="43">
        <f>L34-L29-L29*(1-Valuation!$B$5)</f>
        <v/>
      </c>
      <c r="M35" s="43">
        <f>M34-M29-M29*(1-Valuation!$B$5)</f>
        <v/>
      </c>
      <c r="N35" s="43">
        <f>N34-N29-N29*(1-Valuation!$B$5)</f>
        <v/>
      </c>
      <c r="O35" s="43">
        <f>O34-O29-O29*(1-Valuation!$B$5)</f>
        <v/>
      </c>
      <c r="P35" s="43">
        <f>P34-P29-P29*(1-Valuation!$B$5)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33">
        <f>Financials!L45+Financials!L44-Financials!L39</f>
        <v/>
      </c>
      <c r="C38" s="33">
        <f>Financials!P45+Financials!P44-Financials!P39</f>
        <v/>
      </c>
      <c r="D38" s="33">
        <f>Financials!T45+Financials!T44-Financials!T39</f>
        <v/>
      </c>
      <c r="E38" s="33">
        <f>Financials!X45+Financials!X44-Financials!X39</f>
        <v/>
      </c>
      <c r="F38" s="33">
        <f>Financials!AB45+Financials!AB44-Financials!AB39</f>
        <v/>
      </c>
      <c r="G38" s="41">
        <f>F38+G31-G28+G30</f>
        <v/>
      </c>
      <c r="H38" s="41">
        <f>G38+H31-H28+H30</f>
        <v/>
      </c>
      <c r="I38" s="41">
        <f>H38+I31-I28+I30</f>
        <v/>
      </c>
      <c r="J38" s="41">
        <f>I38+J31-J28+J30</f>
        <v/>
      </c>
      <c r="K38" s="41">
        <f>J38+K31-K28+K30</f>
        <v/>
      </c>
      <c r="L38" s="41">
        <f>K38+L31-L28+L30</f>
        <v/>
      </c>
      <c r="M38" s="41">
        <f>L38+M31-M28+M30</f>
        <v/>
      </c>
      <c r="N38" s="41">
        <f>M38+N31-N28+N30</f>
        <v/>
      </c>
      <c r="O38" s="41">
        <f>N38+O31-O28+O30</f>
        <v/>
      </c>
      <c r="P38" s="41">
        <f>O38+P31-P28+P30</f>
        <v/>
      </c>
    </row>
    <row r="39">
      <c r="A39" s="4" t="inlineStr">
        <is>
          <t>Book equity (year-end)</t>
        </is>
      </c>
      <c r="B39" s="33">
        <f>Financials!L45</f>
        <v/>
      </c>
      <c r="C39" s="33">
        <f>Financials!P45</f>
        <v/>
      </c>
      <c r="D39" s="33">
        <f>Financials!T45</f>
        <v/>
      </c>
      <c r="E39" s="33">
        <f>Financials!X45</f>
        <v/>
      </c>
      <c r="F39" s="33">
        <f>Financials!AB45</f>
        <v/>
      </c>
      <c r="G39" s="41">
        <f>F39+G27</f>
        <v/>
      </c>
      <c r="H39" s="41">
        <f>G39+H27</f>
        <v/>
      </c>
      <c r="I39" s="41">
        <f>H39+I27</f>
        <v/>
      </c>
      <c r="J39" s="41">
        <f>I39+J27</f>
        <v/>
      </c>
      <c r="K39" s="41">
        <f>J39+K27</f>
        <v/>
      </c>
      <c r="L39" s="41">
        <f>K39+L27</f>
        <v/>
      </c>
      <c r="M39" s="41">
        <f>L39+M27</f>
        <v/>
      </c>
      <c r="N39" s="41">
        <f>M39+N27</f>
        <v/>
      </c>
      <c r="O39" s="41">
        <f>N39+O27</f>
        <v/>
      </c>
      <c r="P39" s="41">
        <f>O39+P27</f>
        <v/>
      </c>
    </row>
    <row r="40">
      <c r="A40" s="3" t="inlineStr">
        <is>
          <t xml:space="preserve">  ROIC (NOPAT / beg. invested capital)</t>
        </is>
      </c>
      <c r="C40" s="25">
        <f>IFERROR(C27/B38,"")</f>
        <v/>
      </c>
      <c r="D40" s="25">
        <f>IFERROR(D27/C38,"")</f>
        <v/>
      </c>
      <c r="E40" s="25">
        <f>IFERROR(E27/D38,"")</f>
        <v/>
      </c>
      <c r="F40" s="25">
        <f>IFERROR(F27/E38,"")</f>
        <v/>
      </c>
      <c r="G40" s="25">
        <f>IFERROR(G27/F38,"")</f>
        <v/>
      </c>
      <c r="H40" s="25">
        <f>IFERROR(H27/G38,"")</f>
        <v/>
      </c>
      <c r="I40" s="25">
        <f>IFERROR(I27/H38,"")</f>
        <v/>
      </c>
      <c r="J40" s="25">
        <f>IFERROR(J27/I38,"")</f>
        <v/>
      </c>
      <c r="K40" s="25">
        <f>IFERROR(K27/J38,"")</f>
        <v/>
      </c>
      <c r="L40" s="25">
        <f>IFERROR(L27/K38,"")</f>
        <v/>
      </c>
      <c r="M40" s="25">
        <f>IFERROR(M27/L38,"")</f>
        <v/>
      </c>
      <c r="N40" s="25">
        <f>IFERROR(N27/M38,"")</f>
        <v/>
      </c>
      <c r="O40" s="25">
        <f>IFERROR(O27/N38,"")</f>
        <v/>
      </c>
      <c r="P40" s="25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IFERROR(SUM(Financials!M15:P15)/B39,"")</f>
        <v/>
      </c>
      <c r="D41" s="11">
        <f>IFERROR(SUM(Financials!Q15:T15)/C39,"")</f>
        <v/>
      </c>
      <c r="E41" s="11">
        <f>IFERROR(SUM(Financials!U15:X15)/D39,"")</f>
        <v/>
      </c>
      <c r="F41" s="11">
        <f>IFERROR(SUM(Financials!Y15:AB15)/E39,"")</f>
        <v/>
      </c>
      <c r="G41" s="25">
        <f>IFERROR(G27/F39,"")</f>
        <v/>
      </c>
      <c r="H41" s="25">
        <f>IFERROR(H27/G39,"")</f>
        <v/>
      </c>
      <c r="I41" s="25">
        <f>IFERROR(I27/H39,"")</f>
        <v/>
      </c>
      <c r="J41" s="25">
        <f>IFERROR(J27/I39,"")</f>
        <v/>
      </c>
      <c r="K41" s="25">
        <f>IFERROR(K27/J39,"")</f>
        <v/>
      </c>
      <c r="L41" s="25">
        <f>IFERROR(L27/K39,"")</f>
        <v/>
      </c>
      <c r="M41" s="25">
        <f>IFERROR(M27/L39,"")</f>
        <v/>
      </c>
      <c r="N41" s="25">
        <f>IFERROR(N27/M39,"")</f>
        <v/>
      </c>
      <c r="O41" s="25">
        <f>IFERROR(O27/N39,"")</f>
        <v/>
      </c>
      <c r="P41" s="25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IFERROR(C40-WACC!$B$15,"")</f>
        <v/>
      </c>
      <c r="D42" s="11">
        <f>IFERROR(D40-WACC!$B$15,"")</f>
        <v/>
      </c>
      <c r="E42" s="11">
        <f>IFERROR(E40-WACC!$B$15,"")</f>
        <v/>
      </c>
      <c r="F42" s="11">
        <f>IFERROR(F40-WACC!$B$15,"")</f>
        <v/>
      </c>
      <c r="G42" s="11">
        <f>IFERROR(G40-WACC!$B$15,"")</f>
        <v/>
      </c>
      <c r="H42" s="11">
        <f>IFERROR(H40-WACC!$B$15,"")</f>
        <v/>
      </c>
      <c r="I42" s="11">
        <f>IFERROR(I40-WACC!$B$15,"")</f>
        <v/>
      </c>
      <c r="J42" s="11">
        <f>IFERROR(J40-WACC!$B$15,"")</f>
        <v/>
      </c>
      <c r="K42" s="11">
        <f>IFERROR(K40-WACC!$B$15,"")</f>
        <v/>
      </c>
      <c r="L42" s="11">
        <f>IFERROR(L40-WACC!$B$15,"")</f>
        <v/>
      </c>
      <c r="M42" s="11">
        <f>IFERROR(M40-WACC!$B$15,"")</f>
        <v/>
      </c>
      <c r="N42" s="11">
        <f>IFERROR(N40-WACC!$B$15,"")</f>
        <v/>
      </c>
      <c r="O42" s="11">
        <f>IFERROR(O40-WACC!$B$15,"")</f>
        <v/>
      </c>
      <c r="P42" s="11">
        <f>IFERROR(P40-WACC!$B$15,"")</f>
        <v/>
      </c>
    </row>
    <row r="43">
      <c r="A43" s="4" t="inlineStr">
        <is>
          <t xml:space="preserve">  Incremental op margin (ΔEBIT / ΔRev)</t>
        </is>
      </c>
      <c r="C43" s="25">
        <f>IFERROR((C23-B23)/(C10-B10),"")</f>
        <v/>
      </c>
      <c r="D43" s="25">
        <f>IFERROR((D23-C23)/(D10-C10),"")</f>
        <v/>
      </c>
      <c r="E43" s="25">
        <f>IFERROR((E23-D23)/(E10-D10),"")</f>
        <v/>
      </c>
      <c r="F43" s="25">
        <f>IFERROR((F23-E23)/(F10-E10),"")</f>
        <v/>
      </c>
      <c r="G43" s="25">
        <f>IFERROR((G23-F23)/(G10-F10),"")</f>
        <v/>
      </c>
      <c r="H43" s="25">
        <f>IFERROR((H23-G23)/(H10-G10),"")</f>
        <v/>
      </c>
      <c r="I43" s="25">
        <f>IFERROR((I23-H23)/(I10-H10),"")</f>
        <v/>
      </c>
      <c r="J43" s="25">
        <f>IFERROR((J23-I23)/(J10-I10),"")</f>
        <v/>
      </c>
      <c r="K43" s="25">
        <f>IFERROR((K23-J23)/(K10-J10),"")</f>
        <v/>
      </c>
      <c r="L43" s="25">
        <f>IFERROR((L23-K23)/(L10-K10),"")</f>
        <v/>
      </c>
      <c r="M43" s="25">
        <f>IFERROR((M23-L23)/(M10-L10),"")</f>
        <v/>
      </c>
      <c r="N43" s="25">
        <f>IFERROR((N23-M23)/(N10-M10),"")</f>
        <v/>
      </c>
      <c r="O43" s="25">
        <f>IFERROR((O23-N23)/(O10-N10),"")</f>
        <v/>
      </c>
      <c r="P43" s="25">
        <f>IFERROR((P23-O23)/(P10-O10),"")</f>
        <v/>
      </c>
    </row>
    <row r="44">
      <c r="A44" s="3" t="inlineStr">
        <is>
          <t xml:space="preserve">  ROIIC (ΔNOPAT / ΔInvested capital)</t>
        </is>
      </c>
      <c r="C44" s="25">
        <f>IFERROR((C27-B27)/(C38-B38),"")</f>
        <v/>
      </c>
      <c r="D44" s="25">
        <f>IFERROR((D27-C27)/(D38-C38),"")</f>
        <v/>
      </c>
      <c r="E44" s="25">
        <f>IFERROR((E27-D27)/(E38-D38),"")</f>
        <v/>
      </c>
      <c r="F44" s="25">
        <f>IFERROR((F27-E27)/(F38-E38),"")</f>
        <v/>
      </c>
      <c r="G44" s="25">
        <f>IFERROR((G27-F27)/(G38-F38),"")</f>
        <v/>
      </c>
      <c r="H44" s="25">
        <f>IFERROR((H27-G27)/(H38-G38),"")</f>
        <v/>
      </c>
      <c r="I44" s="25">
        <f>IFERROR((I27-H27)/(I38-H38),"")</f>
        <v/>
      </c>
      <c r="J44" s="25">
        <f>IFERROR((J27-I27)/(J38-I38),"")</f>
        <v/>
      </c>
      <c r="K44" s="25">
        <f>IFERROR((K27-J27)/(K38-J38),"")</f>
        <v/>
      </c>
      <c r="L44" s="25">
        <f>IFERROR((L27-K27)/(L38-K38),"")</f>
        <v/>
      </c>
      <c r="M44" s="25">
        <f>IFERROR((M27-L27)/(M38-L38),"")</f>
        <v/>
      </c>
      <c r="N44" s="25">
        <f>IFERROR((N27-M27)/(N38-M38),"")</f>
        <v/>
      </c>
      <c r="O44" s="25">
        <f>IFERROR((O27-N27)/(O38-N38),"")</f>
        <v/>
      </c>
      <c r="P44" s="25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44">
        <f>IFERROR((C10-B10)/(C38-B38),"")</f>
        <v/>
      </c>
      <c r="D45" s="44">
        <f>IFERROR((D10-C10)/(D38-C38),"")</f>
        <v/>
      </c>
      <c r="E45" s="44">
        <f>IFERROR((E10-D10)/(E38-D38),"")</f>
        <v/>
      </c>
      <c r="F45" s="44">
        <f>IFERROR((F10-E10)/(F38-E38),"")</f>
        <v/>
      </c>
      <c r="G45" s="44">
        <f>IFERROR((G10-F10)/(G38-F38),"")</f>
        <v/>
      </c>
      <c r="H45" s="44">
        <f>IFERROR((H10-G10)/(H38-G38),"")</f>
        <v/>
      </c>
      <c r="I45" s="44">
        <f>IFERROR((I10-H10)/(I38-H38),"")</f>
        <v/>
      </c>
      <c r="J45" s="44">
        <f>IFERROR((J10-I10)/(J38-I38),"")</f>
        <v/>
      </c>
      <c r="K45" s="44">
        <f>IFERROR((K10-J10)/(K38-J38),"")</f>
        <v/>
      </c>
      <c r="L45" s="44">
        <f>IFERROR((L10-K10)/(L38-K38),"")</f>
        <v/>
      </c>
      <c r="M45" s="44">
        <f>IFERROR((M10-L10)/(M38-L38),"")</f>
        <v/>
      </c>
      <c r="N45" s="44">
        <f>IFERROR((N10-M10)/(N38-M38),"")</f>
        <v/>
      </c>
      <c r="O45" s="44">
        <f>IFERROR((O10-N10)/(O38-N38),"")</f>
        <v/>
      </c>
      <c r="P45" s="44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5">
        <f>IFERROR((C38-B38)/C27,"")</f>
        <v/>
      </c>
      <c r="D46" s="25">
        <f>IFERROR((D38-C38)/D27,"")</f>
        <v/>
      </c>
      <c r="E46" s="25">
        <f>IFERROR((E38-D38)/E27,"")</f>
        <v/>
      </c>
      <c r="F46" s="25">
        <f>IFERROR((F38-E38)/F27,"")</f>
        <v/>
      </c>
      <c r="G46" s="25">
        <f>IFERROR((G38-F38)/G27,"")</f>
        <v/>
      </c>
      <c r="H46" s="25">
        <f>IFERROR((H38-G38)/H27,"")</f>
        <v/>
      </c>
      <c r="I46" s="25">
        <f>IFERROR((I38-H38)/I27,"")</f>
        <v/>
      </c>
      <c r="J46" s="25">
        <f>IFERROR((J38-I38)/J27,"")</f>
        <v/>
      </c>
      <c r="K46" s="25">
        <f>IFERROR((K38-J38)/K27,"")</f>
        <v/>
      </c>
      <c r="L46" s="25">
        <f>IFERROR((L38-K38)/L27,"")</f>
        <v/>
      </c>
      <c r="M46" s="25">
        <f>IFERROR((M38-L38)/M27,"")</f>
        <v/>
      </c>
      <c r="N46" s="25">
        <f>IFERROR((N38-M38)/N27,"")</f>
        <v/>
      </c>
      <c r="O46" s="25">
        <f>IFERROR((O38-N38)/O27,"")</f>
        <v/>
      </c>
      <c r="P46" s="25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521.7</v>
      </c>
      <c r="C3" s="18" t="n">
        <v>548.1</v>
      </c>
      <c r="D3" s="18" t="n">
        <v>614.4</v>
      </c>
      <c r="E3" s="18" t="n">
        <v>577.7</v>
      </c>
      <c r="F3" s="18" t="n">
        <v>617.6</v>
      </c>
      <c r="G3" s="18" t="n">
        <v>651.1</v>
      </c>
      <c r="H3" s="18" t="n">
        <v>748</v>
      </c>
      <c r="I3" s="18" t="n">
        <v>710.3</v>
      </c>
      <c r="J3" s="18" t="n">
        <v>801.1</v>
      </c>
      <c r="K3" s="18" t="n">
        <v>867.2</v>
      </c>
      <c r="L3" s="18" t="n">
        <v>963.6</v>
      </c>
      <c r="M3" s="18" t="n">
        <v>954.8</v>
      </c>
      <c r="N3" s="18" t="n">
        <v>1030.1</v>
      </c>
      <c r="O3" s="18" t="n">
        <v>1149.5</v>
      </c>
      <c r="P3" s="18" t="n">
        <v>1283</v>
      </c>
      <c r="Q3" s="18" t="n">
        <v>1262.3</v>
      </c>
      <c r="R3" s="18" t="n">
        <v>1292.8</v>
      </c>
      <c r="S3" s="18" t="n">
        <v>1334.6</v>
      </c>
      <c r="T3" s="18" t="n">
        <v>1415.1</v>
      </c>
      <c r="U3" s="18" t="n">
        <v>1353.3</v>
      </c>
      <c r="V3" s="18" t="n">
        <v>1434.3</v>
      </c>
      <c r="W3" s="18" t="n">
        <v>1508.1</v>
      </c>
      <c r="X3" s="18" t="n">
        <v>1660.1</v>
      </c>
      <c r="Y3" s="18" t="n">
        <v>1539.7</v>
      </c>
      <c r="Z3" s="18" t="n">
        <v>1630</v>
      </c>
      <c r="AA3" s="18" t="n">
        <v>1724.9</v>
      </c>
      <c r="AB3" s="18" t="n">
        <v>1905</v>
      </c>
      <c r="AC3" s="18" t="n">
        <v>1849.6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128.3</v>
      </c>
      <c r="C5" s="18" t="n">
        <v>124.1</v>
      </c>
      <c r="D5" s="18" t="n">
        <v>140.5</v>
      </c>
      <c r="E5" s="18" t="n">
        <v>128.7</v>
      </c>
      <c r="F5" s="18" t="n">
        <v>135.1</v>
      </c>
      <c r="G5" s="18" t="n">
        <v>139.2</v>
      </c>
      <c r="H5" s="18" t="n">
        <v>167</v>
      </c>
      <c r="I5" s="18" t="n">
        <v>156.6</v>
      </c>
      <c r="J5" s="18" t="n">
        <v>186.9</v>
      </c>
      <c r="K5" s="18" t="n">
        <v>211.2</v>
      </c>
      <c r="L5" s="18" t="n">
        <v>228.3</v>
      </c>
      <c r="M5" s="18" t="n">
        <v>253.8</v>
      </c>
      <c r="N5" s="18" t="n">
        <v>250.8</v>
      </c>
      <c r="O5" s="18" t="n">
        <v>283</v>
      </c>
      <c r="P5" s="18" t="n">
        <v>297.3</v>
      </c>
      <c r="Q5" s="18" t="n">
        <v>307.8</v>
      </c>
      <c r="R5" s="18" t="n">
        <v>295.8</v>
      </c>
      <c r="S5" s="18" t="n">
        <v>317.7</v>
      </c>
      <c r="T5" s="18" t="n">
        <v>315.9</v>
      </c>
      <c r="U5" s="18" t="n">
        <v>304.7</v>
      </c>
      <c r="V5" s="18" t="n">
        <v>275</v>
      </c>
      <c r="W5" s="18" t="n">
        <v>263.4</v>
      </c>
      <c r="X5" s="18" t="n">
        <v>314.5</v>
      </c>
      <c r="Y5" s="18" t="n">
        <v>293.1</v>
      </c>
      <c r="Z5" s="18" t="n">
        <v>301.7</v>
      </c>
      <c r="AA5" s="18" t="n">
        <v>318.6</v>
      </c>
      <c r="AB5" s="18" t="n">
        <v>389.2</v>
      </c>
      <c r="AC5" s="18" t="n">
        <v>364.5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67.40000000000001</v>
      </c>
      <c r="C7" s="18" t="n">
        <v>69.90000000000001</v>
      </c>
      <c r="D7" s="18" t="n">
        <v>71.2</v>
      </c>
      <c r="E7" s="18" t="n">
        <v>80.3</v>
      </c>
      <c r="F7" s="18" t="n">
        <v>82.09999999999999</v>
      </c>
      <c r="G7" s="18" t="n">
        <v>90</v>
      </c>
      <c r="H7" s="18" t="n">
        <v>89</v>
      </c>
      <c r="I7" s="18" t="n">
        <v>97.2</v>
      </c>
      <c r="J7" s="18" t="n">
        <v>106.6</v>
      </c>
      <c r="K7" s="18" t="n">
        <v>107.8</v>
      </c>
      <c r="L7" s="18" t="n">
        <v>112.6</v>
      </c>
      <c r="M7" s="18" t="n">
        <v>124.9</v>
      </c>
      <c r="N7" s="18" t="n">
        <v>124.3</v>
      </c>
      <c r="O7" s="18" t="n">
        <v>134.3</v>
      </c>
      <c r="P7" s="18" t="n">
        <v>128.9</v>
      </c>
      <c r="Q7" s="18" t="n">
        <v>151.1</v>
      </c>
      <c r="R7" s="18" t="n">
        <v>153.3</v>
      </c>
      <c r="S7" s="18" t="n">
        <v>156.9</v>
      </c>
      <c r="T7" s="18" t="n">
        <v>152.5</v>
      </c>
      <c r="U7" s="18" t="n">
        <v>173</v>
      </c>
      <c r="V7" s="18" t="n">
        <v>165.4</v>
      </c>
      <c r="W7" s="18" t="n">
        <v>187.3</v>
      </c>
      <c r="X7" s="18" t="n">
        <v>191.1</v>
      </c>
      <c r="Y7" s="18" t="n">
        <v>198.6</v>
      </c>
      <c r="Z7" s="18" t="n">
        <v>209.5</v>
      </c>
      <c r="AA7" s="18" t="n">
        <v>202.4</v>
      </c>
      <c r="AB7" s="18" t="n">
        <v>205</v>
      </c>
      <c r="AC7" s="18" t="n">
        <v>214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250.8</v>
      </c>
      <c r="C9" s="18" t="n">
        <v>253.5</v>
      </c>
      <c r="D9" s="18" t="n">
        <v>284.3</v>
      </c>
      <c r="E9" s="18" t="n">
        <v>288.8</v>
      </c>
      <c r="F9" s="18" t="n">
        <v>282.7</v>
      </c>
      <c r="G9" s="18" t="n">
        <v>296.1</v>
      </c>
      <c r="H9" s="18" t="n">
        <v>323.8</v>
      </c>
      <c r="I9" s="18" t="n">
        <v>336</v>
      </c>
      <c r="J9" s="18" t="n">
        <v>361.3</v>
      </c>
      <c r="K9" s="18" t="n">
        <v>382.9</v>
      </c>
      <c r="L9" s="18" t="n">
        <v>409</v>
      </c>
      <c r="M9" s="18" t="n">
        <v>426.2</v>
      </c>
      <c r="N9" s="18" t="n">
        <v>460.9</v>
      </c>
      <c r="O9" s="18" t="n">
        <v>467.8</v>
      </c>
      <c r="P9" s="18" t="n">
        <v>500.2</v>
      </c>
      <c r="Q9" s="18" t="n">
        <v>531.1</v>
      </c>
      <c r="R9" s="18" t="n">
        <v>565.8</v>
      </c>
      <c r="S9" s="18" t="n">
        <v>557.9</v>
      </c>
      <c r="T9" s="18" t="n">
        <v>562.5</v>
      </c>
      <c r="U9" s="18" t="n">
        <v>555.5</v>
      </c>
      <c r="V9" s="18" t="n">
        <v>557.9</v>
      </c>
      <c r="W9" s="18" t="n">
        <v>587.6</v>
      </c>
      <c r="X9" s="18" t="n">
        <v>581.6</v>
      </c>
      <c r="Y9" s="18" t="n">
        <v>600.5</v>
      </c>
      <c r="Z9" s="18" t="n">
        <v>648.9</v>
      </c>
      <c r="AA9" s="18" t="n">
        <v>644.9</v>
      </c>
      <c r="AB9" s="18" t="n">
        <v>686.6</v>
      </c>
      <c r="AC9" s="18" t="n">
        <v>692.5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393.4</v>
      </c>
      <c r="C11" s="18" t="n">
        <v>424</v>
      </c>
      <c r="D11" s="18" t="n">
        <v>473.9</v>
      </c>
      <c r="E11" s="18" t="n">
        <v>449</v>
      </c>
      <c r="F11" s="18" t="n">
        <v>482.5</v>
      </c>
      <c r="G11" s="18" t="n">
        <v>511.9</v>
      </c>
      <c r="H11" s="18" t="n">
        <v>581</v>
      </c>
      <c r="I11" s="18" t="n">
        <v>553.7</v>
      </c>
      <c r="J11" s="18" t="n">
        <v>614.2</v>
      </c>
      <c r="K11" s="18" t="n">
        <v>656</v>
      </c>
      <c r="L11" s="18" t="n">
        <v>735.3</v>
      </c>
      <c r="M11" s="18" t="n">
        <v>701</v>
      </c>
      <c r="N11" s="18" t="n">
        <v>779.3</v>
      </c>
      <c r="O11" s="18" t="n">
        <v>866.5</v>
      </c>
      <c r="P11" s="18" t="n">
        <v>985.7</v>
      </c>
      <c r="Q11" s="18" t="n">
        <v>954.5</v>
      </c>
      <c r="R11" s="18" t="n">
        <v>997</v>
      </c>
      <c r="S11" s="18" t="n">
        <v>1016.9</v>
      </c>
      <c r="T11" s="18" t="n">
        <v>1099.2</v>
      </c>
      <c r="U11" s="18" t="n">
        <v>1048.6</v>
      </c>
      <c r="V11" s="18" t="n">
        <v>1159.3</v>
      </c>
      <c r="W11" s="18" t="n">
        <v>1244.7</v>
      </c>
      <c r="X11" s="18" t="n">
        <v>1345.6</v>
      </c>
      <c r="Y11" s="18" t="n">
        <v>1246.6</v>
      </c>
      <c r="Z11" s="18" t="n">
        <v>1328.3</v>
      </c>
      <c r="AA11" s="18" t="n">
        <v>1406.3</v>
      </c>
      <c r="AB11" s="18" t="n">
        <v>1515.8</v>
      </c>
      <c r="AC11" s="18" t="n">
        <v>1485.1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75.2</v>
      </c>
      <c r="C13" s="18" t="n">
        <v>100.6</v>
      </c>
      <c r="D13" s="18" t="n">
        <v>118.4</v>
      </c>
      <c r="E13" s="18" t="n">
        <v>116.7</v>
      </c>
      <c r="F13" s="18" t="n">
        <v>118.8</v>
      </c>
      <c r="G13" s="18" t="n">
        <v>126.9</v>
      </c>
      <c r="H13" s="18" t="n">
        <v>169.4</v>
      </c>
      <c r="I13" s="18" t="n">
        <v>121.6</v>
      </c>
      <c r="J13" s="18" t="n">
        <v>147.5</v>
      </c>
      <c r="K13" s="18" t="n">
        <v>166.4</v>
      </c>
      <c r="L13" s="18" t="n">
        <v>214.9</v>
      </c>
      <c r="M13" s="18" t="n">
        <v>151</v>
      </c>
      <c r="N13" s="18" t="n">
        <v>195.3</v>
      </c>
      <c r="O13" s="18" t="n">
        <v>265.5</v>
      </c>
      <c r="P13" s="18" t="n">
        <v>357.8</v>
      </c>
      <c r="Q13" s="18" t="n">
        <v>273.5</v>
      </c>
      <c r="R13" s="18" t="n">
        <v>279</v>
      </c>
      <c r="S13" s="18" t="n">
        <v>303.2</v>
      </c>
      <c r="T13" s="18" t="n">
        <v>385.4</v>
      </c>
      <c r="U13" s="18" t="n">
        <v>321.2</v>
      </c>
      <c r="V13" s="18" t="n">
        <v>437.2</v>
      </c>
      <c r="W13" s="18" t="n">
        <v>470.9</v>
      </c>
      <c r="X13" s="18" t="n">
        <v>574.1</v>
      </c>
      <c r="Y13" s="18" t="n">
        <v>453.8</v>
      </c>
      <c r="Z13" s="18" t="n">
        <v>456.7</v>
      </c>
      <c r="AA13" s="18" t="n">
        <v>545.9</v>
      </c>
      <c r="AB13" s="18" t="n">
        <v>625.6</v>
      </c>
      <c r="AC13" s="18" t="n">
        <v>580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72.7</v>
      </c>
      <c r="C15" s="18" t="n">
        <v>80.2</v>
      </c>
      <c r="D15" s="18" t="n">
        <v>115.2</v>
      </c>
      <c r="E15" s="18" t="n">
        <v>104.6</v>
      </c>
      <c r="F15" s="18" t="n">
        <v>113.8</v>
      </c>
      <c r="G15" s="18" t="n">
        <v>123.4</v>
      </c>
      <c r="H15" s="18" t="n">
        <v>146.7</v>
      </c>
      <c r="I15" s="18" t="n">
        <v>107.2</v>
      </c>
      <c r="J15" s="18" t="n">
        <v>137.5</v>
      </c>
      <c r="K15" s="18" t="n">
        <v>163.1</v>
      </c>
      <c r="L15" s="18" t="n">
        <v>199</v>
      </c>
      <c r="M15" s="18" t="n">
        <v>138.4</v>
      </c>
      <c r="N15" s="18" t="n">
        <v>173.5</v>
      </c>
      <c r="O15" s="18" t="n">
        <v>231.6</v>
      </c>
      <c r="P15" s="18" t="n">
        <v>313.8</v>
      </c>
      <c r="Q15" s="18" t="n">
        <v>247.7</v>
      </c>
      <c r="R15" s="18" t="n">
        <v>266.3</v>
      </c>
      <c r="S15" s="18" t="n">
        <v>322.9</v>
      </c>
      <c r="T15" s="18" t="n">
        <v>310.9</v>
      </c>
      <c r="U15" s="18" t="n">
        <v>299.3</v>
      </c>
      <c r="V15" s="18" t="n">
        <v>379.8</v>
      </c>
      <c r="W15" s="18" t="n">
        <v>539.9</v>
      </c>
      <c r="X15" s="18" t="n">
        <v>526.2</v>
      </c>
      <c r="Y15" s="18" t="n">
        <v>433.4</v>
      </c>
      <c r="Z15" s="18" t="n">
        <v>440.1</v>
      </c>
      <c r="AA15" s="18" t="n">
        <v>473.9</v>
      </c>
      <c r="AB15" s="18" t="n">
        <v>506</v>
      </c>
      <c r="AC15" s="18" t="n">
        <v>534.5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875.5</v>
      </c>
      <c r="C17" s="18" t="n">
        <v>874</v>
      </c>
      <c r="D17" s="18" t="n">
        <v>876</v>
      </c>
      <c r="E17" s="18" t="n">
        <v>871</v>
      </c>
      <c r="F17" s="18" t="n">
        <v>827</v>
      </c>
      <c r="G17" s="18" t="n">
        <v>828</v>
      </c>
      <c r="H17" s="18" t="n">
        <v>827.5</v>
      </c>
      <c r="I17" s="18" t="n">
        <v>832</v>
      </c>
      <c r="J17" s="18" t="n">
        <v>835.4</v>
      </c>
      <c r="K17" s="18" t="n">
        <v>838.6</v>
      </c>
      <c r="L17" s="18" t="n">
        <v>835</v>
      </c>
      <c r="M17" s="18" t="n">
        <v>821</v>
      </c>
      <c r="N17" s="18" t="n">
        <v>810.1</v>
      </c>
      <c r="O17" s="18" t="n">
        <v>798.6</v>
      </c>
      <c r="P17" s="18" t="n">
        <v>791.8</v>
      </c>
      <c r="Q17" s="18" t="n">
        <v>793.4</v>
      </c>
      <c r="R17" s="18" t="n">
        <v>795.9</v>
      </c>
      <c r="S17" s="18" t="n">
        <v>791.2</v>
      </c>
      <c r="T17" s="18" t="n">
        <v>772.3</v>
      </c>
      <c r="U17" s="18" t="n">
        <v>770.5</v>
      </c>
      <c r="V17" s="18" t="n">
        <v>769.9</v>
      </c>
      <c r="W17" s="18" t="n">
        <v>771.9</v>
      </c>
      <c r="X17" s="18" t="n">
        <v>775.2</v>
      </c>
      <c r="Y17" s="18" t="n">
        <v>776.8</v>
      </c>
      <c r="Z17" s="18" t="n">
        <v>774.8</v>
      </c>
      <c r="AA17" s="18" t="n">
        <v>770.2</v>
      </c>
      <c r="AB17" s="18" t="n">
        <v>748</v>
      </c>
      <c r="AC17" s="18" t="n">
        <v>742.8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Security Subscription</t>
        </is>
      </c>
      <c r="B19" s="18" t="n">
        <v>183.1</v>
      </c>
      <c r="C19" s="18" t="n">
        <v>192.8</v>
      </c>
      <c r="D19" s="18" t="n">
        <v>205.4</v>
      </c>
      <c r="E19" s="18" t="n">
        <v>211.4</v>
      </c>
      <c r="F19" s="18" t="n">
        <v>222.6</v>
      </c>
      <c r="G19" s="18" t="n">
        <v>235.4</v>
      </c>
      <c r="H19" s="18" t="n">
        <v>249.3</v>
      </c>
      <c r="I19" s="18" t="n">
        <v>255.3</v>
      </c>
      <c r="J19" s="18" t="n">
        <v>272.9</v>
      </c>
      <c r="K19" s="18" t="n">
        <v>287.4</v>
      </c>
      <c r="L19" s="18" t="n">
        <v>309.4</v>
      </c>
      <c r="M19" s="18" t="n">
        <v>312.9</v>
      </c>
      <c r="N19" s="18" t="n">
        <v>340.4</v>
      </c>
      <c r="O19" s="18" t="n">
        <v>369.8</v>
      </c>
      <c r="P19" s="18" t="n">
        <v>403.9</v>
      </c>
      <c r="Q19" s="18" t="n">
        <v>421.7</v>
      </c>
      <c r="R19" s="18" t="n">
        <v>457.3</v>
      </c>
      <c r="S19" s="18" t="n">
        <v>494.6</v>
      </c>
      <c r="T19" s="18" t="n">
        <v>524.5</v>
      </c>
      <c r="U19" s="18" t="n">
        <v>536.9</v>
      </c>
      <c r="V19" s="18" t="n">
        <v>558.7</v>
      </c>
      <c r="W19" s="18" t="n">
        <v>595.8</v>
      </c>
      <c r="X19" s="18" t="n">
        <v>625.3</v>
      </c>
      <c r="Y19" s="18" t="n">
        <v>623.1</v>
      </c>
      <c r="Z19" s="18" t="n">
        <v>644.4</v>
      </c>
      <c r="AA19" s="18" t="n">
        <v>672</v>
      </c>
      <c r="AB19" s="18" t="n">
        <v>693.7</v>
      </c>
      <c r="AC19" s="18" t="n">
        <v>694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Product</t>
        </is>
      </c>
      <c r="B22" s="18" t="n">
        <v>189.9</v>
      </c>
      <c r="C22" s="18" t="n">
        <v>197.1</v>
      </c>
      <c r="D22" s="18" t="n">
        <v>238.8</v>
      </c>
      <c r="E22" s="18" t="n">
        <v>192.3</v>
      </c>
      <c r="F22" s="18" t="n">
        <v>211.9</v>
      </c>
      <c r="G22" s="18" t="n">
        <v>223.8</v>
      </c>
      <c r="H22" s="18" t="n">
        <v>288.4</v>
      </c>
      <c r="I22" s="18" t="n">
        <v>240.7</v>
      </c>
      <c r="J22" s="18" t="n">
        <v>298.3</v>
      </c>
      <c r="K22" s="18" t="n">
        <v>337.1</v>
      </c>
      <c r="L22" s="18" t="n">
        <v>378.9</v>
      </c>
      <c r="M22" s="18" t="n">
        <v>371</v>
      </c>
      <c r="N22" s="18" t="n">
        <v>400.7</v>
      </c>
      <c r="O22" s="18" t="n">
        <v>468.7</v>
      </c>
      <c r="P22" s="18" t="n">
        <v>540.1</v>
      </c>
      <c r="Q22" s="18" t="n">
        <v>500.7</v>
      </c>
      <c r="R22" s="18" t="n">
        <v>472.6</v>
      </c>
      <c r="S22" s="18" t="n">
        <v>465.9</v>
      </c>
      <c r="T22" s="18" t="n">
        <v>488.1</v>
      </c>
      <c r="U22" s="18" t="n">
        <v>408.9</v>
      </c>
      <c r="V22" s="18" t="n">
        <v>451.9</v>
      </c>
      <c r="W22" s="18" t="n">
        <v>473.9</v>
      </c>
      <c r="X22" s="18" t="n">
        <v>574</v>
      </c>
      <c r="Y22" s="18" t="n">
        <v>459.1</v>
      </c>
      <c r="Z22" s="18" t="n">
        <v>508.9</v>
      </c>
      <c r="AA22" s="18" t="n">
        <v>559.3</v>
      </c>
      <c r="AB22" s="18" t="n">
        <v>691.1</v>
      </c>
      <c r="AC22" s="18" t="n">
        <v>645.1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Technical Support and Other</t>
        </is>
      </c>
      <c r="B25" s="18" t="n">
        <v>148.7</v>
      </c>
      <c r="C25" s="18" t="n">
        <v>157.6</v>
      </c>
      <c r="D25" s="18" t="n">
        <v>170.2</v>
      </c>
      <c r="E25" s="18" t="n">
        <v>173.2</v>
      </c>
      <c r="F25" s="18" t="n">
        <v>181</v>
      </c>
      <c r="G25" s="18" t="n">
        <v>191.9</v>
      </c>
      <c r="H25" s="18" t="n">
        <v>213.2</v>
      </c>
      <c r="I25" s="18" t="n">
        <v>214.3</v>
      </c>
      <c r="J25" s="18" t="n">
        <v>229.9</v>
      </c>
      <c r="K25" s="18" t="n">
        <v>242.7</v>
      </c>
      <c r="L25" s="18" t="n">
        <v>275.3</v>
      </c>
      <c r="M25" s="18" t="n">
        <v>270.9</v>
      </c>
      <c r="N25" s="18" t="n">
        <v>289</v>
      </c>
      <c r="O25" s="18" t="n">
        <v>311</v>
      </c>
      <c r="P25" s="18" t="n">
        <v>339</v>
      </c>
      <c r="Q25" s="18" t="n">
        <v>339.9</v>
      </c>
      <c r="R25" s="18" t="n">
        <v>362.9</v>
      </c>
      <c r="S25" s="18" t="n">
        <v>374.1</v>
      </c>
      <c r="T25" s="18" t="n">
        <v>402.5</v>
      </c>
      <c r="U25" s="18" t="n">
        <v>407.5</v>
      </c>
      <c r="V25" s="18" t="n">
        <v>423.7</v>
      </c>
      <c r="W25" s="18" t="n">
        <v>438.4</v>
      </c>
      <c r="X25" s="18" t="n">
        <v>460.8</v>
      </c>
      <c r="Y25" s="18" t="n">
        <v>457.5</v>
      </c>
      <c r="Z25" s="18" t="n">
        <v>476.7</v>
      </c>
      <c r="AA25" s="18" t="n">
        <v>493.6</v>
      </c>
      <c r="AB25" s="18" t="n">
        <v>520.2</v>
      </c>
      <c r="AC25" s="18" t="n">
        <v>510.5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5" t="inlineStr">
        <is>
          <t xml:space="preserve">  REVENUE BY SEGMENT — GEOGRAPHY (% YoY, % of revenue)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Europe, Middle East and Africa</t>
        </is>
      </c>
      <c r="B29" s="18" t="n">
        <v>192</v>
      </c>
      <c r="C29" s="18" t="n">
        <v>200.7</v>
      </c>
      <c r="D29" s="18" t="n">
        <v>244</v>
      </c>
      <c r="E29" s="18" t="n">
        <v>220.7</v>
      </c>
      <c r="F29" s="18" t="n">
        <v>228.4</v>
      </c>
      <c r="G29" s="18" t="n">
        <v>243.3</v>
      </c>
      <c r="H29" s="18" t="n">
        <v>299.5</v>
      </c>
      <c r="I29" s="18" t="n">
        <v>275.7</v>
      </c>
      <c r="J29" s="18" t="n">
        <v>306.2</v>
      </c>
      <c r="K29" s="18" t="n">
        <v>323.2</v>
      </c>
      <c r="L29" s="18" t="n">
        <v>370.8</v>
      </c>
      <c r="M29" s="18" t="n">
        <v>346</v>
      </c>
      <c r="N29" s="18" t="n">
        <v>391.8</v>
      </c>
      <c r="O29" s="18" t="n">
        <v>443.9</v>
      </c>
      <c r="P29" s="18" t="n">
        <v>510.1</v>
      </c>
      <c r="Q29" s="18" t="n">
        <v>478.2</v>
      </c>
      <c r="R29" s="18" t="n">
        <v>506.9</v>
      </c>
      <c r="S29" s="18" t="n">
        <v>512.2</v>
      </c>
      <c r="T29" s="18" t="n">
        <v>575.6</v>
      </c>
      <c r="U29" s="18" t="n">
        <v>539.4</v>
      </c>
      <c r="V29" s="18" t="n">
        <v>565.2</v>
      </c>
      <c r="W29" s="18" t="n">
        <v>599.3</v>
      </c>
      <c r="X29" s="18" t="n">
        <v>692.3</v>
      </c>
      <c r="Y29" s="18" t="n">
        <v>628.4</v>
      </c>
      <c r="Z29" s="18" t="n">
        <v>667.1</v>
      </c>
      <c r="AA29" s="18" t="n">
        <v>713.7</v>
      </c>
      <c r="AB29" s="18" t="n">
        <v>825.1</v>
      </c>
      <c r="AC29" s="18" t="n">
        <v>784.8</v>
      </c>
    </row>
    <row r="30">
      <c r="A30" s="4" t="inlineStr">
        <is>
          <t xml:space="preserve">    % YoY</t>
        </is>
      </c>
      <c r="F30" s="25">
        <f>IFERROR(F29/B29-1,"")</f>
        <v/>
      </c>
      <c r="G30" s="25">
        <f>IFERROR(G29/C29-1,"")</f>
        <v/>
      </c>
      <c r="H30" s="25">
        <f>IFERROR(H29/D29-1,"")</f>
        <v/>
      </c>
      <c r="I30" s="25">
        <f>IFERROR(I29/E29-1,"")</f>
        <v/>
      </c>
      <c r="J30" s="25">
        <f>IFERROR(J29/F29-1,"")</f>
        <v/>
      </c>
      <c r="K30" s="25">
        <f>IFERROR(K29/G29-1,"")</f>
        <v/>
      </c>
      <c r="L30" s="25">
        <f>IFERROR(L29/H29-1,"")</f>
        <v/>
      </c>
      <c r="M30" s="25">
        <f>IFERROR(M29/I29-1,"")</f>
        <v/>
      </c>
      <c r="N30" s="25">
        <f>IFERROR(N29/J29-1,"")</f>
        <v/>
      </c>
      <c r="O30" s="25">
        <f>IFERROR(O29/K29-1,"")</f>
        <v/>
      </c>
      <c r="P30" s="25">
        <f>IFERROR(P29/L29-1,"")</f>
        <v/>
      </c>
      <c r="Q30" s="25">
        <f>IFERROR(Q29/M29-1,"")</f>
        <v/>
      </c>
      <c r="R30" s="25">
        <f>IFERROR(R29/N29-1,"")</f>
        <v/>
      </c>
      <c r="S30" s="25">
        <f>IFERROR(S29/O29-1,"")</f>
        <v/>
      </c>
      <c r="T30" s="25">
        <f>IFERROR(T29/P29-1,"")</f>
        <v/>
      </c>
      <c r="U30" s="25">
        <f>IFERROR(U29/Q29-1,"")</f>
        <v/>
      </c>
      <c r="V30" s="25">
        <f>IFERROR(V29/R29-1,"")</f>
        <v/>
      </c>
      <c r="W30" s="25">
        <f>IFERROR(W29/S29-1,"")</f>
        <v/>
      </c>
      <c r="X30" s="25">
        <f>IFERROR(X29/T29-1,"")</f>
        <v/>
      </c>
      <c r="Y30" s="25">
        <f>IFERROR(Y29/U29-1,"")</f>
        <v/>
      </c>
      <c r="Z30" s="25">
        <f>IFERROR(Z29/V29-1,"")</f>
        <v/>
      </c>
      <c r="AA30" s="25">
        <f>IFERROR(AA29/W29-1,"")</f>
        <v/>
      </c>
      <c r="AB30" s="25">
        <f>IFERROR(AB29/X29-1,"")</f>
        <v/>
      </c>
      <c r="AC30" s="25">
        <f>IFERROR(AC29/Y29-1,"")</f>
        <v/>
      </c>
    </row>
    <row r="31">
      <c r="A31" s="4" t="inlineStr">
        <is>
          <t xml:space="preserve">    % of revenue</t>
        </is>
      </c>
      <c r="B31" s="25">
        <f>IFERROR(B29/B3,"")</f>
        <v/>
      </c>
      <c r="C31" s="25">
        <f>IFERROR(C29/C3,"")</f>
        <v/>
      </c>
      <c r="D31" s="25">
        <f>IFERROR(D29/D3,"")</f>
        <v/>
      </c>
      <c r="E31" s="25">
        <f>IFERROR(E29/E3,"")</f>
        <v/>
      </c>
      <c r="F31" s="25">
        <f>IFERROR(F29/F3,"")</f>
        <v/>
      </c>
      <c r="G31" s="25">
        <f>IFERROR(G29/G3,"")</f>
        <v/>
      </c>
      <c r="H31" s="25">
        <f>IFERROR(H29/H3,"")</f>
        <v/>
      </c>
      <c r="I31" s="25">
        <f>IFERROR(I29/I3,"")</f>
        <v/>
      </c>
      <c r="J31" s="25">
        <f>IFERROR(J29/J3,"")</f>
        <v/>
      </c>
      <c r="K31" s="25">
        <f>IFERROR(K29/K3,"")</f>
        <v/>
      </c>
      <c r="L31" s="25">
        <f>IFERROR(L29/L3,"")</f>
        <v/>
      </c>
      <c r="M31" s="25">
        <f>IFERROR(M29/M3,"")</f>
        <v/>
      </c>
      <c r="N31" s="25">
        <f>IFERROR(N29/N3,"")</f>
        <v/>
      </c>
      <c r="O31" s="25">
        <f>IFERROR(O29/O3,"")</f>
        <v/>
      </c>
      <c r="P31" s="25">
        <f>IFERROR(P29/P3,"")</f>
        <v/>
      </c>
      <c r="Q31" s="25">
        <f>IFERROR(Q29/Q3,"")</f>
        <v/>
      </c>
      <c r="R31" s="25">
        <f>IFERROR(R29/R3,"")</f>
        <v/>
      </c>
      <c r="S31" s="25">
        <f>IFERROR(S29/S3,"")</f>
        <v/>
      </c>
      <c r="T31" s="25">
        <f>IFERROR(T29/T3,"")</f>
        <v/>
      </c>
      <c r="U31" s="25">
        <f>IFERROR(U29/U3,"")</f>
        <v/>
      </c>
      <c r="V31" s="25">
        <f>IFERROR(V29/V3,"")</f>
        <v/>
      </c>
      <c r="W31" s="25">
        <f>IFERROR(W29/W3,"")</f>
        <v/>
      </c>
      <c r="X31" s="25">
        <f>IFERROR(X29/X3,"")</f>
        <v/>
      </c>
      <c r="Y31" s="25">
        <f>IFERROR(Y29/Y3,"")</f>
        <v/>
      </c>
      <c r="Z31" s="25">
        <f>IFERROR(Z29/Z3,"")</f>
        <v/>
      </c>
      <c r="AA31" s="25">
        <f>IFERROR(AA29/AA3,"")</f>
        <v/>
      </c>
      <c r="AB31" s="25">
        <f>IFERROR(AB29/AB3,"")</f>
        <v/>
      </c>
      <c r="AC31" s="25">
        <f>IFERROR(AC29/AC3,"")</f>
        <v/>
      </c>
    </row>
    <row r="32">
      <c r="A32" s="4" t="inlineStr">
        <is>
          <t>Americas</t>
        </is>
      </c>
      <c r="B32" s="18" t="n">
        <v>225.5</v>
      </c>
      <c r="C32" s="18" t="n">
        <v>240.7</v>
      </c>
      <c r="D32" s="18" t="n">
        <v>250.6</v>
      </c>
      <c r="E32" s="18" t="n">
        <v>242.2</v>
      </c>
      <c r="F32" s="18" t="n">
        <v>260.2</v>
      </c>
      <c r="G32" s="18" t="n">
        <v>272.4</v>
      </c>
      <c r="H32" s="18" t="n">
        <v>302.4</v>
      </c>
      <c r="I32" s="18" t="n">
        <v>290.9</v>
      </c>
      <c r="J32" s="18" t="n">
        <v>337</v>
      </c>
      <c r="K32" s="18" t="n">
        <v>350.1</v>
      </c>
      <c r="L32" s="18" t="n">
        <v>380.8</v>
      </c>
      <c r="M32" s="18" t="n">
        <v>382.6</v>
      </c>
      <c r="N32" s="18" t="n">
        <v>413.6</v>
      </c>
      <c r="O32" s="18" t="n">
        <v>467.6</v>
      </c>
      <c r="P32" s="18" t="n">
        <v>521.2</v>
      </c>
      <c r="Q32" s="18" t="n">
        <v>523.5</v>
      </c>
      <c r="R32" s="18" t="n">
        <v>537</v>
      </c>
      <c r="S32" s="18" t="n">
        <v>545.6</v>
      </c>
      <c r="T32" s="18" t="n">
        <v>569.1</v>
      </c>
      <c r="U32" s="18" t="n">
        <v>557</v>
      </c>
      <c r="V32" s="18" t="n">
        <v>595.3</v>
      </c>
      <c r="W32" s="18" t="n">
        <v>624</v>
      </c>
      <c r="X32" s="18" t="n">
        <v>665.9</v>
      </c>
      <c r="Y32" s="18" t="n">
        <v>629.8</v>
      </c>
      <c r="Z32" s="18" t="n">
        <v>658.8</v>
      </c>
      <c r="AA32" s="18" t="n">
        <v>680.5</v>
      </c>
      <c r="AB32" s="18" t="n">
        <v>731.3</v>
      </c>
      <c r="AC32" s="18" t="n">
        <v>739.8</v>
      </c>
    </row>
    <row r="33">
      <c r="A33" s="4" t="inlineStr">
        <is>
          <t xml:space="preserve">    % YoY</t>
        </is>
      </c>
      <c r="F33" s="25">
        <f>IFERROR(F32/B32-1,"")</f>
        <v/>
      </c>
      <c r="G33" s="25">
        <f>IFERROR(G32/C32-1,"")</f>
        <v/>
      </c>
      <c r="H33" s="25">
        <f>IFERROR(H32/D32-1,"")</f>
        <v/>
      </c>
      <c r="I33" s="25">
        <f>IFERROR(I32/E32-1,"")</f>
        <v/>
      </c>
      <c r="J33" s="25">
        <f>IFERROR(J32/F32-1,"")</f>
        <v/>
      </c>
      <c r="K33" s="25">
        <f>IFERROR(K32/G32-1,"")</f>
        <v/>
      </c>
      <c r="L33" s="25">
        <f>IFERROR(L32/H32-1,"")</f>
        <v/>
      </c>
      <c r="M33" s="25">
        <f>IFERROR(M32/I32-1,"")</f>
        <v/>
      </c>
      <c r="N33" s="25">
        <f>IFERROR(N32/J32-1,"")</f>
        <v/>
      </c>
      <c r="O33" s="25">
        <f>IFERROR(O32/K32-1,"")</f>
        <v/>
      </c>
      <c r="P33" s="25">
        <f>IFERROR(P32/L32-1,"")</f>
        <v/>
      </c>
      <c r="Q33" s="25">
        <f>IFERROR(Q32/M32-1,"")</f>
        <v/>
      </c>
      <c r="R33" s="25">
        <f>IFERROR(R32/N32-1,"")</f>
        <v/>
      </c>
      <c r="S33" s="25">
        <f>IFERROR(S32/O32-1,"")</f>
        <v/>
      </c>
      <c r="T33" s="25">
        <f>IFERROR(T32/P32-1,"")</f>
        <v/>
      </c>
      <c r="U33" s="25">
        <f>IFERROR(U32/Q32-1,"")</f>
        <v/>
      </c>
      <c r="V33" s="25">
        <f>IFERROR(V32/R32-1,"")</f>
        <v/>
      </c>
      <c r="W33" s="25">
        <f>IFERROR(W32/S32-1,"")</f>
        <v/>
      </c>
      <c r="X33" s="25">
        <f>IFERROR(X32/T32-1,"")</f>
        <v/>
      </c>
      <c r="Y33" s="25">
        <f>IFERROR(Y32/U32-1,"")</f>
        <v/>
      </c>
      <c r="Z33" s="25">
        <f>IFERROR(Z32/V32-1,"")</f>
        <v/>
      </c>
      <c r="AA33" s="25">
        <f>IFERROR(AA32/W32-1,"")</f>
        <v/>
      </c>
      <c r="AB33" s="25">
        <f>IFERROR(AB32/X32-1,"")</f>
        <v/>
      </c>
      <c r="AC33" s="25">
        <f>IFERROR(AC32/Y32-1,"")</f>
        <v/>
      </c>
    </row>
    <row r="34">
      <c r="A34" s="4" t="inlineStr">
        <is>
          <t xml:space="preserve">    % of revenue</t>
        </is>
      </c>
      <c r="B34" s="25">
        <f>IFERROR(B32/B3,"")</f>
        <v/>
      </c>
      <c r="C34" s="25">
        <f>IFERROR(C32/C3,"")</f>
        <v/>
      </c>
      <c r="D34" s="25">
        <f>IFERROR(D32/D3,"")</f>
        <v/>
      </c>
      <c r="E34" s="25">
        <f>IFERROR(E32/E3,"")</f>
        <v/>
      </c>
      <c r="F34" s="25">
        <f>IFERROR(F32/F3,"")</f>
        <v/>
      </c>
      <c r="G34" s="25">
        <f>IFERROR(G32/G3,"")</f>
        <v/>
      </c>
      <c r="H34" s="25">
        <f>IFERROR(H32/H3,"")</f>
        <v/>
      </c>
      <c r="I34" s="25">
        <f>IFERROR(I32/I3,"")</f>
        <v/>
      </c>
      <c r="J34" s="25">
        <f>IFERROR(J32/J3,"")</f>
        <v/>
      </c>
      <c r="K34" s="25">
        <f>IFERROR(K32/K3,"")</f>
        <v/>
      </c>
      <c r="L34" s="25">
        <f>IFERROR(L32/L3,"")</f>
        <v/>
      </c>
      <c r="M34" s="25">
        <f>IFERROR(M32/M3,"")</f>
        <v/>
      </c>
      <c r="N34" s="25">
        <f>IFERROR(N32/N3,"")</f>
        <v/>
      </c>
      <c r="O34" s="25">
        <f>IFERROR(O32/O3,"")</f>
        <v/>
      </c>
      <c r="P34" s="25">
        <f>IFERROR(P32/P3,"")</f>
        <v/>
      </c>
      <c r="Q34" s="25">
        <f>IFERROR(Q32/Q3,"")</f>
        <v/>
      </c>
      <c r="R34" s="25">
        <f>IFERROR(R32/R3,"")</f>
        <v/>
      </c>
      <c r="S34" s="25">
        <f>IFERROR(S32/S3,"")</f>
        <v/>
      </c>
      <c r="T34" s="25">
        <f>IFERROR(T32/T3,"")</f>
        <v/>
      </c>
      <c r="U34" s="25">
        <f>IFERROR(U32/U3,"")</f>
        <v/>
      </c>
      <c r="V34" s="25">
        <f>IFERROR(V32/V3,"")</f>
        <v/>
      </c>
      <c r="W34" s="25">
        <f>IFERROR(W32/W3,"")</f>
        <v/>
      </c>
      <c r="X34" s="25">
        <f>IFERROR(X32/X3,"")</f>
        <v/>
      </c>
      <c r="Y34" s="25">
        <f>IFERROR(Y32/Y3,"")</f>
        <v/>
      </c>
      <c r="Z34" s="25">
        <f>IFERROR(Z32/Z3,"")</f>
        <v/>
      </c>
      <c r="AA34" s="25">
        <f>IFERROR(AA32/AA3,"")</f>
        <v/>
      </c>
      <c r="AB34" s="25">
        <f>IFERROR(AB32/AB3,"")</f>
        <v/>
      </c>
      <c r="AC34" s="25">
        <f>IFERROR(AC32/AC3,"")</f>
        <v/>
      </c>
    </row>
    <row r="35">
      <c r="A35" s="4" t="inlineStr">
        <is>
          <t>Asia Pacific and Japan</t>
        </is>
      </c>
      <c r="B35" s="18" t="n">
        <v>104.2</v>
      </c>
      <c r="C35" s="18" t="n">
        <v>106.1</v>
      </c>
      <c r="D35" s="18" t="n">
        <v>119.8</v>
      </c>
      <c r="E35" s="18" t="n">
        <v>114</v>
      </c>
      <c r="F35" s="18" t="n">
        <v>126.9</v>
      </c>
      <c r="G35" s="18" t="n">
        <v>135.4</v>
      </c>
      <c r="H35" s="18" t="n">
        <v>149</v>
      </c>
      <c r="I35" s="18" t="n">
        <v>143.7</v>
      </c>
      <c r="J35" s="18" t="n">
        <v>157.9</v>
      </c>
      <c r="K35" s="18" t="n">
        <v>193.9</v>
      </c>
      <c r="L35" s="18" t="n">
        <v>212</v>
      </c>
      <c r="M35" s="18" t="n">
        <v>226.2</v>
      </c>
      <c r="N35" s="18" t="n">
        <v>224.7</v>
      </c>
      <c r="O35" s="18" t="n">
        <v>238</v>
      </c>
      <c r="P35" s="18" t="n">
        <v>251.7</v>
      </c>
      <c r="Q35" s="18" t="n">
        <v>260.6</v>
      </c>
      <c r="R35" s="18" t="n">
        <v>248.9</v>
      </c>
      <c r="S35" s="18" t="n">
        <v>276.8</v>
      </c>
      <c r="T35" s="18" t="n">
        <v>270.4</v>
      </c>
      <c r="U35" s="18" t="n">
        <v>256.9</v>
      </c>
      <c r="V35" s="18" t="n">
        <v>273.8</v>
      </c>
      <c r="W35" s="18" t="n">
        <v>284.8</v>
      </c>
      <c r="X35" s="18" t="n">
        <v>301.9</v>
      </c>
      <c r="Y35" s="18" t="n">
        <v>281.5</v>
      </c>
      <c r="Z35" s="18" t="n">
        <v>304.1</v>
      </c>
      <c r="AA35" s="18" t="n">
        <v>330.7</v>
      </c>
      <c r="AB35" s="18" t="n">
        <v>348.6</v>
      </c>
      <c r="AC35" s="18" t="n">
        <v>325</v>
      </c>
    </row>
    <row r="36">
      <c r="A36" s="4" t="inlineStr">
        <is>
          <t xml:space="preserve">    % YoY</t>
        </is>
      </c>
      <c r="F36" s="25">
        <f>IFERROR(F35/B35-1,"")</f>
        <v/>
      </c>
      <c r="G36" s="25">
        <f>IFERROR(G35/C35-1,"")</f>
        <v/>
      </c>
      <c r="H36" s="25">
        <f>IFERROR(H35/D35-1,"")</f>
        <v/>
      </c>
      <c r="I36" s="25">
        <f>IFERROR(I35/E35-1,"")</f>
        <v/>
      </c>
      <c r="J36" s="25">
        <f>IFERROR(J35/F35-1,"")</f>
        <v/>
      </c>
      <c r="K36" s="25">
        <f>IFERROR(K35/G35-1,"")</f>
        <v/>
      </c>
      <c r="L36" s="25">
        <f>IFERROR(L35/H35-1,"")</f>
        <v/>
      </c>
      <c r="M36" s="25">
        <f>IFERROR(M35/I35-1,"")</f>
        <v/>
      </c>
      <c r="N36" s="25">
        <f>IFERROR(N35/J35-1,"")</f>
        <v/>
      </c>
      <c r="O36" s="25">
        <f>IFERROR(O35/K35-1,"")</f>
        <v/>
      </c>
      <c r="P36" s="25">
        <f>IFERROR(P35/L35-1,"")</f>
        <v/>
      </c>
      <c r="Q36" s="25">
        <f>IFERROR(Q35/M35-1,"")</f>
        <v/>
      </c>
      <c r="R36" s="25">
        <f>IFERROR(R35/N35-1,"")</f>
        <v/>
      </c>
      <c r="S36" s="25">
        <f>IFERROR(S35/O35-1,"")</f>
        <v/>
      </c>
      <c r="T36" s="25">
        <f>IFERROR(T35/P35-1,"")</f>
        <v/>
      </c>
      <c r="U36" s="25">
        <f>IFERROR(U35/Q35-1,"")</f>
        <v/>
      </c>
      <c r="V36" s="25">
        <f>IFERROR(V35/R35-1,"")</f>
        <v/>
      </c>
      <c r="W36" s="25">
        <f>IFERROR(W35/S35-1,"")</f>
        <v/>
      </c>
      <c r="X36" s="25">
        <f>IFERROR(X35/T35-1,"")</f>
        <v/>
      </c>
      <c r="Y36" s="25">
        <f>IFERROR(Y35/U35-1,"")</f>
        <v/>
      </c>
      <c r="Z36" s="25">
        <f>IFERROR(Z35/V35-1,"")</f>
        <v/>
      </c>
      <c r="AA36" s="25">
        <f>IFERROR(AA35/W35-1,"")</f>
        <v/>
      </c>
      <c r="AB36" s="25">
        <f>IFERROR(AB35/X35-1,"")</f>
        <v/>
      </c>
      <c r="AC36" s="25">
        <f>IFERROR(AC35/Y35-1,"")</f>
        <v/>
      </c>
    </row>
    <row r="37">
      <c r="A37" s="4" t="inlineStr">
        <is>
          <t xml:space="preserve">    % of revenue</t>
        </is>
      </c>
      <c r="B37" s="25">
        <f>IFERROR(B35/B3,"")</f>
        <v/>
      </c>
      <c r="C37" s="25">
        <f>IFERROR(C35/C3,"")</f>
        <v/>
      </c>
      <c r="D37" s="25">
        <f>IFERROR(D35/D3,"")</f>
        <v/>
      </c>
      <c r="E37" s="25">
        <f>IFERROR(E35/E3,"")</f>
        <v/>
      </c>
      <c r="F37" s="25">
        <f>IFERROR(F35/F3,"")</f>
        <v/>
      </c>
      <c r="G37" s="25">
        <f>IFERROR(G35/G3,"")</f>
        <v/>
      </c>
      <c r="H37" s="25">
        <f>IFERROR(H35/H3,"")</f>
        <v/>
      </c>
      <c r="I37" s="25">
        <f>IFERROR(I35/I3,"")</f>
        <v/>
      </c>
      <c r="J37" s="25">
        <f>IFERROR(J35/J3,"")</f>
        <v/>
      </c>
      <c r="K37" s="25">
        <f>IFERROR(K35/K3,"")</f>
        <v/>
      </c>
      <c r="L37" s="25">
        <f>IFERROR(L35/L3,"")</f>
        <v/>
      </c>
      <c r="M37" s="25">
        <f>IFERROR(M35/M3,"")</f>
        <v/>
      </c>
      <c r="N37" s="25">
        <f>IFERROR(N35/N3,"")</f>
        <v/>
      </c>
      <c r="O37" s="25">
        <f>IFERROR(O35/O3,"")</f>
        <v/>
      </c>
      <c r="P37" s="25">
        <f>IFERROR(P35/P3,"")</f>
        <v/>
      </c>
      <c r="Q37" s="25">
        <f>IFERROR(Q35/Q3,"")</f>
        <v/>
      </c>
      <c r="R37" s="25">
        <f>IFERROR(R35/R3,"")</f>
        <v/>
      </c>
      <c r="S37" s="25">
        <f>IFERROR(S35/S3,"")</f>
        <v/>
      </c>
      <c r="T37" s="25">
        <f>IFERROR(T35/T3,"")</f>
        <v/>
      </c>
      <c r="U37" s="25">
        <f>IFERROR(U35/U3,"")</f>
        <v/>
      </c>
      <c r="V37" s="25">
        <f>IFERROR(V35/V3,"")</f>
        <v/>
      </c>
      <c r="W37" s="25">
        <f>IFERROR(W35/W3,"")</f>
        <v/>
      </c>
      <c r="X37" s="25">
        <f>IFERROR(X35/X3,"")</f>
        <v/>
      </c>
      <c r="Y37" s="25">
        <f>IFERROR(Y35/Y3,"")</f>
        <v/>
      </c>
      <c r="Z37" s="25">
        <f>IFERROR(Z35/Z3,"")</f>
        <v/>
      </c>
      <c r="AA37" s="25">
        <f>IFERROR(AA35/AA3,"")</f>
        <v/>
      </c>
      <c r="AB37" s="25">
        <f>IFERROR(AB35/AB3,"")</f>
        <v/>
      </c>
      <c r="AC37" s="25">
        <f>IFERROR(AC35/AC3,"")</f>
        <v/>
      </c>
    </row>
    <row r="38">
      <c r="A38" s="5" t="inlineStr">
        <is>
          <t xml:space="preserve">  BALANCE SHEET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4" t="inlineStr">
        <is>
          <t>Cash &amp; ST Investments</t>
        </is>
      </c>
      <c r="B39" s="18" t="n">
        <v>1830.2</v>
      </c>
      <c r="C39" s="18" t="n">
        <v>1940.3</v>
      </c>
      <c r="D39" s="18" t="n">
        <v>2065.6</v>
      </c>
      <c r="E39" s="18" t="n">
        <v>1401.3</v>
      </c>
      <c r="F39" s="18" t="n">
        <v>1526.9</v>
      </c>
      <c r="G39" s="18" t="n">
        <v>1656.7</v>
      </c>
      <c r="H39" s="18" t="n">
        <v>1837.3</v>
      </c>
      <c r="I39" s="18" t="n">
        <v>2936.9</v>
      </c>
      <c r="J39" s="18" t="n">
        <v>3113.2</v>
      </c>
      <c r="K39" s="18" t="n">
        <v>3121</v>
      </c>
      <c r="L39" s="18" t="n">
        <v>2551.7</v>
      </c>
      <c r="M39" s="18" t="n">
        <v>2141.6</v>
      </c>
      <c r="N39" s="18" t="n">
        <v>1754.9</v>
      </c>
      <c r="O39" s="18" t="n">
        <v>1730.4</v>
      </c>
      <c r="P39" s="18" t="n">
        <v>2211</v>
      </c>
      <c r="Q39" s="18" t="n">
        <v>2879.1</v>
      </c>
      <c r="R39" s="18" t="n">
        <v>3313.5</v>
      </c>
      <c r="S39" s="18" t="n">
        <v>3168.8</v>
      </c>
      <c r="T39" s="18" t="n">
        <v>2440.4</v>
      </c>
      <c r="U39" s="18" t="n">
        <v>3023.1</v>
      </c>
      <c r="V39" s="18" t="n">
        <v>3339.3</v>
      </c>
      <c r="W39" s="18" t="n">
        <v>3700.7</v>
      </c>
      <c r="X39" s="18" t="n">
        <v>4066.5</v>
      </c>
      <c r="Y39" s="18" t="n">
        <v>4780.5</v>
      </c>
      <c r="Z39" s="18" t="n">
        <v>4562.9</v>
      </c>
      <c r="AA39" s="18" t="n">
        <v>3123.4</v>
      </c>
      <c r="AB39" s="18" t="n">
        <v>3582.5</v>
      </c>
      <c r="AC39" s="18" t="n">
        <v>3294.9</v>
      </c>
    </row>
    <row r="40">
      <c r="A40" s="4" t="inlineStr">
        <is>
          <t>Total Current Assets</t>
        </is>
      </c>
      <c r="B40" s="18" t="n">
        <v>2360.7</v>
      </c>
      <c r="C40" s="18" t="n">
        <v>2466.2</v>
      </c>
      <c r="D40" s="18" t="n">
        <v>2769</v>
      </c>
      <c r="E40" s="18" t="n">
        <v>2035.3</v>
      </c>
      <c r="F40" s="18" t="n">
        <v>2208.7</v>
      </c>
      <c r="G40" s="18" t="n">
        <v>2384.6</v>
      </c>
      <c r="H40" s="18" t="n">
        <v>2740.4</v>
      </c>
      <c r="I40" s="18" t="n">
        <v>3781.2</v>
      </c>
      <c r="J40" s="18" t="n">
        <v>3908.2</v>
      </c>
      <c r="K40" s="18" t="n">
        <v>3963.5</v>
      </c>
      <c r="L40" s="18" t="n">
        <v>3600.6</v>
      </c>
      <c r="M40" s="18" t="n">
        <v>3208.3</v>
      </c>
      <c r="N40" s="18" t="n">
        <v>2952.9</v>
      </c>
      <c r="O40" s="18" t="n">
        <v>2982.2</v>
      </c>
      <c r="P40" s="18" t="n">
        <v>3810.4</v>
      </c>
      <c r="Q40" s="18" t="n">
        <v>4358.7</v>
      </c>
      <c r="R40" s="18" t="n">
        <v>4878.1</v>
      </c>
      <c r="S40" s="18" t="n">
        <v>4752.7</v>
      </c>
      <c r="T40" s="18" t="n">
        <v>4428.3</v>
      </c>
      <c r="U40" s="18" t="n">
        <v>4559.7</v>
      </c>
      <c r="V40" s="18" t="n">
        <v>4919.3</v>
      </c>
      <c r="W40" s="18" t="n">
        <v>5220.6</v>
      </c>
      <c r="X40" s="18" t="n">
        <v>5971.5</v>
      </c>
      <c r="Y40" s="18" t="n">
        <v>6442.6</v>
      </c>
      <c r="Z40" s="18" t="n">
        <v>6346.3</v>
      </c>
      <c r="AA40" s="18" t="n">
        <v>4913.5</v>
      </c>
      <c r="AB40" s="18" t="n">
        <v>5900.2</v>
      </c>
      <c r="AC40" s="18" t="n">
        <v>5332.6</v>
      </c>
    </row>
    <row r="41">
      <c r="A41" s="4" t="inlineStr">
        <is>
          <t>PP&amp;E (net)</t>
        </is>
      </c>
      <c r="B41" s="18" t="n">
        <v>284.7</v>
      </c>
      <c r="C41" s="18" t="n">
        <v>305.5</v>
      </c>
      <c r="D41" s="18" t="n">
        <v>344.3</v>
      </c>
      <c r="E41" s="18" t="n">
        <v>374.2</v>
      </c>
      <c r="F41" s="18" t="n">
        <v>392.6</v>
      </c>
      <c r="G41" s="18" t="n">
        <v>419.4</v>
      </c>
      <c r="H41" s="18" t="n">
        <v>448</v>
      </c>
      <c r="I41" s="18" t="n">
        <v>494.2</v>
      </c>
      <c r="J41" s="18" t="n">
        <v>506.5</v>
      </c>
      <c r="K41" s="18" t="n">
        <v>556.6</v>
      </c>
      <c r="L41" s="18" t="n">
        <v>687.6</v>
      </c>
      <c r="M41" s="18" t="n">
        <v>786.5</v>
      </c>
      <c r="N41" s="18" t="n">
        <v>814.6</v>
      </c>
      <c r="O41" s="18" t="n">
        <v>889.5</v>
      </c>
      <c r="P41" s="18" t="n">
        <v>898.5</v>
      </c>
      <c r="Q41" s="18" t="n">
        <v>917.4</v>
      </c>
      <c r="R41" s="18" t="n">
        <v>981.9</v>
      </c>
      <c r="S41" s="18" t="n">
        <v>1038</v>
      </c>
      <c r="T41" s="18" t="n">
        <v>1044.4</v>
      </c>
      <c r="U41" s="18" t="n">
        <v>1247.4</v>
      </c>
      <c r="V41" s="18" t="n">
        <v>1242.7</v>
      </c>
      <c r="W41" s="18" t="n">
        <v>1273.4</v>
      </c>
      <c r="X41" s="18" t="n">
        <v>1349.5</v>
      </c>
      <c r="Y41" s="18" t="n">
        <v>1403.8</v>
      </c>
      <c r="Z41" s="18" t="n">
        <v>1544.8</v>
      </c>
      <c r="AA41" s="18" t="n">
        <v>1605.2</v>
      </c>
      <c r="AB41" s="18" t="n">
        <v>1619</v>
      </c>
      <c r="AC41" s="18" t="n">
        <v>1691.5</v>
      </c>
    </row>
    <row r="42">
      <c r="A42" s="4" t="inlineStr">
        <is>
          <t>Total Assets</t>
        </is>
      </c>
      <c r="B42" s="18" t="n">
        <v>3369.4</v>
      </c>
      <c r="C42" s="18" t="n">
        <v>3545.6</v>
      </c>
      <c r="D42" s="18" t="n">
        <v>3879.2</v>
      </c>
      <c r="E42" s="18" t="n">
        <v>3206.2</v>
      </c>
      <c r="F42" s="18" t="n">
        <v>3330.6</v>
      </c>
      <c r="G42" s="18" t="n">
        <v>3586.2</v>
      </c>
      <c r="H42" s="18" t="n">
        <v>4044.5</v>
      </c>
      <c r="I42" s="18" t="n">
        <v>5282.2</v>
      </c>
      <c r="J42" s="18" t="n">
        <v>5558.9</v>
      </c>
      <c r="K42" s="18" t="n">
        <v>5970.6</v>
      </c>
      <c r="L42" s="18" t="n">
        <v>5919.1</v>
      </c>
      <c r="M42" s="18" t="n">
        <v>5651.1</v>
      </c>
      <c r="N42" s="18" t="n">
        <v>5294.5</v>
      </c>
      <c r="O42" s="18" t="n">
        <v>5335.9</v>
      </c>
      <c r="P42" s="18" t="n">
        <v>6228</v>
      </c>
      <c r="Q42" s="18" t="n">
        <v>6832.3</v>
      </c>
      <c r="R42" s="18" t="n">
        <v>7486.1</v>
      </c>
      <c r="S42" s="18" t="n">
        <v>7479.3</v>
      </c>
      <c r="T42" s="18" t="n">
        <v>7258.9</v>
      </c>
      <c r="U42" s="18" t="n">
        <v>7662.1</v>
      </c>
      <c r="V42" s="18" t="n">
        <v>8052.9</v>
      </c>
      <c r="W42" s="18" t="n">
        <v>8852</v>
      </c>
      <c r="X42" s="18" t="n">
        <v>9763.1</v>
      </c>
      <c r="Y42" s="18" t="n">
        <v>10407</v>
      </c>
      <c r="Z42" s="18" t="n">
        <v>10641.4</v>
      </c>
      <c r="AA42" s="18" t="n">
        <v>9361.299999999999</v>
      </c>
      <c r="AB42" s="18" t="n">
        <v>10389.2</v>
      </c>
      <c r="AC42" s="18" t="n">
        <v>9883.5</v>
      </c>
    </row>
    <row r="43">
      <c r="A43" s="4" t="inlineStr">
        <is>
          <t>Total Current Liabilities</t>
        </is>
      </c>
      <c r="B43" s="18" t="n">
        <v>1293.7</v>
      </c>
      <c r="C43" s="18" t="n">
        <v>1341.9</v>
      </c>
      <c r="D43" s="18" t="n">
        <v>1455.8</v>
      </c>
      <c r="E43" s="18" t="n">
        <v>1543</v>
      </c>
      <c r="F43" s="18" t="n">
        <v>1611.9</v>
      </c>
      <c r="G43" s="18" t="n">
        <v>1645.6</v>
      </c>
      <c r="H43" s="18" t="n">
        <v>1829.5</v>
      </c>
      <c r="I43" s="18" t="n">
        <v>1879.7</v>
      </c>
      <c r="J43" s="18" t="n">
        <v>1998.5</v>
      </c>
      <c r="K43" s="18" t="n">
        <v>2198</v>
      </c>
      <c r="L43" s="18" t="n">
        <v>2318.1</v>
      </c>
      <c r="M43" s="18" t="n">
        <v>2510.5</v>
      </c>
      <c r="N43" s="18" t="n">
        <v>2634.9</v>
      </c>
      <c r="O43" s="18" t="n">
        <v>2779.6</v>
      </c>
      <c r="P43" s="18" t="n">
        <v>3078.4</v>
      </c>
      <c r="Q43" s="18" t="n">
        <v>3261.8</v>
      </c>
      <c r="R43" s="18" t="n">
        <v>3500.6</v>
      </c>
      <c r="S43" s="18" t="n">
        <v>3649</v>
      </c>
      <c r="T43" s="18" t="n">
        <v>3719</v>
      </c>
      <c r="U43" s="18" t="n">
        <v>3800.4</v>
      </c>
      <c r="V43" s="18" t="n">
        <v>3725.3</v>
      </c>
      <c r="W43" s="18" t="n">
        <v>3883.9</v>
      </c>
      <c r="X43" s="18" t="n">
        <v>4060.7</v>
      </c>
      <c r="Y43" s="18" t="n">
        <v>4727.8</v>
      </c>
      <c r="Z43" s="18" t="n">
        <v>4777.1</v>
      </c>
      <c r="AA43" s="18" t="n">
        <v>4786.1</v>
      </c>
      <c r="AB43" s="18" t="n">
        <v>5034</v>
      </c>
      <c r="AC43" s="18" t="n">
        <v>4623.5</v>
      </c>
    </row>
    <row r="44">
      <c r="A44" s="4" t="inlineStr">
        <is>
          <t>Long-term Debt</t>
        </is>
      </c>
      <c r="B44" s="18" t="n">
        <v>0</v>
      </c>
      <c r="C44" s="18" t="n">
        <v>0</v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987</v>
      </c>
      <c r="J44" s="18" t="n">
        <v>987.5</v>
      </c>
      <c r="K44" s="18" t="n">
        <v>988</v>
      </c>
      <c r="L44" s="18" t="n">
        <v>988.4</v>
      </c>
      <c r="M44" s="18" t="n">
        <v>988.9</v>
      </c>
      <c r="N44" s="18" t="n">
        <v>989.4</v>
      </c>
      <c r="O44" s="18" t="n">
        <v>989.9</v>
      </c>
      <c r="P44" s="18" t="n">
        <v>990.4</v>
      </c>
      <c r="Q44" s="18" t="n">
        <v>990.9</v>
      </c>
      <c r="R44" s="18" t="n">
        <v>991.3</v>
      </c>
      <c r="S44" s="18" t="n">
        <v>991.8</v>
      </c>
      <c r="T44" s="18" t="n">
        <v>992.3</v>
      </c>
      <c r="U44" s="18" t="n">
        <v>992.8</v>
      </c>
      <c r="V44" s="18" t="n">
        <v>993.3</v>
      </c>
      <c r="W44" s="18" t="n">
        <v>993.8</v>
      </c>
      <c r="X44" s="18" t="n">
        <v>994.3</v>
      </c>
      <c r="Y44" s="18" t="n">
        <v>496.2</v>
      </c>
      <c r="Z44" s="18" t="n">
        <v>496.3</v>
      </c>
      <c r="AA44" s="18" t="n">
        <v>496.5</v>
      </c>
      <c r="AB44" s="18" t="n">
        <v>496.6</v>
      </c>
      <c r="AC44" s="18" t="n">
        <v>496.8</v>
      </c>
    </row>
    <row r="45">
      <c r="A45" s="4" t="inlineStr">
        <is>
          <t>Total Equity</t>
        </is>
      </c>
      <c r="B45" s="18" t="n">
        <v>1122.3</v>
      </c>
      <c r="C45" s="18" t="n">
        <v>1200.4</v>
      </c>
      <c r="D45" s="18" t="n">
        <v>1342.4</v>
      </c>
      <c r="E45" s="18" t="n">
        <v>536.3</v>
      </c>
      <c r="F45" s="18" t="n">
        <v>543.9</v>
      </c>
      <c r="G45" s="18" t="n">
        <v>713.2</v>
      </c>
      <c r="H45" s="18" t="n">
        <v>856</v>
      </c>
      <c r="I45" s="18" t="n">
        <v>980.8</v>
      </c>
      <c r="J45" s="18" t="n">
        <v>1050.2</v>
      </c>
      <c r="K45" s="18" t="n">
        <v>1118.1</v>
      </c>
      <c r="L45" s="18" t="n">
        <v>781.7</v>
      </c>
      <c r="M45" s="18" t="n">
        <v>217.7</v>
      </c>
      <c r="N45" s="18" t="n">
        <v>-392.9</v>
      </c>
      <c r="O45" s="18" t="n">
        <v>-634.7</v>
      </c>
      <c r="P45" s="18" t="n">
        <v>-281.6</v>
      </c>
      <c r="Q45" s="18" t="n">
        <v>11.4</v>
      </c>
      <c r="R45" s="18" t="n">
        <v>321.2</v>
      </c>
      <c r="S45" s="18" t="n">
        <v>74.09999999999999</v>
      </c>
      <c r="T45" s="18" t="n">
        <v>-463.4</v>
      </c>
      <c r="U45" s="18" t="n">
        <v>-137.5</v>
      </c>
      <c r="V45" s="18" t="n">
        <v>288.2</v>
      </c>
      <c r="W45" s="18" t="n">
        <v>908.1</v>
      </c>
      <c r="X45" s="18" t="n">
        <v>1493.8</v>
      </c>
      <c r="Y45" s="18" t="n">
        <v>1962.9</v>
      </c>
      <c r="Z45" s="18" t="n">
        <v>2060.4</v>
      </c>
      <c r="AA45" s="18" t="n">
        <v>735.1</v>
      </c>
      <c r="AB45" s="18" t="n">
        <v>1237.5</v>
      </c>
      <c r="AC45" s="18" t="n">
        <v>989.7</v>
      </c>
    </row>
    <row r="46">
      <c r="A46" s="5" t="inlineStr">
        <is>
          <t xml:space="preserve">  CASH FLOW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4" t="inlineStr">
        <is>
          <t>D&amp;A</t>
        </is>
      </c>
      <c r="B47" s="18" t="n">
        <v>15.2</v>
      </c>
      <c r="C47" s="18" t="n">
        <v>15</v>
      </c>
      <c r="D47" s="18" t="n">
        <v>15.7</v>
      </c>
      <c r="E47" s="18" t="n">
        <v>17.6</v>
      </c>
      <c r="F47" s="18" t="n">
        <v>17.8</v>
      </c>
      <c r="G47" s="18" t="n">
        <v>16.7</v>
      </c>
      <c r="H47" s="18" t="n">
        <v>16.7</v>
      </c>
      <c r="I47" s="18" t="n">
        <v>17.3</v>
      </c>
      <c r="J47" s="18" t="n">
        <v>18.9</v>
      </c>
      <c r="K47" s="18" t="n">
        <v>22.9</v>
      </c>
      <c r="L47" s="18" t="n">
        <v>25.3</v>
      </c>
      <c r="M47" s="18" t="n">
        <v>25.5</v>
      </c>
      <c r="N47" s="18" t="n">
        <v>25.1</v>
      </c>
      <c r="O47" s="18" t="n">
        <v>26.4</v>
      </c>
      <c r="P47" s="18" t="n">
        <v>27.3</v>
      </c>
      <c r="Q47" s="18" t="n">
        <v>27.5</v>
      </c>
      <c r="R47" s="18" t="n">
        <v>27.4</v>
      </c>
      <c r="S47" s="18" t="n">
        <v>28.3</v>
      </c>
      <c r="T47" s="18" t="n">
        <v>30.2</v>
      </c>
      <c r="U47" s="18" t="n">
        <v>28.6</v>
      </c>
      <c r="V47" s="18" t="n">
        <v>29.2</v>
      </c>
      <c r="W47" s="18" t="n">
        <v>29.8</v>
      </c>
      <c r="X47" s="18" t="n">
        <v>35.2</v>
      </c>
      <c r="Y47" s="18" t="n">
        <v>35.8</v>
      </c>
      <c r="Z47" s="18" t="n">
        <v>38.3</v>
      </c>
      <c r="AA47" s="18" t="n">
        <v>38.4</v>
      </c>
      <c r="AB47" s="18" t="n">
        <v>129.8</v>
      </c>
      <c r="AC47" s="18" t="n">
        <v>94.2</v>
      </c>
    </row>
    <row r="48">
      <c r="A48" s="4" t="inlineStr">
        <is>
          <t>Stock-based Compensation</t>
        </is>
      </c>
      <c r="B48" s="18" t="n">
        <v>45</v>
      </c>
      <c r="C48" s="18" t="n">
        <v>42.4</v>
      </c>
      <c r="D48" s="18" t="n">
        <v>43.7</v>
      </c>
      <c r="E48" s="18" t="n">
        <v>44.8</v>
      </c>
      <c r="F48" s="18" t="n">
        <v>48.9</v>
      </c>
      <c r="G48" s="18" t="n">
        <v>49.3</v>
      </c>
      <c r="H48" s="18" t="n">
        <v>48.7</v>
      </c>
      <c r="I48" s="18" t="n">
        <v>49.5</v>
      </c>
      <c r="J48" s="18" t="n">
        <v>52.6</v>
      </c>
      <c r="K48" s="18" t="n">
        <v>52.7</v>
      </c>
      <c r="L48" s="18" t="n">
        <v>53.1</v>
      </c>
      <c r="M48" s="18" t="n">
        <v>53.2</v>
      </c>
      <c r="N48" s="18" t="n">
        <v>54.7</v>
      </c>
      <c r="O48" s="18" t="n">
        <v>54.7</v>
      </c>
      <c r="P48" s="18" t="n">
        <v>54.7</v>
      </c>
      <c r="Q48" s="18" t="n">
        <v>56.3</v>
      </c>
      <c r="R48" s="18" t="n">
        <v>65</v>
      </c>
      <c r="S48" s="18" t="n">
        <v>64.3</v>
      </c>
      <c r="T48" s="18" t="n">
        <v>63.4</v>
      </c>
      <c r="U48" s="18" t="n">
        <v>62.3</v>
      </c>
      <c r="V48" s="18" t="n">
        <v>63.9</v>
      </c>
      <c r="W48" s="18" t="n">
        <v>65.90000000000001</v>
      </c>
      <c r="X48" s="18" t="n">
        <v>65.8</v>
      </c>
      <c r="Y48" s="18" t="n">
        <v>66.09999999999999</v>
      </c>
      <c r="Z48" s="18" t="n">
        <v>69.09999999999999</v>
      </c>
      <c r="AA48" s="18" t="n">
        <v>71.8</v>
      </c>
      <c r="AB48" s="18" t="n">
        <v>73.09999999999999</v>
      </c>
      <c r="AC48" s="18" t="n">
        <v>72.5</v>
      </c>
    </row>
    <row r="49">
      <c r="A49" s="4" t="inlineStr">
        <is>
          <t>Change in Working Capital</t>
        </is>
      </c>
      <c r="B49" s="18" t="n">
        <v>38</v>
      </c>
      <c r="C49" s="18" t="n">
        <v>51.5</v>
      </c>
      <c r="D49" s="18" t="n">
        <v>-13</v>
      </c>
      <c r="E49" s="18" t="n">
        <v>117.4</v>
      </c>
      <c r="F49" s="18" t="n">
        <v>31.9</v>
      </c>
      <c r="G49" s="18" t="n">
        <v>-4.8</v>
      </c>
      <c r="H49" s="18" t="n">
        <v>45.5</v>
      </c>
      <c r="I49" s="18" t="n">
        <v>100.6</v>
      </c>
      <c r="J49" s="18" t="n">
        <v>165.5</v>
      </c>
      <c r="K49" s="18" t="n">
        <v>106.1</v>
      </c>
      <c r="L49" s="18" t="n">
        <v>30.2</v>
      </c>
      <c r="M49" s="18" t="n">
        <v>108</v>
      </c>
      <c r="N49" s="18" t="n">
        <v>-8</v>
      </c>
      <c r="O49" s="18" t="n">
        <v>108.6</v>
      </c>
      <c r="P49" s="18" t="n">
        <v>24.4</v>
      </c>
      <c r="Q49" s="18" t="n">
        <v>257.9</v>
      </c>
      <c r="R49" s="18" t="n">
        <v>86.3</v>
      </c>
      <c r="S49" s="18" t="n">
        <v>67.8</v>
      </c>
      <c r="T49" s="18" t="n">
        <v>-285.9</v>
      </c>
      <c r="U49" s="18" t="n">
        <v>370.5</v>
      </c>
      <c r="V49" s="18" t="n">
        <v>-206.6</v>
      </c>
      <c r="W49" s="18" t="n">
        <v>22.6</v>
      </c>
      <c r="X49" s="18" t="n">
        <v>-207.1</v>
      </c>
      <c r="Y49" s="18" t="n">
        <v>295.8</v>
      </c>
      <c r="Z49" s="18" t="n">
        <v>-159.2</v>
      </c>
      <c r="AA49" s="18" t="n">
        <v>1.3</v>
      </c>
      <c r="AB49" s="18" t="n">
        <v>-134.6</v>
      </c>
      <c r="AC49" s="18" t="n">
        <v>374.8</v>
      </c>
    </row>
    <row r="50">
      <c r="A50" s="4" t="inlineStr">
        <is>
          <t>Operating Cash Flow</t>
        </is>
      </c>
      <c r="B50" s="18" t="n">
        <v>195.1</v>
      </c>
      <c r="C50" s="18" t="n">
        <v>221.2</v>
      </c>
      <c r="D50" s="18" t="n">
        <v>190.4</v>
      </c>
      <c r="E50" s="18" t="n">
        <v>319.4</v>
      </c>
      <c r="F50" s="18" t="n">
        <v>247</v>
      </c>
      <c r="G50" s="18" t="n">
        <v>220.8</v>
      </c>
      <c r="H50" s="18" t="n">
        <v>296.5</v>
      </c>
      <c r="I50" s="18" t="n">
        <v>315.9</v>
      </c>
      <c r="J50" s="18" t="n">
        <v>418.2</v>
      </c>
      <c r="K50" s="18" t="n">
        <v>398.8</v>
      </c>
      <c r="L50" s="18" t="n">
        <v>366.8</v>
      </c>
      <c r="M50" s="18" t="n">
        <v>396.1</v>
      </c>
      <c r="N50" s="18" t="n">
        <v>323.4</v>
      </c>
      <c r="O50" s="18" t="n">
        <v>483</v>
      </c>
      <c r="P50" s="18" t="n">
        <v>528.1</v>
      </c>
      <c r="Q50" s="18" t="n">
        <v>677.5</v>
      </c>
      <c r="R50" s="18" t="n">
        <v>515.1</v>
      </c>
      <c r="S50" s="18" t="n">
        <v>551.2</v>
      </c>
      <c r="T50" s="18" t="n">
        <v>191.7</v>
      </c>
      <c r="U50" s="18" t="n">
        <v>830.4</v>
      </c>
      <c r="V50" s="18" t="n">
        <v>342</v>
      </c>
      <c r="W50" s="18" t="n">
        <v>608.1</v>
      </c>
      <c r="X50" s="18" t="n">
        <v>477.6</v>
      </c>
      <c r="Y50" s="18" t="n">
        <v>863.3</v>
      </c>
      <c r="Z50" s="18" t="n">
        <v>451.9</v>
      </c>
      <c r="AA50" s="18" t="n">
        <v>655.2</v>
      </c>
      <c r="AB50" s="18" t="n">
        <v>620.2</v>
      </c>
      <c r="AC50" s="18" t="n">
        <v>1077.1</v>
      </c>
    </row>
    <row r="51">
      <c r="A51" s="4" t="inlineStr">
        <is>
          <t>Capex</t>
        </is>
      </c>
      <c r="B51" s="18" t="n">
        <v>-17.3</v>
      </c>
      <c r="C51" s="18" t="n">
        <v>-17.5</v>
      </c>
      <c r="D51" s="18" t="n">
        <v>-47.2</v>
      </c>
      <c r="E51" s="18" t="n">
        <v>-27.6</v>
      </c>
      <c r="F51" s="18" t="n">
        <v>-30.9</v>
      </c>
      <c r="G51" s="18" t="n">
        <v>-35.1</v>
      </c>
      <c r="H51" s="18" t="n">
        <v>-32.3</v>
      </c>
      <c r="I51" s="18" t="n">
        <v>-52.1</v>
      </c>
      <c r="J51" s="18" t="n">
        <v>-23.5</v>
      </c>
      <c r="K51" s="18" t="n">
        <v>-69</v>
      </c>
      <c r="L51" s="18" t="n">
        <v>-151.3</v>
      </c>
      <c r="M51" s="18" t="n">
        <v>-122.6</v>
      </c>
      <c r="N51" s="18" t="n">
        <v>-39.9</v>
      </c>
      <c r="O51" s="18" t="n">
        <v>-87.8</v>
      </c>
      <c r="P51" s="18" t="n">
        <v>-30.9</v>
      </c>
      <c r="Q51" s="18" t="n">
        <v>-30.3</v>
      </c>
      <c r="R51" s="18" t="n">
        <v>-76.8</v>
      </c>
      <c r="S51" s="18" t="n">
        <v>-70.09999999999999</v>
      </c>
      <c r="T51" s="18" t="n">
        <v>-26.9</v>
      </c>
      <c r="U51" s="18" t="n">
        <v>-221.9</v>
      </c>
      <c r="V51" s="18" t="n">
        <v>-23.1</v>
      </c>
      <c r="W51" s="18" t="n">
        <v>-36.3</v>
      </c>
      <c r="X51" s="18" t="n">
        <v>-97.59999999999999</v>
      </c>
      <c r="Y51" s="18" t="n">
        <v>-66.5</v>
      </c>
      <c r="Z51" s="18" t="n">
        <v>-167.8</v>
      </c>
      <c r="AA51" s="18" t="n">
        <v>-87.7</v>
      </c>
      <c r="AB51" s="18" t="n">
        <v>-42.8</v>
      </c>
      <c r="AC51" s="18" t="n">
        <v>-70.59999999999999</v>
      </c>
    </row>
    <row r="52">
      <c r="A52" s="4" t="inlineStr">
        <is>
          <t>Free Cash Flow</t>
        </is>
      </c>
      <c r="B52" s="18" t="n">
        <v>177.8</v>
      </c>
      <c r="C52" s="18" t="n">
        <v>203.7</v>
      </c>
      <c r="D52" s="18" t="n">
        <v>143.2</v>
      </c>
      <c r="E52" s="18" t="n">
        <v>291.8</v>
      </c>
      <c r="F52" s="18" t="n">
        <v>216.1</v>
      </c>
      <c r="G52" s="18" t="n">
        <v>185.7</v>
      </c>
      <c r="H52" s="18" t="n">
        <v>264.2</v>
      </c>
      <c r="I52" s="18" t="n">
        <v>263.8</v>
      </c>
      <c r="J52" s="18" t="n">
        <v>394.7</v>
      </c>
      <c r="K52" s="18" t="n">
        <v>329.8</v>
      </c>
      <c r="L52" s="18" t="n">
        <v>215.5</v>
      </c>
      <c r="M52" s="18" t="n">
        <v>273.5</v>
      </c>
      <c r="N52" s="18" t="n">
        <v>283.5</v>
      </c>
      <c r="O52" s="18" t="n">
        <v>395.2</v>
      </c>
      <c r="P52" s="18" t="n">
        <v>497.2</v>
      </c>
      <c r="Q52" s="18" t="n">
        <v>647.2</v>
      </c>
      <c r="R52" s="18" t="n">
        <v>438.3</v>
      </c>
      <c r="S52" s="18" t="n">
        <v>481.1</v>
      </c>
      <c r="T52" s="18" t="n">
        <v>164.8</v>
      </c>
      <c r="U52" s="18" t="n">
        <v>608.5</v>
      </c>
      <c r="V52" s="18" t="n">
        <v>318.9</v>
      </c>
      <c r="W52" s="18" t="n">
        <v>571.8</v>
      </c>
      <c r="X52" s="18" t="n">
        <v>380</v>
      </c>
      <c r="Y52" s="18" t="n">
        <v>796.8</v>
      </c>
      <c r="Z52" s="18" t="n">
        <v>284.1</v>
      </c>
      <c r="AA52" s="18" t="n">
        <v>567.5</v>
      </c>
      <c r="AB52" s="18" t="n">
        <v>577.4</v>
      </c>
      <c r="AC52" s="18" t="n">
        <v>1006.5</v>
      </c>
    </row>
    <row r="54">
      <c r="A5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7804.822369</v>
      </c>
      <c r="C4" s="18" t="n">
        <v>8632.463976999999</v>
      </c>
      <c r="D4" s="18" t="n">
        <v>9505.274368</v>
      </c>
      <c r="E4" s="18" t="n">
        <v>11227.422341</v>
      </c>
      <c r="F4" s="18" t="n">
        <v>11984.645262</v>
      </c>
    </row>
    <row r="5">
      <c r="A5" s="4" t="inlineStr">
        <is>
          <t xml:space="preserve">  model</t>
        </is>
      </c>
      <c r="B5" s="33">
        <f>Model!G10</f>
        <v/>
      </c>
      <c r="C5" s="33">
        <f>Model!H10</f>
        <v/>
      </c>
      <c r="D5" s="33">
        <f>Model!I10</f>
        <v/>
      </c>
      <c r="E5" s="33">
        <f>Model!J10</f>
        <v/>
      </c>
      <c r="F5" s="33">
        <f>Model!K10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4101.765136</v>
      </c>
      <c r="C8" s="18" t="n">
        <v>4536.725899</v>
      </c>
      <c r="D8" s="18" t="n">
        <v>4995.424773</v>
      </c>
      <c r="E8" s="18" t="n">
        <v>5900.486565</v>
      </c>
      <c r="F8" s="18" t="n">
        <v>6298.439322</v>
      </c>
    </row>
    <row r="9">
      <c r="A9" s="4" t="inlineStr">
        <is>
          <t xml:space="preserve">  model</t>
        </is>
      </c>
      <c r="B9" s="33">
        <f>Model!G23+Model!G28</f>
        <v/>
      </c>
      <c r="C9" s="33">
        <f>Model!H23+Model!H28</f>
        <v/>
      </c>
      <c r="D9" s="33">
        <f>Model!I23+Model!I28</f>
        <v/>
      </c>
      <c r="E9" s="33">
        <f>Model!J23+Model!J28</f>
        <v/>
      </c>
      <c r="F9" s="33">
        <f>Model!K23+Model!K28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3958.844146</v>
      </c>
      <c r="C12" s="18" t="n">
        <v>4378.649233</v>
      </c>
      <c r="D12" s="18" t="n">
        <v>4821.365305</v>
      </c>
      <c r="E12" s="18" t="n">
        <v>5694.891325</v>
      </c>
      <c r="F12" s="18" t="n">
        <v>6078.977905</v>
      </c>
    </row>
    <row r="13">
      <c r="A13" s="4" t="inlineStr">
        <is>
          <t xml:space="preserve">  model</t>
        </is>
      </c>
      <c r="B13" s="33">
        <f>Model!G23</f>
        <v/>
      </c>
      <c r="C13" s="33">
        <f>Model!H23</f>
        <v/>
      </c>
      <c r="D13" s="33">
        <f>Model!I23</f>
        <v/>
      </c>
      <c r="E13" s="33">
        <f>Model!J23</f>
        <v/>
      </c>
      <c r="F13" s="33">
        <f>Model!K23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3194.24957</v>
      </c>
      <c r="C16" s="18" t="n">
        <v>3532.975261</v>
      </c>
      <c r="D16" s="18" t="n">
        <v>3890.187006</v>
      </c>
      <c r="E16" s="18" t="n">
        <v>4595.00387</v>
      </c>
      <c r="F16" s="18" t="n">
        <v>4904.909576</v>
      </c>
    </row>
    <row r="17">
      <c r="A17" s="4" t="inlineStr">
        <is>
          <t xml:space="preserve">  model</t>
        </is>
      </c>
      <c r="B17" s="33">
        <f>Model!G18</f>
        <v/>
      </c>
      <c r="C17" s="33">
        <f>Model!H18</f>
        <v/>
      </c>
      <c r="D17" s="33">
        <f>Model!I18</f>
        <v/>
      </c>
      <c r="E17" s="33">
        <f>Model!J18</f>
        <v/>
      </c>
      <c r="F17" s="33">
        <f>Model!K18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2329.930243</v>
      </c>
      <c r="C20" s="18" t="n">
        <v>2267.87591</v>
      </c>
      <c r="D20" s="18" t="n">
        <v>2581.29463</v>
      </c>
      <c r="E20" s="18" t="n">
        <v>2314.873003</v>
      </c>
      <c r="F20" s="18" t="n">
        <v>2469.364923</v>
      </c>
    </row>
    <row r="21">
      <c r="A21" s="4" t="inlineStr">
        <is>
          <t xml:space="preserve">  model</t>
        </is>
      </c>
      <c r="B21" s="33">
        <f>Model!G27</f>
        <v/>
      </c>
      <c r="C21" s="33">
        <f>Model!H27</f>
        <v/>
      </c>
      <c r="D21" s="33">
        <f>Model!I27</f>
        <v/>
      </c>
      <c r="E21" s="33">
        <f>Model!J27</f>
        <v/>
      </c>
      <c r="F21" s="33">
        <f>Model!K27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3.15022</v>
      </c>
      <c r="C24" s="47" t="n">
        <v>3.41873</v>
      </c>
      <c r="D24" s="47" t="n">
        <v>3.81317</v>
      </c>
      <c r="E24" s="47" t="n">
        <v>3.09475</v>
      </c>
      <c r="F24" s="47" t="n">
        <v>3.30129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  <c r="F25" s="8">
        <f>Model!K27/Financials!AC17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Fortinet,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Model!G35</f>
        <v/>
      </c>
      <c r="D12" s="33">
        <f>Model!H35</f>
        <v/>
      </c>
      <c r="E12" s="33">
        <f>Model!I35</f>
        <v/>
      </c>
      <c r="F12" s="33">
        <f>Model!J35</f>
        <v/>
      </c>
      <c r="G12" s="33">
        <f>Model!K35</f>
        <v/>
      </c>
      <c r="H12" s="33">
        <f>Model!L35</f>
        <v/>
      </c>
      <c r="I12" s="33">
        <f>Model!M35</f>
        <v/>
      </c>
      <c r="J12" s="33">
        <f>Model!N35</f>
        <v/>
      </c>
      <c r="K12" s="33">
        <f>Model!O35</f>
        <v/>
      </c>
      <c r="L12" s="33">
        <f>Model!P35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Model!P10</f>
        <v/>
      </c>
    </row>
    <row r="21">
      <c r="A21" s="4" t="inlineStr">
        <is>
          <t>Terminal EBIT</t>
        </is>
      </c>
      <c r="B21" s="33">
        <f>Model!P23</f>
        <v/>
      </c>
    </row>
    <row r="22">
      <c r="A22" s="4" t="inlineStr">
        <is>
          <t>Terminal EBITDA (SBC-burdened)</t>
        </is>
      </c>
      <c r="B22" s="33">
        <f>Model!P23+Model!P28-Model!P29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Financials!AC39</f>
        <v/>
      </c>
    </row>
    <row r="33">
      <c r="A33" s="4" t="inlineStr">
        <is>
          <t>- Long-term debt</t>
        </is>
      </c>
      <c r="B33" s="33">
        <f>-Financials!AC44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0.07511565570057473</v>
      </c>
      <c r="C4" s="51" t="n">
        <v>0.08011565570057473</v>
      </c>
      <c r="D4" s="51" t="n">
        <v>0.08511565570057472</v>
      </c>
      <c r="E4" s="51" t="n">
        <v>0.09011565570057473</v>
      </c>
      <c r="F4" s="51" t="n">
        <v>0.09511565570057473</v>
      </c>
      <c r="G4" s="51" t="n">
        <v>0.1001156557005747</v>
      </c>
      <c r="H4" s="51" t="n">
        <v>0.1051156557005747</v>
      </c>
    </row>
    <row r="5">
      <c r="A5" s="52" t="n">
        <v>9</v>
      </c>
      <c r="B5" s="53" t="n">
        <v>49.06574457198901</v>
      </c>
      <c r="C5" s="53" t="n">
        <v>47.4330469111289</v>
      </c>
      <c r="D5" s="53" t="n">
        <v>45.8747975548827</v>
      </c>
      <c r="E5" s="53" t="n">
        <v>44.3871565830886</v>
      </c>
      <c r="F5" s="53" t="n">
        <v>42.96650134775531</v>
      </c>
      <c r="G5" s="53" t="n">
        <v>41.60941317680835</v>
      </c>
      <c r="H5" s="53" t="n">
        <v>40.31266495019943</v>
      </c>
    </row>
    <row r="6">
      <c r="A6" s="52" t="n">
        <v>10</v>
      </c>
      <c r="B6" s="53" t="n">
        <v>51.89850575376969</v>
      </c>
      <c r="C6" s="53" t="n">
        <v>50.13737396667205</v>
      </c>
      <c r="D6" s="53" t="n">
        <v>48.45706683745371</v>
      </c>
      <c r="E6" s="53" t="n">
        <v>46.85340065805956</v>
      </c>
      <c r="F6" s="53" t="n">
        <v>45.32242898281982</v>
      </c>
      <c r="G6" s="53" t="n">
        <v>43.86042808600622</v>
      </c>
      <c r="H6" s="53" t="n">
        <v>42.46388337461722</v>
      </c>
    </row>
    <row r="7">
      <c r="A7" s="52" t="n">
        <v>11</v>
      </c>
      <c r="B7" s="53" t="n">
        <v>54.73126693555036</v>
      </c>
      <c r="C7" s="53" t="n">
        <v>52.84170102221519</v>
      </c>
      <c r="D7" s="53" t="n">
        <v>51.03933612002471</v>
      </c>
      <c r="E7" s="53" t="n">
        <v>49.3196447330305</v>
      </c>
      <c r="F7" s="53" t="n">
        <v>47.67835661788435</v>
      </c>
      <c r="G7" s="53" t="n">
        <v>46.11144299520407</v>
      </c>
      <c r="H7" s="53" t="n">
        <v>44.61510179903499</v>
      </c>
    </row>
    <row r="8">
      <c r="A8" s="52" t="n">
        <v>12</v>
      </c>
      <c r="B8" s="53" t="n">
        <v>57.56402811733104</v>
      </c>
      <c r="C8" s="53" t="n">
        <v>55.54602807775832</v>
      </c>
      <c r="D8" s="53" t="n">
        <v>53.62160540259572</v>
      </c>
      <c r="E8" s="54" t="n">
        <v>51.78588880800146</v>
      </c>
      <c r="F8" s="53" t="n">
        <v>50.03428425294886</v>
      </c>
      <c r="G8" s="53" t="n">
        <v>48.36245790440194</v>
      </c>
      <c r="H8" s="53" t="n">
        <v>46.76632022345278</v>
      </c>
    </row>
    <row r="9">
      <c r="A9" s="52" t="n">
        <v>13</v>
      </c>
      <c r="B9" s="53" t="n">
        <v>60.39678929911172</v>
      </c>
      <c r="C9" s="53" t="n">
        <v>58.25035513330148</v>
      </c>
      <c r="D9" s="53" t="n">
        <v>56.20387468516673</v>
      </c>
      <c r="E9" s="53" t="n">
        <v>54.25213288297241</v>
      </c>
      <c r="F9" s="53" t="n">
        <v>52.39021188801338</v>
      </c>
      <c r="G9" s="53" t="n">
        <v>50.61347281359981</v>
      </c>
      <c r="H9" s="53" t="n">
        <v>48.91753864787056</v>
      </c>
    </row>
    <row r="10">
      <c r="A10" s="52" t="n">
        <v>14</v>
      </c>
      <c r="B10" s="53" t="n">
        <v>63.22955048089239</v>
      </c>
      <c r="C10" s="53" t="n">
        <v>60.95468218884461</v>
      </c>
      <c r="D10" s="53" t="n">
        <v>58.78614396773774</v>
      </c>
      <c r="E10" s="53" t="n">
        <v>56.71837695794336</v>
      </c>
      <c r="F10" s="53" t="n">
        <v>54.74613952307791</v>
      </c>
      <c r="G10" s="53" t="n">
        <v>52.86448772279767</v>
      </c>
      <c r="H10" s="53" t="n">
        <v>51.06875707228835</v>
      </c>
    </row>
    <row r="11">
      <c r="A11" s="52" t="n">
        <v>15</v>
      </c>
      <c r="B11" s="53" t="n">
        <v>66.06231166267307</v>
      </c>
      <c r="C11" s="53" t="n">
        <v>63.65900924438775</v>
      </c>
      <c r="D11" s="53" t="n">
        <v>61.36841325030874</v>
      </c>
      <c r="E11" s="53" t="n">
        <v>59.1846210329143</v>
      </c>
      <c r="F11" s="53" t="n">
        <v>57.10206715814242</v>
      </c>
      <c r="G11" s="53" t="n">
        <v>55.11550263199554</v>
      </c>
      <c r="H11" s="53" t="n">
        <v>53.21997549670614</v>
      </c>
    </row>
    <row r="13">
      <c r="A13" s="3" t="inlineStr">
        <is>
          <t>Current price</t>
        </is>
      </c>
      <c r="B13" s="53" t="n">
        <v>156.25</v>
      </c>
    </row>
    <row r="14">
      <c r="A14" s="3" t="inlineStr">
        <is>
          <t>Base WACC / multiple</t>
        </is>
      </c>
      <c r="B14" s="55" t="n">
        <v>0.09011565570057473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0.03563444908524031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1.442827603863317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0.9483712982766146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2026-07-06T20:34:51Z</dcterms:created>
  <dcterms:modified xmlns:dcterms="http://purl.org/dc/terms/" xmlns:xsi="http://www.w3.org/2001/XMLSchema-instance" xsi:type="dcterms:W3CDTF">2026-07-06T20:34:51Z</dcterms:modified>
</cp:coreProperties>
</file>