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1" authorId="0" shapeId="0">
      <text>
        <t>builder default</t>
      </text>
    </comment>
    <comment ref="C21" authorId="0" shapeId="0">
      <text>
        <t>builder default</t>
      </text>
    </comment>
    <comment ref="B22" authorId="0" shapeId="0">
      <text>
        <t>builder default</t>
      </text>
    </comment>
    <comment ref="C22" authorId="0" shapeId="0">
      <text>
        <t>builder default</t>
      </text>
    </comment>
    <comment ref="B23" authorId="0" shapeId="0">
      <text>
        <t>builder default</t>
      </text>
    </comment>
    <comment ref="C23" authorId="0" shapeId="0">
      <text>
        <t>builder default</t>
      </text>
    </comment>
    <comment ref="B24" authorId="0" shapeId="0">
      <text>
        <t>builder default</t>
      </text>
    </comment>
    <comment ref="C24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Enbridge Inc. (ENB)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Enbridge Inc. (ENB)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IF(Model!F42&lt;=0,"n/a (neg. capital)",Model!G44-WACC!B15)</f>
        <v/>
      </c>
      <c r="C15" s="10">
        <f>IF(Model!F42&lt;=0,"n/a",IF(Model!G44-WACC!B15&lt;0,"!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Commodity Sales</t>
        </is>
      </c>
      <c r="B20" s="15" t="n">
        <v>0.05000867836637246</v>
      </c>
      <c r="C20" s="15" t="n">
        <v>0.05</v>
      </c>
      <c r="D20" s="16" t="n">
        <v>0.05000867836637246</v>
      </c>
      <c r="E20" s="2" t="inlineStr"/>
    </row>
    <row r="21">
      <c r="A21" s="4" t="inlineStr">
        <is>
          <t>Transportation Revenue</t>
        </is>
      </c>
      <c r="B21" s="15" t="n">
        <v>-0.1717385582829816</v>
      </c>
      <c r="C21" s="15" t="n">
        <v>0.04999999999999999</v>
      </c>
      <c r="D21" s="16" t="n">
        <v>-0.1717385582829816</v>
      </c>
      <c r="E21" s="2" t="inlineStr"/>
    </row>
    <row r="22">
      <c r="A22" s="4" t="inlineStr">
        <is>
          <t>Gas Distribution Revenue</t>
        </is>
      </c>
      <c r="B22" s="15" t="n">
        <v>0.05000867836637246</v>
      </c>
      <c r="C22" s="15" t="n">
        <v>0.05</v>
      </c>
      <c r="D22" s="16" t="n">
        <v>0.05000867836637246</v>
      </c>
      <c r="E22" s="2" t="inlineStr"/>
    </row>
    <row r="23">
      <c r="A23" s="4" t="inlineStr">
        <is>
          <t>Storage and Other Revenue</t>
        </is>
      </c>
      <c r="B23" s="15" t="n">
        <v>-0.0663962081955822</v>
      </c>
      <c r="C23" s="15" t="n">
        <v>0.05</v>
      </c>
      <c r="D23" s="16" t="n">
        <v>-0.0663962081955822</v>
      </c>
      <c r="E23" s="2" t="inlineStr"/>
    </row>
    <row r="24">
      <c r="A24" s="4" t="inlineStr">
        <is>
          <t>Other Revenue</t>
        </is>
      </c>
      <c r="B24" s="15" t="n">
        <v>0.02092855967201046</v>
      </c>
      <c r="C24" s="15" t="n">
        <v>0.05</v>
      </c>
      <c r="D24" s="16" t="n">
        <v>0.02092855967201046</v>
      </c>
      <c r="E24" s="2" t="inlineStr"/>
    </row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0.1332090037915562</v>
      </c>
      <c r="D29" s="16" t="n">
        <v>0.1332090037915562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0.1445741366922618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11311.985058</v>
      </c>
      <c r="D34" s="18" t="n">
        <v>11311.985058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0.792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54.45999908447266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14.26199362458995</v>
      </c>
      <c r="C58" s="28" t="n">
        <v>45.33511396381343</v>
      </c>
      <c r="D58" s="28" t="n">
        <v>-8.12929168680814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</v>
      </c>
      <c r="E66" s="2" t="inlineStr">
        <is>
          <t>fades near-&gt;terminal; also burdens the exit-multiple EBITDA</t>
        </is>
      </c>
    </row>
  </sheetData>
  <conditionalFormatting sqref="B20:B24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ENB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Commodity Sales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Commodity Sales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Transportation Revenue — near-term growth</t>
        </is>
      </c>
      <c r="B10" t="inlineStr">
        <is>
          <t>B21</t>
        </is>
      </c>
      <c r="C10" s="11">
        <f>Dashboard!B21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Transportation Revenue — terminal growth</t>
        </is>
      </c>
      <c r="B11" t="inlineStr">
        <is>
          <t>C21</t>
        </is>
      </c>
      <c r="C11" s="11">
        <f>Dashboard!C21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Gas Distribution Revenue — near-term growth</t>
        </is>
      </c>
      <c r="B12" t="inlineStr">
        <is>
          <t>B22</t>
        </is>
      </c>
      <c r="C12" s="11">
        <f>Dashboard!B22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Gas Distribution Revenue — terminal growth</t>
        </is>
      </c>
      <c r="B13" t="inlineStr">
        <is>
          <t>C22</t>
        </is>
      </c>
      <c r="C13" s="11">
        <f>Dashboard!C22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Storage and Other Revenue — near-term growth</t>
        </is>
      </c>
      <c r="B14" t="inlineStr">
        <is>
          <t>B23</t>
        </is>
      </c>
      <c r="C14" s="11">
        <f>Dashboard!B23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Storage and Other Revenue — terminal growth</t>
        </is>
      </c>
      <c r="B15" t="inlineStr">
        <is>
          <t>C23</t>
        </is>
      </c>
      <c r="C15" s="11">
        <f>Dashboard!C23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Other Revenue — near-term growth</t>
        </is>
      </c>
      <c r="B16" t="inlineStr">
        <is>
          <t>B24</t>
        </is>
      </c>
      <c r="C16" s="11">
        <f>Dashboard!B24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Other Revenue — terminal growth</t>
        </is>
      </c>
      <c r="B17" t="inlineStr">
        <is>
          <t>C24</t>
        </is>
      </c>
      <c r="C17" s="11">
        <f>Dashboard!C24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Near-term operating margin</t>
        </is>
      </c>
      <c r="B18" t="inlineStr">
        <is>
          <t>B29</t>
        </is>
      </c>
      <c r="C18" s="11">
        <f>Dashboard!B29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Terminal operating margin</t>
        </is>
      </c>
      <c r="B19" t="inlineStr">
        <is>
          <t>B30</t>
        </is>
      </c>
      <c r="C19" s="11">
        <f>Dashboard!B30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Tax rate</t>
        </is>
      </c>
      <c r="B20" t="inlineStr">
        <is>
          <t>B31</t>
        </is>
      </c>
      <c r="C20" s="11">
        <f>Dashboard!B31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Terminal capex / D&amp;A</t>
        </is>
      </c>
      <c r="B21" t="inlineStr">
        <is>
          <t>B35</t>
        </is>
      </c>
      <c r="C21" s="13">
        <f>Dashboard!B35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Risk-free rate (10Y)</t>
        </is>
      </c>
      <c r="B22" t="inlineStr">
        <is>
          <t>B38</t>
        </is>
      </c>
      <c r="C22" s="11">
        <f>Dashboard!B38</f>
        <v/>
      </c>
      <c r="D22" t="inlineStr">
        <is>
          <t>builder default</t>
        </is>
      </c>
      <c r="E22" t="inlineStr">
        <is>
          <t>—</t>
        </is>
      </c>
      <c r="F22" s="31" t="inlineStr"/>
    </row>
    <row r="23">
      <c r="A23" t="inlineStr">
        <is>
          <t>Equity risk premium</t>
        </is>
      </c>
      <c r="B23" t="inlineStr">
        <is>
          <t>B39</t>
        </is>
      </c>
      <c r="C23" s="11">
        <f>Dashboard!B39</f>
        <v/>
      </c>
      <c r="D23" t="inlineStr">
        <is>
          <t>builder default</t>
        </is>
      </c>
      <c r="E23" t="inlineStr">
        <is>
          <t>—</t>
        </is>
      </c>
      <c r="F23" s="31" t="inlineStr"/>
    </row>
    <row r="24">
      <c r="A24" t="inlineStr">
        <is>
          <t>Beta (levered)</t>
        </is>
      </c>
      <c r="B24" t="inlineStr">
        <is>
          <t>B40</t>
        </is>
      </c>
      <c r="C24" s="32">
        <f>Dashboard!B40</f>
        <v/>
      </c>
      <c r="D24" t="inlineStr">
        <is>
          <t>builder default</t>
        </is>
      </c>
      <c r="E24" t="inlineStr">
        <is>
          <t>—</t>
        </is>
      </c>
      <c r="F24" s="31" t="inlineStr"/>
    </row>
    <row r="25">
      <c r="A25" t="inlineStr">
        <is>
          <t>Pre-tax cost of debt</t>
        </is>
      </c>
      <c r="B25" t="inlineStr">
        <is>
          <t>B41</t>
        </is>
      </c>
      <c r="C25" s="11">
        <f>Dashboard!B41</f>
        <v/>
      </c>
      <c r="D25" t="inlineStr">
        <is>
          <t>builder default</t>
        </is>
      </c>
      <c r="E25" t="inlineStr">
        <is>
          <t>—</t>
        </is>
      </c>
      <c r="F25" s="31" t="inlineStr"/>
    </row>
    <row r="26">
      <c r="A26" t="inlineStr">
        <is>
          <t>Terminal method</t>
        </is>
      </c>
      <c r="B26" t="inlineStr">
        <is>
          <t>B43</t>
        </is>
      </c>
      <c r="C26" s="12">
        <f>Dashboard!B43</f>
        <v/>
      </c>
      <c r="D26" t="inlineStr">
        <is>
          <t>builder default</t>
        </is>
      </c>
      <c r="E26" t="inlineStr">
        <is>
          <t>—</t>
        </is>
      </c>
      <c r="F26" s="31" t="inlineStr"/>
    </row>
    <row r="27">
      <c r="A27" t="inlineStr">
        <is>
          <t>Exit basis</t>
        </is>
      </c>
      <c r="B27" t="inlineStr">
        <is>
          <t>B44</t>
        </is>
      </c>
      <c r="C27" s="12">
        <f>Dashboard!B44</f>
        <v/>
      </c>
      <c r="D27" t="inlineStr">
        <is>
          <t>builder default</t>
        </is>
      </c>
      <c r="E27" t="inlineStr">
        <is>
          <t>—</t>
        </is>
      </c>
      <c r="F27" s="31" t="inlineStr"/>
    </row>
    <row r="28">
      <c r="A28" t="inlineStr">
        <is>
          <t>Exit multiple</t>
        </is>
      </c>
      <c r="B28" t="inlineStr">
        <is>
          <t>B45</t>
        </is>
      </c>
      <c r="C28" s="13">
        <f>Dashboard!B45</f>
        <v/>
      </c>
      <c r="D28" t="inlineStr">
        <is>
          <t>builder default</t>
        </is>
      </c>
      <c r="E28" t="inlineStr">
        <is>
          <t>—</t>
        </is>
      </c>
      <c r="F28" s="31" t="inlineStr"/>
    </row>
    <row r="29">
      <c r="A29" t="inlineStr">
        <is>
          <t>Terminal growth (g)</t>
        </is>
      </c>
      <c r="B29" t="inlineStr">
        <is>
          <t>B46</t>
        </is>
      </c>
      <c r="C29" s="11">
        <f>Dashboard!B46</f>
        <v/>
      </c>
      <c r="D29" t="inlineStr">
        <is>
          <t>builder default</t>
        </is>
      </c>
      <c r="E29" t="inlineStr">
        <is>
          <t>—</t>
        </is>
      </c>
      <c r="F29" s="31" t="inlineStr"/>
    </row>
    <row r="30">
      <c r="A30" t="inlineStr">
        <is>
          <t>2026 capex ($M)</t>
        </is>
      </c>
      <c r="B30" t="inlineStr">
        <is>
          <t>B34</t>
        </is>
      </c>
      <c r="C30" s="33">
        <f>Dashboard!B34</f>
        <v/>
      </c>
      <c r="D30" t="inlineStr">
        <is>
          <t>builder default</t>
        </is>
      </c>
      <c r="E30" t="inlineStr">
        <is>
          <t>—</t>
        </is>
      </c>
      <c r="F30" s="31" t="inlineStr">
        <is>
          <t>last-year capex +10% unless set to guidance; edits not tracked</t>
        </is>
      </c>
    </row>
    <row r="31">
      <c r="A31" t="inlineStr">
        <is>
          <t>Bull Δ — segment growth, near-term</t>
        </is>
      </c>
      <c r="B31" t="inlineStr">
        <is>
          <t>C52</t>
        </is>
      </c>
      <c r="C31" s="34">
        <f>Dashboard!C52</f>
        <v/>
      </c>
      <c r="D31" t="inlineStr">
        <is>
          <t>seed default</t>
        </is>
      </c>
      <c r="E31" t="inlineStr">
        <is>
          <t>3.0%</t>
        </is>
      </c>
      <c r="F31" s="31" t="inlineStr"/>
    </row>
    <row r="32">
      <c r="A32" t="inlineStr">
        <is>
          <t>Bear Δ — segment growth, near-term</t>
        </is>
      </c>
      <c r="B32" t="inlineStr">
        <is>
          <t>D52</t>
        </is>
      </c>
      <c r="C32" s="34">
        <f>Dashboard!D52</f>
        <v/>
      </c>
      <c r="D32" t="inlineStr">
        <is>
          <t>seed default</t>
        </is>
      </c>
      <c r="E32" t="inlineStr">
        <is>
          <t>-3.0%</t>
        </is>
      </c>
      <c r="F32" s="31" t="inlineStr"/>
    </row>
    <row r="33">
      <c r="A33" t="inlineStr">
        <is>
          <t>Bull Δ — segment growth, terminal</t>
        </is>
      </c>
      <c r="B33" t="inlineStr">
        <is>
          <t>C53</t>
        </is>
      </c>
      <c r="C33" s="34">
        <f>Dashboard!C53</f>
        <v/>
      </c>
      <c r="D33" t="inlineStr">
        <is>
          <t>seed default</t>
        </is>
      </c>
      <c r="E33" t="inlineStr">
        <is>
          <t>1.0%</t>
        </is>
      </c>
      <c r="F33" s="31" t="inlineStr"/>
    </row>
    <row r="34">
      <c r="A34" t="inlineStr">
        <is>
          <t>Bear Δ — segment growth, terminal</t>
        </is>
      </c>
      <c r="B34" t="inlineStr">
        <is>
          <t>D53</t>
        </is>
      </c>
      <c r="C34" s="34">
        <f>Dashboard!D53</f>
        <v/>
      </c>
      <c r="D34" t="inlineStr">
        <is>
          <t>seed default</t>
        </is>
      </c>
      <c r="E34" t="inlineStr">
        <is>
          <t>-1.0%</t>
        </is>
      </c>
      <c r="F34" s="31" t="inlineStr"/>
    </row>
    <row r="35">
      <c r="A35" t="inlineStr">
        <is>
          <t>Bull Δ — operating margin, near-term</t>
        </is>
      </c>
      <c r="B35" t="inlineStr">
        <is>
          <t>C54</t>
        </is>
      </c>
      <c r="C35" s="34">
        <f>Dashboard!C54</f>
        <v/>
      </c>
      <c r="D35" t="inlineStr">
        <is>
          <t>seed default</t>
        </is>
      </c>
      <c r="E35" t="inlineStr">
        <is>
          <t>1.0%</t>
        </is>
      </c>
      <c r="F35" s="31" t="inlineStr"/>
    </row>
    <row r="36">
      <c r="A36" t="inlineStr">
        <is>
          <t>Bear Δ — operating margin, near-term</t>
        </is>
      </c>
      <c r="B36" t="inlineStr">
        <is>
          <t>D54</t>
        </is>
      </c>
      <c r="C36" s="34">
        <f>Dashboard!D54</f>
        <v/>
      </c>
      <c r="D36" t="inlineStr">
        <is>
          <t>seed default</t>
        </is>
      </c>
      <c r="E36" t="inlineStr">
        <is>
          <t>-1.0%</t>
        </is>
      </c>
      <c r="F36" s="31" t="inlineStr"/>
    </row>
    <row r="37">
      <c r="A37" t="inlineStr">
        <is>
          <t>Bull Δ — operating margin, terminal</t>
        </is>
      </c>
      <c r="B37" t="inlineStr">
        <is>
          <t>C55</t>
        </is>
      </c>
      <c r="C37" s="34">
        <f>Dashboard!C55</f>
        <v/>
      </c>
      <c r="D37" t="inlineStr">
        <is>
          <t>seed default</t>
        </is>
      </c>
      <c r="E37" t="inlineStr">
        <is>
          <t>2.0%</t>
        </is>
      </c>
      <c r="F37" s="31" t="inlineStr"/>
    </row>
    <row r="38">
      <c r="A38" t="inlineStr">
        <is>
          <t>Bear Δ — operating margin, terminal</t>
        </is>
      </c>
      <c r="B38" t="inlineStr">
        <is>
          <t>D55</t>
        </is>
      </c>
      <c r="C38" s="34">
        <f>Dashboard!D55</f>
        <v/>
      </c>
      <c r="D38" t="inlineStr">
        <is>
          <t>seed default</t>
        </is>
      </c>
      <c r="E38" t="inlineStr">
        <is>
          <t>-2.0%</t>
        </is>
      </c>
      <c r="F38" s="31" t="inlineStr"/>
    </row>
    <row r="39">
      <c r="A39" t="inlineStr">
        <is>
          <t>Bull Δ — exit multiple</t>
        </is>
      </c>
      <c r="B39" t="inlineStr">
        <is>
          <t>C56</t>
        </is>
      </c>
      <c r="C39" s="35">
        <f>Dashboard!C56</f>
        <v/>
      </c>
      <c r="D39" t="inlineStr">
        <is>
          <t>seed default</t>
        </is>
      </c>
      <c r="E39" t="inlineStr">
        <is>
          <t>2.0x</t>
        </is>
      </c>
      <c r="F39" s="31" t="inlineStr"/>
    </row>
    <row r="40">
      <c r="A40" t="inlineStr">
        <is>
          <t>Bear Δ — exit multiple</t>
        </is>
      </c>
      <c r="B40" t="inlineStr">
        <is>
          <t>D56</t>
        </is>
      </c>
      <c r="C40" s="35">
        <f>Dashboard!D56</f>
        <v/>
      </c>
      <c r="D40" t="inlineStr">
        <is>
          <t>seed default</t>
        </is>
      </c>
      <c r="E40" t="inlineStr">
        <is>
          <t>-2.0x</t>
        </is>
      </c>
      <c r="F40" s="31" t="inlineStr"/>
    </row>
    <row r="41">
      <c r="A41" t="inlineStr">
        <is>
          <t>Bull Δ — terminal growth (g)</t>
        </is>
      </c>
      <c r="B41" t="inlineStr">
        <is>
          <t>C57</t>
        </is>
      </c>
      <c r="C41" s="34">
        <f>Dashboard!C57</f>
        <v/>
      </c>
      <c r="D41" t="inlineStr">
        <is>
          <t>seed default</t>
        </is>
      </c>
      <c r="E41" t="inlineStr">
        <is>
          <t>0.5%</t>
        </is>
      </c>
      <c r="F41" s="31" t="inlineStr"/>
    </row>
    <row r="42">
      <c r="A42" t="inlineStr">
        <is>
          <t>Bear Δ — terminal growth (g)</t>
        </is>
      </c>
      <c r="B42" t="inlineStr">
        <is>
          <t>D57</t>
        </is>
      </c>
      <c r="C42" s="34">
        <f>Dashboard!D57</f>
        <v/>
      </c>
      <c r="D42" t="inlineStr">
        <is>
          <t>seed default</t>
        </is>
      </c>
      <c r="E42" t="inlineStr">
        <is>
          <t>-0.5%</t>
        </is>
      </c>
      <c r="F42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Financials!AC40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Commodity Sales</t>
        </is>
      </c>
      <c r="B4" s="33">
        <f>SUM(Financials!I19:L19)</f>
        <v/>
      </c>
      <c r="C4" s="33">
        <f>SUM(Financials!M19:P19)</f>
        <v/>
      </c>
      <c r="D4" s="33">
        <f>SUM(Financials!Q19:T19)</f>
        <v/>
      </c>
      <c r="E4" s="33">
        <f>SUM(Financials!U19:X19)</f>
        <v/>
      </c>
      <c r="F4" s="33">
        <f>SUM(Financials!Y19:AB19)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Transportation Revenue</t>
        </is>
      </c>
      <c r="B6" s="33">
        <f>SUM(Financials!I22:L22)</f>
        <v/>
      </c>
      <c r="C6" s="33">
        <f>SUM(Financials!M22:P22)</f>
        <v/>
      </c>
      <c r="D6" s="33">
        <f>SUM(Financials!Q22:T22)</f>
        <v/>
      </c>
      <c r="E6" s="33">
        <f>SUM(Financials!U22:X22)</f>
        <v/>
      </c>
      <c r="F6" s="33">
        <f>SUM(Financials!Y22:AB22)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4" t="inlineStr">
        <is>
          <t>Gas Distribution Revenue</t>
        </is>
      </c>
      <c r="B8" s="33">
        <f>SUM(Financials!I25:L25)</f>
        <v/>
      </c>
      <c r="C8" s="33">
        <f>SUM(Financials!M25:P25)</f>
        <v/>
      </c>
      <c r="D8" s="33">
        <f>SUM(Financials!Q25:T25)</f>
        <v/>
      </c>
      <c r="E8" s="33">
        <f>SUM(Financials!U25:X25)</f>
        <v/>
      </c>
      <c r="F8" s="33">
        <f>SUM(Financials!Y25:AB25)</f>
        <v/>
      </c>
      <c r="G8" s="41">
        <f>F8*(1+G9)</f>
        <v/>
      </c>
      <c r="H8" s="41">
        <f>G8*(1+H9)</f>
        <v/>
      </c>
      <c r="I8" s="41">
        <f>H8*(1+I9)</f>
        <v/>
      </c>
      <c r="J8" s="41">
        <f>I8*(1+J9)</f>
        <v/>
      </c>
      <c r="K8" s="41">
        <f>J8*(1+K9)</f>
        <v/>
      </c>
      <c r="L8" s="41">
        <f>K8*(1+L9)</f>
        <v/>
      </c>
      <c r="M8" s="41">
        <f>L8*(1+M9)</f>
        <v/>
      </c>
      <c r="N8" s="41">
        <f>M8*(1+N9)</f>
        <v/>
      </c>
      <c r="O8" s="41">
        <f>N8*(1+O9)</f>
        <v/>
      </c>
      <c r="P8" s="41">
        <f>O8*(1+P9)</f>
        <v/>
      </c>
    </row>
    <row r="9">
      <c r="A9" s="4" t="inlineStr">
        <is>
          <t xml:space="preserve">    growth % (convex fade; curvature from Dashboard)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11">
        <f>Dashboard!$C$22+(Dashboard!$B$22-Dashboard!$C$22)*((9-0)/9)^Dashboard!$B$49</f>
        <v/>
      </c>
      <c r="H9" s="11">
        <f>Dashboard!$C$22+(Dashboard!$B$22-Dashboard!$C$22)*((9-1)/9)^Dashboard!$B$49</f>
        <v/>
      </c>
      <c r="I9" s="11">
        <f>Dashboard!$C$22+(Dashboard!$B$22-Dashboard!$C$22)*((9-2)/9)^Dashboard!$B$49</f>
        <v/>
      </c>
      <c r="J9" s="11">
        <f>Dashboard!$C$22+(Dashboard!$B$22-Dashboard!$C$22)*((9-3)/9)^Dashboard!$B$49</f>
        <v/>
      </c>
      <c r="K9" s="11">
        <f>Dashboard!$C$22+(Dashboard!$B$22-Dashboard!$C$22)*((9-4)/9)^Dashboard!$B$49</f>
        <v/>
      </c>
      <c r="L9" s="11">
        <f>Dashboard!$C$22+(Dashboard!$B$22-Dashboard!$C$22)*((9-5)/9)^Dashboard!$B$49</f>
        <v/>
      </c>
      <c r="M9" s="11">
        <f>Dashboard!$C$22+(Dashboard!$B$22-Dashboard!$C$22)*((9-6)/9)^Dashboard!$B$49</f>
        <v/>
      </c>
      <c r="N9" s="11">
        <f>Dashboard!$C$22+(Dashboard!$B$22-Dashboard!$C$22)*((9-7)/9)^Dashboard!$B$49</f>
        <v/>
      </c>
      <c r="O9" s="11">
        <f>Dashboard!$C$22+(Dashboard!$B$22-Dashboard!$C$22)*((9-8)/9)^Dashboard!$B$49</f>
        <v/>
      </c>
      <c r="P9" s="11">
        <f>Dashboard!$C$22+(Dashboard!$B$22-Dashboard!$C$22)*((9-9)/9)^Dashboard!$B$49</f>
        <v/>
      </c>
    </row>
    <row r="10">
      <c r="A10" s="4" t="inlineStr">
        <is>
          <t>Storage and Other Revenue</t>
        </is>
      </c>
      <c r="B10" s="33">
        <f>SUM(Financials!I28:L28)</f>
        <v/>
      </c>
      <c r="C10" s="33">
        <f>SUM(Financials!M28:P28)</f>
        <v/>
      </c>
      <c r="D10" s="33">
        <f>SUM(Financials!Q28:T28)</f>
        <v/>
      </c>
      <c r="E10" s="33">
        <f>SUM(Financials!U28:X28)</f>
        <v/>
      </c>
      <c r="F10" s="33">
        <f>SUM(Financials!Y28:AB28)</f>
        <v/>
      </c>
      <c r="G10" s="41">
        <f>F10*(1+G11)</f>
        <v/>
      </c>
      <c r="H10" s="41">
        <f>G10*(1+H11)</f>
        <v/>
      </c>
      <c r="I10" s="41">
        <f>H10*(1+I11)</f>
        <v/>
      </c>
      <c r="J10" s="41">
        <f>I10*(1+J11)</f>
        <v/>
      </c>
      <c r="K10" s="41">
        <f>J10*(1+K11)</f>
        <v/>
      </c>
      <c r="L10" s="41">
        <f>K10*(1+L11)</f>
        <v/>
      </c>
      <c r="M10" s="41">
        <f>L10*(1+M11)</f>
        <v/>
      </c>
      <c r="N10" s="41">
        <f>M10*(1+N11)</f>
        <v/>
      </c>
      <c r="O10" s="41">
        <f>N10*(1+O11)</f>
        <v/>
      </c>
      <c r="P10" s="41">
        <f>O10*(1+P11)</f>
        <v/>
      </c>
    </row>
    <row r="11">
      <c r="A11" s="4" t="inlineStr">
        <is>
          <t xml:space="preserve">    growth % (convex fade; curvature from Dashboard)</t>
        </is>
      </c>
      <c r="C11" s="25">
        <f>IFERROR(C10/B10-1,"")</f>
        <v/>
      </c>
      <c r="D11" s="25">
        <f>IFERROR(D10/C10-1,"")</f>
        <v/>
      </c>
      <c r="E11" s="25">
        <f>IFERROR(E10/D10-1,"")</f>
        <v/>
      </c>
      <c r="F11" s="25">
        <f>IFERROR(F10/E10-1,"")</f>
        <v/>
      </c>
      <c r="G11" s="11">
        <f>Dashboard!$C$23+(Dashboard!$B$23-Dashboard!$C$23)*((9-0)/9)^Dashboard!$B$49</f>
        <v/>
      </c>
      <c r="H11" s="11">
        <f>Dashboard!$C$23+(Dashboard!$B$23-Dashboard!$C$23)*((9-1)/9)^Dashboard!$B$49</f>
        <v/>
      </c>
      <c r="I11" s="11">
        <f>Dashboard!$C$23+(Dashboard!$B$23-Dashboard!$C$23)*((9-2)/9)^Dashboard!$B$49</f>
        <v/>
      </c>
      <c r="J11" s="11">
        <f>Dashboard!$C$23+(Dashboard!$B$23-Dashboard!$C$23)*((9-3)/9)^Dashboard!$B$49</f>
        <v/>
      </c>
      <c r="K11" s="11">
        <f>Dashboard!$C$23+(Dashboard!$B$23-Dashboard!$C$23)*((9-4)/9)^Dashboard!$B$49</f>
        <v/>
      </c>
      <c r="L11" s="11">
        <f>Dashboard!$C$23+(Dashboard!$B$23-Dashboard!$C$23)*((9-5)/9)^Dashboard!$B$49</f>
        <v/>
      </c>
      <c r="M11" s="11">
        <f>Dashboard!$C$23+(Dashboard!$B$23-Dashboard!$C$23)*((9-6)/9)^Dashboard!$B$49</f>
        <v/>
      </c>
      <c r="N11" s="11">
        <f>Dashboard!$C$23+(Dashboard!$B$23-Dashboard!$C$23)*((9-7)/9)^Dashboard!$B$49</f>
        <v/>
      </c>
      <c r="O11" s="11">
        <f>Dashboard!$C$23+(Dashboard!$B$23-Dashboard!$C$23)*((9-8)/9)^Dashboard!$B$49</f>
        <v/>
      </c>
      <c r="P11" s="11">
        <f>Dashboard!$C$23+(Dashboard!$B$23-Dashboard!$C$23)*((9-9)/9)^Dashboard!$B$49</f>
        <v/>
      </c>
    </row>
    <row r="12">
      <c r="A12" s="4" t="inlineStr">
        <is>
          <t>Other Revenue</t>
        </is>
      </c>
      <c r="B12" s="33">
        <f>SUM(Financials!I31:L31)</f>
        <v/>
      </c>
      <c r="C12" s="33">
        <f>SUM(Financials!M31:P31)</f>
        <v/>
      </c>
      <c r="D12" s="33">
        <f>SUM(Financials!Q31:T31)</f>
        <v/>
      </c>
      <c r="E12" s="33">
        <f>SUM(Financials!U31:X31)</f>
        <v/>
      </c>
      <c r="F12" s="33">
        <f>SUM(Financials!Y31:AB31)</f>
        <v/>
      </c>
      <c r="G12" s="41">
        <f>F12*(1+G13)</f>
        <v/>
      </c>
      <c r="H12" s="41">
        <f>G12*(1+H13)</f>
        <v/>
      </c>
      <c r="I12" s="41">
        <f>H12*(1+I13)</f>
        <v/>
      </c>
      <c r="J12" s="41">
        <f>I12*(1+J13)</f>
        <v/>
      </c>
      <c r="K12" s="41">
        <f>J12*(1+K13)</f>
        <v/>
      </c>
      <c r="L12" s="41">
        <f>K12*(1+L13)</f>
        <v/>
      </c>
      <c r="M12" s="41">
        <f>L12*(1+M13)</f>
        <v/>
      </c>
      <c r="N12" s="41">
        <f>M12*(1+N13)</f>
        <v/>
      </c>
      <c r="O12" s="41">
        <f>N12*(1+O13)</f>
        <v/>
      </c>
      <c r="P12" s="41">
        <f>O12*(1+P13)</f>
        <v/>
      </c>
    </row>
    <row r="13">
      <c r="A13" s="4" t="inlineStr">
        <is>
          <t xml:space="preserve">    growth % (convex fade; curvature from Dashboard)</t>
        </is>
      </c>
      <c r="C13" s="25">
        <f>IFERROR(C12/B12-1,"")</f>
        <v/>
      </c>
      <c r="D13" s="25">
        <f>IFERROR(D12/C12-1,"")</f>
        <v/>
      </c>
      <c r="E13" s="25">
        <f>IFERROR(E12/D12-1,"")</f>
        <v/>
      </c>
      <c r="F13" s="25">
        <f>IFERROR(F12/E12-1,"")</f>
        <v/>
      </c>
      <c r="G13" s="11">
        <f>Dashboard!$C$24+(Dashboard!$B$24-Dashboard!$C$24)*((9-0)/9)^Dashboard!$B$49</f>
        <v/>
      </c>
      <c r="H13" s="11">
        <f>Dashboard!$C$24+(Dashboard!$B$24-Dashboard!$C$24)*((9-1)/9)^Dashboard!$B$49</f>
        <v/>
      </c>
      <c r="I13" s="11">
        <f>Dashboard!$C$24+(Dashboard!$B$24-Dashboard!$C$24)*((9-2)/9)^Dashboard!$B$49</f>
        <v/>
      </c>
      <c r="J13" s="11">
        <f>Dashboard!$C$24+(Dashboard!$B$24-Dashboard!$C$24)*((9-3)/9)^Dashboard!$B$49</f>
        <v/>
      </c>
      <c r="K13" s="11">
        <f>Dashboard!$C$24+(Dashboard!$B$24-Dashboard!$C$24)*((9-4)/9)^Dashboard!$B$49</f>
        <v/>
      </c>
      <c r="L13" s="11">
        <f>Dashboard!$C$24+(Dashboard!$B$24-Dashboard!$C$24)*((9-5)/9)^Dashboard!$B$49</f>
        <v/>
      </c>
      <c r="M13" s="11">
        <f>Dashboard!$C$24+(Dashboard!$B$24-Dashboard!$C$24)*((9-6)/9)^Dashboard!$B$49</f>
        <v/>
      </c>
      <c r="N13" s="11">
        <f>Dashboard!$C$24+(Dashboard!$B$24-Dashboard!$C$24)*((9-7)/9)^Dashboard!$B$49</f>
        <v/>
      </c>
      <c r="O13" s="11">
        <f>Dashboard!$C$24+(Dashboard!$B$24-Dashboard!$C$24)*((9-8)/9)^Dashboard!$B$49</f>
        <v/>
      </c>
      <c r="P13" s="11">
        <f>Dashboard!$C$24+(Dashboard!$B$24-Dashboard!$C$24)*((9-9)/9)^Dashboard!$B$49</f>
        <v/>
      </c>
    </row>
    <row r="14">
      <c r="A14" s="3" t="inlineStr">
        <is>
          <t>Total revenue</t>
        </is>
      </c>
      <c r="B14" s="42">
        <f>B4+B6+B8+B10+B12</f>
        <v/>
      </c>
      <c r="C14" s="42">
        <f>C4+C6+C8+C10+C12</f>
        <v/>
      </c>
      <c r="D14" s="42">
        <f>D4+D6+D8+D10+D12</f>
        <v/>
      </c>
      <c r="E14" s="42">
        <f>E4+E6+E8+E10+E12</f>
        <v/>
      </c>
      <c r="F14" s="42">
        <f>F4+F6+F8+F10+F12</f>
        <v/>
      </c>
      <c r="G14" s="42">
        <f>G4+G6+G8+G10+G12</f>
        <v/>
      </c>
      <c r="H14" s="42">
        <f>H4+H6+H8+H10+H12</f>
        <v/>
      </c>
      <c r="I14" s="42">
        <f>I4+I6+I8+I10+I12</f>
        <v/>
      </c>
      <c r="J14" s="42">
        <f>J4+J6+J8+J10+J12</f>
        <v/>
      </c>
      <c r="K14" s="42">
        <f>K4+K6+K8+K10+K12</f>
        <v/>
      </c>
      <c r="L14" s="42">
        <f>L4+L6+L8+L10+L12</f>
        <v/>
      </c>
      <c r="M14" s="42">
        <f>M4+M6+M8+M10+M12</f>
        <v/>
      </c>
      <c r="N14" s="42">
        <f>N4+N6+N8+N10+N12</f>
        <v/>
      </c>
      <c r="O14" s="42">
        <f>O4+O6+O8+O10+O12</f>
        <v/>
      </c>
      <c r="P14" s="42">
        <f>P4+P6+P8+P10+P12</f>
        <v/>
      </c>
    </row>
    <row r="15">
      <c r="A15" s="4" t="inlineStr">
        <is>
          <t xml:space="preserve">    growth %</t>
        </is>
      </c>
      <c r="C15" s="25">
        <f>IFERROR(C14/B14-1,"")</f>
        <v/>
      </c>
      <c r="D15" s="25">
        <f>IFERROR(D14/C14-1,"")</f>
        <v/>
      </c>
      <c r="E15" s="25">
        <f>IFERROR(E14/D14-1,"")</f>
        <v/>
      </c>
      <c r="F15" s="25">
        <f>IFERROR(F14/E14-1,"")</f>
        <v/>
      </c>
      <c r="G15" s="25">
        <f>IFERROR(G14/F14-1,"")</f>
        <v/>
      </c>
      <c r="H15" s="25">
        <f>IFERROR(H14/G14-1,"")</f>
        <v/>
      </c>
      <c r="I15" s="25">
        <f>IFERROR(I14/H14-1,"")</f>
        <v/>
      </c>
      <c r="J15" s="25">
        <f>IFERROR(J14/I14-1,"")</f>
        <v/>
      </c>
      <c r="K15" s="25">
        <f>IFERROR(K14/J14-1,"")</f>
        <v/>
      </c>
      <c r="L15" s="25">
        <f>IFERROR(L14/K14-1,"")</f>
        <v/>
      </c>
      <c r="M15" s="25">
        <f>IFERROR(M14/L14-1,"")</f>
        <v/>
      </c>
      <c r="N15" s="25">
        <f>IFERROR(N14/M14-1,"")</f>
        <v/>
      </c>
      <c r="O15" s="25">
        <f>IFERROR(O14/N14-1,"")</f>
        <v/>
      </c>
      <c r="P15" s="25">
        <f>IFERROR(P14/O14-1,"")</f>
        <v/>
      </c>
    </row>
    <row r="17">
      <c r="A17" s="5" t="inlineStr">
        <is>
          <t xml:space="preserve">  COST STRUCTURE (yellow = % of revenue)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4" t="inlineStr">
        <is>
          <t>Cost of revenue</t>
        </is>
      </c>
      <c r="B18" s="33">
        <f>SUM(Financials!I5:L5)</f>
        <v/>
      </c>
      <c r="C18" s="33">
        <f>SUM(Financials!M5:P5)</f>
        <v/>
      </c>
      <c r="D18" s="33">
        <f>SUM(Financials!Q5:T5)</f>
        <v/>
      </c>
      <c r="E18" s="33">
        <f>SUM(Financials!U5:X5)</f>
        <v/>
      </c>
      <c r="F18" s="33">
        <f>SUM(Financials!Y5:AB5)</f>
        <v/>
      </c>
      <c r="G18" s="41">
        <f>G14*G19</f>
        <v/>
      </c>
      <c r="H18" s="41">
        <f>H14*H19</f>
        <v/>
      </c>
      <c r="I18" s="41">
        <f>I14*I19</f>
        <v/>
      </c>
      <c r="J18" s="41">
        <f>J14*J19</f>
        <v/>
      </c>
      <c r="K18" s="41">
        <f>K14*K19</f>
        <v/>
      </c>
      <c r="L18" s="41">
        <f>L14*L19</f>
        <v/>
      </c>
      <c r="M18" s="41">
        <f>M14*M19</f>
        <v/>
      </c>
      <c r="N18" s="41">
        <f>N14*N19</f>
        <v/>
      </c>
      <c r="O18" s="41">
        <f>O14*O19</f>
        <v/>
      </c>
      <c r="P18" s="41">
        <f>P14*P19</f>
        <v/>
      </c>
    </row>
    <row r="19">
      <c r="A19" s="4" t="inlineStr">
        <is>
          <t xml:space="preserve">    % of revenue</t>
        </is>
      </c>
      <c r="B19" s="25">
        <f>IFERROR(B18/B14,"")</f>
        <v/>
      </c>
      <c r="C19" s="25">
        <f>IFERROR(C18/C14,"")</f>
        <v/>
      </c>
      <c r="D19" s="25">
        <f>IFERROR(D18/D14,"")</f>
        <v/>
      </c>
      <c r="E19" s="25">
        <f>IFERROR(E18/E14,"")</f>
        <v/>
      </c>
      <c r="F19" s="25">
        <f>IFERROR(F18/F14,"")</f>
        <v/>
      </c>
      <c r="G19" s="15" t="n">
        <v>0.6702610669693531</v>
      </c>
      <c r="H19" s="15" t="n">
        <v>0.6702610669693531</v>
      </c>
      <c r="I19" s="15" t="n">
        <v>0.6702610669693531</v>
      </c>
      <c r="J19" s="15" t="n">
        <v>0.6702610669693531</v>
      </c>
      <c r="K19" s="15" t="n">
        <v>0.6702610669693531</v>
      </c>
      <c r="L19" s="15" t="n">
        <v>0.6702610669693531</v>
      </c>
      <c r="M19" s="15" t="n">
        <v>0.6702610669693531</v>
      </c>
      <c r="N19" s="15" t="n">
        <v>0.6702610669693531</v>
      </c>
      <c r="O19" s="15" t="n">
        <v>0.6702610669693531</v>
      </c>
      <c r="P19" s="15" t="n">
        <v>0.6702610669693531</v>
      </c>
    </row>
    <row r="20">
      <c r="A20" s="4" t="inlineStr">
        <is>
          <t>R&amp;D / Technology</t>
        </is>
      </c>
      <c r="B20" s="33">
        <f>SUM(Financials!I7:L7)</f>
        <v/>
      </c>
      <c r="C20" s="33">
        <f>SUM(Financials!M7:P7)</f>
        <v/>
      </c>
      <c r="D20" s="33">
        <f>SUM(Financials!Q7:T7)</f>
        <v/>
      </c>
      <c r="E20" s="33">
        <f>SUM(Financials!U7:X7)</f>
        <v/>
      </c>
      <c r="F20" s="33">
        <f>SUM(Financials!Y7:AB7)</f>
        <v/>
      </c>
      <c r="G20" s="41">
        <f>G14*G21</f>
        <v/>
      </c>
      <c r="H20" s="41">
        <f>H14*H21</f>
        <v/>
      </c>
      <c r="I20" s="41">
        <f>I14*I21</f>
        <v/>
      </c>
      <c r="J20" s="41">
        <f>J14*J21</f>
        <v/>
      </c>
      <c r="K20" s="41">
        <f>K14*K21</f>
        <v/>
      </c>
      <c r="L20" s="41">
        <f>L14*L21</f>
        <v/>
      </c>
      <c r="M20" s="41">
        <f>M14*M21</f>
        <v/>
      </c>
      <c r="N20" s="41">
        <f>N14*N21</f>
        <v/>
      </c>
      <c r="O20" s="41">
        <f>O14*O21</f>
        <v/>
      </c>
      <c r="P20" s="41">
        <f>P14*P21</f>
        <v/>
      </c>
    </row>
    <row r="21">
      <c r="A21" s="4" t="inlineStr">
        <is>
          <t xml:space="preserve">    % of revenue</t>
        </is>
      </c>
      <c r="B21" s="25">
        <f>IFERROR(B20/B14,"")</f>
        <v/>
      </c>
      <c r="C21" s="25">
        <f>IFERROR(C20/C14,"")</f>
        <v/>
      </c>
      <c r="D21" s="25">
        <f>IFERROR(D20/D14,"")</f>
        <v/>
      </c>
      <c r="E21" s="25">
        <f>IFERROR(E20/E14,"")</f>
        <v/>
      </c>
      <c r="F21" s="25">
        <f>IFERROR(F20/F14,"")</f>
        <v/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</row>
    <row r="22">
      <c r="A22" s="4" t="inlineStr">
        <is>
          <t>SG&amp;A</t>
        </is>
      </c>
      <c r="B22" s="33">
        <f>SUM(Financials!I9:L9)</f>
        <v/>
      </c>
      <c r="C22" s="33">
        <f>SUM(Financials!M9:P9)</f>
        <v/>
      </c>
      <c r="D22" s="33">
        <f>SUM(Financials!Q9:T9)</f>
        <v/>
      </c>
      <c r="E22" s="33">
        <f>SUM(Financials!U9:X9)</f>
        <v/>
      </c>
      <c r="F22" s="33">
        <f>SUM(Financials!Y9:AB9)</f>
        <v/>
      </c>
      <c r="G22" s="41">
        <f>G14*G23</f>
        <v/>
      </c>
      <c r="H22" s="41">
        <f>H14*H23</f>
        <v/>
      </c>
      <c r="I22" s="41">
        <f>I14*I23</f>
        <v/>
      </c>
      <c r="J22" s="41">
        <f>J14*J23</f>
        <v/>
      </c>
      <c r="K22" s="41">
        <f>K14*K23</f>
        <v/>
      </c>
      <c r="L22" s="41">
        <f>L14*L23</f>
        <v/>
      </c>
      <c r="M22" s="41">
        <f>M14*M23</f>
        <v/>
      </c>
      <c r="N22" s="41">
        <f>N14*N23</f>
        <v/>
      </c>
      <c r="O22" s="41">
        <f>O14*O23</f>
        <v/>
      </c>
      <c r="P22" s="41">
        <f>P14*P23</f>
        <v/>
      </c>
    </row>
    <row r="23">
      <c r="A23" s="4" t="inlineStr">
        <is>
          <t xml:space="preserve">    % of revenue</t>
        </is>
      </c>
      <c r="B23" s="25">
        <f>IFERROR(B22/B14,"")</f>
        <v/>
      </c>
      <c r="C23" s="25">
        <f>IFERROR(C22/C14,"")</f>
        <v/>
      </c>
      <c r="D23" s="25">
        <f>IFERROR(D22/D14,"")</f>
        <v/>
      </c>
      <c r="E23" s="25">
        <f>IFERROR(E22/E14,"")</f>
        <v/>
      </c>
      <c r="F23" s="25">
        <f>IFERROR(F22/F14,"")</f>
        <v/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0</v>
      </c>
      <c r="N23" s="15" t="n">
        <v>0</v>
      </c>
      <c r="O23" s="15" t="n">
        <v>0</v>
      </c>
      <c r="P23" s="15" t="n">
        <v>0</v>
      </c>
    </row>
    <row r="24">
      <c r="A24" s="4" t="inlineStr">
        <is>
          <t>Other opex (fulfilment, etc.)</t>
        </is>
      </c>
      <c r="B24" s="33">
        <f>B14-(B18+B20+B22)-SUM(Financials!I13:L13)</f>
        <v/>
      </c>
      <c r="C24" s="33">
        <f>C14-(C18+C20+C22)-SUM(Financials!M13:P13)</f>
        <v/>
      </c>
      <c r="D24" s="33">
        <f>D14-(D18+D20+D22)-SUM(Financials!Q13:T13)</f>
        <v/>
      </c>
      <c r="E24" s="33">
        <f>E14-(E18+E20+E22)-SUM(Financials!U13:X13)</f>
        <v/>
      </c>
      <c r="F24" s="33">
        <f>F14-(F18+F20+F22)-SUM(Financials!Y13:AB13)</f>
        <v/>
      </c>
      <c r="G24" s="33">
        <f>G14*(1-(Dashboard!$B$29+(Dashboard!$B$30-Dashboard!$B$29)*MIN(1,0/4)))-(G18+G20+G22)</f>
        <v/>
      </c>
      <c r="H24" s="33">
        <f>H14*(1-(Dashboard!$B$29+(Dashboard!$B$30-Dashboard!$B$29)*MIN(1,1/4)))-(H18+H20+H22)</f>
        <v/>
      </c>
      <c r="I24" s="33">
        <f>I14*(1-(Dashboard!$B$29+(Dashboard!$B$30-Dashboard!$B$29)*MIN(1,2/4)))-(I18+I20+I22)</f>
        <v/>
      </c>
      <c r="J24" s="33">
        <f>J14*(1-(Dashboard!$B$29+(Dashboard!$B$30-Dashboard!$B$29)*MIN(1,3/4)))-(J18+J20+J22)</f>
        <v/>
      </c>
      <c r="K24" s="33">
        <f>K14*(1-(Dashboard!$B$29+(Dashboard!$B$30-Dashboard!$B$29)*MIN(1,4/4)))-(K18+K20+K22)</f>
        <v/>
      </c>
      <c r="L24" s="33">
        <f>L14*(1-(Dashboard!$B$29+(Dashboard!$B$30-Dashboard!$B$29)*MIN(1,5/4)))-(L18+L20+L22)</f>
        <v/>
      </c>
      <c r="M24" s="33">
        <f>M14*(1-(Dashboard!$B$29+(Dashboard!$B$30-Dashboard!$B$29)*MIN(1,6/4)))-(M18+M20+M22)</f>
        <v/>
      </c>
      <c r="N24" s="33">
        <f>N14*(1-(Dashboard!$B$29+(Dashboard!$B$30-Dashboard!$B$29)*MIN(1,7/4)))-(N18+N20+N22)</f>
        <v/>
      </c>
      <c r="O24" s="33">
        <f>O14*(1-(Dashboard!$B$29+(Dashboard!$B$30-Dashboard!$B$29)*MIN(1,8/4)))-(O18+O20+O22)</f>
        <v/>
      </c>
      <c r="P24" s="33">
        <f>P14*(1-(Dashboard!$B$29+(Dashboard!$B$30-Dashboard!$B$29)*MIN(1,9/4)))-(P18+P20+P22)</f>
        <v/>
      </c>
    </row>
    <row r="25">
      <c r="A25" s="4" t="inlineStr">
        <is>
          <t xml:space="preserve">    % of revenue</t>
        </is>
      </c>
      <c r="B25" s="25">
        <f>IFERROR(B24/B14,"")</f>
        <v/>
      </c>
      <c r="C25" s="25">
        <f>IFERROR(C24/C14,"")</f>
        <v/>
      </c>
      <c r="D25" s="25">
        <f>IFERROR(D24/D14,"")</f>
        <v/>
      </c>
      <c r="E25" s="25">
        <f>IFERROR(E24/E14,"")</f>
        <v/>
      </c>
      <c r="F25" s="25">
        <f>IFERROR(F24/F14,"")</f>
        <v/>
      </c>
      <c r="G25" s="25">
        <f>IFERROR(G24/G14,"")</f>
        <v/>
      </c>
      <c r="H25" s="25">
        <f>IFERROR(H24/H14,"")</f>
        <v/>
      </c>
      <c r="I25" s="25">
        <f>IFERROR(I24/I14,"")</f>
        <v/>
      </c>
      <c r="J25" s="25">
        <f>IFERROR(J24/J14,"")</f>
        <v/>
      </c>
      <c r="K25" s="25">
        <f>IFERROR(K24/K14,"")</f>
        <v/>
      </c>
      <c r="L25" s="25">
        <f>IFERROR(L24/L14,"")</f>
        <v/>
      </c>
      <c r="M25" s="25">
        <f>IFERROR(M24/M14,"")</f>
        <v/>
      </c>
      <c r="N25" s="25">
        <f>IFERROR(N24/N14,"")</f>
        <v/>
      </c>
      <c r="O25" s="25">
        <f>IFERROR(O24/O14,"")</f>
        <v/>
      </c>
      <c r="P25" s="25">
        <f>IFERROR(P24/P14,"")</f>
        <v/>
      </c>
    </row>
    <row r="27">
      <c r="A27" s="3" t="inlineStr">
        <is>
          <t>Operating income (EBIT)</t>
        </is>
      </c>
      <c r="B27" s="42">
        <f>B14-(B18+B20+B22)-B24</f>
        <v/>
      </c>
      <c r="C27" s="42">
        <f>C14-(C18+C20+C22)-C24</f>
        <v/>
      </c>
      <c r="D27" s="42">
        <f>D14-(D18+D20+D22)-D24</f>
        <v/>
      </c>
      <c r="E27" s="42">
        <f>E14-(E18+E20+E22)-E24</f>
        <v/>
      </c>
      <c r="F27" s="42">
        <f>F14-(F18+F20+F22)-F24</f>
        <v/>
      </c>
      <c r="G27" s="42">
        <f>G14-(G18+G20+G22)-G24</f>
        <v/>
      </c>
      <c r="H27" s="42">
        <f>H14-(H18+H20+H22)-H24</f>
        <v/>
      </c>
      <c r="I27" s="42">
        <f>I14-(I18+I20+I22)-I24</f>
        <v/>
      </c>
      <c r="J27" s="42">
        <f>J14-(J18+J20+J22)-J24</f>
        <v/>
      </c>
      <c r="K27" s="42">
        <f>K14-(K18+K20+K22)-K24</f>
        <v/>
      </c>
      <c r="L27" s="42">
        <f>L14-(L18+L20+L22)-L24</f>
        <v/>
      </c>
      <c r="M27" s="42">
        <f>M14-(M18+M20+M22)-M24</f>
        <v/>
      </c>
      <c r="N27" s="42">
        <f>N14-(N18+N20+N22)-N24</f>
        <v/>
      </c>
      <c r="O27" s="42">
        <f>O14-(O18+O20+O22)-O24</f>
        <v/>
      </c>
      <c r="P27" s="42">
        <f>P14-(P18+P20+P22)-P24</f>
        <v/>
      </c>
    </row>
    <row r="28">
      <c r="A28" s="4" t="inlineStr">
        <is>
          <t xml:space="preserve">    operating margin</t>
        </is>
      </c>
      <c r="B28" s="25">
        <f>IFERROR(B27/B14,"")</f>
        <v/>
      </c>
      <c r="C28" s="25">
        <f>IFERROR(C27/C14,"")</f>
        <v/>
      </c>
      <c r="D28" s="25">
        <f>IFERROR(D27/D14,"")</f>
        <v/>
      </c>
      <c r="E28" s="25">
        <f>IFERROR(E27/E14,"")</f>
        <v/>
      </c>
      <c r="F28" s="25">
        <f>IFERROR(F27/F14,"")</f>
        <v/>
      </c>
      <c r="G28" s="25">
        <f>IFERROR(G27/G14,"")</f>
        <v/>
      </c>
      <c r="H28" s="25">
        <f>IFERROR(H27/H14,"")</f>
        <v/>
      </c>
      <c r="I28" s="25">
        <f>IFERROR(I27/I14,"")</f>
        <v/>
      </c>
      <c r="J28" s="25">
        <f>IFERROR(J27/J14,"")</f>
        <v/>
      </c>
      <c r="K28" s="25">
        <f>IFERROR(K27/K14,"")</f>
        <v/>
      </c>
      <c r="L28" s="25">
        <f>IFERROR(L27/L14,"")</f>
        <v/>
      </c>
      <c r="M28" s="25">
        <f>IFERROR(M27/M14,"")</f>
        <v/>
      </c>
      <c r="N28" s="25">
        <f>IFERROR(N27/N14,"")</f>
        <v/>
      </c>
      <c r="O28" s="25">
        <f>IFERROR(O27/O14,"")</f>
        <v/>
      </c>
      <c r="P28" s="25">
        <f>IFERROR(P27/P14,"")</f>
        <v/>
      </c>
    </row>
    <row r="30">
      <c r="A30" s="5" t="inlineStr">
        <is>
          <t xml:space="preserve">  FCF BRIDGE (NOPAT + D&amp;A + SBC - dNWC - Capex)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4" t="inlineStr">
        <is>
          <t>NOPAT = EBIT x (1 - tax)</t>
        </is>
      </c>
      <c r="B31" s="33">
        <f>B27*(1-Valuation!$B$5)</f>
        <v/>
      </c>
      <c r="C31" s="33">
        <f>C27*(1-Valuation!$B$5)</f>
        <v/>
      </c>
      <c r="D31" s="33">
        <f>D27*(1-Valuation!$B$5)</f>
        <v/>
      </c>
      <c r="E31" s="33">
        <f>E27*(1-Valuation!$B$5)</f>
        <v/>
      </c>
      <c r="F31" s="33">
        <f>F27*(1-Valuation!$B$5)</f>
        <v/>
      </c>
      <c r="G31" s="33">
        <f>G27*(1-Valuation!$B$5)</f>
        <v/>
      </c>
      <c r="H31" s="33">
        <f>H27*(1-Valuation!$B$5)</f>
        <v/>
      </c>
      <c r="I31" s="33">
        <f>I27*(1-Valuation!$B$5)</f>
        <v/>
      </c>
      <c r="J31" s="33">
        <f>J27*(1-Valuation!$B$5)</f>
        <v/>
      </c>
      <c r="K31" s="33">
        <f>K27*(1-Valuation!$B$5)</f>
        <v/>
      </c>
      <c r="L31" s="33">
        <f>L27*(1-Valuation!$B$5)</f>
        <v/>
      </c>
      <c r="M31" s="33">
        <f>M27*(1-Valuation!$B$5)</f>
        <v/>
      </c>
      <c r="N31" s="33">
        <f>N27*(1-Valuation!$B$5)</f>
        <v/>
      </c>
      <c r="O31" s="33">
        <f>O27*(1-Valuation!$B$5)</f>
        <v/>
      </c>
      <c r="P31" s="33">
        <f>P27*(1-Valuation!$B$5)</f>
        <v/>
      </c>
    </row>
    <row r="32">
      <c r="A32" s="4" t="inlineStr">
        <is>
          <t>+ D&amp;A</t>
        </is>
      </c>
      <c r="B32" s="33">
        <f>SUM(Financials!I43:L43)</f>
        <v/>
      </c>
      <c r="C32" s="33">
        <f>SUM(Financials!M43:P43)</f>
        <v/>
      </c>
      <c r="D32" s="33">
        <f>SUM(Financials!Q43:T43)</f>
        <v/>
      </c>
      <c r="E32" s="33">
        <f>SUM(Financials!U43:X43)</f>
        <v/>
      </c>
      <c r="F32" s="33">
        <f>SUM(Financials!Y43:AB43)</f>
        <v/>
      </c>
      <c r="G32" s="41">
        <f>G14*0.1035</f>
        <v/>
      </c>
      <c r="H32" s="41">
        <f>H14*0.1035</f>
        <v/>
      </c>
      <c r="I32" s="41">
        <f>I14*0.1035</f>
        <v/>
      </c>
      <c r="J32" s="41">
        <f>J14*0.1035</f>
        <v/>
      </c>
      <c r="K32" s="41">
        <f>K14*0.1035</f>
        <v/>
      </c>
      <c r="L32" s="41">
        <f>L14*0.1035</f>
        <v/>
      </c>
      <c r="M32" s="41">
        <f>M14*0.1035</f>
        <v/>
      </c>
      <c r="N32" s="41">
        <f>N14*0.1035</f>
        <v/>
      </c>
      <c r="O32" s="41">
        <f>O14*0.1035</f>
        <v/>
      </c>
      <c r="P32" s="41">
        <f>P14*0.1035</f>
        <v/>
      </c>
    </row>
    <row r="33">
      <c r="A33" s="4" t="inlineStr">
        <is>
          <t>+ SBC (non-cash)</t>
        </is>
      </c>
      <c r="B33" s="33">
        <f>SUM(Financials!I44:L44)</f>
        <v/>
      </c>
      <c r="C33" s="33">
        <f>SUM(Financials!M44:P44)</f>
        <v/>
      </c>
      <c r="D33" s="33">
        <f>SUM(Financials!Q44:T44)</f>
        <v/>
      </c>
      <c r="E33" s="33">
        <f>SUM(Financials!U44:X44)</f>
        <v/>
      </c>
      <c r="F33" s="33">
        <f>SUM(Financials!Y44:AB44)</f>
        <v/>
      </c>
      <c r="G33" s="33">
        <f>G14*(Dashboard!$B$65+(Dashboard!$B$66-Dashboard!$B$65)*0/9)</f>
        <v/>
      </c>
      <c r="H33" s="33">
        <f>H14*(Dashboard!$B$65+(Dashboard!$B$66-Dashboard!$B$65)*1/9)</f>
        <v/>
      </c>
      <c r="I33" s="33">
        <f>I14*(Dashboard!$B$65+(Dashboard!$B$66-Dashboard!$B$65)*2/9)</f>
        <v/>
      </c>
      <c r="J33" s="33">
        <f>J14*(Dashboard!$B$65+(Dashboard!$B$66-Dashboard!$B$65)*3/9)</f>
        <v/>
      </c>
      <c r="K33" s="33">
        <f>K14*(Dashboard!$B$65+(Dashboard!$B$66-Dashboard!$B$65)*4/9)</f>
        <v/>
      </c>
      <c r="L33" s="33">
        <f>L14*(Dashboard!$B$65+(Dashboard!$B$66-Dashboard!$B$65)*5/9)</f>
        <v/>
      </c>
      <c r="M33" s="33">
        <f>M14*(Dashboard!$B$65+(Dashboard!$B$66-Dashboard!$B$65)*6/9)</f>
        <v/>
      </c>
      <c r="N33" s="33">
        <f>N14*(Dashboard!$B$65+(Dashboard!$B$66-Dashboard!$B$65)*7/9)</f>
        <v/>
      </c>
      <c r="O33" s="33">
        <f>O14*(Dashboard!$B$65+(Dashboard!$B$66-Dashboard!$B$65)*8/9)</f>
        <v/>
      </c>
      <c r="P33" s="33">
        <f>P14*(Dashboard!$B$65+(Dashboard!$B$66-Dashboard!$B$65)*9/9)</f>
        <v/>
      </c>
    </row>
    <row r="34">
      <c r="A34" s="4" t="inlineStr">
        <is>
          <t>- dNWC</t>
        </is>
      </c>
      <c r="G34" s="41">
        <f>(G14-F14)*0.0050</f>
        <v/>
      </c>
      <c r="H34" s="41">
        <f>(H14-G14)*0.0050</f>
        <v/>
      </c>
      <c r="I34" s="41">
        <f>(I14-H14)*0.0050</f>
        <v/>
      </c>
      <c r="J34" s="41">
        <f>(J14-I14)*0.0050</f>
        <v/>
      </c>
      <c r="K34" s="41">
        <f>(K14-J14)*0.0050</f>
        <v/>
      </c>
      <c r="L34" s="41">
        <f>(L14-K14)*0.0050</f>
        <v/>
      </c>
      <c r="M34" s="41">
        <f>(M14-L14)*0.0050</f>
        <v/>
      </c>
      <c r="N34" s="41">
        <f>(N14-M14)*0.0050</f>
        <v/>
      </c>
      <c r="O34" s="41">
        <f>(O14-N14)*0.0050</f>
        <v/>
      </c>
      <c r="P34" s="41">
        <f>(P14-O14)*0.0050</f>
        <v/>
      </c>
    </row>
    <row r="35">
      <c r="A35" s="4" t="inlineStr">
        <is>
          <t>- Capex</t>
        </is>
      </c>
      <c r="B35" s="33">
        <f>-SUM(Financials!I47:L47)</f>
        <v/>
      </c>
      <c r="C35" s="33">
        <f>-SUM(Financials!M47:P47)</f>
        <v/>
      </c>
      <c r="D35" s="33">
        <f>-SUM(Financials!Q47:T47)</f>
        <v/>
      </c>
      <c r="E35" s="33">
        <f>-SUM(Financials!U47:X47)</f>
        <v/>
      </c>
      <c r="F35" s="33">
        <f>-SUM(Financials!Y47:AB47)</f>
        <v/>
      </c>
      <c r="G35" s="41">
        <f>G32*G36</f>
        <v/>
      </c>
      <c r="H35" s="41">
        <f>H32*H36</f>
        <v/>
      </c>
      <c r="I35" s="41">
        <f>I32*I36</f>
        <v/>
      </c>
      <c r="J35" s="41">
        <f>J32*J36</f>
        <v/>
      </c>
      <c r="K35" s="41">
        <f>K32*K36</f>
        <v/>
      </c>
      <c r="L35" s="41">
        <f>L32*L36</f>
        <v/>
      </c>
      <c r="M35" s="41">
        <f>M32*M36</f>
        <v/>
      </c>
      <c r="N35" s="41">
        <f>N32*N36</f>
        <v/>
      </c>
      <c r="O35" s="41">
        <f>O32*O36</f>
        <v/>
      </c>
      <c r="P35" s="41">
        <f>P32*P36</f>
        <v/>
      </c>
    </row>
    <row r="36">
      <c r="A36" s="4" t="inlineStr">
        <is>
          <t xml:space="preserve">    Capex / D&amp;A  (from Dashboard: $cap'26 -&gt; terminal)</t>
        </is>
      </c>
      <c r="B36" s="26">
        <f>IFERROR(B35/B32,"")</f>
        <v/>
      </c>
      <c r="C36" s="26">
        <f>IFERROR(C35/C32,"")</f>
        <v/>
      </c>
      <c r="D36" s="26">
        <f>IFERROR(D35/D32,"")</f>
        <v/>
      </c>
      <c r="E36" s="26">
        <f>IFERROR(E35/E32,"")</f>
        <v/>
      </c>
      <c r="F36" s="26">
        <f>IFERROR(F35/F32,"")</f>
        <v/>
      </c>
      <c r="G36" s="13">
        <f>(Dashboard!$B$34/G32)+(Dashboard!$B$35-(Dashboard!$B$34/G32))*0/9</f>
        <v/>
      </c>
      <c r="H36" s="13">
        <f>(Dashboard!$B$34/G32)+(Dashboard!$B$35-(Dashboard!$B$34/G32))*1/9</f>
        <v/>
      </c>
      <c r="I36" s="13">
        <f>(Dashboard!$B$34/G32)+(Dashboard!$B$35-(Dashboard!$B$34/G32))*2/9</f>
        <v/>
      </c>
      <c r="J36" s="13">
        <f>(Dashboard!$B$34/G32)+(Dashboard!$B$35-(Dashboard!$B$34/G32))*3/9</f>
        <v/>
      </c>
      <c r="K36" s="13">
        <f>(Dashboard!$B$34/G32)+(Dashboard!$B$35-(Dashboard!$B$34/G32))*4/9</f>
        <v/>
      </c>
      <c r="L36" s="13">
        <f>(Dashboard!$B$34/G32)+(Dashboard!$B$35-(Dashboard!$B$34/G32))*5/9</f>
        <v/>
      </c>
      <c r="M36" s="13">
        <f>(Dashboard!$B$34/G32)+(Dashboard!$B$35-(Dashboard!$B$34/G32))*6/9</f>
        <v/>
      </c>
      <c r="N36" s="13">
        <f>(Dashboard!$B$34/G32)+(Dashboard!$B$35-(Dashboard!$B$34/G32))*7/9</f>
        <v/>
      </c>
      <c r="O36" s="13">
        <f>(Dashboard!$B$34/G32)+(Dashboard!$B$35-(Dashboard!$B$34/G32))*8/9</f>
        <v/>
      </c>
      <c r="P36" s="13">
        <f>(Dashboard!$B$34/G32)+(Dashboard!$B$35-(Dashboard!$B$34/G32))*9/9</f>
        <v/>
      </c>
    </row>
    <row r="38">
      <c r="A38" s="3" t="inlineStr">
        <is>
          <t>FCFF (firm)</t>
        </is>
      </c>
      <c r="B38" s="42">
        <f>B31+B32+B33-B34-B35</f>
        <v/>
      </c>
      <c r="C38" s="42">
        <f>C31+C32+C33-C34-C35</f>
        <v/>
      </c>
      <c r="D38" s="42">
        <f>D31+D32+D33-D34-D35</f>
        <v/>
      </c>
      <c r="E38" s="42">
        <f>E31+E32+E33-E34-E35</f>
        <v/>
      </c>
      <c r="F38" s="42">
        <f>F31+F32+F33-F34-F35</f>
        <v/>
      </c>
      <c r="G38" s="42">
        <f>G31+G32+G33-G34-G35</f>
        <v/>
      </c>
      <c r="H38" s="42">
        <f>H31+H32+H33-H34-H35</f>
        <v/>
      </c>
      <c r="I38" s="42">
        <f>I31+I32+I33-I34-I35</f>
        <v/>
      </c>
      <c r="J38" s="42">
        <f>J31+J32+J33-J34-J35</f>
        <v/>
      </c>
      <c r="K38" s="42">
        <f>K31+K32+K33-K34-K35</f>
        <v/>
      </c>
      <c r="L38" s="42">
        <f>L31+L32+L33-L34-L35</f>
        <v/>
      </c>
      <c r="M38" s="42">
        <f>M31+M32+M33-M34-M35</f>
        <v/>
      </c>
      <c r="N38" s="42">
        <f>N31+N32+N33-N34-N35</f>
        <v/>
      </c>
      <c r="O38" s="42">
        <f>O31+O32+O33-O34-O35</f>
        <v/>
      </c>
      <c r="P38" s="42">
        <f>P31+P32+P33-P34-P35</f>
        <v/>
      </c>
    </row>
    <row r="39">
      <c r="A39" s="3" t="inlineStr">
        <is>
          <t>Valuation FCF (NOPAT + D&amp;A - dNWC - Capex - after-tax SBC)</t>
        </is>
      </c>
      <c r="B39" s="43">
        <f>B38-B33-B33*(1-Valuation!$B$5)</f>
        <v/>
      </c>
      <c r="C39" s="43">
        <f>C38-C33-C33*(1-Valuation!$B$5)</f>
        <v/>
      </c>
      <c r="D39" s="43">
        <f>D38-D33-D33*(1-Valuation!$B$5)</f>
        <v/>
      </c>
      <c r="E39" s="43">
        <f>E38-E33-E33*(1-Valuation!$B$5)</f>
        <v/>
      </c>
      <c r="F39" s="43">
        <f>F38-F33-F33*(1-Valuation!$B$5)</f>
        <v/>
      </c>
      <c r="G39" s="43">
        <f>G38-G33-G33*(1-Valuation!$B$5)</f>
        <v/>
      </c>
      <c r="H39" s="43">
        <f>H38-H33-H33*(1-Valuation!$B$5)</f>
        <v/>
      </c>
      <c r="I39" s="43">
        <f>I38-I33-I33*(1-Valuation!$B$5)</f>
        <v/>
      </c>
      <c r="J39" s="43">
        <f>J38-J33-J33*(1-Valuation!$B$5)</f>
        <v/>
      </c>
      <c r="K39" s="43">
        <f>K38-K33-K33*(1-Valuation!$B$5)</f>
        <v/>
      </c>
      <c r="L39" s="43">
        <f>L38-L33-L33*(1-Valuation!$B$5)</f>
        <v/>
      </c>
      <c r="M39" s="43">
        <f>M38-M33-M33*(1-Valuation!$B$5)</f>
        <v/>
      </c>
      <c r="N39" s="43">
        <f>N38-N33-N33*(1-Valuation!$B$5)</f>
        <v/>
      </c>
      <c r="O39" s="43">
        <f>O38-O33-O33*(1-Valuation!$B$5)</f>
        <v/>
      </c>
      <c r="P39" s="43">
        <f>P38-P33-P33*(1-Valuation!$B$5)</f>
        <v/>
      </c>
    </row>
    <row r="41">
      <c r="A41" s="5" t="inlineStr">
        <is>
          <t xml:space="preserve">  RETURNS ON CAPITAL &amp; EFFICIENCY  (is new revenue/capital earning its keep?)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4" t="inlineStr">
        <is>
          <t>Invested capital (debt + equity - cash)</t>
        </is>
      </c>
      <c r="B42" s="33">
        <f>Financials!L41+Financials!L40-Financials!L35</f>
        <v/>
      </c>
      <c r="C42" s="33">
        <f>Financials!P41+Financials!P40-Financials!P35</f>
        <v/>
      </c>
      <c r="D42" s="33">
        <f>Financials!T41+Financials!T40-Financials!T35</f>
        <v/>
      </c>
      <c r="E42" s="33">
        <f>Financials!X41+Financials!X40-Financials!X35</f>
        <v/>
      </c>
      <c r="F42" s="33">
        <f>Financials!AB41+Financials!AB40-Financials!AB35</f>
        <v/>
      </c>
      <c r="G42" s="41">
        <f>F42+G35-G32+G34</f>
        <v/>
      </c>
      <c r="H42" s="41">
        <f>G42+H35-H32+H34</f>
        <v/>
      </c>
      <c r="I42" s="41">
        <f>H42+I35-I32+I34</f>
        <v/>
      </c>
      <c r="J42" s="41">
        <f>I42+J35-J32+J34</f>
        <v/>
      </c>
      <c r="K42" s="41">
        <f>J42+K35-K32+K34</f>
        <v/>
      </c>
      <c r="L42" s="41">
        <f>K42+L35-L32+L34</f>
        <v/>
      </c>
      <c r="M42" s="41">
        <f>L42+M35-M32+M34</f>
        <v/>
      </c>
      <c r="N42" s="41">
        <f>M42+N35-N32+N34</f>
        <v/>
      </c>
      <c r="O42" s="41">
        <f>N42+O35-O32+O34</f>
        <v/>
      </c>
      <c r="P42" s="41">
        <f>O42+P35-P32+P34</f>
        <v/>
      </c>
    </row>
    <row r="43">
      <c r="A43" s="4" t="inlineStr">
        <is>
          <t>Book equity (year-end)</t>
        </is>
      </c>
      <c r="B43" s="33">
        <f>Financials!L41</f>
        <v/>
      </c>
      <c r="C43" s="33">
        <f>Financials!P41</f>
        <v/>
      </c>
      <c r="D43" s="33">
        <f>Financials!T41</f>
        <v/>
      </c>
      <c r="E43" s="33">
        <f>Financials!X41</f>
        <v/>
      </c>
      <c r="F43" s="33">
        <f>Financials!AB41</f>
        <v/>
      </c>
      <c r="G43" s="41">
        <f>F43+G31</f>
        <v/>
      </c>
      <c r="H43" s="41">
        <f>G43+H31</f>
        <v/>
      </c>
      <c r="I43" s="41">
        <f>H43+I31</f>
        <v/>
      </c>
      <c r="J43" s="41">
        <f>I43+J31</f>
        <v/>
      </c>
      <c r="K43" s="41">
        <f>J43+K31</f>
        <v/>
      </c>
      <c r="L43" s="41">
        <f>K43+L31</f>
        <v/>
      </c>
      <c r="M43" s="41">
        <f>L43+M31</f>
        <v/>
      </c>
      <c r="N43" s="41">
        <f>M43+N31</f>
        <v/>
      </c>
      <c r="O43" s="41">
        <f>N43+O31</f>
        <v/>
      </c>
      <c r="P43" s="41">
        <f>O43+P31</f>
        <v/>
      </c>
    </row>
    <row r="44">
      <c r="A44" s="3" t="inlineStr">
        <is>
          <t xml:space="preserve">  ROIC (NOPAT / beg. invested capital)</t>
        </is>
      </c>
      <c r="C44" s="25">
        <f>IFERROR(C31/B42,"")</f>
        <v/>
      </c>
      <c r="D44" s="25">
        <f>IFERROR(D31/C42,"")</f>
        <v/>
      </c>
      <c r="E44" s="25">
        <f>IFERROR(E31/D42,"")</f>
        <v/>
      </c>
      <c r="F44" s="25">
        <f>IFERROR(F31/E42,"")</f>
        <v/>
      </c>
      <c r="G44" s="25">
        <f>IFERROR(G31/F42,"")</f>
        <v/>
      </c>
      <c r="H44" s="25">
        <f>IFERROR(H31/G42,"")</f>
        <v/>
      </c>
      <c r="I44" s="25">
        <f>IFERROR(I31/H42,"")</f>
        <v/>
      </c>
      <c r="J44" s="25">
        <f>IFERROR(J31/I42,"")</f>
        <v/>
      </c>
      <c r="K44" s="25">
        <f>IFERROR(K31/J42,"")</f>
        <v/>
      </c>
      <c r="L44" s="25">
        <f>IFERROR(L31/K42,"")</f>
        <v/>
      </c>
      <c r="M44" s="25">
        <f>IFERROR(M31/L42,"")</f>
        <v/>
      </c>
      <c r="N44" s="25">
        <f>IFERROR(N31/M42,"")</f>
        <v/>
      </c>
      <c r="O44" s="25">
        <f>IFERROR(O31/N42,"")</f>
        <v/>
      </c>
      <c r="P44" s="25">
        <f>IFERROR(P31/O42,"")</f>
        <v/>
      </c>
    </row>
    <row r="45">
      <c r="A45" s="3" t="inlineStr">
        <is>
          <t xml:space="preserve">  ROE (earnings / beg. equity)</t>
        </is>
      </c>
      <c r="C45" s="11">
        <f>IFERROR(SUM(Financials!M15:P15)/B43,"")</f>
        <v/>
      </c>
      <c r="D45" s="11">
        <f>IFERROR(SUM(Financials!Q15:T15)/C43,"")</f>
        <v/>
      </c>
      <c r="E45" s="11">
        <f>IFERROR(SUM(Financials!U15:X15)/D43,"")</f>
        <v/>
      </c>
      <c r="F45" s="11">
        <f>IFERROR(SUM(Financials!Y15:AB15)/E43,"")</f>
        <v/>
      </c>
      <c r="G45" s="25">
        <f>IFERROR(G31/F43,"")</f>
        <v/>
      </c>
      <c r="H45" s="25">
        <f>IFERROR(H31/G43,"")</f>
        <v/>
      </c>
      <c r="I45" s="25">
        <f>IFERROR(I31/H43,"")</f>
        <v/>
      </c>
      <c r="J45" s="25">
        <f>IFERROR(J31/I43,"")</f>
        <v/>
      </c>
      <c r="K45" s="25">
        <f>IFERROR(K31/J43,"")</f>
        <v/>
      </c>
      <c r="L45" s="25">
        <f>IFERROR(L31/K43,"")</f>
        <v/>
      </c>
      <c r="M45" s="25">
        <f>IFERROR(M31/L43,"")</f>
        <v/>
      </c>
      <c r="N45" s="25">
        <f>IFERROR(N31/M43,"")</f>
        <v/>
      </c>
      <c r="O45" s="25">
        <f>IFERROR(O31/N43,"")</f>
        <v/>
      </c>
      <c r="P45" s="25">
        <f>IFERROR(P31/O43,"")</f>
        <v/>
      </c>
    </row>
    <row r="46">
      <c r="A46" s="4" t="inlineStr">
        <is>
          <t xml:space="preserve">  ROIC - WACC spread (value created)</t>
        </is>
      </c>
      <c r="C46" s="11">
        <f>IFERROR(C44-WACC!$B$15,"")</f>
        <v/>
      </c>
      <c r="D46" s="11">
        <f>IFERROR(D44-WACC!$B$15,"")</f>
        <v/>
      </c>
      <c r="E46" s="11">
        <f>IFERROR(E44-WACC!$B$15,"")</f>
        <v/>
      </c>
      <c r="F46" s="11">
        <f>IFERROR(F44-WACC!$B$15,"")</f>
        <v/>
      </c>
      <c r="G46" s="11">
        <f>IFERROR(G44-WACC!$B$15,"")</f>
        <v/>
      </c>
      <c r="H46" s="11">
        <f>IFERROR(H44-WACC!$B$15,"")</f>
        <v/>
      </c>
      <c r="I46" s="11">
        <f>IFERROR(I44-WACC!$B$15,"")</f>
        <v/>
      </c>
      <c r="J46" s="11">
        <f>IFERROR(J44-WACC!$B$15,"")</f>
        <v/>
      </c>
      <c r="K46" s="11">
        <f>IFERROR(K44-WACC!$B$15,"")</f>
        <v/>
      </c>
      <c r="L46" s="11">
        <f>IFERROR(L44-WACC!$B$15,"")</f>
        <v/>
      </c>
      <c r="M46" s="11">
        <f>IFERROR(M44-WACC!$B$15,"")</f>
        <v/>
      </c>
      <c r="N46" s="11">
        <f>IFERROR(N44-WACC!$B$15,"")</f>
        <v/>
      </c>
      <c r="O46" s="11">
        <f>IFERROR(O44-WACC!$B$15,"")</f>
        <v/>
      </c>
      <c r="P46" s="11">
        <f>IFERROR(P44-WACC!$B$15,"")</f>
        <v/>
      </c>
    </row>
    <row r="47">
      <c r="A47" s="4" t="inlineStr">
        <is>
          <t xml:space="preserve">  Incremental op margin (ΔEBIT / ΔRev)</t>
        </is>
      </c>
      <c r="C47" s="25">
        <f>IFERROR((C27-B27)/(C14-B14),"")</f>
        <v/>
      </c>
      <c r="D47" s="25">
        <f>IFERROR((D27-C27)/(D14-C14),"")</f>
        <v/>
      </c>
      <c r="E47" s="25">
        <f>IFERROR((E27-D27)/(E14-D14),"")</f>
        <v/>
      </c>
      <c r="F47" s="25">
        <f>IFERROR((F27-E27)/(F14-E14),"")</f>
        <v/>
      </c>
      <c r="G47" s="25">
        <f>IFERROR((G27-F27)/(G14-F14),"")</f>
        <v/>
      </c>
      <c r="H47" s="25">
        <f>IFERROR((H27-G27)/(H14-G14),"")</f>
        <v/>
      </c>
      <c r="I47" s="25">
        <f>IFERROR((I27-H27)/(I14-H14),"")</f>
        <v/>
      </c>
      <c r="J47" s="25">
        <f>IFERROR((J27-I27)/(J14-I14),"")</f>
        <v/>
      </c>
      <c r="K47" s="25">
        <f>IFERROR((K27-J27)/(K14-J14),"")</f>
        <v/>
      </c>
      <c r="L47" s="25">
        <f>IFERROR((L27-K27)/(L14-K14),"")</f>
        <v/>
      </c>
      <c r="M47" s="25">
        <f>IFERROR((M27-L27)/(M14-L14),"")</f>
        <v/>
      </c>
      <c r="N47" s="25">
        <f>IFERROR((N27-M27)/(N14-M14),"")</f>
        <v/>
      </c>
      <c r="O47" s="25">
        <f>IFERROR((O27-N27)/(O14-N14),"")</f>
        <v/>
      </c>
      <c r="P47" s="25">
        <f>IFERROR((P27-O27)/(P14-O14),"")</f>
        <v/>
      </c>
    </row>
    <row r="48">
      <c r="A48" s="3" t="inlineStr">
        <is>
          <t xml:space="preserve">  ROIIC (ΔNOPAT / ΔInvested capital)</t>
        </is>
      </c>
      <c r="C48" s="25">
        <f>IFERROR((C31-B31)/(C42-B42),"")</f>
        <v/>
      </c>
      <c r="D48" s="25">
        <f>IFERROR((D31-C31)/(D42-C42),"")</f>
        <v/>
      </c>
      <c r="E48" s="25">
        <f>IFERROR((E31-D31)/(E42-D42),"")</f>
        <v/>
      </c>
      <c r="F48" s="25">
        <f>IFERROR((F31-E31)/(F42-E42),"")</f>
        <v/>
      </c>
      <c r="G48" s="25">
        <f>IFERROR((G31-F31)/(G42-F42),"")</f>
        <v/>
      </c>
      <c r="H48" s="25">
        <f>IFERROR((H31-G31)/(H42-G42),"")</f>
        <v/>
      </c>
      <c r="I48" s="25">
        <f>IFERROR((I31-H31)/(I42-H42),"")</f>
        <v/>
      </c>
      <c r="J48" s="25">
        <f>IFERROR((J31-I31)/(J42-I42),"")</f>
        <v/>
      </c>
      <c r="K48" s="25">
        <f>IFERROR((K31-J31)/(K42-J42),"")</f>
        <v/>
      </c>
      <c r="L48" s="25">
        <f>IFERROR((L31-K31)/(L42-K42),"")</f>
        <v/>
      </c>
      <c r="M48" s="25">
        <f>IFERROR((M31-L31)/(M42-L42),"")</f>
        <v/>
      </c>
      <c r="N48" s="25">
        <f>IFERROR((N31-M31)/(N42-M42),"")</f>
        <v/>
      </c>
      <c r="O48" s="25">
        <f>IFERROR((O31-N31)/(O42-N42),"")</f>
        <v/>
      </c>
      <c r="P48" s="25">
        <f>IFERROR((P31-O31)/(P42-O42),"")</f>
        <v/>
      </c>
    </row>
    <row r="49">
      <c r="A49" s="4" t="inlineStr">
        <is>
          <t xml:space="preserve">  Sales-to-capital (ΔRev / ΔInvested capital)</t>
        </is>
      </c>
      <c r="C49" s="44">
        <f>IFERROR((C14-B14)/(C42-B42),"")</f>
        <v/>
      </c>
      <c r="D49" s="44">
        <f>IFERROR((D14-C14)/(D42-C42),"")</f>
        <v/>
      </c>
      <c r="E49" s="44">
        <f>IFERROR((E14-D14)/(E42-D42),"")</f>
        <v/>
      </c>
      <c r="F49" s="44">
        <f>IFERROR((F14-E14)/(F42-E42),"")</f>
        <v/>
      </c>
      <c r="G49" s="44">
        <f>IFERROR((G14-F14)/(G42-F42),"")</f>
        <v/>
      </c>
      <c r="H49" s="44">
        <f>IFERROR((H14-G14)/(H42-G42),"")</f>
        <v/>
      </c>
      <c r="I49" s="44">
        <f>IFERROR((I14-H14)/(I42-H42),"")</f>
        <v/>
      </c>
      <c r="J49" s="44">
        <f>IFERROR((J14-I14)/(J42-I42),"")</f>
        <v/>
      </c>
      <c r="K49" s="44">
        <f>IFERROR((K14-J14)/(K42-J42),"")</f>
        <v/>
      </c>
      <c r="L49" s="44">
        <f>IFERROR((L14-K14)/(L42-K42),"")</f>
        <v/>
      </c>
      <c r="M49" s="44">
        <f>IFERROR((M14-L14)/(M42-L42),"")</f>
        <v/>
      </c>
      <c r="N49" s="44">
        <f>IFERROR((N14-M14)/(N42-M42),"")</f>
        <v/>
      </c>
      <c r="O49" s="44">
        <f>IFERROR((O14-N14)/(O42-N42),"")</f>
        <v/>
      </c>
      <c r="P49" s="44">
        <f>IFERROR((P14-O14)/(P42-O42),"")</f>
        <v/>
      </c>
    </row>
    <row r="50">
      <c r="A50" s="4" t="inlineStr">
        <is>
          <t xml:space="preserve">  Reinvestment rate (ΔInvested capital / NOPAT)</t>
        </is>
      </c>
      <c r="C50" s="25">
        <f>IFERROR((C42-B42)/C31,"")</f>
        <v/>
      </c>
      <c r="D50" s="25">
        <f>IFERROR((D42-C42)/D31,"")</f>
        <v/>
      </c>
      <c r="E50" s="25">
        <f>IFERROR((E42-D42)/E31,"")</f>
        <v/>
      </c>
      <c r="F50" s="25">
        <f>IFERROR((F42-E42)/F31,"")</f>
        <v/>
      </c>
      <c r="G50" s="25">
        <f>IFERROR((G42-F42)/G31,"")</f>
        <v/>
      </c>
      <c r="H50" s="25">
        <f>IFERROR((H42-G42)/H31,"")</f>
        <v/>
      </c>
      <c r="I50" s="25">
        <f>IFERROR((I42-H42)/I31,"")</f>
        <v/>
      </c>
      <c r="J50" s="25">
        <f>IFERROR((J42-I42)/J31,"")</f>
        <v/>
      </c>
      <c r="K50" s="25">
        <f>IFERROR((K42-J42)/K31,"")</f>
        <v/>
      </c>
      <c r="L50" s="25">
        <f>IFERROR((L42-K42)/L31,"")</f>
        <v/>
      </c>
      <c r="M50" s="25">
        <f>IFERROR((M42-L42)/M31,"")</f>
        <v/>
      </c>
      <c r="N50" s="25">
        <f>IFERROR((N42-M42)/N31,"")</f>
        <v/>
      </c>
      <c r="O50" s="25">
        <f>IFERROR((O42-N42)/O31,"")</f>
        <v/>
      </c>
      <c r="P50" s="25">
        <f>IFERROR((P42-O42)/P31,"")</f>
        <v/>
      </c>
    </row>
    <row r="52">
      <c r="A52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13263</v>
      </c>
      <c r="C3" s="18" t="n">
        <v>11598</v>
      </c>
      <c r="D3" s="18" t="n">
        <v>12352</v>
      </c>
      <c r="E3" s="18" t="n">
        <v>12013</v>
      </c>
      <c r="F3" s="18" t="n">
        <v>7956</v>
      </c>
      <c r="G3" s="18" t="n">
        <v>9110</v>
      </c>
      <c r="H3" s="18" t="n">
        <v>10008</v>
      </c>
      <c r="I3" s="18" t="n">
        <v>12137</v>
      </c>
      <c r="J3" s="18" t="n">
        <v>10948</v>
      </c>
      <c r="K3" s="18" t="n">
        <v>11466</v>
      </c>
      <c r="L3" s="18" t="n">
        <v>12520</v>
      </c>
      <c r="M3" s="18" t="n">
        <v>15097</v>
      </c>
      <c r="N3" s="18" t="n">
        <v>13215</v>
      </c>
      <c r="O3" s="18" t="n">
        <v>11573</v>
      </c>
      <c r="P3" s="18" t="n">
        <v>13424</v>
      </c>
      <c r="Q3" s="18" t="n">
        <v>12075</v>
      </c>
      <c r="R3" s="18" t="n">
        <v>10432</v>
      </c>
      <c r="S3" s="18" t="n">
        <v>9844</v>
      </c>
      <c r="T3" s="18" t="n">
        <v>11298</v>
      </c>
      <c r="U3" s="18" t="n">
        <v>11038</v>
      </c>
      <c r="V3" s="18" t="n">
        <v>11336</v>
      </c>
      <c r="W3" s="18" t="n">
        <v>14882</v>
      </c>
      <c r="X3" s="18" t="n">
        <v>16217</v>
      </c>
      <c r="Y3" s="18" t="n">
        <v>18502</v>
      </c>
      <c r="Z3" s="18" t="n">
        <v>14876</v>
      </c>
      <c r="AA3" s="18" t="n">
        <v>14639</v>
      </c>
      <c r="AB3" s="18" t="n">
        <v>17177</v>
      </c>
      <c r="AC3" s="18" t="n">
        <v>31274.624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9283</v>
      </c>
      <c r="C5" s="18" t="n">
        <v>8164</v>
      </c>
      <c r="D5" s="18" t="n">
        <v>8336</v>
      </c>
      <c r="E5" s="18" t="n">
        <v>8900</v>
      </c>
      <c r="F5" s="18" t="n">
        <v>4057</v>
      </c>
      <c r="G5" s="18" t="n">
        <v>5461</v>
      </c>
      <c r="H5" s="18" t="n">
        <v>5963</v>
      </c>
      <c r="I5" s="18" t="n">
        <v>8080</v>
      </c>
      <c r="J5" s="18" t="n">
        <v>7648</v>
      </c>
      <c r="K5" s="18" t="n">
        <v>8411</v>
      </c>
      <c r="L5" s="18" t="n">
        <v>8415</v>
      </c>
      <c r="M5" s="18" t="n">
        <v>10802</v>
      </c>
      <c r="N5" s="18" t="n">
        <v>9701</v>
      </c>
      <c r="O5" s="18" t="n">
        <v>7706</v>
      </c>
      <c r="P5" s="18" t="n">
        <v>8697</v>
      </c>
      <c r="Q5" s="18" t="n">
        <v>7376</v>
      </c>
      <c r="R5" s="18" t="n">
        <v>6054</v>
      </c>
      <c r="S5" s="18" t="n">
        <v>5995</v>
      </c>
      <c r="T5" s="18" t="n">
        <v>6554</v>
      </c>
      <c r="U5" s="18" t="n">
        <v>6193</v>
      </c>
      <c r="V5" s="18" t="n">
        <v>6755</v>
      </c>
      <c r="W5" s="18" t="n">
        <v>10383</v>
      </c>
      <c r="X5" s="18" t="n">
        <v>10876</v>
      </c>
      <c r="Y5" s="18" t="n">
        <v>12359</v>
      </c>
      <c r="Z5" s="18" t="n">
        <v>9947</v>
      </c>
      <c r="AA5" s="18" t="n">
        <v>9885</v>
      </c>
      <c r="AB5" s="18" t="n">
        <v>11506</v>
      </c>
      <c r="AC5" s="18" t="n">
        <v>22649.038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1695</v>
      </c>
      <c r="C9" s="18" t="n">
        <v>1741</v>
      </c>
      <c r="D9" s="18" t="n">
        <v>1930</v>
      </c>
      <c r="E9" s="18" t="n">
        <v>1600</v>
      </c>
      <c r="F9" s="18" t="n">
        <v>1801</v>
      </c>
      <c r="G9" s="18" t="n">
        <v>1554</v>
      </c>
      <c r="H9" s="18" t="n">
        <v>1794</v>
      </c>
      <c r="I9" s="18" t="n">
        <v>1559</v>
      </c>
      <c r="J9" s="18" t="n">
        <v>1484</v>
      </c>
      <c r="K9" s="18" t="n">
        <v>1667</v>
      </c>
      <c r="L9" s="18" t="n">
        <v>2002</v>
      </c>
      <c r="M9" s="18" t="n">
        <v>-58</v>
      </c>
      <c r="N9" s="18" t="n">
        <v>-59</v>
      </c>
      <c r="O9" s="18" t="n">
        <v>-59</v>
      </c>
      <c r="P9" s="18" t="n">
        <v>2261</v>
      </c>
      <c r="Q9" s="18" t="n">
        <v>-33</v>
      </c>
      <c r="R9" s="18" t="n">
        <v>-34</v>
      </c>
      <c r="S9" s="18" t="n">
        <v>-34</v>
      </c>
      <c r="T9" s="18" t="n">
        <v>-34</v>
      </c>
      <c r="U9" s="18" t="n">
        <v>-41</v>
      </c>
      <c r="V9" s="18" t="n">
        <v>-48</v>
      </c>
      <c r="W9" s="18" t="n">
        <v>0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0</v>
      </c>
      <c r="AC9" s="18" t="n">
        <v>0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3980</v>
      </c>
      <c r="C11" s="18" t="n">
        <v>3434</v>
      </c>
      <c r="D11" s="18" t="n">
        <v>4016</v>
      </c>
      <c r="E11" s="18" t="n">
        <v>3113</v>
      </c>
      <c r="F11" s="18" t="n">
        <v>3899</v>
      </c>
      <c r="G11" s="18" t="n">
        <v>3649</v>
      </c>
      <c r="H11" s="18" t="n">
        <v>4045</v>
      </c>
      <c r="I11" s="18" t="n">
        <v>4057</v>
      </c>
      <c r="J11" s="18" t="n">
        <v>3300</v>
      </c>
      <c r="K11" s="18" t="n">
        <v>3055</v>
      </c>
      <c r="L11" s="18" t="n">
        <v>4105</v>
      </c>
      <c r="M11" s="18" t="n">
        <v>4295</v>
      </c>
      <c r="N11" s="18" t="n">
        <v>3514</v>
      </c>
      <c r="O11" s="18" t="n">
        <v>3867</v>
      </c>
      <c r="P11" s="18" t="n">
        <v>4727</v>
      </c>
      <c r="Q11" s="18" t="n">
        <v>4699</v>
      </c>
      <c r="R11" s="18" t="n">
        <v>4378</v>
      </c>
      <c r="S11" s="18" t="n">
        <v>3849</v>
      </c>
      <c r="T11" s="18" t="n">
        <v>4744</v>
      </c>
      <c r="U11" s="18" t="n">
        <v>4845</v>
      </c>
      <c r="V11" s="18" t="n">
        <v>4581</v>
      </c>
      <c r="W11" s="18" t="n">
        <v>4499</v>
      </c>
      <c r="X11" s="18" t="n">
        <v>5341</v>
      </c>
      <c r="Y11" s="18" t="n">
        <v>6143</v>
      </c>
      <c r="Z11" s="18" t="n">
        <v>4929</v>
      </c>
      <c r="AA11" s="18" t="n">
        <v>4754</v>
      </c>
      <c r="AB11" s="18" t="n">
        <v>5671</v>
      </c>
      <c r="AC11" s="18" t="n">
        <v>8625.585999999999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2285</v>
      </c>
      <c r="C13" s="18" t="n">
        <v>1588</v>
      </c>
      <c r="D13" s="18" t="n">
        <v>1768</v>
      </c>
      <c r="E13" s="18" t="n">
        <v>1513</v>
      </c>
      <c r="F13" s="18" t="n">
        <v>2098</v>
      </c>
      <c r="G13" s="18" t="n">
        <v>2095</v>
      </c>
      <c r="H13" s="18" t="n">
        <v>2251</v>
      </c>
      <c r="I13" s="18" t="n">
        <v>2498</v>
      </c>
      <c r="J13" s="18" t="n">
        <v>1816</v>
      </c>
      <c r="K13" s="18" t="n">
        <v>1388</v>
      </c>
      <c r="L13" s="18" t="n">
        <v>2103</v>
      </c>
      <c r="M13" s="18" t="n">
        <v>2420</v>
      </c>
      <c r="N13" s="18" t="n">
        <v>1520</v>
      </c>
      <c r="O13" s="18" t="n">
        <v>1778</v>
      </c>
      <c r="P13" s="18" t="n">
        <v>-540</v>
      </c>
      <c r="Q13" s="18" t="n">
        <v>2662</v>
      </c>
      <c r="R13" s="18" t="n">
        <v>2350</v>
      </c>
      <c r="S13" s="18" t="n">
        <v>1794</v>
      </c>
      <c r="T13" s="18" t="n">
        <v>1845</v>
      </c>
      <c r="U13" s="18" t="n">
        <v>2711</v>
      </c>
      <c r="V13" s="18" t="n">
        <v>2273</v>
      </c>
      <c r="W13" s="18" t="n">
        <v>2218</v>
      </c>
      <c r="X13" s="18" t="n">
        <v>2447</v>
      </c>
      <c r="Y13" s="18" t="n">
        <v>3672</v>
      </c>
      <c r="Z13" s="18" t="n">
        <v>2289</v>
      </c>
      <c r="AA13" s="18" t="n">
        <v>2271</v>
      </c>
      <c r="AB13" s="18" t="n">
        <v>2726</v>
      </c>
      <c r="AC13" s="18" t="n">
        <v>5069.182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1832</v>
      </c>
      <c r="C15" s="18" t="n">
        <v>1045</v>
      </c>
      <c r="D15" s="18" t="n">
        <v>842</v>
      </c>
      <c r="E15" s="18" t="n">
        <v>-1333</v>
      </c>
      <c r="F15" s="18" t="n">
        <v>1741</v>
      </c>
      <c r="G15" s="18" t="n">
        <v>1084</v>
      </c>
      <c r="H15" s="18" t="n">
        <v>1871</v>
      </c>
      <c r="I15" s="18" t="n">
        <v>1992</v>
      </c>
      <c r="J15" s="18" t="n">
        <v>1484</v>
      </c>
      <c r="K15" s="18" t="n">
        <v>780</v>
      </c>
      <c r="L15" s="18" t="n">
        <v>1933</v>
      </c>
      <c r="M15" s="18" t="n">
        <v>2029</v>
      </c>
      <c r="N15" s="18" t="n">
        <v>595</v>
      </c>
      <c r="O15" s="18" t="n">
        <v>1362</v>
      </c>
      <c r="P15" s="18" t="n">
        <v>-983</v>
      </c>
      <c r="Q15" s="18" t="n">
        <v>1817</v>
      </c>
      <c r="R15" s="18" t="n">
        <v>1935</v>
      </c>
      <c r="S15" s="18" t="n">
        <v>621</v>
      </c>
      <c r="T15" s="18" t="n">
        <v>1818</v>
      </c>
      <c r="U15" s="18" t="n">
        <v>1512</v>
      </c>
      <c r="V15" s="18" t="n">
        <v>1943</v>
      </c>
      <c r="W15" s="18" t="n">
        <v>1391</v>
      </c>
      <c r="X15" s="18" t="n">
        <v>595</v>
      </c>
      <c r="Y15" s="18" t="n">
        <v>2364</v>
      </c>
      <c r="Z15" s="18" t="n">
        <v>2279</v>
      </c>
      <c r="AA15" s="18" t="n">
        <v>788</v>
      </c>
      <c r="AB15" s="18" t="n">
        <v>2060</v>
      </c>
      <c r="AC15" s="18" t="n">
        <v>2445.199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2021</v>
      </c>
      <c r="C17" s="18" t="n">
        <v>2020</v>
      </c>
      <c r="D17" s="18" t="n">
        <v>2021</v>
      </c>
      <c r="E17" s="18" t="n">
        <v>2021</v>
      </c>
      <c r="F17" s="18" t="n">
        <v>2020</v>
      </c>
      <c r="G17" s="18" t="n">
        <v>2021</v>
      </c>
      <c r="H17" s="18" t="n">
        <v>2023</v>
      </c>
      <c r="I17" s="18" t="n">
        <v>2023</v>
      </c>
      <c r="J17" s="18" t="n">
        <v>2026</v>
      </c>
      <c r="K17" s="18" t="n">
        <v>2026</v>
      </c>
      <c r="L17" s="18" t="n">
        <v>2029</v>
      </c>
      <c r="M17" s="18" t="n">
        <v>2029</v>
      </c>
      <c r="N17" s="18" t="n">
        <v>2030</v>
      </c>
      <c r="O17" s="18" t="n">
        <v>2028</v>
      </c>
      <c r="P17" s="18" t="n">
        <v>2025</v>
      </c>
      <c r="Q17" s="18" t="n">
        <v>2028</v>
      </c>
      <c r="R17" s="18" t="n">
        <v>2027</v>
      </c>
      <c r="S17" s="18" t="n">
        <v>2049</v>
      </c>
      <c r="T17" s="18" t="n">
        <v>2125</v>
      </c>
      <c r="U17" s="18" t="n">
        <v>2128</v>
      </c>
      <c r="V17" s="18" t="n">
        <v>2139</v>
      </c>
      <c r="W17" s="18" t="n">
        <v>2180</v>
      </c>
      <c r="X17" s="18" t="n">
        <v>2234.918561</v>
      </c>
      <c r="Y17" s="18" t="n">
        <v>2185</v>
      </c>
      <c r="Z17" s="18" t="n">
        <v>2186</v>
      </c>
      <c r="AA17" s="18" t="n">
        <v>2186</v>
      </c>
      <c r="AB17" s="18" t="n">
        <v>2193.258</v>
      </c>
      <c r="AC17" s="18" t="n">
        <v>2193.258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Commodity Sales</t>
        </is>
      </c>
      <c r="U19" s="18" t="n">
        <v>4105</v>
      </c>
      <c r="V19" s="18" t="n">
        <v>5253</v>
      </c>
      <c r="W19" s="18" t="n">
        <v>8949</v>
      </c>
      <c r="X19" s="18" t="n">
        <v>8553</v>
      </c>
      <c r="Y19" s="18" t="n">
        <v>9525</v>
      </c>
      <c r="Z19" s="18" t="n">
        <v>8096</v>
      </c>
      <c r="AB19" s="18" t="n">
        <v>17393</v>
      </c>
      <c r="AC19" s="18" t="n">
        <v>13147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Transportation Revenue</t>
        </is>
      </c>
      <c r="B22" s="18" t="n">
        <v>3514</v>
      </c>
      <c r="C22" s="18" t="n">
        <v>3513</v>
      </c>
      <c r="D22" s="18" t="n">
        <v>3675</v>
      </c>
      <c r="E22" s="18" t="n">
        <v>3910</v>
      </c>
      <c r="F22" s="18" t="n">
        <v>3418</v>
      </c>
      <c r="G22" s="18" t="n">
        <v>3439</v>
      </c>
      <c r="H22" s="18" t="n">
        <v>3591</v>
      </c>
      <c r="I22" s="18" t="n">
        <v>3666</v>
      </c>
      <c r="J22" s="18" t="n">
        <v>3353</v>
      </c>
      <c r="K22" s="18" t="n">
        <v>3549</v>
      </c>
      <c r="L22" s="18" t="n">
        <v>3964</v>
      </c>
      <c r="M22" s="18" t="n">
        <v>4130</v>
      </c>
      <c r="N22" s="18" t="n">
        <v>3922</v>
      </c>
      <c r="O22" s="18" t="n">
        <v>4369</v>
      </c>
      <c r="P22" s="18" t="n">
        <v>4656</v>
      </c>
      <c r="Q22" s="18" t="n">
        <v>4602</v>
      </c>
      <c r="R22" s="18" t="n">
        <v>4461</v>
      </c>
      <c r="S22" s="18" t="n">
        <v>4298</v>
      </c>
      <c r="T22" s="18" t="n">
        <v>4630</v>
      </c>
      <c r="U22" s="18" t="n">
        <v>4716</v>
      </c>
      <c r="V22" s="18" t="n">
        <v>4745</v>
      </c>
      <c r="W22" s="18" t="n">
        <v>4617</v>
      </c>
      <c r="X22" s="18" t="n">
        <v>3443</v>
      </c>
      <c r="Y22" s="18" t="n">
        <v>4675</v>
      </c>
      <c r="Z22" s="18" t="n">
        <v>4309</v>
      </c>
      <c r="AB22" s="18" t="n">
        <v>8798</v>
      </c>
      <c r="AC22" s="18" t="n">
        <v>4329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Gas Distribution Revenue</t>
        </is>
      </c>
      <c r="B25" s="18" t="n">
        <v>755</v>
      </c>
      <c r="C25" s="18" t="n">
        <v>454</v>
      </c>
      <c r="D25" s="18" t="n">
        <v>1120</v>
      </c>
      <c r="E25" s="18" t="n">
        <v>1416</v>
      </c>
      <c r="F25" s="18" t="n">
        <v>694</v>
      </c>
      <c r="G25" s="18" t="n">
        <v>448</v>
      </c>
      <c r="I25" s="18" t="n">
        <v>1540</v>
      </c>
      <c r="J25" s="18" t="n">
        <v>737</v>
      </c>
      <c r="K25" s="18" t="n">
        <v>496</v>
      </c>
      <c r="M25" s="18" t="n">
        <v>2098</v>
      </c>
      <c r="N25" s="18" t="n">
        <v>919</v>
      </c>
      <c r="O25" s="18" t="n">
        <v>699</v>
      </c>
      <c r="Q25" s="18" t="n">
        <v>2279</v>
      </c>
      <c r="R25" s="18" t="n">
        <v>792</v>
      </c>
      <c r="S25" s="18" t="n">
        <v>528</v>
      </c>
      <c r="U25" s="18" t="n">
        <v>1699</v>
      </c>
      <c r="V25" s="18" t="n">
        <v>780</v>
      </c>
      <c r="W25" s="18" t="n">
        <v>710</v>
      </c>
      <c r="Y25" s="18" t="n">
        <v>3699</v>
      </c>
      <c r="Z25" s="18" t="n">
        <v>1763</v>
      </c>
      <c r="AB25" s="18" t="n">
        <v>4307</v>
      </c>
      <c r="AC25" s="18" t="n">
        <v>4139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4" t="inlineStr">
        <is>
          <t>Storage and Other Revenue</t>
        </is>
      </c>
      <c r="B28" s="18" t="n">
        <v>123</v>
      </c>
      <c r="C28" s="18" t="n">
        <v>148</v>
      </c>
      <c r="D28" s="18" t="n">
        <v>173</v>
      </c>
      <c r="E28" s="18" t="n">
        <v>152</v>
      </c>
      <c r="F28" s="18" t="n">
        <v>146</v>
      </c>
      <c r="G28" s="18" t="n">
        <v>137</v>
      </c>
      <c r="H28" s="18" t="n">
        <v>136</v>
      </c>
      <c r="I28" s="18" t="n">
        <v>158</v>
      </c>
      <c r="J28" s="18" t="n">
        <v>151</v>
      </c>
      <c r="K28" s="18" t="n">
        <v>141</v>
      </c>
      <c r="L28" s="18" t="n">
        <v>198</v>
      </c>
      <c r="M28" s="18" t="n">
        <v>182</v>
      </c>
      <c r="N28" s="18" t="n">
        <v>246</v>
      </c>
      <c r="O28" s="18" t="n">
        <v>212</v>
      </c>
      <c r="P28" s="18" t="n">
        <v>253</v>
      </c>
      <c r="Q28" s="18" t="n">
        <v>258</v>
      </c>
      <c r="R28" s="18" t="n">
        <v>260</v>
      </c>
      <c r="S28" s="18" t="n">
        <v>266</v>
      </c>
      <c r="T28" s="18" t="n">
        <v>289</v>
      </c>
      <c r="U28" s="18" t="n">
        <v>299</v>
      </c>
      <c r="V28" s="18" t="n">
        <v>327</v>
      </c>
      <c r="W28" s="18" t="n">
        <v>333</v>
      </c>
      <c r="X28" s="18" t="n">
        <v>378</v>
      </c>
      <c r="Y28" s="18" t="n">
        <v>398</v>
      </c>
      <c r="Z28" s="18" t="n">
        <v>389</v>
      </c>
      <c r="AB28" s="18" t="n">
        <v>751</v>
      </c>
      <c r="AC28" s="18" t="n">
        <v>404</v>
      </c>
    </row>
    <row r="29">
      <c r="A29" s="4" t="inlineStr">
        <is>
          <t xml:space="preserve">    % YoY</t>
        </is>
      </c>
      <c r="F29" s="25">
        <f>IFERROR(F28/B28-1,"")</f>
        <v/>
      </c>
      <c r="G29" s="25">
        <f>IFERROR(G28/C28-1,"")</f>
        <v/>
      </c>
      <c r="H29" s="25">
        <f>IFERROR(H28/D28-1,"")</f>
        <v/>
      </c>
      <c r="I29" s="25">
        <f>IFERROR(I28/E28-1,"")</f>
        <v/>
      </c>
      <c r="J29" s="25">
        <f>IFERROR(J28/F28-1,"")</f>
        <v/>
      </c>
      <c r="K29" s="25">
        <f>IFERROR(K28/G28-1,"")</f>
        <v/>
      </c>
      <c r="L29" s="25">
        <f>IFERROR(L28/H28-1,"")</f>
        <v/>
      </c>
      <c r="M29" s="25">
        <f>IFERROR(M28/I28-1,"")</f>
        <v/>
      </c>
      <c r="N29" s="25">
        <f>IFERROR(N28/J28-1,"")</f>
        <v/>
      </c>
      <c r="O29" s="25">
        <f>IFERROR(O28/K28-1,"")</f>
        <v/>
      </c>
      <c r="P29" s="25">
        <f>IFERROR(P28/L28-1,"")</f>
        <v/>
      </c>
      <c r="Q29" s="25">
        <f>IFERROR(Q28/M28-1,"")</f>
        <v/>
      </c>
      <c r="R29" s="25">
        <f>IFERROR(R28/N28-1,"")</f>
        <v/>
      </c>
      <c r="S29" s="25">
        <f>IFERROR(S28/O28-1,"")</f>
        <v/>
      </c>
      <c r="T29" s="25">
        <f>IFERROR(T28/P28-1,"")</f>
        <v/>
      </c>
      <c r="U29" s="25">
        <f>IFERROR(U28/Q28-1,"")</f>
        <v/>
      </c>
      <c r="V29" s="25">
        <f>IFERROR(V28/R28-1,"")</f>
        <v/>
      </c>
      <c r="W29" s="25">
        <f>IFERROR(W28/S28-1,"")</f>
        <v/>
      </c>
      <c r="X29" s="25">
        <f>IFERROR(X28/T28-1,"")</f>
        <v/>
      </c>
      <c r="Y29" s="25">
        <f>IFERROR(Y28/U28-1,"")</f>
        <v/>
      </c>
      <c r="Z29" s="25">
        <f>IFERROR(Z28/V28-1,"")</f>
        <v/>
      </c>
      <c r="AA29" s="25">
        <f>IFERROR(AA28/W28-1,"")</f>
        <v/>
      </c>
      <c r="AB29" s="25">
        <f>IFERROR(AB28/X28-1,"")</f>
        <v/>
      </c>
      <c r="AC29" s="25">
        <f>IFERROR(AC28/Y28-1,"")</f>
        <v/>
      </c>
    </row>
    <row r="30">
      <c r="A30" s="4" t="inlineStr">
        <is>
          <t xml:space="preserve">    % of revenue</t>
        </is>
      </c>
      <c r="B30" s="25">
        <f>IFERROR(B28/B3,"")</f>
        <v/>
      </c>
      <c r="C30" s="25">
        <f>IFERROR(C28/C3,"")</f>
        <v/>
      </c>
      <c r="D30" s="25">
        <f>IFERROR(D28/D3,"")</f>
        <v/>
      </c>
      <c r="E30" s="25">
        <f>IFERROR(E28/E3,"")</f>
        <v/>
      </c>
      <c r="F30" s="25">
        <f>IFERROR(F28/F3,"")</f>
        <v/>
      </c>
      <c r="G30" s="25">
        <f>IFERROR(G28/G3,"")</f>
        <v/>
      </c>
      <c r="H30" s="25">
        <f>IFERROR(H28/H3,"")</f>
        <v/>
      </c>
      <c r="I30" s="25">
        <f>IFERROR(I28/I3,"")</f>
        <v/>
      </c>
      <c r="J30" s="25">
        <f>IFERROR(J28/J3,"")</f>
        <v/>
      </c>
      <c r="K30" s="25">
        <f>IFERROR(K28/K3,"")</f>
        <v/>
      </c>
      <c r="L30" s="25">
        <f>IFERROR(L28/L3,"")</f>
        <v/>
      </c>
      <c r="M30" s="25">
        <f>IFERROR(M28/M3,"")</f>
        <v/>
      </c>
      <c r="N30" s="25">
        <f>IFERROR(N28/N3,"")</f>
        <v/>
      </c>
      <c r="O30" s="25">
        <f>IFERROR(O28/O3,"")</f>
        <v/>
      </c>
      <c r="P30" s="25">
        <f>IFERROR(P28/P3,"")</f>
        <v/>
      </c>
      <c r="Q30" s="25">
        <f>IFERROR(Q28/Q3,"")</f>
        <v/>
      </c>
      <c r="R30" s="25">
        <f>IFERROR(R28/R3,"")</f>
        <v/>
      </c>
      <c r="S30" s="25">
        <f>IFERROR(S28/S3,"")</f>
        <v/>
      </c>
      <c r="T30" s="25">
        <f>IFERROR(T28/T3,"")</f>
        <v/>
      </c>
      <c r="U30" s="25">
        <f>IFERROR(U28/U3,"")</f>
        <v/>
      </c>
      <c r="V30" s="25">
        <f>IFERROR(V28/V3,"")</f>
        <v/>
      </c>
      <c r="W30" s="25">
        <f>IFERROR(W28/W3,"")</f>
        <v/>
      </c>
      <c r="X30" s="25">
        <f>IFERROR(X28/X3,"")</f>
        <v/>
      </c>
      <c r="Y30" s="25">
        <f>IFERROR(Y28/Y3,"")</f>
        <v/>
      </c>
      <c r="Z30" s="25">
        <f>IFERROR(Z28/Z3,"")</f>
        <v/>
      </c>
      <c r="AA30" s="25">
        <f>IFERROR(AA28/AA3,"")</f>
        <v/>
      </c>
      <c r="AB30" s="25">
        <f>IFERROR(AB28/AB3,"")</f>
        <v/>
      </c>
      <c r="AC30" s="25">
        <f>IFERROR(AC28/AC3,"")</f>
        <v/>
      </c>
    </row>
    <row r="31">
      <c r="A31" s="4" t="inlineStr">
        <is>
          <t>Other Revenue</t>
        </is>
      </c>
      <c r="B31" s="18" t="n">
        <v>298</v>
      </c>
      <c r="C31" s="18" t="n">
        <v>-73</v>
      </c>
      <c r="D31" s="18" t="n">
        <v>374</v>
      </c>
      <c r="E31" s="18" t="n">
        <v>-912</v>
      </c>
      <c r="F31" s="18" t="n">
        <v>711</v>
      </c>
      <c r="G31" s="18" t="n">
        <v>438</v>
      </c>
      <c r="H31" s="18" t="n">
        <v>774</v>
      </c>
      <c r="I31" s="18" t="n">
        <v>317</v>
      </c>
      <c r="J31" s="18" t="n">
        <v>320</v>
      </c>
      <c r="K31" s="18" t="n">
        <v>-58</v>
      </c>
      <c r="L31" s="18" t="n">
        <v>187</v>
      </c>
      <c r="M31" s="18" t="n">
        <v>285</v>
      </c>
      <c r="N31" s="18" t="n">
        <v>-67</v>
      </c>
      <c r="O31" s="18" t="n">
        <v>1</v>
      </c>
      <c r="P31" s="18" t="n">
        <v>24</v>
      </c>
      <c r="Q31" s="18" t="n">
        <v>79</v>
      </c>
      <c r="R31" s="18" t="n">
        <v>161</v>
      </c>
      <c r="S31" s="18" t="n">
        <v>21</v>
      </c>
      <c r="T31" s="18" t="n">
        <v>225</v>
      </c>
      <c r="U31" s="18" t="n">
        <v>155</v>
      </c>
      <c r="V31" s="18" t="n">
        <v>156</v>
      </c>
      <c r="W31" s="18" t="n">
        <v>200</v>
      </c>
      <c r="X31" s="18" t="n">
        <v>163</v>
      </c>
      <c r="Y31" s="18" t="n">
        <v>168</v>
      </c>
      <c r="Z31" s="18" t="n">
        <v>257</v>
      </c>
      <c r="AB31" s="18" t="n">
        <v>426</v>
      </c>
      <c r="AC31" s="18" t="n">
        <v>242</v>
      </c>
    </row>
    <row r="32">
      <c r="A32" s="4" t="inlineStr">
        <is>
          <t xml:space="preserve">    % YoY</t>
        </is>
      </c>
      <c r="F32" s="25">
        <f>IFERROR(F31/B31-1,"")</f>
        <v/>
      </c>
      <c r="G32" s="25">
        <f>IFERROR(G31/C31-1,"")</f>
        <v/>
      </c>
      <c r="H32" s="25">
        <f>IFERROR(H31/D31-1,"")</f>
        <v/>
      </c>
      <c r="I32" s="25">
        <f>IFERROR(I31/E31-1,"")</f>
        <v/>
      </c>
      <c r="J32" s="25">
        <f>IFERROR(J31/F31-1,"")</f>
        <v/>
      </c>
      <c r="K32" s="25">
        <f>IFERROR(K31/G31-1,"")</f>
        <v/>
      </c>
      <c r="L32" s="25">
        <f>IFERROR(L31/H31-1,"")</f>
        <v/>
      </c>
      <c r="M32" s="25">
        <f>IFERROR(M31/I31-1,"")</f>
        <v/>
      </c>
      <c r="N32" s="25">
        <f>IFERROR(N31/J31-1,"")</f>
        <v/>
      </c>
      <c r="O32" s="25">
        <f>IFERROR(O31/K31-1,"")</f>
        <v/>
      </c>
      <c r="P32" s="25">
        <f>IFERROR(P31/L31-1,"")</f>
        <v/>
      </c>
      <c r="Q32" s="25">
        <f>IFERROR(Q31/M31-1,"")</f>
        <v/>
      </c>
      <c r="R32" s="25">
        <f>IFERROR(R31/N31-1,"")</f>
        <v/>
      </c>
      <c r="S32" s="25">
        <f>IFERROR(S31/O31-1,"")</f>
        <v/>
      </c>
      <c r="T32" s="25">
        <f>IFERROR(T31/P31-1,"")</f>
        <v/>
      </c>
      <c r="U32" s="25">
        <f>IFERROR(U31/Q31-1,"")</f>
        <v/>
      </c>
      <c r="V32" s="25">
        <f>IFERROR(V31/R31-1,"")</f>
        <v/>
      </c>
      <c r="W32" s="25">
        <f>IFERROR(W31/S31-1,"")</f>
        <v/>
      </c>
      <c r="X32" s="25">
        <f>IFERROR(X31/T31-1,"")</f>
        <v/>
      </c>
      <c r="Y32" s="25">
        <f>IFERROR(Y31/U31-1,"")</f>
        <v/>
      </c>
      <c r="Z32" s="25">
        <f>IFERROR(Z31/V31-1,"")</f>
        <v/>
      </c>
      <c r="AA32" s="25">
        <f>IFERROR(AA31/W31-1,"")</f>
        <v/>
      </c>
      <c r="AB32" s="25">
        <f>IFERROR(AB31/X31-1,"")</f>
        <v/>
      </c>
      <c r="AC32" s="25">
        <f>IFERROR(AC31/Y31-1,"")</f>
        <v/>
      </c>
    </row>
    <row r="33">
      <c r="A33" s="4" t="inlineStr">
        <is>
          <t xml:space="preserve">    % of revenue</t>
        </is>
      </c>
      <c r="B33" s="25">
        <f>IFERROR(B31/B3,"")</f>
        <v/>
      </c>
      <c r="C33" s="25">
        <f>IFERROR(C31/C3,"")</f>
        <v/>
      </c>
      <c r="D33" s="25">
        <f>IFERROR(D31/D3,"")</f>
        <v/>
      </c>
      <c r="E33" s="25">
        <f>IFERROR(E31/E3,"")</f>
        <v/>
      </c>
      <c r="F33" s="25">
        <f>IFERROR(F31/F3,"")</f>
        <v/>
      </c>
      <c r="G33" s="25">
        <f>IFERROR(G31/G3,"")</f>
        <v/>
      </c>
      <c r="H33" s="25">
        <f>IFERROR(H31/H3,"")</f>
        <v/>
      </c>
      <c r="I33" s="25">
        <f>IFERROR(I31/I3,"")</f>
        <v/>
      </c>
      <c r="J33" s="25">
        <f>IFERROR(J31/J3,"")</f>
        <v/>
      </c>
      <c r="K33" s="25">
        <f>IFERROR(K31/K3,"")</f>
        <v/>
      </c>
      <c r="L33" s="25">
        <f>IFERROR(L31/L3,"")</f>
        <v/>
      </c>
      <c r="M33" s="25">
        <f>IFERROR(M31/M3,"")</f>
        <v/>
      </c>
      <c r="N33" s="25">
        <f>IFERROR(N31/N3,"")</f>
        <v/>
      </c>
      <c r="O33" s="25">
        <f>IFERROR(O31/O3,"")</f>
        <v/>
      </c>
      <c r="P33" s="25">
        <f>IFERROR(P31/P3,"")</f>
        <v/>
      </c>
      <c r="Q33" s="25">
        <f>IFERROR(Q31/Q3,"")</f>
        <v/>
      </c>
      <c r="R33" s="25">
        <f>IFERROR(R31/R3,"")</f>
        <v/>
      </c>
      <c r="S33" s="25">
        <f>IFERROR(S31/S3,"")</f>
        <v/>
      </c>
      <c r="T33" s="25">
        <f>IFERROR(T31/T3,"")</f>
        <v/>
      </c>
      <c r="U33" s="25">
        <f>IFERROR(U31/U3,"")</f>
        <v/>
      </c>
      <c r="V33" s="25">
        <f>IFERROR(V31/V3,"")</f>
        <v/>
      </c>
      <c r="W33" s="25">
        <f>IFERROR(W31/W3,"")</f>
        <v/>
      </c>
      <c r="X33" s="25">
        <f>IFERROR(X31/X3,"")</f>
        <v/>
      </c>
      <c r="Y33" s="25">
        <f>IFERROR(Y31/Y3,"")</f>
        <v/>
      </c>
      <c r="Z33" s="25">
        <f>IFERROR(Z31/Z3,"")</f>
        <v/>
      </c>
      <c r="AA33" s="25">
        <f>IFERROR(AA31/AA3,"")</f>
        <v/>
      </c>
      <c r="AB33" s="25">
        <f>IFERROR(AB31/AB3,"")</f>
        <v/>
      </c>
      <c r="AC33" s="25">
        <f>IFERROR(AC31/AC3,"")</f>
        <v/>
      </c>
    </row>
    <row r="34">
      <c r="A34" s="5" t="inlineStr">
        <is>
          <t xml:space="preserve">  BALANCE SHEET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4" t="inlineStr">
        <is>
          <t>Cash &amp; ST Investments</t>
        </is>
      </c>
      <c r="B35" s="18" t="n">
        <v>708</v>
      </c>
      <c r="C35" s="18" t="n">
        <v>815</v>
      </c>
      <c r="D35" s="18" t="n">
        <v>521.303258</v>
      </c>
      <c r="E35" s="18" t="n">
        <v>590.157023</v>
      </c>
      <c r="F35" s="18" t="n">
        <v>462</v>
      </c>
      <c r="G35" s="18" t="n">
        <v>657</v>
      </c>
      <c r="H35" s="18" t="n">
        <v>452</v>
      </c>
      <c r="I35" s="18" t="n">
        <v>465</v>
      </c>
      <c r="J35" s="18" t="n">
        <v>374</v>
      </c>
      <c r="K35" s="18" t="n">
        <v>405.923</v>
      </c>
      <c r="L35" s="18" t="n">
        <v>286</v>
      </c>
      <c r="M35" s="18" t="n">
        <v>362.8368</v>
      </c>
      <c r="N35" s="18" t="n">
        <v>844.79936</v>
      </c>
      <c r="O35" s="18" t="n">
        <v>763.7882</v>
      </c>
      <c r="P35" s="18" t="n">
        <v>861</v>
      </c>
      <c r="Q35" s="18" t="n">
        <v>976</v>
      </c>
      <c r="R35" s="18" t="n">
        <v>822.296</v>
      </c>
      <c r="S35" s="18" t="n">
        <v>1948.4567</v>
      </c>
      <c r="T35" s="18" t="n">
        <v>5901</v>
      </c>
      <c r="U35" s="18" t="n">
        <v>1385</v>
      </c>
      <c r="V35" s="18" t="n">
        <v>3699</v>
      </c>
      <c r="W35" s="18" t="n">
        <v>2008</v>
      </c>
      <c r="X35" s="18" t="n">
        <v>1803</v>
      </c>
      <c r="Y35" s="18" t="n">
        <v>2087</v>
      </c>
      <c r="Z35" s="18" t="n">
        <v>1203</v>
      </c>
      <c r="AA35" s="18" t="n">
        <v>1084.898</v>
      </c>
      <c r="AB35" s="18" t="n">
        <v>1501.11</v>
      </c>
      <c r="AC35" s="18" t="n">
        <v>2547.864</v>
      </c>
    </row>
    <row r="36">
      <c r="A36" s="4" t="inlineStr">
        <is>
          <t>Total Current Assets</t>
        </is>
      </c>
      <c r="B36" s="18" t="n">
        <v>8393</v>
      </c>
      <c r="C36" s="18" t="n">
        <v>8055</v>
      </c>
      <c r="D36" s="18" t="n">
        <v>6719.105455</v>
      </c>
      <c r="E36" s="18" t="n">
        <v>5726.630835</v>
      </c>
      <c r="F36" s="18" t="n">
        <v>6957</v>
      </c>
      <c r="G36" s="18" t="n">
        <v>6424</v>
      </c>
      <c r="H36" s="18" t="n">
        <v>7350</v>
      </c>
      <c r="I36" s="18" t="n">
        <v>7634</v>
      </c>
      <c r="J36" s="18" t="n">
        <v>8162</v>
      </c>
      <c r="K36" s="18" t="n">
        <v>6745.4156</v>
      </c>
      <c r="L36" s="18" t="n">
        <v>8959</v>
      </c>
      <c r="M36" s="18" t="n">
        <v>8226.9648</v>
      </c>
      <c r="N36" s="18" t="n">
        <v>8096.25269</v>
      </c>
      <c r="O36" s="18" t="n">
        <v>7809.1382</v>
      </c>
      <c r="P36" s="18" t="n">
        <v>12147</v>
      </c>
      <c r="Q36" s="18" t="n">
        <v>9918</v>
      </c>
      <c r="R36" s="18" t="n">
        <v>6765.4592</v>
      </c>
      <c r="S36" s="18" t="n">
        <v>8193.5291</v>
      </c>
      <c r="T36" s="18" t="n">
        <v>14399</v>
      </c>
      <c r="U36" s="18" t="n">
        <v>10012</v>
      </c>
      <c r="V36" s="18" t="n">
        <v>12499</v>
      </c>
      <c r="W36" s="18" t="n">
        <v>11895</v>
      </c>
      <c r="X36" s="18" t="n">
        <v>13163</v>
      </c>
      <c r="Y36" s="18" t="n">
        <v>13598</v>
      </c>
      <c r="Z36" s="18" t="n">
        <v>11072</v>
      </c>
      <c r="AA36" s="18" t="n">
        <v>8673.440000000001</v>
      </c>
      <c r="AB36" s="18" t="n">
        <v>3843.336</v>
      </c>
      <c r="AC36" s="18" t="n">
        <v>26386.692</v>
      </c>
    </row>
    <row r="37">
      <c r="A37" s="4" t="inlineStr">
        <is>
          <t>PP&amp;E (net)</t>
        </is>
      </c>
      <c r="B37" s="18" t="n">
        <v>93202</v>
      </c>
      <c r="C37" s="18" t="n">
        <v>94379</v>
      </c>
      <c r="D37" s="18" t="n">
        <v>72825.13977199999</v>
      </c>
      <c r="E37" s="18" t="n">
        <v>69190.99307900001</v>
      </c>
      <c r="F37" s="18" t="n">
        <v>96302</v>
      </c>
      <c r="G37" s="18" t="n">
        <v>95990</v>
      </c>
      <c r="H37" s="18" t="n">
        <v>95279</v>
      </c>
      <c r="I37" s="18" t="n">
        <v>95141</v>
      </c>
      <c r="J37" s="18" t="n">
        <v>95273</v>
      </c>
      <c r="K37" s="18" t="n">
        <v>77320.0554</v>
      </c>
      <c r="L37" s="18" t="n">
        <v>100067</v>
      </c>
      <c r="M37" s="18" t="n">
        <v>79397.3232</v>
      </c>
      <c r="N37" s="18" t="n">
        <v>78648.64629999999</v>
      </c>
      <c r="O37" s="18" t="n">
        <v>76054.3726</v>
      </c>
      <c r="P37" s="18" t="n">
        <v>104460</v>
      </c>
      <c r="Q37" s="18" t="n">
        <v>104251</v>
      </c>
      <c r="R37" s="18" t="n">
        <v>78423.652</v>
      </c>
      <c r="S37" s="18" t="n">
        <v>77717.43799999999</v>
      </c>
      <c r="T37" s="18" t="n">
        <v>104641</v>
      </c>
      <c r="U37" s="18" t="n">
        <v>113445</v>
      </c>
      <c r="V37" s="18" t="n">
        <v>120288</v>
      </c>
      <c r="W37" s="18" t="n">
        <v>124429</v>
      </c>
      <c r="X37" s="18" t="n">
        <v>131104</v>
      </c>
      <c r="Y37" s="18" t="n">
        <v>131583</v>
      </c>
      <c r="Z37" s="18" t="n">
        <v>128179</v>
      </c>
      <c r="AA37" s="18" t="n">
        <v>94019.228</v>
      </c>
      <c r="AB37" s="18" t="n">
        <v>180569.564</v>
      </c>
      <c r="AC37" s="18" t="n">
        <v>188057.823</v>
      </c>
    </row>
    <row r="38">
      <c r="A38" s="4" t="inlineStr">
        <is>
          <t>Total Assets</t>
        </is>
      </c>
      <c r="B38" s="18" t="n">
        <v>164828</v>
      </c>
      <c r="C38" s="18" t="n">
        <v>166641</v>
      </c>
      <c r="D38" s="18" t="n">
        <v>125819.934451</v>
      </c>
      <c r="E38" s="18" t="n">
        <v>119614.992798</v>
      </c>
      <c r="F38" s="18" t="n">
        <v>164694</v>
      </c>
      <c r="G38" s="18" t="n">
        <v>162488</v>
      </c>
      <c r="H38" s="18" t="n">
        <v>160276</v>
      </c>
      <c r="I38" s="18" t="n">
        <v>160695</v>
      </c>
      <c r="J38" s="18" t="n">
        <v>160727</v>
      </c>
      <c r="K38" s="18" t="n">
        <v>129684.1224</v>
      </c>
      <c r="L38" s="18" t="n">
        <v>168864</v>
      </c>
      <c r="M38" s="18" t="n">
        <v>135377.2872</v>
      </c>
      <c r="N38" s="18" t="n">
        <v>134186.43952</v>
      </c>
      <c r="O38" s="18" t="n">
        <v>131350.615</v>
      </c>
      <c r="P38" s="18" t="n">
        <v>179608</v>
      </c>
      <c r="Q38" s="18" t="n">
        <v>177070</v>
      </c>
      <c r="R38" s="18" t="n">
        <v>131221.8448</v>
      </c>
      <c r="S38" s="18" t="n">
        <v>131327.601</v>
      </c>
      <c r="T38" s="18" t="n">
        <v>180317</v>
      </c>
      <c r="U38" s="18" t="n">
        <v>190713</v>
      </c>
      <c r="V38" s="18" t="n">
        <v>201263</v>
      </c>
      <c r="W38" s="18" t="n">
        <v>205773</v>
      </c>
      <c r="X38" s="18" t="n">
        <v>218973</v>
      </c>
      <c r="Y38" s="18" t="n">
        <v>220045</v>
      </c>
      <c r="Z38" s="18" t="n">
        <v>211592</v>
      </c>
      <c r="AA38" s="18" t="n">
        <v>155786.614</v>
      </c>
      <c r="AB38" s="18" t="n">
        <v>299776.102</v>
      </c>
      <c r="AC38" s="18" t="n">
        <v>319288.906</v>
      </c>
    </row>
    <row r="39">
      <c r="A39" s="4" t="inlineStr">
        <is>
          <t>Total Current Liabilities</t>
        </is>
      </c>
      <c r="B39" s="18" t="n">
        <v>13368</v>
      </c>
      <c r="C39" s="18" t="n">
        <v>13548</v>
      </c>
      <c r="D39" s="18" t="n">
        <v>12259.88047</v>
      </c>
      <c r="E39" s="18" t="n">
        <v>9827.519584</v>
      </c>
      <c r="F39" s="18" t="n">
        <v>11440</v>
      </c>
      <c r="G39" s="18" t="n">
        <v>11598</v>
      </c>
      <c r="H39" s="18" t="n">
        <v>13979</v>
      </c>
      <c r="I39" s="18" t="n">
        <v>12926</v>
      </c>
      <c r="J39" s="18" t="n">
        <v>13550</v>
      </c>
      <c r="K39" s="18" t="n">
        <v>12170.5962</v>
      </c>
      <c r="L39" s="18" t="n">
        <v>18229</v>
      </c>
      <c r="M39" s="18" t="n">
        <v>12157.4304</v>
      </c>
      <c r="N39" s="18" t="n">
        <v>13957.04825</v>
      </c>
      <c r="O39" s="18" t="n">
        <v>12941.766</v>
      </c>
      <c r="P39" s="18" t="n">
        <v>20301</v>
      </c>
      <c r="Q39" s="18" t="n">
        <v>16778</v>
      </c>
      <c r="R39" s="18" t="n">
        <v>10580.46</v>
      </c>
      <c r="S39" s="18" t="n">
        <v>12311.2725</v>
      </c>
      <c r="T39" s="18" t="n">
        <v>17435</v>
      </c>
      <c r="U39" s="18" t="n">
        <v>14718</v>
      </c>
      <c r="V39" s="18" t="n">
        <v>16330</v>
      </c>
      <c r="W39" s="18" t="n">
        <v>19050</v>
      </c>
      <c r="X39" s="18" t="n">
        <v>23812</v>
      </c>
      <c r="Y39" s="18" t="n">
        <v>18634</v>
      </c>
      <c r="Z39" s="18" t="n">
        <v>14807</v>
      </c>
      <c r="AA39" s="18" t="n">
        <v>10799.438</v>
      </c>
      <c r="AB39" s="18" t="n">
        <v>28820.219</v>
      </c>
      <c r="AC39" s="18" t="n">
        <v>32615.736</v>
      </c>
    </row>
    <row r="40">
      <c r="A40" s="4" t="inlineStr">
        <is>
          <t>Long-term Debt</t>
        </is>
      </c>
      <c r="B40" s="18" t="n">
        <v>60017</v>
      </c>
      <c r="C40" s="18" t="n">
        <v>60879</v>
      </c>
      <c r="D40" s="18" t="n">
        <v>46008.097165</v>
      </c>
      <c r="E40" s="18" t="n">
        <v>44662.943056</v>
      </c>
      <c r="F40" s="18" t="n">
        <v>64070</v>
      </c>
      <c r="G40" s="18" t="n">
        <v>63556</v>
      </c>
      <c r="H40" s="18" t="n">
        <v>63060</v>
      </c>
      <c r="I40" s="18" t="n">
        <v>62790</v>
      </c>
      <c r="J40" s="18" t="n">
        <v>63236</v>
      </c>
      <c r="K40" s="18" t="n">
        <v>51261.3752</v>
      </c>
      <c r="L40" s="18" t="n">
        <v>67961</v>
      </c>
      <c r="M40" s="18" t="n">
        <v>56335.608</v>
      </c>
      <c r="N40" s="18" t="n">
        <v>54356.78235</v>
      </c>
      <c r="O40" s="18" t="n">
        <v>53443.496</v>
      </c>
      <c r="P40" s="18" t="n">
        <v>72939</v>
      </c>
      <c r="Q40" s="18" t="n">
        <v>71740</v>
      </c>
      <c r="R40" s="18" t="n">
        <v>54716.632</v>
      </c>
      <c r="S40" s="18" t="n">
        <v>50638.5273</v>
      </c>
      <c r="T40" s="18" t="n">
        <v>74715</v>
      </c>
      <c r="U40" s="18" t="n">
        <v>81386</v>
      </c>
      <c r="V40" s="18" t="n">
        <v>85181</v>
      </c>
      <c r="W40" s="18" t="n">
        <v>87320</v>
      </c>
      <c r="X40" s="18" t="n">
        <v>93414</v>
      </c>
      <c r="Y40" s="18" t="n">
        <v>97159</v>
      </c>
      <c r="Z40" s="18" t="n">
        <v>96981</v>
      </c>
      <c r="AA40" s="18" t="n">
        <v>72232.236</v>
      </c>
      <c r="AB40" s="18" t="n">
        <v>135790.101</v>
      </c>
      <c r="AC40" s="18" t="n">
        <v>144122.911</v>
      </c>
    </row>
    <row r="41">
      <c r="A41" s="4" t="inlineStr">
        <is>
          <t>Total Equity</t>
        </is>
      </c>
      <c r="B41" s="18" t="n">
        <v>69354</v>
      </c>
      <c r="C41" s="18" t="n">
        <v>69287</v>
      </c>
      <c r="D41" s="18" t="n">
        <v>50929.631771</v>
      </c>
      <c r="E41" s="18" t="n">
        <v>48366.880949</v>
      </c>
      <c r="F41" s="18" t="n">
        <v>66626</v>
      </c>
      <c r="G41" s="18" t="n">
        <v>65204</v>
      </c>
      <c r="H41" s="18" t="n">
        <v>61367</v>
      </c>
      <c r="I41" s="18" t="n">
        <v>63058</v>
      </c>
      <c r="J41" s="18" t="n">
        <v>62026</v>
      </c>
      <c r="K41" s="18" t="n">
        <v>48936.9734</v>
      </c>
      <c r="L41" s="18" t="n">
        <v>60826</v>
      </c>
      <c r="M41" s="18" t="n">
        <v>49340.2104</v>
      </c>
      <c r="N41" s="18" t="n">
        <v>48139.58706</v>
      </c>
      <c r="O41" s="18" t="n">
        <v>46847.6032</v>
      </c>
      <c r="P41" s="18" t="n">
        <v>59887</v>
      </c>
      <c r="Q41" s="18" t="n">
        <v>61539</v>
      </c>
      <c r="R41" s="18" t="n">
        <v>45730.2192</v>
      </c>
      <c r="S41" s="18" t="n">
        <v>47914.2212</v>
      </c>
      <c r="T41" s="18" t="n">
        <v>61454</v>
      </c>
      <c r="U41" s="18" t="n">
        <v>64261</v>
      </c>
      <c r="V41" s="18" t="n">
        <v>67228</v>
      </c>
      <c r="W41" s="18" t="n">
        <v>65788</v>
      </c>
      <c r="X41" s="18" t="n">
        <v>65900</v>
      </c>
      <c r="Y41" s="18" t="n">
        <v>68258</v>
      </c>
      <c r="Z41" s="18" t="n">
        <v>65448</v>
      </c>
      <c r="AA41" s="18" t="n">
        <v>46800.676</v>
      </c>
      <c r="AB41" s="18" t="n">
        <v>85528.97900000001</v>
      </c>
      <c r="AC41" s="18" t="n">
        <v>90903.196</v>
      </c>
    </row>
    <row r="42">
      <c r="A42" s="5" t="inlineStr">
        <is>
          <t xml:space="preserve">  CASH FLOW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</row>
    <row r="43">
      <c r="A43" s="4" t="inlineStr">
        <is>
          <t>D&amp;A</t>
        </is>
      </c>
      <c r="B43" s="18" t="n">
        <v>842</v>
      </c>
      <c r="C43" s="18" t="n">
        <v>844</v>
      </c>
      <c r="D43" s="18" t="n">
        <v>865</v>
      </c>
      <c r="E43" s="18" t="n">
        <v>882</v>
      </c>
      <c r="F43" s="18" t="n">
        <v>949</v>
      </c>
      <c r="G43" s="18" t="n">
        <v>935</v>
      </c>
      <c r="H43" s="18" t="n">
        <v>946</v>
      </c>
      <c r="I43" s="18" t="n">
        <v>932</v>
      </c>
      <c r="J43" s="18" t="n">
        <v>929</v>
      </c>
      <c r="K43" s="18" t="n">
        <v>744.0608</v>
      </c>
      <c r="L43" s="18" t="n">
        <v>827.7582</v>
      </c>
      <c r="M43" s="18" t="n">
        <v>843.1559999999999</v>
      </c>
      <c r="N43" s="18" t="n">
        <v>826.16408</v>
      </c>
      <c r="O43" s="18" t="n">
        <v>1076</v>
      </c>
      <c r="P43" s="18" t="n">
        <v>1122</v>
      </c>
      <c r="Q43" s="18" t="n">
        <v>1146</v>
      </c>
      <c r="R43" s="18" t="n">
        <v>1137</v>
      </c>
      <c r="S43" s="18" t="n">
        <v>1164</v>
      </c>
      <c r="T43" s="18" t="n">
        <v>1166</v>
      </c>
      <c r="U43" s="18" t="n">
        <v>1193</v>
      </c>
      <c r="V43" s="18" t="n">
        <v>1273</v>
      </c>
      <c r="W43" s="18" t="n">
        <v>1317</v>
      </c>
      <c r="X43" s="18" t="n">
        <v>1384</v>
      </c>
      <c r="Y43" s="18" t="n">
        <v>1408</v>
      </c>
      <c r="Z43" s="18" t="n">
        <v>1391</v>
      </c>
      <c r="AA43" s="18" t="n">
        <v>1398</v>
      </c>
      <c r="AB43" s="18" t="n">
        <v>2549.741362</v>
      </c>
      <c r="AC43" s="18" t="n">
        <v>1970.73725</v>
      </c>
    </row>
    <row r="44">
      <c r="A44" s="4" t="inlineStr">
        <is>
          <t>Stock-based Compensation</t>
        </is>
      </c>
      <c r="B44" s="18" t="n">
        <v>0</v>
      </c>
      <c r="C44" s="18" t="n">
        <v>0</v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0</v>
      </c>
      <c r="K44" s="18" t="n">
        <v>0</v>
      </c>
      <c r="L44" s="18" t="n">
        <v>0</v>
      </c>
      <c r="M44" s="18" t="n">
        <v>0</v>
      </c>
      <c r="N44" s="18" t="n">
        <v>0</v>
      </c>
      <c r="O44" s="18" t="n">
        <v>0</v>
      </c>
      <c r="P44" s="18" t="n">
        <v>260</v>
      </c>
      <c r="Q44" s="18" t="n">
        <v>0</v>
      </c>
      <c r="R44" s="18" t="n">
        <v>0</v>
      </c>
      <c r="S44" s="18" t="n">
        <v>0</v>
      </c>
      <c r="T44" s="18" t="n">
        <v>0</v>
      </c>
      <c r="U44" s="18" t="n">
        <v>0</v>
      </c>
      <c r="V44" s="18" t="n">
        <v>0</v>
      </c>
      <c r="W44" s="18" t="n">
        <v>0</v>
      </c>
      <c r="X44" s="18" t="n">
        <v>0</v>
      </c>
      <c r="Y44" s="18" t="n">
        <v>0</v>
      </c>
      <c r="Z44" s="18" t="n">
        <v>0</v>
      </c>
      <c r="AA44" s="18" t="n">
        <v>0</v>
      </c>
      <c r="AB44" s="18" t="n">
        <v>0</v>
      </c>
      <c r="AC44" s="18" t="n">
        <v>0</v>
      </c>
    </row>
    <row r="45">
      <c r="A45" s="4" t="inlineStr">
        <is>
          <t>Change in Working Capital</t>
        </is>
      </c>
      <c r="B45" s="18" t="n">
        <v>-12</v>
      </c>
      <c r="C45" s="18" t="n">
        <v>228</v>
      </c>
      <c r="D45" s="18" t="n">
        <v>192</v>
      </c>
      <c r="E45" s="18" t="n">
        <v>194</v>
      </c>
      <c r="F45" s="18" t="n">
        <v>-91</v>
      </c>
      <c r="G45" s="18" t="n">
        <v>110</v>
      </c>
      <c r="H45" s="18" t="n">
        <v>-120</v>
      </c>
      <c r="I45" s="18" t="n">
        <v>-418</v>
      </c>
      <c r="J45" s="18" t="n">
        <v>55</v>
      </c>
      <c r="K45" s="18" t="n">
        <v>-349.1726</v>
      </c>
      <c r="L45" s="18" t="n">
        <v>-433.2488</v>
      </c>
      <c r="M45" s="18" t="n">
        <v>-201.3984</v>
      </c>
      <c r="N45" s="18" t="n">
        <v>88.51758</v>
      </c>
      <c r="O45" s="18" t="n">
        <v>-464</v>
      </c>
      <c r="P45" s="18" t="n">
        <v>590</v>
      </c>
      <c r="Q45" s="18" t="n">
        <v>914</v>
      </c>
      <c r="R45" s="18" t="n">
        <v>314</v>
      </c>
      <c r="S45" s="18" t="n">
        <v>233</v>
      </c>
      <c r="T45" s="18" t="n">
        <v>850</v>
      </c>
      <c r="U45" s="18" t="n">
        <v>-300</v>
      </c>
      <c r="V45" s="18" t="n">
        <v>-207</v>
      </c>
      <c r="W45" s="18" t="n">
        <v>155</v>
      </c>
      <c r="X45" s="18" t="n">
        <v>219</v>
      </c>
      <c r="Y45" s="18" t="n">
        <v>-899</v>
      </c>
      <c r="Z45" s="18" t="n">
        <v>58</v>
      </c>
      <c r="AA45" s="18" t="n">
        <v>102</v>
      </c>
      <c r="AB45" s="18" t="n">
        <v>1053.472017</v>
      </c>
      <c r="AC45" s="18" t="n">
        <v>-2641.860614</v>
      </c>
    </row>
    <row r="46">
      <c r="A46" s="4" t="inlineStr">
        <is>
          <t>Operating Cash Flow</t>
        </is>
      </c>
      <c r="B46" s="18" t="n">
        <v>2494</v>
      </c>
      <c r="C46" s="18" t="n">
        <v>2735</v>
      </c>
      <c r="D46" s="18" t="n">
        <v>1993</v>
      </c>
      <c r="E46" s="18" t="n">
        <v>2809</v>
      </c>
      <c r="F46" s="18" t="n">
        <v>2416</v>
      </c>
      <c r="G46" s="18" t="n">
        <v>2302</v>
      </c>
      <c r="H46" s="18" t="n">
        <v>2254</v>
      </c>
      <c r="I46" s="18" t="n">
        <v>2564</v>
      </c>
      <c r="J46" s="18" t="n">
        <v>2489</v>
      </c>
      <c r="K46" s="18" t="n">
        <v>1743.4984</v>
      </c>
      <c r="L46" s="18" t="n">
        <v>2008.124</v>
      </c>
      <c r="M46" s="18" t="n">
        <v>2426.3712</v>
      </c>
      <c r="N46" s="18" t="n">
        <v>2122.09251</v>
      </c>
      <c r="O46" s="18" t="n">
        <v>2144</v>
      </c>
      <c r="P46" s="18" t="n">
        <v>3613</v>
      </c>
      <c r="Q46" s="18" t="n">
        <v>3866</v>
      </c>
      <c r="R46" s="18" t="n">
        <v>3439</v>
      </c>
      <c r="S46" s="18" t="n">
        <v>3084</v>
      </c>
      <c r="T46" s="18" t="n">
        <v>3812</v>
      </c>
      <c r="U46" s="18" t="n">
        <v>3417</v>
      </c>
      <c r="V46" s="18" t="n">
        <v>3011</v>
      </c>
      <c r="W46" s="18" t="n">
        <v>2973</v>
      </c>
      <c r="X46" s="18" t="n">
        <v>3662</v>
      </c>
      <c r="Y46" s="18" t="n">
        <v>3053</v>
      </c>
      <c r="Z46" s="18" t="n">
        <v>3238</v>
      </c>
      <c r="AA46" s="18" t="n">
        <v>2868</v>
      </c>
      <c r="AB46" s="18" t="n">
        <v>4268.69643</v>
      </c>
      <c r="AC46" s="18" t="n">
        <v>3513.770884</v>
      </c>
    </row>
    <row r="47">
      <c r="A47" s="4" t="inlineStr">
        <is>
          <t>Capex</t>
        </is>
      </c>
      <c r="B47" s="18" t="n">
        <v>-1247</v>
      </c>
      <c r="C47" s="18" t="n">
        <v>-1179</v>
      </c>
      <c r="D47" s="18" t="n">
        <v>-1628</v>
      </c>
      <c r="E47" s="18" t="n">
        <v>-1216</v>
      </c>
      <c r="F47" s="18" t="n">
        <v>-1240</v>
      </c>
      <c r="G47" s="18" t="n">
        <v>-1488</v>
      </c>
      <c r="H47" s="18" t="n">
        <v>-1676</v>
      </c>
      <c r="I47" s="18" t="n">
        <v>-2124</v>
      </c>
      <c r="J47" s="18" t="n">
        <v>-1719</v>
      </c>
      <c r="K47" s="18" t="n">
        <v>-1585.8584</v>
      </c>
      <c r="L47" s="18" t="n">
        <v>-1852.3758</v>
      </c>
      <c r="M47" s="18" t="n">
        <v>-837.5616</v>
      </c>
      <c r="N47" s="18" t="n">
        <v>-740.75238</v>
      </c>
      <c r="O47" s="18" t="n">
        <v>-1242</v>
      </c>
      <c r="P47" s="18" t="n">
        <v>-1486</v>
      </c>
      <c r="Q47" s="18" t="n">
        <v>-1195</v>
      </c>
      <c r="R47" s="18" t="n">
        <v>-1002</v>
      </c>
      <c r="S47" s="18" t="n">
        <v>-1252</v>
      </c>
      <c r="T47" s="18" t="n">
        <v>-1427</v>
      </c>
      <c r="U47" s="18" t="n">
        <v>-1227</v>
      </c>
      <c r="V47" s="18" t="n">
        <v>-1348</v>
      </c>
      <c r="W47" s="18" t="n">
        <v>-1696</v>
      </c>
      <c r="X47" s="18" t="n">
        <v>-2608</v>
      </c>
      <c r="Y47" s="18" t="n">
        <v>-1783</v>
      </c>
      <c r="Z47" s="18" t="n">
        <v>-1964</v>
      </c>
      <c r="AA47" s="18" t="n">
        <v>-2412</v>
      </c>
      <c r="AB47" s="18" t="n">
        <v>-4124.62278</v>
      </c>
      <c r="AC47" s="18" t="n">
        <v>-3354.241562</v>
      </c>
    </row>
    <row r="48">
      <c r="A48" s="4" t="inlineStr">
        <is>
          <t>Free Cash Flow</t>
        </is>
      </c>
      <c r="B48" s="18" t="n">
        <v>1247</v>
      </c>
      <c r="C48" s="18" t="n">
        <v>1556</v>
      </c>
      <c r="D48" s="18" t="n">
        <v>365</v>
      </c>
      <c r="E48" s="18" t="n">
        <v>1593</v>
      </c>
      <c r="F48" s="18" t="n">
        <v>1176</v>
      </c>
      <c r="G48" s="18" t="n">
        <v>814</v>
      </c>
      <c r="H48" s="18" t="n">
        <v>578</v>
      </c>
      <c r="I48" s="18" t="n">
        <v>440</v>
      </c>
      <c r="J48" s="18" t="n">
        <v>770</v>
      </c>
      <c r="K48" s="18" t="n">
        <v>157.64</v>
      </c>
      <c r="L48" s="18" t="n">
        <v>155.7482</v>
      </c>
      <c r="M48" s="18" t="n">
        <v>1588.8096</v>
      </c>
      <c r="N48" s="18" t="n">
        <v>1381.34013</v>
      </c>
      <c r="O48" s="18" t="n">
        <v>902</v>
      </c>
      <c r="P48" s="18" t="n">
        <v>2127</v>
      </c>
      <c r="Q48" s="18" t="n">
        <v>2671</v>
      </c>
      <c r="R48" s="18" t="n">
        <v>2437</v>
      </c>
      <c r="S48" s="18" t="n">
        <v>1832</v>
      </c>
      <c r="T48" s="18" t="n">
        <v>2385</v>
      </c>
      <c r="U48" s="18" t="n">
        <v>2190</v>
      </c>
      <c r="V48" s="18" t="n">
        <v>1663</v>
      </c>
      <c r="W48" s="18" t="n">
        <v>1277</v>
      </c>
      <c r="X48" s="18" t="n">
        <v>1054</v>
      </c>
      <c r="Y48" s="18" t="n">
        <v>1270</v>
      </c>
      <c r="Z48" s="18" t="n">
        <v>1274</v>
      </c>
      <c r="AA48" s="18" t="n">
        <v>456</v>
      </c>
      <c r="AB48" s="18" t="n">
        <v>144.07365</v>
      </c>
      <c r="AC48" s="18" t="n">
        <v>159.529322</v>
      </c>
    </row>
    <row r="50">
      <c r="A50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64475.213433</v>
      </c>
      <c r="C4" s="18" t="n">
        <v>64128.989151</v>
      </c>
      <c r="D4" s="18" t="n">
        <v>71038.82186500001</v>
      </c>
      <c r="E4" s="18" t="n">
        <v>64325.909741</v>
      </c>
      <c r="F4" s="18" t="n">
        <v>65371.09526</v>
      </c>
    </row>
    <row r="5">
      <c r="A5" s="4" t="inlineStr">
        <is>
          <t xml:space="preserve">  model</t>
        </is>
      </c>
      <c r="B5" s="33">
        <f>Model!G14</f>
        <v/>
      </c>
      <c r="C5" s="33">
        <f>Model!H14</f>
        <v/>
      </c>
      <c r="D5" s="33">
        <f>Model!I14</f>
        <v/>
      </c>
      <c r="E5" s="33">
        <f>Model!J14</f>
        <v/>
      </c>
      <c r="F5" s="33">
        <f>Model!K14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19777.936595</v>
      </c>
      <c r="C8" s="18" t="n">
        <v>19671.731412</v>
      </c>
      <c r="D8" s="18" t="n">
        <v>21791.340266</v>
      </c>
      <c r="E8" s="18" t="n">
        <v>19732.137306</v>
      </c>
      <c r="F8" s="18" t="n">
        <v>20052.750637</v>
      </c>
    </row>
    <row r="9">
      <c r="A9" s="4" t="inlineStr">
        <is>
          <t xml:space="preserve">  model</t>
        </is>
      </c>
      <c r="B9" s="33">
        <f>Model!G27+Model!G32</f>
        <v/>
      </c>
      <c r="C9" s="33">
        <f>Model!H27+Model!H32</f>
        <v/>
      </c>
      <c r="D9" s="33">
        <f>Model!I27+Model!I32</f>
        <v/>
      </c>
      <c r="E9" s="33">
        <f>Model!J27+Model!J32</f>
        <v/>
      </c>
      <c r="F9" s="33">
        <f>Model!K27+Model!K32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13949.895024</v>
      </c>
      <c r="C12" s="18" t="n">
        <v>13874.985735</v>
      </c>
      <c r="D12" s="18" t="n">
        <v>15370.001197</v>
      </c>
      <c r="E12" s="18" t="n">
        <v>13917.59159</v>
      </c>
      <c r="F12" s="18" t="n">
        <v>14143.728542</v>
      </c>
    </row>
    <row r="13">
      <c r="A13" s="4" t="inlineStr">
        <is>
          <t xml:space="preserve">  model</t>
        </is>
      </c>
      <c r="B13" s="33">
        <f>Model!G27</f>
        <v/>
      </c>
      <c r="C13" s="33">
        <f>Model!H27</f>
        <v/>
      </c>
      <c r="D13" s="33">
        <f>Model!I27</f>
        <v/>
      </c>
      <c r="E13" s="33">
        <f>Model!J27</f>
        <v/>
      </c>
      <c r="F13" s="33">
        <f>Model!K27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-138.787091</v>
      </c>
      <c r="C16" s="18" t="n">
        <v>-138.041821</v>
      </c>
      <c r="D16" s="18" t="n">
        <v>-152.915686</v>
      </c>
      <c r="E16" s="18" t="n">
        <v>-138.465705</v>
      </c>
      <c r="F16" s="18" t="n">
        <v>-140.715535</v>
      </c>
    </row>
    <row r="17">
      <c r="A17" s="4" t="inlineStr">
        <is>
          <t xml:space="preserve">  model</t>
        </is>
      </c>
      <c r="B17" s="33">
        <f>Model!G22</f>
        <v/>
      </c>
      <c r="C17" s="33">
        <f>Model!H22</f>
        <v/>
      </c>
      <c r="D17" s="33">
        <f>Model!I22</f>
        <v/>
      </c>
      <c r="E17" s="33">
        <f>Model!J22</f>
        <v/>
      </c>
      <c r="F17" s="33">
        <f>Model!K22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6527.3960025</v>
      </c>
      <c r="C20" s="18" t="n">
        <v>6919.2255725</v>
      </c>
      <c r="D20" s="18" t="n">
        <v>7510.090443</v>
      </c>
      <c r="E20" s="18" t="n">
        <v>7447.461543</v>
      </c>
      <c r="F20" s="18" t="n">
        <v>7182.736943</v>
      </c>
    </row>
    <row r="21">
      <c r="A21" s="4" t="inlineStr">
        <is>
          <t xml:space="preserve">  model</t>
        </is>
      </c>
      <c r="B21" s="33">
        <f>Model!G31</f>
        <v/>
      </c>
      <c r="C21" s="33">
        <f>Model!H31</f>
        <v/>
      </c>
      <c r="D21" s="33">
        <f>Model!I31</f>
        <v/>
      </c>
      <c r="E21" s="33">
        <f>Model!J31</f>
        <v/>
      </c>
      <c r="F21" s="33">
        <f>Model!K31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2.94528</v>
      </c>
      <c r="C24" s="47" t="n">
        <v>3.19899</v>
      </c>
      <c r="D24" s="47" t="n">
        <v>3.51092</v>
      </c>
      <c r="E24" s="47" t="n">
        <v>3.40689</v>
      </c>
      <c r="F24" s="47" t="n">
        <v>3.28579</v>
      </c>
    </row>
    <row r="25">
      <c r="A25" s="4" t="inlineStr">
        <is>
          <t xml:space="preserve">  model</t>
        </is>
      </c>
      <c r="B25" s="8">
        <f>Model!G31/Financials!AC17</f>
        <v/>
      </c>
      <c r="C25" s="8">
        <f>Model!H31/Financials!AC17</f>
        <v/>
      </c>
      <c r="D25" s="8">
        <f>Model!I31/Financials!AC17</f>
        <v/>
      </c>
      <c r="E25" s="8">
        <f>Model!J31/Financials!AC17</f>
        <v/>
      </c>
      <c r="F25" s="8">
        <f>Model!K31/Financials!AC17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Enbridge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Model!G39</f>
        <v/>
      </c>
      <c r="D12" s="33">
        <f>Model!H39</f>
        <v/>
      </c>
      <c r="E12" s="33">
        <f>Model!I39</f>
        <v/>
      </c>
      <c r="F12" s="33">
        <f>Model!J39</f>
        <v/>
      </c>
      <c r="G12" s="33">
        <f>Model!K39</f>
        <v/>
      </c>
      <c r="H12" s="33">
        <f>Model!L39</f>
        <v/>
      </c>
      <c r="I12" s="33">
        <f>Model!M39</f>
        <v/>
      </c>
      <c r="J12" s="33">
        <f>Model!N39</f>
        <v/>
      </c>
      <c r="K12" s="33">
        <f>Model!O39</f>
        <v/>
      </c>
      <c r="L12" s="33">
        <f>Model!P39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Model!P14</f>
        <v/>
      </c>
    </row>
    <row r="21">
      <c r="A21" s="4" t="inlineStr">
        <is>
          <t>Terminal EBIT</t>
        </is>
      </c>
      <c r="B21" s="33">
        <f>Model!P27</f>
        <v/>
      </c>
    </row>
    <row r="22">
      <c r="A22" s="4" t="inlineStr">
        <is>
          <t>Terminal EBITDA (SBC-burdened)</t>
        </is>
      </c>
      <c r="B22" s="33">
        <f>Model!P27+Model!P32-Model!P33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Financials!AC35</f>
        <v/>
      </c>
    </row>
    <row r="33">
      <c r="A33" s="4" t="inlineStr">
        <is>
          <t>- Long-term debt</t>
        </is>
      </c>
      <c r="B33" s="33">
        <f>-Financials!AC40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B34/B35*0.73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0.03933952159998694</v>
      </c>
      <c r="C4" s="51" t="n">
        <v>0.04433952159998693</v>
      </c>
      <c r="D4" s="51" t="n">
        <v>0.04933952159998694</v>
      </c>
      <c r="E4" s="51" t="n">
        <v>0.05433952159998694</v>
      </c>
      <c r="F4" s="51" t="n">
        <v>0.05933952159998693</v>
      </c>
      <c r="G4" s="51" t="n">
        <v>0.06433952159998693</v>
      </c>
      <c r="H4" s="51" t="n">
        <v>0.06933952159998694</v>
      </c>
    </row>
    <row r="5">
      <c r="A5" s="52" t="n">
        <v>9</v>
      </c>
      <c r="B5" s="53" t="n">
        <v>8.758210819816741</v>
      </c>
      <c r="C5" s="53" t="n">
        <v>6.352101937586386</v>
      </c>
      <c r="D5" s="53" t="n">
        <v>4.065017990068912</v>
      </c>
      <c r="E5" s="53" t="n">
        <v>1.890464483972582</v>
      </c>
      <c r="F5" s="53" t="n">
        <v>-0.1776681660067833</v>
      </c>
      <c r="G5" s="53" t="n">
        <v>-2.145129188792366</v>
      </c>
      <c r="H5" s="53" t="n">
        <v>-4.01733033426544</v>
      </c>
    </row>
    <row r="6">
      <c r="A6" s="52" t="n">
        <v>10</v>
      </c>
      <c r="B6" s="53" t="n">
        <v>13.51739563736422</v>
      </c>
      <c r="C6" s="53" t="n">
        <v>10.88827749349754</v>
      </c>
      <c r="D6" s="53" t="n">
        <v>8.389625404245431</v>
      </c>
      <c r="E6" s="53" t="n">
        <v>6.014307530845036</v>
      </c>
      <c r="F6" s="53" t="n">
        <v>3.755615227199502</v>
      </c>
      <c r="G6" s="53" t="n">
        <v>1.607236023079249</v>
      </c>
      <c r="H6" s="53" t="n">
        <v>-0.4367715491159716</v>
      </c>
    </row>
    <row r="7">
      <c r="A7" s="52" t="n">
        <v>11</v>
      </c>
      <c r="B7" s="53" t="n">
        <v>18.2765804549117</v>
      </c>
      <c r="C7" s="53" t="n">
        <v>15.42445304940869</v>
      </c>
      <c r="D7" s="53" t="n">
        <v>12.71423281842195</v>
      </c>
      <c r="E7" s="53" t="n">
        <v>10.1381505777175</v>
      </c>
      <c r="F7" s="53" t="n">
        <v>7.688898620405797</v>
      </c>
      <c r="G7" s="53" t="n">
        <v>5.359601234950862</v>
      </c>
      <c r="H7" s="53" t="n">
        <v>3.143787236033487</v>
      </c>
    </row>
    <row r="8">
      <c r="A8" s="52" t="n">
        <v>12</v>
      </c>
      <c r="B8" s="53" t="n">
        <v>23.03576527245919</v>
      </c>
      <c r="C8" s="53" t="n">
        <v>19.96062860531985</v>
      </c>
      <c r="D8" s="53" t="n">
        <v>17.03884023259847</v>
      </c>
      <c r="E8" s="54" t="n">
        <v>14.26199362458995</v>
      </c>
      <c r="F8" s="53" t="n">
        <v>11.62218201361209</v>
      </c>
      <c r="G8" s="53" t="n">
        <v>9.111966446822466</v>
      </c>
      <c r="H8" s="53" t="n">
        <v>6.724346021182945</v>
      </c>
    </row>
    <row r="9">
      <c r="A9" s="52" t="n">
        <v>13</v>
      </c>
      <c r="B9" s="53" t="n">
        <v>27.79495009000667</v>
      </c>
      <c r="C9" s="53" t="n">
        <v>24.496804161231</v>
      </c>
      <c r="D9" s="53" t="n">
        <v>21.36344764677496</v>
      </c>
      <c r="E9" s="53" t="n">
        <v>18.38583667146242</v>
      </c>
      <c r="F9" s="53" t="n">
        <v>15.55546540681838</v>
      </c>
      <c r="G9" s="53" t="n">
        <v>12.86433165869407</v>
      </c>
      <c r="H9" s="53" t="n">
        <v>10.3049048063324</v>
      </c>
    </row>
    <row r="10">
      <c r="A10" s="52" t="n">
        <v>14</v>
      </c>
      <c r="B10" s="53" t="n">
        <v>32.55413490755416</v>
      </c>
      <c r="C10" s="53" t="n">
        <v>29.03297971714216</v>
      </c>
      <c r="D10" s="53" t="n">
        <v>25.68805506095148</v>
      </c>
      <c r="E10" s="53" t="n">
        <v>22.50967971833487</v>
      </c>
      <c r="F10" s="53" t="n">
        <v>19.48874880002467</v>
      </c>
      <c r="G10" s="53" t="n">
        <v>16.61669687056568</v>
      </c>
      <c r="H10" s="53" t="n">
        <v>13.88546359148187</v>
      </c>
    </row>
    <row r="11">
      <c r="A11" s="52" t="n">
        <v>15</v>
      </c>
      <c r="B11" s="53" t="n">
        <v>37.31331972510162</v>
      </c>
      <c r="C11" s="53" t="n">
        <v>33.5691552730533</v>
      </c>
      <c r="D11" s="53" t="n">
        <v>30.012662475128</v>
      </c>
      <c r="E11" s="53" t="n">
        <v>26.63352276520732</v>
      </c>
      <c r="F11" s="53" t="n">
        <v>23.42203219323096</v>
      </c>
      <c r="G11" s="53" t="n">
        <v>20.36906208243728</v>
      </c>
      <c r="H11" s="53" t="n">
        <v>17.46602237663132</v>
      </c>
    </row>
    <row r="13">
      <c r="A13" s="3" t="inlineStr">
        <is>
          <t>Current price</t>
        </is>
      </c>
      <c r="B13" s="53" t="n">
        <v>54.45999908447266</v>
      </c>
    </row>
    <row r="14">
      <c r="A14" s="3" t="inlineStr">
        <is>
          <t>Base WACC / multiple</t>
        </is>
      </c>
      <c r="B14" s="55" t="n">
        <v>0.05433952159998694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Model!F14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Model!F28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0.1034871516090438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1.695350898544571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(Model!P14/Model!F14)^(1/10)-1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0.5932233008045174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Financials!AC35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Financials!AC40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2026-07-08T07:03:35Z</dcterms:created>
  <dcterms:modified xmlns:dcterms="http://purl.org/dc/terms/" xmlns:xsi="http://www.w3.org/2001/XMLSchema-instance" xsi:type="dcterms:W3CDTF">2026-07-08T07:03:35Z</dcterms:modified>
</cp:coreProperties>
</file>