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7.2%</t>
      </text>
    </comment>
    <comment ref="C20" authorId="0" shapeId="0">
      <text>
        <t>Opus: 5.0%</t>
      </text>
    </comment>
    <comment ref="B21" authorId="0" shapeId="0">
      <text>
        <t>Opus: 6.3%</t>
      </text>
    </comment>
    <comment ref="C21" authorId="0" shapeId="0">
      <text>
        <t>Opus: 5.0%</t>
      </text>
    </comment>
    <comment ref="B22" authorId="0" shapeId="0">
      <text>
        <t>Opus: 4.7%</t>
      </text>
    </comment>
    <comment ref="C22" authorId="0" shapeId="0">
      <text>
        <t>Opus: 5.0%</t>
      </text>
    </comment>
    <comment ref="B29" authorId="0" shapeId="0">
      <text>
        <t>Opus: 33.3%</t>
      </text>
    </comment>
    <comment ref="B30" authorId="0" shapeId="0">
      <text>
        <t>Opus: 35.8%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1.405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Bio-Techne Corporation (TECH)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values as of 2026-07-03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Bio-Techne Corporation (TECH)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Consumables</t>
        </is>
      </c>
      <c r="B20" s="15" t="n">
        <v>0.07241610801505592</v>
      </c>
      <c r="C20" s="15" t="n">
        <v>0.05</v>
      </c>
      <c r="D20" s="16" t="n">
        <v>0.07241610801505592</v>
      </c>
      <c r="E20" s="2" t="inlineStr"/>
    </row>
    <row r="21">
      <c r="A21" s="4" t="inlineStr">
        <is>
          <t>Instruments</t>
        </is>
      </c>
      <c r="B21" s="15" t="n">
        <v>0.06286999027609969</v>
      </c>
      <c r="C21" s="15" t="n">
        <v>0.05</v>
      </c>
      <c r="D21" s="16" t="n">
        <v>0.06286999027609969</v>
      </c>
      <c r="E21" s="2" t="inlineStr"/>
    </row>
    <row r="22">
      <c r="A22" s="4" t="inlineStr">
        <is>
          <t>Royalty</t>
        </is>
      </c>
      <c r="B22" s="15" t="n">
        <v>0.04705124406594075</v>
      </c>
      <c r="C22" s="15" t="n">
        <v>0.05</v>
      </c>
      <c r="D22" s="16" t="n">
        <v>0.04705124406594075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0.3325220297186127</v>
      </c>
      <c r="D29" s="16" t="n">
        <v>0.3325220297186127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0.3584285723831176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34.1066</v>
      </c>
      <c r="D34" s="18" t="n">
        <v>34.1066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1.405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0.006584926943750473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56.42499923706055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39.18540459763883</v>
      </c>
      <c r="C58" s="28" t="n">
        <v>52.79851933162091</v>
      </c>
      <c r="D58" s="28" t="n">
        <v>28.90699631836077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0.15</v>
      </c>
      <c r="D62" s="30" t="n">
        <v>0.4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0.02142036053438982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0.01285221632063389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TECH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2026-07-03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Consumables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7.2%</t>
        </is>
      </c>
      <c r="F8" s="31" t="inlineStr"/>
    </row>
    <row r="9">
      <c r="A9" t="inlineStr">
        <is>
          <t>Consumables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Instruments — near-term growth</t>
        </is>
      </c>
      <c r="B10" t="inlineStr">
        <is>
          <t>B21</t>
        </is>
      </c>
      <c r="C10" s="11">
        <f>Dashboard!B21</f>
        <v/>
      </c>
      <c r="D10" t="inlineStr">
        <is>
          <t>Opus</t>
        </is>
      </c>
      <c r="E10" t="inlineStr">
        <is>
          <t>6.3%</t>
        </is>
      </c>
      <c r="F10" s="31" t="inlineStr"/>
    </row>
    <row r="11">
      <c r="A11" t="inlineStr">
        <is>
          <t>Instruments — terminal growth</t>
        </is>
      </c>
      <c r="B11" t="inlineStr">
        <is>
          <t>C21</t>
        </is>
      </c>
      <c r="C11" s="11">
        <f>Dashboard!C21</f>
        <v/>
      </c>
      <c r="D11" t="inlineStr">
        <is>
          <t>Opus</t>
        </is>
      </c>
      <c r="E11" t="inlineStr">
        <is>
          <t>5.0%</t>
        </is>
      </c>
      <c r="F11" s="31" t="inlineStr"/>
    </row>
    <row r="12">
      <c r="A12" t="inlineStr">
        <is>
          <t>Royalty — near-term growth</t>
        </is>
      </c>
      <c r="B12" t="inlineStr">
        <is>
          <t>B22</t>
        </is>
      </c>
      <c r="C12" s="11">
        <f>Dashboard!B22</f>
        <v/>
      </c>
      <c r="D12" t="inlineStr">
        <is>
          <t>Opus</t>
        </is>
      </c>
      <c r="E12" t="inlineStr">
        <is>
          <t>4.7%</t>
        </is>
      </c>
      <c r="F12" s="31" t="inlineStr"/>
    </row>
    <row r="13">
      <c r="A13" t="inlineStr">
        <is>
          <t>Royalty — terminal growth</t>
        </is>
      </c>
      <c r="B13" t="inlineStr">
        <is>
          <t>C22</t>
        </is>
      </c>
      <c r="C13" s="11">
        <f>Dashboard!C22</f>
        <v/>
      </c>
      <c r="D13" t="inlineStr">
        <is>
          <t>Opus</t>
        </is>
      </c>
      <c r="E13" t="inlineStr">
        <is>
          <t>5.0%</t>
        </is>
      </c>
      <c r="F13" s="31" t="inlineStr"/>
    </row>
    <row r="14">
      <c r="A14" t="inlineStr">
        <is>
          <t>Near-term operating margin</t>
        </is>
      </c>
      <c r="B14" t="inlineStr">
        <is>
          <t>B29</t>
        </is>
      </c>
      <c r="C14" s="11">
        <f>Dashboard!B29</f>
        <v/>
      </c>
      <c r="D14" t="inlineStr">
        <is>
          <t>Opus</t>
        </is>
      </c>
      <c r="E14" t="inlineStr">
        <is>
          <t>33.3%</t>
        </is>
      </c>
      <c r="F14" s="31" t="inlineStr"/>
    </row>
    <row r="15">
      <c r="A15" t="inlineStr">
        <is>
          <t>Terminal operating margin</t>
        </is>
      </c>
      <c r="B15" t="inlineStr">
        <is>
          <t>B30</t>
        </is>
      </c>
      <c r="C15" s="11">
        <f>Dashboard!B30</f>
        <v/>
      </c>
      <c r="D15" t="inlineStr">
        <is>
          <t>Opus</t>
        </is>
      </c>
      <c r="E15" t="inlineStr">
        <is>
          <t>35.8%</t>
        </is>
      </c>
      <c r="F15" s="31" t="inlineStr"/>
    </row>
    <row r="16">
      <c r="A16" t="inlineStr">
        <is>
          <t>Tax rate</t>
        </is>
      </c>
      <c r="B16" t="inlineStr">
        <is>
          <t>B31</t>
        </is>
      </c>
      <c r="C16" s="11">
        <f>Dashboard!B31</f>
        <v/>
      </c>
      <c r="D16" t="inlineStr">
        <is>
          <t>Opus</t>
        </is>
      </c>
      <c r="E16" t="inlineStr">
        <is>
          <t>24.0%</t>
        </is>
      </c>
      <c r="F16" s="31" t="inlineStr"/>
    </row>
    <row r="17">
      <c r="A17" t="inlineStr">
        <is>
          <t>Terminal capex / D&amp;A</t>
        </is>
      </c>
      <c r="B17" t="inlineStr">
        <is>
          <t>B35</t>
        </is>
      </c>
      <c r="C17" s="13">
        <f>Dashboard!B35</f>
        <v/>
      </c>
      <c r="D17" t="inlineStr">
        <is>
          <t>Opus</t>
        </is>
      </c>
      <c r="E17" t="inlineStr">
        <is>
          <t>1.1x</t>
        </is>
      </c>
      <c r="F17" s="31" t="inlineStr"/>
    </row>
    <row r="18">
      <c r="A18" t="inlineStr">
        <is>
          <t>Risk-free rate (10Y)</t>
        </is>
      </c>
      <c r="B18" t="inlineStr">
        <is>
          <t>B38</t>
        </is>
      </c>
      <c r="C18" s="11">
        <f>Dashboard!B38</f>
        <v/>
      </c>
      <c r="D18" t="inlineStr">
        <is>
          <t>workbook (synced)</t>
        </is>
      </c>
      <c r="E18" t="inlineStr">
        <is>
          <t>—</t>
        </is>
      </c>
      <c r="F18" s="31" t="inlineStr">
        <is>
          <t>no Opus pass — value synced from this workbook</t>
        </is>
      </c>
    </row>
    <row r="19">
      <c r="A19" t="inlineStr">
        <is>
          <t>Equity risk premium</t>
        </is>
      </c>
      <c r="B19" t="inlineStr">
        <is>
          <t>B39</t>
        </is>
      </c>
      <c r="C19" s="11">
        <f>Dashboard!B39</f>
        <v/>
      </c>
      <c r="D19" t="inlineStr">
        <is>
          <t>workbook (synced)</t>
        </is>
      </c>
      <c r="E19" t="inlineStr">
        <is>
          <t>—</t>
        </is>
      </c>
      <c r="F19" s="31" t="inlineStr">
        <is>
          <t>no Opus pass — value synced from this workbook</t>
        </is>
      </c>
    </row>
    <row r="20">
      <c r="A20" t="inlineStr">
        <is>
          <t>Beta (levered)</t>
        </is>
      </c>
      <c r="B20" t="inlineStr">
        <is>
          <t>B40</t>
        </is>
      </c>
      <c r="C20" s="32">
        <f>Dashboard!B40</f>
        <v/>
      </c>
      <c r="D20" t="inlineStr">
        <is>
          <t>Opus</t>
        </is>
      </c>
      <c r="E20" t="inlineStr">
        <is>
          <t>1.405</t>
        </is>
      </c>
      <c r="F20" s="31" t="inlineStr"/>
    </row>
    <row r="21">
      <c r="A21" t="inlineStr">
        <is>
          <t>Pre-tax cost of debt</t>
        </is>
      </c>
      <c r="B21" t="inlineStr">
        <is>
          <t>B41</t>
        </is>
      </c>
      <c r="C21" s="11">
        <f>Dashboard!B41</f>
        <v/>
      </c>
      <c r="D21" t="inlineStr">
        <is>
          <t>Opus</t>
        </is>
      </c>
      <c r="E21" t="inlineStr">
        <is>
          <t>4.5%</t>
        </is>
      </c>
      <c r="F21" s="31" t="inlineStr"/>
    </row>
    <row r="22">
      <c r="A22" t="inlineStr">
        <is>
          <t>Terminal method</t>
        </is>
      </c>
      <c r="B22" t="inlineStr">
        <is>
          <t>B43</t>
        </is>
      </c>
      <c r="C22" s="12">
        <f>Dashboard!B43</f>
        <v/>
      </c>
      <c r="D22" t="inlineStr">
        <is>
          <t>Opus</t>
        </is>
      </c>
      <c r="E22" t="inlineStr">
        <is>
          <t>Exit multiple</t>
        </is>
      </c>
      <c r="F22" s="31" t="inlineStr"/>
    </row>
    <row r="23">
      <c r="A23" t="inlineStr">
        <is>
          <t>Exit basis</t>
        </is>
      </c>
      <c r="B23" t="inlineStr">
        <is>
          <t>B44</t>
        </is>
      </c>
      <c r="C23" s="12">
        <f>Dashboard!B44</f>
        <v/>
      </c>
      <c r="D23" t="inlineStr">
        <is>
          <t>Opus</t>
        </is>
      </c>
      <c r="E23" t="inlineStr">
        <is>
          <t>EV/EBITDA</t>
        </is>
      </c>
      <c r="F23" s="31" t="inlineStr"/>
    </row>
    <row r="24">
      <c r="A24" t="inlineStr">
        <is>
          <t>Exit multiple</t>
        </is>
      </c>
      <c r="B24" t="inlineStr">
        <is>
          <t>B45</t>
        </is>
      </c>
      <c r="C24" s="13">
        <f>Dashboard!B45</f>
        <v/>
      </c>
      <c r="D24" t="inlineStr">
        <is>
          <t>Opus</t>
        </is>
      </c>
      <c r="E24" t="inlineStr">
        <is>
          <t>12.0x</t>
        </is>
      </c>
      <c r="F24" s="31" t="inlineStr"/>
    </row>
    <row r="25">
      <c r="A25" t="inlineStr">
        <is>
          <t>Terminal growth (g)</t>
        </is>
      </c>
      <c r="B25" t="inlineStr">
        <is>
          <t>B46</t>
        </is>
      </c>
      <c r="C25" s="11">
        <f>Dashboard!B46</f>
        <v/>
      </c>
      <c r="D25" t="inlineStr">
        <is>
          <t>Opus</t>
        </is>
      </c>
      <c r="E25" t="inlineStr">
        <is>
          <t>4.5%</t>
        </is>
      </c>
      <c r="F25" s="31" t="inlineStr"/>
    </row>
    <row r="26">
      <c r="A26" t="inlineStr">
        <is>
          <t>2026 capex ($M)</t>
        </is>
      </c>
      <c r="B26" t="inlineStr">
        <is>
          <t>B34</t>
        </is>
      </c>
      <c r="C26" s="33">
        <f>Dashboard!B34</f>
        <v/>
      </c>
      <c r="D26" t="inlineStr">
        <is>
          <t>workbook (synced)</t>
        </is>
      </c>
      <c r="E26" t="inlineStr">
        <is>
          <t>—</t>
        </is>
      </c>
      <c r="F26" s="31" t="inlineStr">
        <is>
          <t>last-year capex +10% unless set to guidance; edits not tracked</t>
        </is>
      </c>
    </row>
    <row r="27">
      <c r="A27" t="inlineStr">
        <is>
          <t>Bull Δ — segment growth, near-term</t>
        </is>
      </c>
      <c r="B27" t="inlineStr">
        <is>
          <t>C52</t>
        </is>
      </c>
      <c r="C27" s="34">
        <f>Dashboard!C52</f>
        <v/>
      </c>
      <c r="D27" t="inlineStr">
        <is>
          <t>seed default</t>
        </is>
      </c>
      <c r="E27" t="inlineStr">
        <is>
          <t>3.0%</t>
        </is>
      </c>
      <c r="F27" s="31" t="inlineStr"/>
    </row>
    <row r="28">
      <c r="A28" t="inlineStr">
        <is>
          <t>Bear Δ — segment growth, near-term</t>
        </is>
      </c>
      <c r="B28" t="inlineStr">
        <is>
          <t>D52</t>
        </is>
      </c>
      <c r="C28" s="34">
        <f>Dashboard!D52</f>
        <v/>
      </c>
      <c r="D28" t="inlineStr">
        <is>
          <t>seed default</t>
        </is>
      </c>
      <c r="E28" t="inlineStr">
        <is>
          <t>-3.0%</t>
        </is>
      </c>
      <c r="F28" s="31" t="inlineStr"/>
    </row>
    <row r="29">
      <c r="A29" t="inlineStr">
        <is>
          <t>Bull Δ — segment growth, terminal</t>
        </is>
      </c>
      <c r="B29" t="inlineStr">
        <is>
          <t>C53</t>
        </is>
      </c>
      <c r="C29" s="34">
        <f>Dashboard!C53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segment growth, terminal</t>
        </is>
      </c>
      <c r="B30" t="inlineStr">
        <is>
          <t>D53</t>
        </is>
      </c>
      <c r="C30" s="34">
        <f>Dashboard!D53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near-term</t>
        </is>
      </c>
      <c r="B31" t="inlineStr">
        <is>
          <t>C54</t>
        </is>
      </c>
      <c r="C31" s="34">
        <f>Dashboard!C54</f>
        <v/>
      </c>
      <c r="D31" t="inlineStr">
        <is>
          <t>seed default</t>
        </is>
      </c>
      <c r="E31" t="inlineStr">
        <is>
          <t>1.0%</t>
        </is>
      </c>
      <c r="F31" s="31" t="inlineStr"/>
    </row>
    <row r="32">
      <c r="A32" t="inlineStr">
        <is>
          <t>Bear Δ — operating margin, near-term</t>
        </is>
      </c>
      <c r="B32" t="inlineStr">
        <is>
          <t>D54</t>
        </is>
      </c>
      <c r="C32" s="34">
        <f>Dashboard!D54</f>
        <v/>
      </c>
      <c r="D32" t="inlineStr">
        <is>
          <t>seed default</t>
        </is>
      </c>
      <c r="E32" t="inlineStr">
        <is>
          <t>-1.0%</t>
        </is>
      </c>
      <c r="F32" s="31" t="inlineStr"/>
    </row>
    <row r="33">
      <c r="A33" t="inlineStr">
        <is>
          <t>Bull Δ — operating margin, terminal</t>
        </is>
      </c>
      <c r="B33" t="inlineStr">
        <is>
          <t>C55</t>
        </is>
      </c>
      <c r="C33" s="34">
        <f>Dashboard!C55</f>
        <v/>
      </c>
      <c r="D33" t="inlineStr">
        <is>
          <t>seed default</t>
        </is>
      </c>
      <c r="E33" t="inlineStr">
        <is>
          <t>2.0%</t>
        </is>
      </c>
      <c r="F33" s="31" t="inlineStr"/>
    </row>
    <row r="34">
      <c r="A34" t="inlineStr">
        <is>
          <t>Bear Δ — operating margin, terminal</t>
        </is>
      </c>
      <c r="B34" t="inlineStr">
        <is>
          <t>D55</t>
        </is>
      </c>
      <c r="C34" s="34">
        <f>Dashboard!D55</f>
        <v/>
      </c>
      <c r="D34" t="inlineStr">
        <is>
          <t>seed default</t>
        </is>
      </c>
      <c r="E34" t="inlineStr">
        <is>
          <t>-2.0%</t>
        </is>
      </c>
      <c r="F34" s="31" t="inlineStr"/>
    </row>
    <row r="35">
      <c r="A35" t="inlineStr">
        <is>
          <t>Bull Δ — exit multiple</t>
        </is>
      </c>
      <c r="B35" t="inlineStr">
        <is>
          <t>C56</t>
        </is>
      </c>
      <c r="C35" s="35">
        <f>Dashboard!C56</f>
        <v/>
      </c>
      <c r="D35" t="inlineStr">
        <is>
          <t>seed default</t>
        </is>
      </c>
      <c r="E35" t="inlineStr">
        <is>
          <t>2.0x</t>
        </is>
      </c>
      <c r="F35" s="31" t="inlineStr"/>
    </row>
    <row r="36">
      <c r="A36" t="inlineStr">
        <is>
          <t>Bear Δ — exit multiple</t>
        </is>
      </c>
      <c r="B36" t="inlineStr">
        <is>
          <t>D56</t>
        </is>
      </c>
      <c r="C36" s="35">
        <f>Dashboard!D56</f>
        <v/>
      </c>
      <c r="D36" t="inlineStr">
        <is>
          <t>seed default</t>
        </is>
      </c>
      <c r="E36" t="inlineStr">
        <is>
          <t>-2.0x</t>
        </is>
      </c>
      <c r="F36" s="31" t="inlineStr"/>
    </row>
    <row r="37">
      <c r="A37" t="inlineStr">
        <is>
          <t>Bull Δ — terminal growth (g)</t>
        </is>
      </c>
      <c r="B37" t="inlineStr">
        <is>
          <t>C57</t>
        </is>
      </c>
      <c r="C37" s="34">
        <f>Dashboard!C57</f>
        <v/>
      </c>
      <c r="D37" t="inlineStr">
        <is>
          <t>seed default</t>
        </is>
      </c>
      <c r="E37" t="inlineStr">
        <is>
          <t>0.5%</t>
        </is>
      </c>
      <c r="F37" s="31" t="inlineStr"/>
    </row>
    <row r="38">
      <c r="A38" t="inlineStr">
        <is>
          <t>Bear Δ — terminal growth (g)</t>
        </is>
      </c>
      <c r="B38" t="inlineStr">
        <is>
          <t>D57</t>
        </is>
      </c>
      <c r="C38" s="34">
        <f>Dashboard!D57</f>
        <v/>
      </c>
      <c r="D38" t="inlineStr">
        <is>
          <t>seed default</t>
        </is>
      </c>
      <c r="E38" t="inlineStr">
        <is>
          <t>-0.5%</t>
        </is>
      </c>
      <c r="F38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Financials!AC53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Consumables</t>
        </is>
      </c>
      <c r="B4" s="33">
        <f>SUM(Financials!G19:J19)</f>
        <v/>
      </c>
      <c r="C4" s="33">
        <f>SUM(Financials!K19:N19)</f>
        <v/>
      </c>
      <c r="D4" s="33">
        <f>SUM(Financials!O19:R19)</f>
        <v/>
      </c>
      <c r="E4" s="33">
        <f>SUM(Financials!S19:V19)</f>
        <v/>
      </c>
      <c r="F4" s="33">
        <f>SUM(Financials!W19:Z19)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Instruments</t>
        </is>
      </c>
      <c r="B6" s="33">
        <f>SUM(Financials!G22:J22)</f>
        <v/>
      </c>
      <c r="C6" s="33">
        <f>SUM(Financials!K22:N22)</f>
        <v/>
      </c>
      <c r="D6" s="33">
        <f>SUM(Financials!O22:R22)</f>
        <v/>
      </c>
      <c r="E6" s="33">
        <f>SUM(Financials!S22:V22)</f>
        <v/>
      </c>
      <c r="F6" s="33">
        <f>SUM(Financials!W22:Z22)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Royalty</t>
        </is>
      </c>
      <c r="B8" s="33">
        <f>SUM(Financials!G25:J25)</f>
        <v/>
      </c>
      <c r="C8" s="33">
        <f>SUM(Financials!K25:N25)</f>
        <v/>
      </c>
      <c r="D8" s="33">
        <f>SUM(Financials!O25:R25)</f>
        <v/>
      </c>
      <c r="E8" s="33">
        <f>SUM(Financials!S25:V25)</f>
        <v/>
      </c>
      <c r="F8" s="33">
        <f>SUM(Financials!W25:Z25)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SUM(Financials!G5:J5)</f>
        <v/>
      </c>
      <c r="C14" s="33">
        <f>SUM(Financials!K5:N5)</f>
        <v/>
      </c>
      <c r="D14" s="33">
        <f>SUM(Financials!O5:R5)</f>
        <v/>
      </c>
      <c r="E14" s="33">
        <f>SUM(Financials!S5:V5)</f>
        <v/>
      </c>
      <c r="F14" s="33">
        <f>SUM(Financials!W5:Z5)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0.3520424979953002</v>
      </c>
      <c r="H15" s="15" t="n">
        <v>0.3520424979953002</v>
      </c>
      <c r="I15" s="15" t="n">
        <v>0.3520424979953002</v>
      </c>
      <c r="J15" s="15" t="n">
        <v>0.3520424979953002</v>
      </c>
      <c r="K15" s="15" t="n">
        <v>0.3520424979953002</v>
      </c>
      <c r="L15" s="15" t="n">
        <v>0.3520424979953002</v>
      </c>
      <c r="M15" s="15" t="n">
        <v>0.3520424979953002</v>
      </c>
      <c r="N15" s="15" t="n">
        <v>0.3520424979953002</v>
      </c>
      <c r="O15" s="15" t="n">
        <v>0.3520424979953002</v>
      </c>
      <c r="P15" s="15" t="n">
        <v>0.3520424979953002</v>
      </c>
    </row>
    <row r="16">
      <c r="A16" s="4" t="inlineStr">
        <is>
          <t>R&amp;D / Technology</t>
        </is>
      </c>
      <c r="B16" s="33">
        <f>SUM(Financials!G7:J7)</f>
        <v/>
      </c>
      <c r="C16" s="33">
        <f>SUM(Financials!K7:N7)</f>
        <v/>
      </c>
      <c r="D16" s="33">
        <f>SUM(Financials!O7:R7)</f>
        <v/>
      </c>
      <c r="E16" s="33">
        <f>SUM(Financials!S7:V7)</f>
        <v/>
      </c>
      <c r="F16" s="33">
        <f>SUM(Financials!W7:Z7)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0.0815785719322354</v>
      </c>
      <c r="H17" s="15" t="n">
        <v>0.0815785719322354</v>
      </c>
      <c r="I17" s="15" t="n">
        <v>0.0815785719322354</v>
      </c>
      <c r="J17" s="15" t="n">
        <v>0.0815785719322354</v>
      </c>
      <c r="K17" s="15" t="n">
        <v>0.0815785719322354</v>
      </c>
      <c r="L17" s="15" t="n">
        <v>0.0815785719322354</v>
      </c>
      <c r="M17" s="15" t="n">
        <v>0.0815785719322354</v>
      </c>
      <c r="N17" s="15" t="n">
        <v>0.0815785719322354</v>
      </c>
      <c r="O17" s="15" t="n">
        <v>0.0815785719322354</v>
      </c>
      <c r="P17" s="15" t="n">
        <v>0.0815785719322354</v>
      </c>
    </row>
    <row r="18">
      <c r="A18" s="4" t="inlineStr">
        <is>
          <t>SG&amp;A</t>
        </is>
      </c>
      <c r="B18" s="33">
        <f>SUM(Financials!G9:J9)</f>
        <v/>
      </c>
      <c r="C18" s="33">
        <f>SUM(Financials!K9:N9)</f>
        <v/>
      </c>
      <c r="D18" s="33">
        <f>SUM(Financials!O9:R9)</f>
        <v/>
      </c>
      <c r="E18" s="33">
        <f>SUM(Financials!S9:V9)</f>
        <v/>
      </c>
      <c r="F18" s="33">
        <f>SUM(Financials!W9:Z9)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0.3403455462868368</v>
      </c>
      <c r="H19" s="15" t="n">
        <v>0.3403455462868368</v>
      </c>
      <c r="I19" s="15" t="n">
        <v>0.3403455462868368</v>
      </c>
      <c r="J19" s="15" t="n">
        <v>0.3403455462868368</v>
      </c>
      <c r="K19" s="15" t="n">
        <v>0.3403455462868368</v>
      </c>
      <c r="L19" s="15" t="n">
        <v>0.3403455462868368</v>
      </c>
      <c r="M19" s="15" t="n">
        <v>0.3403455462868368</v>
      </c>
      <c r="N19" s="15" t="n">
        <v>0.3403455462868368</v>
      </c>
      <c r="O19" s="15" t="n">
        <v>0.3403455462868368</v>
      </c>
      <c r="P19" s="15" t="n">
        <v>0.3403455462868368</v>
      </c>
    </row>
    <row r="20">
      <c r="A20" s="4" t="inlineStr">
        <is>
          <t>Other opex (fulfilment, etc.)</t>
        </is>
      </c>
      <c r="B20" s="33">
        <f>B10-(B14+B16+B18)-SUM(Financials!G13:J13)</f>
        <v/>
      </c>
      <c r="C20" s="33">
        <f>C10-(C14+C16+C18)-SUM(Financials!K13:N13)</f>
        <v/>
      </c>
      <c r="D20" s="33">
        <f>D10-(D14+D16+D18)-SUM(Financials!O13:R13)</f>
        <v/>
      </c>
      <c r="E20" s="33">
        <f>E10-(E14+E16+E18)-SUM(Financials!S13:V13)</f>
        <v/>
      </c>
      <c r="F20" s="33">
        <f>F10-(F14+F16+F18)-SUM(Financials!W13:Z13)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SUM(Financials!G56:J56)</f>
        <v/>
      </c>
      <c r="C28" s="33">
        <f>SUM(Financials!K56:N56)</f>
        <v/>
      </c>
      <c r="D28" s="33">
        <f>SUM(Financials!O56:R56)</f>
        <v/>
      </c>
      <c r="E28" s="33">
        <f>SUM(Financials!S56:V56)</f>
        <v/>
      </c>
      <c r="F28" s="33">
        <f>SUM(Financials!W56:Z56)</f>
        <v/>
      </c>
      <c r="G28" s="41">
        <f>G10*0.0901</f>
        <v/>
      </c>
      <c r="H28" s="41">
        <f>H10*0.0901</f>
        <v/>
      </c>
      <c r="I28" s="41">
        <f>I10*0.0901</f>
        <v/>
      </c>
      <c r="J28" s="41">
        <f>J10*0.0901</f>
        <v/>
      </c>
      <c r="K28" s="41">
        <f>K10*0.0901</f>
        <v/>
      </c>
      <c r="L28" s="41">
        <f>L10*0.0901</f>
        <v/>
      </c>
      <c r="M28" s="41">
        <f>M10*0.0901</f>
        <v/>
      </c>
      <c r="N28" s="41">
        <f>N10*0.0901</f>
        <v/>
      </c>
      <c r="O28" s="41">
        <f>O10*0.0901</f>
        <v/>
      </c>
      <c r="P28" s="41">
        <f>P10*0.0901</f>
        <v/>
      </c>
    </row>
    <row r="29">
      <c r="A29" s="4" t="inlineStr">
        <is>
          <t>+ SBC (non-cash)</t>
        </is>
      </c>
      <c r="B29" s="33">
        <f>SUM(Financials!G57:J57)</f>
        <v/>
      </c>
      <c r="C29" s="33">
        <f>SUM(Financials!K57:N57)</f>
        <v/>
      </c>
      <c r="D29" s="33">
        <f>SUM(Financials!O57:R57)</f>
        <v/>
      </c>
      <c r="E29" s="33">
        <f>SUM(Financials!S57:V57)</f>
        <v/>
      </c>
      <c r="F29" s="33">
        <f>SUM(Financials!W57:Z57)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-SUM(Financials!G60:J60)</f>
        <v/>
      </c>
      <c r="C31" s="33">
        <f>-SUM(Financials!K60:N60)</f>
        <v/>
      </c>
      <c r="D31" s="33">
        <f>-SUM(Financials!O60:R60)</f>
        <v/>
      </c>
      <c r="E31" s="33">
        <f>-SUM(Financials!S60:V60)</f>
        <v/>
      </c>
      <c r="F31" s="33">
        <f>-SUM(Financials!W60:Z60)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Financials!J54+Financials!J53-Financials!J48</f>
        <v/>
      </c>
      <c r="C38" s="33">
        <f>Financials!N54+Financials!N53-Financials!N48</f>
        <v/>
      </c>
      <c r="D38" s="33">
        <f>Financials!R54+Financials!R53-Financials!R48</f>
        <v/>
      </c>
      <c r="E38" s="33">
        <f>Financials!V54+Financials!V53-Financials!V48</f>
        <v/>
      </c>
      <c r="F38" s="33">
        <f>Financials!Z54+Financials!Z53-Financials!Z48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Financials!J54</f>
        <v/>
      </c>
      <c r="C39" s="33">
        <f>Financials!N54</f>
        <v/>
      </c>
      <c r="D39" s="33">
        <f>Financials!R54</f>
        <v/>
      </c>
      <c r="E39" s="33">
        <f>Financials!V54</f>
        <v/>
      </c>
      <c r="F39" s="33">
        <f>Financials!Z54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IFERROR(SUM(Financials!K15:N15)/B39,"")</f>
        <v/>
      </c>
      <c r="D41" s="11">
        <f>IFERROR(SUM(Financials!O15:R15)/C39,"")</f>
        <v/>
      </c>
      <c r="E41" s="11">
        <f>IFERROR(SUM(Financials!S15:V15)/D39,"")</f>
        <v/>
      </c>
      <c r="F41" s="11">
        <f>IFERROR(SUM(Financials!W15:Z15)/E39,"")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Q4 2019</t>
        </is>
      </c>
      <c r="C1" s="45" t="inlineStr">
        <is>
          <t>Q1 2020</t>
        </is>
      </c>
      <c r="D1" s="45" t="inlineStr">
        <is>
          <t>Q2 2020</t>
        </is>
      </c>
      <c r="E1" s="45" t="inlineStr">
        <is>
          <t>Q3 2020</t>
        </is>
      </c>
      <c r="F1" s="45" t="inlineStr">
        <is>
          <t>Q4 2020</t>
        </is>
      </c>
      <c r="G1" s="45" t="inlineStr">
        <is>
          <t>Q1 2021</t>
        </is>
      </c>
      <c r="H1" s="45" t="inlineStr">
        <is>
          <t>Q2 2021</t>
        </is>
      </c>
      <c r="I1" s="45" t="inlineStr">
        <is>
          <t>Q3 2021</t>
        </is>
      </c>
      <c r="J1" s="45" t="inlineStr">
        <is>
          <t>Q4 2021</t>
        </is>
      </c>
      <c r="K1" s="45" t="inlineStr">
        <is>
          <t>Q1 2022</t>
        </is>
      </c>
      <c r="L1" s="45" t="inlineStr">
        <is>
          <t>Q2 2022</t>
        </is>
      </c>
      <c r="M1" s="45" t="inlineStr">
        <is>
          <t>Q3 2022</t>
        </is>
      </c>
      <c r="N1" s="45" t="inlineStr">
        <is>
          <t>Q4 2022</t>
        </is>
      </c>
      <c r="O1" s="45" t="inlineStr">
        <is>
          <t>Q1 2023</t>
        </is>
      </c>
      <c r="P1" s="45" t="inlineStr">
        <is>
          <t>Q2 2023</t>
        </is>
      </c>
      <c r="Q1" s="45" t="inlineStr">
        <is>
          <t>Q3 2023</t>
        </is>
      </c>
      <c r="R1" s="45" t="inlineStr">
        <is>
          <t>Q4 2023</t>
        </is>
      </c>
      <c r="S1" s="45" t="inlineStr">
        <is>
          <t>Q1 2024</t>
        </is>
      </c>
      <c r="T1" s="45" t="inlineStr">
        <is>
          <t>Q2 2024</t>
        </is>
      </c>
      <c r="U1" s="45" t="inlineStr">
        <is>
          <t>Q3 2024</t>
        </is>
      </c>
      <c r="V1" s="45" t="inlineStr">
        <is>
          <t>Q4 2024</t>
        </is>
      </c>
      <c r="W1" s="45" t="inlineStr">
        <is>
          <t>Q1 2025</t>
        </is>
      </c>
      <c r="X1" s="45" t="inlineStr">
        <is>
          <t>Q2 2025</t>
        </is>
      </c>
      <c r="Y1" s="45" t="inlineStr">
        <is>
          <t>Q3 2025</t>
        </is>
      </c>
      <c r="Z1" s="45" t="inlineStr">
        <is>
          <t>Q4 2025</t>
        </is>
      </c>
      <c r="AA1" s="45" t="inlineStr">
        <is>
          <t>Q1 2026</t>
        </is>
      </c>
      <c r="AB1" s="45" t="inlineStr">
        <is>
          <t>Q2 2026</t>
        </is>
      </c>
      <c r="AC1" s="45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191.664</v>
      </c>
      <c r="C3" s="18" t="n">
        <v>183.243</v>
      </c>
      <c r="D3" s="18" t="n">
        <v>184.934</v>
      </c>
      <c r="E3" s="18" t="n">
        <v>194.68</v>
      </c>
      <c r="F3" s="18" t="n">
        <v>175.834</v>
      </c>
      <c r="G3" s="18" t="n">
        <v>204.199</v>
      </c>
      <c r="H3" s="18" t="n">
        <v>224.253</v>
      </c>
      <c r="I3" s="18" t="n">
        <v>243.552</v>
      </c>
      <c r="J3" s="18" t="n">
        <v>259.028</v>
      </c>
      <c r="K3" s="18" t="n">
        <v>257.719</v>
      </c>
      <c r="L3" s="18" t="n">
        <v>269.276</v>
      </c>
      <c r="M3" s="18" t="n">
        <v>290.376</v>
      </c>
      <c r="N3" s="18" t="n">
        <v>288.228</v>
      </c>
      <c r="O3" s="18" t="n">
        <v>269.655</v>
      </c>
      <c r="P3" s="18" t="n">
        <v>271.581</v>
      </c>
      <c r="Q3" s="18" t="n">
        <v>294.146</v>
      </c>
      <c r="R3" s="18" t="n">
        <v>301.32</v>
      </c>
      <c r="S3" s="18" t="n">
        <v>276.935</v>
      </c>
      <c r="T3" s="18" t="n">
        <v>272.598</v>
      </c>
      <c r="U3" s="18" t="n">
        <v>303.428</v>
      </c>
      <c r="V3" s="18" t="n">
        <v>306.099</v>
      </c>
      <c r="W3" s="18" t="n">
        <v>289.458</v>
      </c>
      <c r="X3" s="18" t="n">
        <v>297.031</v>
      </c>
      <c r="Y3" s="18" t="n">
        <v>316.181</v>
      </c>
      <c r="Z3" s="18" t="n">
        <v>316.964</v>
      </c>
      <c r="AA3" s="18" t="n">
        <v>286.555</v>
      </c>
      <c r="AB3" s="18" t="n">
        <v>295.877</v>
      </c>
      <c r="AC3" s="18" t="n">
        <v>311.415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63.405</v>
      </c>
      <c r="C5" s="18" t="n">
        <v>64.82899999999999</v>
      </c>
      <c r="D5" s="18" t="n">
        <v>63.531</v>
      </c>
      <c r="E5" s="18" t="n">
        <v>64.617</v>
      </c>
      <c r="F5" s="18" t="n">
        <v>62.52</v>
      </c>
      <c r="G5" s="18" t="n">
        <v>66.468</v>
      </c>
      <c r="H5" s="18" t="n">
        <v>73.35299999999999</v>
      </c>
      <c r="I5" s="18" t="n">
        <v>75.27800000000001</v>
      </c>
      <c r="J5" s="18" t="n">
        <v>83.084</v>
      </c>
      <c r="K5" s="18" t="n">
        <v>86.72199999999999</v>
      </c>
      <c r="L5" s="18" t="n">
        <v>85.58499999999999</v>
      </c>
      <c r="M5" s="18" t="n">
        <v>88.91800000000001</v>
      </c>
      <c r="N5" s="18" t="n">
        <v>87.878</v>
      </c>
      <c r="O5" s="18" t="n">
        <v>90.06</v>
      </c>
      <c r="P5" s="18" t="n">
        <v>88.221</v>
      </c>
      <c r="Q5" s="18" t="n">
        <v>91.98399999999999</v>
      </c>
      <c r="R5" s="18" t="n">
        <v>96.622</v>
      </c>
      <c r="S5" s="18" t="n">
        <v>91.744</v>
      </c>
      <c r="T5" s="18" t="n">
        <v>96.011</v>
      </c>
      <c r="U5" s="18" t="n">
        <v>98.82899999999999</v>
      </c>
      <c r="V5" s="18" t="n">
        <v>102.751</v>
      </c>
      <c r="W5" s="18" t="n">
        <v>106.441</v>
      </c>
      <c r="X5" s="18" t="n">
        <v>103.145</v>
      </c>
      <c r="Y5" s="18" t="n">
        <v>101.625</v>
      </c>
      <c r="Z5" s="18" t="n">
        <v>118.152</v>
      </c>
      <c r="AA5" s="18" t="n">
        <v>98.443</v>
      </c>
      <c r="AB5" s="18" t="n">
        <v>104.6</v>
      </c>
      <c r="AC5" s="18" t="n">
        <v>103.127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16.259</v>
      </c>
      <c r="C7" s="18" t="n">
        <v>16.077</v>
      </c>
      <c r="D7" s="18" t="n">
        <v>16.381</v>
      </c>
      <c r="E7" s="18" t="n">
        <v>15.954</v>
      </c>
      <c r="F7" s="18" t="n">
        <v>16.779</v>
      </c>
      <c r="G7" s="18" t="n">
        <v>16.041</v>
      </c>
      <c r="H7" s="18" t="n">
        <v>16.789</v>
      </c>
      <c r="I7" s="18" t="n">
        <v>17.052</v>
      </c>
      <c r="J7" s="18" t="n">
        <v>20.721</v>
      </c>
      <c r="K7" s="18" t="n">
        <v>21.6</v>
      </c>
      <c r="L7" s="18" t="n">
        <v>20.65</v>
      </c>
      <c r="M7" s="18" t="n">
        <v>21.742</v>
      </c>
      <c r="N7" s="18" t="n">
        <v>23.148</v>
      </c>
      <c r="O7" s="18" t="n">
        <v>23.903</v>
      </c>
      <c r="P7" s="18" t="n">
        <v>22.459</v>
      </c>
      <c r="Q7" s="18" t="n">
        <v>22.713</v>
      </c>
      <c r="R7" s="18" t="n">
        <v>23.419</v>
      </c>
      <c r="S7" s="18" t="n">
        <v>23.998</v>
      </c>
      <c r="T7" s="18" t="n">
        <v>22.916</v>
      </c>
      <c r="U7" s="18" t="n">
        <v>25.761</v>
      </c>
      <c r="V7" s="18" t="n">
        <v>23.989</v>
      </c>
      <c r="W7" s="18" t="n">
        <v>23.869</v>
      </c>
      <c r="X7" s="18" t="n">
        <v>25.016</v>
      </c>
      <c r="Y7" s="18" t="n">
        <v>24.579</v>
      </c>
      <c r="Z7" s="18" t="n">
        <v>26.032</v>
      </c>
      <c r="AA7" s="18" t="n">
        <v>24.241</v>
      </c>
      <c r="AB7" s="18" t="n">
        <v>23.125</v>
      </c>
      <c r="AC7" s="18" t="n">
        <v>23.455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68.73699999999999</v>
      </c>
      <c r="C9" s="18" t="n">
        <v>69.01000000000001</v>
      </c>
      <c r="D9" s="18" t="n">
        <v>68.03</v>
      </c>
      <c r="E9" s="18" t="n">
        <v>66.318</v>
      </c>
      <c r="F9" s="18" t="n">
        <v>37.524</v>
      </c>
      <c r="G9" s="18" t="n">
        <v>72.598</v>
      </c>
      <c r="H9" s="18" t="n">
        <v>83.116</v>
      </c>
      <c r="I9" s="18" t="n">
        <v>82.596</v>
      </c>
      <c r="J9" s="18" t="n">
        <v>51.614</v>
      </c>
      <c r="K9" s="18" t="n">
        <v>86.175</v>
      </c>
      <c r="L9" s="18" t="n">
        <v>100.693</v>
      </c>
      <c r="M9" s="18" t="n">
        <v>89.26900000000001</v>
      </c>
      <c r="N9" s="18" t="n">
        <v>62.864</v>
      </c>
      <c r="O9" s="18" t="n">
        <v>99.375</v>
      </c>
      <c r="P9" s="18" t="n">
        <v>93.01000000000001</v>
      </c>
      <c r="Q9" s="18" t="n">
        <v>99.238</v>
      </c>
      <c r="R9" s="18" t="n">
        <v>60.814</v>
      </c>
      <c r="S9" s="18" t="n">
        <v>105.331</v>
      </c>
      <c r="T9" s="18" t="n">
        <v>115.667</v>
      </c>
      <c r="U9" s="18" t="n">
        <v>111.84</v>
      </c>
      <c r="V9" s="18" t="n">
        <v>60.481</v>
      </c>
      <c r="W9" s="18" t="n">
        <v>119.161</v>
      </c>
      <c r="X9" s="18" t="n">
        <v>121.451</v>
      </c>
      <c r="Y9" s="18" t="n">
        <v>151.269</v>
      </c>
      <c r="Z9" s="18" t="n">
        <v>23.216</v>
      </c>
      <c r="AA9" s="18" t="n">
        <v>116.213</v>
      </c>
      <c r="AB9" s="18" t="n">
        <v>113.691</v>
      </c>
      <c r="AC9" s="18" t="n">
        <v>109.338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128.259</v>
      </c>
      <c r="C11" s="18" t="n">
        <v>118.414</v>
      </c>
      <c r="D11" s="18" t="n">
        <v>121.403</v>
      </c>
      <c r="E11" s="18" t="n">
        <v>130.063</v>
      </c>
      <c r="F11" s="18" t="n">
        <v>113.314</v>
      </c>
      <c r="G11" s="18" t="n">
        <v>137.731</v>
      </c>
      <c r="H11" s="18" t="n">
        <v>150.9</v>
      </c>
      <c r="I11" s="18" t="n">
        <v>168.274</v>
      </c>
      <c r="J11" s="18" t="n">
        <v>175.944</v>
      </c>
      <c r="K11" s="18" t="n">
        <v>170.997</v>
      </c>
      <c r="L11" s="18" t="n">
        <v>183.691</v>
      </c>
      <c r="M11" s="18" t="n">
        <v>201.458</v>
      </c>
      <c r="N11" s="18" t="n">
        <v>200.35</v>
      </c>
      <c r="O11" s="18" t="n">
        <v>179.595</v>
      </c>
      <c r="P11" s="18" t="n">
        <v>183.36</v>
      </c>
      <c r="Q11" s="18" t="n">
        <v>202.162</v>
      </c>
      <c r="R11" s="18" t="n">
        <v>204.698</v>
      </c>
      <c r="S11" s="18" t="n">
        <v>185.191</v>
      </c>
      <c r="T11" s="18" t="n">
        <v>176.587</v>
      </c>
      <c r="U11" s="18" t="n">
        <v>204.599</v>
      </c>
      <c r="V11" s="18" t="n">
        <v>203.348</v>
      </c>
      <c r="W11" s="18" t="n">
        <v>183.017</v>
      </c>
      <c r="X11" s="18" t="n">
        <v>193.886</v>
      </c>
      <c r="Y11" s="18" t="n">
        <v>214.556</v>
      </c>
      <c r="Z11" s="18" t="n">
        <v>198.812</v>
      </c>
      <c r="AA11" s="18" t="n">
        <v>188.112</v>
      </c>
      <c r="AB11" s="18" t="n">
        <v>191.277</v>
      </c>
      <c r="AC11" s="18" t="n">
        <v>208.288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43.263</v>
      </c>
      <c r="C13" s="18" t="n">
        <v>33.327</v>
      </c>
      <c r="D13" s="18" t="n">
        <v>36.992</v>
      </c>
      <c r="E13" s="18" t="n">
        <v>47.791</v>
      </c>
      <c r="F13" s="18" t="n">
        <v>39.31</v>
      </c>
      <c r="G13" s="18" t="n">
        <v>49.092</v>
      </c>
      <c r="H13" s="18" t="n">
        <v>50.995</v>
      </c>
      <c r="I13" s="18" t="n">
        <v>68.626</v>
      </c>
      <c r="J13" s="18" t="n">
        <v>68.58199999999999</v>
      </c>
      <c r="K13" s="18" t="n">
        <v>63.222</v>
      </c>
      <c r="L13" s="18" t="n">
        <v>62.348</v>
      </c>
      <c r="M13" s="18" t="n">
        <v>90.447</v>
      </c>
      <c r="N13" s="18" t="n">
        <v>80.57299999999999</v>
      </c>
      <c r="O13" s="18" t="n">
        <v>56.317</v>
      </c>
      <c r="P13" s="18" t="n">
        <v>67.89100000000001</v>
      </c>
      <c r="Q13" s="18" t="n">
        <v>80.211</v>
      </c>
      <c r="R13" s="18" t="n">
        <v>94.52500000000001</v>
      </c>
      <c r="S13" s="18" t="n">
        <v>55.862</v>
      </c>
      <c r="T13" s="18" t="n">
        <v>38.004</v>
      </c>
      <c r="U13" s="18" t="n">
        <v>66.998</v>
      </c>
      <c r="V13" s="18" t="n">
        <v>45.823</v>
      </c>
      <c r="W13" s="18" t="n">
        <v>39.987</v>
      </c>
      <c r="X13" s="18" t="n">
        <v>47.419</v>
      </c>
      <c r="Y13" s="18" t="n">
        <v>38.708</v>
      </c>
      <c r="Z13" s="18" t="n">
        <v>-23.86</v>
      </c>
      <c r="AA13" s="18" t="n">
        <v>47.658</v>
      </c>
      <c r="AB13" s="18" t="n">
        <v>54.461</v>
      </c>
      <c r="AC13" s="18" t="n">
        <v>75.495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16.459</v>
      </c>
      <c r="C15" s="18" t="n">
        <v>14.398</v>
      </c>
      <c r="D15" s="18" t="n">
        <v>119.622</v>
      </c>
      <c r="E15" s="18" t="n">
        <v>36.432</v>
      </c>
      <c r="F15" s="18" t="n">
        <v>58.845</v>
      </c>
      <c r="G15" s="18" t="n">
        <v>33.395</v>
      </c>
      <c r="H15" s="18" t="n">
        <v>46.274</v>
      </c>
      <c r="I15" s="18" t="n">
        <v>45.782</v>
      </c>
      <c r="J15" s="18" t="n">
        <v>14.96</v>
      </c>
      <c r="K15" s="18" t="n">
        <v>69.61499999999999</v>
      </c>
      <c r="L15" s="18" t="n">
        <v>80.173</v>
      </c>
      <c r="M15" s="18" t="n">
        <v>60.739</v>
      </c>
      <c r="N15" s="18" t="n">
        <v>61.524</v>
      </c>
      <c r="O15" s="18" t="n">
        <v>89.55500000000001</v>
      </c>
      <c r="P15" s="18" t="n">
        <v>50.005</v>
      </c>
      <c r="Q15" s="18" t="n">
        <v>70.218</v>
      </c>
      <c r="R15" s="18" t="n">
        <v>75.48399999999999</v>
      </c>
      <c r="S15" s="18" t="n">
        <v>50.993</v>
      </c>
      <c r="T15" s="18" t="n">
        <v>27.465</v>
      </c>
      <c r="U15" s="18" t="n">
        <v>49.059</v>
      </c>
      <c r="V15" s="18" t="n">
        <v>40.588</v>
      </c>
      <c r="W15" s="18" t="n">
        <v>33.6</v>
      </c>
      <c r="X15" s="18" t="n">
        <v>34.89</v>
      </c>
      <c r="Y15" s="18" t="n">
        <v>22.588</v>
      </c>
      <c r="Z15" s="18" t="n">
        <v>-17.678</v>
      </c>
      <c r="AA15" s="18" t="n">
        <v>38.185</v>
      </c>
      <c r="AB15" s="18" t="n">
        <v>38.009</v>
      </c>
      <c r="AC15" s="18" t="n">
        <v>51.057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156.54</v>
      </c>
      <c r="C17" s="18" t="n">
        <v>157.012</v>
      </c>
      <c r="D17" s="18" t="n">
        <v>158.2</v>
      </c>
      <c r="E17" s="18" t="n">
        <v>157.74</v>
      </c>
      <c r="F17" s="18" t="n">
        <v>158.8</v>
      </c>
      <c r="G17" s="18" t="n">
        <v>160.1</v>
      </c>
      <c r="H17" s="18" t="n">
        <v>161.028</v>
      </c>
      <c r="I17" s="18" t="n">
        <v>162.704</v>
      </c>
      <c r="J17" s="18" t="n">
        <v>163.8</v>
      </c>
      <c r="K17" s="18" t="n">
        <v>164.632</v>
      </c>
      <c r="L17" s="18" t="n">
        <v>164.828</v>
      </c>
      <c r="M17" s="18" t="n">
        <v>163.876</v>
      </c>
      <c r="N17" s="18" t="n">
        <v>163.588</v>
      </c>
      <c r="O17" s="18" t="n">
        <v>162.172</v>
      </c>
      <c r="P17" s="18" t="n">
        <v>161.75</v>
      </c>
      <c r="Q17" s="18" t="n">
        <v>161.615</v>
      </c>
      <c r="R17" s="18" t="n">
        <v>161.92</v>
      </c>
      <c r="S17" s="18" t="n">
        <v>161.94</v>
      </c>
      <c r="T17" s="18" t="n">
        <v>160.06</v>
      </c>
      <c r="U17" s="18" t="n">
        <v>160.496</v>
      </c>
      <c r="V17" s="18" t="n">
        <v>160.651</v>
      </c>
      <c r="W17" s="18" t="n">
        <v>161.115</v>
      </c>
      <c r="X17" s="18" t="n">
        <v>160.626</v>
      </c>
      <c r="Y17" s="18" t="n">
        <v>158.944</v>
      </c>
      <c r="Z17" s="18" t="n">
        <v>155.757</v>
      </c>
      <c r="AA17" s="18" t="n">
        <v>156.362</v>
      </c>
      <c r="AB17" s="18" t="n">
        <v>156.999</v>
      </c>
      <c r="AC17" s="18" t="n">
        <v>156.943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Consumables</t>
        </is>
      </c>
      <c r="S19" s="18" t="n">
        <v>224.547</v>
      </c>
      <c r="T19" s="18" t="n">
        <v>211.126</v>
      </c>
      <c r="U19" s="18" t="n">
        <v>246.732</v>
      </c>
      <c r="V19" s="18" t="n">
        <v>245.775</v>
      </c>
      <c r="W19" s="18" t="n">
        <v>230.845</v>
      </c>
      <c r="X19" s="18" t="n">
        <v>230.715</v>
      </c>
      <c r="Y19" s="18" t="n">
        <v>257.785</v>
      </c>
      <c r="Z19" s="18" t="n">
        <v>252.941</v>
      </c>
      <c r="AA19" s="18" t="n">
        <v>231.601</v>
      </c>
      <c r="AB19" s="18" t="n">
        <v>235.443</v>
      </c>
      <c r="AC19" s="18" t="n">
        <v>257.338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Instruments</t>
        </is>
      </c>
      <c r="S22" s="18" t="n">
        <v>24.86</v>
      </c>
      <c r="T22" s="18" t="n">
        <v>29.825</v>
      </c>
      <c r="U22" s="18" t="n">
        <v>26.493</v>
      </c>
      <c r="V22" s="18" t="n">
        <v>27.092</v>
      </c>
      <c r="W22" s="18" t="n">
        <v>26.206</v>
      </c>
      <c r="X22" s="18" t="n">
        <v>30.868</v>
      </c>
      <c r="Y22" s="18" t="n">
        <v>26.111</v>
      </c>
      <c r="Z22" s="18" t="n">
        <v>28.901</v>
      </c>
      <c r="AA22" s="18" t="n">
        <v>21.826</v>
      </c>
      <c r="AB22" s="18" t="n">
        <v>29.605</v>
      </c>
      <c r="AC22" s="18" t="n">
        <v>27.664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Royalty</t>
        </is>
      </c>
      <c r="S25" s="18" t="n">
        <v>6.074</v>
      </c>
      <c r="T25" s="18" t="n">
        <v>7.518</v>
      </c>
      <c r="U25" s="18" t="n">
        <v>4.702</v>
      </c>
      <c r="V25" s="18" t="n">
        <v>5.051</v>
      </c>
      <c r="W25" s="18" t="n">
        <v>5.05</v>
      </c>
      <c r="X25" s="18" t="n">
        <v>8.098000000000001</v>
      </c>
      <c r="Y25" s="18" t="n">
        <v>5.039</v>
      </c>
      <c r="Z25" s="18" t="n">
        <v>5.506</v>
      </c>
      <c r="AA25" s="18" t="n">
        <v>5.646</v>
      </c>
      <c r="AB25" s="18" t="n">
        <v>8.513</v>
      </c>
      <c r="AC25" s="18" t="n">
        <v>4.967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 S</t>
        </is>
      </c>
      <c r="S29" s="18" t="n">
        <v>159.105</v>
      </c>
      <c r="T29" s="18" t="n">
        <v>147.793</v>
      </c>
      <c r="U29" s="18" t="n">
        <v>173.315</v>
      </c>
      <c r="V29" s="18" t="n">
        <v>177.534</v>
      </c>
      <c r="W29" s="18" t="n">
        <v>165.015</v>
      </c>
      <c r="X29" s="18" t="n">
        <v>159.906</v>
      </c>
      <c r="Y29" s="18" t="n">
        <v>181.921</v>
      </c>
      <c r="Z29" s="18" t="n">
        <v>176.388</v>
      </c>
      <c r="AA29" s="18" t="n">
        <v>155.24</v>
      </c>
      <c r="AB29" s="18" t="n">
        <v>146.557</v>
      </c>
      <c r="AC29" s="18" t="n">
        <v>167.479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Europe</t>
        </is>
      </c>
      <c r="S32" s="18" t="n">
        <v>54.798</v>
      </c>
      <c r="T32" s="18" t="n">
        <v>62.538</v>
      </c>
      <c r="U32" s="18" t="n">
        <v>60.533</v>
      </c>
      <c r="V32" s="18" t="n">
        <v>63.563</v>
      </c>
      <c r="W32" s="18" t="n">
        <v>59.063</v>
      </c>
      <c r="X32" s="18" t="n">
        <v>70.392</v>
      </c>
      <c r="Y32" s="18" t="n">
        <v>66.501</v>
      </c>
      <c r="Z32" s="18" t="n">
        <v>70.349</v>
      </c>
      <c r="AA32" s="18" t="n">
        <v>65.128</v>
      </c>
      <c r="AB32" s="18" t="n">
        <v>75.354</v>
      </c>
      <c r="AC32" s="18" t="n">
        <v>73.446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C N</t>
        </is>
      </c>
      <c r="S35" s="18" t="n">
        <v>25.485</v>
      </c>
      <c r="T35" s="18" t="n">
        <v>24.459</v>
      </c>
      <c r="U35" s="18" t="n">
        <v>25.598</v>
      </c>
      <c r="V35" s="18" t="n">
        <v>23.925</v>
      </c>
      <c r="W35" s="18" t="n">
        <v>24.321</v>
      </c>
      <c r="X35" s="18" t="n">
        <v>24.754</v>
      </c>
      <c r="Y35" s="18" t="n">
        <v>24.483</v>
      </c>
      <c r="Z35" s="18" t="n">
        <v>26.905</v>
      </c>
      <c r="AA35" s="18" t="n">
        <v>24.786</v>
      </c>
      <c r="AB35" s="18" t="n">
        <v>26.351</v>
      </c>
      <c r="AC35" s="18" t="n">
        <v>26.012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4" t="inlineStr">
        <is>
          <t>APAC, excluding Greater China</t>
        </is>
      </c>
      <c r="S38" s="18" t="n">
        <v>17.351</v>
      </c>
      <c r="T38" s="18" t="n">
        <v>19.042</v>
      </c>
      <c r="U38" s="18" t="n">
        <v>18.253</v>
      </c>
      <c r="V38" s="18" t="n">
        <v>19.258</v>
      </c>
      <c r="W38" s="18" t="n">
        <v>18.122</v>
      </c>
      <c r="X38" s="18" t="n">
        <v>19.01</v>
      </c>
      <c r="Y38" s="18" t="n">
        <v>21.245</v>
      </c>
      <c r="Z38" s="18" t="n">
        <v>18.886</v>
      </c>
      <c r="AA38" s="18" t="n">
        <v>19.147</v>
      </c>
      <c r="AB38" s="18" t="n">
        <v>22.742</v>
      </c>
      <c r="AC38" s="18" t="n">
        <v>21.82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4" t="inlineStr">
        <is>
          <t>UNITED KINGDOM</t>
        </is>
      </c>
      <c r="W41" s="18" t="n">
        <v>13.944</v>
      </c>
      <c r="X41" s="18" t="n">
        <v>13.243</v>
      </c>
      <c r="Y41" s="18" t="n">
        <v>12.852</v>
      </c>
      <c r="Z41" s="18" t="n">
        <v>14.788</v>
      </c>
      <c r="AA41" s="18" t="n">
        <v>13.205</v>
      </c>
      <c r="AB41" s="18" t="n">
        <v>13.728</v>
      </c>
      <c r="AC41" s="18" t="n">
        <v>14.891</v>
      </c>
    </row>
    <row r="42">
      <c r="A42" s="4" t="inlineStr">
        <is>
          <t xml:space="preserve">    % YoY</t>
        </is>
      </c>
      <c r="F42" s="25">
        <f>IFERROR(F41/B41-1,"")</f>
        <v/>
      </c>
      <c r="G42" s="25">
        <f>IFERROR(G41/C41-1,"")</f>
        <v/>
      </c>
      <c r="H42" s="25">
        <f>IFERROR(H41/D41-1,"")</f>
        <v/>
      </c>
      <c r="I42" s="25">
        <f>IFERROR(I41/E41-1,"")</f>
        <v/>
      </c>
      <c r="J42" s="25">
        <f>IFERROR(J41/F41-1,"")</f>
        <v/>
      </c>
      <c r="K42" s="25">
        <f>IFERROR(K41/G41-1,"")</f>
        <v/>
      </c>
      <c r="L42" s="25">
        <f>IFERROR(L41/H41-1,"")</f>
        <v/>
      </c>
      <c r="M42" s="25">
        <f>IFERROR(M41/I41-1,"")</f>
        <v/>
      </c>
      <c r="N42" s="25">
        <f>IFERROR(N41/J41-1,"")</f>
        <v/>
      </c>
      <c r="O42" s="25">
        <f>IFERROR(O41/K41-1,"")</f>
        <v/>
      </c>
      <c r="P42" s="25">
        <f>IFERROR(P41/L41-1,"")</f>
        <v/>
      </c>
      <c r="Q42" s="25">
        <f>IFERROR(Q41/M41-1,"")</f>
        <v/>
      </c>
      <c r="R42" s="25">
        <f>IFERROR(R41/N41-1,"")</f>
        <v/>
      </c>
      <c r="S42" s="25">
        <f>IFERROR(S41/O41-1,"")</f>
        <v/>
      </c>
      <c r="T42" s="25">
        <f>IFERROR(T41/P41-1,"")</f>
        <v/>
      </c>
      <c r="U42" s="25">
        <f>IFERROR(U41/Q41-1,"")</f>
        <v/>
      </c>
      <c r="V42" s="25">
        <f>IFERROR(V41/R41-1,"")</f>
        <v/>
      </c>
      <c r="W42" s="25">
        <f>IFERROR(W41/S41-1,"")</f>
        <v/>
      </c>
      <c r="X42" s="25">
        <f>IFERROR(X41/T41-1,"")</f>
        <v/>
      </c>
      <c r="Y42" s="25">
        <f>IFERROR(Y41/U41-1,"")</f>
        <v/>
      </c>
      <c r="Z42" s="25">
        <f>IFERROR(Z41/V41-1,"")</f>
        <v/>
      </c>
      <c r="AA42" s="25">
        <f>IFERROR(AA41/W41-1,"")</f>
        <v/>
      </c>
      <c r="AB42" s="25">
        <f>IFERROR(AB41/X41-1,"")</f>
        <v/>
      </c>
      <c r="AC42" s="25">
        <f>IFERROR(AC41/Y41-1,"")</f>
        <v/>
      </c>
    </row>
    <row r="43">
      <c r="A43" s="4" t="inlineStr">
        <is>
          <t xml:space="preserve">    % of revenue</t>
        </is>
      </c>
      <c r="B43" s="25">
        <f>IFERROR(B41/B3,"")</f>
        <v/>
      </c>
      <c r="C43" s="25">
        <f>IFERROR(C41/C3,"")</f>
        <v/>
      </c>
      <c r="D43" s="25">
        <f>IFERROR(D41/D3,"")</f>
        <v/>
      </c>
      <c r="E43" s="25">
        <f>IFERROR(E41/E3,"")</f>
        <v/>
      </c>
      <c r="F43" s="25">
        <f>IFERROR(F41/F3,"")</f>
        <v/>
      </c>
      <c r="G43" s="25">
        <f>IFERROR(G41/G3,"")</f>
        <v/>
      </c>
      <c r="H43" s="25">
        <f>IFERROR(H41/H3,"")</f>
        <v/>
      </c>
      <c r="I43" s="25">
        <f>IFERROR(I41/I3,"")</f>
        <v/>
      </c>
      <c r="J43" s="25">
        <f>IFERROR(J41/J3,"")</f>
        <v/>
      </c>
      <c r="K43" s="25">
        <f>IFERROR(K41/K3,"")</f>
        <v/>
      </c>
      <c r="L43" s="25">
        <f>IFERROR(L41/L3,"")</f>
        <v/>
      </c>
      <c r="M43" s="25">
        <f>IFERROR(M41/M3,"")</f>
        <v/>
      </c>
      <c r="N43" s="25">
        <f>IFERROR(N41/N3,"")</f>
        <v/>
      </c>
      <c r="O43" s="25">
        <f>IFERROR(O41/O3,"")</f>
        <v/>
      </c>
      <c r="P43" s="25">
        <f>IFERROR(P41/P3,"")</f>
        <v/>
      </c>
      <c r="Q43" s="25">
        <f>IFERROR(Q41/Q3,"")</f>
        <v/>
      </c>
      <c r="R43" s="25">
        <f>IFERROR(R41/R3,"")</f>
        <v/>
      </c>
      <c r="S43" s="25">
        <f>IFERROR(S41/S3,"")</f>
        <v/>
      </c>
      <c r="T43" s="25">
        <f>IFERROR(T41/T3,"")</f>
        <v/>
      </c>
      <c r="U43" s="25">
        <f>IFERROR(U41/U3,"")</f>
        <v/>
      </c>
      <c r="V43" s="25">
        <f>IFERROR(V41/V3,"")</f>
        <v/>
      </c>
      <c r="W43" s="25">
        <f>IFERROR(W41/W3,"")</f>
        <v/>
      </c>
      <c r="X43" s="25">
        <f>IFERROR(X41/X3,"")</f>
        <v/>
      </c>
      <c r="Y43" s="25">
        <f>IFERROR(Y41/Y3,"")</f>
        <v/>
      </c>
      <c r="Z43" s="25">
        <f>IFERROR(Z41/Z3,"")</f>
        <v/>
      </c>
      <c r="AA43" s="25">
        <f>IFERROR(AA41/AA3,"")</f>
        <v/>
      </c>
      <c r="AB43" s="25">
        <f>IFERROR(AB41/AB3,"")</f>
        <v/>
      </c>
      <c r="AC43" s="25">
        <f>IFERROR(AC41/AC3,"")</f>
        <v/>
      </c>
    </row>
    <row r="44">
      <c r="A44" s="4" t="inlineStr">
        <is>
          <t>Rest Of World</t>
        </is>
      </c>
      <c r="S44" s="18" t="n">
        <v>7.747</v>
      </c>
      <c r="T44" s="18" t="n">
        <v>8.090999999999999</v>
      </c>
      <c r="U44" s="18" t="n">
        <v>10.607</v>
      </c>
      <c r="V44" s="18" t="n">
        <v>10.053</v>
      </c>
      <c r="W44" s="18" t="n">
        <v>8.993</v>
      </c>
      <c r="X44" s="18" t="n">
        <v>9.726000000000001</v>
      </c>
      <c r="Y44" s="18" t="n">
        <v>9.179</v>
      </c>
      <c r="Z44" s="18" t="n">
        <v>9.648999999999999</v>
      </c>
      <c r="AA44" s="18" t="n">
        <v>9.048999999999999</v>
      </c>
      <c r="AB44" s="18" t="n">
        <v>11.145</v>
      </c>
      <c r="AC44" s="18" t="n">
        <v>7.767</v>
      </c>
    </row>
    <row r="45">
      <c r="A45" s="4" t="inlineStr">
        <is>
          <t xml:space="preserve">    % YoY</t>
        </is>
      </c>
      <c r="F45" s="25">
        <f>IFERROR(F44/B44-1,"")</f>
        <v/>
      </c>
      <c r="G45" s="25">
        <f>IFERROR(G44/C44-1,"")</f>
        <v/>
      </c>
      <c r="H45" s="25">
        <f>IFERROR(H44/D44-1,"")</f>
        <v/>
      </c>
      <c r="I45" s="25">
        <f>IFERROR(I44/E44-1,"")</f>
        <v/>
      </c>
      <c r="J45" s="25">
        <f>IFERROR(J44/F44-1,"")</f>
        <v/>
      </c>
      <c r="K45" s="25">
        <f>IFERROR(K44/G44-1,"")</f>
        <v/>
      </c>
      <c r="L45" s="25">
        <f>IFERROR(L44/H44-1,"")</f>
        <v/>
      </c>
      <c r="M45" s="25">
        <f>IFERROR(M44/I44-1,"")</f>
        <v/>
      </c>
      <c r="N45" s="25">
        <f>IFERROR(N44/J44-1,"")</f>
        <v/>
      </c>
      <c r="O45" s="25">
        <f>IFERROR(O44/K44-1,"")</f>
        <v/>
      </c>
      <c r="P45" s="25">
        <f>IFERROR(P44/L44-1,"")</f>
        <v/>
      </c>
      <c r="Q45" s="25">
        <f>IFERROR(Q44/M44-1,"")</f>
        <v/>
      </c>
      <c r="R45" s="25">
        <f>IFERROR(R44/N44-1,"")</f>
        <v/>
      </c>
      <c r="S45" s="25">
        <f>IFERROR(S44/O44-1,"")</f>
        <v/>
      </c>
      <c r="T45" s="25">
        <f>IFERROR(T44/P44-1,"")</f>
        <v/>
      </c>
      <c r="U45" s="25">
        <f>IFERROR(U44/Q44-1,"")</f>
        <v/>
      </c>
      <c r="V45" s="25">
        <f>IFERROR(V44/R44-1,"")</f>
        <v/>
      </c>
      <c r="W45" s="25">
        <f>IFERROR(W44/S44-1,"")</f>
        <v/>
      </c>
      <c r="X45" s="25">
        <f>IFERROR(X44/T44-1,"")</f>
        <v/>
      </c>
      <c r="Y45" s="25">
        <f>IFERROR(Y44/U44-1,"")</f>
        <v/>
      </c>
      <c r="Z45" s="25">
        <f>IFERROR(Z44/V44-1,"")</f>
        <v/>
      </c>
      <c r="AA45" s="25">
        <f>IFERROR(AA44/W44-1,"")</f>
        <v/>
      </c>
      <c r="AB45" s="25">
        <f>IFERROR(AB44/X44-1,"")</f>
        <v/>
      </c>
      <c r="AC45" s="25">
        <f>IFERROR(AC44/Y44-1,"")</f>
        <v/>
      </c>
    </row>
    <row r="46">
      <c r="A46" s="4" t="inlineStr">
        <is>
          <t xml:space="preserve">    % of revenue</t>
        </is>
      </c>
      <c r="B46" s="25">
        <f>IFERROR(B44/B3,"")</f>
        <v/>
      </c>
      <c r="C46" s="25">
        <f>IFERROR(C44/C3,"")</f>
        <v/>
      </c>
      <c r="D46" s="25">
        <f>IFERROR(D44/D3,"")</f>
        <v/>
      </c>
      <c r="E46" s="25">
        <f>IFERROR(E44/E3,"")</f>
        <v/>
      </c>
      <c r="F46" s="25">
        <f>IFERROR(F44/F3,"")</f>
        <v/>
      </c>
      <c r="G46" s="25">
        <f>IFERROR(G44/G3,"")</f>
        <v/>
      </c>
      <c r="H46" s="25">
        <f>IFERROR(H44/H3,"")</f>
        <v/>
      </c>
      <c r="I46" s="25">
        <f>IFERROR(I44/I3,"")</f>
        <v/>
      </c>
      <c r="J46" s="25">
        <f>IFERROR(J44/J3,"")</f>
        <v/>
      </c>
      <c r="K46" s="25">
        <f>IFERROR(K44/K3,"")</f>
        <v/>
      </c>
      <c r="L46" s="25">
        <f>IFERROR(L44/L3,"")</f>
        <v/>
      </c>
      <c r="M46" s="25">
        <f>IFERROR(M44/M3,"")</f>
        <v/>
      </c>
      <c r="N46" s="25">
        <f>IFERROR(N44/N3,"")</f>
        <v/>
      </c>
      <c r="O46" s="25">
        <f>IFERROR(O44/O3,"")</f>
        <v/>
      </c>
      <c r="P46" s="25">
        <f>IFERROR(P44/P3,"")</f>
        <v/>
      </c>
      <c r="Q46" s="25">
        <f>IFERROR(Q44/Q3,"")</f>
        <v/>
      </c>
      <c r="R46" s="25">
        <f>IFERROR(R44/R3,"")</f>
        <v/>
      </c>
      <c r="S46" s="25">
        <f>IFERROR(S44/S3,"")</f>
        <v/>
      </c>
      <c r="T46" s="25">
        <f>IFERROR(T44/T3,"")</f>
        <v/>
      </c>
      <c r="U46" s="25">
        <f>IFERROR(U44/U3,"")</f>
        <v/>
      </c>
      <c r="V46" s="25">
        <f>IFERROR(V44/V3,"")</f>
        <v/>
      </c>
      <c r="W46" s="25">
        <f>IFERROR(W44/W3,"")</f>
        <v/>
      </c>
      <c r="X46" s="25">
        <f>IFERROR(X44/X3,"")</f>
        <v/>
      </c>
      <c r="Y46" s="25">
        <f>IFERROR(Y44/Y3,"")</f>
        <v/>
      </c>
      <c r="Z46" s="25">
        <f>IFERROR(Z44/Z3,"")</f>
        <v/>
      </c>
      <c r="AA46" s="25">
        <f>IFERROR(AA44/AA3,"")</f>
        <v/>
      </c>
      <c r="AB46" s="25">
        <f>IFERROR(AB44/AB3,"")</f>
        <v/>
      </c>
      <c r="AC46" s="25">
        <f>IFERROR(AC44/AC3,"")</f>
        <v/>
      </c>
    </row>
    <row r="47">
      <c r="A47" s="5" t="inlineStr">
        <is>
          <t xml:space="preserve">  BALANCE SHEET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4" t="inlineStr">
        <is>
          <t>Cash &amp; ST Investments</t>
        </is>
      </c>
      <c r="B48" s="18" t="n">
        <v>166.033</v>
      </c>
      <c r="C48" s="18" t="n">
        <v>158.411</v>
      </c>
      <c r="D48" s="18" t="n">
        <v>243.95</v>
      </c>
      <c r="E48" s="18" t="n">
        <v>261.088</v>
      </c>
      <c r="F48" s="18" t="n">
        <v>270.893</v>
      </c>
      <c r="G48" s="18" t="n">
        <v>287.39</v>
      </c>
      <c r="H48" s="18" t="n">
        <v>282.952</v>
      </c>
      <c r="I48" s="18" t="n">
        <v>276.244</v>
      </c>
      <c r="J48" s="18" t="n">
        <v>231.554</v>
      </c>
      <c r="K48" s="18" t="n">
        <v>235.061</v>
      </c>
      <c r="L48" s="18" t="n">
        <v>278.98</v>
      </c>
      <c r="M48" s="18" t="n">
        <v>231.172</v>
      </c>
      <c r="N48" s="18" t="n">
        <v>247.029</v>
      </c>
      <c r="O48" s="18" t="n">
        <v>203.075</v>
      </c>
      <c r="P48" s="18" t="n">
        <v>196.756</v>
      </c>
      <c r="Q48" s="18" t="n">
        <v>157.197</v>
      </c>
      <c r="R48" s="18" t="n">
        <v>204.31</v>
      </c>
      <c r="S48" s="18" t="n">
        <v>148.663</v>
      </c>
      <c r="T48" s="18" t="n">
        <v>135.652</v>
      </c>
      <c r="U48" s="18" t="n">
        <v>145.312</v>
      </c>
      <c r="V48" s="18" t="n">
        <v>152.863</v>
      </c>
      <c r="W48" s="18" t="n">
        <v>187.54</v>
      </c>
      <c r="X48" s="18" t="n">
        <v>177.549</v>
      </c>
      <c r="Y48" s="18" t="n">
        <v>140.67</v>
      </c>
      <c r="Z48" s="18" t="n">
        <v>162.186</v>
      </c>
      <c r="AA48" s="18" t="n">
        <v>144.962</v>
      </c>
      <c r="AB48" s="18" t="n">
        <v>172.879</v>
      </c>
      <c r="AC48" s="18" t="n">
        <v>209.819</v>
      </c>
    </row>
    <row r="49">
      <c r="A49" s="4" t="inlineStr">
        <is>
          <t>Total Current Assets</t>
        </is>
      </c>
      <c r="B49" s="18" t="n">
        <v>412.607</v>
      </c>
      <c r="C49" s="18" t="n">
        <v>391.945</v>
      </c>
      <c r="D49" s="18" t="n">
        <v>465.074</v>
      </c>
      <c r="E49" s="18" t="n">
        <v>491.928</v>
      </c>
      <c r="F49" s="18" t="n">
        <v>520.92</v>
      </c>
      <c r="G49" s="18" t="n">
        <v>541.893</v>
      </c>
      <c r="H49" s="18" t="n">
        <v>541.933</v>
      </c>
      <c r="I49" s="18" t="n">
        <v>566.606</v>
      </c>
      <c r="J49" s="18" t="n">
        <v>510.606</v>
      </c>
      <c r="K49" s="18" t="n">
        <v>543.748</v>
      </c>
      <c r="L49" s="18" t="n">
        <v>590.23</v>
      </c>
      <c r="M49" s="18" t="n">
        <v>593.1079999999999</v>
      </c>
      <c r="N49" s="18" t="n">
        <v>605.556</v>
      </c>
      <c r="O49" s="18" t="n">
        <v>552.0309999999999</v>
      </c>
      <c r="P49" s="18" t="n">
        <v>565.183</v>
      </c>
      <c r="Q49" s="18" t="n">
        <v>570.996</v>
      </c>
      <c r="R49" s="18" t="n">
        <v>621.482</v>
      </c>
      <c r="S49" s="18" t="n">
        <v>591.477</v>
      </c>
      <c r="T49" s="18" t="n">
        <v>590.64</v>
      </c>
      <c r="U49" s="18" t="n">
        <v>610.65</v>
      </c>
      <c r="V49" s="18" t="n">
        <v>617.419</v>
      </c>
      <c r="W49" s="18" t="n">
        <v>648.567</v>
      </c>
      <c r="X49" s="18" t="n">
        <v>634.64</v>
      </c>
      <c r="Y49" s="18" t="n">
        <v>627.24</v>
      </c>
      <c r="Z49" s="18" t="n">
        <v>608.3</v>
      </c>
      <c r="AA49" s="18" t="n">
        <v>609.5069999999999</v>
      </c>
      <c r="AB49" s="18" t="n">
        <v>637.432</v>
      </c>
      <c r="AC49" s="18" t="n">
        <v>688.05</v>
      </c>
    </row>
    <row r="50">
      <c r="A50" s="4" t="inlineStr">
        <is>
          <t>PP&amp;E (net)</t>
        </is>
      </c>
      <c r="B50" s="18" t="n">
        <v>154.039</v>
      </c>
      <c r="C50" s="18" t="n">
        <v>233.745</v>
      </c>
      <c r="D50" s="18" t="n">
        <v>240.137</v>
      </c>
      <c r="E50" s="18" t="n">
        <v>238.763</v>
      </c>
      <c r="F50" s="18" t="n">
        <v>248.294</v>
      </c>
      <c r="G50" s="18" t="n">
        <v>261.695</v>
      </c>
      <c r="H50" s="18" t="n">
        <v>263.756</v>
      </c>
      <c r="I50" s="18" t="n">
        <v>270.805</v>
      </c>
      <c r="J50" s="18" t="n">
        <v>281.741</v>
      </c>
      <c r="K50" s="18" t="n">
        <v>278.53</v>
      </c>
      <c r="L50" s="18" t="n">
        <v>276.107</v>
      </c>
      <c r="M50" s="18" t="n">
        <v>281.847</v>
      </c>
      <c r="N50" s="18" t="n">
        <v>288.798</v>
      </c>
      <c r="O50" s="18" t="n">
        <v>293.843</v>
      </c>
      <c r="P50" s="18" t="n">
        <v>307.788</v>
      </c>
      <c r="Q50" s="18" t="n">
        <v>321.547</v>
      </c>
      <c r="R50" s="18" t="n">
        <v>324.526</v>
      </c>
      <c r="S50" s="18" t="n">
        <v>333.96</v>
      </c>
      <c r="T50" s="18" t="n">
        <v>335.067</v>
      </c>
      <c r="U50" s="18" t="n">
        <v>340.986</v>
      </c>
      <c r="V50" s="18" t="n">
        <v>342.439</v>
      </c>
      <c r="W50" s="18" t="n">
        <v>343.16</v>
      </c>
      <c r="X50" s="18" t="n">
        <v>335.136</v>
      </c>
      <c r="Y50" s="18" t="n">
        <v>335.766</v>
      </c>
      <c r="Z50" s="18" t="n">
        <v>319.118</v>
      </c>
      <c r="AA50" s="18" t="n">
        <v>311.059</v>
      </c>
      <c r="AB50" s="18" t="n">
        <v>302.632</v>
      </c>
      <c r="AC50" s="18" t="n">
        <v>301.306</v>
      </c>
    </row>
    <row r="51">
      <c r="A51" s="4" t="inlineStr">
        <is>
          <t>Total Assets</t>
        </is>
      </c>
      <c r="B51" s="18" t="n">
        <v>1884.41</v>
      </c>
      <c r="C51" s="18" t="n">
        <v>1925.028</v>
      </c>
      <c r="D51" s="18" t="n">
        <v>1998.415</v>
      </c>
      <c r="E51" s="18" t="n">
        <v>1999.022</v>
      </c>
      <c r="F51" s="18" t="n">
        <v>2027.589</v>
      </c>
      <c r="G51" s="18" t="n">
        <v>2053.096</v>
      </c>
      <c r="H51" s="18" t="n">
        <v>2067.866</v>
      </c>
      <c r="I51" s="18" t="n">
        <v>2084.642</v>
      </c>
      <c r="J51" s="18" t="n">
        <v>2262.957</v>
      </c>
      <c r="K51" s="18" t="n">
        <v>2270.187</v>
      </c>
      <c r="L51" s="18" t="n">
        <v>2304.846</v>
      </c>
      <c r="M51" s="18" t="n">
        <v>2299.892</v>
      </c>
      <c r="N51" s="18" t="n">
        <v>2294.805</v>
      </c>
      <c r="O51" s="18" t="n">
        <v>2350.721</v>
      </c>
      <c r="P51" s="18" t="n">
        <v>2363.401</v>
      </c>
      <c r="Q51" s="18" t="n">
        <v>2599.696</v>
      </c>
      <c r="R51" s="18" t="n">
        <v>2638.692</v>
      </c>
      <c r="S51" s="18" t="n">
        <v>2755.36</v>
      </c>
      <c r="T51" s="18" t="n">
        <v>2730.753</v>
      </c>
      <c r="U51" s="18" t="n">
        <v>2721.17</v>
      </c>
      <c r="V51" s="18" t="n">
        <v>2703.867</v>
      </c>
      <c r="W51" s="18" t="n">
        <v>2736.017</v>
      </c>
      <c r="X51" s="18" t="n">
        <v>2670.424</v>
      </c>
      <c r="Y51" s="18" t="n">
        <v>2644.259</v>
      </c>
      <c r="Z51" s="18" t="n">
        <v>2557.868</v>
      </c>
      <c r="AA51" s="18" t="n">
        <v>2526.148</v>
      </c>
      <c r="AB51" s="18" t="n">
        <v>2522.699</v>
      </c>
      <c r="AC51" s="18" t="n">
        <v>2550.601</v>
      </c>
    </row>
    <row r="52">
      <c r="A52" s="4" t="inlineStr">
        <is>
          <t>Total Current Liabilities</t>
        </is>
      </c>
      <c r="B52" s="18" t="n">
        <v>101.985</v>
      </c>
      <c r="C52" s="18" t="n">
        <v>88.268</v>
      </c>
      <c r="D52" s="18" t="n">
        <v>104.953</v>
      </c>
      <c r="E52" s="18" t="n">
        <v>104.985</v>
      </c>
      <c r="F52" s="18" t="n">
        <v>106.668</v>
      </c>
      <c r="G52" s="18" t="n">
        <v>105.424</v>
      </c>
      <c r="H52" s="18" t="n">
        <v>117.568</v>
      </c>
      <c r="I52" s="18" t="n">
        <v>137.64</v>
      </c>
      <c r="J52" s="18" t="n">
        <v>152.284</v>
      </c>
      <c r="K52" s="18" t="n">
        <v>133.992</v>
      </c>
      <c r="L52" s="18" t="n">
        <v>154.809</v>
      </c>
      <c r="M52" s="18" t="n">
        <v>166.838</v>
      </c>
      <c r="N52" s="18" t="n">
        <v>176.018</v>
      </c>
      <c r="O52" s="18" t="n">
        <v>137.629</v>
      </c>
      <c r="P52" s="18" t="n">
        <v>128.395</v>
      </c>
      <c r="Q52" s="18" t="n">
        <v>141.163</v>
      </c>
      <c r="R52" s="18" t="n">
        <v>128.509</v>
      </c>
      <c r="S52" s="18" t="n">
        <v>127.754</v>
      </c>
      <c r="T52" s="18" t="n">
        <v>135.231</v>
      </c>
      <c r="U52" s="18" t="n">
        <v>149.82</v>
      </c>
      <c r="V52" s="18" t="n">
        <v>159.379</v>
      </c>
      <c r="W52" s="18" t="n">
        <v>142.128</v>
      </c>
      <c r="X52" s="18" t="n">
        <v>161.256</v>
      </c>
      <c r="Y52" s="18" t="n">
        <v>169.204</v>
      </c>
      <c r="Z52" s="18" t="n">
        <v>175.849</v>
      </c>
      <c r="AA52" s="18" t="n">
        <v>144.545</v>
      </c>
      <c r="AB52" s="18" t="n">
        <v>140.426</v>
      </c>
      <c r="AC52" s="18" t="n">
        <v>153.278</v>
      </c>
    </row>
    <row r="53">
      <c r="A53" s="4" t="inlineStr">
        <is>
          <t>Long-term Debt</t>
        </is>
      </c>
      <c r="B53" s="18" t="n">
        <v>492.66</v>
      </c>
      <c r="C53" s="18" t="n">
        <v>473.556</v>
      </c>
      <c r="D53" s="18" t="n">
        <v>370.452</v>
      </c>
      <c r="E53" s="18" t="n">
        <v>407.348</v>
      </c>
      <c r="F53" s="18" t="n">
        <v>344.243</v>
      </c>
      <c r="G53" s="18" t="n">
        <v>311.139</v>
      </c>
      <c r="H53" s="18" t="n">
        <v>219.035</v>
      </c>
      <c r="I53" s="18" t="n">
        <v>202.931</v>
      </c>
      <c r="J53" s="18" t="n">
        <v>328.827</v>
      </c>
      <c r="K53" s="18" t="n">
        <v>287.723</v>
      </c>
      <c r="L53" s="18" t="n">
        <v>269.618</v>
      </c>
      <c r="M53" s="18" t="n">
        <v>246.514</v>
      </c>
      <c r="N53" s="18" t="n">
        <v>243.41</v>
      </c>
      <c r="O53" s="18" t="n">
        <v>264.661</v>
      </c>
      <c r="P53" s="18" t="n">
        <v>200</v>
      </c>
      <c r="Q53" s="18" t="n">
        <v>370</v>
      </c>
      <c r="R53" s="18" t="n">
        <v>350</v>
      </c>
      <c r="S53" s="18" t="n">
        <v>440</v>
      </c>
      <c r="T53" s="18" t="n">
        <v>447</v>
      </c>
      <c r="U53" s="18" t="n">
        <v>389</v>
      </c>
      <c r="V53" s="18" t="n">
        <v>319</v>
      </c>
      <c r="W53" s="18" t="n">
        <v>300</v>
      </c>
      <c r="X53" s="18" t="n">
        <v>300</v>
      </c>
      <c r="Y53" s="18" t="n">
        <v>330</v>
      </c>
      <c r="Z53" s="18" t="n">
        <v>346</v>
      </c>
      <c r="AA53" s="18" t="n">
        <v>300</v>
      </c>
      <c r="AB53" s="18" t="n">
        <v>260</v>
      </c>
      <c r="AC53" s="18" t="n">
        <v>200</v>
      </c>
    </row>
    <row r="54">
      <c r="A54" s="4" t="inlineStr">
        <is>
          <t>Total Equity</t>
        </is>
      </c>
      <c r="B54" s="18" t="n">
        <v>1165.589</v>
      </c>
      <c r="C54" s="18" t="n">
        <v>1174.224</v>
      </c>
      <c r="D54" s="18" t="n">
        <v>1323.348</v>
      </c>
      <c r="E54" s="18" t="n">
        <v>1291.268</v>
      </c>
      <c r="F54" s="18" t="n">
        <v>1381.192</v>
      </c>
      <c r="G54" s="18" t="n">
        <v>1439.285</v>
      </c>
      <c r="H54" s="18" t="n">
        <v>1521.916</v>
      </c>
      <c r="I54" s="18" t="n">
        <v>1539.453</v>
      </c>
      <c r="J54" s="18" t="n">
        <v>1562.971</v>
      </c>
      <c r="K54" s="18" t="n">
        <v>1639.365</v>
      </c>
      <c r="L54" s="18" t="n">
        <v>1702.989</v>
      </c>
      <c r="M54" s="18" t="n">
        <v>1714.376</v>
      </c>
      <c r="N54" s="18" t="n">
        <v>1701.77</v>
      </c>
      <c r="O54" s="18" t="n">
        <v>1751.154</v>
      </c>
      <c r="P54" s="18" t="n">
        <v>1827.106</v>
      </c>
      <c r="Q54" s="18" t="n">
        <v>1889.686</v>
      </c>
      <c r="R54" s="18" t="n">
        <v>1966.516</v>
      </c>
      <c r="S54" s="18" t="n">
        <v>1997.746</v>
      </c>
      <c r="T54" s="18" t="n">
        <v>1963.559</v>
      </c>
      <c r="U54" s="18" t="n">
        <v>2014.375</v>
      </c>
      <c r="V54" s="18" t="n">
        <v>2068.85</v>
      </c>
      <c r="W54" s="18" t="n">
        <v>2138.65</v>
      </c>
      <c r="X54" s="18" t="n">
        <v>2078.492</v>
      </c>
      <c r="Y54" s="18" t="n">
        <v>2018.025</v>
      </c>
      <c r="Z54" s="18" t="n">
        <v>1918.808</v>
      </c>
      <c r="AA54" s="18" t="n">
        <v>1965.814</v>
      </c>
      <c r="AB54" s="18" t="n">
        <v>2010.989</v>
      </c>
      <c r="AC54" s="18" t="n">
        <v>2085.304</v>
      </c>
    </row>
    <row r="55">
      <c r="A55" s="5" t="inlineStr">
        <is>
          <t xml:space="preserve">  CASH FLOW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4" t="inlineStr">
        <is>
          <t>D&amp;A</t>
        </is>
      </c>
      <c r="B56" s="18" t="n">
        <v>19.919</v>
      </c>
      <c r="C56" s="18" t="n">
        <v>20.085</v>
      </c>
      <c r="D56" s="18" t="n">
        <v>20.553</v>
      </c>
      <c r="E56" s="18" t="n">
        <v>21.108</v>
      </c>
      <c r="F56" s="18" t="n">
        <v>20.991</v>
      </c>
      <c r="G56" s="18" t="n">
        <v>21.088</v>
      </c>
      <c r="H56" s="18" t="n">
        <v>20.884</v>
      </c>
      <c r="I56" s="18" t="n">
        <v>21.103</v>
      </c>
      <c r="J56" s="18" t="n">
        <v>24.672</v>
      </c>
      <c r="K56" s="18" t="n">
        <v>24.734</v>
      </c>
      <c r="L56" s="18" t="n">
        <v>25.102</v>
      </c>
      <c r="M56" s="18" t="n">
        <v>25.367</v>
      </c>
      <c r="N56" s="18" t="n">
        <v>25.866</v>
      </c>
      <c r="O56" s="18" t="n">
        <v>26.641</v>
      </c>
      <c r="P56" s="18" t="n">
        <v>26.703</v>
      </c>
      <c r="Q56" s="18" t="n">
        <v>26.971</v>
      </c>
      <c r="R56" s="18" t="n">
        <v>26.923</v>
      </c>
      <c r="S56" s="18" t="n">
        <v>28.54</v>
      </c>
      <c r="T56" s="18" t="n">
        <v>27.803</v>
      </c>
      <c r="U56" s="18" t="n">
        <v>27.311</v>
      </c>
      <c r="V56" s="18" t="n">
        <v>28.057</v>
      </c>
      <c r="W56" s="18" t="n">
        <v>28.137</v>
      </c>
      <c r="X56" s="18" t="n">
        <v>27.084</v>
      </c>
      <c r="Y56" s="18" t="n">
        <v>27.571</v>
      </c>
      <c r="Z56" s="18" t="n">
        <v>27.111</v>
      </c>
      <c r="AA56" s="18" t="n">
        <v>24.34</v>
      </c>
      <c r="AB56" s="18" t="n">
        <v>24.709</v>
      </c>
      <c r="AC56" s="18" t="n">
        <v>24.169</v>
      </c>
    </row>
    <row r="57">
      <c r="A57" s="4" t="inlineStr">
        <is>
          <t>Stock-based Compensation</t>
        </is>
      </c>
      <c r="B57" s="18" t="n">
        <v>8.129</v>
      </c>
      <c r="C57" s="18" t="n">
        <v>8.366</v>
      </c>
      <c r="D57" s="18" t="n">
        <v>10.129</v>
      </c>
      <c r="E57" s="18" t="n">
        <v>7.855</v>
      </c>
      <c r="F57" s="18" t="n">
        <v>6.017</v>
      </c>
      <c r="G57" s="18" t="n">
        <v>12.953</v>
      </c>
      <c r="H57" s="18" t="n">
        <v>0</v>
      </c>
      <c r="I57" s="18" t="n">
        <v>10.643</v>
      </c>
      <c r="J57" s="18" t="n">
        <v>0</v>
      </c>
      <c r="K57" s="18" t="n">
        <v>11.737</v>
      </c>
      <c r="L57" s="18" t="n">
        <v>13.969</v>
      </c>
      <c r="M57" s="18" t="n">
        <v>8.071</v>
      </c>
      <c r="N57" s="18" t="n">
        <v>8.406000000000001</v>
      </c>
      <c r="O57" s="18" t="n">
        <v>14.461</v>
      </c>
      <c r="P57" s="18" t="n">
        <v>16.744</v>
      </c>
      <c r="Q57" s="18" t="n">
        <v>10.11</v>
      </c>
      <c r="R57" s="18" t="n">
        <v>-2.085</v>
      </c>
      <c r="S57" s="18" t="n">
        <v>10.093</v>
      </c>
      <c r="T57" s="18" t="n">
        <v>12.753</v>
      </c>
      <c r="U57" s="18" t="n">
        <v>8.132999999999999</v>
      </c>
      <c r="V57" s="18" t="n">
        <v>7.063</v>
      </c>
      <c r="W57" s="18" t="n">
        <v>10.184</v>
      </c>
      <c r="X57" s="18" t="n">
        <v>0</v>
      </c>
      <c r="Y57" s="18" t="n">
        <v>11.391</v>
      </c>
      <c r="Z57" s="18" t="n">
        <v>4.55</v>
      </c>
      <c r="AA57" s="18" t="n">
        <v>11.682</v>
      </c>
      <c r="AB57" s="18" t="n">
        <v>13.958</v>
      </c>
      <c r="AC57" s="18" t="n">
        <v>10.495</v>
      </c>
    </row>
    <row r="58">
      <c r="A58" s="4" t="inlineStr">
        <is>
          <t>Change in Working Capital</t>
        </is>
      </c>
      <c r="B58" s="18" t="n">
        <v>-1.471</v>
      </c>
      <c r="C58" s="18" t="n">
        <v>-12.968</v>
      </c>
      <c r="D58" s="18" t="n">
        <v>26.533</v>
      </c>
      <c r="E58" s="18" t="n">
        <v>-7.781</v>
      </c>
      <c r="F58" s="18" t="n">
        <v>-11.03</v>
      </c>
      <c r="G58" s="18" t="n">
        <v>-5.371</v>
      </c>
      <c r="H58" s="18" t="n">
        <v>11.843</v>
      </c>
      <c r="I58" s="18" t="n">
        <v>-13.328</v>
      </c>
      <c r="J58" s="18" t="n">
        <v>36.119</v>
      </c>
      <c r="K58" s="18" t="n">
        <v>-53.524</v>
      </c>
      <c r="L58" s="18" t="n">
        <v>11.769</v>
      </c>
      <c r="M58" s="18" t="n">
        <v>-34.705</v>
      </c>
      <c r="N58" s="18" t="n">
        <v>6.943</v>
      </c>
      <c r="O58" s="18" t="n">
        <v>-22.932</v>
      </c>
      <c r="P58" s="18" t="n">
        <v>-17.381</v>
      </c>
      <c r="Q58" s="18" t="n">
        <v>-39.393</v>
      </c>
      <c r="R58" s="18" t="n">
        <v>-10.871</v>
      </c>
      <c r="S58" s="18" t="n">
        <v>-19.977</v>
      </c>
      <c r="T58" s="18" t="n">
        <v>18.776</v>
      </c>
      <c r="U58" s="18" t="n">
        <v>1.331</v>
      </c>
      <c r="V58" s="18" t="n">
        <v>-10.236</v>
      </c>
      <c r="W58" s="18" t="n">
        <v>-9.737</v>
      </c>
      <c r="X58" s="18" t="n">
        <v>12.195</v>
      </c>
      <c r="Y58" s="18" t="n">
        <v>-12.489</v>
      </c>
      <c r="Z58" s="18" t="n">
        <v>21.57</v>
      </c>
      <c r="AA58" s="18" t="n">
        <v>-42.849</v>
      </c>
      <c r="AB58" s="18" t="n">
        <v>42.849</v>
      </c>
      <c r="AC58" s="18" t="n">
        <v>-4.121</v>
      </c>
    </row>
    <row r="59">
      <c r="A59" s="4" t="inlineStr">
        <is>
          <t>Operating Cash Flow</t>
        </is>
      </c>
      <c r="B59" s="18" t="n">
        <v>55.946</v>
      </c>
      <c r="C59" s="18" t="n">
        <v>40.539</v>
      </c>
      <c r="D59" s="18" t="n">
        <v>70.41800000000001</v>
      </c>
      <c r="E59" s="18" t="n">
        <v>49.469</v>
      </c>
      <c r="F59" s="18" t="n">
        <v>44.791</v>
      </c>
      <c r="G59" s="18" t="n">
        <v>66.009</v>
      </c>
      <c r="H59" s="18" t="n">
        <v>89.26900000000001</v>
      </c>
      <c r="I59" s="18" t="n">
        <v>74.866</v>
      </c>
      <c r="J59" s="18" t="n">
        <v>122.02</v>
      </c>
      <c r="K59" s="18" t="n">
        <v>48.434</v>
      </c>
      <c r="L59" s="18" t="n">
        <v>100.993</v>
      </c>
      <c r="M59" s="18" t="n">
        <v>73.128</v>
      </c>
      <c r="N59" s="18" t="n">
        <v>102.717</v>
      </c>
      <c r="O59" s="18" t="n">
        <v>56.081</v>
      </c>
      <c r="P59" s="18" t="n">
        <v>64.384</v>
      </c>
      <c r="Q59" s="18" t="n">
        <v>50.535</v>
      </c>
      <c r="R59" s="18" t="n">
        <v>83.393</v>
      </c>
      <c r="S59" s="18" t="n">
        <v>59.383</v>
      </c>
      <c r="T59" s="18" t="n">
        <v>83.116</v>
      </c>
      <c r="U59" s="18" t="n">
        <v>80.986</v>
      </c>
      <c r="V59" s="18" t="n">
        <v>75.496</v>
      </c>
      <c r="W59" s="18" t="n">
        <v>63.889</v>
      </c>
      <c r="X59" s="18" t="n">
        <v>84.346</v>
      </c>
      <c r="Y59" s="18" t="n">
        <v>41.12</v>
      </c>
      <c r="Z59" s="18" t="n">
        <v>98.20099999999999</v>
      </c>
      <c r="AA59" s="18" t="n">
        <v>27.585</v>
      </c>
      <c r="AB59" s="18" t="n">
        <v>82.411</v>
      </c>
      <c r="AC59" s="18" t="n">
        <v>86.661</v>
      </c>
    </row>
    <row r="60">
      <c r="A60" s="4" t="inlineStr">
        <is>
          <t>Capex</t>
        </is>
      </c>
      <c r="B60" s="18" t="n">
        <v>-11.692</v>
      </c>
      <c r="C60" s="18" t="n">
        <v>-10.525</v>
      </c>
      <c r="D60" s="18" t="n">
        <v>-14.564</v>
      </c>
      <c r="E60" s="18" t="n">
        <v>-9.282</v>
      </c>
      <c r="F60" s="18" t="n">
        <v>-17.373</v>
      </c>
      <c r="G60" s="18" t="n">
        <v>-10.938</v>
      </c>
      <c r="H60" s="18" t="n">
        <v>-11.445</v>
      </c>
      <c r="I60" s="18" t="n">
        <v>-10.602</v>
      </c>
      <c r="J60" s="18" t="n">
        <v>-11.316</v>
      </c>
      <c r="K60" s="18" t="n">
        <v>-6.07</v>
      </c>
      <c r="L60" s="18" t="n">
        <v>-10.168</v>
      </c>
      <c r="M60" s="18" t="n">
        <v>-15.1</v>
      </c>
      <c r="N60" s="18" t="n">
        <v>-13.57</v>
      </c>
      <c r="O60" s="18" t="n">
        <v>-9.555999999999999</v>
      </c>
      <c r="P60" s="18" t="n">
        <v>-6.109</v>
      </c>
      <c r="Q60" s="18" t="n">
        <v>-11.748</v>
      </c>
      <c r="R60" s="18" t="n">
        <v>-10.831</v>
      </c>
      <c r="S60" s="18" t="n">
        <v>-13.592</v>
      </c>
      <c r="T60" s="18" t="n">
        <v>-14.864</v>
      </c>
      <c r="U60" s="18" t="n">
        <v>-16.441</v>
      </c>
      <c r="V60" s="18" t="n">
        <v>-17.98</v>
      </c>
      <c r="W60" s="18" t="n">
        <v>-9.172000000000001</v>
      </c>
      <c r="X60" s="18" t="n">
        <v>-6.821</v>
      </c>
      <c r="Y60" s="18" t="n">
        <v>-10.123</v>
      </c>
      <c r="Z60" s="18" t="n">
        <v>-4.89</v>
      </c>
      <c r="AA60" s="18" t="n">
        <v>-5.363</v>
      </c>
      <c r="AB60" s="18" t="n">
        <v>-5.921</v>
      </c>
      <c r="AC60" s="18" t="n">
        <v>-9.086</v>
      </c>
    </row>
    <row r="61">
      <c r="A61" s="4" t="inlineStr">
        <is>
          <t>Free Cash Flow</t>
        </is>
      </c>
      <c r="B61" s="18" t="n">
        <v>44.254</v>
      </c>
      <c r="C61" s="18" t="n">
        <v>30.014</v>
      </c>
      <c r="D61" s="18" t="n">
        <v>55.854</v>
      </c>
      <c r="E61" s="18" t="n">
        <v>40.187</v>
      </c>
      <c r="F61" s="18" t="n">
        <v>27.418</v>
      </c>
      <c r="G61" s="18" t="n">
        <v>55.071</v>
      </c>
      <c r="H61" s="18" t="n">
        <v>77.824</v>
      </c>
      <c r="I61" s="18" t="n">
        <v>64.264</v>
      </c>
      <c r="J61" s="18" t="n">
        <v>110.704</v>
      </c>
      <c r="K61" s="18" t="n">
        <v>42.364</v>
      </c>
      <c r="L61" s="18" t="n">
        <v>90.825</v>
      </c>
      <c r="M61" s="18" t="n">
        <v>58.028</v>
      </c>
      <c r="N61" s="18" t="n">
        <v>89.14700000000001</v>
      </c>
      <c r="O61" s="18" t="n">
        <v>46.525</v>
      </c>
      <c r="P61" s="18" t="n">
        <v>58.275</v>
      </c>
      <c r="Q61" s="18" t="n">
        <v>38.787</v>
      </c>
      <c r="R61" s="18" t="n">
        <v>72.562</v>
      </c>
      <c r="S61" s="18" t="n">
        <v>45.791</v>
      </c>
      <c r="T61" s="18" t="n">
        <v>68.252</v>
      </c>
      <c r="U61" s="18" t="n">
        <v>64.545</v>
      </c>
      <c r="V61" s="18" t="n">
        <v>57.516</v>
      </c>
      <c r="W61" s="18" t="n">
        <v>54.717</v>
      </c>
      <c r="X61" s="18" t="n">
        <v>77.52500000000001</v>
      </c>
      <c r="Y61" s="18" t="n">
        <v>30.997</v>
      </c>
      <c r="Z61" s="18" t="n">
        <v>93.31100000000001</v>
      </c>
      <c r="AA61" s="18" t="n">
        <v>22.222</v>
      </c>
      <c r="AB61" s="18" t="n">
        <v>76.48999999999999</v>
      </c>
      <c r="AC61" s="18" t="n">
        <v>77.575</v>
      </c>
    </row>
    <row r="63">
      <c r="A6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1208.210346</v>
      </c>
      <c r="C4" s="18" t="n">
        <v>1264.065956</v>
      </c>
      <c r="D4" s="18" t="n">
        <v>1382.512454</v>
      </c>
      <c r="E4" s="18" t="n">
        <v>1449.6075</v>
      </c>
      <c r="F4" s="18" t="n">
        <v>1559.612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360.71126</v>
      </c>
      <c r="C8" s="18" t="n">
        <v>377.386955</v>
      </c>
      <c r="D8" s="18" t="n">
        <v>412.749163</v>
      </c>
      <c r="E8" s="18" t="n">
        <v>432.780393</v>
      </c>
      <c r="F8" s="18" t="n">
        <v>465.622242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247.986188</v>
      </c>
      <c r="C12" s="18" t="n">
        <v>259.450599</v>
      </c>
      <c r="D12" s="18" t="n">
        <v>283.761842</v>
      </c>
      <c r="E12" s="18" t="n">
        <v>297.533156</v>
      </c>
      <c r="F12" s="18" t="n">
        <v>320.111672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388.503671</v>
      </c>
      <c r="C16" s="18" t="n">
        <v>406.46421</v>
      </c>
      <c r="D16" s="18" t="n">
        <v>444.551038</v>
      </c>
      <c r="E16" s="18" t="n">
        <v>466.125652</v>
      </c>
      <c r="F16" s="18" t="n">
        <v>501.49793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305.334983</v>
      </c>
      <c r="C20" s="18" t="n">
        <v>329.6407165</v>
      </c>
      <c r="D20" s="18" t="n">
        <v>374.182594</v>
      </c>
      <c r="E20" s="18" t="n">
        <v>415.264202</v>
      </c>
      <c r="F20" s="18" t="n">
        <v>424.847222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1.93164</v>
      </c>
      <c r="C24" s="47" t="n">
        <v>2.07378</v>
      </c>
      <c r="D24" s="47" t="n">
        <v>2.33579</v>
      </c>
      <c r="E24" s="47" t="n">
        <v>2.6</v>
      </c>
      <c r="F24" s="47" t="n">
        <v>2.66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Bio-Techne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Financials!AC48</f>
        <v/>
      </c>
    </row>
    <row r="33">
      <c r="A33" s="4" t="inlineStr">
        <is>
          <t>- Long-term debt</t>
        </is>
      </c>
      <c r="B33" s="33">
        <f>-Financials!AC53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0.09607374778614849</v>
      </c>
      <c r="C4" s="51" t="n">
        <v>0.1010737477861485</v>
      </c>
      <c r="D4" s="51" t="n">
        <v>0.1060737477861485</v>
      </c>
      <c r="E4" s="51" t="n">
        <v>0.1110737477861485</v>
      </c>
      <c r="F4" s="51" t="n">
        <v>0.1160737477861485</v>
      </c>
      <c r="G4" s="51" t="n">
        <v>0.1210737477861485</v>
      </c>
      <c r="H4" s="51" t="n">
        <v>0.1260737477861485</v>
      </c>
    </row>
    <row r="5">
      <c r="A5" s="52" t="n">
        <v>9</v>
      </c>
      <c r="B5" s="53" t="n">
        <v>37.05722114434548</v>
      </c>
      <c r="C5" s="53" t="n">
        <v>35.78143460135904</v>
      </c>
      <c r="D5" s="53" t="n">
        <v>34.56209243542641</v>
      </c>
      <c r="E5" s="53" t="n">
        <v>33.39635388213522</v>
      </c>
      <c r="F5" s="53" t="n">
        <v>32.28153543306997</v>
      </c>
      <c r="G5" s="53" t="n">
        <v>31.21510140772207</v>
      </c>
      <c r="H5" s="53" t="n">
        <v>30.19465513190335</v>
      </c>
    </row>
    <row r="6">
      <c r="A6" s="52" t="n">
        <v>10</v>
      </c>
      <c r="B6" s="53" t="n">
        <v>39.2678569613989</v>
      </c>
      <c r="C6" s="53" t="n">
        <v>37.8937116542717</v>
      </c>
      <c r="D6" s="53" t="n">
        <v>36.5808032800382</v>
      </c>
      <c r="E6" s="53" t="n">
        <v>35.32603745396975</v>
      </c>
      <c r="F6" s="53" t="n">
        <v>34.12649152323922</v>
      </c>
      <c r="G6" s="53" t="n">
        <v>32.97940425293398</v>
      </c>
      <c r="H6" s="53" t="n">
        <v>31.88216617640647</v>
      </c>
    </row>
    <row r="7">
      <c r="A7" s="52" t="n">
        <v>11</v>
      </c>
      <c r="B7" s="53" t="n">
        <v>41.47849277845231</v>
      </c>
      <c r="C7" s="53" t="n">
        <v>40.00598870718436</v>
      </c>
      <c r="D7" s="53" t="n">
        <v>38.59951412465</v>
      </c>
      <c r="E7" s="53" t="n">
        <v>37.25572102580429</v>
      </c>
      <c r="F7" s="53" t="n">
        <v>35.97144761340848</v>
      </c>
      <c r="G7" s="53" t="n">
        <v>34.74370709814589</v>
      </c>
      <c r="H7" s="53" t="n">
        <v>33.5696772209096</v>
      </c>
    </row>
    <row r="8">
      <c r="A8" s="52" t="n">
        <v>12</v>
      </c>
      <c r="B8" s="53" t="n">
        <v>43.68912859550574</v>
      </c>
      <c r="C8" s="53" t="n">
        <v>42.11826576009701</v>
      </c>
      <c r="D8" s="53" t="n">
        <v>40.61822496926178</v>
      </c>
      <c r="E8" s="54" t="n">
        <v>39.18540459763883</v>
      </c>
      <c r="F8" s="53" t="n">
        <v>37.81640370357773</v>
      </c>
      <c r="G8" s="53" t="n">
        <v>36.5080099433578</v>
      </c>
      <c r="H8" s="53" t="n">
        <v>35.25718826541272</v>
      </c>
    </row>
    <row r="9">
      <c r="A9" s="52" t="n">
        <v>13</v>
      </c>
      <c r="B9" s="53" t="n">
        <v>45.89976441255914</v>
      </c>
      <c r="C9" s="53" t="n">
        <v>44.23054281300967</v>
      </c>
      <c r="D9" s="53" t="n">
        <v>42.63693581387358</v>
      </c>
      <c r="E9" s="53" t="n">
        <v>41.11508816947337</v>
      </c>
      <c r="F9" s="53" t="n">
        <v>39.66135979374698</v>
      </c>
      <c r="G9" s="53" t="n">
        <v>38.27231278856971</v>
      </c>
      <c r="H9" s="53" t="n">
        <v>36.94469930991585</v>
      </c>
    </row>
    <row r="10">
      <c r="A10" s="52" t="n">
        <v>14</v>
      </c>
      <c r="B10" s="53" t="n">
        <v>48.11040022961257</v>
      </c>
      <c r="C10" s="53" t="n">
        <v>46.34281986592232</v>
      </c>
      <c r="D10" s="53" t="n">
        <v>44.65564665848537</v>
      </c>
      <c r="E10" s="53" t="n">
        <v>43.0447717413079</v>
      </c>
      <c r="F10" s="53" t="n">
        <v>41.50631588391624</v>
      </c>
      <c r="G10" s="53" t="n">
        <v>40.03661563378162</v>
      </c>
      <c r="H10" s="53" t="n">
        <v>38.63221035441897</v>
      </c>
    </row>
    <row r="11">
      <c r="A11" s="52" t="n">
        <v>15</v>
      </c>
      <c r="B11" s="53" t="n">
        <v>50.32103604666599</v>
      </c>
      <c r="C11" s="53" t="n">
        <v>48.45509691883499</v>
      </c>
      <c r="D11" s="53" t="n">
        <v>46.67435750309716</v>
      </c>
      <c r="E11" s="53" t="n">
        <v>44.97445531314244</v>
      </c>
      <c r="F11" s="53" t="n">
        <v>43.35127197408549</v>
      </c>
      <c r="G11" s="53" t="n">
        <v>41.80091847899352</v>
      </c>
      <c r="H11" s="53" t="n">
        <v>40.3197213989221</v>
      </c>
    </row>
    <row r="13">
      <c r="A13" s="3" t="inlineStr">
        <is>
          <t>Current price</t>
        </is>
      </c>
      <c r="B13" s="53" t="n">
        <v>56.42499923706055</v>
      </c>
    </row>
    <row r="14">
      <c r="A14" s="3" t="inlineStr">
        <is>
          <t>Base WACC / multiple</t>
        </is>
      </c>
      <c r="B14" s="55" t="n">
        <v>0.1110737477861485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0.09011145966740843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0.3132678690642337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1.110839660998441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Financials!AC48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Financials!AC53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2026-07-08T07:04:15Z</dcterms:created>
  <dcterms:modified xmlns:dcterms="http://purl.org/dc/terms/" xmlns:xsi="http://www.w3.org/2001/XMLSchema-instance" xsi:type="dcterms:W3CDTF">2026-07-08T07:04:15Z</dcterms:modified>
</cp:coreProperties>
</file>