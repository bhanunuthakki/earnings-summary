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workbook (synced) — no Opus pass — value synced from this workbook</t>
      </text>
    </comment>
    <comment ref="C20" authorId="0" shapeId="0">
      <text>
        <t>workbook (synced) — no Opus pass — value synced from this workbook</t>
      </text>
    </comment>
    <comment ref="B29" authorId="0" shapeId="0">
      <text>
        <t>workbook (synced) — no Opus pass — value synced from this workbook</t>
      </text>
    </comment>
    <comment ref="B30" authorId="0" shapeId="0">
      <text>
        <t>workbook (synced) — no Opus pass — value synced from this workbook</t>
      </text>
    </comment>
    <comment ref="B31" authorId="0" shapeId="0">
      <text>
        <t>workbook (synced) — no Opus pass — value synced from this workbook</t>
      </text>
    </comment>
    <comment ref="B34" authorId="0" shapeId="0">
      <text>
        <t>workbook (synced) — last-year capex +10% unless set to guidance; edits not tracked</t>
      </text>
    </comment>
    <comment ref="B35" authorId="0" shapeId="0">
      <text>
        <t>workbook (synced) — no Opus pass — value synced from this workbook</t>
      </text>
    </comment>
    <comment ref="B38" authorId="0" shapeId="0">
      <text>
        <t>workbook (synced) — no Opus pass — value synced from this workbook</t>
      </text>
    </comment>
    <comment ref="B39" authorId="0" shapeId="0">
      <text>
        <t>workbook (synced) — no Opus pass — value synced from this workbook</t>
      </text>
    </comment>
    <comment ref="B40" authorId="0" shapeId="0">
      <text>
        <t>workbook (synced) — no Opus pass — value synced from this workbook</t>
      </text>
    </comment>
    <comment ref="B41" authorId="0" shapeId="0">
      <text>
        <t>workbook (synced) — no Opus pass — value synced from this workbook</t>
      </text>
    </comment>
    <comment ref="B43" authorId="0" shapeId="0">
      <text>
        <t>workbook (synced) — no Opus pass — value synced from this workbook</t>
      </text>
    </comment>
    <comment ref="B44" authorId="0" shapeId="0">
      <text>
        <t>workbook (synced) — no Opus pass — value synced from this workbook</t>
      </text>
    </comment>
    <comment ref="B45" authorId="0" shapeId="0">
      <text>
        <t>Opus: 15.8x</t>
      </text>
    </comment>
    <comment ref="B46" authorId="0" shapeId="0">
      <text>
        <t>workbook (synced) — no Opus pass — value synced from this workbook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Lemonade, Inc. (LMND)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2026-07-06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Lemonade, Inc. (LMND)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0.3786989473803909</v>
      </c>
      <c r="C20" s="15" t="n">
        <v>0.04999999999999999</v>
      </c>
      <c r="D20" s="16" t="n">
        <v>0.3786989473803909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-0.1455568848604726</v>
      </c>
      <c r="D29" s="16" t="n">
        <v>-0.1455568848604726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0.1080179789231421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10.34</v>
      </c>
      <c r="D34" s="18" t="n">
        <v>10.34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1.85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15.8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71.51999664306641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37.04059690861081</v>
      </c>
      <c r="C58" s="28" t="n">
        <v>58.61991047548324</v>
      </c>
      <c r="D58" s="28" t="n">
        <v>21.74610643921449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0.08307358720693862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0.04984415232416317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LMND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2026-07-06 from the synced assumptions block (pass predates provenance tracking — may already include your edits)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Total company — near-term growth</t>
        </is>
      </c>
      <c r="B8" t="inlineStr">
        <is>
          <t>B20</t>
        </is>
      </c>
      <c r="C8" s="11">
        <f>Dashboard!B20</f>
        <v/>
      </c>
      <c r="D8" t="inlineStr">
        <is>
          <t>workbook (synced)</t>
        </is>
      </c>
      <c r="E8" t="inlineStr">
        <is>
          <t>—</t>
        </is>
      </c>
      <c r="F8" s="31" t="inlineStr">
        <is>
          <t>no Opus pass — value synced from this workbook</t>
        </is>
      </c>
    </row>
    <row r="9">
      <c r="A9" t="inlineStr">
        <is>
          <t>Total company — terminal growth</t>
        </is>
      </c>
      <c r="B9" t="inlineStr">
        <is>
          <t>C20</t>
        </is>
      </c>
      <c r="C9" s="11">
        <f>Dashboard!C20</f>
        <v/>
      </c>
      <c r="D9" t="inlineStr">
        <is>
          <t>workbook (synced)</t>
        </is>
      </c>
      <c r="E9" t="inlineStr">
        <is>
          <t>—</t>
        </is>
      </c>
      <c r="F9" s="31" t="inlineStr">
        <is>
          <t>no Opus pass — value synced from this workbook</t>
        </is>
      </c>
    </row>
    <row r="10">
      <c r="A10" t="inlineStr">
        <is>
          <t>Near-term operating margin</t>
        </is>
      </c>
      <c r="B10" t="inlineStr">
        <is>
          <t>B29</t>
        </is>
      </c>
      <c r="C10" s="11">
        <f>Dashboard!B29</f>
        <v/>
      </c>
      <c r="D10" t="inlineStr">
        <is>
          <t>workbook (synced)</t>
        </is>
      </c>
      <c r="E10" t="inlineStr">
        <is>
          <t>—</t>
        </is>
      </c>
      <c r="F10" s="31" t="inlineStr">
        <is>
          <t>no Opus pass — value synced from this workbook</t>
        </is>
      </c>
    </row>
    <row r="11">
      <c r="A11" t="inlineStr">
        <is>
          <t>Terminal operating margin</t>
        </is>
      </c>
      <c r="B11" t="inlineStr">
        <is>
          <t>B30</t>
        </is>
      </c>
      <c r="C11" s="11">
        <f>Dashboard!B30</f>
        <v/>
      </c>
      <c r="D11" t="inlineStr">
        <is>
          <t>workbook (synced)</t>
        </is>
      </c>
      <c r="E11" t="inlineStr">
        <is>
          <t>—</t>
        </is>
      </c>
      <c r="F11" s="31" t="inlineStr">
        <is>
          <t>no Opus pass — value synced from this workbook</t>
        </is>
      </c>
    </row>
    <row r="12">
      <c r="A12" t="inlineStr">
        <is>
          <t>Tax rate</t>
        </is>
      </c>
      <c r="B12" t="inlineStr">
        <is>
          <t>B31</t>
        </is>
      </c>
      <c r="C12" s="11">
        <f>Dashboard!B31</f>
        <v/>
      </c>
      <c r="D12" t="inlineStr">
        <is>
          <t>workbook (synced)</t>
        </is>
      </c>
      <c r="E12" t="inlineStr">
        <is>
          <t>—</t>
        </is>
      </c>
      <c r="F12" s="31" t="inlineStr">
        <is>
          <t>no Opus pass — value synced from this workbook</t>
        </is>
      </c>
    </row>
    <row r="13">
      <c r="A13" t="inlineStr">
        <is>
          <t>Terminal capex / D&amp;A</t>
        </is>
      </c>
      <c r="B13" t="inlineStr">
        <is>
          <t>B35</t>
        </is>
      </c>
      <c r="C13" s="13">
        <f>Dashboard!B35</f>
        <v/>
      </c>
      <c r="D13" t="inlineStr">
        <is>
          <t>workbook (synced)</t>
        </is>
      </c>
      <c r="E13" t="inlineStr">
        <is>
          <t>—</t>
        </is>
      </c>
      <c r="F13" s="31" t="inlineStr">
        <is>
          <t>no Opus pass — value synced from this workbook</t>
        </is>
      </c>
    </row>
    <row r="14">
      <c r="A14" t="inlineStr">
        <is>
          <t>Risk-free rate (10Y)</t>
        </is>
      </c>
      <c r="B14" t="inlineStr">
        <is>
          <t>B38</t>
        </is>
      </c>
      <c r="C14" s="11">
        <f>Dashboard!B38</f>
        <v/>
      </c>
      <c r="D14" t="inlineStr">
        <is>
          <t>workbook (synced)</t>
        </is>
      </c>
      <c r="E14" t="inlineStr">
        <is>
          <t>—</t>
        </is>
      </c>
      <c r="F14" s="31" t="inlineStr">
        <is>
          <t>no Opus pass — value synced from this workbook</t>
        </is>
      </c>
    </row>
    <row r="15">
      <c r="A15" t="inlineStr">
        <is>
          <t>Equity risk premium</t>
        </is>
      </c>
      <c r="B15" t="inlineStr">
        <is>
          <t>B39</t>
        </is>
      </c>
      <c r="C15" s="11">
        <f>Dashboard!B39</f>
        <v/>
      </c>
      <c r="D15" t="inlineStr">
        <is>
          <t>workbook (synced)</t>
        </is>
      </c>
      <c r="E15" t="inlineStr">
        <is>
          <t>—</t>
        </is>
      </c>
      <c r="F15" s="31" t="inlineStr">
        <is>
          <t>no Opus pass — value synced from this workbook</t>
        </is>
      </c>
    </row>
    <row r="16">
      <c r="A16" t="inlineStr">
        <is>
          <t>Beta (levered)</t>
        </is>
      </c>
      <c r="B16" t="inlineStr">
        <is>
          <t>B40</t>
        </is>
      </c>
      <c r="C16" s="32">
        <f>Dashboard!B40</f>
        <v/>
      </c>
      <c r="D16" t="inlineStr">
        <is>
          <t>workbook (synced)</t>
        </is>
      </c>
      <c r="E16" t="inlineStr">
        <is>
          <t>—</t>
        </is>
      </c>
      <c r="F16" s="31" t="inlineStr">
        <is>
          <t>no Opus pass — value synced from this workbook</t>
        </is>
      </c>
    </row>
    <row r="17">
      <c r="A17" t="inlineStr">
        <is>
          <t>Pre-tax cost of debt</t>
        </is>
      </c>
      <c r="B17" t="inlineStr">
        <is>
          <t>B41</t>
        </is>
      </c>
      <c r="C17" s="11">
        <f>Dashboard!B41</f>
        <v/>
      </c>
      <c r="D17" t="inlineStr">
        <is>
          <t>workbook (synced)</t>
        </is>
      </c>
      <c r="E17" t="inlineStr">
        <is>
          <t>—</t>
        </is>
      </c>
      <c r="F17" s="31" t="inlineStr">
        <is>
          <t>no Opus pass — value synced from this workbook</t>
        </is>
      </c>
    </row>
    <row r="18">
      <c r="A18" t="inlineStr">
        <is>
          <t>Terminal method</t>
        </is>
      </c>
      <c r="B18" t="inlineStr">
        <is>
          <t>B43</t>
        </is>
      </c>
      <c r="C18" s="12">
        <f>Dashboard!B43</f>
        <v/>
      </c>
      <c r="D18" t="inlineStr">
        <is>
          <t>workbook (synced)</t>
        </is>
      </c>
      <c r="E18" t="inlineStr">
        <is>
          <t>—</t>
        </is>
      </c>
      <c r="F18" s="31" t="inlineStr">
        <is>
          <t>no Opus pass — value synced from this workbook</t>
        </is>
      </c>
    </row>
    <row r="19">
      <c r="A19" t="inlineStr">
        <is>
          <t>Exit basis</t>
        </is>
      </c>
      <c r="B19" t="inlineStr">
        <is>
          <t>B44</t>
        </is>
      </c>
      <c r="C19" s="12">
        <f>Dashboard!B44</f>
        <v/>
      </c>
      <c r="D19" t="inlineStr">
        <is>
          <t>workbook (synced)</t>
        </is>
      </c>
      <c r="E19" t="inlineStr">
        <is>
          <t>—</t>
        </is>
      </c>
      <c r="F19" s="31" t="inlineStr">
        <is>
          <t>no Opus pass — value synced from this workbook</t>
        </is>
      </c>
    </row>
    <row r="20">
      <c r="A20" t="inlineStr">
        <is>
          <t>Exit multiple</t>
        </is>
      </c>
      <c r="B20" t="inlineStr">
        <is>
          <t>B45</t>
        </is>
      </c>
      <c r="C20" s="13">
        <f>Dashboard!B45</f>
        <v/>
      </c>
      <c r="D20" t="inlineStr">
        <is>
          <t>Opus</t>
        </is>
      </c>
      <c r="E20" t="inlineStr">
        <is>
          <t>15.8x</t>
        </is>
      </c>
      <c r="F20" s="31" t="inlineStr"/>
    </row>
    <row r="21">
      <c r="A21" t="inlineStr">
        <is>
          <t>Terminal growth (g)</t>
        </is>
      </c>
      <c r="B21" t="inlineStr">
        <is>
          <t>B46</t>
        </is>
      </c>
      <c r="C21" s="11">
        <f>Dashboard!B46</f>
        <v/>
      </c>
      <c r="D21" t="inlineStr">
        <is>
          <t>workbook (synced)</t>
        </is>
      </c>
      <c r="E21" t="inlineStr">
        <is>
          <t>—</t>
        </is>
      </c>
      <c r="F21" s="31" t="inlineStr">
        <is>
          <t>no Opus pass — value synced from this workbook</t>
        </is>
      </c>
    </row>
    <row r="22">
      <c r="A22" t="inlineStr">
        <is>
          <t>2026 capex ($M)</t>
        </is>
      </c>
      <c r="B22" t="inlineStr">
        <is>
          <t>B34</t>
        </is>
      </c>
      <c r="C22" s="33">
        <f>Dashboard!B34</f>
        <v/>
      </c>
      <c r="D22" t="inlineStr">
        <is>
          <t>workbook (synced)</t>
        </is>
      </c>
      <c r="E22" t="inlineStr">
        <is>
          <t>—</t>
        </is>
      </c>
      <c r="F22" s="31" t="inlineStr">
        <is>
          <t>last-year capex +10% unless set to guidance; edits not tracked</t>
        </is>
      </c>
    </row>
    <row r="23">
      <c r="A23" t="inlineStr">
        <is>
          <t>Bull Δ — segment growth, near-term</t>
        </is>
      </c>
      <c r="B23" t="inlineStr">
        <is>
          <t>C52</t>
        </is>
      </c>
      <c r="C23" s="34">
        <f>Dashboard!C52</f>
        <v/>
      </c>
      <c r="D23" t="inlineStr">
        <is>
          <t>seed default</t>
        </is>
      </c>
      <c r="E23" t="inlineStr">
        <is>
          <t>3.0%</t>
        </is>
      </c>
      <c r="F23" s="31" t="inlineStr"/>
    </row>
    <row r="24">
      <c r="A24" t="inlineStr">
        <is>
          <t>Bear Δ — segment growth, near-term</t>
        </is>
      </c>
      <c r="B24" t="inlineStr">
        <is>
          <t>D52</t>
        </is>
      </c>
      <c r="C24" s="34">
        <f>Dashboard!D52</f>
        <v/>
      </c>
      <c r="D24" t="inlineStr">
        <is>
          <t>seed default</t>
        </is>
      </c>
      <c r="E24" t="inlineStr">
        <is>
          <t>-3.0%</t>
        </is>
      </c>
      <c r="F24" s="31" t="inlineStr"/>
    </row>
    <row r="25">
      <c r="A25" t="inlineStr">
        <is>
          <t>Bull Δ — segment growth, terminal</t>
        </is>
      </c>
      <c r="B25" t="inlineStr">
        <is>
          <t>C53</t>
        </is>
      </c>
      <c r="C25" s="34">
        <f>Dashboard!C53</f>
        <v/>
      </c>
      <c r="D25" t="inlineStr">
        <is>
          <t>seed default</t>
        </is>
      </c>
      <c r="E25" t="inlineStr">
        <is>
          <t>1.0%</t>
        </is>
      </c>
      <c r="F25" s="31" t="inlineStr"/>
    </row>
    <row r="26">
      <c r="A26" t="inlineStr">
        <is>
          <t>Bear Δ — segment growth, terminal</t>
        </is>
      </c>
      <c r="B26" t="inlineStr">
        <is>
          <t>D53</t>
        </is>
      </c>
      <c r="C26" s="34">
        <f>Dashboard!D53</f>
        <v/>
      </c>
      <c r="D26" t="inlineStr">
        <is>
          <t>seed default</t>
        </is>
      </c>
      <c r="E26" t="inlineStr">
        <is>
          <t>-1.0%</t>
        </is>
      </c>
      <c r="F26" s="31" t="inlineStr"/>
    </row>
    <row r="27">
      <c r="A27" t="inlineStr">
        <is>
          <t>Bull Δ — operating margin, near-term</t>
        </is>
      </c>
      <c r="B27" t="inlineStr">
        <is>
          <t>C54</t>
        </is>
      </c>
      <c r="C27" s="34">
        <f>Dashboard!C54</f>
        <v/>
      </c>
      <c r="D27" t="inlineStr">
        <is>
          <t>seed default</t>
        </is>
      </c>
      <c r="E27" t="inlineStr">
        <is>
          <t>1.0%</t>
        </is>
      </c>
      <c r="F27" s="31" t="inlineStr"/>
    </row>
    <row r="28">
      <c r="A28" t="inlineStr">
        <is>
          <t>Bear Δ — operating margin, near-term</t>
        </is>
      </c>
      <c r="B28" t="inlineStr">
        <is>
          <t>D54</t>
        </is>
      </c>
      <c r="C28" s="34">
        <f>Dashboard!D54</f>
        <v/>
      </c>
      <c r="D28" t="inlineStr">
        <is>
          <t>seed default</t>
        </is>
      </c>
      <c r="E28" t="inlineStr">
        <is>
          <t>-1.0%</t>
        </is>
      </c>
      <c r="F28" s="31" t="inlineStr"/>
    </row>
    <row r="29">
      <c r="A29" t="inlineStr">
        <is>
          <t>Bull Δ — operating margin, terminal</t>
        </is>
      </c>
      <c r="B29" t="inlineStr">
        <is>
          <t>C55</t>
        </is>
      </c>
      <c r="C29" s="34">
        <f>Dashboard!C55</f>
        <v/>
      </c>
      <c r="D29" t="inlineStr">
        <is>
          <t>seed default</t>
        </is>
      </c>
      <c r="E29" t="inlineStr">
        <is>
          <t>2.0%</t>
        </is>
      </c>
      <c r="F29" s="31" t="inlineStr"/>
    </row>
    <row r="30">
      <c r="A30" t="inlineStr">
        <is>
          <t>Bear Δ — operating margin, terminal</t>
        </is>
      </c>
      <c r="B30" t="inlineStr">
        <is>
          <t>D55</t>
        </is>
      </c>
      <c r="C30" s="34">
        <f>Dashboard!D55</f>
        <v/>
      </c>
      <c r="D30" t="inlineStr">
        <is>
          <t>seed default</t>
        </is>
      </c>
      <c r="E30" t="inlineStr">
        <is>
          <t>-2.0%</t>
        </is>
      </c>
      <c r="F30" s="31" t="inlineStr"/>
    </row>
    <row r="31">
      <c r="A31" t="inlineStr">
        <is>
          <t>Bull Δ — exit multiple</t>
        </is>
      </c>
      <c r="B31" t="inlineStr">
        <is>
          <t>C56</t>
        </is>
      </c>
      <c r="C31" s="35">
        <f>Dashboard!C56</f>
        <v/>
      </c>
      <c r="D31" t="inlineStr">
        <is>
          <t>seed default</t>
        </is>
      </c>
      <c r="E31" t="inlineStr">
        <is>
          <t>2.0x</t>
        </is>
      </c>
      <c r="F31" s="31" t="inlineStr"/>
    </row>
    <row r="32">
      <c r="A32" t="inlineStr">
        <is>
          <t>Bear Δ — exit multiple</t>
        </is>
      </c>
      <c r="B32" t="inlineStr">
        <is>
          <t>D56</t>
        </is>
      </c>
      <c r="C32" s="35">
        <f>Dashboard!D56</f>
        <v/>
      </c>
      <c r="D32" t="inlineStr">
        <is>
          <t>seed default</t>
        </is>
      </c>
      <c r="E32" t="inlineStr">
        <is>
          <t>-2.0x</t>
        </is>
      </c>
      <c r="F32" s="31" t="inlineStr"/>
    </row>
    <row r="33">
      <c r="A33" t="inlineStr">
        <is>
          <t>Bull Δ — terminal growth (g)</t>
        </is>
      </c>
      <c r="B33" t="inlineStr">
        <is>
          <t>C57</t>
        </is>
      </c>
      <c r="C33" s="34">
        <f>Dashboard!C57</f>
        <v/>
      </c>
      <c r="D33" t="inlineStr">
        <is>
          <t>seed default</t>
        </is>
      </c>
      <c r="E33" t="inlineStr">
        <is>
          <t>0.5%</t>
        </is>
      </c>
      <c r="F33" s="31" t="inlineStr"/>
    </row>
    <row r="34">
      <c r="A34" t="inlineStr">
        <is>
          <t>Bear Δ — terminal growth (g)</t>
        </is>
      </c>
      <c r="B34" t="inlineStr">
        <is>
          <t>D57</t>
        </is>
      </c>
      <c r="C34" s="34">
        <f>Dashboard!D57</f>
        <v/>
      </c>
      <c r="D34" t="inlineStr">
        <is>
          <t>seed default</t>
        </is>
      </c>
      <c r="E34" t="inlineStr">
        <is>
          <t>-0.5%</t>
        </is>
      </c>
      <c r="F34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Financials!AC24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3">
        <f>SUM(Financials!I3:L3)</f>
        <v/>
      </c>
      <c r="C4" s="33">
        <f>SUM(Financials!M3:P3)</f>
        <v/>
      </c>
      <c r="D4" s="33">
        <f>SUM(Financials!Q3:T3)</f>
        <v/>
      </c>
      <c r="E4" s="33">
        <f>SUM(Financials!U3:X3)</f>
        <v/>
      </c>
      <c r="F4" s="33">
        <f>SUM(Financials!Y3:AB3)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2">
        <f>B4</f>
        <v/>
      </c>
      <c r="C6" s="42">
        <f>C4</f>
        <v/>
      </c>
      <c r="D6" s="42">
        <f>D4</f>
        <v/>
      </c>
      <c r="E6" s="42">
        <f>E4</f>
        <v/>
      </c>
      <c r="F6" s="42">
        <f>F4</f>
        <v/>
      </c>
      <c r="G6" s="42">
        <f>G4</f>
        <v/>
      </c>
      <c r="H6" s="42">
        <f>H4</f>
        <v/>
      </c>
      <c r="I6" s="42">
        <f>I4</f>
        <v/>
      </c>
      <c r="J6" s="42">
        <f>J4</f>
        <v/>
      </c>
      <c r="K6" s="42">
        <f>K4</f>
        <v/>
      </c>
      <c r="L6" s="42">
        <f>L4</f>
        <v/>
      </c>
      <c r="M6" s="42">
        <f>M4</f>
        <v/>
      </c>
      <c r="N6" s="42">
        <f>N4</f>
        <v/>
      </c>
      <c r="O6" s="42">
        <f>O4</f>
        <v/>
      </c>
      <c r="P6" s="42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3">
        <f>SUM(Financials!I5:L5)</f>
        <v/>
      </c>
      <c r="C10" s="33">
        <f>SUM(Financials!M5:P5)</f>
        <v/>
      </c>
      <c r="D10" s="33">
        <f>SUM(Financials!Q5:T5)</f>
        <v/>
      </c>
      <c r="E10" s="33">
        <f>SUM(Financials!U5:X5)</f>
        <v/>
      </c>
      <c r="F10" s="33">
        <f>SUM(Financials!Y5:AB5)</f>
        <v/>
      </c>
      <c r="G10" s="41">
        <f>G6*G11</f>
        <v/>
      </c>
      <c r="H10" s="41">
        <f>H6*H11</f>
        <v/>
      </c>
      <c r="I10" s="41">
        <f>I6*I11</f>
        <v/>
      </c>
      <c r="J10" s="41">
        <f>J6*J11</f>
        <v/>
      </c>
      <c r="K10" s="41">
        <f>K6*K11</f>
        <v/>
      </c>
      <c r="L10" s="41">
        <f>L6*L11</f>
        <v/>
      </c>
      <c r="M10" s="41">
        <f>M6*M11</f>
        <v/>
      </c>
      <c r="N10" s="41">
        <f>N6*N11</f>
        <v/>
      </c>
      <c r="O10" s="41">
        <f>O6*O11</f>
        <v/>
      </c>
      <c r="P10" s="41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0.5537335682341781</v>
      </c>
      <c r="H11" s="15" t="n">
        <v>0.5537335682341781</v>
      </c>
      <c r="I11" s="15" t="n">
        <v>0.5537335682341781</v>
      </c>
      <c r="J11" s="15" t="n">
        <v>0.5537335682341781</v>
      </c>
      <c r="K11" s="15" t="n">
        <v>0.5537335682341781</v>
      </c>
      <c r="L11" s="15" t="n">
        <v>0.5537335682341781</v>
      </c>
      <c r="M11" s="15" t="n">
        <v>0.5537335682341781</v>
      </c>
      <c r="N11" s="15" t="n">
        <v>0.5537335682341781</v>
      </c>
      <c r="O11" s="15" t="n">
        <v>0.5537335682341781</v>
      </c>
      <c r="P11" s="15" t="n">
        <v>0.5537335682341781</v>
      </c>
    </row>
    <row r="12">
      <c r="A12" s="4" t="inlineStr">
        <is>
          <t>R&amp;D / Technology</t>
        </is>
      </c>
      <c r="B12" s="33">
        <f>SUM(Financials!I7:L7)</f>
        <v/>
      </c>
      <c r="C12" s="33">
        <f>SUM(Financials!M7:P7)</f>
        <v/>
      </c>
      <c r="D12" s="33">
        <f>SUM(Financials!Q7:T7)</f>
        <v/>
      </c>
      <c r="E12" s="33">
        <f>SUM(Financials!U7:X7)</f>
        <v/>
      </c>
      <c r="F12" s="33">
        <f>SUM(Financials!Y7:AB7)</f>
        <v/>
      </c>
      <c r="G12" s="41">
        <f>G6*G13</f>
        <v/>
      </c>
      <c r="H12" s="41">
        <f>H6*H13</f>
        <v/>
      </c>
      <c r="I12" s="41">
        <f>I6*I13</f>
        <v/>
      </c>
      <c r="J12" s="41">
        <f>J6*J13</f>
        <v/>
      </c>
      <c r="K12" s="41">
        <f>K6*K13</f>
        <v/>
      </c>
      <c r="L12" s="41">
        <f>L6*L13</f>
        <v/>
      </c>
      <c r="M12" s="41">
        <f>M6*M13</f>
        <v/>
      </c>
      <c r="N12" s="41">
        <f>N6*N13</f>
        <v/>
      </c>
      <c r="O12" s="41">
        <f>O6*O13</f>
        <v/>
      </c>
      <c r="P12" s="41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  <c r="N13" s="15" t="n">
        <v>0</v>
      </c>
      <c r="O13" s="15" t="n">
        <v>0</v>
      </c>
      <c r="P13" s="15" t="n">
        <v>0</v>
      </c>
    </row>
    <row r="14">
      <c r="A14" s="4" t="inlineStr">
        <is>
          <t>SG&amp;A</t>
        </is>
      </c>
      <c r="B14" s="33">
        <f>SUM(Financials!I9:L9)</f>
        <v/>
      </c>
      <c r="C14" s="33">
        <f>SUM(Financials!M9:P9)</f>
        <v/>
      </c>
      <c r="D14" s="33">
        <f>SUM(Financials!Q9:T9)</f>
        <v/>
      </c>
      <c r="E14" s="33">
        <f>SUM(Financials!U9:X9)</f>
        <v/>
      </c>
      <c r="F14" s="33">
        <f>SUM(Financials!Y9:AB9)</f>
        <v/>
      </c>
      <c r="G14" s="41">
        <f>G6*G15</f>
        <v/>
      </c>
      <c r="H14" s="41">
        <f>H6*H15</f>
        <v/>
      </c>
      <c r="I14" s="41">
        <f>I6*I15</f>
        <v/>
      </c>
      <c r="J14" s="41">
        <f>J6*J15</f>
        <v/>
      </c>
      <c r="K14" s="41">
        <f>K6*K15</f>
        <v/>
      </c>
      <c r="L14" s="41">
        <f>L6*L15</f>
        <v/>
      </c>
      <c r="M14" s="41">
        <f>M6*M15</f>
        <v/>
      </c>
      <c r="N14" s="41">
        <f>N6*N15</f>
        <v/>
      </c>
      <c r="O14" s="41">
        <f>O6*O15</f>
        <v/>
      </c>
      <c r="P14" s="41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0.4935628133893482</v>
      </c>
      <c r="H15" s="15" t="n">
        <v>0.4935628133893482</v>
      </c>
      <c r="I15" s="15" t="n">
        <v>0.4935628133893482</v>
      </c>
      <c r="J15" s="15" t="n">
        <v>0.4935628133893482</v>
      </c>
      <c r="K15" s="15" t="n">
        <v>0.4935628133893482</v>
      </c>
      <c r="L15" s="15" t="n">
        <v>0.4935628133893482</v>
      </c>
      <c r="M15" s="15" t="n">
        <v>0.4935628133893482</v>
      </c>
      <c r="N15" s="15" t="n">
        <v>0.4935628133893482</v>
      </c>
      <c r="O15" s="15" t="n">
        <v>0.4935628133893482</v>
      </c>
      <c r="P15" s="15" t="n">
        <v>0.4935628133893482</v>
      </c>
    </row>
    <row r="16">
      <c r="A16" s="4" t="inlineStr">
        <is>
          <t>Other opex (fulfilment, etc.)</t>
        </is>
      </c>
      <c r="B16" s="33">
        <f>B6-(B10+B12+B14)-SUM(Financials!I13:L13)</f>
        <v/>
      </c>
      <c r="C16" s="33">
        <f>C6-(C10+C12+C14)-SUM(Financials!M13:P13)</f>
        <v/>
      </c>
      <c r="D16" s="33">
        <f>D6-(D10+D12+D14)-SUM(Financials!Q13:T13)</f>
        <v/>
      </c>
      <c r="E16" s="33">
        <f>E6-(E10+E12+E14)-SUM(Financials!U13:X13)</f>
        <v/>
      </c>
      <c r="F16" s="33">
        <f>F6-(F10+F12+F14)-SUM(Financials!Y13:AB13)</f>
        <v/>
      </c>
      <c r="G16" s="33">
        <f>G6*(1-(Dashboard!$B$29+(Dashboard!$B$30-Dashboard!$B$29)*MIN(1,0/3)))-(G10+G12+G14)</f>
        <v/>
      </c>
      <c r="H16" s="33">
        <f>H6*(1-(Dashboard!$B$29+(Dashboard!$B$30-Dashboard!$B$29)*MIN(1,1/3)))-(H10+H12+H14)</f>
        <v/>
      </c>
      <c r="I16" s="33">
        <f>I6*(1-(Dashboard!$B$29+(Dashboard!$B$30-Dashboard!$B$29)*MIN(1,2/3)))-(I10+I12+I14)</f>
        <v/>
      </c>
      <c r="J16" s="33">
        <f>J6*(1-(Dashboard!$B$29+(Dashboard!$B$30-Dashboard!$B$29)*MIN(1,3/3)))-(J10+J12+J14)</f>
        <v/>
      </c>
      <c r="K16" s="33">
        <f>K6*(1-(Dashboard!$B$29+(Dashboard!$B$30-Dashboard!$B$29)*MIN(1,4/3)))-(K10+K12+K14)</f>
        <v/>
      </c>
      <c r="L16" s="33">
        <f>L6*(1-(Dashboard!$B$29+(Dashboard!$B$30-Dashboard!$B$29)*MIN(1,5/3)))-(L10+L12+L14)</f>
        <v/>
      </c>
      <c r="M16" s="33">
        <f>M6*(1-(Dashboard!$B$29+(Dashboard!$B$30-Dashboard!$B$29)*MIN(1,6/3)))-(M10+M12+M14)</f>
        <v/>
      </c>
      <c r="N16" s="33">
        <f>N6*(1-(Dashboard!$B$29+(Dashboard!$B$30-Dashboard!$B$29)*MIN(1,7/3)))-(N10+N12+N14)</f>
        <v/>
      </c>
      <c r="O16" s="33">
        <f>O6*(1-(Dashboard!$B$29+(Dashboard!$B$30-Dashboard!$B$29)*MIN(1,8/3)))-(O10+O12+O14)</f>
        <v/>
      </c>
      <c r="P16" s="33">
        <f>P6*(1-(Dashboard!$B$29+(Dashboard!$B$30-Dashboard!$B$29)*MIN(1,9/3)))-(P10+P12+P14)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2">
        <f>B6-(B10+B12+B14)-B16</f>
        <v/>
      </c>
      <c r="C19" s="42">
        <f>C6-(C10+C12+C14)-C16</f>
        <v/>
      </c>
      <c r="D19" s="42">
        <f>D6-(D10+D12+D14)-D16</f>
        <v/>
      </c>
      <c r="E19" s="42">
        <f>E6-(E10+E12+E14)-E16</f>
        <v/>
      </c>
      <c r="F19" s="42">
        <f>F6-(F10+F12+F14)-F16</f>
        <v/>
      </c>
      <c r="G19" s="42">
        <f>G6-(G10+G12+G14)-G16</f>
        <v/>
      </c>
      <c r="H19" s="42">
        <f>H6-(H10+H12+H14)-H16</f>
        <v/>
      </c>
      <c r="I19" s="42">
        <f>I6-(I10+I12+I14)-I16</f>
        <v/>
      </c>
      <c r="J19" s="42">
        <f>J6-(J10+J12+J14)-J16</f>
        <v/>
      </c>
      <c r="K19" s="42">
        <f>K6-(K10+K12+K14)-K16</f>
        <v/>
      </c>
      <c r="L19" s="42">
        <f>L6-(L10+L12+L14)-L16</f>
        <v/>
      </c>
      <c r="M19" s="42">
        <f>M6-(M10+M12+M14)-M16</f>
        <v/>
      </c>
      <c r="N19" s="42">
        <f>N6-(N10+N12+N14)-N16</f>
        <v/>
      </c>
      <c r="O19" s="42">
        <f>O6-(O10+O12+O14)-O16</f>
        <v/>
      </c>
      <c r="P19" s="42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3">
        <f>B19*(1-Valuation!$B$5)</f>
        <v/>
      </c>
      <c r="C23" s="33">
        <f>C19*(1-Valuation!$B$5)</f>
        <v/>
      </c>
      <c r="D23" s="33">
        <f>D19*(1-Valuation!$B$5)</f>
        <v/>
      </c>
      <c r="E23" s="33">
        <f>E19*(1-Valuation!$B$5)</f>
        <v/>
      </c>
      <c r="F23" s="33">
        <f>F19*(1-Valuation!$B$5)</f>
        <v/>
      </c>
      <c r="G23" s="33">
        <f>G19*(1-Valuation!$B$5)</f>
        <v/>
      </c>
      <c r="H23" s="33">
        <f>H19*(1-Valuation!$B$5)</f>
        <v/>
      </c>
      <c r="I23" s="33">
        <f>I19*(1-Valuation!$B$5)</f>
        <v/>
      </c>
      <c r="J23" s="33">
        <f>J19*(1-Valuation!$B$5)</f>
        <v/>
      </c>
      <c r="K23" s="33">
        <f>K19*(1-Valuation!$B$5)</f>
        <v/>
      </c>
      <c r="L23" s="33">
        <f>L19*(1-Valuation!$B$5)</f>
        <v/>
      </c>
      <c r="M23" s="33">
        <f>M19*(1-Valuation!$B$5)</f>
        <v/>
      </c>
      <c r="N23" s="33">
        <f>N19*(1-Valuation!$B$5)</f>
        <v/>
      </c>
      <c r="O23" s="33">
        <f>O19*(1-Valuation!$B$5)</f>
        <v/>
      </c>
      <c r="P23" s="33">
        <f>P19*(1-Valuation!$B$5)</f>
        <v/>
      </c>
    </row>
    <row r="24">
      <c r="A24" s="4" t="inlineStr">
        <is>
          <t>+ D&amp;A</t>
        </is>
      </c>
      <c r="B24" s="33">
        <f>SUM(Financials!I27:L27)</f>
        <v/>
      </c>
      <c r="C24" s="33">
        <f>SUM(Financials!M27:P27)</f>
        <v/>
      </c>
      <c r="D24" s="33">
        <f>SUM(Financials!Q27:T27)</f>
        <v/>
      </c>
      <c r="E24" s="33">
        <f>SUM(Financials!U27:X27)</f>
        <v/>
      </c>
      <c r="F24" s="33">
        <f>SUM(Financials!Y27:AB27)</f>
        <v/>
      </c>
      <c r="G24" s="41">
        <f>G6*0.0327</f>
        <v/>
      </c>
      <c r="H24" s="41">
        <f>H6*0.0327</f>
        <v/>
      </c>
      <c r="I24" s="41">
        <f>I6*0.0327</f>
        <v/>
      </c>
      <c r="J24" s="41">
        <f>J6*0.0327</f>
        <v/>
      </c>
      <c r="K24" s="41">
        <f>K6*0.0327</f>
        <v/>
      </c>
      <c r="L24" s="41">
        <f>L6*0.0327</f>
        <v/>
      </c>
      <c r="M24" s="41">
        <f>M6*0.0327</f>
        <v/>
      </c>
      <c r="N24" s="41">
        <f>N6*0.0327</f>
        <v/>
      </c>
      <c r="O24" s="41">
        <f>O6*0.0327</f>
        <v/>
      </c>
      <c r="P24" s="41">
        <f>P6*0.0327</f>
        <v/>
      </c>
    </row>
    <row r="25">
      <c r="A25" s="4" t="inlineStr">
        <is>
          <t>+ SBC (non-cash)</t>
        </is>
      </c>
      <c r="B25" s="33">
        <f>SUM(Financials!I28:L28)</f>
        <v/>
      </c>
      <c r="C25" s="33">
        <f>SUM(Financials!M28:P28)</f>
        <v/>
      </c>
      <c r="D25" s="33">
        <f>SUM(Financials!Q28:T28)</f>
        <v/>
      </c>
      <c r="E25" s="33">
        <f>SUM(Financials!U28:X28)</f>
        <v/>
      </c>
      <c r="F25" s="33">
        <f>SUM(Financials!Y28:AB28)</f>
        <v/>
      </c>
      <c r="G25" s="33">
        <f>G6*(Dashboard!$B$65+(Dashboard!$B$66-Dashboard!$B$65)*0/9)</f>
        <v/>
      </c>
      <c r="H25" s="33">
        <f>H6*(Dashboard!$B$65+(Dashboard!$B$66-Dashboard!$B$65)*1/9)</f>
        <v/>
      </c>
      <c r="I25" s="33">
        <f>I6*(Dashboard!$B$65+(Dashboard!$B$66-Dashboard!$B$65)*2/9)</f>
        <v/>
      </c>
      <c r="J25" s="33">
        <f>J6*(Dashboard!$B$65+(Dashboard!$B$66-Dashboard!$B$65)*3/9)</f>
        <v/>
      </c>
      <c r="K25" s="33">
        <f>K6*(Dashboard!$B$65+(Dashboard!$B$66-Dashboard!$B$65)*4/9)</f>
        <v/>
      </c>
      <c r="L25" s="33">
        <f>L6*(Dashboard!$B$65+(Dashboard!$B$66-Dashboard!$B$65)*5/9)</f>
        <v/>
      </c>
      <c r="M25" s="33">
        <f>M6*(Dashboard!$B$65+(Dashboard!$B$66-Dashboard!$B$65)*6/9)</f>
        <v/>
      </c>
      <c r="N25" s="33">
        <f>N6*(Dashboard!$B$65+(Dashboard!$B$66-Dashboard!$B$65)*7/9)</f>
        <v/>
      </c>
      <c r="O25" s="33">
        <f>O6*(Dashboard!$B$65+(Dashboard!$B$66-Dashboard!$B$65)*8/9)</f>
        <v/>
      </c>
      <c r="P25" s="33">
        <f>P6*(Dashboard!$B$65+(Dashboard!$B$66-Dashboard!$B$65)*9/9)</f>
        <v/>
      </c>
    </row>
    <row r="26">
      <c r="A26" s="4" t="inlineStr">
        <is>
          <t>- dNWC</t>
        </is>
      </c>
      <c r="G26" s="41">
        <f>(G6-F6)*0.0050</f>
        <v/>
      </c>
      <c r="H26" s="41">
        <f>(H6-G6)*0.0050</f>
        <v/>
      </c>
      <c r="I26" s="41">
        <f>(I6-H6)*0.0050</f>
        <v/>
      </c>
      <c r="J26" s="41">
        <f>(J6-I6)*0.0050</f>
        <v/>
      </c>
      <c r="K26" s="41">
        <f>(K6-J6)*0.0050</f>
        <v/>
      </c>
      <c r="L26" s="41">
        <f>(L6-K6)*0.0050</f>
        <v/>
      </c>
      <c r="M26" s="41">
        <f>(M6-L6)*0.0050</f>
        <v/>
      </c>
      <c r="N26" s="41">
        <f>(N6-M6)*0.0050</f>
        <v/>
      </c>
      <c r="O26" s="41">
        <f>(O6-N6)*0.0050</f>
        <v/>
      </c>
      <c r="P26" s="41">
        <f>(P6-O6)*0.0050</f>
        <v/>
      </c>
    </row>
    <row r="27">
      <c r="A27" s="4" t="inlineStr">
        <is>
          <t>- Capex</t>
        </is>
      </c>
      <c r="B27" s="33">
        <f>-SUM(Financials!I31:L31)</f>
        <v/>
      </c>
      <c r="C27" s="33">
        <f>-SUM(Financials!M31:P31)</f>
        <v/>
      </c>
      <c r="D27" s="33">
        <f>-SUM(Financials!Q31:T31)</f>
        <v/>
      </c>
      <c r="E27" s="33">
        <f>-SUM(Financials!U31:X31)</f>
        <v/>
      </c>
      <c r="F27" s="33">
        <f>-SUM(Financials!Y31:AB31)</f>
        <v/>
      </c>
      <c r="G27" s="41">
        <f>G24*G28</f>
        <v/>
      </c>
      <c r="H27" s="41">
        <f>H24*H28</f>
        <v/>
      </c>
      <c r="I27" s="41">
        <f>I24*I28</f>
        <v/>
      </c>
      <c r="J27" s="41">
        <f>J24*J28</f>
        <v/>
      </c>
      <c r="K27" s="41">
        <f>K24*K28</f>
        <v/>
      </c>
      <c r="L27" s="41">
        <f>L24*L28</f>
        <v/>
      </c>
      <c r="M27" s="41">
        <f>M24*M28</f>
        <v/>
      </c>
      <c r="N27" s="41">
        <f>N24*N28</f>
        <v/>
      </c>
      <c r="O27" s="41">
        <f>O24*O28</f>
        <v/>
      </c>
      <c r="P27" s="41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2">
        <f>B23+B24+B25-B26-B27</f>
        <v/>
      </c>
      <c r="C30" s="42">
        <f>C23+C24+C25-C26-C27</f>
        <v/>
      </c>
      <c r="D30" s="42">
        <f>D23+D24+D25-D26-D27</f>
        <v/>
      </c>
      <c r="E30" s="42">
        <f>E23+E24+E25-E26-E27</f>
        <v/>
      </c>
      <c r="F30" s="42">
        <f>F23+F24+F25-F26-F27</f>
        <v/>
      </c>
      <c r="G30" s="42">
        <f>G23+G24+G25-G26-G27</f>
        <v/>
      </c>
      <c r="H30" s="42">
        <f>H23+H24+H25-H26-H27</f>
        <v/>
      </c>
      <c r="I30" s="42">
        <f>I23+I24+I25-I26-I27</f>
        <v/>
      </c>
      <c r="J30" s="42">
        <f>J23+J24+J25-J26-J27</f>
        <v/>
      </c>
      <c r="K30" s="42">
        <f>K23+K24+K25-K26-K27</f>
        <v/>
      </c>
      <c r="L30" s="42">
        <f>L23+L24+L25-L26-L27</f>
        <v/>
      </c>
      <c r="M30" s="42">
        <f>M23+M24+M25-M26-M27</f>
        <v/>
      </c>
      <c r="N30" s="42">
        <f>N23+N24+N25-N26-N27</f>
        <v/>
      </c>
      <c r="O30" s="42">
        <f>O23+O24+O25-O26-O27</f>
        <v/>
      </c>
      <c r="P30" s="42">
        <f>P23+P24+P25-P26-P27</f>
        <v/>
      </c>
    </row>
    <row r="31">
      <c r="A31" s="3" t="inlineStr">
        <is>
          <t>Valuation FCF (NOPAT + D&amp;A - dNWC - Capex - after-tax SBC)</t>
        </is>
      </c>
      <c r="B31" s="43">
        <f>B30-B25-B25*(1-Valuation!$B$5)</f>
        <v/>
      </c>
      <c r="C31" s="43">
        <f>C30-C25-C25*(1-Valuation!$B$5)</f>
        <v/>
      </c>
      <c r="D31" s="43">
        <f>D30-D25-D25*(1-Valuation!$B$5)</f>
        <v/>
      </c>
      <c r="E31" s="43">
        <f>E30-E25-E25*(1-Valuation!$B$5)</f>
        <v/>
      </c>
      <c r="F31" s="43">
        <f>F30-F25-F25*(1-Valuation!$B$5)</f>
        <v/>
      </c>
      <c r="G31" s="43">
        <f>G30-G25-G25*(1-Valuation!$B$5)</f>
        <v/>
      </c>
      <c r="H31" s="43">
        <f>H30-H25-H25*(1-Valuation!$B$5)</f>
        <v/>
      </c>
      <c r="I31" s="43">
        <f>I30-I25-I25*(1-Valuation!$B$5)</f>
        <v/>
      </c>
      <c r="J31" s="43">
        <f>J30-J25-J25*(1-Valuation!$B$5)</f>
        <v/>
      </c>
      <c r="K31" s="43">
        <f>K30-K25-K25*(1-Valuation!$B$5)</f>
        <v/>
      </c>
      <c r="L31" s="43">
        <f>L30-L25-L25*(1-Valuation!$B$5)</f>
        <v/>
      </c>
      <c r="M31" s="43">
        <f>M30-M25-M25*(1-Valuation!$B$5)</f>
        <v/>
      </c>
      <c r="N31" s="43">
        <f>N30-N25-N25*(1-Valuation!$B$5)</f>
        <v/>
      </c>
      <c r="O31" s="43">
        <f>O30-O25-O25*(1-Valuation!$B$5)</f>
        <v/>
      </c>
      <c r="P31" s="43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3">
        <f>Financials!L25+Financials!L24-Financials!L19</f>
        <v/>
      </c>
      <c r="C34" s="33">
        <f>Financials!P25+Financials!P24-Financials!P19</f>
        <v/>
      </c>
      <c r="D34" s="33">
        <f>Financials!T25+Financials!T24-Financials!T19</f>
        <v/>
      </c>
      <c r="E34" s="33">
        <f>Financials!X25+Financials!X24-Financials!X19</f>
        <v/>
      </c>
      <c r="F34" s="33">
        <f>Financials!AB25+Financials!AB24-Financials!AB19</f>
        <v/>
      </c>
      <c r="G34" s="41">
        <f>F34+G27-G24+G26</f>
        <v/>
      </c>
      <c r="H34" s="41">
        <f>G34+H27-H24+H26</f>
        <v/>
      </c>
      <c r="I34" s="41">
        <f>H34+I27-I24+I26</f>
        <v/>
      </c>
      <c r="J34" s="41">
        <f>I34+J27-J24+J26</f>
        <v/>
      </c>
      <c r="K34" s="41">
        <f>J34+K27-K24+K26</f>
        <v/>
      </c>
      <c r="L34" s="41">
        <f>K34+L27-L24+L26</f>
        <v/>
      </c>
      <c r="M34" s="41">
        <f>L34+M27-M24+M26</f>
        <v/>
      </c>
      <c r="N34" s="41">
        <f>M34+N27-N24+N26</f>
        <v/>
      </c>
      <c r="O34" s="41">
        <f>N34+O27-O24+O26</f>
        <v/>
      </c>
      <c r="P34" s="41">
        <f>O34+P27-P24+P26</f>
        <v/>
      </c>
    </row>
    <row r="35">
      <c r="A35" s="4" t="inlineStr">
        <is>
          <t>Book equity (year-end)</t>
        </is>
      </c>
      <c r="B35" s="33">
        <f>Financials!L25</f>
        <v/>
      </c>
      <c r="C35" s="33">
        <f>Financials!P25</f>
        <v/>
      </c>
      <c r="D35" s="33">
        <f>Financials!T25</f>
        <v/>
      </c>
      <c r="E35" s="33">
        <f>Financials!X25</f>
        <v/>
      </c>
      <c r="F35" s="33">
        <f>Financials!AB25</f>
        <v/>
      </c>
      <c r="G35" s="41">
        <f>F35+G23</f>
        <v/>
      </c>
      <c r="H35" s="41">
        <f>G35+H23</f>
        <v/>
      </c>
      <c r="I35" s="41">
        <f>H35+I23</f>
        <v/>
      </c>
      <c r="J35" s="41">
        <f>I35+J23</f>
        <v/>
      </c>
      <c r="K35" s="41">
        <f>J35+K23</f>
        <v/>
      </c>
      <c r="L35" s="41">
        <f>K35+L23</f>
        <v/>
      </c>
      <c r="M35" s="41">
        <f>L35+M23</f>
        <v/>
      </c>
      <c r="N35" s="41">
        <f>M35+N23</f>
        <v/>
      </c>
      <c r="O35" s="41">
        <f>N35+O23</f>
        <v/>
      </c>
      <c r="P35" s="41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IFERROR(SUM(Financials!M15:P15)/B35,"")</f>
        <v/>
      </c>
      <c r="D37" s="11">
        <f>IFERROR(SUM(Financials!Q15:T15)/C35,"")</f>
        <v/>
      </c>
      <c r="E37" s="11">
        <f>IFERROR(SUM(Financials!U15:X15)/D35,"")</f>
        <v/>
      </c>
      <c r="F37" s="11">
        <f>IFERROR(SUM(Financials!Y15:AB15)/E35,"")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4">
        <f>IFERROR((C6-B6)/(C34-B34),"")</f>
        <v/>
      </c>
      <c r="D41" s="44">
        <f>IFERROR((D6-C6)/(D34-C34),"")</f>
        <v/>
      </c>
      <c r="E41" s="44">
        <f>IFERROR((E6-D6)/(E34-D34),"")</f>
        <v/>
      </c>
      <c r="F41" s="44">
        <f>IFERROR((F6-E6)/(F34-E34),"")</f>
        <v/>
      </c>
      <c r="G41" s="44">
        <f>IFERROR((G6-F6)/(G34-F34),"")</f>
        <v/>
      </c>
      <c r="H41" s="44">
        <f>IFERROR((H6-G6)/(H34-G34),"")</f>
        <v/>
      </c>
      <c r="I41" s="44">
        <f>IFERROR((I6-H6)/(I34-H34),"")</f>
        <v/>
      </c>
      <c r="J41" s="44">
        <f>IFERROR((J6-I6)/(J34-I34),"")</f>
        <v/>
      </c>
      <c r="K41" s="44">
        <f>IFERROR((K6-J6)/(K34-J34),"")</f>
        <v/>
      </c>
      <c r="L41" s="44">
        <f>IFERROR((L6-K6)/(L34-K34),"")</f>
        <v/>
      </c>
      <c r="M41" s="44">
        <f>IFERROR((M6-L6)/(M34-L34),"")</f>
        <v/>
      </c>
      <c r="N41" s="44">
        <f>IFERROR((N6-M6)/(N34-M34),"")</f>
        <v/>
      </c>
      <c r="O41" s="44">
        <f>IFERROR((O6-N6)/(O34-N34),"")</f>
        <v/>
      </c>
      <c r="P41" s="44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Q2 2019</t>
        </is>
      </c>
      <c r="C1" s="45" t="inlineStr">
        <is>
          <t>Q3 2019</t>
        </is>
      </c>
      <c r="D1" s="45" t="inlineStr">
        <is>
          <t>Q4 2019</t>
        </is>
      </c>
      <c r="E1" s="45" t="inlineStr">
        <is>
          <t>Q1 2020</t>
        </is>
      </c>
      <c r="F1" s="45" t="inlineStr">
        <is>
          <t>Q2 2020</t>
        </is>
      </c>
      <c r="G1" s="45" t="inlineStr">
        <is>
          <t>Q3 2020</t>
        </is>
      </c>
      <c r="H1" s="45" t="inlineStr">
        <is>
          <t>Q4 2020</t>
        </is>
      </c>
      <c r="I1" s="45" t="inlineStr">
        <is>
          <t>Q1 2021</t>
        </is>
      </c>
      <c r="J1" s="45" t="inlineStr">
        <is>
          <t>Q2 2021</t>
        </is>
      </c>
      <c r="K1" s="45" t="inlineStr">
        <is>
          <t>Q3 2021</t>
        </is>
      </c>
      <c r="L1" s="45" t="inlineStr">
        <is>
          <t>Q4 2021</t>
        </is>
      </c>
      <c r="M1" s="45" t="inlineStr">
        <is>
          <t>Q1 2022</t>
        </is>
      </c>
      <c r="N1" s="45" t="inlineStr">
        <is>
          <t>Q2 2022</t>
        </is>
      </c>
      <c r="O1" s="45" t="inlineStr">
        <is>
          <t>Q3 2022</t>
        </is>
      </c>
      <c r="P1" s="45" t="inlineStr">
        <is>
          <t>Q4 2022</t>
        </is>
      </c>
      <c r="Q1" s="45" t="inlineStr">
        <is>
          <t>Q1 2023</t>
        </is>
      </c>
      <c r="R1" s="45" t="inlineStr">
        <is>
          <t>Q2 2023</t>
        </is>
      </c>
      <c r="S1" s="45" t="inlineStr">
        <is>
          <t>Q3 2023</t>
        </is>
      </c>
      <c r="T1" s="45" t="inlineStr">
        <is>
          <t>Q4 2023</t>
        </is>
      </c>
      <c r="U1" s="45" t="inlineStr">
        <is>
          <t>Q1 2024</t>
        </is>
      </c>
      <c r="V1" s="45" t="inlineStr">
        <is>
          <t>Q2 2024</t>
        </is>
      </c>
      <c r="W1" s="45" t="inlineStr">
        <is>
          <t>Q3 2024</t>
        </is>
      </c>
      <c r="X1" s="45" t="inlineStr">
        <is>
          <t>Q4 2024</t>
        </is>
      </c>
      <c r="Y1" s="45" t="inlineStr">
        <is>
          <t>Q1 2025</t>
        </is>
      </c>
      <c r="Z1" s="45" t="inlineStr">
        <is>
          <t>Q2 2025</t>
        </is>
      </c>
      <c r="AA1" s="45" t="inlineStr">
        <is>
          <t>Q3 2025</t>
        </is>
      </c>
      <c r="AB1" s="45" t="inlineStr">
        <is>
          <t>Q4 2025</t>
        </is>
      </c>
      <c r="AC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13.8</v>
      </c>
      <c r="C3" s="18" t="n">
        <v>18.9</v>
      </c>
      <c r="D3" s="18" t="n">
        <v>23.6</v>
      </c>
      <c r="E3" s="18" t="n">
        <v>26.2</v>
      </c>
      <c r="F3" s="18" t="n">
        <v>29.9</v>
      </c>
      <c r="G3" s="18" t="n">
        <v>17.8</v>
      </c>
      <c r="H3" s="18" t="n">
        <v>20.7</v>
      </c>
      <c r="I3" s="18" t="n">
        <v>23.5</v>
      </c>
      <c r="J3" s="18" t="n">
        <v>28.2</v>
      </c>
      <c r="K3" s="18" t="n">
        <v>35.7</v>
      </c>
      <c r="L3" s="18" t="n">
        <v>41</v>
      </c>
      <c r="M3" s="18" t="n">
        <v>44.3</v>
      </c>
      <c r="N3" s="18" t="n">
        <v>50</v>
      </c>
      <c r="O3" s="18" t="n">
        <v>74</v>
      </c>
      <c r="P3" s="18" t="n">
        <v>88.40000000000001</v>
      </c>
      <c r="Q3" s="18" t="n">
        <v>95.2</v>
      </c>
      <c r="R3" s="18" t="n">
        <v>104.6</v>
      </c>
      <c r="S3" s="18" t="n">
        <v>114.5</v>
      </c>
      <c r="T3" s="18" t="n">
        <v>115.5</v>
      </c>
      <c r="U3" s="18" t="n">
        <v>119.1</v>
      </c>
      <c r="V3" s="18" t="n">
        <v>122</v>
      </c>
      <c r="W3" s="18" t="n">
        <v>136.6</v>
      </c>
      <c r="X3" s="18" t="n">
        <v>148.8</v>
      </c>
      <c r="Y3" s="18" t="n">
        <v>151.2</v>
      </c>
      <c r="Z3" s="18" t="n">
        <v>164.1</v>
      </c>
      <c r="AA3" s="18" t="n">
        <v>194.5</v>
      </c>
      <c r="AB3" s="18" t="n">
        <v>228.1</v>
      </c>
      <c r="AC3" s="18" t="n">
        <v>234.4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12.1</v>
      </c>
      <c r="C5" s="18" t="n">
        <v>14.9</v>
      </c>
      <c r="D5" s="18" t="n">
        <v>18.6</v>
      </c>
      <c r="E5" s="18" t="n">
        <v>21.5</v>
      </c>
      <c r="F5" s="18" t="n">
        <v>24.5</v>
      </c>
      <c r="G5" s="18" t="n">
        <v>10.2</v>
      </c>
      <c r="H5" s="18" t="n">
        <v>12.9</v>
      </c>
      <c r="I5" s="18" t="n">
        <v>21.3</v>
      </c>
      <c r="J5" s="18" t="n">
        <v>18.2</v>
      </c>
      <c r="K5" s="18" t="n">
        <v>23.8</v>
      </c>
      <c r="L5" s="18" t="n">
        <v>23.2</v>
      </c>
      <c r="M5" s="18" t="n">
        <v>33.5</v>
      </c>
      <c r="N5" s="18" t="n">
        <v>37.8</v>
      </c>
      <c r="O5" s="18" t="n">
        <v>65.40000000000001</v>
      </c>
      <c r="P5" s="18" t="n">
        <v>57.6</v>
      </c>
      <c r="Q5" s="18" t="n">
        <v>77.2</v>
      </c>
      <c r="R5" s="18" t="n">
        <v>90.90000000000001</v>
      </c>
      <c r="S5" s="18" t="n">
        <v>91</v>
      </c>
      <c r="T5" s="18" t="n">
        <v>58.7</v>
      </c>
      <c r="U5" s="18" t="n">
        <v>83.2</v>
      </c>
      <c r="V5" s="18" t="n">
        <v>89.3</v>
      </c>
      <c r="W5" s="18" t="n">
        <v>97.7</v>
      </c>
      <c r="X5" s="18" t="n">
        <v>53.1</v>
      </c>
      <c r="Y5" s="18" t="n">
        <v>111.5</v>
      </c>
      <c r="Z5" s="18" t="n">
        <v>98.90000000000001</v>
      </c>
      <c r="AA5" s="18" t="n">
        <v>113.7</v>
      </c>
      <c r="AB5" s="18" t="n">
        <v>84.5</v>
      </c>
      <c r="AC5" s="18" t="n">
        <v>133.3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22.6</v>
      </c>
      <c r="C9" s="18" t="n">
        <v>32.3</v>
      </c>
      <c r="D9" s="18" t="n">
        <v>33.9</v>
      </c>
      <c r="E9" s="18" t="n">
        <v>37.4</v>
      </c>
      <c r="F9" s="18" t="n">
        <v>21.9</v>
      </c>
      <c r="G9" s="18" t="n">
        <v>32.8</v>
      </c>
      <c r="H9" s="18" t="n">
        <v>34.6</v>
      </c>
      <c r="I9" s="18" t="n">
        <v>43.2</v>
      </c>
      <c r="J9" s="18" t="n">
        <v>48.9</v>
      </c>
      <c r="K9" s="18" t="n">
        <v>61.8</v>
      </c>
      <c r="L9" s="18" t="n">
        <v>60.3</v>
      </c>
      <c r="M9" s="18" t="n">
        <v>66.5</v>
      </c>
      <c r="N9" s="18" t="n">
        <v>59.4</v>
      </c>
      <c r="O9" s="18" t="n">
        <v>76.3</v>
      </c>
      <c r="P9" s="18" t="n">
        <v>58.4</v>
      </c>
      <c r="Q9" s="18" t="n">
        <v>60.9</v>
      </c>
      <c r="R9" s="18" t="n">
        <v>55.5</v>
      </c>
      <c r="S9" s="18" t="n">
        <v>61.3</v>
      </c>
      <c r="T9" s="18" t="n">
        <v>53.5</v>
      </c>
      <c r="U9" s="18" t="n">
        <v>60.2</v>
      </c>
      <c r="V9" s="18" t="n">
        <v>66.59999999999999</v>
      </c>
      <c r="W9" s="18" t="n">
        <v>82.8</v>
      </c>
      <c r="X9" s="18" t="n">
        <v>81.2</v>
      </c>
      <c r="Y9" s="18" t="n">
        <v>79.09999999999999</v>
      </c>
      <c r="Z9" s="18" t="n">
        <v>85.40000000000001</v>
      </c>
      <c r="AA9" s="18" t="n">
        <v>92.40000000000001</v>
      </c>
      <c r="AB9" s="18" t="n">
        <v>107.3</v>
      </c>
      <c r="AC9" s="18" t="n">
        <v>108.3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1.7</v>
      </c>
      <c r="C11" s="18" t="n">
        <v>4</v>
      </c>
      <c r="D11" s="18" t="n">
        <v>5</v>
      </c>
      <c r="E11" s="18" t="n">
        <v>4.7</v>
      </c>
      <c r="F11" s="18" t="n">
        <v>5.4</v>
      </c>
      <c r="G11" s="18" t="n">
        <v>7.6</v>
      </c>
      <c r="H11" s="18" t="n">
        <v>7.8</v>
      </c>
      <c r="I11" s="18" t="n">
        <v>2.2</v>
      </c>
      <c r="J11" s="18" t="n">
        <v>10</v>
      </c>
      <c r="K11" s="18" t="n">
        <v>11.9</v>
      </c>
      <c r="L11" s="18" t="n">
        <v>17.8</v>
      </c>
      <c r="M11" s="18" t="n">
        <v>10.8</v>
      </c>
      <c r="N11" s="18" t="n">
        <v>12.2</v>
      </c>
      <c r="O11" s="18" t="n">
        <v>8.6</v>
      </c>
      <c r="P11" s="18" t="n">
        <v>30.8</v>
      </c>
      <c r="Q11" s="18" t="n">
        <v>18</v>
      </c>
      <c r="R11" s="18" t="n">
        <v>13.7</v>
      </c>
      <c r="S11" s="18" t="n">
        <v>23.5</v>
      </c>
      <c r="T11" s="18" t="n">
        <v>56.8</v>
      </c>
      <c r="U11" s="18" t="n">
        <v>35.9</v>
      </c>
      <c r="V11" s="18" t="n">
        <v>32.7</v>
      </c>
      <c r="W11" s="18" t="n">
        <v>38.9</v>
      </c>
      <c r="X11" s="18" t="n">
        <v>95.7</v>
      </c>
      <c r="Y11" s="18" t="n">
        <v>39.7</v>
      </c>
      <c r="Z11" s="18" t="n">
        <v>65.2</v>
      </c>
      <c r="AA11" s="18" t="n">
        <v>80.8</v>
      </c>
      <c r="AB11" s="18" t="n">
        <v>143.6</v>
      </c>
      <c r="AC11" s="18" t="n">
        <v>101.1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-23</v>
      </c>
      <c r="C13" s="18" t="n">
        <v>-31.1</v>
      </c>
      <c r="D13" s="18" t="n">
        <v>-32.3</v>
      </c>
      <c r="E13" s="18" t="n">
        <v>-36.2</v>
      </c>
      <c r="F13" s="18" t="n">
        <v>-20.7</v>
      </c>
      <c r="G13" s="18" t="n">
        <v>-30.5</v>
      </c>
      <c r="H13" s="18" t="n">
        <v>-33.2</v>
      </c>
      <c r="I13" s="18" t="n">
        <v>-48.1</v>
      </c>
      <c r="J13" s="18" t="n">
        <v>-52.9</v>
      </c>
      <c r="K13" s="18" t="n">
        <v>-64.2</v>
      </c>
      <c r="L13" s="18" t="n">
        <v>-68.40000000000001</v>
      </c>
      <c r="M13" s="18" t="n">
        <v>-72.59999999999999</v>
      </c>
      <c r="N13" s="18" t="n">
        <v>-65</v>
      </c>
      <c r="O13" s="18" t="n">
        <v>-89.09999999999999</v>
      </c>
      <c r="P13" s="18" t="n">
        <v>-68.09999999999999</v>
      </c>
      <c r="Q13" s="18" t="n">
        <v>-64.7</v>
      </c>
      <c r="R13" s="18" t="n">
        <v>-65.90000000000001</v>
      </c>
      <c r="S13" s="18" t="n">
        <v>-59.6</v>
      </c>
      <c r="T13" s="18" t="n">
        <v>-39.6</v>
      </c>
      <c r="U13" s="18" t="n">
        <v>-45.2</v>
      </c>
      <c r="V13" s="18" t="n">
        <v>-55.1</v>
      </c>
      <c r="W13" s="18" t="n">
        <v>-65.8</v>
      </c>
      <c r="X13" s="18" t="n">
        <v>-37.8</v>
      </c>
      <c r="Y13" s="18" t="n">
        <v>-61.4</v>
      </c>
      <c r="Z13" s="18" t="n">
        <v>-42.6</v>
      </c>
      <c r="AA13" s="18" t="n">
        <v>-36.3</v>
      </c>
      <c r="AB13" s="18" t="n">
        <v>-20.6</v>
      </c>
      <c r="AC13" s="18" t="n">
        <v>-34.6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-23.1</v>
      </c>
      <c r="C15" s="18" t="n">
        <v>-31.1</v>
      </c>
      <c r="D15" s="18" t="n">
        <v>-32.7</v>
      </c>
      <c r="E15" s="18" t="n">
        <v>-36.5</v>
      </c>
      <c r="F15" s="18" t="n">
        <v>-21</v>
      </c>
      <c r="G15" s="18" t="n">
        <v>-30.9</v>
      </c>
      <c r="H15" s="18" t="n">
        <v>-33.9</v>
      </c>
      <c r="I15" s="18" t="n">
        <v>-49</v>
      </c>
      <c r="J15" s="18" t="n">
        <v>-55.6</v>
      </c>
      <c r="K15" s="18" t="n">
        <v>-66.40000000000001</v>
      </c>
      <c r="L15" s="18" t="n">
        <v>-70.3</v>
      </c>
      <c r="M15" s="18" t="n">
        <v>-74.8</v>
      </c>
      <c r="N15" s="18" t="n">
        <v>-67.90000000000001</v>
      </c>
      <c r="O15" s="18" t="n">
        <v>-91.40000000000001</v>
      </c>
      <c r="P15" s="18" t="n">
        <v>-63.7</v>
      </c>
      <c r="Q15" s="18" t="n">
        <v>-65.8</v>
      </c>
      <c r="R15" s="18" t="n">
        <v>-67.2</v>
      </c>
      <c r="S15" s="18" t="n">
        <v>-61.5</v>
      </c>
      <c r="T15" s="18" t="n">
        <v>-42.4</v>
      </c>
      <c r="U15" s="18" t="n">
        <v>-47.3</v>
      </c>
      <c r="V15" s="18" t="n">
        <v>-57.2</v>
      </c>
      <c r="W15" s="18" t="n">
        <v>-67.7</v>
      </c>
      <c r="X15" s="18" t="n">
        <v>-30</v>
      </c>
      <c r="Y15" s="18" t="n">
        <v>-62.4</v>
      </c>
      <c r="Z15" s="18" t="n">
        <v>-43.9</v>
      </c>
      <c r="AA15" s="18" t="n">
        <v>-37.5</v>
      </c>
      <c r="AB15" s="18" t="n">
        <v>-21.7</v>
      </c>
      <c r="AC15" s="18" t="n">
        <v>-35.8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43.612686</v>
      </c>
      <c r="C17" s="18" t="n">
        <v>43.612686</v>
      </c>
      <c r="D17" s="18" t="n">
        <v>43.612686</v>
      </c>
      <c r="E17" s="18" t="n">
        <v>54.896246</v>
      </c>
      <c r="F17" s="18" t="n">
        <v>54.896246</v>
      </c>
      <c r="G17" s="18" t="n">
        <v>53.997315</v>
      </c>
      <c r="H17" s="18" t="n">
        <v>56.645412</v>
      </c>
      <c r="I17" s="18" t="n">
        <v>60.218652</v>
      </c>
      <c r="J17" s="18" t="n">
        <v>61.444958</v>
      </c>
      <c r="K17" s="18" t="n">
        <v>61.580145</v>
      </c>
      <c r="L17" s="18" t="n">
        <v>61.698568</v>
      </c>
      <c r="M17" s="18" t="n">
        <v>61.698568</v>
      </c>
      <c r="N17" s="18" t="n">
        <v>61.816225</v>
      </c>
      <c r="O17" s="18" t="n">
        <v>66.8771</v>
      </c>
      <c r="P17" s="18" t="n">
        <v>64.92152400000001</v>
      </c>
      <c r="Q17" s="18" t="n">
        <v>69.334103</v>
      </c>
      <c r="R17" s="18" t="n">
        <v>69.53473099999999</v>
      </c>
      <c r="S17" s="18" t="n">
        <v>69.753576</v>
      </c>
      <c r="T17" s="18" t="n">
        <v>70.00484</v>
      </c>
      <c r="U17" s="18" t="n">
        <v>70.284486</v>
      </c>
      <c r="V17" s="18" t="n">
        <v>70.721227</v>
      </c>
      <c r="W17" s="18" t="n">
        <v>71.13807</v>
      </c>
      <c r="X17" s="18" t="n">
        <v>71.023115</v>
      </c>
      <c r="Y17" s="18" t="n">
        <v>72.921318</v>
      </c>
      <c r="Z17" s="18" t="n">
        <v>73.433379</v>
      </c>
      <c r="AA17" s="18" t="n">
        <v>74.194138</v>
      </c>
      <c r="AB17" s="18" t="n">
        <v>71.818181</v>
      </c>
      <c r="AC17" s="18" t="n">
        <v>76.307698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Cash &amp; ST Investments</t>
        </is>
      </c>
      <c r="B19" s="18" t="n">
        <v>226.7</v>
      </c>
      <c r="D19" s="18" t="n">
        <v>330.6</v>
      </c>
      <c r="E19" s="18" t="n">
        <v>312.3</v>
      </c>
      <c r="F19" s="18" t="n">
        <v>295.1</v>
      </c>
      <c r="G19" s="18" t="n">
        <v>597.1</v>
      </c>
      <c r="H19" s="18" t="n">
        <v>577.4</v>
      </c>
      <c r="I19" s="18" t="n">
        <v>1180.9</v>
      </c>
      <c r="J19" s="18" t="n">
        <v>1163.6</v>
      </c>
      <c r="K19" s="18" t="n">
        <v>1124.5</v>
      </c>
      <c r="L19" s="18" t="n">
        <v>1072.4</v>
      </c>
      <c r="M19" s="18" t="n">
        <v>1012.7</v>
      </c>
      <c r="N19" s="18" t="n">
        <v>959.6</v>
      </c>
      <c r="O19" s="18" t="n">
        <v>1057.9</v>
      </c>
      <c r="P19" s="18" t="n">
        <v>1032.6</v>
      </c>
      <c r="Q19" s="18" t="n">
        <v>988</v>
      </c>
      <c r="R19" s="18" t="n">
        <v>560.3</v>
      </c>
      <c r="S19" s="18" t="n">
        <v>558</v>
      </c>
      <c r="T19" s="18" t="n">
        <v>937.7</v>
      </c>
      <c r="U19" s="18" t="n">
        <v>920.6</v>
      </c>
      <c r="V19" s="18" t="n">
        <v>924.4</v>
      </c>
      <c r="W19" s="18" t="n">
        <v>585.3</v>
      </c>
      <c r="X19" s="18" t="n">
        <v>1010.9</v>
      </c>
      <c r="Y19" s="18" t="n">
        <v>639.8</v>
      </c>
      <c r="Z19" s="18" t="n">
        <v>670.3</v>
      </c>
      <c r="AA19" s="18" t="n">
        <v>586.8</v>
      </c>
      <c r="AB19" s="18" t="n">
        <v>1107.9</v>
      </c>
      <c r="AC19" s="18" t="n">
        <v>577.8</v>
      </c>
    </row>
    <row r="20">
      <c r="A20" s="4" t="inlineStr">
        <is>
          <t>Total Current Assets</t>
        </is>
      </c>
      <c r="B20" s="18" t="n">
        <v>226.7</v>
      </c>
      <c r="D20" s="18" t="n">
        <v>0</v>
      </c>
      <c r="E20" s="18" t="n">
        <v>0</v>
      </c>
      <c r="F20" s="18" t="n">
        <v>0</v>
      </c>
      <c r="G20" s="18" t="n">
        <v>0</v>
      </c>
      <c r="H20" s="18" t="n">
        <v>0</v>
      </c>
      <c r="I20" s="18" t="n">
        <v>1273.2</v>
      </c>
      <c r="J20" s="18" t="n">
        <v>0</v>
      </c>
      <c r="K20" s="18" t="n">
        <v>0</v>
      </c>
      <c r="L20" s="18" t="n">
        <v>0</v>
      </c>
      <c r="M20" s="18" t="n">
        <v>0</v>
      </c>
      <c r="N20" s="18" t="n">
        <v>0</v>
      </c>
      <c r="O20" s="18" t="n">
        <v>0</v>
      </c>
      <c r="P20" s="18" t="n">
        <v>0</v>
      </c>
      <c r="Q20" s="18" t="n">
        <v>0</v>
      </c>
      <c r="R20" s="18" t="n">
        <v>0</v>
      </c>
      <c r="S20" s="18" t="n">
        <v>0</v>
      </c>
      <c r="T20" s="18" t="n">
        <v>0</v>
      </c>
      <c r="U20" s="18" t="n">
        <v>0</v>
      </c>
      <c r="V20" s="18" t="n">
        <v>0</v>
      </c>
      <c r="W20" s="18" t="n">
        <v>1335.6</v>
      </c>
      <c r="X20" s="18" t="n">
        <v>1762.3</v>
      </c>
      <c r="Y20" s="18" t="n">
        <v>1413.9</v>
      </c>
      <c r="Z20" s="18" t="n">
        <v>1484.9</v>
      </c>
      <c r="AA20" s="18" t="n">
        <v>750.8</v>
      </c>
      <c r="AB20" s="18" t="n">
        <v>799.1</v>
      </c>
      <c r="AC20" s="18" t="n">
        <v>1308.5</v>
      </c>
    </row>
    <row r="21">
      <c r="A21" s="4" t="inlineStr">
        <is>
          <t>PP&amp;E (net)</t>
        </is>
      </c>
      <c r="B21" s="18" t="n">
        <v>2.3</v>
      </c>
      <c r="D21" s="18" t="n">
        <v>3.1</v>
      </c>
      <c r="E21" s="18" t="n">
        <v>3.4</v>
      </c>
      <c r="F21" s="18" t="n">
        <v>4.3</v>
      </c>
      <c r="G21" s="18" t="n">
        <v>5.1</v>
      </c>
      <c r="H21" s="18" t="n">
        <v>5.7</v>
      </c>
      <c r="I21" s="18" t="n">
        <v>6.9</v>
      </c>
      <c r="J21" s="18" t="n">
        <v>8.800000000000001</v>
      </c>
      <c r="K21" s="18" t="n">
        <v>10.8</v>
      </c>
      <c r="L21" s="18" t="n">
        <v>33.6</v>
      </c>
      <c r="M21" s="18" t="n">
        <v>13</v>
      </c>
      <c r="N21" s="18" t="n">
        <v>13.2</v>
      </c>
      <c r="O21" s="18" t="n">
        <v>19.1</v>
      </c>
      <c r="P21" s="18" t="n">
        <v>46</v>
      </c>
      <c r="Q21" s="18" t="n">
        <v>19.8</v>
      </c>
      <c r="R21" s="18" t="n">
        <v>19</v>
      </c>
      <c r="S21" s="18" t="n">
        <v>17.4</v>
      </c>
      <c r="T21" s="18" t="n">
        <v>34.8</v>
      </c>
      <c r="U21" s="18" t="n">
        <v>17.2</v>
      </c>
      <c r="V21" s="18" t="n">
        <v>16.3</v>
      </c>
      <c r="W21" s="18" t="n">
        <v>16</v>
      </c>
      <c r="X21" s="18" t="n">
        <v>31.3</v>
      </c>
      <c r="Y21" s="18" t="n">
        <v>16.2</v>
      </c>
      <c r="Z21" s="18" t="n">
        <v>16</v>
      </c>
      <c r="AA21" s="18" t="n">
        <v>15.3</v>
      </c>
      <c r="AB21" s="18" t="n">
        <v>15.8</v>
      </c>
      <c r="AC21" s="18" t="n">
        <v>16.7</v>
      </c>
    </row>
    <row r="22">
      <c r="A22" s="4" t="inlineStr">
        <is>
          <t>Total Assets</t>
        </is>
      </c>
      <c r="B22" s="18" t="n">
        <v>311</v>
      </c>
      <c r="D22" s="18" t="n">
        <v>414.3</v>
      </c>
      <c r="E22" s="18" t="n">
        <v>401.2</v>
      </c>
      <c r="F22" s="18" t="n">
        <v>399.9</v>
      </c>
      <c r="G22" s="18" t="n">
        <v>831.5</v>
      </c>
      <c r="H22" s="18" t="n">
        <v>828.7</v>
      </c>
      <c r="I22" s="18" t="n">
        <v>1477.5</v>
      </c>
      <c r="J22" s="18" t="n">
        <v>1487.3</v>
      </c>
      <c r="K22" s="18" t="n">
        <v>1521.7</v>
      </c>
      <c r="L22" s="18" t="n">
        <v>1510.5</v>
      </c>
      <c r="M22" s="18" t="n">
        <v>1495.4</v>
      </c>
      <c r="N22" s="18" t="n">
        <v>1460.9</v>
      </c>
      <c r="O22" s="18" t="n">
        <v>1712.9</v>
      </c>
      <c r="P22" s="18" t="n">
        <v>1690.7</v>
      </c>
      <c r="Q22" s="18" t="n">
        <v>1641.2</v>
      </c>
      <c r="R22" s="18" t="n">
        <v>1613.1</v>
      </c>
      <c r="S22" s="18" t="n">
        <v>1647.6</v>
      </c>
      <c r="T22" s="18" t="n">
        <v>1633.3</v>
      </c>
      <c r="U22" s="18" t="n">
        <v>1646.4</v>
      </c>
      <c r="V22" s="18" t="n">
        <v>1713.9</v>
      </c>
      <c r="W22" s="18" t="n">
        <v>1823</v>
      </c>
      <c r="X22" s="18" t="n">
        <v>1849.1</v>
      </c>
      <c r="Y22" s="18" t="n">
        <v>1856.6</v>
      </c>
      <c r="Z22" s="18" t="n">
        <v>1934.6</v>
      </c>
      <c r="AA22" s="18" t="n">
        <v>1918.8</v>
      </c>
      <c r="AB22" s="18" t="n">
        <v>1925.7</v>
      </c>
      <c r="AC22" s="18" t="n">
        <v>1957.9</v>
      </c>
    </row>
    <row r="23">
      <c r="A23" s="4" t="inlineStr">
        <is>
          <t>Total Current Liabilities</t>
        </is>
      </c>
      <c r="B23" s="18" t="n">
        <v>11.3</v>
      </c>
      <c r="D23" s="18" t="n">
        <v>0</v>
      </c>
      <c r="E23" s="18" t="n">
        <v>0</v>
      </c>
      <c r="F23" s="18" t="n">
        <v>0</v>
      </c>
      <c r="G23" s="18" t="n">
        <v>0</v>
      </c>
      <c r="H23" s="18" t="n">
        <v>0</v>
      </c>
      <c r="I23" s="18" t="n">
        <v>16.3</v>
      </c>
      <c r="J23" s="18" t="n">
        <v>0</v>
      </c>
      <c r="K23" s="18" t="n">
        <v>0</v>
      </c>
      <c r="L23" s="18" t="n">
        <v>0</v>
      </c>
      <c r="M23" s="18" t="n">
        <v>0</v>
      </c>
      <c r="N23" s="18" t="n">
        <v>0</v>
      </c>
      <c r="O23" s="18" t="n">
        <v>0</v>
      </c>
      <c r="P23" s="18" t="n">
        <v>0</v>
      </c>
      <c r="Q23" s="18" t="n">
        <v>0</v>
      </c>
      <c r="R23" s="18" t="n">
        <v>0</v>
      </c>
      <c r="S23" s="18" t="n">
        <v>0</v>
      </c>
      <c r="T23" s="18" t="n">
        <v>0</v>
      </c>
      <c r="U23" s="18" t="n">
        <v>0</v>
      </c>
      <c r="V23" s="18" t="n">
        <v>0</v>
      </c>
      <c r="W23" s="18" t="n">
        <v>1141.2</v>
      </c>
      <c r="X23" s="18" t="n">
        <v>1148.5</v>
      </c>
      <c r="Y23" s="18" t="n">
        <v>1187.4</v>
      </c>
      <c r="Z23" s="18" t="n">
        <v>1263.8</v>
      </c>
      <c r="AA23" s="18" t="n">
        <v>1250.9</v>
      </c>
      <c r="AB23" s="18" t="n">
        <v>1210</v>
      </c>
      <c r="AC23" s="18" t="n">
        <v>1239.5</v>
      </c>
    </row>
    <row r="24">
      <c r="A24" s="4" t="inlineStr">
        <is>
          <t>Long-term Debt</t>
        </is>
      </c>
      <c r="B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</v>
      </c>
      <c r="L24" s="18" t="n">
        <v>0</v>
      </c>
      <c r="M24" s="18" t="n">
        <v>0</v>
      </c>
      <c r="N24" s="18" t="n">
        <v>0</v>
      </c>
      <c r="O24" s="18" t="n">
        <v>0</v>
      </c>
      <c r="P24" s="18" t="n">
        <v>0</v>
      </c>
      <c r="Q24" s="18" t="n">
        <v>0</v>
      </c>
      <c r="R24" s="18" t="n">
        <v>0</v>
      </c>
      <c r="S24" s="18" t="n">
        <v>7.7</v>
      </c>
      <c r="T24" s="18" t="n">
        <v>14.9</v>
      </c>
      <c r="U24" s="18" t="n">
        <v>28.3</v>
      </c>
      <c r="V24" s="18" t="n">
        <v>43.9</v>
      </c>
      <c r="W24" s="18" t="n">
        <v>67.40000000000001</v>
      </c>
      <c r="X24" s="18" t="n">
        <v>83.40000000000001</v>
      </c>
      <c r="Y24" s="18" t="n">
        <v>101.9</v>
      </c>
      <c r="Z24" s="18" t="n">
        <v>123.5</v>
      </c>
      <c r="AA24" s="18" t="n">
        <v>139</v>
      </c>
      <c r="AB24" s="18" t="n">
        <v>158.1</v>
      </c>
      <c r="AC24" s="18" t="n">
        <v>179.6</v>
      </c>
    </row>
    <row r="25">
      <c r="A25" s="4" t="inlineStr">
        <is>
          <t>Total Equity</t>
        </is>
      </c>
      <c r="B25" s="18" t="n">
        <v>232.5</v>
      </c>
      <c r="D25" s="18" t="n">
        <v>-182.5</v>
      </c>
      <c r="E25" s="18" t="n">
        <v>276.9</v>
      </c>
      <c r="F25" s="18" t="n">
        <v>-221.6</v>
      </c>
      <c r="G25" s="18" t="n">
        <v>569</v>
      </c>
      <c r="H25" s="18" t="n">
        <v>541</v>
      </c>
      <c r="I25" s="18" t="n">
        <v>1143.7</v>
      </c>
      <c r="J25" s="18" t="n">
        <v>1101.6</v>
      </c>
      <c r="K25" s="18" t="n">
        <v>1048</v>
      </c>
      <c r="L25" s="18" t="n">
        <v>988.2</v>
      </c>
      <c r="M25" s="18" t="n">
        <v>912.7</v>
      </c>
      <c r="N25" s="18" t="n">
        <v>849.1</v>
      </c>
      <c r="O25" s="18" t="n">
        <v>906.8</v>
      </c>
      <c r="P25" s="18" t="n">
        <v>866.8</v>
      </c>
      <c r="Q25" s="18" t="n">
        <v>821.8</v>
      </c>
      <c r="R25" s="18" t="n">
        <v>771</v>
      </c>
      <c r="S25" s="18" t="n">
        <v>726.9</v>
      </c>
      <c r="T25" s="18" t="n">
        <v>708.9</v>
      </c>
      <c r="U25" s="18" t="n">
        <v>676.4</v>
      </c>
      <c r="V25" s="18" t="n">
        <v>635.2</v>
      </c>
      <c r="W25" s="18" t="n">
        <v>593</v>
      </c>
      <c r="X25" s="18" t="n">
        <v>593.4</v>
      </c>
      <c r="Y25" s="18" t="n">
        <v>545.5</v>
      </c>
      <c r="Z25" s="18" t="n">
        <v>527.1</v>
      </c>
      <c r="AA25" s="18" t="n">
        <v>516.2</v>
      </c>
      <c r="AB25" s="18" t="n">
        <v>533.6</v>
      </c>
      <c r="AC25" s="18" t="n">
        <v>518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A27" s="4" t="inlineStr">
        <is>
          <t>D&amp;A</t>
        </is>
      </c>
      <c r="B27" s="18" t="n">
        <v>0.1</v>
      </c>
      <c r="C27" s="18" t="n">
        <v>0.2</v>
      </c>
      <c r="D27" s="18" t="n">
        <v>0.3</v>
      </c>
      <c r="E27" s="18" t="n">
        <v>0.3</v>
      </c>
      <c r="F27" s="18" t="n">
        <v>0.4</v>
      </c>
      <c r="G27" s="18" t="n">
        <v>0.4</v>
      </c>
      <c r="H27" s="18" t="n">
        <v>0.6</v>
      </c>
      <c r="I27" s="18" t="n">
        <v>0.9</v>
      </c>
      <c r="J27" s="18" t="n">
        <v>0.8</v>
      </c>
      <c r="K27" s="18" t="n">
        <v>0.8</v>
      </c>
      <c r="L27" s="18" t="n">
        <v>1.2</v>
      </c>
      <c r="M27" s="18" t="n">
        <v>1.5</v>
      </c>
      <c r="N27" s="18" t="n">
        <v>1.6</v>
      </c>
      <c r="O27" s="18" t="n">
        <v>3.7</v>
      </c>
      <c r="P27" s="18" t="n">
        <v>5.4</v>
      </c>
      <c r="Q27" s="18" t="n">
        <v>5.1</v>
      </c>
      <c r="R27" s="18" t="n">
        <v>5.1</v>
      </c>
      <c r="S27" s="18" t="n">
        <v>5</v>
      </c>
      <c r="T27" s="18" t="n">
        <v>4.8</v>
      </c>
      <c r="U27" s="18" t="n">
        <v>5</v>
      </c>
      <c r="V27" s="18" t="n">
        <v>5.2</v>
      </c>
      <c r="W27" s="18" t="n">
        <v>5.1</v>
      </c>
      <c r="X27" s="18" t="n">
        <v>4.7</v>
      </c>
      <c r="Y27" s="18" t="n">
        <v>4.5</v>
      </c>
      <c r="Z27" s="18" t="n">
        <v>4.7</v>
      </c>
      <c r="AA27" s="18" t="n">
        <v>3.4</v>
      </c>
      <c r="AB27" s="18" t="n">
        <v>11.5</v>
      </c>
      <c r="AC27" s="18" t="n">
        <v>2.7</v>
      </c>
    </row>
    <row r="28">
      <c r="A28" s="4" t="inlineStr">
        <is>
          <t>Stock-based Compensation</t>
        </is>
      </c>
      <c r="B28" s="18" t="n">
        <v>0.4</v>
      </c>
      <c r="C28" s="18" t="n">
        <v>1.5</v>
      </c>
      <c r="D28" s="18" t="n">
        <v>2</v>
      </c>
      <c r="E28" s="18" t="n">
        <v>2.2</v>
      </c>
      <c r="F28" s="18" t="n">
        <v>2.4</v>
      </c>
      <c r="G28" s="18" t="n">
        <v>2.7</v>
      </c>
      <c r="H28" s="18" t="n">
        <v>3.3</v>
      </c>
      <c r="I28" s="18" t="n">
        <v>6.1</v>
      </c>
      <c r="J28" s="18" t="n">
        <v>11.9</v>
      </c>
      <c r="K28" s="18" t="n">
        <v>12.7</v>
      </c>
      <c r="L28" s="18" t="n">
        <v>13.4</v>
      </c>
      <c r="M28" s="18" t="n">
        <v>14.1</v>
      </c>
      <c r="N28" s="18" t="n">
        <v>13.9</v>
      </c>
      <c r="O28" s="18" t="n">
        <v>15.6</v>
      </c>
      <c r="P28" s="18" t="n">
        <v>15.7</v>
      </c>
      <c r="Q28" s="18" t="n">
        <v>15.4</v>
      </c>
      <c r="R28" s="18" t="n">
        <v>14.8</v>
      </c>
      <c r="S28" s="18" t="n">
        <v>15.4</v>
      </c>
      <c r="T28" s="18" t="n">
        <v>14.3</v>
      </c>
      <c r="U28" s="18" t="n">
        <v>14.9</v>
      </c>
      <c r="V28" s="18" t="n">
        <v>15.4</v>
      </c>
      <c r="W28" s="18" t="n">
        <v>16.9</v>
      </c>
      <c r="X28" s="18" t="n">
        <v>17.3</v>
      </c>
      <c r="Y28" s="18" t="n">
        <v>10.3</v>
      </c>
      <c r="Z28" s="18" t="n">
        <v>15.4</v>
      </c>
      <c r="AA28" s="18" t="n">
        <v>17.1</v>
      </c>
      <c r="AB28" s="18" t="n">
        <v>18.5</v>
      </c>
      <c r="AC28" s="18" t="n">
        <v>0</v>
      </c>
    </row>
    <row r="29">
      <c r="A29" s="4" t="inlineStr">
        <is>
          <t>Change in Working Capital</t>
        </is>
      </c>
      <c r="B29" s="18" t="n">
        <v>5.5</v>
      </c>
      <c r="C29" s="18" t="n">
        <v>6.7</v>
      </c>
      <c r="D29" s="18" t="n">
        <v>12</v>
      </c>
      <c r="E29" s="18" t="n">
        <v>2.2</v>
      </c>
      <c r="F29" s="18" t="n">
        <v>1.9</v>
      </c>
      <c r="G29" s="18" t="n">
        <v>-8.300000000000001</v>
      </c>
      <c r="H29" s="18" t="n">
        <v>8.4</v>
      </c>
      <c r="I29" s="18" t="n">
        <v>0.8</v>
      </c>
      <c r="J29" s="18" t="n">
        <v>25.3</v>
      </c>
      <c r="K29" s="18" t="n">
        <v>14.7</v>
      </c>
      <c r="L29" s="18" t="n">
        <v>6.1</v>
      </c>
      <c r="M29" s="18" t="n">
        <v>15.2</v>
      </c>
      <c r="N29" s="18" t="n">
        <v>8.5</v>
      </c>
      <c r="O29" s="18" t="n">
        <v>13.3</v>
      </c>
      <c r="P29" s="18" t="n">
        <v>10.9</v>
      </c>
      <c r="Q29" s="18" t="n">
        <v>-3.6</v>
      </c>
      <c r="R29" s="18" t="n">
        <v>-4.4</v>
      </c>
      <c r="S29" s="18" t="n">
        <v>30.3</v>
      </c>
      <c r="T29" s="18" t="n">
        <v>6.4</v>
      </c>
      <c r="U29" s="18" t="n">
        <v>-4.3</v>
      </c>
      <c r="V29" s="18" t="n">
        <v>24</v>
      </c>
      <c r="W29" s="18" t="n">
        <v>-8.1</v>
      </c>
      <c r="X29" s="18" t="n">
        <v>20.3</v>
      </c>
      <c r="Y29" s="18" t="n">
        <v>-2.6</v>
      </c>
      <c r="Z29" s="18" t="n">
        <v>26.4</v>
      </c>
      <c r="AA29" s="18" t="n">
        <v>20</v>
      </c>
      <c r="AB29" s="18" t="n">
        <v>14.7</v>
      </c>
      <c r="AC29" s="18" t="n">
        <v>6.7</v>
      </c>
    </row>
    <row r="30">
      <c r="A30" s="4" t="inlineStr">
        <is>
          <t>Operating Cash Flow</t>
        </is>
      </c>
      <c r="B30" s="18" t="n">
        <v>-17.3</v>
      </c>
      <c r="C30" s="18" t="n">
        <v>-22.7</v>
      </c>
      <c r="D30" s="18" t="n">
        <v>-17.7</v>
      </c>
      <c r="E30" s="18" t="n">
        <v>-19.4</v>
      </c>
      <c r="F30" s="18" t="n">
        <v>-15.9</v>
      </c>
      <c r="G30" s="18" t="n">
        <v>-35.7</v>
      </c>
      <c r="H30" s="18" t="n">
        <v>-20.7</v>
      </c>
      <c r="I30" s="18" t="n">
        <v>-40.3</v>
      </c>
      <c r="J30" s="18" t="n">
        <v>-16.2</v>
      </c>
      <c r="K30" s="18" t="n">
        <v>-38.2</v>
      </c>
      <c r="L30" s="18" t="n">
        <v>-49.9</v>
      </c>
      <c r="M30" s="18" t="n">
        <v>-39.5</v>
      </c>
      <c r="N30" s="18" t="n">
        <v>-40.2</v>
      </c>
      <c r="O30" s="18" t="n">
        <v>-54.7</v>
      </c>
      <c r="P30" s="18" t="n">
        <v>-28.6</v>
      </c>
      <c r="Q30" s="18" t="n">
        <v>-46.4</v>
      </c>
      <c r="R30" s="18" t="n">
        <v>-50.3</v>
      </c>
      <c r="S30" s="18" t="n">
        <v>-6.3</v>
      </c>
      <c r="T30" s="18" t="n">
        <v>-16.1</v>
      </c>
      <c r="U30" s="18" t="n">
        <v>-29.8</v>
      </c>
      <c r="V30" s="18" t="n">
        <v>-11.7</v>
      </c>
      <c r="W30" s="18" t="n">
        <v>16.3</v>
      </c>
      <c r="X30" s="18" t="n">
        <v>13.8</v>
      </c>
      <c r="Y30" s="18" t="n">
        <v>-47.2</v>
      </c>
      <c r="Z30" s="18" t="n">
        <v>5.5</v>
      </c>
      <c r="AA30" s="18" t="n">
        <v>4.5</v>
      </c>
      <c r="AB30" s="18" t="n">
        <v>20.7</v>
      </c>
      <c r="AC30" s="18" t="n">
        <v>-0.6</v>
      </c>
    </row>
    <row r="31">
      <c r="A31" s="4" t="inlineStr">
        <is>
          <t>Capex</t>
        </is>
      </c>
      <c r="B31" s="18" t="n">
        <v>-0.8</v>
      </c>
      <c r="C31" s="18" t="n">
        <v>-1.6</v>
      </c>
      <c r="D31" s="18" t="n">
        <v>-0.3</v>
      </c>
      <c r="E31" s="18" t="n">
        <v>-0.7</v>
      </c>
      <c r="F31" s="18" t="n">
        <v>-1.2</v>
      </c>
      <c r="G31" s="18" t="n">
        <v>-1.2</v>
      </c>
      <c r="H31" s="18" t="n">
        <v>-1.3</v>
      </c>
      <c r="I31" s="18" t="n">
        <v>-2</v>
      </c>
      <c r="J31" s="18" t="n">
        <v>-2.7</v>
      </c>
      <c r="K31" s="18" t="n">
        <v>-2.7</v>
      </c>
      <c r="L31" s="18" t="n">
        <v>-2</v>
      </c>
      <c r="M31" s="18" t="n">
        <v>-2.8</v>
      </c>
      <c r="N31" s="18" t="n">
        <v>-1.8</v>
      </c>
      <c r="O31" s="18" t="n">
        <v>-2.9</v>
      </c>
      <c r="P31" s="18" t="n">
        <v>-2.6</v>
      </c>
      <c r="Q31" s="18" t="n">
        <v>-2.7</v>
      </c>
      <c r="R31" s="18" t="n">
        <v>-1.9</v>
      </c>
      <c r="S31" s="18" t="n">
        <v>-2.2</v>
      </c>
      <c r="T31" s="18" t="n">
        <v>-2.4</v>
      </c>
      <c r="U31" s="18" t="n">
        <v>-2.5</v>
      </c>
      <c r="V31" s="18" t="n">
        <v>-1.5</v>
      </c>
      <c r="W31" s="18" t="n">
        <v>-2.2</v>
      </c>
      <c r="X31" s="18" t="n">
        <v>-3.2</v>
      </c>
      <c r="Y31" s="18" t="n">
        <v>-2.3</v>
      </c>
      <c r="Z31" s="18" t="n">
        <v>-2.1</v>
      </c>
      <c r="AA31" s="18" t="n">
        <v>-1.9</v>
      </c>
      <c r="AB31" s="18" t="n">
        <v>-3.1</v>
      </c>
      <c r="AC31" s="18" t="n">
        <v>-3.499999</v>
      </c>
    </row>
    <row r="32">
      <c r="A32" s="4" t="inlineStr">
        <is>
          <t>Free Cash Flow</t>
        </is>
      </c>
      <c r="B32" s="18" t="n">
        <v>-18.1</v>
      </c>
      <c r="C32" s="18" t="n">
        <v>-24.3</v>
      </c>
      <c r="D32" s="18" t="n">
        <v>-18</v>
      </c>
      <c r="E32" s="18" t="n">
        <v>-20.1</v>
      </c>
      <c r="F32" s="18" t="n">
        <v>-17.1</v>
      </c>
      <c r="G32" s="18" t="n">
        <v>-36.9</v>
      </c>
      <c r="H32" s="18" t="n">
        <v>-22</v>
      </c>
      <c r="I32" s="18" t="n">
        <v>-42.3</v>
      </c>
      <c r="J32" s="18" t="n">
        <v>-18.9</v>
      </c>
      <c r="K32" s="18" t="n">
        <v>-40.9</v>
      </c>
      <c r="L32" s="18" t="n">
        <v>-51.9</v>
      </c>
      <c r="M32" s="18" t="n">
        <v>-42.3</v>
      </c>
      <c r="N32" s="18" t="n">
        <v>-42</v>
      </c>
      <c r="O32" s="18" t="n">
        <v>-57.6</v>
      </c>
      <c r="P32" s="18" t="n">
        <v>-31.2</v>
      </c>
      <c r="Q32" s="18" t="n">
        <v>-49.1</v>
      </c>
      <c r="R32" s="18" t="n">
        <v>-52.2</v>
      </c>
      <c r="S32" s="18" t="n">
        <v>-8.5</v>
      </c>
      <c r="T32" s="18" t="n">
        <v>-18.5</v>
      </c>
      <c r="U32" s="18" t="n">
        <v>-32.3</v>
      </c>
      <c r="V32" s="18" t="n">
        <v>-13.2</v>
      </c>
      <c r="W32" s="18" t="n">
        <v>14.1</v>
      </c>
      <c r="X32" s="18" t="n">
        <v>10.6</v>
      </c>
      <c r="Y32" s="18" t="n">
        <v>-49.5</v>
      </c>
      <c r="Z32" s="18" t="n">
        <v>3.4</v>
      </c>
      <c r="AA32" s="18" t="n">
        <v>2.6</v>
      </c>
      <c r="AB32" s="18" t="n">
        <v>17.6</v>
      </c>
      <c r="AC32" s="18" t="n">
        <v>-4.099999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</row>
    <row r="4">
      <c r="A4" s="3" t="inlineStr">
        <is>
          <t>Revenue — consensus</t>
        </is>
      </c>
      <c r="B4" s="18" t="n">
        <v>1203.558475</v>
      </c>
      <c r="C4" s="18" t="n">
        <v>1613.056261</v>
      </c>
      <c r="D4" s="18" t="n">
        <v>2106.299863</v>
      </c>
      <c r="E4" s="18" t="n">
        <v>2607</v>
      </c>
    </row>
    <row r="5">
      <c r="A5" s="4" t="inlineStr">
        <is>
          <t xml:space="preserve">  model</t>
        </is>
      </c>
      <c r="B5" s="33">
        <f>Model!G6</f>
        <v/>
      </c>
      <c r="C5" s="33">
        <f>Model!H6</f>
        <v/>
      </c>
      <c r="D5" s="33">
        <f>Model!I6</f>
        <v/>
      </c>
      <c r="E5" s="33">
        <f>Model!J6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</row>
    <row r="8">
      <c r="A8" s="3" t="inlineStr">
        <is>
          <t>EBITDA* — consensus</t>
        </is>
      </c>
      <c r="B8" s="18" t="n">
        <v>-730.529663</v>
      </c>
      <c r="C8" s="18" t="n">
        <v>-979.0844990000001</v>
      </c>
      <c r="D8" s="18" t="n">
        <v>-1278.470935</v>
      </c>
      <c r="E8" s="18" t="n">
        <v>-1582.3833</v>
      </c>
    </row>
    <row r="9">
      <c r="A9" s="4" t="inlineStr">
        <is>
          <t xml:space="preserve">  model</t>
        </is>
      </c>
      <c r="B9" s="33">
        <f>Model!G19+Model!G24</f>
        <v/>
      </c>
      <c r="C9" s="33">
        <f>Model!H19+Model!H24</f>
        <v/>
      </c>
      <c r="D9" s="33">
        <f>Model!I19+Model!I24</f>
        <v/>
      </c>
      <c r="E9" s="33">
        <f>Model!J19+Model!J24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</row>
    <row r="12">
      <c r="A12" s="3" t="inlineStr">
        <is>
          <t>EBIT* — consensus</t>
        </is>
      </c>
      <c r="B12" s="18" t="n">
        <v>-755.833029</v>
      </c>
      <c r="C12" s="18" t="n">
        <v>-1012.997063</v>
      </c>
      <c r="D12" s="18" t="n">
        <v>-1322.753351</v>
      </c>
      <c r="E12" s="18" t="n">
        <v>-1637.192333</v>
      </c>
    </row>
    <row r="13">
      <c r="A13" s="4" t="inlineStr">
        <is>
          <t xml:space="preserve">  model</t>
        </is>
      </c>
      <c r="B13" s="33">
        <f>Model!G19</f>
        <v/>
      </c>
      <c r="C13" s="33">
        <f>Model!H19</f>
        <v/>
      </c>
      <c r="D13" s="33">
        <f>Model!I19</f>
        <v/>
      </c>
      <c r="E13" s="33">
        <f>Model!J19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</row>
    <row r="16">
      <c r="A16" s="3" t="inlineStr">
        <is>
          <t>SG&amp;A — consensus</t>
        </is>
      </c>
      <c r="B16" s="18" t="n">
        <v>1027.172466</v>
      </c>
      <c r="C16" s="18" t="n">
        <v>1376.656815</v>
      </c>
      <c r="D16" s="18" t="n">
        <v>1797.613717</v>
      </c>
      <c r="E16" s="18" t="n">
        <v>2224.934371</v>
      </c>
    </row>
    <row r="17">
      <c r="A17" s="4" t="inlineStr">
        <is>
          <t xml:space="preserve">  model</t>
        </is>
      </c>
      <c r="B17" s="33">
        <f>Model!G14</f>
        <v/>
      </c>
      <c r="C17" s="33">
        <f>Model!H14</f>
        <v/>
      </c>
      <c r="D17" s="33">
        <f>Model!I14</f>
        <v/>
      </c>
      <c r="E17" s="33">
        <f>Model!J14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</row>
    <row r="20">
      <c r="A20" s="3" t="inlineStr">
        <is>
          <t>Net income (NOPAT) — consensus</t>
        </is>
      </c>
      <c r="B20" s="18" t="n">
        <v>-133.141529</v>
      </c>
      <c r="C20" s="18" t="n">
        <v>-64.68676000000001</v>
      </c>
      <c r="D20" s="18" t="n">
        <v>41.03599</v>
      </c>
      <c r="E20" s="18" t="n">
        <v>214.018182</v>
      </c>
    </row>
    <row r="21">
      <c r="A21" s="4" t="inlineStr">
        <is>
          <t xml:space="preserve">  model</t>
        </is>
      </c>
      <c r="B21" s="33">
        <f>Model!G23</f>
        <v/>
      </c>
      <c r="C21" s="33">
        <f>Model!H23</f>
        <v/>
      </c>
      <c r="D21" s="33">
        <f>Model!I23</f>
        <v/>
      </c>
      <c r="E21" s="33">
        <f>Model!J23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</row>
    <row r="24">
      <c r="A24" s="3" t="inlineStr">
        <is>
          <t>EPS — consensus</t>
        </is>
      </c>
      <c r="B24" s="47" t="n">
        <v>-1.73381</v>
      </c>
      <c r="C24" s="47" t="n">
        <v>-0.82256</v>
      </c>
      <c r="D24" s="47" t="n">
        <v>0.4722</v>
      </c>
      <c r="E24" s="47" t="n">
        <v>2.98</v>
      </c>
    </row>
    <row r="25">
      <c r="A25" s="4" t="inlineStr">
        <is>
          <t xml:space="preserve">  model</t>
        </is>
      </c>
      <c r="B25" s="8">
        <f>Model!G23/Financials!AC17</f>
        <v/>
      </c>
      <c r="C25" s="8">
        <f>Model!H23/Financials!AC17</f>
        <v/>
      </c>
      <c r="D25" s="8">
        <f>Model!I23/Financials!AC17</f>
        <v/>
      </c>
      <c r="E25" s="8">
        <f>Model!J23/Financials!AC17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Lemonade,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Model!G31</f>
        <v/>
      </c>
      <c r="D12" s="33">
        <f>Model!H31</f>
        <v/>
      </c>
      <c r="E12" s="33">
        <f>Model!I31</f>
        <v/>
      </c>
      <c r="F12" s="33">
        <f>Model!J31</f>
        <v/>
      </c>
      <c r="G12" s="33">
        <f>Model!K31</f>
        <v/>
      </c>
      <c r="H12" s="33">
        <f>Model!L31</f>
        <v/>
      </c>
      <c r="I12" s="33">
        <f>Model!M31</f>
        <v/>
      </c>
      <c r="J12" s="33">
        <f>Model!N31</f>
        <v/>
      </c>
      <c r="K12" s="33">
        <f>Model!O31</f>
        <v/>
      </c>
      <c r="L12" s="33">
        <f>Model!P31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Model!P6</f>
        <v/>
      </c>
    </row>
    <row r="21">
      <c r="A21" s="4" t="inlineStr">
        <is>
          <t>Terminal EBIT</t>
        </is>
      </c>
      <c r="B21" s="33">
        <f>Model!P19</f>
        <v/>
      </c>
    </row>
    <row r="22">
      <c r="A22" s="4" t="inlineStr">
        <is>
          <t>Terminal EBITDA (SBC-burdened)</t>
        </is>
      </c>
      <c r="B22" s="33">
        <f>Model!P19+Model!P24-Model!P25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Financials!AC19</f>
        <v/>
      </c>
    </row>
    <row r="33">
      <c r="A33" s="4" t="inlineStr">
        <is>
          <t>- Long-term debt</t>
        </is>
      </c>
      <c r="B33" s="33">
        <f>-Financials!AC24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0.1083172681245544</v>
      </c>
      <c r="C4" s="51" t="n">
        <v>0.1133172681245544</v>
      </c>
      <c r="D4" s="51" t="n">
        <v>0.1183172681245544</v>
      </c>
      <c r="E4" s="51" t="n">
        <v>0.1233172681245544</v>
      </c>
      <c r="F4" s="51" t="n">
        <v>0.1283172681245544</v>
      </c>
      <c r="G4" s="51" t="n">
        <v>0.1333172681245544</v>
      </c>
      <c r="H4" s="51" t="n">
        <v>0.1383172681245544</v>
      </c>
    </row>
    <row r="5">
      <c r="A5" s="52" t="n">
        <v>12.8</v>
      </c>
      <c r="B5" s="53" t="n">
        <v>35.44536080825692</v>
      </c>
      <c r="C5" s="53" t="n">
        <v>34.06907419804948</v>
      </c>
      <c r="D5" s="53" t="n">
        <v>32.75786537019523</v>
      </c>
      <c r="E5" s="53" t="n">
        <v>31.50838394223291</v>
      </c>
      <c r="F5" s="53" t="n">
        <v>30.31746640409791</v>
      </c>
      <c r="G5" s="53" t="n">
        <v>29.18212490565475</v>
      </c>
      <c r="H5" s="53" t="n">
        <v>28.09953676352092</v>
      </c>
    </row>
    <row r="6">
      <c r="A6" s="52" t="n">
        <v>13.8</v>
      </c>
      <c r="B6" s="53" t="n">
        <v>37.55477074951471</v>
      </c>
      <c r="C6" s="53" t="n">
        <v>36.08564063186453</v>
      </c>
      <c r="D6" s="53" t="n">
        <v>34.68606358688557</v>
      </c>
      <c r="E6" s="53" t="n">
        <v>33.35245493102554</v>
      </c>
      <c r="F6" s="53" t="n">
        <v>32.08143008413045</v>
      </c>
      <c r="G6" s="53" t="n">
        <v>30.86979255583905</v>
      </c>
      <c r="H6" s="53" t="n">
        <v>29.71452270301828</v>
      </c>
    </row>
    <row r="7">
      <c r="A7" s="52" t="n">
        <v>14.8</v>
      </c>
      <c r="B7" s="53" t="n">
        <v>39.66418069077248</v>
      </c>
      <c r="C7" s="53" t="n">
        <v>38.10220706567956</v>
      </c>
      <c r="D7" s="53" t="n">
        <v>36.61426180357591</v>
      </c>
      <c r="E7" s="53" t="n">
        <v>35.19652591981817</v>
      </c>
      <c r="F7" s="53" t="n">
        <v>33.84539376416297</v>
      </c>
      <c r="G7" s="53" t="n">
        <v>32.55746020602334</v>
      </c>
      <c r="H7" s="53" t="n">
        <v>31.32950864251563</v>
      </c>
    </row>
    <row r="8">
      <c r="A8" s="52" t="n">
        <v>15.8</v>
      </c>
      <c r="B8" s="53" t="n">
        <v>41.77359063203025</v>
      </c>
      <c r="C8" s="53" t="n">
        <v>40.11877349949459</v>
      </c>
      <c r="D8" s="53" t="n">
        <v>38.54246002026624</v>
      </c>
      <c r="E8" s="54" t="n">
        <v>37.04059690861081</v>
      </c>
      <c r="F8" s="53" t="n">
        <v>35.60935744419549</v>
      </c>
      <c r="G8" s="53" t="n">
        <v>34.24512785620765</v>
      </c>
      <c r="H8" s="53" t="n">
        <v>32.94449458201299</v>
      </c>
    </row>
    <row r="9">
      <c r="A9" s="52" t="n">
        <v>16.8</v>
      </c>
      <c r="B9" s="53" t="n">
        <v>43.88300057328802</v>
      </c>
      <c r="C9" s="53" t="n">
        <v>42.13533993330963</v>
      </c>
      <c r="D9" s="53" t="n">
        <v>40.47065823695658</v>
      </c>
      <c r="E9" s="53" t="n">
        <v>38.88466789740345</v>
      </c>
      <c r="F9" s="53" t="n">
        <v>37.37332112422801</v>
      </c>
      <c r="G9" s="53" t="n">
        <v>35.93279550639193</v>
      </c>
      <c r="H9" s="53" t="n">
        <v>34.55948052151034</v>
      </c>
    </row>
    <row r="10">
      <c r="A10" s="52" t="n">
        <v>17.8</v>
      </c>
      <c r="B10" s="53" t="n">
        <v>45.99241051454581</v>
      </c>
      <c r="C10" s="53" t="n">
        <v>44.15190636712466</v>
      </c>
      <c r="D10" s="53" t="n">
        <v>42.39885645364693</v>
      </c>
      <c r="E10" s="53" t="n">
        <v>40.72873888619608</v>
      </c>
      <c r="F10" s="53" t="n">
        <v>39.13728480426053</v>
      </c>
      <c r="G10" s="53" t="n">
        <v>37.62046315657623</v>
      </c>
      <c r="H10" s="53" t="n">
        <v>36.1744664610077</v>
      </c>
    </row>
    <row r="11">
      <c r="A11" s="52" t="n">
        <v>18.8</v>
      </c>
      <c r="B11" s="53" t="n">
        <v>48.10182045580358</v>
      </c>
      <c r="C11" s="53" t="n">
        <v>46.16847280093969</v>
      </c>
      <c r="D11" s="53" t="n">
        <v>44.32705467033727</v>
      </c>
      <c r="E11" s="53" t="n">
        <v>42.57280987498871</v>
      </c>
      <c r="F11" s="53" t="n">
        <v>40.90124848429305</v>
      </c>
      <c r="G11" s="53" t="n">
        <v>39.30813080676054</v>
      </c>
      <c r="H11" s="53" t="n">
        <v>37.78945240050506</v>
      </c>
    </row>
    <row r="13">
      <c r="A13" s="3" t="inlineStr">
        <is>
          <t>Current price</t>
        </is>
      </c>
      <c r="B13" s="53" t="n">
        <v>71.51999664306641</v>
      </c>
    </row>
    <row r="14">
      <c r="A14" s="3" t="inlineStr">
        <is>
          <t>Base WACC / multiple</t>
        </is>
      </c>
      <c r="B14" s="55" t="n">
        <v>0.1233172681245544</v>
      </c>
      <c r="C14" s="56" t="n">
        <v>15.8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0.03266025206667571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0.2630472774353464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0.7537842868167569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Financials!AC19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Financials!AC24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2026-07-07T01:09:01Z</dcterms:created>
  <dcterms:modified xmlns:dcterms="http://purl.org/dc/terms/" xmlns:xsi="http://www.w3.org/2001/XMLSchema-instance" xsi:type="dcterms:W3CDTF">2026-07-07T01:09:01Z</dcterms:modified>
</cp:coreProperties>
</file>