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Novo Nordisk A/S (NVO)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2026-06-03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2026-06-03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Novo's 2026 is a price-driven trough, with consensus revenue dipping to ~296B DKK before GLP-1 volume reacceleration drives high-single-digit growth through 2030 as oral semaglutide and CagriSema broaden the obesity franchise. We fade near-term ~8% growth toward a mature ~2.8% terminal rate, hold operating margins near the recent 41-42% band before normalizing to ~39% as GLP-1 pricing pressure and Lilly competition erode the premium, and let the extraordinary 2025 capacity buildout (29% of revenue) fade toward maintenance levels. The result values NVO as a durable, high-margin cash compounder rather than a hyper-growth biotech.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Novo Nordisk A/S (NVO)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0.08</v>
      </c>
      <c r="C20" s="15" t="n">
        <v>0.028</v>
      </c>
      <c r="D20" s="16" t="n">
        <v>0.08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0.42</v>
      </c>
      <c r="D29" s="16" t="n">
        <v>0.42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0.21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53285.45140368</v>
      </c>
      <c r="D34" s="18" t="n">
        <v>53285.45140368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0.348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</t>
        </is>
      </c>
    </row>
    <row r="45">
      <c r="A45" s="4" t="inlineStr">
        <is>
          <t>Exit multiple</t>
        </is>
      </c>
      <c r="B45" s="19" t="n">
        <v>14</v>
      </c>
    </row>
    <row r="46">
      <c r="A46" s="4" t="inlineStr">
        <is>
          <t>Terminal growth (g)</t>
        </is>
      </c>
      <c r="B46" s="15" t="n">
        <v>0.028</v>
      </c>
    </row>
    <row r="48">
      <c r="A48" s="4" t="inlineStr">
        <is>
          <t>Current price</t>
        </is>
      </c>
      <c r="B48" s="23" t="n">
        <v>42.61000061035156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SUM(Financials!I3:L3)</f>
        <v/>
      </c>
      <c r="C4" s="28">
        <f>SUM(Financials!M3:P3)</f>
        <v/>
      </c>
      <c r="D4" s="28">
        <f>SUM(Financials!Q3:T3)</f>
        <v/>
      </c>
      <c r="E4" s="28">
        <f>SUM(Financials!U3:X3)</f>
        <v/>
      </c>
      <c r="F4" s="28">
        <f>SUM(Financials!Y3:AB3)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  <c r="N7" s="27">
        <f>IFERROR(N6/M6-1,"")</f>
        <v/>
      </c>
      <c r="O7" s="27">
        <f>IFERROR(O6/N6-1,"")</f>
        <v/>
      </c>
      <c r="P7" s="2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SUM(Financials!I5:L5)</f>
        <v/>
      </c>
      <c r="C10" s="28">
        <f>SUM(Financials!M5:P5)</f>
        <v/>
      </c>
      <c r="D10" s="28">
        <f>SUM(Financials!Q5:T5)</f>
        <v/>
      </c>
      <c r="E10" s="28">
        <f>SUM(Financials!U5:X5)</f>
        <v/>
      </c>
      <c r="F10" s="28">
        <f>SUM(Financials!Y5:AB5)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27">
        <f>IFERROR(D10/D6,"")</f>
        <v/>
      </c>
      <c r="E11" s="27">
        <f>IFERROR(E10/E6,"")</f>
        <v/>
      </c>
      <c r="F11" s="27">
        <f>IFERROR(F10/F6,"")</f>
        <v/>
      </c>
      <c r="G11" s="15" t="n">
        <v>0.1902130303108741</v>
      </c>
      <c r="H11" s="15" t="n">
        <v>0.1902130303108741</v>
      </c>
      <c r="I11" s="15" t="n">
        <v>0.1902130303108741</v>
      </c>
      <c r="J11" s="15" t="n">
        <v>0.1902130303108741</v>
      </c>
      <c r="K11" s="15" t="n">
        <v>0.1902130303108741</v>
      </c>
      <c r="L11" s="15" t="n">
        <v>0.1902130303108741</v>
      </c>
      <c r="M11" s="15" t="n">
        <v>0.1902130303108741</v>
      </c>
      <c r="N11" s="15" t="n">
        <v>0.1902130303108741</v>
      </c>
      <c r="O11" s="15" t="n">
        <v>0.1902130303108741</v>
      </c>
      <c r="P11" s="15" t="n">
        <v>0.1902130303108741</v>
      </c>
    </row>
    <row r="12">
      <c r="A12" s="4" t="inlineStr">
        <is>
          <t>R&amp;D / Technology</t>
        </is>
      </c>
      <c r="B12" s="28">
        <f>SUM(Financials!I7:L7)</f>
        <v/>
      </c>
      <c r="C12" s="28">
        <f>SUM(Financials!M7:P7)</f>
        <v/>
      </c>
      <c r="D12" s="28">
        <f>SUM(Financials!Q7:T7)</f>
        <v/>
      </c>
      <c r="E12" s="28">
        <f>SUM(Financials!U7:X7)</f>
        <v/>
      </c>
      <c r="F12" s="28">
        <f>SUM(Financials!Y7:AB7)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27">
        <f>IFERROR(D12/D6,"")</f>
        <v/>
      </c>
      <c r="E13" s="27">
        <f>IFERROR(E12/E6,"")</f>
        <v/>
      </c>
      <c r="F13" s="27">
        <f>IFERROR(F12/F6,"")</f>
        <v/>
      </c>
      <c r="G13" s="15" t="n">
        <v>0.1683761292159553</v>
      </c>
      <c r="H13" s="15" t="n">
        <v>0.1683761292159553</v>
      </c>
      <c r="I13" s="15" t="n">
        <v>0.1683761292159553</v>
      </c>
      <c r="J13" s="15" t="n">
        <v>0.1683761292159553</v>
      </c>
      <c r="K13" s="15" t="n">
        <v>0.1683761292159553</v>
      </c>
      <c r="L13" s="15" t="n">
        <v>0.1683761292159553</v>
      </c>
      <c r="M13" s="15" t="n">
        <v>0.1683761292159553</v>
      </c>
      <c r="N13" s="15" t="n">
        <v>0.1683761292159553</v>
      </c>
      <c r="O13" s="15" t="n">
        <v>0.1683761292159553</v>
      </c>
      <c r="P13" s="15" t="n">
        <v>0.1683761292159553</v>
      </c>
    </row>
    <row r="14">
      <c r="A14" s="4" t="inlineStr">
        <is>
          <t>SG&amp;A</t>
        </is>
      </c>
      <c r="B14" s="28">
        <f>SUM(Financials!I9:L9)</f>
        <v/>
      </c>
      <c r="C14" s="28">
        <f>SUM(Financials!M9:P9)</f>
        <v/>
      </c>
      <c r="D14" s="28">
        <f>SUM(Financials!Q9:T9)</f>
        <v/>
      </c>
      <c r="E14" s="28">
        <f>SUM(Financials!U9:X9)</f>
        <v/>
      </c>
      <c r="F14" s="28">
        <f>SUM(Financials!Y9:AB9)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27">
        <f>IFERROR(D14/D6,"")</f>
        <v/>
      </c>
      <c r="E15" s="27">
        <f>IFERROR(E14/E6,"")</f>
        <v/>
      </c>
      <c r="F15" s="27">
        <f>IFERROR(F14/F6,"")</f>
        <v/>
      </c>
      <c r="G15" s="15" t="n">
        <v>0.2273930318639505</v>
      </c>
      <c r="H15" s="15" t="n">
        <v>0.2273930318639505</v>
      </c>
      <c r="I15" s="15" t="n">
        <v>0.2273930318639505</v>
      </c>
      <c r="J15" s="15" t="n">
        <v>0.2273930318639505</v>
      </c>
      <c r="K15" s="15" t="n">
        <v>0.2273930318639505</v>
      </c>
      <c r="L15" s="15" t="n">
        <v>0.2273930318639505</v>
      </c>
      <c r="M15" s="15" t="n">
        <v>0.2273930318639505</v>
      </c>
      <c r="N15" s="15" t="n">
        <v>0.2273930318639505</v>
      </c>
      <c r="O15" s="15" t="n">
        <v>0.2273930318639505</v>
      </c>
      <c r="P15" s="15" t="n">
        <v>0.2273930318639505</v>
      </c>
    </row>
    <row r="16">
      <c r="A16" s="4" t="inlineStr">
        <is>
          <t>Other opex (fulfilment, etc.)</t>
        </is>
      </c>
      <c r="B16" s="28">
        <f>B6-(B10+B12+B14)-SUM(Financials!I13:L13)</f>
        <v/>
      </c>
      <c r="C16" s="28">
        <f>C6-(C10+C12+C14)-SUM(Financials!M13:P13)</f>
        <v/>
      </c>
      <c r="D16" s="28">
        <f>D6-(D10+D12+D14)-SUM(Financials!Q13:T13)</f>
        <v/>
      </c>
      <c r="E16" s="28">
        <f>E6-(E10+E12+E14)-SUM(Financials!U13:X13)</f>
        <v/>
      </c>
      <c r="F16" s="28">
        <f>F6-(F10+F12+F14)-SUM(Financials!Y13:AB13)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  <c r="N17" s="27">
        <f>IFERROR(N16/N6,"")</f>
        <v/>
      </c>
      <c r="O17" s="27">
        <f>IFERROR(O16/O6,"")</f>
        <v/>
      </c>
      <c r="P17" s="2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  <c r="N20" s="27">
        <f>IFERROR(N19/N6,"")</f>
        <v/>
      </c>
      <c r="O20" s="27">
        <f>IFERROR(O19/O6,"")</f>
        <v/>
      </c>
      <c r="P20" s="2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SUM(Financials!I27:L27)</f>
        <v/>
      </c>
      <c r="C24" s="28">
        <f>SUM(Financials!M27:P27)</f>
        <v/>
      </c>
      <c r="D24" s="28">
        <f>SUM(Financials!Q27:T27)</f>
        <v/>
      </c>
      <c r="E24" s="28">
        <f>SUM(Financials!U27:X27)</f>
        <v/>
      </c>
      <c r="F24" s="28">
        <f>SUM(Financials!Y27:AB27)</f>
        <v/>
      </c>
      <c r="G24" s="32">
        <f>G6*0.0711</f>
        <v/>
      </c>
      <c r="H24" s="32">
        <f>H6*0.0711</f>
        <v/>
      </c>
      <c r="I24" s="32">
        <f>I6*0.0711</f>
        <v/>
      </c>
      <c r="J24" s="32">
        <f>J6*0.0711</f>
        <v/>
      </c>
      <c r="K24" s="32">
        <f>K6*0.0711</f>
        <v/>
      </c>
      <c r="L24" s="32">
        <f>L6*0.0711</f>
        <v/>
      </c>
      <c r="M24" s="32">
        <f>M6*0.0711</f>
        <v/>
      </c>
      <c r="N24" s="32">
        <f>N6*0.0711</f>
        <v/>
      </c>
      <c r="O24" s="32">
        <f>O6*0.0711</f>
        <v/>
      </c>
      <c r="P24" s="32">
        <f>P6*0.0711</f>
        <v/>
      </c>
    </row>
    <row r="25">
      <c r="A25" s="4" t="inlineStr">
        <is>
          <t>+ SBC (non-cash)</t>
        </is>
      </c>
      <c r="B25" s="28">
        <f>SUM(Financials!I28:L28)</f>
        <v/>
      </c>
      <c r="C25" s="28">
        <f>SUM(Financials!M28:P28)</f>
        <v/>
      </c>
      <c r="D25" s="28">
        <f>SUM(Financials!Q28:T28)</f>
        <v/>
      </c>
      <c r="E25" s="28">
        <f>SUM(Financials!U28:X28)</f>
        <v/>
      </c>
      <c r="F25" s="28">
        <f>SUM(Financials!Y28:AB28)</f>
        <v/>
      </c>
      <c r="G25" s="32">
        <f>G6*0.0000</f>
        <v/>
      </c>
      <c r="H25" s="32">
        <f>H6*0.0000</f>
        <v/>
      </c>
      <c r="I25" s="32">
        <f>I6*0.0000</f>
        <v/>
      </c>
      <c r="J25" s="32">
        <f>J6*0.0000</f>
        <v/>
      </c>
      <c r="K25" s="32">
        <f>K6*0.0000</f>
        <v/>
      </c>
      <c r="L25" s="32">
        <f>L6*0.0000</f>
        <v/>
      </c>
      <c r="M25" s="32">
        <f>M6*0.0000</f>
        <v/>
      </c>
      <c r="N25" s="32">
        <f>N6*0.0000</f>
        <v/>
      </c>
      <c r="O25" s="32">
        <f>O6*0.0000</f>
        <v/>
      </c>
      <c r="P25" s="32">
        <f>P6*0.0000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-SUM(Financials!I31:L31)</f>
        <v/>
      </c>
      <c r="C27" s="28">
        <f>-SUM(Financials!M31:P31)</f>
        <v/>
      </c>
      <c r="D27" s="28">
        <f>-SUM(Financials!Q31:T31)</f>
        <v/>
      </c>
      <c r="E27" s="28">
        <f>-SUM(Financials!U31:X31)</f>
        <v/>
      </c>
      <c r="F27" s="28">
        <f>-SUM(Financials!Y31:AB31)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34">
        <f>IFERROR(D27/D24,"")</f>
        <v/>
      </c>
      <c r="E28" s="34">
        <f>IFERROR(E27/E24,"")</f>
        <v/>
      </c>
      <c r="F28" s="34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Financials!L25+Financials!L24-Financials!L19</f>
        <v/>
      </c>
      <c r="C34" s="28">
        <f>Financials!P25+Financials!P24-Financials!P19</f>
        <v/>
      </c>
      <c r="D34" s="28">
        <f>Financials!T25+Financials!T24-Financials!T19</f>
        <v/>
      </c>
      <c r="E34" s="28">
        <f>Financials!X25+Financials!X24-Financials!X19</f>
        <v/>
      </c>
      <c r="F34" s="28">
        <f>Financials!AB25+Financials!AB24-Financials!AB19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Financials!L25</f>
        <v/>
      </c>
      <c r="C35" s="28">
        <f>Financials!P25</f>
        <v/>
      </c>
      <c r="D35" s="28">
        <f>Financials!T25</f>
        <v/>
      </c>
      <c r="E35" s="28">
        <f>Financials!X25</f>
        <v/>
      </c>
      <c r="F35" s="28">
        <f>Financials!AB25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  <c r="N36" s="27">
        <f>IFERROR(N23/M34,"")</f>
        <v/>
      </c>
      <c r="O36" s="27">
        <f>IFERROR(O23/N34,"")</f>
        <v/>
      </c>
      <c r="P36" s="27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  <c r="N37" s="27">
        <f>IFERROR(N23/M35,"")</f>
        <v/>
      </c>
      <c r="O37" s="27">
        <f>IFERROR(O23/N35,"")</f>
        <v/>
      </c>
      <c r="P37" s="27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  <c r="N38" s="11">
        <f>IFERROR(N36-WACC!$B$14,"")</f>
        <v/>
      </c>
      <c r="O38" s="11">
        <f>IFERROR(O36-WACC!$B$14,"")</f>
        <v/>
      </c>
      <c r="P38" s="11">
        <f>IFERROR(P36-WACC!$B$14,"")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  <c r="N39" s="27">
        <f>IFERROR((N19-M19)/(N6-M6),"")</f>
        <v/>
      </c>
      <c r="O39" s="27">
        <f>IFERROR((O19-N19)/(O6-N6),"")</f>
        <v/>
      </c>
      <c r="P39" s="27">
        <f>IFERROR((P19-O19)/(P6-O6),"")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  <c r="N40" s="27">
        <f>IFERROR((N23-M23)/(N34-M34),"")</f>
        <v/>
      </c>
      <c r="O40" s="27">
        <f>IFERROR((O23-N23)/(O34-N34),"")</f>
        <v/>
      </c>
      <c r="P40" s="2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  <c r="N41" s="35">
        <f>IFERROR((N6-M6)/(N34-M34),"")</f>
        <v/>
      </c>
      <c r="O41" s="35">
        <f>IFERROR((O6-N6)/(O34-N34),"")</f>
        <v/>
      </c>
      <c r="P41" s="3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  <c r="N42" s="27">
        <f>IFERROR((N34-M34)/N23,"")</f>
        <v/>
      </c>
      <c r="O42" s="27">
        <f>IFERROR((O34-N34)/O23,"")</f>
        <v/>
      </c>
      <c r="P42" s="2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30036</v>
      </c>
      <c r="C3" s="18" t="n">
        <v>30277</v>
      </c>
      <c r="D3" s="18" t="n">
        <v>32417</v>
      </c>
      <c r="E3" s="18" t="n">
        <v>33875</v>
      </c>
      <c r="F3" s="18" t="n">
        <v>30006</v>
      </c>
      <c r="G3" s="18" t="n">
        <v>30927</v>
      </c>
      <c r="H3" s="18" t="n">
        <v>32138</v>
      </c>
      <c r="I3" s="18" t="n">
        <v>33804</v>
      </c>
      <c r="J3" s="18" t="n">
        <v>33041</v>
      </c>
      <c r="K3" s="18" t="n">
        <v>35622</v>
      </c>
      <c r="L3" s="18" t="n">
        <v>38333</v>
      </c>
      <c r="M3" s="18" t="n">
        <v>42031</v>
      </c>
      <c r="N3" s="18" t="n">
        <v>41265</v>
      </c>
      <c r="O3" s="18" t="n">
        <v>45566</v>
      </c>
      <c r="P3" s="18" t="n">
        <v>48092</v>
      </c>
      <c r="Q3" s="18" t="n">
        <v>53367</v>
      </c>
      <c r="R3" s="18" t="n">
        <v>54300</v>
      </c>
      <c r="S3" s="18" t="n">
        <v>58731</v>
      </c>
      <c r="T3" s="18" t="n">
        <v>65863</v>
      </c>
      <c r="U3" s="18" t="n">
        <v>65349</v>
      </c>
      <c r="V3" s="18" t="n">
        <v>68060</v>
      </c>
      <c r="W3" s="18" t="n">
        <v>71311</v>
      </c>
      <c r="X3" s="18" t="n">
        <v>85683</v>
      </c>
      <c r="Y3" s="18" t="n">
        <v>78087</v>
      </c>
      <c r="Z3" s="18" t="n">
        <v>76857</v>
      </c>
      <c r="AA3" s="18" t="n">
        <v>74976</v>
      </c>
      <c r="AB3" s="18" t="n">
        <v>79144</v>
      </c>
      <c r="AC3" s="18" t="n">
        <v>96823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4849</v>
      </c>
      <c r="C5" s="18" t="n">
        <v>5075</v>
      </c>
      <c r="D5" s="18" t="n">
        <v>5432</v>
      </c>
      <c r="E5" s="18" t="n">
        <v>5386</v>
      </c>
      <c r="F5" s="18" t="n">
        <v>4772</v>
      </c>
      <c r="G5" s="18" t="n">
        <v>5155</v>
      </c>
      <c r="H5" s="18" t="n">
        <v>5619</v>
      </c>
      <c r="I5" s="18" t="n">
        <v>5811</v>
      </c>
      <c r="J5" s="18" t="n">
        <v>5547</v>
      </c>
      <c r="K5" s="18" t="n">
        <v>6059</v>
      </c>
      <c r="L5" s="18" t="n">
        <v>6241</v>
      </c>
      <c r="M5" s="18" t="n">
        <v>6917</v>
      </c>
      <c r="N5" s="18" t="n">
        <v>6069</v>
      </c>
      <c r="O5" s="18" t="n">
        <v>7200</v>
      </c>
      <c r="P5" s="18" t="n">
        <v>8262</v>
      </c>
      <c r="Q5" s="18" t="n">
        <v>8182</v>
      </c>
      <c r="R5" s="18" t="n">
        <v>7856</v>
      </c>
      <c r="S5" s="18" t="n">
        <v>9713</v>
      </c>
      <c r="T5" s="18" t="n">
        <v>10014</v>
      </c>
      <c r="U5" s="18" t="n">
        <v>9916</v>
      </c>
      <c r="V5" s="18" t="n">
        <v>10274</v>
      </c>
      <c r="W5" s="18" t="n">
        <v>11308</v>
      </c>
      <c r="X5" s="18" t="n">
        <v>13024</v>
      </c>
      <c r="Y5" s="18" t="n">
        <v>12890</v>
      </c>
      <c r="Z5" s="18" t="n">
        <v>12846</v>
      </c>
      <c r="AA5" s="18" t="n">
        <v>17904</v>
      </c>
      <c r="AB5" s="18" t="n">
        <v>15148</v>
      </c>
      <c r="AC5" s="18" t="n">
        <v>13598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3557</v>
      </c>
      <c r="C7" s="18" t="n">
        <v>3601</v>
      </c>
      <c r="D7" s="18" t="n">
        <v>4384</v>
      </c>
      <c r="E7" s="18" t="n">
        <v>3777</v>
      </c>
      <c r="F7" s="18" t="n">
        <v>3291</v>
      </c>
      <c r="G7" s="18" t="n">
        <v>3911</v>
      </c>
      <c r="H7" s="18" t="n">
        <v>4483</v>
      </c>
      <c r="I7" s="18" t="n">
        <v>3944</v>
      </c>
      <c r="J7" s="18" t="n">
        <v>3944</v>
      </c>
      <c r="K7" s="18" t="n">
        <v>4252</v>
      </c>
      <c r="L7" s="18" t="n">
        <v>5632</v>
      </c>
      <c r="M7" s="18" t="n">
        <v>5206</v>
      </c>
      <c r="N7" s="18" t="n">
        <v>5123</v>
      </c>
      <c r="O7" s="18" t="n">
        <v>5633</v>
      </c>
      <c r="P7" s="18" t="n">
        <v>8085</v>
      </c>
      <c r="Q7" s="18" t="n">
        <v>6728</v>
      </c>
      <c r="R7" s="18" t="n">
        <v>7127</v>
      </c>
      <c r="S7" s="18" t="n">
        <v>8128</v>
      </c>
      <c r="T7" s="18" t="n">
        <v>10460</v>
      </c>
      <c r="U7" s="18" t="n">
        <v>8606</v>
      </c>
      <c r="V7" s="18" t="n">
        <v>16166</v>
      </c>
      <c r="W7" s="18" t="n">
        <v>9488</v>
      </c>
      <c r="X7" s="18" t="n">
        <v>13802</v>
      </c>
      <c r="Y7" s="18" t="n">
        <v>10308</v>
      </c>
      <c r="Z7" s="18" t="n">
        <v>11690</v>
      </c>
      <c r="AA7" s="18" t="n">
        <v>15393</v>
      </c>
      <c r="AB7" s="18" t="n">
        <v>14648</v>
      </c>
      <c r="AC7" s="18" t="n">
        <v>10284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8432</v>
      </c>
      <c r="C9" s="18" t="n">
        <v>8770</v>
      </c>
      <c r="D9" s="18" t="n">
        <v>10771</v>
      </c>
      <c r="E9" s="18" t="n">
        <v>8517</v>
      </c>
      <c r="F9" s="18" t="n">
        <v>8225</v>
      </c>
      <c r="G9" s="18" t="n">
        <v>9180</v>
      </c>
      <c r="H9" s="18" t="n">
        <v>10964</v>
      </c>
      <c r="I9" s="18" t="n">
        <v>9188</v>
      </c>
      <c r="J9" s="18" t="n">
        <v>8905</v>
      </c>
      <c r="K9" s="18" t="n">
        <v>10143</v>
      </c>
      <c r="L9" s="18" t="n">
        <v>12822</v>
      </c>
      <c r="M9" s="18" t="n">
        <v>11153</v>
      </c>
      <c r="N9" s="18" t="n">
        <v>11831</v>
      </c>
      <c r="O9" s="18" t="n">
        <v>12609</v>
      </c>
      <c r="P9" s="18" t="n">
        <v>15091</v>
      </c>
      <c r="Q9" s="18" t="n">
        <v>13483</v>
      </c>
      <c r="R9" s="18" t="n">
        <v>15414</v>
      </c>
      <c r="S9" s="18" t="n">
        <v>14075</v>
      </c>
      <c r="T9" s="18" t="n">
        <v>18626</v>
      </c>
      <c r="U9" s="18" t="n">
        <v>14413</v>
      </c>
      <c r="V9" s="18" t="n">
        <v>16091</v>
      </c>
      <c r="W9" s="18" t="n">
        <v>16592</v>
      </c>
      <c r="X9" s="18" t="n">
        <v>20281</v>
      </c>
      <c r="Y9" s="18" t="n">
        <v>16112</v>
      </c>
      <c r="Z9" s="18" t="n">
        <v>18849</v>
      </c>
      <c r="AA9" s="18" t="n">
        <v>17880</v>
      </c>
      <c r="AB9" s="18" t="n">
        <v>17438</v>
      </c>
      <c r="AC9" s="18" t="n">
        <v>13217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25187</v>
      </c>
      <c r="C11" s="18" t="n">
        <v>25202</v>
      </c>
      <c r="D11" s="18" t="n">
        <v>26985</v>
      </c>
      <c r="E11" s="18" t="n">
        <v>28489</v>
      </c>
      <c r="F11" s="18" t="n">
        <v>25234</v>
      </c>
      <c r="G11" s="18" t="n">
        <v>25772</v>
      </c>
      <c r="H11" s="18" t="n">
        <v>26519</v>
      </c>
      <c r="I11" s="18" t="n">
        <v>27993</v>
      </c>
      <c r="J11" s="18" t="n">
        <v>27494</v>
      </c>
      <c r="K11" s="18" t="n">
        <v>29563</v>
      </c>
      <c r="L11" s="18" t="n">
        <v>32092</v>
      </c>
      <c r="M11" s="18" t="n">
        <v>35114</v>
      </c>
      <c r="N11" s="18" t="n">
        <v>35196</v>
      </c>
      <c r="O11" s="18" t="n">
        <v>38366</v>
      </c>
      <c r="P11" s="18" t="n">
        <v>39830</v>
      </c>
      <c r="Q11" s="18" t="n">
        <v>45185</v>
      </c>
      <c r="R11" s="18" t="n">
        <v>46444</v>
      </c>
      <c r="S11" s="18" t="n">
        <v>49018</v>
      </c>
      <c r="T11" s="18" t="n">
        <v>55849</v>
      </c>
      <c r="U11" s="18" t="n">
        <v>55433</v>
      </c>
      <c r="V11" s="18" t="n">
        <v>57786</v>
      </c>
      <c r="W11" s="18" t="n">
        <v>60003</v>
      </c>
      <c r="X11" s="18" t="n">
        <v>72659</v>
      </c>
      <c r="Y11" s="18" t="n">
        <v>65197</v>
      </c>
      <c r="Z11" s="18" t="n">
        <v>64011</v>
      </c>
      <c r="AA11" s="18" t="n">
        <v>57072</v>
      </c>
      <c r="AB11" s="18" t="n">
        <v>63996</v>
      </c>
      <c r="AC11" s="18" t="n">
        <v>83225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13452</v>
      </c>
      <c r="C13" s="18" t="n">
        <v>12919</v>
      </c>
      <c r="D13" s="18" t="n">
        <v>11873</v>
      </c>
      <c r="E13" s="18" t="n">
        <v>16302</v>
      </c>
      <c r="F13" s="18" t="n">
        <v>13838</v>
      </c>
      <c r="G13" s="18" t="n">
        <v>12808</v>
      </c>
      <c r="H13" s="18" t="n">
        <v>11178</v>
      </c>
      <c r="I13" s="18" t="n">
        <v>14982</v>
      </c>
      <c r="J13" s="18" t="n">
        <v>14779</v>
      </c>
      <c r="K13" s="18" t="n">
        <v>15249</v>
      </c>
      <c r="L13" s="18" t="n">
        <v>13634</v>
      </c>
      <c r="M13" s="18" t="n">
        <v>19147</v>
      </c>
      <c r="N13" s="18" t="n">
        <v>18391</v>
      </c>
      <c r="O13" s="18" t="n">
        <v>20184</v>
      </c>
      <c r="P13" s="18" t="n">
        <v>17087</v>
      </c>
      <c r="Q13" s="18" t="n">
        <v>25007</v>
      </c>
      <c r="R13" s="18" t="n">
        <v>23888</v>
      </c>
      <c r="S13" s="18" t="n">
        <v>26913</v>
      </c>
      <c r="T13" s="18" t="n">
        <v>26766</v>
      </c>
      <c r="U13" s="18" t="n">
        <v>31846</v>
      </c>
      <c r="V13" s="18" t="n">
        <v>25934</v>
      </c>
      <c r="W13" s="18" t="n">
        <v>33822</v>
      </c>
      <c r="X13" s="18" t="n">
        <v>36737</v>
      </c>
      <c r="Y13" s="18" t="n">
        <v>38791</v>
      </c>
      <c r="Z13" s="18" t="n">
        <v>33449</v>
      </c>
      <c r="AA13" s="18" t="n">
        <v>23682</v>
      </c>
      <c r="AB13" s="18" t="n">
        <v>31736</v>
      </c>
      <c r="AC13" s="18" t="n">
        <v>59618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9595</v>
      </c>
      <c r="C15" s="18" t="n">
        <v>10194</v>
      </c>
      <c r="D15" s="18" t="n">
        <v>8717</v>
      </c>
      <c r="E15" s="18" t="n">
        <v>11897</v>
      </c>
      <c r="F15" s="18" t="n">
        <v>10625</v>
      </c>
      <c r="G15" s="18" t="n">
        <v>10298</v>
      </c>
      <c r="H15" s="18" t="n">
        <v>9318</v>
      </c>
      <c r="I15" s="18" t="n">
        <v>12623</v>
      </c>
      <c r="J15" s="18" t="n">
        <v>12123</v>
      </c>
      <c r="K15" s="18" t="n">
        <v>12119</v>
      </c>
      <c r="L15" s="18" t="n">
        <v>10892</v>
      </c>
      <c r="M15" s="18" t="n">
        <v>14210</v>
      </c>
      <c r="N15" s="18" t="n">
        <v>13318</v>
      </c>
      <c r="O15" s="18" t="n">
        <v>14405</v>
      </c>
      <c r="P15" s="18" t="n">
        <v>13592</v>
      </c>
      <c r="Q15" s="18" t="n">
        <v>19814</v>
      </c>
      <c r="R15" s="18" t="n">
        <v>19428</v>
      </c>
      <c r="S15" s="18" t="n">
        <v>22478</v>
      </c>
      <c r="T15" s="18" t="n">
        <v>21963</v>
      </c>
      <c r="U15" s="18" t="n">
        <v>25407</v>
      </c>
      <c r="V15" s="18" t="n">
        <v>20050</v>
      </c>
      <c r="W15" s="18" t="n">
        <v>27301</v>
      </c>
      <c r="X15" s="18" t="n">
        <v>28230</v>
      </c>
      <c r="Y15" s="18" t="n">
        <v>29034</v>
      </c>
      <c r="Z15" s="18" t="n">
        <v>26503</v>
      </c>
      <c r="AA15" s="18" t="n">
        <v>20006</v>
      </c>
      <c r="AB15" s="18" t="n">
        <v>26891</v>
      </c>
      <c r="AC15" s="18" t="n">
        <v>48557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4767</v>
      </c>
      <c r="C17" s="18" t="n">
        <v>4746.4</v>
      </c>
      <c r="D17" s="18" t="n">
        <v>4733.458</v>
      </c>
      <c r="E17" s="18" t="n">
        <v>4709.6</v>
      </c>
      <c r="F17" s="18" t="n">
        <v>4689.8</v>
      </c>
      <c r="G17" s="18" t="n">
        <v>4670.2</v>
      </c>
      <c r="H17" s="18" t="n">
        <v>4655.6</v>
      </c>
      <c r="I17" s="18" t="n">
        <v>4631.2</v>
      </c>
      <c r="J17" s="18" t="n">
        <v>4612.6</v>
      </c>
      <c r="K17" s="18" t="n">
        <v>4594.6</v>
      </c>
      <c r="L17" s="18" t="n">
        <v>4585.951881</v>
      </c>
      <c r="M17" s="18" t="n">
        <v>4566.6</v>
      </c>
      <c r="N17" s="18" t="n">
        <v>4552.2</v>
      </c>
      <c r="O17" s="18" t="n">
        <v>4537</v>
      </c>
      <c r="P17" s="18" t="n">
        <v>4522.8</v>
      </c>
      <c r="Q17" s="18" t="n">
        <v>4513.2</v>
      </c>
      <c r="R17" s="18" t="n">
        <v>4502.6</v>
      </c>
      <c r="S17" s="18" t="n">
        <v>4489</v>
      </c>
      <c r="T17" s="18" t="n">
        <v>4477.4</v>
      </c>
      <c r="U17" s="18" t="n">
        <v>4470.5</v>
      </c>
      <c r="V17" s="18" t="n">
        <v>4465.4</v>
      </c>
      <c r="W17" s="18" t="n">
        <v>4460.5</v>
      </c>
      <c r="X17" s="18" t="n">
        <v>4460.5</v>
      </c>
      <c r="Y17" s="18" t="n">
        <v>4446.4</v>
      </c>
      <c r="Z17" s="18" t="n">
        <v>4446.812</v>
      </c>
      <c r="AA17" s="18" t="n">
        <v>4446.8</v>
      </c>
      <c r="AB17" s="18" t="n">
        <v>4447.851</v>
      </c>
      <c r="AC17" s="18" t="n">
        <v>4448.7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14457</v>
      </c>
      <c r="C19" s="18" t="n">
        <v>18757</v>
      </c>
      <c r="D19" s="18" t="n">
        <v>2324.6207</v>
      </c>
      <c r="E19" s="18" t="n">
        <v>1435.860487</v>
      </c>
      <c r="F19" s="18" t="n">
        <v>3748.370617</v>
      </c>
      <c r="G19" s="18" t="n">
        <v>4014.020716</v>
      </c>
      <c r="H19" s="18" t="n">
        <v>2096.983644</v>
      </c>
      <c r="I19" s="18" t="n">
        <v>1211.450785</v>
      </c>
      <c r="J19" s="18" t="n">
        <v>4340.289129</v>
      </c>
      <c r="K19" s="18" t="n">
        <v>5515.811785</v>
      </c>
      <c r="L19" s="18" t="n">
        <v>17485</v>
      </c>
      <c r="M19" s="18" t="n">
        <v>3013.454792</v>
      </c>
      <c r="N19" s="18" t="n">
        <v>4363.204397</v>
      </c>
      <c r="O19" s="18" t="n">
        <v>4937.219199</v>
      </c>
      <c r="P19" s="18" t="n">
        <v>23574</v>
      </c>
      <c r="Q19" s="18" t="n">
        <v>4050.287681</v>
      </c>
      <c r="R19" s="18" t="n">
        <v>5334.622738</v>
      </c>
      <c r="S19" s="18" t="n">
        <v>6757.581781</v>
      </c>
      <c r="T19" s="18" t="n">
        <v>30230</v>
      </c>
      <c r="U19" s="18" t="n">
        <v>9303</v>
      </c>
      <c r="V19" s="18" t="n">
        <v>9004.340201999999</v>
      </c>
      <c r="W19" s="18" t="n">
        <v>74881</v>
      </c>
      <c r="X19" s="18" t="n">
        <v>26308</v>
      </c>
      <c r="Y19" s="18" t="n">
        <v>41550</v>
      </c>
      <c r="Z19" s="18" t="n">
        <v>18934</v>
      </c>
      <c r="AA19" s="18" t="n">
        <v>32583</v>
      </c>
      <c r="AB19" s="18" t="n">
        <v>26962</v>
      </c>
      <c r="AC19" s="18" t="n">
        <v>21626</v>
      </c>
    </row>
    <row r="20">
      <c r="A20" s="4" t="inlineStr">
        <is>
          <t>Total Current Assets</t>
        </is>
      </c>
      <c r="B20" s="18" t="n">
        <v>58720</v>
      </c>
      <c r="C20" s="18" t="n">
        <v>63400</v>
      </c>
      <c r="D20" s="18" t="n">
        <v>9382.003905</v>
      </c>
      <c r="E20" s="18" t="n">
        <v>9291.995059000001</v>
      </c>
      <c r="F20" s="18" t="n">
        <v>11087.937672</v>
      </c>
      <c r="G20" s="18" t="n">
        <v>11605.214446</v>
      </c>
      <c r="H20" s="18" t="n">
        <v>10817.621435</v>
      </c>
      <c r="I20" s="18" t="n">
        <v>9701.246058999999</v>
      </c>
      <c r="J20" s="18" t="n">
        <v>12302.908038</v>
      </c>
      <c r="K20" s="18" t="n">
        <v>14216.268449</v>
      </c>
      <c r="L20" s="18" t="n">
        <v>85595</v>
      </c>
      <c r="M20" s="18" t="n">
        <v>12944.273673</v>
      </c>
      <c r="N20" s="18" t="n">
        <v>14476.863924</v>
      </c>
      <c r="O20" s="18" t="n">
        <v>15742.236393</v>
      </c>
      <c r="P20" s="18" t="n">
        <v>108194</v>
      </c>
      <c r="Q20" s="18" t="n">
        <v>16618.124275</v>
      </c>
      <c r="R20" s="18" t="n">
        <v>20154.435628</v>
      </c>
      <c r="S20" s="18" t="n">
        <v>20189.544525</v>
      </c>
      <c r="T20" s="18" t="n">
        <v>139646</v>
      </c>
      <c r="U20" s="18" t="n">
        <v>116421</v>
      </c>
      <c r="V20" s="18" t="n">
        <v>25509.47084</v>
      </c>
      <c r="W20" s="18" t="n">
        <v>195160</v>
      </c>
      <c r="X20" s="18" t="n">
        <v>160897</v>
      </c>
      <c r="Y20" s="18" t="n">
        <v>174395</v>
      </c>
      <c r="Z20" s="18" t="n">
        <v>162705</v>
      </c>
      <c r="AA20" s="18" t="n">
        <v>181883</v>
      </c>
      <c r="AB20" s="18" t="n">
        <v>172453</v>
      </c>
      <c r="AC20" s="18" t="n">
        <v>177317</v>
      </c>
    </row>
    <row r="21">
      <c r="A21" s="4" t="inlineStr">
        <is>
          <t>PP&amp;E (net)</t>
        </is>
      </c>
      <c r="B21" s="18" t="n">
        <v>48204</v>
      </c>
      <c r="C21" s="18" t="n">
        <v>50300</v>
      </c>
      <c r="D21" s="18" t="n">
        <v>7593.660808</v>
      </c>
      <c r="E21" s="18" t="n">
        <v>7478.973061</v>
      </c>
      <c r="F21" s="18" t="n">
        <v>7610.364755</v>
      </c>
      <c r="G21" s="18" t="n">
        <v>7864.991532</v>
      </c>
      <c r="H21" s="18" t="n">
        <v>8263.170872000001</v>
      </c>
      <c r="I21" s="18" t="n">
        <v>8127.276606</v>
      </c>
      <c r="J21" s="18" t="n">
        <v>8304.853641</v>
      </c>
      <c r="K21" s="18" t="n">
        <v>8239.11722</v>
      </c>
      <c r="L21" s="18" t="n">
        <v>55362</v>
      </c>
      <c r="M21" s="18" t="n">
        <v>8436.207528000001</v>
      </c>
      <c r="N21" s="18" t="n">
        <v>8372.426493000001</v>
      </c>
      <c r="O21" s="18" t="n">
        <v>8384.958957999999</v>
      </c>
      <c r="P21" s="18" t="n">
        <v>66671</v>
      </c>
      <c r="Q21" s="18" t="n">
        <v>10211.257848</v>
      </c>
      <c r="R21" s="18" t="n">
        <v>10992.769071</v>
      </c>
      <c r="S21" s="18" t="n">
        <v>11565.907542</v>
      </c>
      <c r="T21" s="18" t="n">
        <v>90961</v>
      </c>
      <c r="U21" s="18" t="n">
        <v>98230</v>
      </c>
      <c r="V21" s="18" t="n">
        <v>15805.811847</v>
      </c>
      <c r="W21" s="18" t="n">
        <v>119832</v>
      </c>
      <c r="X21" s="18" t="n">
        <v>162488</v>
      </c>
      <c r="Y21" s="18" t="n">
        <v>172376</v>
      </c>
      <c r="Z21" s="18" t="n">
        <v>180758</v>
      </c>
      <c r="AA21" s="18" t="n">
        <v>193244</v>
      </c>
      <c r="AB21" s="18" t="n">
        <v>208378</v>
      </c>
      <c r="AC21" s="18" t="n">
        <v>219974</v>
      </c>
    </row>
    <row r="22">
      <c r="A22" s="4" t="inlineStr">
        <is>
          <t>Total Assets</t>
        </is>
      </c>
      <c r="B22" s="18" t="n">
        <v>117909</v>
      </c>
      <c r="C22" s="18" t="n">
        <v>124908</v>
      </c>
      <c r="D22" s="18" t="n">
        <v>18869.160282</v>
      </c>
      <c r="E22" s="18" t="n">
        <v>18564.87472</v>
      </c>
      <c r="F22" s="18" t="n">
        <v>20512.66209</v>
      </c>
      <c r="G22" s="18" t="n">
        <v>22046.709463</v>
      </c>
      <c r="H22" s="18" t="n">
        <v>23822.141859</v>
      </c>
      <c r="I22" s="18" t="n">
        <v>22343.254924</v>
      </c>
      <c r="J22" s="18" t="n">
        <v>25212.301951</v>
      </c>
      <c r="K22" s="18" t="n">
        <v>27132.370131</v>
      </c>
      <c r="L22" s="18" t="n">
        <v>194508</v>
      </c>
      <c r="M22" s="18" t="n">
        <v>29487.760551</v>
      </c>
      <c r="N22" s="18" t="n">
        <v>30777.060035</v>
      </c>
      <c r="O22" s="18" t="n">
        <v>31994.624435</v>
      </c>
      <c r="P22" s="18" t="n">
        <v>241257</v>
      </c>
      <c r="Q22" s="18" t="n">
        <v>36465.131881</v>
      </c>
      <c r="R22" s="18" t="n">
        <v>41136.874803</v>
      </c>
      <c r="S22" s="18" t="n">
        <v>42608.615402</v>
      </c>
      <c r="T22" s="18" t="n">
        <v>314486</v>
      </c>
      <c r="U22" s="18" t="n">
        <v>298921</v>
      </c>
      <c r="V22" s="18" t="n">
        <v>53085.999252</v>
      </c>
      <c r="W22" s="18" t="n">
        <v>397441</v>
      </c>
      <c r="X22" s="18" t="n">
        <v>465795</v>
      </c>
      <c r="Y22" s="18" t="n">
        <v>489162</v>
      </c>
      <c r="Z22" s="18" t="n">
        <v>482153</v>
      </c>
      <c r="AA22" s="18" t="n">
        <v>512288</v>
      </c>
      <c r="AB22" s="18" t="n">
        <v>542902</v>
      </c>
      <c r="AC22" s="18" t="n">
        <v>559221</v>
      </c>
    </row>
    <row r="23">
      <c r="A23" s="4" t="inlineStr">
        <is>
          <t>Total Current Liabilities</t>
        </is>
      </c>
      <c r="B23" s="18" t="n">
        <v>56595</v>
      </c>
      <c r="C23" s="18" t="n">
        <v>63087</v>
      </c>
      <c r="D23" s="18" t="n">
        <v>8860.297431000001</v>
      </c>
      <c r="E23" s="18" t="n">
        <v>9291.112810000001</v>
      </c>
      <c r="F23" s="18" t="n">
        <v>10139.316902</v>
      </c>
      <c r="G23" s="18" t="n">
        <v>11176.873695</v>
      </c>
      <c r="H23" s="18" t="n">
        <v>11551.40955</v>
      </c>
      <c r="I23" s="18" t="n">
        <v>11438.77559</v>
      </c>
      <c r="J23" s="18" t="n">
        <v>11609.507937</v>
      </c>
      <c r="K23" s="18" t="n">
        <v>13766.61835</v>
      </c>
      <c r="L23" s="18" t="n">
        <v>99516</v>
      </c>
      <c r="M23" s="18" t="n">
        <v>14300.223623</v>
      </c>
      <c r="N23" s="18" t="n">
        <v>15415.380938</v>
      </c>
      <c r="O23" s="18" t="n">
        <v>17161.88619</v>
      </c>
      <c r="P23" s="18" t="n">
        <v>120940</v>
      </c>
      <c r="Q23" s="18" t="n">
        <v>19245.976475</v>
      </c>
      <c r="R23" s="18" t="n">
        <v>22948.196663</v>
      </c>
      <c r="S23" s="18" t="n">
        <v>24499.091322</v>
      </c>
      <c r="T23" s="18" t="n">
        <v>169655</v>
      </c>
      <c r="U23" s="18" t="n">
        <v>165606</v>
      </c>
      <c r="V23" s="18" t="n">
        <v>27005.403696</v>
      </c>
      <c r="W23" s="18" t="n">
        <v>208358</v>
      </c>
      <c r="X23" s="18" t="n">
        <v>217528</v>
      </c>
      <c r="Y23" s="18" t="n">
        <v>236117</v>
      </c>
      <c r="Z23" s="18" t="n">
        <v>207522</v>
      </c>
      <c r="AA23" s="18" t="n">
        <v>234358</v>
      </c>
      <c r="AB23" s="18" t="n">
        <v>215661</v>
      </c>
      <c r="AC23" s="18" t="n">
        <v>225158</v>
      </c>
    </row>
    <row r="24">
      <c r="A24" s="4" t="inlineStr">
        <is>
          <t>Long-term Debt</t>
        </is>
      </c>
      <c r="B24" s="18" t="n">
        <v>2977</v>
      </c>
      <c r="C24" s="18" t="n">
        <v>2927</v>
      </c>
      <c r="D24" s="18" t="n">
        <v>0</v>
      </c>
      <c r="E24" s="18" t="n">
        <v>421.421009</v>
      </c>
      <c r="F24" s="18" t="n">
        <v>412.148976</v>
      </c>
      <c r="G24" s="18" t="n">
        <v>415.265251</v>
      </c>
      <c r="H24" s="18" t="n">
        <v>0</v>
      </c>
      <c r="I24" s="18" t="n">
        <v>447.538302</v>
      </c>
      <c r="J24" s="18" t="n">
        <v>1987.544952</v>
      </c>
      <c r="K24" s="18" t="n">
        <v>1932.326491</v>
      </c>
      <c r="L24" s="18" t="n">
        <v>9654</v>
      </c>
      <c r="M24" s="18" t="n">
        <v>3602.503982</v>
      </c>
      <c r="N24" s="18" t="n">
        <v>3398.961108</v>
      </c>
      <c r="O24" s="18" t="n">
        <v>3180.015546</v>
      </c>
      <c r="P24" s="18" t="n">
        <v>20775</v>
      </c>
      <c r="Q24" s="18" t="n">
        <v>3539.243497</v>
      </c>
      <c r="R24" s="18" t="n">
        <v>2844.751166</v>
      </c>
      <c r="S24" s="18" t="n">
        <v>2828.827805</v>
      </c>
      <c r="T24" s="18" t="n">
        <v>15976</v>
      </c>
      <c r="U24" s="18" t="n">
        <v>16764</v>
      </c>
      <c r="V24" s="18" t="n">
        <v>7416.860682</v>
      </c>
      <c r="W24" s="18" t="n">
        <v>51452</v>
      </c>
      <c r="X24" s="18" t="n">
        <v>84246</v>
      </c>
      <c r="Y24" s="18" t="n">
        <v>96310</v>
      </c>
      <c r="Z24" s="18" t="n">
        <v>87305</v>
      </c>
      <c r="AA24" s="18" t="n">
        <v>89180</v>
      </c>
      <c r="AB24" s="18" t="n">
        <v>110369</v>
      </c>
      <c r="AC24" s="18" t="n">
        <v>119172</v>
      </c>
    </row>
    <row r="25">
      <c r="A25" s="4" t="inlineStr">
        <is>
          <t>Total Equity</t>
        </is>
      </c>
      <c r="B25" s="18" t="n">
        <v>53085</v>
      </c>
      <c r="C25" s="18" t="n">
        <v>52953</v>
      </c>
      <c r="D25" s="18" t="n">
        <v>8651.494667000001</v>
      </c>
      <c r="E25" s="18" t="n">
        <v>7998.911892</v>
      </c>
      <c r="F25" s="18" t="n">
        <v>9049.796939</v>
      </c>
      <c r="G25" s="18" t="n">
        <v>9384.900161</v>
      </c>
      <c r="H25" s="18" t="n">
        <v>10409.303854</v>
      </c>
      <c r="I25" s="18" t="n">
        <v>9244.067983999999</v>
      </c>
      <c r="J25" s="18" t="n">
        <v>10455.06375</v>
      </c>
      <c r="K25" s="18" t="n">
        <v>10304.078801</v>
      </c>
      <c r="L25" s="18" t="n">
        <v>70746</v>
      </c>
      <c r="M25" s="18" t="n">
        <v>9954.602226999999</v>
      </c>
      <c r="N25" s="18" t="n">
        <v>10466.517182</v>
      </c>
      <c r="O25" s="18" t="n">
        <v>10102.899906</v>
      </c>
      <c r="P25" s="18" t="n">
        <v>83486</v>
      </c>
      <c r="Q25" s="18" t="n">
        <v>11649.298845</v>
      </c>
      <c r="R25" s="18" t="n">
        <v>13256.408565</v>
      </c>
      <c r="S25" s="18" t="n">
        <v>13202.947523</v>
      </c>
      <c r="T25" s="18" t="n">
        <v>106561</v>
      </c>
      <c r="U25" s="18" t="n">
        <v>98911</v>
      </c>
      <c r="V25" s="18" t="n">
        <v>16171.136213</v>
      </c>
      <c r="W25" s="18" t="n">
        <v>120522</v>
      </c>
      <c r="X25" s="18" t="n">
        <v>143486</v>
      </c>
      <c r="Y25" s="18" t="n">
        <v>138540</v>
      </c>
      <c r="Z25" s="18" t="n">
        <v>168066</v>
      </c>
      <c r="AA25" s="18" t="n">
        <v>169896</v>
      </c>
      <c r="AB25" s="18" t="n">
        <v>194047</v>
      </c>
      <c r="AC25" s="18" t="n">
        <v>203065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1110</v>
      </c>
      <c r="C27" s="18" t="n">
        <v>2095</v>
      </c>
      <c r="D27" s="18" t="n">
        <v>195</v>
      </c>
      <c r="E27" s="18" t="n">
        <v>1086</v>
      </c>
      <c r="F27" s="18" t="n">
        <v>1158</v>
      </c>
      <c r="G27" s="18" t="n">
        <v>2130</v>
      </c>
      <c r="H27" s="18" t="n">
        <v>902</v>
      </c>
      <c r="I27" s="18" t="n">
        <v>1377</v>
      </c>
      <c r="J27" s="18" t="n">
        <v>1217</v>
      </c>
      <c r="K27" s="18" t="n">
        <v>1349</v>
      </c>
      <c r="L27" s="18" t="n">
        <v>1368</v>
      </c>
      <c r="M27" s="18" t="n">
        <v>1650</v>
      </c>
      <c r="N27" s="18" t="n">
        <v>1636</v>
      </c>
      <c r="O27" s="18" t="n">
        <v>2041</v>
      </c>
      <c r="P27" s="18" t="n">
        <v>1226</v>
      </c>
      <c r="Q27" s="18" t="n">
        <v>1719</v>
      </c>
      <c r="R27" s="18" t="n">
        <v>2177</v>
      </c>
      <c r="S27" s="18" t="n">
        <v>2525</v>
      </c>
      <c r="T27" s="18" t="n">
        <v>2992</v>
      </c>
      <c r="U27" s="18" t="n">
        <v>2914</v>
      </c>
      <c r="V27" s="18" t="n">
        <v>8845</v>
      </c>
      <c r="W27" s="18" t="n">
        <v>2150</v>
      </c>
      <c r="X27" s="18" t="n">
        <v>5198</v>
      </c>
      <c r="Y27" s="18" t="n">
        <v>3830</v>
      </c>
      <c r="Z27" s="18" t="n">
        <v>4833</v>
      </c>
      <c r="AA27" s="18" t="n">
        <v>7757</v>
      </c>
      <c r="AB27" s="18" t="n">
        <v>5562</v>
      </c>
      <c r="AC27" s="18" t="n">
        <v>3536</v>
      </c>
    </row>
    <row r="28">
      <c r="A28" s="4" t="inlineStr">
        <is>
          <t>Stock-based Compensation</t>
        </is>
      </c>
      <c r="B28" s="18" t="n">
        <v>0</v>
      </c>
      <c r="C28" s="18" t="n">
        <v>0</v>
      </c>
      <c r="D28" s="18" t="n">
        <v>363</v>
      </c>
      <c r="E28" s="18" t="n">
        <v>0</v>
      </c>
      <c r="F28" s="18" t="n">
        <v>0</v>
      </c>
      <c r="G28" s="18" t="n">
        <v>0</v>
      </c>
      <c r="H28" s="18" t="n">
        <v>823</v>
      </c>
      <c r="I28" s="18" t="n">
        <v>0</v>
      </c>
      <c r="J28" s="18" t="n">
        <v>0</v>
      </c>
      <c r="K28" s="18" t="n">
        <v>0</v>
      </c>
      <c r="L28" s="18" t="n">
        <v>1040</v>
      </c>
      <c r="M28" s="18" t="n">
        <v>0</v>
      </c>
      <c r="N28" s="18" t="n">
        <v>0</v>
      </c>
      <c r="O28" s="18" t="n">
        <v>0</v>
      </c>
      <c r="P28" s="18" t="n">
        <v>1539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-898</v>
      </c>
      <c r="C29" s="18" t="n">
        <v>1722</v>
      </c>
      <c r="D29" s="18" t="n">
        <v>-1686</v>
      </c>
      <c r="E29" s="18" t="n">
        <v>-7496</v>
      </c>
      <c r="F29" s="18" t="n">
        <v>7033</v>
      </c>
      <c r="G29" s="18" t="n">
        <v>79</v>
      </c>
      <c r="H29" s="18" t="n">
        <v>-3328</v>
      </c>
      <c r="I29" s="18" t="n">
        <v>-1126</v>
      </c>
      <c r="J29" s="18" t="n">
        <v>2865</v>
      </c>
      <c r="K29" s="18" t="n">
        <v>293</v>
      </c>
      <c r="L29" s="18" t="n">
        <v>-13841</v>
      </c>
      <c r="M29" s="18" t="n">
        <v>1893</v>
      </c>
      <c r="N29" s="18" t="n">
        <v>4089</v>
      </c>
      <c r="O29" s="18" t="n">
        <v>-11010</v>
      </c>
      <c r="P29" s="18" t="n">
        <v>-7025</v>
      </c>
      <c r="Q29" s="18" t="n">
        <v>-10216</v>
      </c>
      <c r="R29" s="18" t="n">
        <v>-4015</v>
      </c>
      <c r="S29" s="18" t="n">
        <v>11669</v>
      </c>
      <c r="T29" s="18" t="n">
        <v>-9683</v>
      </c>
      <c r="U29" s="18" t="n">
        <v>-9608</v>
      </c>
      <c r="V29" s="18" t="n">
        <v>9857</v>
      </c>
      <c r="W29" s="18" t="n">
        <v>-11263</v>
      </c>
      <c r="X29" s="18" t="n">
        <v>13603</v>
      </c>
      <c r="Y29" s="18" t="n">
        <v>-16428</v>
      </c>
      <c r="Z29" s="18" t="n">
        <v>4755</v>
      </c>
      <c r="AA29" s="18" t="n">
        <v>-4960</v>
      </c>
      <c r="AB29" s="18" t="n">
        <v>20370</v>
      </c>
      <c r="AC29" s="18" t="n">
        <v>-33231</v>
      </c>
    </row>
    <row r="30">
      <c r="A30" s="4" t="inlineStr">
        <is>
          <t>Operating Cash Flow</t>
        </is>
      </c>
      <c r="B30" s="18" t="n">
        <v>15039</v>
      </c>
      <c r="C30" s="18" t="n">
        <v>16688</v>
      </c>
      <c r="D30" s="18" t="n">
        <v>5165</v>
      </c>
      <c r="E30" s="18" t="n">
        <v>10012</v>
      </c>
      <c r="F30" s="18" t="n">
        <v>24261</v>
      </c>
      <c r="G30" s="18" t="n">
        <v>17506</v>
      </c>
      <c r="H30" s="18" t="n">
        <v>172</v>
      </c>
      <c r="I30" s="18" t="n">
        <v>11255</v>
      </c>
      <c r="J30" s="18" t="n">
        <v>25255</v>
      </c>
      <c r="K30" s="18" t="n">
        <v>21507</v>
      </c>
      <c r="L30" s="18" t="n">
        <v>-3017</v>
      </c>
      <c r="M30" s="18" t="n">
        <v>23586</v>
      </c>
      <c r="N30" s="18" t="n">
        <v>23961</v>
      </c>
      <c r="O30" s="18" t="n">
        <v>24239</v>
      </c>
      <c r="P30" s="18" t="n">
        <v>7101</v>
      </c>
      <c r="Q30" s="18" t="n">
        <v>29814</v>
      </c>
      <c r="R30" s="18" t="n">
        <v>28577</v>
      </c>
      <c r="S30" s="18" t="n">
        <v>40966</v>
      </c>
      <c r="T30" s="18" t="n">
        <v>9551</v>
      </c>
      <c r="U30" s="18" t="n">
        <v>14314</v>
      </c>
      <c r="V30" s="18" t="n">
        <v>50503</v>
      </c>
      <c r="W30" s="18" t="n">
        <v>43850</v>
      </c>
      <c r="X30" s="18" t="n">
        <v>12301</v>
      </c>
      <c r="Y30" s="18" t="n">
        <v>24591</v>
      </c>
      <c r="Z30" s="18" t="n">
        <v>40785</v>
      </c>
      <c r="AA30" s="18" t="n">
        <v>46107</v>
      </c>
      <c r="AB30" s="18" t="n">
        <v>7619</v>
      </c>
      <c r="AC30" s="18" t="n">
        <v>24084</v>
      </c>
    </row>
    <row r="31">
      <c r="A31" s="4" t="inlineStr">
        <is>
          <t>Capex</t>
        </is>
      </c>
      <c r="B31" s="18" t="n">
        <v>-2779</v>
      </c>
      <c r="C31" s="18" t="n">
        <v>-2447</v>
      </c>
      <c r="D31" s="18" t="n">
        <v>-1907</v>
      </c>
      <c r="E31" s="18" t="n">
        <v>-1723</v>
      </c>
      <c r="F31" s="18" t="n">
        <v>-1367</v>
      </c>
      <c r="G31" s="18" t="n">
        <v>-6086</v>
      </c>
      <c r="H31" s="18" t="n">
        <v>-1518</v>
      </c>
      <c r="I31" s="18" t="n">
        <v>-1499</v>
      </c>
      <c r="J31" s="18" t="n">
        <v>-1884</v>
      </c>
      <c r="K31" s="18" t="n">
        <v>-1688</v>
      </c>
      <c r="L31" s="18" t="n">
        <v>-2049</v>
      </c>
      <c r="M31" s="18" t="n">
        <v>-1780</v>
      </c>
      <c r="N31" s="18" t="n">
        <v>-2575</v>
      </c>
      <c r="O31" s="18" t="n">
        <v>-4225</v>
      </c>
      <c r="P31" s="18" t="n">
        <v>-4961</v>
      </c>
      <c r="Q31" s="18" t="n">
        <v>-4801</v>
      </c>
      <c r="R31" s="18" t="n">
        <v>-7035</v>
      </c>
      <c r="S31" s="18" t="n">
        <v>-10624</v>
      </c>
      <c r="T31" s="18" t="n">
        <v>-16436</v>
      </c>
      <c r="U31" s="18" t="n">
        <v>-9009</v>
      </c>
      <c r="V31" s="18" t="n">
        <v>-13238</v>
      </c>
      <c r="W31" s="18" t="n">
        <v>-12504</v>
      </c>
      <c r="X31" s="18" t="n">
        <v>-16558</v>
      </c>
      <c r="Y31" s="18" t="n">
        <v>-14586</v>
      </c>
      <c r="Z31" s="18" t="n">
        <v>-16275</v>
      </c>
      <c r="AA31" s="18" t="n">
        <v>-15415</v>
      </c>
      <c r="AB31" s="18" t="n">
        <v>-43837</v>
      </c>
      <c r="AC31" s="18" t="n">
        <v>-12039</v>
      </c>
    </row>
    <row r="32">
      <c r="A32" s="4" t="inlineStr">
        <is>
          <t>Free Cash Flow</t>
        </is>
      </c>
      <c r="B32" s="18" t="n">
        <v>12260</v>
      </c>
      <c r="C32" s="18" t="n">
        <v>14241</v>
      </c>
      <c r="D32" s="18" t="n">
        <v>3258</v>
      </c>
      <c r="E32" s="18" t="n">
        <v>8289</v>
      </c>
      <c r="F32" s="18" t="n">
        <v>22894</v>
      </c>
      <c r="G32" s="18" t="n">
        <v>11420</v>
      </c>
      <c r="H32" s="18" t="n">
        <v>-1346</v>
      </c>
      <c r="I32" s="18" t="n">
        <v>9756</v>
      </c>
      <c r="J32" s="18" t="n">
        <v>23371</v>
      </c>
      <c r="K32" s="18" t="n">
        <v>19819</v>
      </c>
      <c r="L32" s="18" t="n">
        <v>-5066</v>
      </c>
      <c r="M32" s="18" t="n">
        <v>21806</v>
      </c>
      <c r="N32" s="18" t="n">
        <v>21386</v>
      </c>
      <c r="O32" s="18" t="n">
        <v>20014</v>
      </c>
      <c r="P32" s="18" t="n">
        <v>2140</v>
      </c>
      <c r="Q32" s="18" t="n">
        <v>25013</v>
      </c>
      <c r="R32" s="18" t="n">
        <v>21542</v>
      </c>
      <c r="S32" s="18" t="n">
        <v>30342</v>
      </c>
      <c r="T32" s="18" t="n">
        <v>-6885</v>
      </c>
      <c r="U32" s="18" t="n">
        <v>5305</v>
      </c>
      <c r="V32" s="18" t="n">
        <v>37265</v>
      </c>
      <c r="W32" s="18" t="n">
        <v>31346</v>
      </c>
      <c r="X32" s="18" t="n">
        <v>-4257</v>
      </c>
      <c r="Y32" s="18" t="n">
        <v>10005</v>
      </c>
      <c r="Z32" s="18" t="n">
        <v>24510</v>
      </c>
      <c r="AA32" s="18" t="n">
        <v>30692</v>
      </c>
      <c r="AB32" s="18" t="n">
        <v>-36218</v>
      </c>
      <c r="AC32" s="18" t="n">
        <v>12045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296030.285576</v>
      </c>
      <c r="C4" s="18" t="n">
        <v>302989.065263</v>
      </c>
      <c r="D4" s="18" t="n">
        <v>325320.622987</v>
      </c>
      <c r="E4" s="18" t="n">
        <v>355676.327683</v>
      </c>
      <c r="F4" s="18" t="n">
        <v>387653.527061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171007.443374</v>
      </c>
      <c r="C8" s="18" t="n">
        <v>175027.312898</v>
      </c>
      <c r="D8" s="18" t="n">
        <v>187927.555809</v>
      </c>
      <c r="E8" s="18" t="n">
        <v>205463.097626</v>
      </c>
      <c r="F8" s="18" t="n">
        <v>223935.326241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140214.35484</v>
      </c>
      <c r="C12" s="18" t="n">
        <v>143510.371673</v>
      </c>
      <c r="D12" s="18" t="n">
        <v>154087.684574</v>
      </c>
      <c r="E12" s="18" t="n">
        <v>168465.62412</v>
      </c>
      <c r="F12" s="18" t="n">
        <v>183611.582486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77124.48559</v>
      </c>
      <c r="C16" s="18" t="n">
        <v>78937.449769</v>
      </c>
      <c r="D16" s="18" t="n">
        <v>84755.469025</v>
      </c>
      <c r="E16" s="18" t="n">
        <v>92664.011575</v>
      </c>
      <c r="F16" s="18" t="n">
        <v>100995.000574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96049.07396199999</v>
      </c>
      <c r="C20" s="18" t="n">
        <v>96302.823862</v>
      </c>
      <c r="D20" s="18" t="n">
        <v>105686.366161</v>
      </c>
      <c r="E20" s="18" t="n">
        <v>118903.511239</v>
      </c>
      <c r="F20" s="18" t="n">
        <v>131200.351466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21.59449</v>
      </c>
      <c r="C24" s="38" t="n">
        <v>21.65154</v>
      </c>
      <c r="D24" s="38" t="n">
        <v>23.76122</v>
      </c>
      <c r="E24" s="38" t="n">
        <v>26.7328</v>
      </c>
      <c r="F24" s="38" t="n">
        <v>29.49747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Novo Nordisk A/S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B34/B35*0.145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0.07112442730308285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2.530776089527795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0.015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0.1289842857154158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2026-06-04T06:26:14Z</dcterms:created>
  <dcterms:modified xmlns:dcterms="http://purl.org/dc/terms/" xmlns:xsi="http://www.w3.org/2001/XMLSchema-instance" xsi:type="dcterms:W3CDTF">2026-06-04T06:26:15Z</dcterms:modified>
</cp:coreProperties>
</file>