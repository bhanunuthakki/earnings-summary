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MercadoLibre, Inc. (MELI)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2026-06-03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2026-06-03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MELI is a LatAm e-commerce + fintech compounder where near-term margins are deliberately suppressed (free-shipping thresholds, 1P mix, cross-border, credit-book expansion) while revenue still compounds ~30%+ off category penetration and the Mercado Envios density flywheel. As GMV scales and unit shipping costs fall, operating leverage lifts the consolidated operating margin from a compressed 11.1% toward the high-teens, with Mercado Pago's risk-adjusted interest income adding a higher-margin, capital-light layer. Growth fades to a mature 4% as the addressable market saturates and the model converges to a steady cash generator.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MercadoLibre, Inc. (MELI)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Service</t>
        </is>
      </c>
      <c r="B20" s="15" t="n">
        <v>0.34</v>
      </c>
      <c r="C20" s="15" t="n">
        <v>0.04</v>
      </c>
      <c r="D20" s="16" t="n">
        <v>0.34</v>
      </c>
      <c r="E20" s="2" t="inlineStr"/>
    </row>
    <row r="21">
      <c r="A21" s="4" t="inlineStr">
        <is>
          <t>Product</t>
        </is>
      </c>
      <c r="B21" s="15" t="n">
        <v>0.5</v>
      </c>
      <c r="C21" s="15" t="n">
        <v>0.04</v>
      </c>
      <c r="D21" s="16" t="n">
        <v>0.5</v>
      </c>
      <c r="E21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0.125</v>
      </c>
      <c r="D29" s="16" t="n">
        <v>0.125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0.185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0.28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1728.38455624</v>
      </c>
      <c r="D34" s="18" t="n">
        <v>1728.38455624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1.406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14</v>
      </c>
    </row>
    <row r="46">
      <c r="A46" s="4" t="inlineStr">
        <is>
          <t>Terminal growth (g)</t>
        </is>
      </c>
      <c r="B46" s="15" t="n">
        <v>0.045</v>
      </c>
    </row>
    <row r="48">
      <c r="A48" s="4" t="inlineStr">
        <is>
          <t>Current price</t>
        </is>
      </c>
      <c r="B48" s="23" t="n">
        <v>1649.800048828125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Service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Product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27">
        <f>IFERROR(G8/F8-1,"")</f>
        <v/>
      </c>
      <c r="H9" s="27">
        <f>IFERROR(H8/G8-1,"")</f>
        <v/>
      </c>
      <c r="I9" s="27">
        <f>IFERROR(I8/H8-1,"")</f>
        <v/>
      </c>
      <c r="J9" s="27">
        <f>IFERROR(J8/I8-1,"")</f>
        <v/>
      </c>
      <c r="K9" s="27">
        <f>IFERROR(K8/J8-1,"")</f>
        <v/>
      </c>
      <c r="L9" s="27">
        <f>IFERROR(L8/K8-1,"")</f>
        <v/>
      </c>
      <c r="M9" s="27">
        <f>IFERROR(M8/L8-1,"")</f>
        <v/>
      </c>
      <c r="N9" s="27">
        <f>IFERROR(N8/M8-1,"")</f>
        <v/>
      </c>
      <c r="O9" s="27">
        <f>IFERROR(O8/N8-1,"")</f>
        <v/>
      </c>
      <c r="P9" s="2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SUM(Financials!I5:L5)</f>
        <v/>
      </c>
      <c r="C12" s="28">
        <f>SUM(Financials!M5:P5)</f>
        <v/>
      </c>
      <c r="D12" s="28">
        <f>SUM(Financials!Q5:T5)</f>
        <v/>
      </c>
      <c r="E12" s="28">
        <f>SUM(Financials!U5:X5)</f>
        <v/>
      </c>
      <c r="F12" s="28">
        <f>SUM(Financials!Y5:AB5)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27">
        <f>IFERROR(B12/B8,"")</f>
        <v/>
      </c>
      <c r="C13" s="27">
        <f>IFERROR(C12/C8,"")</f>
        <v/>
      </c>
      <c r="D13" s="27">
        <f>IFERROR(D12/D8,"")</f>
        <v/>
      </c>
      <c r="E13" s="27">
        <f>IFERROR(E12/E8,"")</f>
        <v/>
      </c>
      <c r="F13" s="27">
        <f>IFERROR(F12/F8,"")</f>
        <v/>
      </c>
      <c r="G13" s="15" t="n">
        <v>0.5549787145675423</v>
      </c>
      <c r="H13" s="15" t="n">
        <v>0.5549787145675423</v>
      </c>
      <c r="I13" s="15" t="n">
        <v>0.5549787145675423</v>
      </c>
      <c r="J13" s="15" t="n">
        <v>0.5549787145675423</v>
      </c>
      <c r="K13" s="15" t="n">
        <v>0.5549787145675423</v>
      </c>
      <c r="L13" s="15" t="n">
        <v>0.5549787145675423</v>
      </c>
      <c r="M13" s="15" t="n">
        <v>0.5549787145675423</v>
      </c>
      <c r="N13" s="15" t="n">
        <v>0.5549787145675423</v>
      </c>
      <c r="O13" s="15" t="n">
        <v>0.5549787145675423</v>
      </c>
      <c r="P13" s="15" t="n">
        <v>0.5549787145675423</v>
      </c>
    </row>
    <row r="14">
      <c r="A14" s="4" t="inlineStr">
        <is>
          <t>R&amp;D / Technology</t>
        </is>
      </c>
      <c r="B14" s="28">
        <f>SUM(Financials!I7:L7)</f>
        <v/>
      </c>
      <c r="C14" s="28">
        <f>SUM(Financials!M7:P7)</f>
        <v/>
      </c>
      <c r="D14" s="28">
        <f>SUM(Financials!Q7:T7)</f>
        <v/>
      </c>
      <c r="E14" s="28">
        <f>SUM(Financials!U7:X7)</f>
        <v/>
      </c>
      <c r="F14" s="28">
        <f>SUM(Financials!Y7:AB7)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27">
        <f>IFERROR(B14/B8,"")</f>
        <v/>
      </c>
      <c r="C15" s="27">
        <f>IFERROR(C14/C8,"")</f>
        <v/>
      </c>
      <c r="D15" s="27">
        <f>IFERROR(D14/D8,"")</f>
        <v/>
      </c>
      <c r="E15" s="27">
        <f>IFERROR(E14/E8,"")</f>
        <v/>
      </c>
      <c r="F15" s="27">
        <f>IFERROR(F14/F8,"")</f>
        <v/>
      </c>
      <c r="G15" s="15" t="n">
        <v>0.07853113210812307</v>
      </c>
      <c r="H15" s="15" t="n">
        <v>0.07853113210812307</v>
      </c>
      <c r="I15" s="15" t="n">
        <v>0.07853113210812307</v>
      </c>
      <c r="J15" s="15" t="n">
        <v>0.07853113210812307</v>
      </c>
      <c r="K15" s="15" t="n">
        <v>0.07853113210812307</v>
      </c>
      <c r="L15" s="15" t="n">
        <v>0.07853113210812307</v>
      </c>
      <c r="M15" s="15" t="n">
        <v>0.07853113210812307</v>
      </c>
      <c r="N15" s="15" t="n">
        <v>0.07853113210812307</v>
      </c>
      <c r="O15" s="15" t="n">
        <v>0.07853113210812307</v>
      </c>
      <c r="P15" s="15" t="n">
        <v>0.07853113210812307</v>
      </c>
    </row>
    <row r="16">
      <c r="A16" s="4" t="inlineStr">
        <is>
          <t>SG&amp;A</t>
        </is>
      </c>
      <c r="B16" s="28">
        <f>SUM(Financials!I9:L9)</f>
        <v/>
      </c>
      <c r="C16" s="28">
        <f>SUM(Financials!M9:P9)</f>
        <v/>
      </c>
      <c r="D16" s="28">
        <f>SUM(Financials!Q9:T9)</f>
        <v/>
      </c>
      <c r="E16" s="28">
        <f>SUM(Financials!U9:X9)</f>
        <v/>
      </c>
      <c r="F16" s="28">
        <f>SUM(Financials!Y9:AB9)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27">
        <f>IFERROR(B16/B8,"")</f>
        <v/>
      </c>
      <c r="C17" s="27">
        <f>IFERROR(C16/C8,"")</f>
        <v/>
      </c>
      <c r="D17" s="27">
        <f>IFERROR(D16/D8,"")</f>
        <v/>
      </c>
      <c r="E17" s="27">
        <f>IFERROR(E16/E8,"")</f>
        <v/>
      </c>
      <c r="F17" s="27">
        <f>IFERROR(F16/F8,"")</f>
        <v/>
      </c>
      <c r="G17" s="15" t="n">
        <v>0.1250821998407919</v>
      </c>
      <c r="H17" s="15" t="n">
        <v>0.1250821998407919</v>
      </c>
      <c r="I17" s="15" t="n">
        <v>0.1250821998407919</v>
      </c>
      <c r="J17" s="15" t="n">
        <v>0.1250821998407919</v>
      </c>
      <c r="K17" s="15" t="n">
        <v>0.1250821998407919</v>
      </c>
      <c r="L17" s="15" t="n">
        <v>0.1250821998407919</v>
      </c>
      <c r="M17" s="15" t="n">
        <v>0.1250821998407919</v>
      </c>
      <c r="N17" s="15" t="n">
        <v>0.1250821998407919</v>
      </c>
      <c r="O17" s="15" t="n">
        <v>0.1250821998407919</v>
      </c>
      <c r="P17" s="15" t="n">
        <v>0.1250821998407919</v>
      </c>
    </row>
    <row r="18">
      <c r="A18" s="4" t="inlineStr">
        <is>
          <t>Other opex (fulfilment, etc.)</t>
        </is>
      </c>
      <c r="B18" s="28">
        <f>B8-(B12+B14+B16)-SUM(Financials!I13:L13)</f>
        <v/>
      </c>
      <c r="C18" s="28">
        <f>C8-(C12+C14+C16)-SUM(Financials!M13:P13)</f>
        <v/>
      </c>
      <c r="D18" s="28">
        <f>D8-(D12+D14+D16)-SUM(Financials!Q13:T13)</f>
        <v/>
      </c>
      <c r="E18" s="28">
        <f>E8-(E12+E14+E16)-SUM(Financials!U13:X13)</f>
        <v/>
      </c>
      <c r="F18" s="28">
        <f>F8-(F12+F14+F16)-SUM(Financials!Y13:AB13)</f>
        <v/>
      </c>
      <c r="G18" s="28">
        <f>G8*(1-(Dashboard!$B$29+(Dashboard!$B$30-Dashboard!$B$29)*MIN(1,0/4)))-(G12+G14+G16)</f>
        <v/>
      </c>
      <c r="H18" s="28">
        <f>H8*(1-(Dashboard!$B$29+(Dashboard!$B$30-Dashboard!$B$29)*MIN(1,1/4)))-(H12+H14+H16)</f>
        <v/>
      </c>
      <c r="I18" s="28">
        <f>I8*(1-(Dashboard!$B$29+(Dashboard!$B$30-Dashboard!$B$29)*MIN(1,2/4)))-(I12+I14+I16)</f>
        <v/>
      </c>
      <c r="J18" s="28">
        <f>J8*(1-(Dashboard!$B$29+(Dashboard!$B$30-Dashboard!$B$29)*MIN(1,3/4)))-(J12+J14+J16)</f>
        <v/>
      </c>
      <c r="K18" s="28">
        <f>K8*(1-(Dashboard!$B$29+(Dashboard!$B$30-Dashboard!$B$29)*MIN(1,4/4)))-(K12+K14+K16)</f>
        <v/>
      </c>
      <c r="L18" s="28">
        <f>L8*(1-(Dashboard!$B$29+(Dashboard!$B$30-Dashboard!$B$29)*MIN(1,5/4)))-(L12+L14+L16)</f>
        <v/>
      </c>
      <c r="M18" s="28">
        <f>M8*(1-(Dashboard!$B$29+(Dashboard!$B$30-Dashboard!$B$29)*MIN(1,6/4)))-(M12+M14+M16)</f>
        <v/>
      </c>
      <c r="N18" s="28">
        <f>N8*(1-(Dashboard!$B$29+(Dashboard!$B$30-Dashboard!$B$29)*MIN(1,7/4)))-(N12+N14+N16)</f>
        <v/>
      </c>
      <c r="O18" s="28">
        <f>O8*(1-(Dashboard!$B$29+(Dashboard!$B$30-Dashboard!$B$29)*MIN(1,8/4)))-(O12+O14+O16)</f>
        <v/>
      </c>
      <c r="P18" s="28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7">
        <f>IFERROR(B18/B8,"")</f>
        <v/>
      </c>
      <c r="C19" s="27">
        <f>IFERROR(C18/C8,"")</f>
        <v/>
      </c>
      <c r="D19" s="27">
        <f>IFERROR(D18/D8,"")</f>
        <v/>
      </c>
      <c r="E19" s="27">
        <f>IFERROR(E18/E8,"")</f>
        <v/>
      </c>
      <c r="F19" s="27">
        <f>IFERROR(F18/F8,"")</f>
        <v/>
      </c>
      <c r="G19" s="27">
        <f>IFERROR(G18/G8,"")</f>
        <v/>
      </c>
      <c r="H19" s="27">
        <f>IFERROR(H18/H8,"")</f>
        <v/>
      </c>
      <c r="I19" s="27">
        <f>IFERROR(I18/I8,"")</f>
        <v/>
      </c>
      <c r="J19" s="27">
        <f>IFERROR(J18/J8,"")</f>
        <v/>
      </c>
      <c r="K19" s="27">
        <f>IFERROR(K18/K8,"")</f>
        <v/>
      </c>
      <c r="L19" s="27">
        <f>IFERROR(L18/L8,"")</f>
        <v/>
      </c>
      <c r="M19" s="27">
        <f>IFERROR(M18/M8,"")</f>
        <v/>
      </c>
      <c r="N19" s="27">
        <f>IFERROR(N18/N8,"")</f>
        <v/>
      </c>
      <c r="O19" s="27">
        <f>IFERROR(O18/O8,"")</f>
        <v/>
      </c>
      <c r="P19" s="2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27">
        <f>IFERROR(B21/B8,"")</f>
        <v/>
      </c>
      <c r="C22" s="27">
        <f>IFERROR(C21/C8,"")</f>
        <v/>
      </c>
      <c r="D22" s="27">
        <f>IFERROR(D21/D8,"")</f>
        <v/>
      </c>
      <c r="E22" s="27">
        <f>IFERROR(E21/E8,"")</f>
        <v/>
      </c>
      <c r="F22" s="27">
        <f>IFERROR(F21/F8,"")</f>
        <v/>
      </c>
      <c r="G22" s="27">
        <f>IFERROR(G21/G8,"")</f>
        <v/>
      </c>
      <c r="H22" s="27">
        <f>IFERROR(H21/H8,"")</f>
        <v/>
      </c>
      <c r="I22" s="27">
        <f>IFERROR(I21/I8,"")</f>
        <v/>
      </c>
      <c r="J22" s="27">
        <f>IFERROR(J21/J8,"")</f>
        <v/>
      </c>
      <c r="K22" s="27">
        <f>IFERROR(K21/K8,"")</f>
        <v/>
      </c>
      <c r="L22" s="27">
        <f>IFERROR(L21/L8,"")</f>
        <v/>
      </c>
      <c r="M22" s="27">
        <f>IFERROR(M21/M8,"")</f>
        <v/>
      </c>
      <c r="N22" s="27">
        <f>IFERROR(N21/N8,"")</f>
        <v/>
      </c>
      <c r="O22" s="27">
        <f>IFERROR(O21/O8,"")</f>
        <v/>
      </c>
      <c r="P22" s="2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SUM(Financials!I47:L47)</f>
        <v/>
      </c>
      <c r="C26" s="28">
        <f>SUM(Financials!M47:P47)</f>
        <v/>
      </c>
      <c r="D26" s="28">
        <f>SUM(Financials!Q47:T47)</f>
        <v/>
      </c>
      <c r="E26" s="28">
        <f>SUM(Financials!U47:X47)</f>
        <v/>
      </c>
      <c r="F26" s="28">
        <f>SUM(Financials!Y47:AB47)</f>
        <v/>
      </c>
      <c r="G26" s="32">
        <f>G8*0.0283</f>
        <v/>
      </c>
      <c r="H26" s="32">
        <f>H8*0.0283</f>
        <v/>
      </c>
      <c r="I26" s="32">
        <f>I8*0.0283</f>
        <v/>
      </c>
      <c r="J26" s="32">
        <f>J8*0.0283</f>
        <v/>
      </c>
      <c r="K26" s="32">
        <f>K8*0.0283</f>
        <v/>
      </c>
      <c r="L26" s="32">
        <f>L8*0.0283</f>
        <v/>
      </c>
      <c r="M26" s="32">
        <f>M8*0.0283</f>
        <v/>
      </c>
      <c r="N26" s="32">
        <f>N8*0.0283</f>
        <v/>
      </c>
      <c r="O26" s="32">
        <f>O8*0.0283</f>
        <v/>
      </c>
      <c r="P26" s="32">
        <f>P8*0.0283</f>
        <v/>
      </c>
    </row>
    <row r="27">
      <c r="A27" s="4" t="inlineStr">
        <is>
          <t>+ SBC (non-cash)</t>
        </is>
      </c>
      <c r="B27" s="28">
        <f>SUM(Financials!I48:L48)</f>
        <v/>
      </c>
      <c r="C27" s="28">
        <f>SUM(Financials!M48:P48)</f>
        <v/>
      </c>
      <c r="D27" s="28">
        <f>SUM(Financials!Q48:T48)</f>
        <v/>
      </c>
      <c r="E27" s="28">
        <f>SUM(Financials!U48:X48)</f>
        <v/>
      </c>
      <c r="F27" s="28">
        <f>SUM(Financials!Y48:AB48)</f>
        <v/>
      </c>
      <c r="G27" s="32">
        <f>G8*0.0055</f>
        <v/>
      </c>
      <c r="H27" s="32">
        <f>H8*0.0053</f>
        <v/>
      </c>
      <c r="I27" s="32">
        <f>I8*0.0050</f>
        <v/>
      </c>
      <c r="J27" s="32">
        <f>J8*0.0048</f>
        <v/>
      </c>
      <c r="K27" s="32">
        <f>K8*0.0046</f>
        <v/>
      </c>
      <c r="L27" s="32">
        <f>L8*0.0043</f>
        <v/>
      </c>
      <c r="M27" s="32">
        <f>M8*0.0041</f>
        <v/>
      </c>
      <c r="N27" s="32">
        <f>N8*0.0038</f>
        <v/>
      </c>
      <c r="O27" s="32">
        <f>O8*0.0036</f>
        <v/>
      </c>
      <c r="P27" s="32">
        <f>P8*0.0033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-SUM(Financials!I51:L51)</f>
        <v/>
      </c>
      <c r="C29" s="28">
        <f>-SUM(Financials!M51:P51)</f>
        <v/>
      </c>
      <c r="D29" s="28">
        <f>-SUM(Financials!Q51:T51)</f>
        <v/>
      </c>
      <c r="E29" s="28">
        <f>-SUM(Financials!U51:X51)</f>
        <v/>
      </c>
      <c r="F29" s="28">
        <f>-SUM(Financials!Y51:AB51)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34">
        <f>IFERROR(B29/B26,"")</f>
        <v/>
      </c>
      <c r="C30" s="34">
        <f>IFERROR(C29/C26,"")</f>
        <v/>
      </c>
      <c r="D30" s="34">
        <f>IFERROR(D29/D26,"")</f>
        <v/>
      </c>
      <c r="E30" s="34">
        <f>IFERROR(E29/E26,"")</f>
        <v/>
      </c>
      <c r="F30" s="34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Financials!L45+Financials!L44-Financials!L39</f>
        <v/>
      </c>
      <c r="C36" s="28">
        <f>Financials!P45+Financials!P44-Financials!P39</f>
        <v/>
      </c>
      <c r="D36" s="28">
        <f>Financials!T45+Financials!T44-Financials!T39</f>
        <v/>
      </c>
      <c r="E36" s="28">
        <f>Financials!X45+Financials!X44-Financials!X39</f>
        <v/>
      </c>
      <c r="F36" s="28">
        <f>Financials!AB45+Financials!AB44-Financials!AB39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Financials!L45</f>
        <v/>
      </c>
      <c r="C37" s="28">
        <f>Financials!P45</f>
        <v/>
      </c>
      <c r="D37" s="28">
        <f>Financials!T45</f>
        <v/>
      </c>
      <c r="E37" s="28">
        <f>Financials!X45</f>
        <v/>
      </c>
      <c r="F37" s="28">
        <f>Financials!AB45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27">
        <f>IFERROR(C25/B36,"")</f>
        <v/>
      </c>
      <c r="D38" s="27">
        <f>IFERROR(D25/C36,"")</f>
        <v/>
      </c>
      <c r="E38" s="27">
        <f>IFERROR(E25/D36,"")</f>
        <v/>
      </c>
      <c r="F38" s="27">
        <f>IFERROR(F25/E36,"")</f>
        <v/>
      </c>
      <c r="G38" s="27">
        <f>IFERROR(G25/F36,"")</f>
        <v/>
      </c>
      <c r="H38" s="27">
        <f>IFERROR(H25/G36,"")</f>
        <v/>
      </c>
      <c r="I38" s="27">
        <f>IFERROR(I25/H36,"")</f>
        <v/>
      </c>
      <c r="J38" s="27">
        <f>IFERROR(J25/I36,"")</f>
        <v/>
      </c>
      <c r="K38" s="27">
        <f>IFERROR(K25/J36,"")</f>
        <v/>
      </c>
      <c r="L38" s="27">
        <f>IFERROR(L25/K36,"")</f>
        <v/>
      </c>
      <c r="M38" s="27">
        <f>IFERROR(M25/L36,"")</f>
        <v/>
      </c>
      <c r="N38" s="27">
        <f>IFERROR(N25/M36,"")</f>
        <v/>
      </c>
      <c r="O38" s="27">
        <f>IFERROR(O25/N36,"")</f>
        <v/>
      </c>
      <c r="P38" s="27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7">
        <f>IFERROR(G25/F37,"")</f>
        <v/>
      </c>
      <c r="H39" s="27">
        <f>IFERROR(H25/G37,"")</f>
        <v/>
      </c>
      <c r="I39" s="27">
        <f>IFERROR(I25/H37,"")</f>
        <v/>
      </c>
      <c r="J39" s="27">
        <f>IFERROR(J25/I37,"")</f>
        <v/>
      </c>
      <c r="K39" s="27">
        <f>IFERROR(K25/J37,"")</f>
        <v/>
      </c>
      <c r="L39" s="27">
        <f>IFERROR(L25/K37,"")</f>
        <v/>
      </c>
      <c r="M39" s="27">
        <f>IFERROR(M25/L37,"")</f>
        <v/>
      </c>
      <c r="N39" s="27">
        <f>IFERROR(N25/M37,"")</f>
        <v/>
      </c>
      <c r="O39" s="27">
        <f>IFERROR(O25/N37,"")</f>
        <v/>
      </c>
      <c r="P39" s="27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IFERROR(C38-WACC!$B$14,"")</f>
        <v/>
      </c>
      <c r="D40" s="11">
        <f>IFERROR(D38-WACC!$B$14,"")</f>
        <v/>
      </c>
      <c r="E40" s="11">
        <f>IFERROR(E38-WACC!$B$14,"")</f>
        <v/>
      </c>
      <c r="F40" s="11">
        <f>IFERROR(F38-WACC!$B$14,"")</f>
        <v/>
      </c>
      <c r="G40" s="11">
        <f>IFERROR(G38-WACC!$B$14,"")</f>
        <v/>
      </c>
      <c r="H40" s="11">
        <f>IFERROR(H38-WACC!$B$14,"")</f>
        <v/>
      </c>
      <c r="I40" s="11">
        <f>IFERROR(I38-WACC!$B$14,"")</f>
        <v/>
      </c>
      <c r="J40" s="11">
        <f>IFERROR(J38-WACC!$B$14,"")</f>
        <v/>
      </c>
      <c r="K40" s="11">
        <f>IFERROR(K38-WACC!$B$14,"")</f>
        <v/>
      </c>
      <c r="L40" s="11">
        <f>IFERROR(L38-WACC!$B$14,"")</f>
        <v/>
      </c>
      <c r="M40" s="11">
        <f>IFERROR(M38-WACC!$B$14,"")</f>
        <v/>
      </c>
      <c r="N40" s="11">
        <f>IFERROR(N38-WACC!$B$14,"")</f>
        <v/>
      </c>
      <c r="O40" s="11">
        <f>IFERROR(O38-WACC!$B$14,"")</f>
        <v/>
      </c>
      <c r="P40" s="11">
        <f>IFERROR(P38-WACC!$B$14,"")</f>
        <v/>
      </c>
    </row>
    <row r="41">
      <c r="A41" s="4" t="inlineStr">
        <is>
          <t xml:space="preserve">  Incremental op margin (ΔEBIT / ΔRev)</t>
        </is>
      </c>
      <c r="C41" s="27">
        <f>IFERROR((C21-B21)/(C8-B8),"")</f>
        <v/>
      </c>
      <c r="D41" s="27">
        <f>IFERROR((D21-C21)/(D8-C8),"")</f>
        <v/>
      </c>
      <c r="E41" s="27">
        <f>IFERROR((E21-D21)/(E8-D8),"")</f>
        <v/>
      </c>
      <c r="F41" s="27">
        <f>IFERROR((F21-E21)/(F8-E8),"")</f>
        <v/>
      </c>
      <c r="G41" s="27">
        <f>IFERROR((G21-F21)/(G8-F8),"")</f>
        <v/>
      </c>
      <c r="H41" s="27">
        <f>IFERROR((H21-G21)/(H8-G8),"")</f>
        <v/>
      </c>
      <c r="I41" s="27">
        <f>IFERROR((I21-H21)/(I8-H8),"")</f>
        <v/>
      </c>
      <c r="J41" s="27">
        <f>IFERROR((J21-I21)/(J8-I8),"")</f>
        <v/>
      </c>
      <c r="K41" s="27">
        <f>IFERROR((K21-J21)/(K8-J8),"")</f>
        <v/>
      </c>
      <c r="L41" s="27">
        <f>IFERROR((L21-K21)/(L8-K8),"")</f>
        <v/>
      </c>
      <c r="M41" s="27">
        <f>IFERROR((M21-L21)/(M8-L8),"")</f>
        <v/>
      </c>
      <c r="N41" s="27">
        <f>IFERROR((N21-M21)/(N8-M8),"")</f>
        <v/>
      </c>
      <c r="O41" s="27">
        <f>IFERROR((O21-N21)/(O8-N8),"")</f>
        <v/>
      </c>
      <c r="P41" s="27">
        <f>IFERROR((P21-O21)/(P8-O8),"")</f>
        <v/>
      </c>
    </row>
    <row r="42">
      <c r="A42" s="3" t="inlineStr">
        <is>
          <t xml:space="preserve">  ROIIC (ΔNOPAT / ΔInvested capital)</t>
        </is>
      </c>
      <c r="C42" s="27">
        <f>IFERROR((C25-B25)/(C36-B36),"")</f>
        <v/>
      </c>
      <c r="D42" s="27">
        <f>IFERROR((D25-C25)/(D36-C36),"")</f>
        <v/>
      </c>
      <c r="E42" s="27">
        <f>IFERROR((E25-D25)/(E36-D36),"")</f>
        <v/>
      </c>
      <c r="F42" s="27">
        <f>IFERROR((F25-E25)/(F36-E36),"")</f>
        <v/>
      </c>
      <c r="G42" s="27">
        <f>IFERROR((G25-F25)/(G36-F36),"")</f>
        <v/>
      </c>
      <c r="H42" s="27">
        <f>IFERROR((H25-G25)/(H36-G36),"")</f>
        <v/>
      </c>
      <c r="I42" s="27">
        <f>IFERROR((I25-H25)/(I36-H36),"")</f>
        <v/>
      </c>
      <c r="J42" s="27">
        <f>IFERROR((J25-I25)/(J36-I36),"")</f>
        <v/>
      </c>
      <c r="K42" s="27">
        <f>IFERROR((K25-J25)/(K36-J36),"")</f>
        <v/>
      </c>
      <c r="L42" s="27">
        <f>IFERROR((L25-K25)/(L36-K36),"")</f>
        <v/>
      </c>
      <c r="M42" s="27">
        <f>IFERROR((M25-L25)/(M36-L36),"")</f>
        <v/>
      </c>
      <c r="N42" s="27">
        <f>IFERROR((N25-M25)/(N36-M36),"")</f>
        <v/>
      </c>
      <c r="O42" s="27">
        <f>IFERROR((O25-N25)/(O36-N36),"")</f>
        <v/>
      </c>
      <c r="P42" s="2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35">
        <f>IFERROR((C8-B8)/(C36-B36),"")</f>
        <v/>
      </c>
      <c r="D43" s="35">
        <f>IFERROR((D8-C8)/(D36-C36),"")</f>
        <v/>
      </c>
      <c r="E43" s="35">
        <f>IFERROR((E8-D8)/(E36-D36),"")</f>
        <v/>
      </c>
      <c r="F43" s="35">
        <f>IFERROR((F8-E8)/(F36-E36),"")</f>
        <v/>
      </c>
      <c r="G43" s="35">
        <f>IFERROR((G8-F8)/(G36-F36),"")</f>
        <v/>
      </c>
      <c r="H43" s="35">
        <f>IFERROR((H8-G8)/(H36-G36),"")</f>
        <v/>
      </c>
      <c r="I43" s="35">
        <f>IFERROR((I8-H8)/(I36-H36),"")</f>
        <v/>
      </c>
      <c r="J43" s="35">
        <f>IFERROR((J8-I8)/(J36-I36),"")</f>
        <v/>
      </c>
      <c r="K43" s="35">
        <f>IFERROR((K8-J8)/(K36-J36),"")</f>
        <v/>
      </c>
      <c r="L43" s="35">
        <f>IFERROR((L8-K8)/(L36-K36),"")</f>
        <v/>
      </c>
      <c r="M43" s="35">
        <f>IFERROR((M8-L8)/(M36-L36),"")</f>
        <v/>
      </c>
      <c r="N43" s="35">
        <f>IFERROR((N8-M8)/(N36-M36),"")</f>
        <v/>
      </c>
      <c r="O43" s="35">
        <f>IFERROR((O8-N8)/(O36-N36),"")</f>
        <v/>
      </c>
      <c r="P43" s="35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7">
        <f>IFERROR((C36-B36)/C25,"")</f>
        <v/>
      </c>
      <c r="D44" s="27">
        <f>IFERROR((D36-C36)/D25,"")</f>
        <v/>
      </c>
      <c r="E44" s="27">
        <f>IFERROR((E36-D36)/E25,"")</f>
        <v/>
      </c>
      <c r="F44" s="27">
        <f>IFERROR((F36-E36)/F25,"")</f>
        <v/>
      </c>
      <c r="G44" s="27">
        <f>IFERROR((G36-F36)/G25,"")</f>
        <v/>
      </c>
      <c r="H44" s="27">
        <f>IFERROR((H36-G36)/H25,"")</f>
        <v/>
      </c>
      <c r="I44" s="27">
        <f>IFERROR((I36-H36)/I25,"")</f>
        <v/>
      </c>
      <c r="J44" s="27">
        <f>IFERROR((J36-I36)/J25,"")</f>
        <v/>
      </c>
      <c r="K44" s="27">
        <f>IFERROR((K36-J36)/K25,"")</f>
        <v/>
      </c>
      <c r="L44" s="27">
        <f>IFERROR((L36-K36)/L25,"")</f>
        <v/>
      </c>
      <c r="M44" s="27">
        <f>IFERROR((M36-L36)/M25,"")</f>
        <v/>
      </c>
      <c r="N44" s="27">
        <f>IFERROR((N36-M36)/N25,"")</f>
        <v/>
      </c>
      <c r="O44" s="27">
        <f>IFERROR((O36-N36)/O25,"")</f>
        <v/>
      </c>
      <c r="P44" s="2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545.242</v>
      </c>
      <c r="C3" s="18" t="n">
        <v>603.0309999999999</v>
      </c>
      <c r="D3" s="18" t="n">
        <v>674.271</v>
      </c>
      <c r="E3" s="18" t="n">
        <v>652.091</v>
      </c>
      <c r="F3" s="18" t="n">
        <v>878.369</v>
      </c>
      <c r="G3" s="18" t="n">
        <v>1115.701</v>
      </c>
      <c r="H3" s="18" t="n">
        <v>1327.304</v>
      </c>
      <c r="I3" s="18" t="n">
        <v>1378</v>
      </c>
      <c r="J3" s="18" t="n">
        <v>1703</v>
      </c>
      <c r="K3" s="18" t="n">
        <v>1858</v>
      </c>
      <c r="L3" s="18" t="n">
        <v>2130.766</v>
      </c>
      <c r="M3" s="18" t="n">
        <v>2248</v>
      </c>
      <c r="N3" s="18" t="n">
        <v>2597</v>
      </c>
      <c r="O3" s="18" t="n">
        <v>2690</v>
      </c>
      <c r="P3" s="18" t="n">
        <v>3002</v>
      </c>
      <c r="Q3" s="18" t="n">
        <v>3186</v>
      </c>
      <c r="R3" s="18" t="n">
        <v>3585</v>
      </c>
      <c r="S3" s="18" t="n">
        <v>3927</v>
      </c>
      <c r="T3" s="18" t="n">
        <v>4261</v>
      </c>
      <c r="U3" s="18" t="n">
        <v>4333</v>
      </c>
      <c r="V3" s="18" t="n">
        <v>5073</v>
      </c>
      <c r="W3" s="18" t="n">
        <v>5312</v>
      </c>
      <c r="X3" s="18" t="n">
        <v>6059</v>
      </c>
      <c r="Y3" s="18" t="n">
        <v>5935</v>
      </c>
      <c r="Z3" s="18" t="n">
        <v>6790</v>
      </c>
      <c r="AA3" s="18" t="n">
        <v>7409</v>
      </c>
      <c r="AB3" s="18" t="n">
        <v>8759</v>
      </c>
      <c r="AC3" s="18" t="n">
        <v>8845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272.812</v>
      </c>
      <c r="C5" s="18" t="n">
        <v>318.689</v>
      </c>
      <c r="D5" s="18" t="n">
        <v>365.924</v>
      </c>
      <c r="E5" s="18" t="n">
        <v>339.277</v>
      </c>
      <c r="F5" s="18" t="n">
        <v>451.197</v>
      </c>
      <c r="G5" s="18" t="n">
        <v>635.511</v>
      </c>
      <c r="H5" s="18" t="n">
        <v>838.27</v>
      </c>
      <c r="I5" s="18" t="n">
        <v>787</v>
      </c>
      <c r="J5" s="18" t="n">
        <v>949</v>
      </c>
      <c r="K5" s="18" t="n">
        <v>1051</v>
      </c>
      <c r="L5" s="18" t="n">
        <v>1277.601</v>
      </c>
      <c r="M5" s="18" t="n">
        <v>1175</v>
      </c>
      <c r="N5" s="18" t="n">
        <v>1313</v>
      </c>
      <c r="O5" s="18" t="n">
        <v>1342</v>
      </c>
      <c r="P5" s="18" t="n">
        <v>1544</v>
      </c>
      <c r="Q5" s="18" t="n">
        <v>1572</v>
      </c>
      <c r="R5" s="18" t="n">
        <v>1754</v>
      </c>
      <c r="S5" s="18" t="n">
        <v>1832</v>
      </c>
      <c r="T5" s="18" t="n">
        <v>2306</v>
      </c>
      <c r="U5" s="18" t="n">
        <v>2309</v>
      </c>
      <c r="V5" s="18" t="n">
        <v>2708</v>
      </c>
      <c r="W5" s="18" t="n">
        <v>2873</v>
      </c>
      <c r="X5" s="18" t="n">
        <v>3310</v>
      </c>
      <c r="Y5" s="18" t="n">
        <v>3164</v>
      </c>
      <c r="Z5" s="18" t="n">
        <v>3696</v>
      </c>
      <c r="AA5" s="18" t="n">
        <v>4200</v>
      </c>
      <c r="AB5" s="18" t="n">
        <v>4975</v>
      </c>
      <c r="AC5" s="18" t="n">
        <v>4983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53.923</v>
      </c>
      <c r="C7" s="18" t="n">
        <v>59.495</v>
      </c>
      <c r="D7" s="18" t="n">
        <v>58.02</v>
      </c>
      <c r="E7" s="18" t="n">
        <v>73.435</v>
      </c>
      <c r="F7" s="18" t="n">
        <v>73.254</v>
      </c>
      <c r="G7" s="18" t="n">
        <v>88.79600000000001</v>
      </c>
      <c r="H7" s="18" t="n">
        <v>116.989</v>
      </c>
      <c r="I7" s="18" t="n">
        <v>126</v>
      </c>
      <c r="J7" s="18" t="n">
        <v>147</v>
      </c>
      <c r="K7" s="18" t="n">
        <v>138</v>
      </c>
      <c r="L7" s="18" t="n">
        <v>179.637</v>
      </c>
      <c r="M7" s="18" t="n">
        <v>234</v>
      </c>
      <c r="N7" s="18" t="n">
        <v>262</v>
      </c>
      <c r="O7" s="18" t="n">
        <v>278</v>
      </c>
      <c r="P7" s="18" t="n">
        <v>325</v>
      </c>
      <c r="Q7" s="18" t="n">
        <v>381</v>
      </c>
      <c r="R7" s="18" t="n">
        <v>368</v>
      </c>
      <c r="S7" s="18" t="n">
        <v>396</v>
      </c>
      <c r="T7" s="18" t="n">
        <v>686</v>
      </c>
      <c r="U7" s="18" t="n">
        <v>458</v>
      </c>
      <c r="V7" s="18" t="n">
        <v>460</v>
      </c>
      <c r="W7" s="18" t="n">
        <v>504</v>
      </c>
      <c r="X7" s="18" t="n">
        <v>512</v>
      </c>
      <c r="Y7" s="18" t="n">
        <v>551</v>
      </c>
      <c r="Z7" s="18" t="n">
        <v>567</v>
      </c>
      <c r="AA7" s="18" t="n">
        <v>567</v>
      </c>
      <c r="AB7" s="18" t="n">
        <v>584</v>
      </c>
      <c r="AC7" s="18" t="n">
        <v>699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230.995</v>
      </c>
      <c r="C9" s="18" t="n">
        <v>306.772</v>
      </c>
      <c r="D9" s="18" t="n">
        <v>319.214</v>
      </c>
      <c r="E9" s="18" t="n">
        <v>269.073</v>
      </c>
      <c r="F9" s="18" t="n">
        <v>254.48</v>
      </c>
      <c r="G9" s="18" t="n">
        <v>308.32</v>
      </c>
      <c r="H9" s="18" t="n">
        <v>397.171</v>
      </c>
      <c r="I9" s="18" t="n">
        <v>374</v>
      </c>
      <c r="J9" s="18" t="n">
        <v>359</v>
      </c>
      <c r="K9" s="18" t="n">
        <v>404</v>
      </c>
      <c r="L9" s="18" t="n">
        <v>650.212</v>
      </c>
      <c r="M9" s="18" t="n">
        <v>445</v>
      </c>
      <c r="N9" s="18" t="n">
        <v>469</v>
      </c>
      <c r="O9" s="18" t="n">
        <v>486</v>
      </c>
      <c r="P9" s="18" t="n">
        <v>556</v>
      </c>
      <c r="Q9" s="18" t="n">
        <v>563</v>
      </c>
      <c r="R9" s="18" t="n">
        <v>572</v>
      </c>
      <c r="S9" s="18" t="n">
        <v>637</v>
      </c>
      <c r="T9" s="18" t="n">
        <v>730</v>
      </c>
      <c r="U9" s="18" t="n">
        <v>664</v>
      </c>
      <c r="V9" s="18" t="n">
        <v>729</v>
      </c>
      <c r="W9" s="18" t="n">
        <v>871</v>
      </c>
      <c r="X9" s="18" t="n">
        <v>890</v>
      </c>
      <c r="Y9" s="18" t="n">
        <v>854</v>
      </c>
      <c r="Z9" s="18" t="n">
        <v>1012</v>
      </c>
      <c r="AA9" s="18" t="n">
        <v>-563</v>
      </c>
      <c r="AB9" s="18" t="n">
        <v>2311</v>
      </c>
      <c r="AC9" s="18" t="n">
        <v>-656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272.43</v>
      </c>
      <c r="C11" s="18" t="n">
        <v>284.342</v>
      </c>
      <c r="D11" s="18" t="n">
        <v>308.347</v>
      </c>
      <c r="E11" s="18" t="n">
        <v>312.814</v>
      </c>
      <c r="F11" s="18" t="n">
        <v>427.172</v>
      </c>
      <c r="G11" s="18" t="n">
        <v>480.19</v>
      </c>
      <c r="H11" s="18" t="n">
        <v>489.034</v>
      </c>
      <c r="I11" s="18" t="n">
        <v>591</v>
      </c>
      <c r="J11" s="18" t="n">
        <v>754</v>
      </c>
      <c r="K11" s="18" t="n">
        <v>807</v>
      </c>
      <c r="L11" s="18" t="n">
        <v>853.165</v>
      </c>
      <c r="M11" s="18" t="n">
        <v>1073</v>
      </c>
      <c r="N11" s="18" t="n">
        <v>1284</v>
      </c>
      <c r="O11" s="18" t="n">
        <v>1348</v>
      </c>
      <c r="P11" s="18" t="n">
        <v>1458</v>
      </c>
      <c r="Q11" s="18" t="n">
        <v>1614</v>
      </c>
      <c r="R11" s="18" t="n">
        <v>1831</v>
      </c>
      <c r="S11" s="18" t="n">
        <v>2095</v>
      </c>
      <c r="T11" s="18" t="n">
        <v>1955</v>
      </c>
      <c r="U11" s="18" t="n">
        <v>2024</v>
      </c>
      <c r="V11" s="18" t="n">
        <v>2365</v>
      </c>
      <c r="W11" s="18" t="n">
        <v>2439</v>
      </c>
      <c r="X11" s="18" t="n">
        <v>2749</v>
      </c>
      <c r="Y11" s="18" t="n">
        <v>2771</v>
      </c>
      <c r="Z11" s="18" t="n">
        <v>3094</v>
      </c>
      <c r="AA11" s="18" t="n">
        <v>3209</v>
      </c>
      <c r="AB11" s="18" t="n">
        <v>3784</v>
      </c>
      <c r="AC11" s="18" t="n">
        <v>3862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-12.488</v>
      </c>
      <c r="C13" s="18" t="n">
        <v>-81.925</v>
      </c>
      <c r="D13" s="18" t="n">
        <v>-68.887</v>
      </c>
      <c r="E13" s="18" t="n">
        <v>-29.694</v>
      </c>
      <c r="F13" s="18" t="n">
        <v>99.438</v>
      </c>
      <c r="G13" s="18" t="n">
        <v>83.074</v>
      </c>
      <c r="H13" s="18" t="n">
        <v>-25.126</v>
      </c>
      <c r="I13" s="18" t="n">
        <v>91</v>
      </c>
      <c r="J13" s="18" t="n">
        <v>166</v>
      </c>
      <c r="K13" s="18" t="n">
        <v>160</v>
      </c>
      <c r="L13" s="18" t="n">
        <v>23.316</v>
      </c>
      <c r="M13" s="18" t="n">
        <v>139</v>
      </c>
      <c r="N13" s="18" t="n">
        <v>250</v>
      </c>
      <c r="O13" s="18" t="n">
        <v>296</v>
      </c>
      <c r="P13" s="18" t="n">
        <v>349</v>
      </c>
      <c r="Q13" s="18" t="n">
        <v>418</v>
      </c>
      <c r="R13" s="18" t="n">
        <v>669</v>
      </c>
      <c r="S13" s="18" t="n">
        <v>785</v>
      </c>
      <c r="T13" s="18" t="n">
        <v>240</v>
      </c>
      <c r="U13" s="18" t="n">
        <v>528</v>
      </c>
      <c r="V13" s="18" t="n">
        <v>726</v>
      </c>
      <c r="W13" s="18" t="n">
        <v>557</v>
      </c>
      <c r="X13" s="18" t="n">
        <v>820</v>
      </c>
      <c r="Y13" s="18" t="n">
        <v>763</v>
      </c>
      <c r="Z13" s="18" t="n">
        <v>825</v>
      </c>
      <c r="AA13" s="18" t="n">
        <v>724</v>
      </c>
      <c r="AB13" s="18" t="n">
        <v>889</v>
      </c>
      <c r="AC13" s="18" t="n">
        <v>611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16.217</v>
      </c>
      <c r="C15" s="18" t="n">
        <v>-146.082</v>
      </c>
      <c r="D15" s="18" t="n">
        <v>-53.998</v>
      </c>
      <c r="E15" s="18" t="n">
        <v>-21.109</v>
      </c>
      <c r="F15" s="18" t="n">
        <v>55.947</v>
      </c>
      <c r="G15" s="18" t="n">
        <v>15.035</v>
      </c>
      <c r="H15" s="18" t="n">
        <v>-50.58</v>
      </c>
      <c r="I15" s="18" t="n">
        <v>-34</v>
      </c>
      <c r="J15" s="18" t="n">
        <v>68</v>
      </c>
      <c r="K15" s="18" t="n">
        <v>95</v>
      </c>
      <c r="L15" s="18" t="n">
        <v>-46.104</v>
      </c>
      <c r="M15" s="18" t="n">
        <v>65</v>
      </c>
      <c r="N15" s="18" t="n">
        <v>123</v>
      </c>
      <c r="O15" s="18" t="n">
        <v>129</v>
      </c>
      <c r="P15" s="18" t="n">
        <v>165</v>
      </c>
      <c r="Q15" s="18" t="n">
        <v>201</v>
      </c>
      <c r="R15" s="18" t="n">
        <v>262</v>
      </c>
      <c r="S15" s="18" t="n">
        <v>359</v>
      </c>
      <c r="T15" s="18" t="n">
        <v>165</v>
      </c>
      <c r="U15" s="18" t="n">
        <v>344</v>
      </c>
      <c r="V15" s="18" t="n">
        <v>531</v>
      </c>
      <c r="W15" s="18" t="n">
        <v>397</v>
      </c>
      <c r="X15" s="18" t="n">
        <v>639</v>
      </c>
      <c r="Y15" s="18" t="n">
        <v>494</v>
      </c>
      <c r="Z15" s="18" t="n">
        <v>523</v>
      </c>
      <c r="AA15" s="18" t="n">
        <v>421</v>
      </c>
      <c r="AB15" s="18" t="n">
        <v>559</v>
      </c>
      <c r="AC15" s="18" t="n">
        <v>417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49.31852</v>
      </c>
      <c r="C17" s="18" t="n">
        <v>49.710721</v>
      </c>
      <c r="D17" s="18" t="n">
        <v>49.709953</v>
      </c>
      <c r="E17" s="18" t="n">
        <v>49.709953</v>
      </c>
      <c r="F17" s="18" t="n">
        <v>49.709973</v>
      </c>
      <c r="G17" s="18" t="n">
        <v>49.720852</v>
      </c>
      <c r="H17" s="18" t="n">
        <v>49.820185</v>
      </c>
      <c r="I17" s="18" t="n">
        <v>49.867625</v>
      </c>
      <c r="J17" s="18" t="n">
        <v>49.822272</v>
      </c>
      <c r="K17" s="18" t="n">
        <v>49.597157</v>
      </c>
      <c r="L17" s="18" t="n">
        <v>49.802993</v>
      </c>
      <c r="M17" s="18" t="n">
        <v>50.408754</v>
      </c>
      <c r="N17" s="18" t="n">
        <v>50.364529</v>
      </c>
      <c r="O17" s="18" t="n">
        <v>51.315343</v>
      </c>
      <c r="P17" s="18" t="n">
        <v>51.274909</v>
      </c>
      <c r="Q17" s="18" t="n">
        <v>51.235341</v>
      </c>
      <c r="R17" s="18" t="n">
        <v>51.152955</v>
      </c>
      <c r="S17" s="18" t="n">
        <v>50.209439</v>
      </c>
      <c r="T17" s="18" t="n">
        <v>50.697515</v>
      </c>
      <c r="U17" s="18" t="n">
        <v>50.697442</v>
      </c>
      <c r="V17" s="18" t="n">
        <v>50.697447</v>
      </c>
      <c r="W17" s="18" t="n">
        <v>50.697</v>
      </c>
      <c r="X17" s="18" t="n">
        <v>50.697384</v>
      </c>
      <c r="Y17" s="18" t="n">
        <v>50.697384</v>
      </c>
      <c r="Z17" s="18" t="n">
        <v>50.698</v>
      </c>
      <c r="AA17" s="18" t="n">
        <v>50.698</v>
      </c>
      <c r="AB17" s="18" t="n">
        <v>50.69725</v>
      </c>
      <c r="AC17" s="18" t="n">
        <v>50.697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Service</t>
        </is>
      </c>
      <c r="N19" s="18" t="n">
        <v>2332</v>
      </c>
      <c r="O19" s="18" t="n">
        <v>2437</v>
      </c>
      <c r="P19" s="18" t="n">
        <v>4673</v>
      </c>
      <c r="Q19" s="18" t="n">
        <v>2763</v>
      </c>
      <c r="R19" s="18" t="n">
        <v>3051</v>
      </c>
      <c r="S19" s="18" t="n">
        <v>3419</v>
      </c>
      <c r="T19" s="18" t="n">
        <v>3750</v>
      </c>
      <c r="U19" s="18" t="n">
        <v>3955</v>
      </c>
      <c r="V19" s="18" t="n">
        <v>4592</v>
      </c>
      <c r="W19" s="18" t="n">
        <v>4760</v>
      </c>
      <c r="X19" s="18" t="n">
        <v>5331</v>
      </c>
      <c r="Y19" s="18" t="n">
        <v>5320</v>
      </c>
      <c r="Z19" s="18" t="n">
        <v>5964</v>
      </c>
      <c r="AA19" s="18" t="n">
        <v>6476</v>
      </c>
      <c r="AB19" s="18" t="n">
        <v>7526</v>
      </c>
      <c r="AC19" s="18" t="n">
        <v>7715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Product</t>
        </is>
      </c>
      <c r="N22" s="18" t="n">
        <v>265</v>
      </c>
      <c r="O22" s="18" t="n">
        <v>253</v>
      </c>
      <c r="P22" s="18" t="n">
        <v>577</v>
      </c>
      <c r="Q22" s="18" t="n">
        <v>274</v>
      </c>
      <c r="R22" s="18" t="n">
        <v>364</v>
      </c>
      <c r="S22" s="18" t="n">
        <v>341</v>
      </c>
      <c r="T22" s="18" t="n">
        <v>511</v>
      </c>
      <c r="U22" s="18" t="n">
        <v>378</v>
      </c>
      <c r="V22" s="18" t="n">
        <v>481</v>
      </c>
      <c r="W22" s="18" t="n">
        <v>552</v>
      </c>
      <c r="X22" s="18" t="n">
        <v>728</v>
      </c>
      <c r="Y22" s="18" t="n">
        <v>615</v>
      </c>
      <c r="Z22" s="18" t="n">
        <v>826</v>
      </c>
      <c r="AA22" s="18" t="n">
        <v>933</v>
      </c>
      <c r="AB22" s="18" t="n">
        <v>1233</v>
      </c>
      <c r="AC22" s="18" t="n">
        <v>1130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Brazil Segment</t>
        </is>
      </c>
      <c r="B26" s="18" t="n">
        <v>340.858</v>
      </c>
      <c r="C26" s="18" t="n">
        <v>389.941</v>
      </c>
      <c r="D26" s="18" t="n">
        <v>428.326</v>
      </c>
      <c r="E26" s="18" t="n">
        <v>397.447</v>
      </c>
      <c r="F26" s="18" t="n">
        <v>465.298</v>
      </c>
      <c r="G26" s="18" t="n">
        <v>610.721</v>
      </c>
      <c r="H26" s="18" t="n">
        <v>720.575</v>
      </c>
      <c r="I26" s="18" t="n">
        <v>768.723</v>
      </c>
      <c r="J26" s="18" t="n">
        <v>951.09</v>
      </c>
      <c r="K26" s="18" t="n">
        <v>1062.62</v>
      </c>
      <c r="L26" s="18" t="n">
        <v>1127.152</v>
      </c>
      <c r="M26" s="18" t="n">
        <v>1252</v>
      </c>
      <c r="P26" s="18" t="n">
        <v>4414</v>
      </c>
      <c r="Q26" s="18" t="n">
        <v>1579</v>
      </c>
      <c r="R26" s="18" t="n">
        <v>1780</v>
      </c>
      <c r="S26" s="18" t="n">
        <v>2006</v>
      </c>
      <c r="T26" s="18" t="n">
        <v>2230</v>
      </c>
      <c r="U26" s="18" t="n">
        <v>2571</v>
      </c>
      <c r="V26" s="18" t="n">
        <v>1237</v>
      </c>
      <c r="W26" s="18" t="n">
        <v>2913</v>
      </c>
      <c r="X26" s="18" t="n">
        <v>4685</v>
      </c>
      <c r="Y26" s="18" t="n">
        <v>3082</v>
      </c>
      <c r="Z26" s="18" t="n">
        <v>3473</v>
      </c>
      <c r="AA26" s="18" t="n">
        <v>4009</v>
      </c>
      <c r="AB26" s="18" t="n">
        <v>4637</v>
      </c>
      <c r="AC26" s="18" t="n">
        <v>4774</v>
      </c>
    </row>
    <row r="27">
      <c r="A27" s="4" t="inlineStr">
        <is>
          <t xml:space="preserve">    % YoY</t>
        </is>
      </c>
      <c r="F27" s="27">
        <f>IFERROR(F26/B26-1,"")</f>
        <v/>
      </c>
      <c r="G27" s="27">
        <f>IFERROR(G26/C26-1,"")</f>
        <v/>
      </c>
      <c r="H27" s="27">
        <f>IFERROR(H26/D26-1,"")</f>
        <v/>
      </c>
      <c r="I27" s="27">
        <f>IFERROR(I26/E26-1,"")</f>
        <v/>
      </c>
      <c r="J27" s="27">
        <f>IFERROR(J26/F26-1,"")</f>
        <v/>
      </c>
      <c r="K27" s="27">
        <f>IFERROR(K26/G26-1,"")</f>
        <v/>
      </c>
      <c r="L27" s="27">
        <f>IFERROR(L26/H26-1,"")</f>
        <v/>
      </c>
      <c r="M27" s="27">
        <f>IFERROR(M26/I26-1,"")</f>
        <v/>
      </c>
      <c r="N27" s="27">
        <f>IFERROR(N26/J26-1,"")</f>
        <v/>
      </c>
      <c r="O27" s="27">
        <f>IFERROR(O26/K26-1,"")</f>
        <v/>
      </c>
      <c r="P27" s="27">
        <f>IFERROR(P26/L26-1,"")</f>
        <v/>
      </c>
      <c r="Q27" s="27">
        <f>IFERROR(Q26/M26-1,"")</f>
        <v/>
      </c>
      <c r="R27" s="27">
        <f>IFERROR(R26/N26-1,"")</f>
        <v/>
      </c>
      <c r="S27" s="27">
        <f>IFERROR(S26/O26-1,"")</f>
        <v/>
      </c>
      <c r="T27" s="27">
        <f>IFERROR(T26/P26-1,"")</f>
        <v/>
      </c>
      <c r="U27" s="27">
        <f>IFERROR(U26/Q26-1,"")</f>
        <v/>
      </c>
      <c r="V27" s="27">
        <f>IFERROR(V26/R26-1,"")</f>
        <v/>
      </c>
      <c r="W27" s="27">
        <f>IFERROR(W26/S26-1,"")</f>
        <v/>
      </c>
      <c r="X27" s="27">
        <f>IFERROR(X26/T26-1,"")</f>
        <v/>
      </c>
      <c r="Y27" s="27">
        <f>IFERROR(Y26/U26-1,"")</f>
        <v/>
      </c>
      <c r="Z27" s="27">
        <f>IFERROR(Z26/V26-1,"")</f>
        <v/>
      </c>
      <c r="AA27" s="27">
        <f>IFERROR(AA26/W26-1,"")</f>
        <v/>
      </c>
      <c r="AB27" s="27">
        <f>IFERROR(AB26/X26-1,"")</f>
        <v/>
      </c>
      <c r="AC27" s="27">
        <f>IFERROR(AC26/Y26-1,"")</f>
        <v/>
      </c>
    </row>
    <row r="28">
      <c r="A28" s="4" t="inlineStr">
        <is>
          <t xml:space="preserve">    % of revenue</t>
        </is>
      </c>
      <c r="B28" s="27">
        <f>IFERROR(B26/B3,"")</f>
        <v/>
      </c>
      <c r="C28" s="27">
        <f>IFERROR(C26/C3,"")</f>
        <v/>
      </c>
      <c r="D28" s="27">
        <f>IFERROR(D26/D3,"")</f>
        <v/>
      </c>
      <c r="E28" s="27">
        <f>IFERROR(E26/E3,"")</f>
        <v/>
      </c>
      <c r="F28" s="27">
        <f>IFERROR(F26/F3,"")</f>
        <v/>
      </c>
      <c r="G28" s="27">
        <f>IFERROR(G26/G3,"")</f>
        <v/>
      </c>
      <c r="H28" s="27">
        <f>IFERROR(H26/H3,"")</f>
        <v/>
      </c>
      <c r="I28" s="27">
        <f>IFERROR(I26/I3,"")</f>
        <v/>
      </c>
      <c r="J28" s="27">
        <f>IFERROR(J26/J3,"")</f>
        <v/>
      </c>
      <c r="K28" s="27">
        <f>IFERROR(K26/K3,"")</f>
        <v/>
      </c>
      <c r="L28" s="27">
        <f>IFERROR(L26/L3,"")</f>
        <v/>
      </c>
      <c r="M28" s="27">
        <f>IFERROR(M26/M3,"")</f>
        <v/>
      </c>
      <c r="N28" s="27">
        <f>IFERROR(N26/N3,"")</f>
        <v/>
      </c>
      <c r="O28" s="27">
        <f>IFERROR(O26/O3,"")</f>
        <v/>
      </c>
      <c r="P28" s="27">
        <f>IFERROR(P26/P3,"")</f>
        <v/>
      </c>
      <c r="Q28" s="27">
        <f>IFERROR(Q26/Q3,"")</f>
        <v/>
      </c>
      <c r="R28" s="27">
        <f>IFERROR(R26/R3,"")</f>
        <v/>
      </c>
      <c r="S28" s="27">
        <f>IFERROR(S26/S3,"")</f>
        <v/>
      </c>
      <c r="T28" s="27">
        <f>IFERROR(T26/T3,"")</f>
        <v/>
      </c>
      <c r="U28" s="27">
        <f>IFERROR(U26/U3,"")</f>
        <v/>
      </c>
      <c r="V28" s="27">
        <f>IFERROR(V26/V3,"")</f>
        <v/>
      </c>
      <c r="W28" s="27">
        <f>IFERROR(W26/W3,"")</f>
        <v/>
      </c>
      <c r="X28" s="27">
        <f>IFERROR(X26/X3,"")</f>
        <v/>
      </c>
      <c r="Y28" s="27">
        <f>IFERROR(Y26/Y3,"")</f>
        <v/>
      </c>
      <c r="Z28" s="27">
        <f>IFERROR(Z26/Z3,"")</f>
        <v/>
      </c>
      <c r="AA28" s="27">
        <f>IFERROR(AA26/AA3,"")</f>
        <v/>
      </c>
      <c r="AB28" s="27">
        <f>IFERROR(AB26/AB3,"")</f>
        <v/>
      </c>
      <c r="AC28" s="27">
        <f>IFERROR(AC26/AC3,"")</f>
        <v/>
      </c>
    </row>
    <row r="29">
      <c r="A29" s="4" t="inlineStr">
        <is>
          <t>Mexico Segment</t>
        </is>
      </c>
      <c r="B29" s="18" t="n">
        <v>64.383</v>
      </c>
      <c r="C29" s="18" t="n">
        <v>71.364</v>
      </c>
      <c r="D29" s="18" t="n">
        <v>84.825</v>
      </c>
      <c r="E29" s="18" t="n">
        <v>94.753</v>
      </c>
      <c r="F29" s="18" t="n">
        <v>125.95</v>
      </c>
      <c r="G29" s="18" t="n">
        <v>150.382</v>
      </c>
      <c r="H29" s="18" t="n">
        <v>204.088</v>
      </c>
      <c r="I29" s="18" t="n">
        <v>230.497</v>
      </c>
      <c r="J29" s="18" t="n">
        <v>258.076</v>
      </c>
      <c r="K29" s="18" t="n">
        <v>291.496</v>
      </c>
      <c r="L29" s="18" t="n">
        <v>392.289</v>
      </c>
      <c r="M29" s="18" t="n">
        <v>364</v>
      </c>
      <c r="P29" s="18" t="n">
        <v>1500</v>
      </c>
      <c r="Q29" s="18" t="n">
        <v>591</v>
      </c>
      <c r="R29" s="18" t="n">
        <v>703</v>
      </c>
      <c r="S29" s="18" t="n">
        <v>772</v>
      </c>
      <c r="T29" s="18" t="n">
        <v>919</v>
      </c>
      <c r="U29" s="18" t="n">
        <v>971</v>
      </c>
      <c r="V29" s="18" t="n">
        <v>418</v>
      </c>
      <c r="W29" s="18" t="n">
        <v>1145</v>
      </c>
      <c r="X29" s="18" t="n">
        <v>2130</v>
      </c>
      <c r="Y29" s="18" t="n">
        <v>1222</v>
      </c>
      <c r="Z29" s="18" t="n">
        <v>1506</v>
      </c>
      <c r="AA29" s="18" t="n">
        <v>1651</v>
      </c>
      <c r="AB29" s="18" t="n">
        <v>2096</v>
      </c>
      <c r="AC29" s="18" t="n">
        <v>1976</v>
      </c>
    </row>
    <row r="30">
      <c r="A30" s="4" t="inlineStr">
        <is>
          <t xml:space="preserve">    % YoY</t>
        </is>
      </c>
      <c r="F30" s="27">
        <f>IFERROR(F29/B29-1,"")</f>
        <v/>
      </c>
      <c r="G30" s="27">
        <f>IFERROR(G29/C29-1,"")</f>
        <v/>
      </c>
      <c r="H30" s="27">
        <f>IFERROR(H29/D29-1,"")</f>
        <v/>
      </c>
      <c r="I30" s="27">
        <f>IFERROR(I29/E29-1,"")</f>
        <v/>
      </c>
      <c r="J30" s="27">
        <f>IFERROR(J29/F29-1,"")</f>
        <v/>
      </c>
      <c r="K30" s="27">
        <f>IFERROR(K29/G29-1,"")</f>
        <v/>
      </c>
      <c r="L30" s="27">
        <f>IFERROR(L29/H29-1,"")</f>
        <v/>
      </c>
      <c r="M30" s="27">
        <f>IFERROR(M29/I29-1,"")</f>
        <v/>
      </c>
      <c r="N30" s="27">
        <f>IFERROR(N29/J29-1,"")</f>
        <v/>
      </c>
      <c r="O30" s="27">
        <f>IFERROR(O29/K29-1,"")</f>
        <v/>
      </c>
      <c r="P30" s="27">
        <f>IFERROR(P29/L29-1,"")</f>
        <v/>
      </c>
      <c r="Q30" s="27">
        <f>IFERROR(Q29/M29-1,"")</f>
        <v/>
      </c>
      <c r="R30" s="27">
        <f>IFERROR(R29/N29-1,"")</f>
        <v/>
      </c>
      <c r="S30" s="27">
        <f>IFERROR(S29/O29-1,"")</f>
        <v/>
      </c>
      <c r="T30" s="27">
        <f>IFERROR(T29/P29-1,"")</f>
        <v/>
      </c>
      <c r="U30" s="27">
        <f>IFERROR(U29/Q29-1,"")</f>
        <v/>
      </c>
      <c r="V30" s="27">
        <f>IFERROR(V29/R29-1,"")</f>
        <v/>
      </c>
      <c r="W30" s="27">
        <f>IFERROR(W29/S29-1,"")</f>
        <v/>
      </c>
      <c r="X30" s="27">
        <f>IFERROR(X29/T29-1,"")</f>
        <v/>
      </c>
      <c r="Y30" s="27">
        <f>IFERROR(Y29/U29-1,"")</f>
        <v/>
      </c>
      <c r="Z30" s="27">
        <f>IFERROR(Z29/V29-1,"")</f>
        <v/>
      </c>
      <c r="AA30" s="27">
        <f>IFERROR(AA29/W29-1,"")</f>
        <v/>
      </c>
      <c r="AB30" s="27">
        <f>IFERROR(AB29/X29-1,"")</f>
        <v/>
      </c>
      <c r="AC30" s="27">
        <f>IFERROR(AC29/Y29-1,"")</f>
        <v/>
      </c>
    </row>
    <row r="31">
      <c r="A31" s="4" t="inlineStr">
        <is>
          <t xml:space="preserve">    % of revenue</t>
        </is>
      </c>
      <c r="B31" s="27">
        <f>IFERROR(B29/B3,"")</f>
        <v/>
      </c>
      <c r="C31" s="27">
        <f>IFERROR(C29/C3,"")</f>
        <v/>
      </c>
      <c r="D31" s="27">
        <f>IFERROR(D29/D3,"")</f>
        <v/>
      </c>
      <c r="E31" s="27">
        <f>IFERROR(E29/E3,"")</f>
        <v/>
      </c>
      <c r="F31" s="27">
        <f>IFERROR(F29/F3,"")</f>
        <v/>
      </c>
      <c r="G31" s="27">
        <f>IFERROR(G29/G3,"")</f>
        <v/>
      </c>
      <c r="H31" s="27">
        <f>IFERROR(H29/H3,"")</f>
        <v/>
      </c>
      <c r="I31" s="27">
        <f>IFERROR(I29/I3,"")</f>
        <v/>
      </c>
      <c r="J31" s="27">
        <f>IFERROR(J29/J3,"")</f>
        <v/>
      </c>
      <c r="K31" s="27">
        <f>IFERROR(K29/K3,"")</f>
        <v/>
      </c>
      <c r="L31" s="27">
        <f>IFERROR(L29/L3,"")</f>
        <v/>
      </c>
      <c r="M31" s="27">
        <f>IFERROR(M29/M3,"")</f>
        <v/>
      </c>
      <c r="N31" s="27">
        <f>IFERROR(N29/N3,"")</f>
        <v/>
      </c>
      <c r="O31" s="27">
        <f>IFERROR(O29/O3,"")</f>
        <v/>
      </c>
      <c r="P31" s="27">
        <f>IFERROR(P29/P3,"")</f>
        <v/>
      </c>
      <c r="Q31" s="27">
        <f>IFERROR(Q29/Q3,"")</f>
        <v/>
      </c>
      <c r="R31" s="27">
        <f>IFERROR(R29/R3,"")</f>
        <v/>
      </c>
      <c r="S31" s="27">
        <f>IFERROR(S29/S3,"")</f>
        <v/>
      </c>
      <c r="T31" s="27">
        <f>IFERROR(T29/T3,"")</f>
        <v/>
      </c>
      <c r="U31" s="27">
        <f>IFERROR(U29/U3,"")</f>
        <v/>
      </c>
      <c r="V31" s="27">
        <f>IFERROR(V29/V3,"")</f>
        <v/>
      </c>
      <c r="W31" s="27">
        <f>IFERROR(W29/W3,"")</f>
        <v/>
      </c>
      <c r="X31" s="27">
        <f>IFERROR(X29/X3,"")</f>
        <v/>
      </c>
      <c r="Y31" s="27">
        <f>IFERROR(Y29/Y3,"")</f>
        <v/>
      </c>
      <c r="Z31" s="27">
        <f>IFERROR(Z29/Z3,"")</f>
        <v/>
      </c>
      <c r="AA31" s="27">
        <f>IFERROR(AA29/AA3,"")</f>
        <v/>
      </c>
      <c r="AB31" s="27">
        <f>IFERROR(AB29/AB3,"")</f>
        <v/>
      </c>
      <c r="AC31" s="27">
        <f>IFERROR(AC29/AC3,"")</f>
        <v/>
      </c>
    </row>
    <row r="32">
      <c r="A32" s="4" t="inlineStr">
        <is>
          <t>Argentina Segment</t>
        </is>
      </c>
      <c r="B32" s="18" t="n">
        <v>113.913</v>
      </c>
      <c r="C32" s="18" t="n">
        <v>116.203</v>
      </c>
      <c r="D32" s="18" t="n">
        <v>132.44</v>
      </c>
      <c r="E32" s="18" t="n">
        <v>132.875</v>
      </c>
      <c r="F32" s="18" t="n">
        <v>239.204</v>
      </c>
      <c r="G32" s="18" t="n">
        <v>284.746</v>
      </c>
      <c r="H32" s="18" t="n">
        <v>323.451</v>
      </c>
      <c r="I32" s="18" t="n">
        <v>297.236</v>
      </c>
      <c r="J32" s="18" t="n">
        <v>366.065</v>
      </c>
      <c r="K32" s="18" t="n">
        <v>393.109</v>
      </c>
      <c r="L32" s="18" t="n">
        <v>474.617</v>
      </c>
      <c r="M32" s="18" t="n">
        <v>518</v>
      </c>
      <c r="P32" s="18" t="n">
        <v>1982</v>
      </c>
      <c r="Q32" s="18" t="n">
        <v>721</v>
      </c>
      <c r="R32" s="18" t="n">
        <v>771</v>
      </c>
      <c r="S32" s="18" t="n">
        <v>825</v>
      </c>
      <c r="T32" s="18" t="n">
        <v>923</v>
      </c>
      <c r="U32" s="18" t="n">
        <v>615</v>
      </c>
      <c r="V32" s="18" t="n">
        <v>605</v>
      </c>
      <c r="W32" s="18" t="n">
        <v>1033</v>
      </c>
      <c r="X32" s="18" t="n">
        <v>1565</v>
      </c>
      <c r="Y32" s="18" t="n">
        <v>1382</v>
      </c>
      <c r="Z32" s="18" t="n">
        <v>1527</v>
      </c>
      <c r="AA32" s="18" t="n">
        <v>1441</v>
      </c>
      <c r="AB32" s="18" t="n">
        <v>1612</v>
      </c>
      <c r="AC32" s="18" t="n">
        <v>1698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Other Countries Segment</t>
        </is>
      </c>
      <c r="B35" s="18" t="n">
        <v>26.088</v>
      </c>
      <c r="C35" s="18" t="n">
        <v>25.523</v>
      </c>
      <c r="D35" s="18" t="n">
        <v>28.68</v>
      </c>
      <c r="E35" s="18" t="n">
        <v>27.016</v>
      </c>
      <c r="F35" s="18" t="n">
        <v>47.917</v>
      </c>
      <c r="G35" s="18" t="n">
        <v>69.852</v>
      </c>
      <c r="H35" s="18" t="n">
        <v>79.19</v>
      </c>
      <c r="I35" s="18" t="n">
        <v>81.985</v>
      </c>
      <c r="J35" s="18" t="n">
        <v>127.519</v>
      </c>
      <c r="K35" s="18" t="n">
        <v>110.227</v>
      </c>
      <c r="L35" s="18" t="n">
        <v>136.708</v>
      </c>
      <c r="M35" s="18" t="n">
        <v>114</v>
      </c>
      <c r="P35" s="18" t="n">
        <v>393</v>
      </c>
      <c r="Q35" s="18" t="n">
        <v>146</v>
      </c>
      <c r="R35" s="18" t="n">
        <v>161</v>
      </c>
      <c r="S35" s="18" t="n">
        <v>157</v>
      </c>
      <c r="T35" s="18" t="n">
        <v>189</v>
      </c>
      <c r="U35" s="18" t="n">
        <v>176</v>
      </c>
      <c r="V35" s="18" t="n">
        <v>47</v>
      </c>
      <c r="W35" s="18" t="n">
        <v>221</v>
      </c>
      <c r="X35" s="18" t="n">
        <v>445</v>
      </c>
      <c r="Y35" s="18" t="n">
        <v>249</v>
      </c>
      <c r="Z35" s="18" t="n">
        <v>284</v>
      </c>
      <c r="AA35" s="18" t="n">
        <v>308</v>
      </c>
      <c r="AB35" s="18" t="n">
        <v>414</v>
      </c>
      <c r="AC35" s="18" t="n">
        <v>397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4" t="inlineStr">
        <is>
          <t>Cash &amp; ST Investments</t>
        </is>
      </c>
      <c r="B39" s="18" t="n">
        <v>2908.016</v>
      </c>
      <c r="C39" s="18" t="n">
        <v>3146.123</v>
      </c>
      <c r="D39" s="18" t="n">
        <v>2981.981</v>
      </c>
      <c r="E39" s="18" t="n">
        <v>2629.542</v>
      </c>
      <c r="F39" s="18" t="n">
        <v>3294.422</v>
      </c>
      <c r="G39" s="18" t="n">
        <v>3327.182</v>
      </c>
      <c r="H39" s="18" t="n">
        <v>2460.751</v>
      </c>
      <c r="I39" s="18" t="n">
        <v>1842.796</v>
      </c>
      <c r="J39" s="18" t="n">
        <v>1260.391</v>
      </c>
      <c r="K39" s="18" t="n">
        <v>1289.905</v>
      </c>
      <c r="L39" s="18" t="n">
        <v>2793</v>
      </c>
      <c r="M39" s="18" t="n">
        <v>2044</v>
      </c>
      <c r="N39" s="18" t="n">
        <v>2226</v>
      </c>
      <c r="O39" s="18" t="n">
        <v>2385</v>
      </c>
      <c r="P39" s="18" t="n">
        <v>3030</v>
      </c>
      <c r="Q39" s="18" t="n">
        <v>3213</v>
      </c>
      <c r="R39" s="18" t="n">
        <v>3301</v>
      </c>
      <c r="S39" s="18" t="n">
        <v>3729</v>
      </c>
      <c r="T39" s="18" t="n">
        <v>3753</v>
      </c>
      <c r="U39" s="18" t="n">
        <v>3752</v>
      </c>
      <c r="V39" s="18" t="n">
        <v>3813</v>
      </c>
      <c r="W39" s="18" t="n">
        <v>3268</v>
      </c>
      <c r="X39" s="18" t="n">
        <v>3750</v>
      </c>
      <c r="Y39" s="18" t="n">
        <v>3718</v>
      </c>
      <c r="Z39" s="18" t="n">
        <v>3968</v>
      </c>
      <c r="AA39" s="18" t="n">
        <v>4078</v>
      </c>
      <c r="AB39" s="18" t="n">
        <v>6299</v>
      </c>
      <c r="AC39" s="18" t="n">
        <v>17114</v>
      </c>
    </row>
    <row r="40">
      <c r="A40" s="4" t="inlineStr">
        <is>
          <t>Total Current Assets</t>
        </is>
      </c>
      <c r="B40" s="18" t="n">
        <v>3676.432</v>
      </c>
      <c r="C40" s="18" t="n">
        <v>3780.63</v>
      </c>
      <c r="D40" s="18" t="n">
        <v>3788.856</v>
      </c>
      <c r="E40" s="18" t="n">
        <v>3510.274</v>
      </c>
      <c r="F40" s="18" t="n">
        <v>4754.554</v>
      </c>
      <c r="G40" s="18" t="n">
        <v>4923.891</v>
      </c>
      <c r="H40" s="18" t="n">
        <v>5346.807</v>
      </c>
      <c r="I40" s="18" t="n">
        <v>3900.191</v>
      </c>
      <c r="J40" s="18" t="n">
        <v>4567.651</v>
      </c>
      <c r="K40" s="18" t="n">
        <v>5283.121</v>
      </c>
      <c r="L40" s="18" t="n">
        <v>8175</v>
      </c>
      <c r="M40" s="18" t="n">
        <v>8705</v>
      </c>
      <c r="N40" s="18" t="n">
        <v>8863</v>
      </c>
      <c r="O40" s="18" t="n">
        <v>9351</v>
      </c>
      <c r="P40" s="18" t="n">
        <v>10953</v>
      </c>
      <c r="Q40" s="18" t="n">
        <v>11336</v>
      </c>
      <c r="R40" s="18" t="n">
        <v>12290</v>
      </c>
      <c r="S40" s="18" t="n">
        <v>13050</v>
      </c>
      <c r="T40" s="18" t="n">
        <v>14260</v>
      </c>
      <c r="U40" s="18" t="n">
        <v>15505</v>
      </c>
      <c r="V40" s="18" t="n">
        <v>16479</v>
      </c>
      <c r="W40" s="18" t="n">
        <v>17824</v>
      </c>
      <c r="X40" s="18" t="n">
        <v>20142</v>
      </c>
      <c r="Y40" s="18" t="n">
        <v>21740</v>
      </c>
      <c r="Z40" s="18" t="n">
        <v>26062</v>
      </c>
      <c r="AA40" s="18" t="n">
        <v>28795</v>
      </c>
      <c r="AB40" s="18" t="n">
        <v>33573</v>
      </c>
      <c r="AC40" s="18" t="n">
        <v>37123</v>
      </c>
    </row>
    <row r="41">
      <c r="A41" s="4" t="inlineStr">
        <is>
          <t>PP&amp;E (net)</t>
        </is>
      </c>
      <c r="B41" s="18" t="n">
        <v>373.848</v>
      </c>
      <c r="C41" s="18" t="n">
        <v>395.876</v>
      </c>
      <c r="D41" s="18" t="n">
        <v>444.706</v>
      </c>
      <c r="E41" s="18" t="n">
        <v>422.783</v>
      </c>
      <c r="F41" s="18" t="n">
        <v>449.892</v>
      </c>
      <c r="G41" s="18" t="n">
        <v>527.8339999999999</v>
      </c>
      <c r="H41" s="18" t="n">
        <v>694.898</v>
      </c>
      <c r="I41" s="18" t="n">
        <v>803.953</v>
      </c>
      <c r="J41" s="18" t="n">
        <v>1015.25</v>
      </c>
      <c r="K41" s="18" t="n">
        <v>1092.334</v>
      </c>
      <c r="L41" s="18" t="n">
        <v>1268</v>
      </c>
      <c r="M41" s="18" t="n">
        <v>1509</v>
      </c>
      <c r="N41" s="18" t="n">
        <v>1457</v>
      </c>
      <c r="O41" s="18" t="n">
        <v>1532</v>
      </c>
      <c r="P41" s="18" t="n">
        <v>1649</v>
      </c>
      <c r="Q41" s="18" t="n">
        <v>1733</v>
      </c>
      <c r="R41" s="18" t="n">
        <v>1869</v>
      </c>
      <c r="S41" s="18" t="n">
        <v>1877</v>
      </c>
      <c r="T41" s="18" t="n">
        <v>2149</v>
      </c>
      <c r="U41" s="18" t="n">
        <v>2132</v>
      </c>
      <c r="V41" s="18" t="n">
        <v>1993</v>
      </c>
      <c r="W41" s="18" t="n">
        <v>2251</v>
      </c>
      <c r="X41" s="18" t="n">
        <v>2478</v>
      </c>
      <c r="Y41" s="18" t="n">
        <v>2825</v>
      </c>
      <c r="Z41" s="18" t="n">
        <v>3463</v>
      </c>
      <c r="AA41" s="18" t="n">
        <v>4100</v>
      </c>
      <c r="AB41" s="18" t="n">
        <v>4504</v>
      </c>
      <c r="AC41" s="18" t="n">
        <v>4815</v>
      </c>
    </row>
    <row r="42">
      <c r="A42" s="4" t="inlineStr">
        <is>
          <t>Total Assets</t>
        </is>
      </c>
      <c r="B42" s="18" t="n">
        <v>4595.492</v>
      </c>
      <c r="C42" s="18" t="n">
        <v>4439.341</v>
      </c>
      <c r="D42" s="18" t="n">
        <v>4781.691</v>
      </c>
      <c r="E42" s="18" t="n">
        <v>4458.08</v>
      </c>
      <c r="F42" s="18" t="n">
        <v>5452.736</v>
      </c>
      <c r="G42" s="18" t="n">
        <v>5737.719</v>
      </c>
      <c r="H42" s="18" t="n">
        <v>6526.332</v>
      </c>
      <c r="I42" s="18" t="n">
        <v>5197.855</v>
      </c>
      <c r="J42" s="18" t="n">
        <v>6142.694</v>
      </c>
      <c r="K42" s="18" t="n">
        <v>6800.017</v>
      </c>
      <c r="L42" s="18" t="n">
        <v>10101</v>
      </c>
      <c r="M42" s="18" t="n">
        <v>11023</v>
      </c>
      <c r="N42" s="18" t="n">
        <v>11447</v>
      </c>
      <c r="O42" s="18" t="n">
        <v>11962</v>
      </c>
      <c r="P42" s="18" t="n">
        <v>13736</v>
      </c>
      <c r="Q42" s="18" t="n">
        <v>14201</v>
      </c>
      <c r="R42" s="18" t="n">
        <v>15243</v>
      </c>
      <c r="S42" s="18" t="n">
        <v>16124</v>
      </c>
      <c r="T42" s="18" t="n">
        <v>17612</v>
      </c>
      <c r="U42" s="18" t="n">
        <v>19062</v>
      </c>
      <c r="V42" s="18" t="n">
        <v>20030</v>
      </c>
      <c r="W42" s="18" t="n">
        <v>22623</v>
      </c>
      <c r="X42" s="18" t="n">
        <v>25196</v>
      </c>
      <c r="Y42" s="18" t="n">
        <v>27682</v>
      </c>
      <c r="Z42" s="18" t="n">
        <v>32948</v>
      </c>
      <c r="AA42" s="18" t="n">
        <v>36691</v>
      </c>
      <c r="AB42" s="18" t="n">
        <v>42667</v>
      </c>
      <c r="AC42" s="18" t="n">
        <v>46934</v>
      </c>
    </row>
    <row r="43">
      <c r="A43" s="4" t="inlineStr">
        <is>
          <t>Total Current Liabilities</t>
        </is>
      </c>
      <c r="B43" s="18" t="n">
        <v>1449.509</v>
      </c>
      <c r="C43" s="18" t="n">
        <v>1384.81</v>
      </c>
      <c r="D43" s="18" t="n">
        <v>1752.32</v>
      </c>
      <c r="E43" s="18" t="n">
        <v>1576.5</v>
      </c>
      <c r="F43" s="18" t="n">
        <v>2659.779</v>
      </c>
      <c r="G43" s="18" t="n">
        <v>3007.26</v>
      </c>
      <c r="H43" s="18" t="n">
        <v>3635.88</v>
      </c>
      <c r="I43" s="18" t="n">
        <v>3204.949</v>
      </c>
      <c r="J43" s="18" t="n">
        <v>3869.29</v>
      </c>
      <c r="K43" s="18" t="n">
        <v>4286.531</v>
      </c>
      <c r="L43" s="18" t="n">
        <v>5837</v>
      </c>
      <c r="M43" s="18" t="n">
        <v>6228</v>
      </c>
      <c r="N43" s="18" t="n">
        <v>6823</v>
      </c>
      <c r="O43" s="18" t="n">
        <v>7002</v>
      </c>
      <c r="P43" s="18" t="n">
        <v>8562</v>
      </c>
      <c r="Q43" s="18" t="n">
        <v>8827</v>
      </c>
      <c r="R43" s="18" t="n">
        <v>9616</v>
      </c>
      <c r="S43" s="18" t="n">
        <v>10306</v>
      </c>
      <c r="T43" s="18" t="n">
        <v>11263</v>
      </c>
      <c r="U43" s="18" t="n">
        <v>12256</v>
      </c>
      <c r="V43" s="18" t="n">
        <v>12914</v>
      </c>
      <c r="W43" s="18" t="n">
        <v>14313</v>
      </c>
      <c r="X43" s="18" t="n">
        <v>16603</v>
      </c>
      <c r="Y43" s="18" t="n">
        <v>18065</v>
      </c>
      <c r="Z43" s="18" t="n">
        <v>21750</v>
      </c>
      <c r="AA43" s="18" t="n">
        <v>24522</v>
      </c>
      <c r="AB43" s="18" t="n">
        <v>28633</v>
      </c>
      <c r="AC43" s="18" t="n">
        <v>31969</v>
      </c>
    </row>
    <row r="44">
      <c r="A44" s="4" t="inlineStr">
        <is>
          <t>Long-term Debt</t>
        </is>
      </c>
      <c r="B44" s="18" t="n">
        <v>619.67</v>
      </c>
      <c r="C44" s="18" t="n">
        <v>615.701</v>
      </c>
      <c r="D44" s="18" t="n">
        <v>623.985</v>
      </c>
      <c r="E44" s="18" t="n">
        <v>609.979</v>
      </c>
      <c r="F44" s="18" t="n">
        <v>605.095</v>
      </c>
      <c r="G44" s="18" t="n">
        <v>612.799</v>
      </c>
      <c r="H44" s="18" t="n">
        <v>844.615</v>
      </c>
      <c r="I44" s="18" t="n">
        <v>1641.848</v>
      </c>
      <c r="J44" s="18" t="n">
        <v>1763.016</v>
      </c>
      <c r="K44" s="18" t="n">
        <v>1938.6</v>
      </c>
      <c r="L44" s="18" t="n">
        <v>2197</v>
      </c>
      <c r="M44" s="18" t="n">
        <v>2599</v>
      </c>
      <c r="N44" s="18" t="n">
        <v>2478</v>
      </c>
      <c r="O44" s="18" t="n">
        <v>2705</v>
      </c>
      <c r="P44" s="18" t="n">
        <v>2590</v>
      </c>
      <c r="Q44" s="18" t="n">
        <v>2457</v>
      </c>
      <c r="R44" s="18" t="n">
        <v>2441</v>
      </c>
      <c r="S44" s="18" t="n">
        <v>2143</v>
      </c>
      <c r="T44" s="18" t="n">
        <v>2107</v>
      </c>
      <c r="U44" s="18" t="n">
        <v>2132</v>
      </c>
      <c r="V44" s="18" t="n">
        <v>2361</v>
      </c>
      <c r="W44" s="18" t="n">
        <v>3034</v>
      </c>
      <c r="X44" s="18" t="n">
        <v>2806</v>
      </c>
      <c r="Y44" s="18" t="n">
        <v>2787</v>
      </c>
      <c r="Z44" s="18" t="n">
        <v>3412</v>
      </c>
      <c r="AA44" s="18" t="n">
        <v>3339</v>
      </c>
      <c r="AB44" s="18" t="n">
        <v>4570</v>
      </c>
      <c r="AC44" s="18" t="n">
        <v>1946</v>
      </c>
    </row>
    <row r="45">
      <c r="A45" s="4" t="inlineStr">
        <is>
          <t>Total Equity</t>
        </is>
      </c>
      <c r="B45" s="18" t="n">
        <v>2244.612</v>
      </c>
      <c r="C45" s="18" t="n">
        <v>2137.017</v>
      </c>
      <c r="D45" s="18" t="n">
        <v>2081.963</v>
      </c>
      <c r="E45" s="18" t="n">
        <v>1965.41</v>
      </c>
      <c r="F45" s="18" t="n">
        <v>1907.092</v>
      </c>
      <c r="G45" s="18" t="n">
        <v>1795.526</v>
      </c>
      <c r="H45" s="18" t="n">
        <v>1651.578</v>
      </c>
      <c r="I45" s="18" t="n">
        <v>-30.404</v>
      </c>
      <c r="J45" s="18" t="n">
        <v>81.03</v>
      </c>
      <c r="K45" s="18" t="n">
        <v>122.976</v>
      </c>
      <c r="L45" s="18" t="n">
        <v>1531</v>
      </c>
      <c r="M45" s="18" t="n">
        <v>1589</v>
      </c>
      <c r="N45" s="18" t="n">
        <v>1580</v>
      </c>
      <c r="O45" s="18" t="n">
        <v>1631</v>
      </c>
      <c r="P45" s="18" t="n">
        <v>1827</v>
      </c>
      <c r="Q45" s="18" t="n">
        <v>2040</v>
      </c>
      <c r="R45" s="18" t="n">
        <v>2252</v>
      </c>
      <c r="S45" s="18" t="n">
        <v>2741</v>
      </c>
      <c r="T45" s="18" t="n">
        <v>3071</v>
      </c>
      <c r="U45" s="18" t="n">
        <v>3390</v>
      </c>
      <c r="V45" s="18" t="n">
        <v>3656</v>
      </c>
      <c r="W45" s="18" t="n">
        <v>4002</v>
      </c>
      <c r="X45" s="18" t="n">
        <v>4351</v>
      </c>
      <c r="Y45" s="18" t="n">
        <v>5004</v>
      </c>
      <c r="Z45" s="18" t="n">
        <v>5713</v>
      </c>
      <c r="AA45" s="18" t="n">
        <v>6218</v>
      </c>
      <c r="AB45" s="18" t="n">
        <v>6748</v>
      </c>
      <c r="AC45" s="18" t="n">
        <v>7281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4" t="inlineStr">
        <is>
          <t>D&amp;A</t>
        </is>
      </c>
      <c r="B47" s="18" t="n">
        <v>17.281</v>
      </c>
      <c r="C47" s="18" t="n">
        <v>19.543</v>
      </c>
      <c r="D47" s="18" t="n">
        <v>20.802</v>
      </c>
      <c r="E47" s="18" t="n">
        <v>21.55</v>
      </c>
      <c r="F47" s="18" t="n">
        <v>22.652</v>
      </c>
      <c r="G47" s="18" t="n">
        <v>28.234</v>
      </c>
      <c r="H47" s="18" t="n">
        <v>32.556</v>
      </c>
      <c r="I47" s="18" t="n">
        <v>38.416</v>
      </c>
      <c r="J47" s="18" t="n">
        <v>46.109</v>
      </c>
      <c r="K47" s="18" t="n">
        <v>52.236</v>
      </c>
      <c r="L47" s="18" t="n">
        <v>67.181</v>
      </c>
      <c r="M47" s="18" t="n">
        <v>84</v>
      </c>
      <c r="N47" s="18" t="n">
        <v>100</v>
      </c>
      <c r="O47" s="18" t="n">
        <v>97</v>
      </c>
      <c r="P47" s="18" t="n">
        <v>122</v>
      </c>
      <c r="Q47" s="18" t="n">
        <v>126</v>
      </c>
      <c r="R47" s="18" t="n">
        <v>128</v>
      </c>
      <c r="S47" s="18" t="n">
        <v>135</v>
      </c>
      <c r="T47" s="18" t="n">
        <v>15</v>
      </c>
      <c r="U47" s="18" t="n">
        <v>154</v>
      </c>
      <c r="V47" s="18" t="n">
        <v>154</v>
      </c>
      <c r="W47" s="18" t="n">
        <v>157</v>
      </c>
      <c r="X47" s="18" t="n">
        <v>152</v>
      </c>
      <c r="Y47" s="18" t="n">
        <v>172</v>
      </c>
      <c r="Z47" s="18" t="n">
        <v>188</v>
      </c>
      <c r="AA47" s="18" t="n">
        <v>220</v>
      </c>
      <c r="AB47" s="18" t="n">
        <v>238</v>
      </c>
      <c r="AC47" s="18" t="n">
        <v>246</v>
      </c>
    </row>
    <row r="48">
      <c r="A48" s="4" t="inlineStr">
        <is>
          <t>Stock-based Compensation</t>
        </is>
      </c>
      <c r="B48" s="18" t="n">
        <v>18.767</v>
      </c>
      <c r="C48" s="18" t="n">
        <v>16.319</v>
      </c>
      <c r="D48" s="18" t="n">
        <v>3.53</v>
      </c>
      <c r="E48" s="18" t="n">
        <v>15.843</v>
      </c>
      <c r="F48" s="18" t="n">
        <v>36.43</v>
      </c>
      <c r="G48" s="18" t="n">
        <v>23.417</v>
      </c>
      <c r="H48" s="18" t="n">
        <v>54.615</v>
      </c>
      <c r="I48" s="18" t="n">
        <v>22</v>
      </c>
      <c r="J48" s="18" t="n">
        <v>29</v>
      </c>
      <c r="K48" s="18" t="n">
        <v>33</v>
      </c>
      <c r="L48" s="18" t="n">
        <v>4.943</v>
      </c>
      <c r="M48" s="18" t="n">
        <v>30</v>
      </c>
      <c r="N48" s="18" t="n">
        <v>5</v>
      </c>
      <c r="O48" s="18" t="n">
        <v>24</v>
      </c>
      <c r="P48" s="18" t="n">
        <v>25</v>
      </c>
      <c r="Q48" s="18" t="n">
        <v>47</v>
      </c>
      <c r="R48" s="18" t="n">
        <v>36</v>
      </c>
      <c r="S48" s="18" t="n">
        <v>-83</v>
      </c>
      <c r="T48" s="18" t="n">
        <v>167</v>
      </c>
      <c r="U48" s="18" t="n">
        <v>68</v>
      </c>
      <c r="V48" s="18" t="n">
        <v>59</v>
      </c>
      <c r="W48" s="18" t="n">
        <v>83</v>
      </c>
      <c r="X48" s="18" t="n">
        <v>51</v>
      </c>
      <c r="Y48" s="18" t="n">
        <v>0</v>
      </c>
      <c r="Z48" s="18" t="n">
        <v>0</v>
      </c>
      <c r="AA48" s="18" t="n">
        <v>160</v>
      </c>
      <c r="AB48" s="18" t="n">
        <v>0</v>
      </c>
      <c r="AC48" s="18" t="n">
        <v>0</v>
      </c>
    </row>
    <row r="49">
      <c r="A49" s="4" t="inlineStr">
        <is>
          <t>Change in Working Capital</t>
        </is>
      </c>
      <c r="B49" s="18" t="n">
        <v>-21.728</v>
      </c>
      <c r="C49" s="18" t="n">
        <v>158.323</v>
      </c>
      <c r="D49" s="18" t="n">
        <v>106.242</v>
      </c>
      <c r="E49" s="18" t="n">
        <v>-112.714</v>
      </c>
      <c r="F49" s="18" t="n">
        <v>495.477</v>
      </c>
      <c r="G49" s="18" t="n">
        <v>274.117</v>
      </c>
      <c r="H49" s="18" t="n">
        <v>115.948</v>
      </c>
      <c r="I49" s="18" t="n">
        <v>-423.665</v>
      </c>
      <c r="J49" s="18" t="n">
        <v>-46.219</v>
      </c>
      <c r="K49" s="18" t="n">
        <v>-44.274</v>
      </c>
      <c r="L49" s="18" t="n">
        <v>513.846</v>
      </c>
      <c r="M49" s="18" t="n">
        <v>-754</v>
      </c>
      <c r="N49" s="18" t="n">
        <v>220</v>
      </c>
      <c r="O49" s="18" t="n">
        <v>115</v>
      </c>
      <c r="P49" s="18" t="n">
        <v>830</v>
      </c>
      <c r="Q49" s="18" t="n">
        <v>65</v>
      </c>
      <c r="R49" s="18" t="n">
        <v>491</v>
      </c>
      <c r="S49" s="18" t="n">
        <v>75</v>
      </c>
      <c r="T49" s="18" t="n">
        <v>453.387341</v>
      </c>
      <c r="U49" s="18" t="n">
        <v>301</v>
      </c>
      <c r="V49" s="18" t="n">
        <v>409.08108</v>
      </c>
      <c r="W49" s="18" t="n">
        <v>-710.081</v>
      </c>
      <c r="X49" s="18" t="n">
        <v>882.852</v>
      </c>
      <c r="Y49" s="18" t="n">
        <v>-456</v>
      </c>
      <c r="Z49" s="18" t="n">
        <v>989.364</v>
      </c>
      <c r="AA49" s="18" t="n">
        <v>2099.79817</v>
      </c>
      <c r="AB49" s="18" t="n">
        <v>2607</v>
      </c>
      <c r="AC49" s="18" t="n">
        <v>-143</v>
      </c>
    </row>
    <row r="50">
      <c r="A50" s="4" t="inlineStr">
        <is>
          <t>Operating Cash Flow</t>
        </is>
      </c>
      <c r="B50" s="18" t="n">
        <v>27.554</v>
      </c>
      <c r="C50" s="18" t="n">
        <v>206.892</v>
      </c>
      <c r="D50" s="18" t="n">
        <v>78.274</v>
      </c>
      <c r="E50" s="18" t="n">
        <v>-85.651</v>
      </c>
      <c r="F50" s="18" t="n">
        <v>650.336</v>
      </c>
      <c r="G50" s="18" t="n">
        <v>361.31</v>
      </c>
      <c r="H50" s="18" t="n">
        <v>256.557</v>
      </c>
      <c r="I50" s="18" t="n">
        <v>-262.997</v>
      </c>
      <c r="J50" s="18" t="n">
        <v>264</v>
      </c>
      <c r="K50" s="18" t="n">
        <v>265.306</v>
      </c>
      <c r="L50" s="18" t="n">
        <v>700.696</v>
      </c>
      <c r="M50" s="18" t="n">
        <v>-233</v>
      </c>
      <c r="N50" s="18" t="n">
        <v>907</v>
      </c>
      <c r="O50" s="18" t="n">
        <v>724</v>
      </c>
      <c r="P50" s="18" t="n">
        <v>1542</v>
      </c>
      <c r="Q50" s="18" t="n">
        <v>859</v>
      </c>
      <c r="R50" s="18" t="n">
        <v>1412</v>
      </c>
      <c r="S50" s="18" t="n">
        <v>941</v>
      </c>
      <c r="T50" s="18" t="n">
        <v>1928</v>
      </c>
      <c r="U50" s="18" t="n">
        <v>1220</v>
      </c>
      <c r="V50" s="18" t="n">
        <v>1882</v>
      </c>
      <c r="W50" s="18" t="n">
        <v>1600</v>
      </c>
      <c r="X50" s="18" t="n">
        <v>2924</v>
      </c>
      <c r="Y50" s="18" t="n">
        <v>944</v>
      </c>
      <c r="Z50" s="18" t="n">
        <v>2445.162</v>
      </c>
      <c r="AA50" s="18" t="n">
        <v>2740.682412</v>
      </c>
      <c r="AB50" s="18" t="n">
        <v>5209</v>
      </c>
      <c r="AC50" s="18" t="n">
        <v>1552</v>
      </c>
    </row>
    <row r="51">
      <c r="A51" s="4" t="inlineStr">
        <is>
          <t>Capex</t>
        </is>
      </c>
      <c r="B51" s="18" t="n">
        <v>-38.433</v>
      </c>
      <c r="C51" s="18" t="n">
        <v>-29.387</v>
      </c>
      <c r="D51" s="18" t="n">
        <v>-36.088</v>
      </c>
      <c r="E51" s="18" t="n">
        <v>-45.268</v>
      </c>
      <c r="F51" s="18" t="n">
        <v>-49.653</v>
      </c>
      <c r="G51" s="18" t="n">
        <v>-64.96899999999999</v>
      </c>
      <c r="H51" s="18" t="n">
        <v>-87.251</v>
      </c>
      <c r="I51" s="18" t="n">
        <v>-120.477</v>
      </c>
      <c r="J51" s="18" t="n">
        <v>-150</v>
      </c>
      <c r="K51" s="18" t="n">
        <v>-171.534</v>
      </c>
      <c r="L51" s="18" t="n">
        <v>-155.639</v>
      </c>
      <c r="M51" s="18" t="n">
        <v>-137</v>
      </c>
      <c r="N51" s="18" t="n">
        <v>-100</v>
      </c>
      <c r="O51" s="18" t="n">
        <v>-106</v>
      </c>
      <c r="P51" s="18" t="n">
        <v>-112</v>
      </c>
      <c r="Q51" s="18" t="n">
        <v>-89</v>
      </c>
      <c r="R51" s="18" t="n">
        <v>-114</v>
      </c>
      <c r="S51" s="18" t="n">
        <v>-126</v>
      </c>
      <c r="T51" s="18" t="n">
        <v>-180</v>
      </c>
      <c r="U51" s="18" t="n">
        <v>-146</v>
      </c>
      <c r="V51" s="18" t="n">
        <v>-184</v>
      </c>
      <c r="W51" s="18" t="n">
        <v>-223</v>
      </c>
      <c r="X51" s="18" t="n">
        <v>-305</v>
      </c>
      <c r="Y51" s="18" t="n">
        <v>-272</v>
      </c>
      <c r="Z51" s="18" t="n">
        <v>-264.242</v>
      </c>
      <c r="AA51" s="18" t="n">
        <v>-276.692732</v>
      </c>
      <c r="AB51" s="18" t="n">
        <v>-427</v>
      </c>
      <c r="AC51" s="18" t="n">
        <v>-271</v>
      </c>
    </row>
    <row r="52">
      <c r="A52" s="4" t="inlineStr">
        <is>
          <t>Free Cash Flow</t>
        </is>
      </c>
      <c r="B52" s="18" t="n">
        <v>-10.879</v>
      </c>
      <c r="C52" s="18" t="n">
        <v>177.505</v>
      </c>
      <c r="D52" s="18" t="n">
        <v>42.186</v>
      </c>
      <c r="E52" s="18" t="n">
        <v>-130.919</v>
      </c>
      <c r="F52" s="18" t="n">
        <v>600.683</v>
      </c>
      <c r="G52" s="18" t="n">
        <v>296.341</v>
      </c>
      <c r="H52" s="18" t="n">
        <v>169.306</v>
      </c>
      <c r="I52" s="18" t="n">
        <v>-383.474</v>
      </c>
      <c r="J52" s="18" t="n">
        <v>114</v>
      </c>
      <c r="K52" s="18" t="n">
        <v>93.77200000000001</v>
      </c>
      <c r="L52" s="18" t="n">
        <v>545.057</v>
      </c>
      <c r="M52" s="18" t="n">
        <v>-370</v>
      </c>
      <c r="N52" s="18" t="n">
        <v>807</v>
      </c>
      <c r="O52" s="18" t="n">
        <v>618</v>
      </c>
      <c r="P52" s="18" t="n">
        <v>1430</v>
      </c>
      <c r="Q52" s="18" t="n">
        <v>770</v>
      </c>
      <c r="R52" s="18" t="n">
        <v>1298</v>
      </c>
      <c r="S52" s="18" t="n">
        <v>815</v>
      </c>
      <c r="T52" s="18" t="n">
        <v>1748</v>
      </c>
      <c r="U52" s="18" t="n">
        <v>1074</v>
      </c>
      <c r="V52" s="18" t="n">
        <v>1698</v>
      </c>
      <c r="W52" s="18" t="n">
        <v>1377</v>
      </c>
      <c r="X52" s="18" t="n">
        <v>2619</v>
      </c>
      <c r="Y52" s="18" t="n">
        <v>672</v>
      </c>
      <c r="Z52" s="18" t="n">
        <v>2180.921</v>
      </c>
      <c r="AA52" s="18" t="n">
        <v>2463.98968</v>
      </c>
      <c r="AB52" s="18" t="n">
        <v>4782</v>
      </c>
      <c r="AC52" s="18" t="n">
        <v>1281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40194.98968</v>
      </c>
      <c r="C4" s="18" t="n">
        <v>50882.462396</v>
      </c>
      <c r="D4" s="18" t="n">
        <v>62580.66485</v>
      </c>
      <c r="E4" s="18" t="n">
        <v>76467.441938</v>
      </c>
      <c r="F4" s="18" t="n">
        <v>89000.00930000001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  <c r="E5" s="28">
        <f>Model!J8</f>
        <v/>
      </c>
      <c r="F5" s="28">
        <f>Model!K8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6677.701207</v>
      </c>
      <c r="C8" s="18" t="n">
        <v>8453.239651</v>
      </c>
      <c r="D8" s="18" t="n">
        <v>10396.693332</v>
      </c>
      <c r="E8" s="18" t="n">
        <v>12703.740774</v>
      </c>
      <c r="F8" s="18" t="n">
        <v>14785.80973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  <c r="E9" s="28">
        <f>Model!J21+Model!J26</f>
        <v/>
      </c>
      <c r="F9" s="28">
        <f>Model!K21+Model!K26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6354.78463</v>
      </c>
      <c r="C12" s="18" t="n">
        <v>8044.46257</v>
      </c>
      <c r="D12" s="18" t="n">
        <v>9893.935794000001</v>
      </c>
      <c r="E12" s="18" t="n">
        <v>12089.420314</v>
      </c>
      <c r="F12" s="18" t="n">
        <v>14070.805732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  <c r="E13" s="28">
        <f>Model!J21</f>
        <v/>
      </c>
      <c r="F13" s="28">
        <f>Model!K21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7816.913835</v>
      </c>
      <c r="C16" s="18" t="n">
        <v>9895.358287999999</v>
      </c>
      <c r="D16" s="18" t="n">
        <v>12170.364236</v>
      </c>
      <c r="E16" s="18" t="n">
        <v>14870.992867</v>
      </c>
      <c r="F16" s="18" t="n">
        <v>17308.26179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  <c r="E17" s="28">
        <f>Model!J16</f>
        <v/>
      </c>
      <c r="F17" s="28">
        <f>Model!K16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2149.15375</v>
      </c>
      <c r="C20" s="18" t="n">
        <v>3089.07891</v>
      </c>
      <c r="D20" s="18" t="n">
        <v>4263.18308</v>
      </c>
      <c r="E20" s="18" t="n">
        <v>6837.942546</v>
      </c>
      <c r="F20" s="18" t="n">
        <v>9409.363385000001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  <c r="E21" s="28">
        <f>Model!J25</f>
        <v/>
      </c>
      <c r="F21" s="28">
        <f>Model!K25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40.06655</v>
      </c>
      <c r="C24" s="38" t="n">
        <v>58.08083</v>
      </c>
      <c r="D24" s="38" t="n">
        <v>81.941</v>
      </c>
      <c r="E24" s="38" t="n">
        <v>134.87864</v>
      </c>
      <c r="F24" s="38" t="n">
        <v>185.6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MercadoLibre,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Financials!AC39</f>
        <v/>
      </c>
    </row>
    <row r="33">
      <c r="A33" s="4" t="inlineStr">
        <is>
          <t>- Long-term debt</t>
        </is>
      </c>
      <c r="B33" s="28">
        <f>-Financials!AC44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0.02831135569169003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1.518825183374083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0.02056345222471492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0.02699467363571858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1.077655817677401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Financials!AC39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2026-06-04T06:26:09Z</dcterms:created>
  <dcterms:modified xmlns:dcterms="http://purl.org/dc/terms/" xmlns:xsi="http://www.w3.org/2001/XMLSchema-instance" xsi:type="dcterms:W3CDTF">2026-06-04T06:26:09Z</dcterms:modified>
</cp:coreProperties>
</file>