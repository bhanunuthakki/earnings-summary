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GitLab Inc. (GTLB)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GitLab Inc. (GTLB)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Model!G46-WACC!B14</f>
        <v/>
      </c>
      <c r="C15" s="10">
        <f>IF(Model!G46-WACC!B14&lt;0,"!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Subscription and Software</t>
        </is>
      </c>
      <c r="B20" s="50" t="n">
        <v>-0.05612049005159292</v>
      </c>
      <c r="C20" s="50" t="n">
        <v>0.05</v>
      </c>
      <c r="D20" s="51" t="n">
        <v>-0.05612049005159292</v>
      </c>
      <c r="E20" s="2" t="inlineStr"/>
    </row>
    <row r="21">
      <c r="A21" s="4" t="inlineStr">
        <is>
          <t>Subscription and Circulation</t>
        </is>
      </c>
      <c r="B21" s="50" t="n">
        <v>0.08293726056845152</v>
      </c>
      <c r="C21" s="50" t="n">
        <v>0.05</v>
      </c>
      <c r="D21" s="51" t="n">
        <v>0.08293726056845152</v>
      </c>
      <c r="E21" s="2" t="inlineStr"/>
    </row>
    <row r="22">
      <c r="A22" s="4" t="inlineStr">
        <is>
          <t>Subscription, Software As A Service</t>
        </is>
      </c>
      <c r="B22" s="50" t="n">
        <v>0.1305461766150738</v>
      </c>
      <c r="C22" s="50" t="n">
        <v>0.05000000000000002</v>
      </c>
      <c r="D22" s="51" t="n">
        <v>0.1305461766150738</v>
      </c>
      <c r="E22" s="2" t="inlineStr"/>
    </row>
    <row r="23">
      <c r="A23" s="4" t="inlineStr">
        <is>
          <t>License, Professional Services, and Other</t>
        </is>
      </c>
      <c r="B23" s="50" t="n">
        <v>-0.05612049005159292</v>
      </c>
      <c r="C23" s="50" t="n">
        <v>0.05</v>
      </c>
      <c r="D23" s="51" t="n">
        <v>-0.05612049005159292</v>
      </c>
      <c r="E23" s="2" t="inlineStr"/>
    </row>
    <row r="24">
      <c r="A24" s="4" t="inlineStr">
        <is>
          <t>License</t>
        </is>
      </c>
      <c r="B24" s="50" t="n">
        <v>-0.09705331240968507</v>
      </c>
      <c r="C24" s="50" t="n">
        <v>0.05</v>
      </c>
      <c r="D24" s="51" t="n">
        <v>-0.09705331240968507</v>
      </c>
      <c r="E24" s="2" t="inlineStr"/>
    </row>
    <row r="25">
      <c r="A25" s="4" t="inlineStr">
        <is>
          <t>Professional Services and Other</t>
        </is>
      </c>
      <c r="B25" s="50" t="n">
        <v>0.1305461766150738</v>
      </c>
      <c r="C25" s="50" t="n">
        <v>0.05000000000000002</v>
      </c>
      <c r="D25" s="51" t="n">
        <v>0.1305461766150738</v>
      </c>
      <c r="E25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0.1755419982538509</v>
      </c>
      <c r="D29" s="51" t="n">
        <v>0.1755419982538509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0.172039768372353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11.9097</v>
      </c>
      <c r="D34" s="18" t="n">
        <v>11.9097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0.823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29.78000068664551</v>
      </c>
    </row>
  </sheetData>
  <conditionalFormatting sqref="B20:B25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Dashboard!$B$48*Financials!Y17</f>
        <v/>
      </c>
    </row>
    <row r="10">
      <c r="A10" s="4" t="inlineStr">
        <is>
          <t>Total debt (D)</t>
        </is>
      </c>
      <c r="B10" s="28">
        <f>Financials!Y53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FY2022A</t>
        </is>
      </c>
      <c r="C1" s="30" t="inlineStr">
        <is>
          <t>FY2023A</t>
        </is>
      </c>
      <c r="D1" s="30" t="inlineStr">
        <is>
          <t>FY2024A</t>
        </is>
      </c>
      <c r="E1" s="30" t="inlineStr">
        <is>
          <t>FY2025A</t>
        </is>
      </c>
      <c r="F1" s="30" t="inlineStr">
        <is>
          <t>FY2026A</t>
        </is>
      </c>
      <c r="G1" s="31" t="inlineStr">
        <is>
          <t>FY2027E</t>
        </is>
      </c>
      <c r="H1" s="31" t="inlineStr">
        <is>
          <t>FY2028E</t>
        </is>
      </c>
      <c r="I1" s="31" t="inlineStr">
        <is>
          <t>FY2029E</t>
        </is>
      </c>
      <c r="J1" s="31" t="inlineStr">
        <is>
          <t>FY2030E</t>
        </is>
      </c>
      <c r="K1" s="31" t="inlineStr">
        <is>
          <t>FY2031E</t>
        </is>
      </c>
      <c r="L1" s="31" t="inlineStr">
        <is>
          <t>FY2032E</t>
        </is>
      </c>
      <c r="M1" s="31" t="inlineStr">
        <is>
          <t>FY2033E</t>
        </is>
      </c>
      <c r="N1" s="31" t="inlineStr">
        <is>
          <t>FY2034E</t>
        </is>
      </c>
      <c r="O1" s="31" t="inlineStr">
        <is>
          <t>FY2035E</t>
        </is>
      </c>
      <c r="P1" s="3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Subscription and Software</t>
        </is>
      </c>
      <c r="B4" s="28">
        <f>SUM(Financials!F19:I19)</f>
        <v/>
      </c>
      <c r="C4" s="28">
        <f>SUM(Financials!J19:M19)</f>
        <v/>
      </c>
      <c r="D4" s="28">
        <f>SUM(Financials!N19:Q19)</f>
        <v/>
      </c>
      <c r="E4" s="28">
        <f>SUM(Financials!R19:U19)</f>
        <v/>
      </c>
      <c r="F4" s="28">
        <f>SUM(Financials!V19:Y19)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Subscription and Circulation</t>
        </is>
      </c>
      <c r="B6" s="28">
        <f>SUM(Financials!F22:I22)</f>
        <v/>
      </c>
      <c r="C6" s="28">
        <f>SUM(Financials!J22:M22)</f>
        <v/>
      </c>
      <c r="D6" s="28">
        <f>SUM(Financials!N22:Q22)</f>
        <v/>
      </c>
      <c r="E6" s="28">
        <f>SUM(Financials!R22:U22)</f>
        <v/>
      </c>
      <c r="F6" s="28">
        <f>SUM(Financials!V22:Y22)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4" t="inlineStr">
        <is>
          <t>Subscription, Software As A Service</t>
        </is>
      </c>
      <c r="B8" s="28">
        <f>SUM(Financials!F25:I25)</f>
        <v/>
      </c>
      <c r="C8" s="28">
        <f>SUM(Financials!J25:M25)</f>
        <v/>
      </c>
      <c r="D8" s="28">
        <f>SUM(Financials!N25:Q25)</f>
        <v/>
      </c>
      <c r="E8" s="28">
        <f>SUM(Financials!R25:U25)</f>
        <v/>
      </c>
      <c r="F8" s="28">
        <f>SUM(Financials!V25:Y25)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48">
        <f>Dashboard!$B$22+(Dashboard!$C$22-Dashboard!$B$22)*MAX(0,0-2)/7</f>
        <v/>
      </c>
      <c r="H9" s="48">
        <f>Dashboard!$B$22+(Dashboard!$C$22-Dashboard!$B$22)*MAX(0,1-2)/7</f>
        <v/>
      </c>
      <c r="I9" s="48">
        <f>Dashboard!$B$22+(Dashboard!$C$22-Dashboard!$B$22)*MAX(0,2-2)/7</f>
        <v/>
      </c>
      <c r="J9" s="48">
        <f>Dashboard!$B$22+(Dashboard!$C$22-Dashboard!$B$22)*MAX(0,3-2)/7</f>
        <v/>
      </c>
      <c r="K9" s="48">
        <f>Dashboard!$B$22+(Dashboard!$C$22-Dashboard!$B$22)*MAX(0,4-2)/7</f>
        <v/>
      </c>
      <c r="L9" s="48">
        <f>Dashboard!$B$22+(Dashboard!$C$22-Dashboard!$B$22)*MAX(0,5-2)/7</f>
        <v/>
      </c>
      <c r="M9" s="48">
        <f>Dashboard!$B$22+(Dashboard!$C$22-Dashboard!$B$22)*MAX(0,6-2)/7</f>
        <v/>
      </c>
      <c r="N9" s="48">
        <f>Dashboard!$B$22+(Dashboard!$C$22-Dashboard!$B$22)*MAX(0,7-2)/7</f>
        <v/>
      </c>
      <c r="O9" s="48">
        <f>Dashboard!$B$22+(Dashboard!$C$22-Dashboard!$B$22)*MAX(0,8-2)/7</f>
        <v/>
      </c>
      <c r="P9" s="48">
        <f>Dashboard!$B$22+(Dashboard!$C$22-Dashboard!$B$22)*MAX(0,9-2)/7</f>
        <v/>
      </c>
    </row>
    <row r="10">
      <c r="A10" s="4" t="inlineStr">
        <is>
          <t>License, Professional Services, and Other</t>
        </is>
      </c>
      <c r="B10" s="28">
        <f>SUM(Financials!F28:I28)</f>
        <v/>
      </c>
      <c r="C10" s="28">
        <f>SUM(Financials!J28:M28)</f>
        <v/>
      </c>
      <c r="D10" s="28">
        <f>SUM(Financials!N28:Q28)</f>
        <v/>
      </c>
      <c r="E10" s="28">
        <f>SUM(Financials!R28:U28)</f>
        <v/>
      </c>
      <c r="F10" s="28">
        <f>SUM(Financials!V28:Y28)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57">
        <f>IFERROR(C10/B10-1,"")</f>
        <v/>
      </c>
      <c r="D11" s="57">
        <f>IFERROR(D10/C10-1,"")</f>
        <v/>
      </c>
      <c r="E11" s="57">
        <f>IFERROR(E10/D10-1,"")</f>
        <v/>
      </c>
      <c r="F11" s="57">
        <f>IFERROR(F10/E10-1,"")</f>
        <v/>
      </c>
      <c r="G11" s="48">
        <f>Dashboard!$B$23+(Dashboard!$C$23-Dashboard!$B$23)*MAX(0,0-2)/7</f>
        <v/>
      </c>
      <c r="H11" s="48">
        <f>Dashboard!$B$23+(Dashboard!$C$23-Dashboard!$B$23)*MAX(0,1-2)/7</f>
        <v/>
      </c>
      <c r="I11" s="48">
        <f>Dashboard!$B$23+(Dashboard!$C$23-Dashboard!$B$23)*MAX(0,2-2)/7</f>
        <v/>
      </c>
      <c r="J11" s="48">
        <f>Dashboard!$B$23+(Dashboard!$C$23-Dashboard!$B$23)*MAX(0,3-2)/7</f>
        <v/>
      </c>
      <c r="K11" s="48">
        <f>Dashboard!$B$23+(Dashboard!$C$23-Dashboard!$B$23)*MAX(0,4-2)/7</f>
        <v/>
      </c>
      <c r="L11" s="48">
        <f>Dashboard!$B$23+(Dashboard!$C$23-Dashboard!$B$23)*MAX(0,5-2)/7</f>
        <v/>
      </c>
      <c r="M11" s="48">
        <f>Dashboard!$B$23+(Dashboard!$C$23-Dashboard!$B$23)*MAX(0,6-2)/7</f>
        <v/>
      </c>
      <c r="N11" s="48">
        <f>Dashboard!$B$23+(Dashboard!$C$23-Dashboard!$B$23)*MAX(0,7-2)/7</f>
        <v/>
      </c>
      <c r="O11" s="48">
        <f>Dashboard!$B$23+(Dashboard!$C$23-Dashboard!$B$23)*MAX(0,8-2)/7</f>
        <v/>
      </c>
      <c r="P11" s="48">
        <f>Dashboard!$B$23+(Dashboard!$C$23-Dashboard!$B$23)*MAX(0,9-2)/7</f>
        <v/>
      </c>
    </row>
    <row r="12">
      <c r="A12" s="4" t="inlineStr">
        <is>
          <t>License</t>
        </is>
      </c>
      <c r="B12" s="28">
        <f>SUM(Financials!F31:I31)</f>
        <v/>
      </c>
      <c r="C12" s="28">
        <f>SUM(Financials!J31:M31)</f>
        <v/>
      </c>
      <c r="D12" s="28">
        <f>SUM(Financials!N31:Q31)</f>
        <v/>
      </c>
      <c r="E12" s="28">
        <f>SUM(Financials!R31:U31)</f>
        <v/>
      </c>
      <c r="F12" s="28">
        <f>SUM(Financials!V31:Y31)</f>
        <v/>
      </c>
      <c r="G12" s="32">
        <f>F12*(1+G13)</f>
        <v/>
      </c>
      <c r="H12" s="32">
        <f>G12*(1+H13)</f>
        <v/>
      </c>
      <c r="I12" s="32">
        <f>H12*(1+I13)</f>
        <v/>
      </c>
      <c r="J12" s="32">
        <f>I12*(1+J13)</f>
        <v/>
      </c>
      <c r="K12" s="32">
        <f>J12*(1+K13)</f>
        <v/>
      </c>
      <c r="L12" s="32">
        <f>K12*(1+L13)</f>
        <v/>
      </c>
      <c r="M12" s="32">
        <f>L12*(1+M13)</f>
        <v/>
      </c>
      <c r="N12" s="32">
        <f>M12*(1+N13)</f>
        <v/>
      </c>
      <c r="O12" s="32">
        <f>N12*(1+O13)</f>
        <v/>
      </c>
      <c r="P12" s="32">
        <f>O12*(1+P13)</f>
        <v/>
      </c>
    </row>
    <row r="13">
      <c r="A13" s="4" t="inlineStr">
        <is>
          <t xml:space="preserve">    growth % (interpolated from Dashboard)</t>
        </is>
      </c>
      <c r="C13" s="57">
        <f>IFERROR(C12/B12-1,"")</f>
        <v/>
      </c>
      <c r="D13" s="57">
        <f>IFERROR(D12/C12-1,"")</f>
        <v/>
      </c>
      <c r="E13" s="57">
        <f>IFERROR(E12/D12-1,"")</f>
        <v/>
      </c>
      <c r="F13" s="57">
        <f>IFERROR(F12/E12-1,"")</f>
        <v/>
      </c>
      <c r="G13" s="48">
        <f>Dashboard!$B$24+(Dashboard!$C$24-Dashboard!$B$24)*MAX(0,0-2)/7</f>
        <v/>
      </c>
      <c r="H13" s="48">
        <f>Dashboard!$B$24+(Dashboard!$C$24-Dashboard!$B$24)*MAX(0,1-2)/7</f>
        <v/>
      </c>
      <c r="I13" s="48">
        <f>Dashboard!$B$24+(Dashboard!$C$24-Dashboard!$B$24)*MAX(0,2-2)/7</f>
        <v/>
      </c>
      <c r="J13" s="48">
        <f>Dashboard!$B$24+(Dashboard!$C$24-Dashboard!$B$24)*MAX(0,3-2)/7</f>
        <v/>
      </c>
      <c r="K13" s="48">
        <f>Dashboard!$B$24+(Dashboard!$C$24-Dashboard!$B$24)*MAX(0,4-2)/7</f>
        <v/>
      </c>
      <c r="L13" s="48">
        <f>Dashboard!$B$24+(Dashboard!$C$24-Dashboard!$B$24)*MAX(0,5-2)/7</f>
        <v/>
      </c>
      <c r="M13" s="48">
        <f>Dashboard!$B$24+(Dashboard!$C$24-Dashboard!$B$24)*MAX(0,6-2)/7</f>
        <v/>
      </c>
      <c r="N13" s="48">
        <f>Dashboard!$B$24+(Dashboard!$C$24-Dashboard!$B$24)*MAX(0,7-2)/7</f>
        <v/>
      </c>
      <c r="O13" s="48">
        <f>Dashboard!$B$24+(Dashboard!$C$24-Dashboard!$B$24)*MAX(0,8-2)/7</f>
        <v/>
      </c>
      <c r="P13" s="48">
        <f>Dashboard!$B$24+(Dashboard!$C$24-Dashboard!$B$24)*MAX(0,9-2)/7</f>
        <v/>
      </c>
    </row>
    <row r="14">
      <c r="A14" s="4" t="inlineStr">
        <is>
          <t>Professional Services and Other</t>
        </is>
      </c>
      <c r="B14" s="28">
        <f>SUM(Financials!F34:I34)</f>
        <v/>
      </c>
      <c r="C14" s="28">
        <f>SUM(Financials!J34:M34)</f>
        <v/>
      </c>
      <c r="D14" s="28">
        <f>SUM(Financials!N34:Q34)</f>
        <v/>
      </c>
      <c r="E14" s="28">
        <f>SUM(Financials!R34:U34)</f>
        <v/>
      </c>
      <c r="F14" s="28">
        <f>SUM(Financials!V34:Y34)</f>
        <v/>
      </c>
      <c r="G14" s="32">
        <f>F14*(1+G15)</f>
        <v/>
      </c>
      <c r="H14" s="32">
        <f>G14*(1+H15)</f>
        <v/>
      </c>
      <c r="I14" s="32">
        <f>H14*(1+I15)</f>
        <v/>
      </c>
      <c r="J14" s="32">
        <f>I14*(1+J15)</f>
        <v/>
      </c>
      <c r="K14" s="32">
        <f>J14*(1+K15)</f>
        <v/>
      </c>
      <c r="L14" s="32">
        <f>K14*(1+L15)</f>
        <v/>
      </c>
      <c r="M14" s="32">
        <f>L14*(1+M15)</f>
        <v/>
      </c>
      <c r="N14" s="32">
        <f>M14*(1+N15)</f>
        <v/>
      </c>
      <c r="O14" s="32">
        <f>N14*(1+O15)</f>
        <v/>
      </c>
      <c r="P14" s="32">
        <f>O14*(1+P15)</f>
        <v/>
      </c>
    </row>
    <row r="15">
      <c r="A15" s="4" t="inlineStr">
        <is>
          <t xml:space="preserve">    growth % (interpolated from Dashboard)</t>
        </is>
      </c>
      <c r="C15" s="57">
        <f>IFERROR(C14/B14-1,"")</f>
        <v/>
      </c>
      <c r="D15" s="57">
        <f>IFERROR(D14/C14-1,"")</f>
        <v/>
      </c>
      <c r="E15" s="57">
        <f>IFERROR(E14/D14-1,"")</f>
        <v/>
      </c>
      <c r="F15" s="57">
        <f>IFERROR(F14/E14-1,"")</f>
        <v/>
      </c>
      <c r="G15" s="48">
        <f>Dashboard!$B$25+(Dashboard!$C$25-Dashboard!$B$25)*MAX(0,0-2)/7</f>
        <v/>
      </c>
      <c r="H15" s="48">
        <f>Dashboard!$B$25+(Dashboard!$C$25-Dashboard!$B$25)*MAX(0,1-2)/7</f>
        <v/>
      </c>
      <c r="I15" s="48">
        <f>Dashboard!$B$25+(Dashboard!$C$25-Dashboard!$B$25)*MAX(0,2-2)/7</f>
        <v/>
      </c>
      <c r="J15" s="48">
        <f>Dashboard!$B$25+(Dashboard!$C$25-Dashboard!$B$25)*MAX(0,3-2)/7</f>
        <v/>
      </c>
      <c r="K15" s="48">
        <f>Dashboard!$B$25+(Dashboard!$C$25-Dashboard!$B$25)*MAX(0,4-2)/7</f>
        <v/>
      </c>
      <c r="L15" s="48">
        <f>Dashboard!$B$25+(Dashboard!$C$25-Dashboard!$B$25)*MAX(0,5-2)/7</f>
        <v/>
      </c>
      <c r="M15" s="48">
        <f>Dashboard!$B$25+(Dashboard!$C$25-Dashboard!$B$25)*MAX(0,6-2)/7</f>
        <v/>
      </c>
      <c r="N15" s="48">
        <f>Dashboard!$B$25+(Dashboard!$C$25-Dashboard!$B$25)*MAX(0,7-2)/7</f>
        <v/>
      </c>
      <c r="O15" s="48">
        <f>Dashboard!$B$25+(Dashboard!$C$25-Dashboard!$B$25)*MAX(0,8-2)/7</f>
        <v/>
      </c>
      <c r="P15" s="48">
        <f>Dashboard!$B$25+(Dashboard!$C$25-Dashboard!$B$25)*MAX(0,9-2)/7</f>
        <v/>
      </c>
    </row>
    <row r="16">
      <c r="A16" s="3" t="inlineStr">
        <is>
          <t>Total revenue</t>
        </is>
      </c>
      <c r="B16" s="33">
        <f>B4+B6+B8+B10+B12+B14</f>
        <v/>
      </c>
      <c r="C16" s="33">
        <f>C4+C6+C8+C10+C12+C14</f>
        <v/>
      </c>
      <c r="D16" s="33">
        <f>D4+D6+D8+D10+D12+D14</f>
        <v/>
      </c>
      <c r="E16" s="33">
        <f>E4+E6+E8+E10+E12+E14</f>
        <v/>
      </c>
      <c r="F16" s="33">
        <f>F4+F6+F8+F10+F12+F14</f>
        <v/>
      </c>
      <c r="G16" s="33">
        <f>G4+G6+G8+G10+G12+G14</f>
        <v/>
      </c>
      <c r="H16" s="33">
        <f>H4+H6+H8+H10+H12+H14</f>
        <v/>
      </c>
      <c r="I16" s="33">
        <f>I4+I6+I8+I10+I12+I14</f>
        <v/>
      </c>
      <c r="J16" s="33">
        <f>J4+J6+J8+J10+J12+J14</f>
        <v/>
      </c>
      <c r="K16" s="33">
        <f>K4+K6+K8+K10+K12+K14</f>
        <v/>
      </c>
      <c r="L16" s="33">
        <f>L4+L6+L8+L10+L12+L14</f>
        <v/>
      </c>
      <c r="M16" s="33">
        <f>M4+M6+M8+M10+M12+M14</f>
        <v/>
      </c>
      <c r="N16" s="33">
        <f>N4+N6+N8+N10+N12+N14</f>
        <v/>
      </c>
      <c r="O16" s="33">
        <f>O4+O6+O8+O10+O12+O14</f>
        <v/>
      </c>
      <c r="P16" s="33">
        <f>P4+P6+P8+P10+P12+P14</f>
        <v/>
      </c>
    </row>
    <row r="17">
      <c r="A17" s="4" t="inlineStr">
        <is>
          <t xml:space="preserve">    growth %</t>
        </is>
      </c>
      <c r="C17" s="57">
        <f>IFERROR(C16/B16-1,"")</f>
        <v/>
      </c>
      <c r="D17" s="57">
        <f>IFERROR(D16/C16-1,"")</f>
        <v/>
      </c>
      <c r="E17" s="57">
        <f>IFERROR(E16/D16-1,"")</f>
        <v/>
      </c>
      <c r="F17" s="57">
        <f>IFERROR(F16/E16-1,"")</f>
        <v/>
      </c>
      <c r="G17" s="57">
        <f>IFERROR(G16/F16-1,"")</f>
        <v/>
      </c>
      <c r="H17" s="57">
        <f>IFERROR(H16/G16-1,"")</f>
        <v/>
      </c>
      <c r="I17" s="57">
        <f>IFERROR(I16/H16-1,"")</f>
        <v/>
      </c>
      <c r="J17" s="57">
        <f>IFERROR(J16/I16-1,"")</f>
        <v/>
      </c>
      <c r="K17" s="57">
        <f>IFERROR(K16/J16-1,"")</f>
        <v/>
      </c>
      <c r="L17" s="57">
        <f>IFERROR(L16/K16-1,"")</f>
        <v/>
      </c>
      <c r="M17" s="57">
        <f>IFERROR(M16/L16-1,"")</f>
        <v/>
      </c>
      <c r="N17" s="57">
        <f>IFERROR(N16/M16-1,"")</f>
        <v/>
      </c>
      <c r="O17" s="57">
        <f>IFERROR(O16/N16-1,"")</f>
        <v/>
      </c>
      <c r="P17" s="57">
        <f>IFERROR(P16/O16-1,"")</f>
        <v/>
      </c>
    </row>
    <row r="19">
      <c r="A19" s="5" t="inlineStr">
        <is>
          <t xml:space="preserve">  COST STRUCTURE (yellow = % of revenue)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4" t="inlineStr">
        <is>
          <t>Cost of revenue</t>
        </is>
      </c>
      <c r="B20" s="28">
        <f>SUM(Financials!F5:I5)</f>
        <v/>
      </c>
      <c r="C20" s="28">
        <f>SUM(Financials!J5:M5)</f>
        <v/>
      </c>
      <c r="D20" s="28">
        <f>SUM(Financials!N5:Q5)</f>
        <v/>
      </c>
      <c r="E20" s="28">
        <f>SUM(Financials!R5:U5)</f>
        <v/>
      </c>
      <c r="F20" s="28">
        <f>SUM(Financials!V5:Y5)</f>
        <v/>
      </c>
      <c r="G20" s="32">
        <f>G16*G21</f>
        <v/>
      </c>
      <c r="H20" s="32">
        <f>H16*H21</f>
        <v/>
      </c>
      <c r="I20" s="32">
        <f>I16*I21</f>
        <v/>
      </c>
      <c r="J20" s="32">
        <f>J16*J21</f>
        <v/>
      </c>
      <c r="K20" s="32">
        <f>K16*K21</f>
        <v/>
      </c>
      <c r="L20" s="32">
        <f>L16*L21</f>
        <v/>
      </c>
      <c r="M20" s="32">
        <f>M16*M21</f>
        <v/>
      </c>
      <c r="N20" s="32">
        <f>N16*N21</f>
        <v/>
      </c>
      <c r="O20" s="32">
        <f>O16*O21</f>
        <v/>
      </c>
      <c r="P20" s="32">
        <f>P16*P21</f>
        <v/>
      </c>
    </row>
    <row r="21">
      <c r="A21" s="4" t="inlineStr">
        <is>
          <t xml:space="preserve">    % of revenue</t>
        </is>
      </c>
      <c r="B21" s="57">
        <f>IFERROR(B20/B16,"")</f>
        <v/>
      </c>
      <c r="C21" s="57">
        <f>IFERROR(C20/C16,"")</f>
        <v/>
      </c>
      <c r="D21" s="57">
        <f>IFERROR(D20/D16,"")</f>
        <v/>
      </c>
      <c r="E21" s="57">
        <f>IFERROR(E20/E16,"")</f>
        <v/>
      </c>
      <c r="F21" s="57">
        <f>IFERROR(F20/F16,"")</f>
        <v/>
      </c>
      <c r="G21" s="50" t="n">
        <v>0.12624264046967</v>
      </c>
      <c r="H21" s="50" t="n">
        <v>0.12624264046967</v>
      </c>
      <c r="I21" s="50" t="n">
        <v>0.12624264046967</v>
      </c>
      <c r="J21" s="50" t="n">
        <v>0.12624264046967</v>
      </c>
      <c r="K21" s="50" t="n">
        <v>0.12624264046967</v>
      </c>
      <c r="L21" s="50" t="n">
        <v>0.12624264046967</v>
      </c>
      <c r="M21" s="50" t="n">
        <v>0.12624264046967</v>
      </c>
      <c r="N21" s="50" t="n">
        <v>0.12624264046967</v>
      </c>
      <c r="O21" s="50" t="n">
        <v>0.12624264046967</v>
      </c>
      <c r="P21" s="50" t="n">
        <v>0.12624264046967</v>
      </c>
    </row>
    <row r="22">
      <c r="A22" s="4" t="inlineStr">
        <is>
          <t>R&amp;D / Technology</t>
        </is>
      </c>
      <c r="B22" s="28">
        <f>SUM(Financials!F7:I7)</f>
        <v/>
      </c>
      <c r="C22" s="28">
        <f>SUM(Financials!J7:M7)</f>
        <v/>
      </c>
      <c r="D22" s="28">
        <f>SUM(Financials!N7:Q7)</f>
        <v/>
      </c>
      <c r="E22" s="28">
        <f>SUM(Financials!R7:U7)</f>
        <v/>
      </c>
      <c r="F22" s="28">
        <f>SUM(Financials!V7:Y7)</f>
        <v/>
      </c>
      <c r="G22" s="32">
        <f>G16*G23</f>
        <v/>
      </c>
      <c r="H22" s="32">
        <f>H16*H23</f>
        <v/>
      </c>
      <c r="I22" s="32">
        <f>I16*I23</f>
        <v/>
      </c>
      <c r="J22" s="32">
        <f>J16*J23</f>
        <v/>
      </c>
      <c r="K22" s="32">
        <f>K16*K23</f>
        <v/>
      </c>
      <c r="L22" s="32">
        <f>L16*L23</f>
        <v/>
      </c>
      <c r="M22" s="32">
        <f>M16*M23</f>
        <v/>
      </c>
      <c r="N22" s="32">
        <f>N16*N23</f>
        <v/>
      </c>
      <c r="O22" s="32">
        <f>O16*O23</f>
        <v/>
      </c>
      <c r="P22" s="32">
        <f>P16*P23</f>
        <v/>
      </c>
    </row>
    <row r="23">
      <c r="A23" s="4" t="inlineStr">
        <is>
          <t xml:space="preserve">    % of revenue</t>
        </is>
      </c>
      <c r="B23" s="57">
        <f>IFERROR(B22/B16,"")</f>
        <v/>
      </c>
      <c r="C23" s="57">
        <f>IFERROR(C22/C16,"")</f>
        <v/>
      </c>
      <c r="D23" s="57">
        <f>IFERROR(D22/D16,"")</f>
        <v/>
      </c>
      <c r="E23" s="57">
        <f>IFERROR(E22/E16,"")</f>
        <v/>
      </c>
      <c r="F23" s="57">
        <f>IFERROR(F22/F16,"")</f>
        <v/>
      </c>
      <c r="G23" s="50" t="n">
        <v>0.2874446203194225</v>
      </c>
      <c r="H23" s="50" t="n">
        <v>0.2874446203194225</v>
      </c>
      <c r="I23" s="50" t="n">
        <v>0.2874446203194225</v>
      </c>
      <c r="J23" s="50" t="n">
        <v>0.2874446203194225</v>
      </c>
      <c r="K23" s="50" t="n">
        <v>0.2874446203194225</v>
      </c>
      <c r="L23" s="50" t="n">
        <v>0.2874446203194225</v>
      </c>
      <c r="M23" s="50" t="n">
        <v>0.2874446203194225</v>
      </c>
      <c r="N23" s="50" t="n">
        <v>0.2874446203194225</v>
      </c>
      <c r="O23" s="50" t="n">
        <v>0.2874446203194225</v>
      </c>
      <c r="P23" s="50" t="n">
        <v>0.2874446203194225</v>
      </c>
    </row>
    <row r="24">
      <c r="A24" s="4" t="inlineStr">
        <is>
          <t>SG&amp;A</t>
        </is>
      </c>
      <c r="B24" s="28">
        <f>SUM(Financials!F9:I9)</f>
        <v/>
      </c>
      <c r="C24" s="28">
        <f>SUM(Financials!J9:M9)</f>
        <v/>
      </c>
      <c r="D24" s="28">
        <f>SUM(Financials!N9:Q9)</f>
        <v/>
      </c>
      <c r="E24" s="28">
        <f>SUM(Financials!R9:U9)</f>
        <v/>
      </c>
      <c r="F24" s="28">
        <f>SUM(Financials!V9:Y9)</f>
        <v/>
      </c>
      <c r="G24" s="32">
        <f>G16*G25</f>
        <v/>
      </c>
      <c r="H24" s="32">
        <f>H16*H25</f>
        <v/>
      </c>
      <c r="I24" s="32">
        <f>I16*I25</f>
        <v/>
      </c>
      <c r="J24" s="32">
        <f>J16*J25</f>
        <v/>
      </c>
      <c r="K24" s="32">
        <f>K16*K25</f>
        <v/>
      </c>
      <c r="L24" s="32">
        <f>L16*L25</f>
        <v/>
      </c>
      <c r="M24" s="32">
        <f>M16*M25</f>
        <v/>
      </c>
      <c r="N24" s="32">
        <f>N16*N25</f>
        <v/>
      </c>
      <c r="O24" s="32">
        <f>O16*O25</f>
        <v/>
      </c>
      <c r="P24" s="32">
        <f>P16*P25</f>
        <v/>
      </c>
    </row>
    <row r="25">
      <c r="A25" s="4" t="inlineStr">
        <is>
          <t xml:space="preserve">    % of revenue</t>
        </is>
      </c>
      <c r="B25" s="57">
        <f>IFERROR(B24/B16,"")</f>
        <v/>
      </c>
      <c r="C25" s="57">
        <f>IFERROR(C24/C16,"")</f>
        <v/>
      </c>
      <c r="D25" s="57">
        <f>IFERROR(D24/D16,"")</f>
        <v/>
      </c>
      <c r="E25" s="57">
        <f>IFERROR(E24/E16,"")</f>
        <v/>
      </c>
      <c r="F25" s="57">
        <f>IFERROR(F24/F16,"")</f>
        <v/>
      </c>
      <c r="G25" s="50" t="n">
        <v>0.6582288552213931</v>
      </c>
      <c r="H25" s="50" t="n">
        <v>0.6582288552213931</v>
      </c>
      <c r="I25" s="50" t="n">
        <v>0.6582288552213931</v>
      </c>
      <c r="J25" s="50" t="n">
        <v>0.6582288552213931</v>
      </c>
      <c r="K25" s="50" t="n">
        <v>0.6582288552213931</v>
      </c>
      <c r="L25" s="50" t="n">
        <v>0.6582288552213931</v>
      </c>
      <c r="M25" s="50" t="n">
        <v>0.6582288552213931</v>
      </c>
      <c r="N25" s="50" t="n">
        <v>0.6582288552213931</v>
      </c>
      <c r="O25" s="50" t="n">
        <v>0.6582288552213931</v>
      </c>
      <c r="P25" s="50" t="n">
        <v>0.6582288552213931</v>
      </c>
    </row>
    <row r="26">
      <c r="A26" s="4" t="inlineStr">
        <is>
          <t>Other opex (fulfilment, etc.)</t>
        </is>
      </c>
      <c r="B26" s="28">
        <f>B16-(B20+B22+B24)-SUM(Financials!F13:I13)</f>
        <v/>
      </c>
      <c r="C26" s="28">
        <f>C16-(C20+C22+C24)-SUM(Financials!J13:M13)</f>
        <v/>
      </c>
      <c r="D26" s="28">
        <f>D16-(D20+D22+D24)-SUM(Financials!N13:Q13)</f>
        <v/>
      </c>
      <c r="E26" s="28">
        <f>E16-(E20+E22+E24)-SUM(Financials!R13:U13)</f>
        <v/>
      </c>
      <c r="F26" s="28">
        <f>F16-(F20+F22+F24)-SUM(Financials!V13:Y13)</f>
        <v/>
      </c>
      <c r="G26" s="28">
        <f>G16*(1-(Dashboard!$B$29+(Dashboard!$B$30-Dashboard!$B$29)*MIN(1,0/4)))-(G20+G22+G24)</f>
        <v/>
      </c>
      <c r="H26" s="28">
        <f>H16*(1-(Dashboard!$B$29+(Dashboard!$B$30-Dashboard!$B$29)*MIN(1,1/4)))-(H20+H22+H24)</f>
        <v/>
      </c>
      <c r="I26" s="28">
        <f>I16*(1-(Dashboard!$B$29+(Dashboard!$B$30-Dashboard!$B$29)*MIN(1,2/4)))-(I20+I22+I24)</f>
        <v/>
      </c>
      <c r="J26" s="28">
        <f>J16*(1-(Dashboard!$B$29+(Dashboard!$B$30-Dashboard!$B$29)*MIN(1,3/4)))-(J20+J22+J24)</f>
        <v/>
      </c>
      <c r="K26" s="28">
        <f>K16*(1-(Dashboard!$B$29+(Dashboard!$B$30-Dashboard!$B$29)*MIN(1,4/4)))-(K20+K22+K24)</f>
        <v/>
      </c>
      <c r="L26" s="28">
        <f>L16*(1-(Dashboard!$B$29+(Dashboard!$B$30-Dashboard!$B$29)*MIN(1,5/4)))-(L20+L22+L24)</f>
        <v/>
      </c>
      <c r="M26" s="28">
        <f>M16*(1-(Dashboard!$B$29+(Dashboard!$B$30-Dashboard!$B$29)*MIN(1,6/4)))-(M20+M22+M24)</f>
        <v/>
      </c>
      <c r="N26" s="28">
        <f>N16*(1-(Dashboard!$B$29+(Dashboard!$B$30-Dashboard!$B$29)*MIN(1,7/4)))-(N20+N22+N24)</f>
        <v/>
      </c>
      <c r="O26" s="28">
        <f>O16*(1-(Dashboard!$B$29+(Dashboard!$B$30-Dashboard!$B$29)*MIN(1,8/4)))-(O20+O22+O24)</f>
        <v/>
      </c>
      <c r="P26" s="28">
        <f>P16*(1-(Dashboard!$B$29+(Dashboard!$B$30-Dashboard!$B$29)*MIN(1,9/4)))-(P20+P22+P24)</f>
        <v/>
      </c>
    </row>
    <row r="27">
      <c r="A27" s="4" t="inlineStr">
        <is>
          <t xml:space="preserve">    % of revenue</t>
        </is>
      </c>
      <c r="B27" s="57">
        <f>IFERROR(B26/B16,"")</f>
        <v/>
      </c>
      <c r="C27" s="57">
        <f>IFERROR(C26/C16,"")</f>
        <v/>
      </c>
      <c r="D27" s="57">
        <f>IFERROR(D26/D16,"")</f>
        <v/>
      </c>
      <c r="E27" s="57">
        <f>IFERROR(E26/E16,"")</f>
        <v/>
      </c>
      <c r="F27" s="57">
        <f>IFERROR(F26/F16,"")</f>
        <v/>
      </c>
      <c r="G27" s="57">
        <f>IFERROR(G26/G16,"")</f>
        <v/>
      </c>
      <c r="H27" s="57">
        <f>IFERROR(H26/H16,"")</f>
        <v/>
      </c>
      <c r="I27" s="57">
        <f>IFERROR(I26/I16,"")</f>
        <v/>
      </c>
      <c r="J27" s="57">
        <f>IFERROR(J26/J16,"")</f>
        <v/>
      </c>
      <c r="K27" s="57">
        <f>IFERROR(K26/K16,"")</f>
        <v/>
      </c>
      <c r="L27" s="57">
        <f>IFERROR(L26/L16,"")</f>
        <v/>
      </c>
      <c r="M27" s="57">
        <f>IFERROR(M26/M16,"")</f>
        <v/>
      </c>
      <c r="N27" s="57">
        <f>IFERROR(N26/N16,"")</f>
        <v/>
      </c>
      <c r="O27" s="57">
        <f>IFERROR(O26/O16,"")</f>
        <v/>
      </c>
      <c r="P27" s="57">
        <f>IFERROR(P26/P16,"")</f>
        <v/>
      </c>
    </row>
    <row r="29">
      <c r="A29" s="3" t="inlineStr">
        <is>
          <t>Operating income (EBIT)</t>
        </is>
      </c>
      <c r="B29" s="33">
        <f>B16-(B20+B22+B24)-B26</f>
        <v/>
      </c>
      <c r="C29" s="33">
        <f>C16-(C20+C22+C24)-C26</f>
        <v/>
      </c>
      <c r="D29" s="33">
        <f>D16-(D20+D22+D24)-D26</f>
        <v/>
      </c>
      <c r="E29" s="33">
        <f>E16-(E20+E22+E24)-E26</f>
        <v/>
      </c>
      <c r="F29" s="33">
        <f>F16-(F20+F22+F24)-F26</f>
        <v/>
      </c>
      <c r="G29" s="33">
        <f>G16-(G20+G22+G24)-G26</f>
        <v/>
      </c>
      <c r="H29" s="33">
        <f>H16-(H20+H22+H24)-H26</f>
        <v/>
      </c>
      <c r="I29" s="33">
        <f>I16-(I20+I22+I24)-I26</f>
        <v/>
      </c>
      <c r="J29" s="33">
        <f>J16-(J20+J22+J24)-J26</f>
        <v/>
      </c>
      <c r="K29" s="33">
        <f>K16-(K20+K22+K24)-K26</f>
        <v/>
      </c>
      <c r="L29" s="33">
        <f>L16-(L20+L22+L24)-L26</f>
        <v/>
      </c>
      <c r="M29" s="33">
        <f>M16-(M20+M22+M24)-M26</f>
        <v/>
      </c>
      <c r="N29" s="33">
        <f>N16-(N20+N22+N24)-N26</f>
        <v/>
      </c>
      <c r="O29" s="33">
        <f>O16-(O20+O22+O24)-O26</f>
        <v/>
      </c>
      <c r="P29" s="33">
        <f>P16-(P20+P22+P24)-P26</f>
        <v/>
      </c>
    </row>
    <row r="30">
      <c r="A30" s="4" t="inlineStr">
        <is>
          <t xml:space="preserve">    operating margin</t>
        </is>
      </c>
      <c r="B30" s="57">
        <f>IFERROR(B29/B16,"")</f>
        <v/>
      </c>
      <c r="C30" s="57">
        <f>IFERROR(C29/C16,"")</f>
        <v/>
      </c>
      <c r="D30" s="57">
        <f>IFERROR(D29/D16,"")</f>
        <v/>
      </c>
      <c r="E30" s="57">
        <f>IFERROR(E29/E16,"")</f>
        <v/>
      </c>
      <c r="F30" s="57">
        <f>IFERROR(F29/F16,"")</f>
        <v/>
      </c>
      <c r="G30" s="57">
        <f>IFERROR(G29/G16,"")</f>
        <v/>
      </c>
      <c r="H30" s="57">
        <f>IFERROR(H29/H16,"")</f>
        <v/>
      </c>
      <c r="I30" s="57">
        <f>IFERROR(I29/I16,"")</f>
        <v/>
      </c>
      <c r="J30" s="57">
        <f>IFERROR(J29/J16,"")</f>
        <v/>
      </c>
      <c r="K30" s="57">
        <f>IFERROR(K29/K16,"")</f>
        <v/>
      </c>
      <c r="L30" s="57">
        <f>IFERROR(L29/L16,"")</f>
        <v/>
      </c>
      <c r="M30" s="57">
        <f>IFERROR(M29/M16,"")</f>
        <v/>
      </c>
      <c r="N30" s="57">
        <f>IFERROR(N29/N16,"")</f>
        <v/>
      </c>
      <c r="O30" s="57">
        <f>IFERROR(O29/O16,"")</f>
        <v/>
      </c>
      <c r="P30" s="57">
        <f>IFERROR(P29/P16,"")</f>
        <v/>
      </c>
    </row>
    <row r="32">
      <c r="A32" s="5" t="inlineStr">
        <is>
          <t xml:space="preserve">  FCF BRIDGE (NOPAT + D&amp;A + SBC - dNWC - Capex)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4" t="inlineStr">
        <is>
          <t>NOPAT = EBIT x (1 - tax)</t>
        </is>
      </c>
      <c r="B33" s="28">
        <f>B29*(1-Valuation!$B$5)</f>
        <v/>
      </c>
      <c r="C33" s="28">
        <f>C29*(1-Valuation!$B$5)</f>
        <v/>
      </c>
      <c r="D33" s="28">
        <f>D29*(1-Valuation!$B$5)</f>
        <v/>
      </c>
      <c r="E33" s="28">
        <f>E29*(1-Valuation!$B$5)</f>
        <v/>
      </c>
      <c r="F33" s="28">
        <f>F29*(1-Valuation!$B$5)</f>
        <v/>
      </c>
      <c r="G33" s="28">
        <f>G29*(1-Valuation!$B$5)</f>
        <v/>
      </c>
      <c r="H33" s="28">
        <f>H29*(1-Valuation!$B$5)</f>
        <v/>
      </c>
      <c r="I33" s="28">
        <f>I29*(1-Valuation!$B$5)</f>
        <v/>
      </c>
      <c r="J33" s="28">
        <f>J29*(1-Valuation!$B$5)</f>
        <v/>
      </c>
      <c r="K33" s="28">
        <f>K29*(1-Valuation!$B$5)</f>
        <v/>
      </c>
      <c r="L33" s="28">
        <f>L29*(1-Valuation!$B$5)</f>
        <v/>
      </c>
      <c r="M33" s="28">
        <f>M29*(1-Valuation!$B$5)</f>
        <v/>
      </c>
      <c r="N33" s="28">
        <f>N29*(1-Valuation!$B$5)</f>
        <v/>
      </c>
      <c r="O33" s="28">
        <f>O29*(1-Valuation!$B$5)</f>
        <v/>
      </c>
      <c r="P33" s="28">
        <f>P29*(1-Valuation!$B$5)</f>
        <v/>
      </c>
    </row>
    <row r="34">
      <c r="A34" s="4" t="inlineStr">
        <is>
          <t>+ D&amp;A</t>
        </is>
      </c>
      <c r="B34" s="28">
        <f>SUM(Financials!F56:I56)</f>
        <v/>
      </c>
      <c r="C34" s="28">
        <f>SUM(Financials!J56:M56)</f>
        <v/>
      </c>
      <c r="D34" s="28">
        <f>SUM(Financials!N56:Q56)</f>
        <v/>
      </c>
      <c r="E34" s="28">
        <f>SUM(Financials!R56:U56)</f>
        <v/>
      </c>
      <c r="F34" s="28">
        <f>SUM(Financials!V56:Y56)</f>
        <v/>
      </c>
      <c r="G34" s="32">
        <f>G16*0.0098</f>
        <v/>
      </c>
      <c r="H34" s="32">
        <f>H16*0.0098</f>
        <v/>
      </c>
      <c r="I34" s="32">
        <f>I16*0.0098</f>
        <v/>
      </c>
      <c r="J34" s="32">
        <f>J16*0.0098</f>
        <v/>
      </c>
      <c r="K34" s="32">
        <f>K16*0.0098</f>
        <v/>
      </c>
      <c r="L34" s="32">
        <f>L16*0.0098</f>
        <v/>
      </c>
      <c r="M34" s="32">
        <f>M16*0.0098</f>
        <v/>
      </c>
      <c r="N34" s="32">
        <f>N16*0.0098</f>
        <v/>
      </c>
      <c r="O34" s="32">
        <f>O16*0.0098</f>
        <v/>
      </c>
      <c r="P34" s="32">
        <f>P16*0.0098</f>
        <v/>
      </c>
    </row>
    <row r="35">
      <c r="A35" s="4" t="inlineStr">
        <is>
          <t>+ SBC (non-cash)</t>
        </is>
      </c>
      <c r="B35" s="28">
        <f>SUM(Financials!F57:I57)</f>
        <v/>
      </c>
      <c r="C35" s="28">
        <f>SUM(Financials!J57:M57)</f>
        <v/>
      </c>
      <c r="D35" s="28">
        <f>SUM(Financials!N57:Q57)</f>
        <v/>
      </c>
      <c r="E35" s="28">
        <f>SUM(Financials!R57:U57)</f>
        <v/>
      </c>
      <c r="F35" s="28">
        <f>SUM(Financials!V57:Y57)</f>
        <v/>
      </c>
      <c r="G35" s="32">
        <f>G16*0.2250</f>
        <v/>
      </c>
      <c r="H35" s="32">
        <f>H16*0.2150</f>
        <v/>
      </c>
      <c r="I35" s="32">
        <f>I16*0.2050</f>
        <v/>
      </c>
      <c r="J35" s="32">
        <f>J16*0.1950</f>
        <v/>
      </c>
      <c r="K35" s="32">
        <f>K16*0.1850</f>
        <v/>
      </c>
      <c r="L35" s="32">
        <f>L16*0.1750</f>
        <v/>
      </c>
      <c r="M35" s="32">
        <f>M16*0.1650</f>
        <v/>
      </c>
      <c r="N35" s="32">
        <f>N16*0.1550</f>
        <v/>
      </c>
      <c r="O35" s="32">
        <f>O16*0.1450</f>
        <v/>
      </c>
      <c r="P35" s="32">
        <f>P16*0.1350</f>
        <v/>
      </c>
    </row>
    <row r="36">
      <c r="A36" s="4" t="inlineStr">
        <is>
          <t>- dNWC</t>
        </is>
      </c>
      <c r="G36" s="32">
        <f>(G16-F16)*0.0050</f>
        <v/>
      </c>
      <c r="H36" s="32">
        <f>(H16-G16)*0.0050</f>
        <v/>
      </c>
      <c r="I36" s="32">
        <f>(I16-H16)*0.0050</f>
        <v/>
      </c>
      <c r="J36" s="32">
        <f>(J16-I16)*0.0050</f>
        <v/>
      </c>
      <c r="K36" s="32">
        <f>(K16-J16)*0.0050</f>
        <v/>
      </c>
      <c r="L36" s="32">
        <f>(L16-K16)*0.0050</f>
        <v/>
      </c>
      <c r="M36" s="32">
        <f>(M16-L16)*0.0050</f>
        <v/>
      </c>
      <c r="N36" s="32">
        <f>(N16-M16)*0.0050</f>
        <v/>
      </c>
      <c r="O36" s="32">
        <f>(O16-N16)*0.0050</f>
        <v/>
      </c>
      <c r="P36" s="32">
        <f>(P16-O16)*0.0050</f>
        <v/>
      </c>
    </row>
    <row r="37">
      <c r="A37" s="4" t="inlineStr">
        <is>
          <t>- Capex</t>
        </is>
      </c>
      <c r="B37" s="28">
        <f>-SUM(Financials!F60:I60)</f>
        <v/>
      </c>
      <c r="C37" s="28">
        <f>-SUM(Financials!J60:M60)</f>
        <v/>
      </c>
      <c r="D37" s="28">
        <f>-SUM(Financials!N60:Q60)</f>
        <v/>
      </c>
      <c r="E37" s="28">
        <f>-SUM(Financials!R60:U60)</f>
        <v/>
      </c>
      <c r="F37" s="28">
        <f>-SUM(Financials!V60:Y60)</f>
        <v/>
      </c>
      <c r="G37" s="32">
        <f>G34*G38</f>
        <v/>
      </c>
      <c r="H37" s="32">
        <f>H34*H38</f>
        <v/>
      </c>
      <c r="I37" s="32">
        <f>I34*I38</f>
        <v/>
      </c>
      <c r="J37" s="32">
        <f>J34*J38</f>
        <v/>
      </c>
      <c r="K37" s="32">
        <f>K34*K38</f>
        <v/>
      </c>
      <c r="L37" s="32">
        <f>L34*L38</f>
        <v/>
      </c>
      <c r="M37" s="32">
        <f>M34*M38</f>
        <v/>
      </c>
      <c r="N37" s="32">
        <f>N34*N38</f>
        <v/>
      </c>
      <c r="O37" s="32">
        <f>O34*O38</f>
        <v/>
      </c>
      <c r="P37" s="32">
        <f>P34*P38</f>
        <v/>
      </c>
    </row>
    <row r="38">
      <c r="A38" s="4" t="inlineStr">
        <is>
          <t xml:space="preserve">    Capex / D&amp;A  (from Dashboard: $cap'26 -&gt; terminal)</t>
        </is>
      </c>
      <c r="B38" s="59">
        <f>IFERROR(B37/B34,"")</f>
        <v/>
      </c>
      <c r="C38" s="59">
        <f>IFERROR(C37/C34,"")</f>
        <v/>
      </c>
      <c r="D38" s="59">
        <f>IFERROR(D37/D34,"")</f>
        <v/>
      </c>
      <c r="E38" s="59">
        <f>IFERROR(E37/E34,"")</f>
        <v/>
      </c>
      <c r="F38" s="59">
        <f>IFERROR(F37/F34,"")</f>
        <v/>
      </c>
      <c r="G38" s="49">
        <f>(Dashboard!$B$34/G34)+(Dashboard!$B$35-(Dashboard!$B$34/G34))*0/9</f>
        <v/>
      </c>
      <c r="H38" s="49">
        <f>(Dashboard!$B$34/G34)+(Dashboard!$B$35-(Dashboard!$B$34/G34))*1/9</f>
        <v/>
      </c>
      <c r="I38" s="49">
        <f>(Dashboard!$B$34/G34)+(Dashboard!$B$35-(Dashboard!$B$34/G34))*2/9</f>
        <v/>
      </c>
      <c r="J38" s="49">
        <f>(Dashboard!$B$34/G34)+(Dashboard!$B$35-(Dashboard!$B$34/G34))*3/9</f>
        <v/>
      </c>
      <c r="K38" s="49">
        <f>(Dashboard!$B$34/G34)+(Dashboard!$B$35-(Dashboard!$B$34/G34))*4/9</f>
        <v/>
      </c>
      <c r="L38" s="49">
        <f>(Dashboard!$B$34/G34)+(Dashboard!$B$35-(Dashboard!$B$34/G34))*5/9</f>
        <v/>
      </c>
      <c r="M38" s="49">
        <f>(Dashboard!$B$34/G34)+(Dashboard!$B$35-(Dashboard!$B$34/G34))*6/9</f>
        <v/>
      </c>
      <c r="N38" s="49">
        <f>(Dashboard!$B$34/G34)+(Dashboard!$B$35-(Dashboard!$B$34/G34))*7/9</f>
        <v/>
      </c>
      <c r="O38" s="49">
        <f>(Dashboard!$B$34/G34)+(Dashboard!$B$35-(Dashboard!$B$34/G34))*8/9</f>
        <v/>
      </c>
      <c r="P38" s="49">
        <f>(Dashboard!$B$34/G34)+(Dashboard!$B$35-(Dashboard!$B$34/G34))*9/9</f>
        <v/>
      </c>
    </row>
    <row r="40">
      <c r="A40" s="3" t="inlineStr">
        <is>
          <t>FCFF (firm)</t>
        </is>
      </c>
      <c r="B40" s="33">
        <f>B33+B34+B35-B36-B37</f>
        <v/>
      </c>
      <c r="C40" s="33">
        <f>C33+C34+C35-C36-C37</f>
        <v/>
      </c>
      <c r="D40" s="33">
        <f>D33+D34+D35-D36-D37</f>
        <v/>
      </c>
      <c r="E40" s="33">
        <f>E33+E34+E35-E36-E37</f>
        <v/>
      </c>
      <c r="F40" s="33">
        <f>F33+F34+F35-F36-F37</f>
        <v/>
      </c>
      <c r="G40" s="33">
        <f>G33+G34+G35-G36-G37</f>
        <v/>
      </c>
      <c r="H40" s="33">
        <f>H33+H34+H35-H36-H37</f>
        <v/>
      </c>
      <c r="I40" s="33">
        <f>I33+I34+I35-I36-I37</f>
        <v/>
      </c>
      <c r="J40" s="33">
        <f>J33+J34+J35-J36-J37</f>
        <v/>
      </c>
      <c r="K40" s="33">
        <f>K33+K34+K35-K36-K37</f>
        <v/>
      </c>
      <c r="L40" s="33">
        <f>L33+L34+L35-L36-L37</f>
        <v/>
      </c>
      <c r="M40" s="33">
        <f>M33+M34+M35-M36-M37</f>
        <v/>
      </c>
      <c r="N40" s="33">
        <f>N33+N34+N35-N36-N37</f>
        <v/>
      </c>
      <c r="O40" s="33">
        <f>O33+O34+O35-O36-O37</f>
        <v/>
      </c>
      <c r="P40" s="33">
        <f>P33+P34+P35-P36-P37</f>
        <v/>
      </c>
    </row>
    <row r="41">
      <c r="A41" s="3" t="inlineStr">
        <is>
          <t>Valuation FCF (FCFF - SBC)</t>
        </is>
      </c>
      <c r="B41" s="33">
        <f>B40-B35</f>
        <v/>
      </c>
      <c r="C41" s="33">
        <f>C40-C35</f>
        <v/>
      </c>
      <c r="D41" s="33">
        <f>D40-D35</f>
        <v/>
      </c>
      <c r="E41" s="33">
        <f>E40-E35</f>
        <v/>
      </c>
      <c r="F41" s="33">
        <f>F40-F35</f>
        <v/>
      </c>
      <c r="G41" s="33">
        <f>G40-G35</f>
        <v/>
      </c>
      <c r="H41" s="33">
        <f>H40-H35</f>
        <v/>
      </c>
      <c r="I41" s="33">
        <f>I40-I35</f>
        <v/>
      </c>
      <c r="J41" s="33">
        <f>J40-J35</f>
        <v/>
      </c>
      <c r="K41" s="33">
        <f>K40-K35</f>
        <v/>
      </c>
      <c r="L41" s="33">
        <f>L40-L35</f>
        <v/>
      </c>
      <c r="M41" s="33">
        <f>M40-M35</f>
        <v/>
      </c>
      <c r="N41" s="33">
        <f>N40-N35</f>
        <v/>
      </c>
      <c r="O41" s="33">
        <f>O40-O35</f>
        <v/>
      </c>
      <c r="P41" s="33">
        <f>P40-P35</f>
        <v/>
      </c>
    </row>
    <row r="43">
      <c r="A43" s="5" t="inlineStr">
        <is>
          <t xml:space="preserve">  RETURNS ON CAPITAL &amp; EFFICIENCY  (is new revenue/capital earning its keep?)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4" t="inlineStr">
        <is>
          <t>Invested capital (debt + equity - cash)</t>
        </is>
      </c>
      <c r="B44" s="28">
        <f>Financials!I54+Financials!I53-Financials!I48</f>
        <v/>
      </c>
      <c r="C44" s="28">
        <f>Financials!M54+Financials!M53-Financials!M48</f>
        <v/>
      </c>
      <c r="D44" s="28">
        <f>Financials!Q54+Financials!Q53-Financials!Q48</f>
        <v/>
      </c>
      <c r="E44" s="28">
        <f>Financials!U54+Financials!U53-Financials!U48</f>
        <v/>
      </c>
      <c r="F44" s="28">
        <f>Financials!Y54+Financials!Y53-Financials!Y48</f>
        <v/>
      </c>
      <c r="G44" s="32">
        <f>F44+G37-G34+G36</f>
        <v/>
      </c>
      <c r="H44" s="32">
        <f>G44+H37-H34+H36</f>
        <v/>
      </c>
      <c r="I44" s="32">
        <f>H44+I37-I34+I36</f>
        <v/>
      </c>
      <c r="J44" s="32">
        <f>I44+J37-J34+J36</f>
        <v/>
      </c>
      <c r="K44" s="32">
        <f>J44+K37-K34+K36</f>
        <v/>
      </c>
      <c r="L44" s="32">
        <f>K44+L37-L34+L36</f>
        <v/>
      </c>
      <c r="M44" s="32">
        <f>L44+M37-M34+M36</f>
        <v/>
      </c>
      <c r="N44" s="32">
        <f>M44+N37-N34+N36</f>
        <v/>
      </c>
      <c r="O44" s="32">
        <f>N44+O37-O34+O36</f>
        <v/>
      </c>
      <c r="P44" s="32">
        <f>O44+P37-P34+P36</f>
        <v/>
      </c>
    </row>
    <row r="45">
      <c r="A45" s="4" t="inlineStr">
        <is>
          <t>Book equity (year-end)</t>
        </is>
      </c>
      <c r="B45" s="28">
        <f>Financials!I54</f>
        <v/>
      </c>
      <c r="C45" s="28">
        <f>Financials!M54</f>
        <v/>
      </c>
      <c r="D45" s="28">
        <f>Financials!Q54</f>
        <v/>
      </c>
      <c r="E45" s="28">
        <f>Financials!U54</f>
        <v/>
      </c>
      <c r="F45" s="28">
        <f>Financials!Y54</f>
        <v/>
      </c>
      <c r="G45" s="32">
        <f>F45+G33</f>
        <v/>
      </c>
      <c r="H45" s="32">
        <f>G45+H33</f>
        <v/>
      </c>
      <c r="I45" s="32">
        <f>H45+I33</f>
        <v/>
      </c>
      <c r="J45" s="32">
        <f>I45+J33</f>
        <v/>
      </c>
      <c r="K45" s="32">
        <f>J45+K33</f>
        <v/>
      </c>
      <c r="L45" s="32">
        <f>K45+L33</f>
        <v/>
      </c>
      <c r="M45" s="32">
        <f>L45+M33</f>
        <v/>
      </c>
      <c r="N45" s="32">
        <f>M45+N33</f>
        <v/>
      </c>
      <c r="O45" s="32">
        <f>N45+O33</f>
        <v/>
      </c>
      <c r="P45" s="32">
        <f>O45+P33</f>
        <v/>
      </c>
    </row>
    <row r="46">
      <c r="A46" s="3" t="inlineStr">
        <is>
          <t xml:space="preserve">  ROIC (NOPAT / beg. invested capital)</t>
        </is>
      </c>
      <c r="C46" s="57">
        <f>IFERROR(C33/B44,"")</f>
        <v/>
      </c>
      <c r="D46" s="57">
        <f>IFERROR(D33/C44,"")</f>
        <v/>
      </c>
      <c r="E46" s="57">
        <f>IFERROR(E33/D44,"")</f>
        <v/>
      </c>
      <c r="F46" s="57">
        <f>IFERROR(F33/E44,"")</f>
        <v/>
      </c>
      <c r="G46" s="57">
        <f>IFERROR(G33/F44,"")</f>
        <v/>
      </c>
      <c r="H46" s="57">
        <f>IFERROR(H33/G44,"")</f>
        <v/>
      </c>
      <c r="I46" s="57">
        <f>IFERROR(I33/H44,"")</f>
        <v/>
      </c>
      <c r="J46" s="57">
        <f>IFERROR(J33/I44,"")</f>
        <v/>
      </c>
      <c r="K46" s="57">
        <f>IFERROR(K33/J44,"")</f>
        <v/>
      </c>
      <c r="L46" s="57">
        <f>IFERROR(L33/K44,"")</f>
        <v/>
      </c>
      <c r="M46" s="57">
        <f>IFERROR(M33/L44,"")</f>
        <v/>
      </c>
      <c r="N46" s="57">
        <f>IFERROR(N33/M44,"")</f>
        <v/>
      </c>
      <c r="O46" s="57">
        <f>IFERROR(O33/N44,"")</f>
        <v/>
      </c>
      <c r="P46" s="57">
        <f>IFERROR(P33/O44,"")</f>
        <v/>
      </c>
    </row>
    <row r="47">
      <c r="A47" s="3" t="inlineStr">
        <is>
          <t xml:space="preserve">  ROE (earnings / beg. equity)</t>
        </is>
      </c>
      <c r="C47" s="48">
        <f>IFERROR(SUM(Financials!J15:M15)/B45,"")</f>
        <v/>
      </c>
      <c r="D47" s="48">
        <f>IFERROR(SUM(Financials!N15:Q15)/C45,"")</f>
        <v/>
      </c>
      <c r="E47" s="48">
        <f>IFERROR(SUM(Financials!R15:U15)/D45,"")</f>
        <v/>
      </c>
      <c r="F47" s="48">
        <f>IFERROR(SUM(Financials!V15:Y15)/E45,"")</f>
        <v/>
      </c>
      <c r="G47" s="57">
        <f>IFERROR(G33/F45,"")</f>
        <v/>
      </c>
      <c r="H47" s="57">
        <f>IFERROR(H33/G45,"")</f>
        <v/>
      </c>
      <c r="I47" s="57">
        <f>IFERROR(I33/H45,"")</f>
        <v/>
      </c>
      <c r="J47" s="57">
        <f>IFERROR(J33/I45,"")</f>
        <v/>
      </c>
      <c r="K47" s="57">
        <f>IFERROR(K33/J45,"")</f>
        <v/>
      </c>
      <c r="L47" s="57">
        <f>IFERROR(L33/K45,"")</f>
        <v/>
      </c>
      <c r="M47" s="57">
        <f>IFERROR(M33/L45,"")</f>
        <v/>
      </c>
      <c r="N47" s="57">
        <f>IFERROR(N33/M45,"")</f>
        <v/>
      </c>
      <c r="O47" s="57">
        <f>IFERROR(O33/N45,"")</f>
        <v/>
      </c>
      <c r="P47" s="57">
        <f>IFERROR(P33/O45,"")</f>
        <v/>
      </c>
    </row>
    <row r="48">
      <c r="A48" s="4" t="inlineStr">
        <is>
          <t xml:space="preserve">  ROIC - WACC spread (value created)</t>
        </is>
      </c>
      <c r="C48" s="48">
        <f>IFERROR(C46-WACC!$B$14,"")</f>
        <v/>
      </c>
      <c r="D48" s="48">
        <f>IFERROR(D46-WACC!$B$14,"")</f>
        <v/>
      </c>
      <c r="E48" s="48">
        <f>IFERROR(E46-WACC!$B$14,"")</f>
        <v/>
      </c>
      <c r="F48" s="48">
        <f>IFERROR(F46-WACC!$B$14,"")</f>
        <v/>
      </c>
      <c r="G48" s="48">
        <f>IFERROR(G46-WACC!$B$14,"")</f>
        <v/>
      </c>
      <c r="H48" s="48">
        <f>IFERROR(H46-WACC!$B$14,"")</f>
        <v/>
      </c>
      <c r="I48" s="48">
        <f>IFERROR(I46-WACC!$B$14,"")</f>
        <v/>
      </c>
      <c r="J48" s="48">
        <f>IFERROR(J46-WACC!$B$14,"")</f>
        <v/>
      </c>
      <c r="K48" s="48">
        <f>IFERROR(K46-WACC!$B$14,"")</f>
        <v/>
      </c>
      <c r="L48" s="48">
        <f>IFERROR(L46-WACC!$B$14,"")</f>
        <v/>
      </c>
      <c r="M48" s="48">
        <f>IFERROR(M46-WACC!$B$14,"")</f>
        <v/>
      </c>
      <c r="N48" s="48">
        <f>IFERROR(N46-WACC!$B$14,"")</f>
        <v/>
      </c>
      <c r="O48" s="48">
        <f>IFERROR(O46-WACC!$B$14,"")</f>
        <v/>
      </c>
      <c r="P48" s="48">
        <f>IFERROR(P46-WACC!$B$14,"")</f>
        <v/>
      </c>
    </row>
    <row r="49">
      <c r="A49" s="4" t="inlineStr">
        <is>
          <t xml:space="preserve">  Incremental op margin (ΔEBIT / ΔRev)</t>
        </is>
      </c>
      <c r="C49" s="57">
        <f>IFERROR((C29-B29)/(C16-B16),"")</f>
        <v/>
      </c>
      <c r="D49" s="57">
        <f>IFERROR((D29-C29)/(D16-C16),"")</f>
        <v/>
      </c>
      <c r="E49" s="57">
        <f>IFERROR((E29-D29)/(E16-D16),"")</f>
        <v/>
      </c>
      <c r="F49" s="57">
        <f>IFERROR((F29-E29)/(F16-E16),"")</f>
        <v/>
      </c>
      <c r="G49" s="57">
        <f>IFERROR((G29-F29)/(G16-F16),"")</f>
        <v/>
      </c>
      <c r="H49" s="57">
        <f>IFERROR((H29-G29)/(H16-G16),"")</f>
        <v/>
      </c>
      <c r="I49" s="57">
        <f>IFERROR((I29-H29)/(I16-H16),"")</f>
        <v/>
      </c>
      <c r="J49" s="57">
        <f>IFERROR((J29-I29)/(J16-I16),"")</f>
        <v/>
      </c>
      <c r="K49" s="57">
        <f>IFERROR((K29-J29)/(K16-J16),"")</f>
        <v/>
      </c>
      <c r="L49" s="57">
        <f>IFERROR((L29-K29)/(L16-K16),"")</f>
        <v/>
      </c>
      <c r="M49" s="57">
        <f>IFERROR((M29-L29)/(M16-L16),"")</f>
        <v/>
      </c>
      <c r="N49" s="57">
        <f>IFERROR((N29-M29)/(N16-M16),"")</f>
        <v/>
      </c>
      <c r="O49" s="57">
        <f>IFERROR((O29-N29)/(O16-N16),"")</f>
        <v/>
      </c>
      <c r="P49" s="57">
        <f>IFERROR((P29-O29)/(P16-O16),"")</f>
        <v/>
      </c>
    </row>
    <row r="50">
      <c r="A50" s="3" t="inlineStr">
        <is>
          <t xml:space="preserve">  ROIIC (ΔNOPAT / ΔInvested capital)</t>
        </is>
      </c>
      <c r="C50" s="57">
        <f>IFERROR((C33-B33)/(C44-B44),"")</f>
        <v/>
      </c>
      <c r="D50" s="57">
        <f>IFERROR((D33-C33)/(D44-C44),"")</f>
        <v/>
      </c>
      <c r="E50" s="57">
        <f>IFERROR((E33-D33)/(E44-D44),"")</f>
        <v/>
      </c>
      <c r="F50" s="57">
        <f>IFERROR((F33-E33)/(F44-E44),"")</f>
        <v/>
      </c>
      <c r="G50" s="57">
        <f>IFERROR((G33-F33)/(G44-F44),"")</f>
        <v/>
      </c>
      <c r="H50" s="57">
        <f>IFERROR((H33-G33)/(H44-G44),"")</f>
        <v/>
      </c>
      <c r="I50" s="57">
        <f>IFERROR((I33-H33)/(I44-H44),"")</f>
        <v/>
      </c>
      <c r="J50" s="57">
        <f>IFERROR((J33-I33)/(J44-I44),"")</f>
        <v/>
      </c>
      <c r="K50" s="57">
        <f>IFERROR((K33-J33)/(K44-J44),"")</f>
        <v/>
      </c>
      <c r="L50" s="57">
        <f>IFERROR((L33-K33)/(L44-K44),"")</f>
        <v/>
      </c>
      <c r="M50" s="57">
        <f>IFERROR((M33-L33)/(M44-L44),"")</f>
        <v/>
      </c>
      <c r="N50" s="57">
        <f>IFERROR((N33-M33)/(N44-M44),"")</f>
        <v/>
      </c>
      <c r="O50" s="57">
        <f>IFERROR((O33-N33)/(O44-N44),"")</f>
        <v/>
      </c>
      <c r="P50" s="57">
        <f>IFERROR((P33-O33)/(P44-O44),"")</f>
        <v/>
      </c>
    </row>
    <row r="51">
      <c r="A51" s="4" t="inlineStr">
        <is>
          <t xml:space="preserve">  Sales-to-capital (ΔRev / ΔInvested capital)</t>
        </is>
      </c>
      <c r="C51" s="60">
        <f>IFERROR((C16-B16)/(C44-B44),"")</f>
        <v/>
      </c>
      <c r="D51" s="60">
        <f>IFERROR((D16-C16)/(D44-C44),"")</f>
        <v/>
      </c>
      <c r="E51" s="60">
        <f>IFERROR((E16-D16)/(E44-D44),"")</f>
        <v/>
      </c>
      <c r="F51" s="60">
        <f>IFERROR((F16-E16)/(F44-E44),"")</f>
        <v/>
      </c>
      <c r="G51" s="60">
        <f>IFERROR((G16-F16)/(G44-F44),"")</f>
        <v/>
      </c>
      <c r="H51" s="60">
        <f>IFERROR((H16-G16)/(H44-G44),"")</f>
        <v/>
      </c>
      <c r="I51" s="60">
        <f>IFERROR((I16-H16)/(I44-H44),"")</f>
        <v/>
      </c>
      <c r="J51" s="60">
        <f>IFERROR((J16-I16)/(J44-I44),"")</f>
        <v/>
      </c>
      <c r="K51" s="60">
        <f>IFERROR((K16-J16)/(K44-J44),"")</f>
        <v/>
      </c>
      <c r="L51" s="60">
        <f>IFERROR((L16-K16)/(L44-K44),"")</f>
        <v/>
      </c>
      <c r="M51" s="60">
        <f>IFERROR((M16-L16)/(M44-L44),"")</f>
        <v/>
      </c>
      <c r="N51" s="60">
        <f>IFERROR((N16-M16)/(N44-M44),"")</f>
        <v/>
      </c>
      <c r="O51" s="60">
        <f>IFERROR((O16-N16)/(O44-N44),"")</f>
        <v/>
      </c>
      <c r="P51" s="60">
        <f>IFERROR((P16-O16)/(P44-O44),"")</f>
        <v/>
      </c>
    </row>
    <row r="52">
      <c r="A52" s="4" t="inlineStr">
        <is>
          <t xml:space="preserve">  Reinvestment rate (ΔInvested capital / NOPAT)</t>
        </is>
      </c>
      <c r="C52" s="57">
        <f>IFERROR((C44-B44)/C33,"")</f>
        <v/>
      </c>
      <c r="D52" s="57">
        <f>IFERROR((D44-C44)/D33,"")</f>
        <v/>
      </c>
      <c r="E52" s="57">
        <f>IFERROR((E44-D44)/E33,"")</f>
        <v/>
      </c>
      <c r="F52" s="57">
        <f>IFERROR((F44-E44)/F33,"")</f>
        <v/>
      </c>
      <c r="G52" s="57">
        <f>IFERROR((G44-F44)/G33,"")</f>
        <v/>
      </c>
      <c r="H52" s="57">
        <f>IFERROR((H44-G44)/H33,"")</f>
        <v/>
      </c>
      <c r="I52" s="57">
        <f>IFERROR((I44-H44)/I33,"")</f>
        <v/>
      </c>
      <c r="J52" s="57">
        <f>IFERROR((J44-I44)/J33,"")</f>
        <v/>
      </c>
      <c r="K52" s="57">
        <f>IFERROR((K44-J44)/K33,"")</f>
        <v/>
      </c>
      <c r="L52" s="57">
        <f>IFERROR((L44-K44)/L33,"")</f>
        <v/>
      </c>
      <c r="M52" s="57">
        <f>IFERROR((M44-L44)/M33,"")</f>
        <v/>
      </c>
      <c r="N52" s="57">
        <f>IFERROR((N44-M44)/N33,"")</f>
        <v/>
      </c>
      <c r="O52" s="57">
        <f>IFERROR((O44-N44)/O33,"")</f>
        <v/>
      </c>
      <c r="P52" s="57">
        <f>IFERROR((P44-O44)/P33,"")</f>
        <v/>
      </c>
    </row>
    <row r="54">
      <c r="A5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3" t="inlineStr">
        <is>
          <t>Line Item ($M)</t>
        </is>
      </c>
      <c r="B1" s="36" t="inlineStr">
        <is>
          <t>Q1 2021</t>
        </is>
      </c>
      <c r="C1" s="36" t="inlineStr">
        <is>
          <t>Q2 2021</t>
        </is>
      </c>
      <c r="D1" s="36" t="inlineStr">
        <is>
          <t>Q3 2021</t>
        </is>
      </c>
      <c r="E1" s="36" t="inlineStr">
        <is>
          <t>Q4 2021</t>
        </is>
      </c>
      <c r="F1" s="36" t="inlineStr">
        <is>
          <t>Q1 2022</t>
        </is>
      </c>
      <c r="G1" s="36" t="inlineStr">
        <is>
          <t>Q2 2022</t>
        </is>
      </c>
      <c r="H1" s="36" t="inlineStr">
        <is>
          <t>Q3 2022</t>
        </is>
      </c>
      <c r="I1" s="36" t="inlineStr">
        <is>
          <t>Q4 2022</t>
        </is>
      </c>
      <c r="J1" s="36" t="inlineStr">
        <is>
          <t>Q1 2023</t>
        </is>
      </c>
      <c r="K1" s="36" t="inlineStr">
        <is>
          <t>Q2 2023</t>
        </is>
      </c>
      <c r="L1" s="36" t="inlineStr">
        <is>
          <t>Q3 2023</t>
        </is>
      </c>
      <c r="M1" s="36" t="inlineStr">
        <is>
          <t>Q4 2023</t>
        </is>
      </c>
      <c r="N1" s="36" t="inlineStr">
        <is>
          <t>Q1 2024</t>
        </is>
      </c>
      <c r="O1" s="36" t="inlineStr">
        <is>
          <t>Q2 2024</t>
        </is>
      </c>
      <c r="P1" s="36" t="inlineStr">
        <is>
          <t>Q3 2024</t>
        </is>
      </c>
      <c r="Q1" s="36" t="inlineStr">
        <is>
          <t>Q4 2024</t>
        </is>
      </c>
      <c r="R1" s="36" t="inlineStr">
        <is>
          <t>Q1 2025</t>
        </is>
      </c>
      <c r="S1" s="36" t="inlineStr">
        <is>
          <t>Q2 2025</t>
        </is>
      </c>
      <c r="T1" s="36" t="inlineStr">
        <is>
          <t>Q3 2025</t>
        </is>
      </c>
      <c r="U1" s="36" t="inlineStr">
        <is>
          <t>Q4 2025</t>
        </is>
      </c>
      <c r="V1" s="36" t="inlineStr">
        <is>
          <t>Q1 2026</t>
        </is>
      </c>
      <c r="W1" s="36" t="inlineStr">
        <is>
          <t>Q2 2026</t>
        </is>
      </c>
      <c r="X1" s="36" t="inlineStr">
        <is>
          <t>Q3 2026</t>
        </is>
      </c>
      <c r="Y1" s="3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>
      <c r="A3" s="4" t="inlineStr">
        <is>
          <t>Revenue</t>
        </is>
      </c>
      <c r="B3" s="18" t="n">
        <v>29.515</v>
      </c>
      <c r="C3" s="18" t="n">
        <v>34.362</v>
      </c>
      <c r="D3" s="18" t="n">
        <v>42.152</v>
      </c>
      <c r="E3" s="18" t="n">
        <v>46.147</v>
      </c>
      <c r="F3" s="18" t="n">
        <v>49.93</v>
      </c>
      <c r="G3" s="18" t="n">
        <v>58.127</v>
      </c>
      <c r="H3" s="18" t="n">
        <v>66.8</v>
      </c>
      <c r="I3" s="18" t="n">
        <v>77.79600000000001</v>
      </c>
      <c r="J3" s="18" t="n">
        <v>87.407</v>
      </c>
      <c r="K3" s="18" t="n">
        <v>101.041</v>
      </c>
      <c r="L3" s="18" t="n">
        <v>112.981</v>
      </c>
      <c r="M3" s="18" t="n">
        <v>122.907</v>
      </c>
      <c r="N3" s="18" t="n">
        <v>126.878</v>
      </c>
      <c r="O3" s="18" t="n">
        <v>139.581</v>
      </c>
      <c r="P3" s="18" t="n">
        <v>149.668</v>
      </c>
      <c r="Q3" s="18" t="n">
        <v>163.779</v>
      </c>
      <c r="R3" s="18" t="n">
        <v>169.187</v>
      </c>
      <c r="S3" s="18" t="n">
        <v>182.584</v>
      </c>
      <c r="T3" s="18" t="n">
        <v>196.047</v>
      </c>
      <c r="U3" s="18" t="n">
        <v>211.431</v>
      </c>
      <c r="V3" s="18" t="n">
        <v>214.509</v>
      </c>
      <c r="W3" s="18" t="n">
        <v>235.96</v>
      </c>
      <c r="X3" s="18" t="n">
        <v>244.353</v>
      </c>
      <c r="Y3" s="18" t="n">
        <v>260.402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</row>
    <row r="5">
      <c r="A5" s="4" t="inlineStr">
        <is>
          <t>Cost of Revenue</t>
        </is>
      </c>
      <c r="B5" s="18" t="n">
        <v>3.789</v>
      </c>
      <c r="C5" s="18" t="n">
        <v>3.812</v>
      </c>
      <c r="D5" s="18" t="n">
        <v>4.637</v>
      </c>
      <c r="E5" s="18" t="n">
        <v>6.225</v>
      </c>
      <c r="F5" s="18" t="n">
        <v>6.425</v>
      </c>
      <c r="G5" s="18" t="n">
        <v>7.192</v>
      </c>
      <c r="H5" s="18" t="n">
        <v>7.195</v>
      </c>
      <c r="I5" s="18" t="n">
        <v>9.173</v>
      </c>
      <c r="J5" s="18" t="n">
        <v>9.848000000000001</v>
      </c>
      <c r="K5" s="18" t="n">
        <v>13.03</v>
      </c>
      <c r="L5" s="18" t="n">
        <v>14.564</v>
      </c>
      <c r="M5" s="18" t="n">
        <v>14.238</v>
      </c>
      <c r="N5" s="18" t="n">
        <v>13.939</v>
      </c>
      <c r="O5" s="18" t="n">
        <v>14.696</v>
      </c>
      <c r="P5" s="18" t="n">
        <v>15.084</v>
      </c>
      <c r="Q5" s="18" t="n">
        <v>15.989</v>
      </c>
      <c r="R5" s="18" t="n">
        <v>18.776</v>
      </c>
      <c r="S5" s="18" t="n">
        <v>21.37</v>
      </c>
      <c r="T5" s="18" t="n">
        <v>22.125</v>
      </c>
      <c r="U5" s="18" t="n">
        <v>22.869</v>
      </c>
      <c r="V5" s="18" t="n">
        <v>25.035</v>
      </c>
      <c r="W5" s="18" t="n">
        <v>28.505</v>
      </c>
      <c r="X5" s="18" t="n">
        <v>32.221</v>
      </c>
      <c r="Y5" s="18" t="n">
        <v>34.829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</row>
    <row r="7">
      <c r="A7" s="4" t="inlineStr">
        <is>
          <t>R&amp;D Expense</t>
        </is>
      </c>
      <c r="B7" s="18" t="n">
        <v>19.103</v>
      </c>
      <c r="C7" s="18" t="n">
        <v>19.797</v>
      </c>
      <c r="D7" s="18" t="n">
        <v>19.042</v>
      </c>
      <c r="E7" s="18" t="n">
        <v>48.701</v>
      </c>
      <c r="F7" s="18" t="n">
        <v>21.34</v>
      </c>
      <c r="G7" s="18" t="n">
        <v>22.603</v>
      </c>
      <c r="H7" s="18" t="n">
        <v>24.664</v>
      </c>
      <c r="I7" s="18" t="n">
        <v>28.61</v>
      </c>
      <c r="J7" s="18" t="n">
        <v>31.83</v>
      </c>
      <c r="K7" s="18" t="n">
        <v>39.52</v>
      </c>
      <c r="L7" s="18" t="n">
        <v>41.113</v>
      </c>
      <c r="M7" s="18" t="n">
        <v>43.68</v>
      </c>
      <c r="N7" s="18" t="n">
        <v>48.328</v>
      </c>
      <c r="O7" s="18" t="n">
        <v>49.019</v>
      </c>
      <c r="P7" s="18" t="n">
        <v>48.986</v>
      </c>
      <c r="Q7" s="18" t="n">
        <v>52.388</v>
      </c>
      <c r="R7" s="18" t="n">
        <v>54.14</v>
      </c>
      <c r="S7" s="18" t="n">
        <v>60.88</v>
      </c>
      <c r="T7" s="18" t="n">
        <v>61.354</v>
      </c>
      <c r="U7" s="18" t="n">
        <v>62.885</v>
      </c>
      <c r="V7" s="18" t="n">
        <v>65.41</v>
      </c>
      <c r="W7" s="18" t="n">
        <v>71.488</v>
      </c>
      <c r="X7" s="18" t="n">
        <v>68.715</v>
      </c>
      <c r="Y7" s="18" t="n">
        <v>68.961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</row>
    <row r="9">
      <c r="A9" s="4" t="inlineStr">
        <is>
          <t>SG&amp;A Expense</t>
        </is>
      </c>
      <c r="B9" s="18" t="n">
        <v>38.705</v>
      </c>
      <c r="C9" s="18" t="n">
        <v>39.645</v>
      </c>
      <c r="D9" s="18" t="n">
        <v>42.927</v>
      </c>
      <c r="E9" s="18" t="n">
        <v>119.677</v>
      </c>
      <c r="F9" s="18" t="n">
        <v>48.193</v>
      </c>
      <c r="G9" s="18" t="n">
        <v>58.163</v>
      </c>
      <c r="H9" s="18" t="n">
        <v>67.482</v>
      </c>
      <c r="I9" s="18" t="n">
        <v>80.56999999999999</v>
      </c>
      <c r="J9" s="18" t="n">
        <v>88.602</v>
      </c>
      <c r="K9" s="18" t="n">
        <v>113.793</v>
      </c>
      <c r="L9" s="18" t="n">
        <v>112.166</v>
      </c>
      <c r="M9" s="18" t="n">
        <v>112.911</v>
      </c>
      <c r="N9" s="18" t="n">
        <v>115.608</v>
      </c>
      <c r="O9" s="18" t="n">
        <v>129.797</v>
      </c>
      <c r="P9" s="18" t="n">
        <v>125.851</v>
      </c>
      <c r="Q9" s="18" t="n">
        <v>128.378999</v>
      </c>
      <c r="R9" s="18" t="n">
        <v>149.911</v>
      </c>
      <c r="S9" s="18" t="n">
        <v>140.946</v>
      </c>
      <c r="T9" s="18" t="n">
        <v>141.181</v>
      </c>
      <c r="U9" s="18" t="n">
        <v>145.015</v>
      </c>
      <c r="V9" s="18" t="n">
        <v>158.674</v>
      </c>
      <c r="W9" s="18" t="n">
        <v>154.318</v>
      </c>
      <c r="X9" s="18" t="n">
        <v>155.773</v>
      </c>
      <c r="Y9" s="18" t="n">
        <v>159.991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</row>
    <row r="11">
      <c r="A11" s="4" t="inlineStr">
        <is>
          <t>Gross Profit</t>
        </is>
      </c>
      <c r="B11" s="18" t="n">
        <v>25.726</v>
      </c>
      <c r="C11" s="18" t="n">
        <v>30.55</v>
      </c>
      <c r="D11" s="18" t="n">
        <v>37.515</v>
      </c>
      <c r="E11" s="18" t="n">
        <v>39.922</v>
      </c>
      <c r="F11" s="18" t="n">
        <v>43.505</v>
      </c>
      <c r="G11" s="18" t="n">
        <v>50.935</v>
      </c>
      <c r="H11" s="18" t="n">
        <v>59.605</v>
      </c>
      <c r="I11" s="18" t="n">
        <v>68.623</v>
      </c>
      <c r="J11" s="18" t="n">
        <v>77.559</v>
      </c>
      <c r="K11" s="18" t="n">
        <v>88.011</v>
      </c>
      <c r="L11" s="18" t="n">
        <v>98.417</v>
      </c>
      <c r="M11" s="18" t="n">
        <v>108.669</v>
      </c>
      <c r="N11" s="18" t="n">
        <v>112.939</v>
      </c>
      <c r="O11" s="18" t="n">
        <v>124.885</v>
      </c>
      <c r="P11" s="18" t="n">
        <v>134.584</v>
      </c>
      <c r="Q11" s="18" t="n">
        <v>147.79</v>
      </c>
      <c r="R11" s="18" t="n">
        <v>150.411</v>
      </c>
      <c r="S11" s="18" t="n">
        <v>161.214</v>
      </c>
      <c r="T11" s="18" t="n">
        <v>173.922</v>
      </c>
      <c r="U11" s="18" t="n">
        <v>188.562</v>
      </c>
      <c r="V11" s="18" t="n">
        <v>189.474</v>
      </c>
      <c r="W11" s="18" t="n">
        <v>207.455</v>
      </c>
      <c r="X11" s="18" t="n">
        <v>212.132</v>
      </c>
      <c r="Y11" s="18" t="n">
        <v>225.573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</row>
    <row r="13">
      <c r="A13" s="4" t="inlineStr">
        <is>
          <t>Operating Income</t>
        </is>
      </c>
      <c r="B13" s="18" t="n">
        <v>-32.082</v>
      </c>
      <c r="C13" s="18" t="n">
        <v>-28.892</v>
      </c>
      <c r="D13" s="18" t="n">
        <v>-24.454</v>
      </c>
      <c r="E13" s="18" t="n">
        <v>-128.456</v>
      </c>
      <c r="F13" s="18" t="n">
        <v>-26.028</v>
      </c>
      <c r="G13" s="18" t="n">
        <v>-29.831</v>
      </c>
      <c r="H13" s="18" t="n">
        <v>-32.541</v>
      </c>
      <c r="I13" s="18" t="n">
        <v>-40.057</v>
      </c>
      <c r="J13" s="18" t="n">
        <v>-42.873</v>
      </c>
      <c r="K13" s="18" t="n">
        <v>-65.30200000000001</v>
      </c>
      <c r="L13" s="18" t="n">
        <v>-54.862</v>
      </c>
      <c r="M13" s="18" t="n">
        <v>-47.996</v>
      </c>
      <c r="N13" s="18" t="n">
        <v>-50.58</v>
      </c>
      <c r="O13" s="18" t="n">
        <v>-54.057</v>
      </c>
      <c r="P13" s="18" t="n">
        <v>-40.253</v>
      </c>
      <c r="Q13" s="18" t="n">
        <v>-32.976999</v>
      </c>
      <c r="R13" s="18" t="n">
        <v>-53.64</v>
      </c>
      <c r="S13" s="18" t="n">
        <v>-41.005</v>
      </c>
      <c r="T13" s="18" t="n">
        <v>-28.732</v>
      </c>
      <c r="U13" s="18" t="n">
        <v>-19.338</v>
      </c>
      <c r="V13" s="18" t="n">
        <v>-34.61</v>
      </c>
      <c r="W13" s="18" t="n">
        <v>-18.351</v>
      </c>
      <c r="X13" s="18" t="n">
        <v>-12.356</v>
      </c>
      <c r="Y13" s="18" t="n">
        <v>-3.379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</row>
    <row r="15">
      <c r="A15" s="4" t="inlineStr">
        <is>
          <t>Net Income</t>
        </is>
      </c>
      <c r="B15" s="18" t="n">
        <v>-34.157</v>
      </c>
      <c r="C15" s="18" t="n">
        <v>-9.391</v>
      </c>
      <c r="D15" s="18" t="n">
        <v>-28.608</v>
      </c>
      <c r="E15" s="18" t="n">
        <v>-120.038</v>
      </c>
      <c r="F15" s="18" t="n">
        <v>-27.937</v>
      </c>
      <c r="G15" s="18" t="n">
        <v>-40.189</v>
      </c>
      <c r="H15" s="18" t="n">
        <v>-41.227</v>
      </c>
      <c r="I15" s="18" t="n">
        <v>-45.785</v>
      </c>
      <c r="J15" s="18" t="n">
        <v>-26.099</v>
      </c>
      <c r="K15" s="18" t="n">
        <v>-59.024</v>
      </c>
      <c r="L15" s="18" t="n">
        <v>-48.455</v>
      </c>
      <c r="M15" s="18" t="n">
        <v>-38.733</v>
      </c>
      <c r="N15" s="18" t="n">
        <v>-52.469</v>
      </c>
      <c r="O15" s="18" t="n">
        <v>-50.08</v>
      </c>
      <c r="P15" s="18" t="n">
        <v>-285.158</v>
      </c>
      <c r="Q15" s="18" t="n">
        <v>-36.868</v>
      </c>
      <c r="R15" s="18" t="n">
        <v>-55.233</v>
      </c>
      <c r="S15" s="18" t="n">
        <v>12.949</v>
      </c>
      <c r="T15" s="18" t="n">
        <v>29.565</v>
      </c>
      <c r="U15" s="18" t="n">
        <v>5.804</v>
      </c>
      <c r="V15" s="18" t="n">
        <v>-35.875</v>
      </c>
      <c r="W15" s="18" t="n">
        <v>-9.208</v>
      </c>
      <c r="X15" s="18" t="n">
        <v>-8.276</v>
      </c>
      <c r="Y15" s="18" t="n">
        <v>-2.6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</row>
    <row r="17">
      <c r="A17" s="4" t="inlineStr">
        <is>
          <t>Diluted Shares (M)</t>
        </is>
      </c>
      <c r="B17" s="18" t="n">
        <v>132.492</v>
      </c>
      <c r="C17" s="18" t="n">
        <v>132.492</v>
      </c>
      <c r="D17" s="18" t="n">
        <v>132.492</v>
      </c>
      <c r="E17" s="18" t="n">
        <v>132.492</v>
      </c>
      <c r="F17" s="18" t="n">
        <v>132.492</v>
      </c>
      <c r="G17" s="18" t="n">
        <v>143.015</v>
      </c>
      <c r="H17" s="18" t="n">
        <v>144.546</v>
      </c>
      <c r="I17" s="18" t="n">
        <v>144.929</v>
      </c>
      <c r="J17" s="18" t="n">
        <v>146.643</v>
      </c>
      <c r="K17" s="18" t="n">
        <v>147.797</v>
      </c>
      <c r="L17" s="18" t="n">
        <v>148.883</v>
      </c>
      <c r="M17" s="18" t="n">
        <v>150.133</v>
      </c>
      <c r="N17" s="18" t="n">
        <v>151.692</v>
      </c>
      <c r="O17" s="18" t="n">
        <v>153.644</v>
      </c>
      <c r="P17" s="18" t="n">
        <v>155.123</v>
      </c>
      <c r="Q17" s="18" t="n">
        <v>156.601</v>
      </c>
      <c r="R17" s="18" t="n">
        <v>158.157</v>
      </c>
      <c r="S17" s="18" t="n">
        <v>166.346</v>
      </c>
      <c r="T17" s="18" t="n">
        <v>164.25</v>
      </c>
      <c r="U17" s="18" t="n">
        <v>170.094</v>
      </c>
      <c r="V17" s="18" t="n">
        <v>164.491</v>
      </c>
      <c r="W17" s="18" t="n">
        <v>165.953</v>
      </c>
      <c r="X17" s="18" t="n">
        <v>165.965</v>
      </c>
      <c r="Y17" s="18" t="n">
        <v>165.8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4" t="inlineStr">
        <is>
          <t>Subscription and Software</t>
        </is>
      </c>
      <c r="W19" s="18" t="n">
        <v>212.684</v>
      </c>
      <c r="X19" s="18" t="n">
        <v>223.262</v>
      </c>
      <c r="Y19" s="18" t="n">
        <v>428.758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</row>
    <row r="22">
      <c r="A22" s="4" t="inlineStr">
        <is>
          <t>Subscription and Circulation</t>
        </is>
      </c>
      <c r="H22" s="18" t="n">
        <v>47.215</v>
      </c>
      <c r="I22" s="18" t="n">
        <v>54.822</v>
      </c>
      <c r="J22" s="18" t="n">
        <v>59.719</v>
      </c>
      <c r="K22" s="18" t="n">
        <v>66.896</v>
      </c>
      <c r="L22" s="18" t="n">
        <v>72.72</v>
      </c>
      <c r="M22" s="18" t="n">
        <v>75.94</v>
      </c>
      <c r="N22" s="18" t="n">
        <v>79.587</v>
      </c>
      <c r="O22" s="18" t="n">
        <v>86.65900000000001</v>
      </c>
      <c r="P22" s="18" t="n">
        <v>91.71599999999999</v>
      </c>
      <c r="Q22" s="18" t="n">
        <v>97.745</v>
      </c>
      <c r="R22" s="18" t="n">
        <v>103.673</v>
      </c>
      <c r="S22" s="18" t="n">
        <v>111.546</v>
      </c>
      <c r="T22" s="18" t="n">
        <v>118.525</v>
      </c>
      <c r="U22" s="18" t="n">
        <v>125.139</v>
      </c>
      <c r="V22" s="18" t="n">
        <v>130.296</v>
      </c>
      <c r="W22" s="18" t="n">
        <v>140.654</v>
      </c>
      <c r="X22" s="18" t="n">
        <v>146.379</v>
      </c>
      <c r="Y22" s="18" t="n">
        <v>151.13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</row>
    <row r="25">
      <c r="A25" s="4" t="inlineStr">
        <is>
          <t>Subscription, Software As A Service</t>
        </is>
      </c>
      <c r="H25" s="18" t="n">
        <v>12.559</v>
      </c>
      <c r="I25" s="18" t="n">
        <v>14.799</v>
      </c>
      <c r="J25" s="18" t="n">
        <v>17.204</v>
      </c>
      <c r="K25" s="18" t="n">
        <v>22.04</v>
      </c>
      <c r="L25" s="18" t="n">
        <v>25.715</v>
      </c>
      <c r="M25" s="18" t="n">
        <v>29.115</v>
      </c>
      <c r="N25" s="18" t="n">
        <v>31.604</v>
      </c>
      <c r="O25" s="18" t="n">
        <v>35.437</v>
      </c>
      <c r="P25" s="18" t="n">
        <v>39.277</v>
      </c>
      <c r="Q25" s="18" t="n">
        <v>44.281</v>
      </c>
      <c r="R25" s="18" t="n">
        <v>47.506</v>
      </c>
      <c r="S25" s="18" t="n">
        <v>51.635</v>
      </c>
      <c r="T25" s="18" t="n">
        <v>56.732</v>
      </c>
      <c r="U25" s="18" t="n">
        <v>60.423</v>
      </c>
      <c r="V25" s="18" t="n">
        <v>64.185</v>
      </c>
      <c r="W25" s="18" t="n">
        <v>72.03</v>
      </c>
      <c r="X25" s="18" t="n">
        <v>76.883</v>
      </c>
      <c r="Y25" s="18" t="n">
        <v>83.14700000000001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  <c r="Y26" s="57">
        <f>IFERROR(Y25/U25-1,"")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  <c r="Y27" s="57">
        <f>IFERROR(Y25/Y3,"")</f>
        <v/>
      </c>
    </row>
    <row r="28">
      <c r="A28" s="4" t="inlineStr">
        <is>
          <t>License, Professional Services, and Other</t>
        </is>
      </c>
      <c r="W28" s="18" t="n">
        <v>23.276</v>
      </c>
      <c r="X28" s="18" t="n">
        <v>21.091</v>
      </c>
      <c r="Y28" s="18" t="n">
        <v>46.153</v>
      </c>
    </row>
    <row r="29">
      <c r="A29" s="4" t="inlineStr">
        <is>
          <t xml:space="preserve">    % YoY</t>
        </is>
      </c>
      <c r="F29" s="57">
        <f>IFERROR(F28/B28-1,"")</f>
        <v/>
      </c>
      <c r="G29" s="57">
        <f>IFERROR(G28/C28-1,"")</f>
        <v/>
      </c>
      <c r="H29" s="57">
        <f>IFERROR(H28/D28-1,"")</f>
        <v/>
      </c>
      <c r="I29" s="57">
        <f>IFERROR(I28/E28-1,"")</f>
        <v/>
      </c>
      <c r="J29" s="57">
        <f>IFERROR(J28/F28-1,"")</f>
        <v/>
      </c>
      <c r="K29" s="57">
        <f>IFERROR(K28/G28-1,"")</f>
        <v/>
      </c>
      <c r="L29" s="57">
        <f>IFERROR(L28/H28-1,"")</f>
        <v/>
      </c>
      <c r="M29" s="57">
        <f>IFERROR(M28/I28-1,"")</f>
        <v/>
      </c>
      <c r="N29" s="57">
        <f>IFERROR(N28/J28-1,"")</f>
        <v/>
      </c>
      <c r="O29" s="57">
        <f>IFERROR(O28/K28-1,"")</f>
        <v/>
      </c>
      <c r="P29" s="57">
        <f>IFERROR(P28/L28-1,"")</f>
        <v/>
      </c>
      <c r="Q29" s="57">
        <f>IFERROR(Q28/M28-1,"")</f>
        <v/>
      </c>
      <c r="R29" s="57">
        <f>IFERROR(R28/N28-1,"")</f>
        <v/>
      </c>
      <c r="S29" s="57">
        <f>IFERROR(S28/O28-1,"")</f>
        <v/>
      </c>
      <c r="T29" s="57">
        <f>IFERROR(T28/P28-1,"")</f>
        <v/>
      </c>
      <c r="U29" s="57">
        <f>IFERROR(U28/Q28-1,"")</f>
        <v/>
      </c>
      <c r="V29" s="57">
        <f>IFERROR(V28/R28-1,"")</f>
        <v/>
      </c>
      <c r="W29" s="57">
        <f>IFERROR(W28/S28-1,"")</f>
        <v/>
      </c>
      <c r="X29" s="57">
        <f>IFERROR(X28/T28-1,"")</f>
        <v/>
      </c>
      <c r="Y29" s="57">
        <f>IFERROR(Y28/U28-1,"")</f>
        <v/>
      </c>
    </row>
    <row r="30">
      <c r="A30" s="4" t="inlineStr">
        <is>
          <t xml:space="preserve">    % of revenue</t>
        </is>
      </c>
      <c r="B30" s="57">
        <f>IFERROR(B28/B3,"")</f>
        <v/>
      </c>
      <c r="C30" s="57">
        <f>IFERROR(C28/C3,"")</f>
        <v/>
      </c>
      <c r="D30" s="57">
        <f>IFERROR(D28/D3,"")</f>
        <v/>
      </c>
      <c r="E30" s="57">
        <f>IFERROR(E28/E3,"")</f>
        <v/>
      </c>
      <c r="F30" s="57">
        <f>IFERROR(F28/F3,"")</f>
        <v/>
      </c>
      <c r="G30" s="57">
        <f>IFERROR(G28/G3,"")</f>
        <v/>
      </c>
      <c r="H30" s="57">
        <f>IFERROR(H28/H3,"")</f>
        <v/>
      </c>
      <c r="I30" s="57">
        <f>IFERROR(I28/I3,"")</f>
        <v/>
      </c>
      <c r="J30" s="57">
        <f>IFERROR(J28/J3,"")</f>
        <v/>
      </c>
      <c r="K30" s="57">
        <f>IFERROR(K28/K3,"")</f>
        <v/>
      </c>
      <c r="L30" s="57">
        <f>IFERROR(L28/L3,"")</f>
        <v/>
      </c>
      <c r="M30" s="57">
        <f>IFERROR(M28/M3,"")</f>
        <v/>
      </c>
      <c r="N30" s="57">
        <f>IFERROR(N28/N3,"")</f>
        <v/>
      </c>
      <c r="O30" s="57">
        <f>IFERROR(O28/O3,"")</f>
        <v/>
      </c>
      <c r="P30" s="57">
        <f>IFERROR(P28/P3,"")</f>
        <v/>
      </c>
      <c r="Q30" s="57">
        <f>IFERROR(Q28/Q3,"")</f>
        <v/>
      </c>
      <c r="R30" s="57">
        <f>IFERROR(R28/R3,"")</f>
        <v/>
      </c>
      <c r="S30" s="57">
        <f>IFERROR(S28/S3,"")</f>
        <v/>
      </c>
      <c r="T30" s="57">
        <f>IFERROR(T28/T3,"")</f>
        <v/>
      </c>
      <c r="U30" s="57">
        <f>IFERROR(U28/U3,"")</f>
        <v/>
      </c>
      <c r="V30" s="57">
        <f>IFERROR(V28/V3,"")</f>
        <v/>
      </c>
      <c r="W30" s="57">
        <f>IFERROR(W28/W3,"")</f>
        <v/>
      </c>
      <c r="X30" s="57">
        <f>IFERROR(X28/X3,"")</f>
        <v/>
      </c>
      <c r="Y30" s="57">
        <f>IFERROR(Y28/Y3,"")</f>
        <v/>
      </c>
    </row>
    <row r="31">
      <c r="A31" s="4" t="inlineStr">
        <is>
          <t>License</t>
        </is>
      </c>
      <c r="H31" s="18" t="n">
        <v>5.314</v>
      </c>
      <c r="I31" s="18" t="n">
        <v>6.414</v>
      </c>
      <c r="J31" s="18" t="n">
        <v>8.776999999999999</v>
      </c>
      <c r="K31" s="18" t="n">
        <v>10.009</v>
      </c>
      <c r="L31" s="18" t="n">
        <v>11.86</v>
      </c>
      <c r="M31" s="18" t="n">
        <v>15.4</v>
      </c>
      <c r="N31" s="18" t="n">
        <v>13.355</v>
      </c>
      <c r="O31" s="18" t="n">
        <v>14.624</v>
      </c>
      <c r="P31" s="18" t="n">
        <v>16.037</v>
      </c>
      <c r="Q31" s="18" t="n">
        <v>19.094</v>
      </c>
      <c r="R31" s="18" t="n">
        <v>14.837</v>
      </c>
      <c r="S31" s="18" t="n">
        <v>15.802</v>
      </c>
      <c r="T31" s="18" t="n">
        <v>16.655</v>
      </c>
      <c r="U31" s="18" t="n">
        <v>21.072</v>
      </c>
      <c r="V31" s="18" t="n">
        <v>15.028</v>
      </c>
      <c r="W31" s="18" t="n">
        <v>18.143</v>
      </c>
      <c r="X31" s="18" t="n">
        <v>15.525</v>
      </c>
      <c r="Y31" s="18" t="n">
        <v>20.174</v>
      </c>
    </row>
    <row r="32">
      <c r="A32" s="4" t="inlineStr">
        <is>
          <t xml:space="preserve">    % YoY</t>
        </is>
      </c>
      <c r="F32" s="57">
        <f>IFERROR(F31/B31-1,"")</f>
        <v/>
      </c>
      <c r="G32" s="57">
        <f>IFERROR(G31/C31-1,"")</f>
        <v/>
      </c>
      <c r="H32" s="57">
        <f>IFERROR(H31/D31-1,"")</f>
        <v/>
      </c>
      <c r="I32" s="57">
        <f>IFERROR(I31/E31-1,"")</f>
        <v/>
      </c>
      <c r="J32" s="57">
        <f>IFERROR(J31/F31-1,"")</f>
        <v/>
      </c>
      <c r="K32" s="57">
        <f>IFERROR(K31/G31-1,"")</f>
        <v/>
      </c>
      <c r="L32" s="57">
        <f>IFERROR(L31/H31-1,"")</f>
        <v/>
      </c>
      <c r="M32" s="57">
        <f>IFERROR(M31/I31-1,"")</f>
        <v/>
      </c>
      <c r="N32" s="57">
        <f>IFERROR(N31/J31-1,"")</f>
        <v/>
      </c>
      <c r="O32" s="57">
        <f>IFERROR(O31/K31-1,"")</f>
        <v/>
      </c>
      <c r="P32" s="57">
        <f>IFERROR(P31/L31-1,"")</f>
        <v/>
      </c>
      <c r="Q32" s="57">
        <f>IFERROR(Q31/M31-1,"")</f>
        <v/>
      </c>
      <c r="R32" s="57">
        <f>IFERROR(R31/N31-1,"")</f>
        <v/>
      </c>
      <c r="S32" s="57">
        <f>IFERROR(S31/O31-1,"")</f>
        <v/>
      </c>
      <c r="T32" s="57">
        <f>IFERROR(T31/P31-1,"")</f>
        <v/>
      </c>
      <c r="U32" s="57">
        <f>IFERROR(U31/Q31-1,"")</f>
        <v/>
      </c>
      <c r="V32" s="57">
        <f>IFERROR(V31/R31-1,"")</f>
        <v/>
      </c>
      <c r="W32" s="57">
        <f>IFERROR(W31/S31-1,"")</f>
        <v/>
      </c>
      <c r="X32" s="57">
        <f>IFERROR(X31/T31-1,"")</f>
        <v/>
      </c>
      <c r="Y32" s="57">
        <f>IFERROR(Y31/U31-1,"")</f>
        <v/>
      </c>
    </row>
    <row r="33">
      <c r="A33" s="4" t="inlineStr">
        <is>
          <t xml:space="preserve">    % of revenue</t>
        </is>
      </c>
      <c r="B33" s="57">
        <f>IFERROR(B31/B3,"")</f>
        <v/>
      </c>
      <c r="C33" s="57">
        <f>IFERROR(C31/C3,"")</f>
        <v/>
      </c>
      <c r="D33" s="57">
        <f>IFERROR(D31/D3,"")</f>
        <v/>
      </c>
      <c r="E33" s="57">
        <f>IFERROR(E31/E3,"")</f>
        <v/>
      </c>
      <c r="F33" s="57">
        <f>IFERROR(F31/F3,"")</f>
        <v/>
      </c>
      <c r="G33" s="57">
        <f>IFERROR(G31/G3,"")</f>
        <v/>
      </c>
      <c r="H33" s="57">
        <f>IFERROR(H31/H3,"")</f>
        <v/>
      </c>
      <c r="I33" s="57">
        <f>IFERROR(I31/I3,"")</f>
        <v/>
      </c>
      <c r="J33" s="57">
        <f>IFERROR(J31/J3,"")</f>
        <v/>
      </c>
      <c r="K33" s="57">
        <f>IFERROR(K31/K3,"")</f>
        <v/>
      </c>
      <c r="L33" s="57">
        <f>IFERROR(L31/L3,"")</f>
        <v/>
      </c>
      <c r="M33" s="57">
        <f>IFERROR(M31/M3,"")</f>
        <v/>
      </c>
      <c r="N33" s="57">
        <f>IFERROR(N31/N3,"")</f>
        <v/>
      </c>
      <c r="O33" s="57">
        <f>IFERROR(O31/O3,"")</f>
        <v/>
      </c>
      <c r="P33" s="57">
        <f>IFERROR(P31/P3,"")</f>
        <v/>
      </c>
      <c r="Q33" s="57">
        <f>IFERROR(Q31/Q3,"")</f>
        <v/>
      </c>
      <c r="R33" s="57">
        <f>IFERROR(R31/R3,"")</f>
        <v/>
      </c>
      <c r="S33" s="57">
        <f>IFERROR(S31/S3,"")</f>
        <v/>
      </c>
      <c r="T33" s="57">
        <f>IFERROR(T31/T3,"")</f>
        <v/>
      </c>
      <c r="U33" s="57">
        <f>IFERROR(U31/U3,"")</f>
        <v/>
      </c>
      <c r="V33" s="57">
        <f>IFERROR(V31/V3,"")</f>
        <v/>
      </c>
      <c r="W33" s="57">
        <f>IFERROR(W31/W3,"")</f>
        <v/>
      </c>
      <c r="X33" s="57">
        <f>IFERROR(X31/X3,"")</f>
        <v/>
      </c>
      <c r="Y33" s="57">
        <f>IFERROR(Y31/Y3,"")</f>
        <v/>
      </c>
    </row>
    <row r="34">
      <c r="A34" s="4" t="inlineStr">
        <is>
          <t>Professional Services and Other</t>
        </is>
      </c>
      <c r="H34" s="18" t="n">
        <v>1.712</v>
      </c>
      <c r="I34" s="18" t="n">
        <v>1.761</v>
      </c>
      <c r="J34" s="18" t="n">
        <v>1.707</v>
      </c>
      <c r="K34" s="18" t="n">
        <v>2.096</v>
      </c>
      <c r="L34" s="18" t="n">
        <v>2.686</v>
      </c>
      <c r="M34" s="18" t="n">
        <v>2.452</v>
      </c>
      <c r="N34" s="18" t="n">
        <v>2.332</v>
      </c>
      <c r="O34" s="18" t="n">
        <v>2.861</v>
      </c>
      <c r="P34" s="18" t="n">
        <v>2.638</v>
      </c>
      <c r="Q34" s="18" t="n">
        <v>2.659</v>
      </c>
      <c r="R34" s="18" t="n">
        <v>3.171</v>
      </c>
      <c r="S34" s="18" t="n">
        <v>3.601</v>
      </c>
      <c r="T34" s="18" t="n">
        <v>4.135</v>
      </c>
      <c r="U34" s="18" t="n">
        <v>4.797</v>
      </c>
      <c r="V34" s="18" t="n">
        <v>5</v>
      </c>
      <c r="W34" s="18" t="n">
        <v>5.133</v>
      </c>
      <c r="X34" s="18" t="n">
        <v>5.566</v>
      </c>
      <c r="Y34" s="18" t="n">
        <v>5.951</v>
      </c>
    </row>
    <row r="35">
      <c r="A35" s="4" t="inlineStr">
        <is>
          <t xml:space="preserve">    % YoY</t>
        </is>
      </c>
      <c r="F35" s="57">
        <f>IFERROR(F34/B34-1,"")</f>
        <v/>
      </c>
      <c r="G35" s="57">
        <f>IFERROR(G34/C34-1,"")</f>
        <v/>
      </c>
      <c r="H35" s="57">
        <f>IFERROR(H34/D34-1,"")</f>
        <v/>
      </c>
      <c r="I35" s="57">
        <f>IFERROR(I34/E34-1,"")</f>
        <v/>
      </c>
      <c r="J35" s="57">
        <f>IFERROR(J34/F34-1,"")</f>
        <v/>
      </c>
      <c r="K35" s="57">
        <f>IFERROR(K34/G34-1,"")</f>
        <v/>
      </c>
      <c r="L35" s="57">
        <f>IFERROR(L34/H34-1,"")</f>
        <v/>
      </c>
      <c r="M35" s="57">
        <f>IFERROR(M34/I34-1,"")</f>
        <v/>
      </c>
      <c r="N35" s="57">
        <f>IFERROR(N34/J34-1,"")</f>
        <v/>
      </c>
      <c r="O35" s="57">
        <f>IFERROR(O34/K34-1,"")</f>
        <v/>
      </c>
      <c r="P35" s="57">
        <f>IFERROR(P34/L34-1,"")</f>
        <v/>
      </c>
      <c r="Q35" s="57">
        <f>IFERROR(Q34/M34-1,"")</f>
        <v/>
      </c>
      <c r="R35" s="57">
        <f>IFERROR(R34/N34-1,"")</f>
        <v/>
      </c>
      <c r="S35" s="57">
        <f>IFERROR(S34/O34-1,"")</f>
        <v/>
      </c>
      <c r="T35" s="57">
        <f>IFERROR(T34/P34-1,"")</f>
        <v/>
      </c>
      <c r="U35" s="57">
        <f>IFERROR(U34/Q34-1,"")</f>
        <v/>
      </c>
      <c r="V35" s="57">
        <f>IFERROR(V34/R34-1,"")</f>
        <v/>
      </c>
      <c r="W35" s="57">
        <f>IFERROR(W34/S34-1,"")</f>
        <v/>
      </c>
      <c r="X35" s="57">
        <f>IFERROR(X34/T34-1,"")</f>
        <v/>
      </c>
      <c r="Y35" s="57">
        <f>IFERROR(Y34/U34-1,"")</f>
        <v/>
      </c>
    </row>
    <row r="36">
      <c r="A36" s="4" t="inlineStr">
        <is>
          <t xml:space="preserve">    % of revenue</t>
        </is>
      </c>
      <c r="B36" s="57">
        <f>IFERROR(B34/B3,"")</f>
        <v/>
      </c>
      <c r="C36" s="57">
        <f>IFERROR(C34/C3,"")</f>
        <v/>
      </c>
      <c r="D36" s="57">
        <f>IFERROR(D34/D3,"")</f>
        <v/>
      </c>
      <c r="E36" s="57">
        <f>IFERROR(E34/E3,"")</f>
        <v/>
      </c>
      <c r="F36" s="57">
        <f>IFERROR(F34/F3,"")</f>
        <v/>
      </c>
      <c r="G36" s="57">
        <f>IFERROR(G34/G3,"")</f>
        <v/>
      </c>
      <c r="H36" s="57">
        <f>IFERROR(H34/H3,"")</f>
        <v/>
      </c>
      <c r="I36" s="57">
        <f>IFERROR(I34/I3,"")</f>
        <v/>
      </c>
      <c r="J36" s="57">
        <f>IFERROR(J34/J3,"")</f>
        <v/>
      </c>
      <c r="K36" s="57">
        <f>IFERROR(K34/K3,"")</f>
        <v/>
      </c>
      <c r="L36" s="57">
        <f>IFERROR(L34/L3,"")</f>
        <v/>
      </c>
      <c r="M36" s="57">
        <f>IFERROR(M34/M3,"")</f>
        <v/>
      </c>
      <c r="N36" s="57">
        <f>IFERROR(N34/N3,"")</f>
        <v/>
      </c>
      <c r="O36" s="57">
        <f>IFERROR(O34/O3,"")</f>
        <v/>
      </c>
      <c r="P36" s="57">
        <f>IFERROR(P34/P3,"")</f>
        <v/>
      </c>
      <c r="Q36" s="57">
        <f>IFERROR(Q34/Q3,"")</f>
        <v/>
      </c>
      <c r="R36" s="57">
        <f>IFERROR(R34/R3,"")</f>
        <v/>
      </c>
      <c r="S36" s="57">
        <f>IFERROR(S34/S3,"")</f>
        <v/>
      </c>
      <c r="T36" s="57">
        <f>IFERROR(T34/T3,"")</f>
        <v/>
      </c>
      <c r="U36" s="57">
        <f>IFERROR(U34/U3,"")</f>
        <v/>
      </c>
      <c r="V36" s="57">
        <f>IFERROR(V34/V3,"")</f>
        <v/>
      </c>
      <c r="W36" s="57">
        <f>IFERROR(W34/W3,"")</f>
        <v/>
      </c>
      <c r="X36" s="57">
        <f>IFERROR(X34/X3,"")</f>
        <v/>
      </c>
      <c r="Y36" s="57">
        <f>IFERROR(Y34/Y3,"")</f>
        <v/>
      </c>
    </row>
    <row r="37">
      <c r="A37" s="5" t="inlineStr">
        <is>
          <t xml:space="preserve">  REVENUE BY SEGMENT — GEOGRAPHY (% YoY, % of revenue)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>
      <c r="A38" s="4" t="inlineStr">
        <is>
          <t>UNITED STATES</t>
        </is>
      </c>
      <c r="H38" s="18" t="n">
        <v>56.706</v>
      </c>
      <c r="I38" s="18" t="n">
        <v>64.294</v>
      </c>
      <c r="J38" s="18" t="n">
        <v>72.274</v>
      </c>
      <c r="K38" s="18" t="n">
        <v>84.123</v>
      </c>
      <c r="L38" s="18" t="n">
        <v>94.94199999999999</v>
      </c>
      <c r="M38" s="18" t="n">
        <v>101.636</v>
      </c>
      <c r="N38" s="18" t="n">
        <v>102.962</v>
      </c>
      <c r="O38" s="18" t="n">
        <v>114.054</v>
      </c>
      <c r="P38" s="18" t="n">
        <v>122.415</v>
      </c>
      <c r="Q38" s="18" t="n">
        <v>133.59</v>
      </c>
      <c r="R38" s="18" t="n">
        <v>137.526</v>
      </c>
      <c r="S38" s="18" t="n">
        <v>149.357</v>
      </c>
      <c r="T38" s="18" t="n">
        <v>159.013</v>
      </c>
      <c r="U38" s="18" t="n">
        <v>172.762</v>
      </c>
      <c r="V38" s="18" t="n">
        <v>176.886</v>
      </c>
      <c r="W38" s="18" t="n">
        <v>194.584</v>
      </c>
      <c r="X38" s="18" t="n">
        <v>201.391</v>
      </c>
      <c r="Y38" s="18" t="n">
        <v>214.487</v>
      </c>
    </row>
    <row r="39">
      <c r="A39" s="4" t="inlineStr">
        <is>
          <t xml:space="preserve">    % YoY</t>
        </is>
      </c>
      <c r="F39" s="57">
        <f>IFERROR(F38/B38-1,"")</f>
        <v/>
      </c>
      <c r="G39" s="57">
        <f>IFERROR(G38/C38-1,"")</f>
        <v/>
      </c>
      <c r="H39" s="57">
        <f>IFERROR(H38/D38-1,"")</f>
        <v/>
      </c>
      <c r="I39" s="57">
        <f>IFERROR(I38/E38-1,"")</f>
        <v/>
      </c>
      <c r="J39" s="57">
        <f>IFERROR(J38/F38-1,"")</f>
        <v/>
      </c>
      <c r="K39" s="57">
        <f>IFERROR(K38/G38-1,"")</f>
        <v/>
      </c>
      <c r="L39" s="57">
        <f>IFERROR(L38/H38-1,"")</f>
        <v/>
      </c>
      <c r="M39" s="57">
        <f>IFERROR(M38/I38-1,"")</f>
        <v/>
      </c>
      <c r="N39" s="57">
        <f>IFERROR(N38/J38-1,"")</f>
        <v/>
      </c>
      <c r="O39" s="57">
        <f>IFERROR(O38/K38-1,"")</f>
        <v/>
      </c>
      <c r="P39" s="57">
        <f>IFERROR(P38/L38-1,"")</f>
        <v/>
      </c>
      <c r="Q39" s="57">
        <f>IFERROR(Q38/M38-1,"")</f>
        <v/>
      </c>
      <c r="R39" s="57">
        <f>IFERROR(R38/N38-1,"")</f>
        <v/>
      </c>
      <c r="S39" s="57">
        <f>IFERROR(S38/O38-1,"")</f>
        <v/>
      </c>
      <c r="T39" s="57">
        <f>IFERROR(T38/P38-1,"")</f>
        <v/>
      </c>
      <c r="U39" s="57">
        <f>IFERROR(U38/Q38-1,"")</f>
        <v/>
      </c>
      <c r="V39" s="57">
        <f>IFERROR(V38/R38-1,"")</f>
        <v/>
      </c>
      <c r="W39" s="57">
        <f>IFERROR(W38/S38-1,"")</f>
        <v/>
      </c>
      <c r="X39" s="57">
        <f>IFERROR(X38/T38-1,"")</f>
        <v/>
      </c>
      <c r="Y39" s="57">
        <f>IFERROR(Y38/U38-1,"")</f>
        <v/>
      </c>
    </row>
    <row r="40">
      <c r="A40" s="4" t="inlineStr">
        <is>
          <t xml:space="preserve">    % of revenue</t>
        </is>
      </c>
      <c r="B40" s="57">
        <f>IFERROR(B38/B3,"")</f>
        <v/>
      </c>
      <c r="C40" s="57">
        <f>IFERROR(C38/C3,"")</f>
        <v/>
      </c>
      <c r="D40" s="57">
        <f>IFERROR(D38/D3,"")</f>
        <v/>
      </c>
      <c r="E40" s="57">
        <f>IFERROR(E38/E3,"")</f>
        <v/>
      </c>
      <c r="F40" s="57">
        <f>IFERROR(F38/F3,"")</f>
        <v/>
      </c>
      <c r="G40" s="57">
        <f>IFERROR(G38/G3,"")</f>
        <v/>
      </c>
      <c r="H40" s="57">
        <f>IFERROR(H38/H3,"")</f>
        <v/>
      </c>
      <c r="I40" s="57">
        <f>IFERROR(I38/I3,"")</f>
        <v/>
      </c>
      <c r="J40" s="57">
        <f>IFERROR(J38/J3,"")</f>
        <v/>
      </c>
      <c r="K40" s="57">
        <f>IFERROR(K38/K3,"")</f>
        <v/>
      </c>
      <c r="L40" s="57">
        <f>IFERROR(L38/L3,"")</f>
        <v/>
      </c>
      <c r="M40" s="57">
        <f>IFERROR(M38/M3,"")</f>
        <v/>
      </c>
      <c r="N40" s="57">
        <f>IFERROR(N38/N3,"")</f>
        <v/>
      </c>
      <c r="O40" s="57">
        <f>IFERROR(O38/O3,"")</f>
        <v/>
      </c>
      <c r="P40" s="57">
        <f>IFERROR(P38/P3,"")</f>
        <v/>
      </c>
      <c r="Q40" s="57">
        <f>IFERROR(Q38/Q3,"")</f>
        <v/>
      </c>
      <c r="R40" s="57">
        <f>IFERROR(R38/R3,"")</f>
        <v/>
      </c>
      <c r="S40" s="57">
        <f>IFERROR(S38/S3,"")</f>
        <v/>
      </c>
      <c r="T40" s="57">
        <f>IFERROR(T38/T3,"")</f>
        <v/>
      </c>
      <c r="U40" s="57">
        <f>IFERROR(U38/U3,"")</f>
        <v/>
      </c>
      <c r="V40" s="57">
        <f>IFERROR(V38/V3,"")</f>
        <v/>
      </c>
      <c r="W40" s="57">
        <f>IFERROR(W38/W3,"")</f>
        <v/>
      </c>
      <c r="X40" s="57">
        <f>IFERROR(X38/X3,"")</f>
        <v/>
      </c>
      <c r="Y40" s="57">
        <f>IFERROR(Y38/Y3,"")</f>
        <v/>
      </c>
    </row>
    <row r="41">
      <c r="A41" s="4" t="inlineStr">
        <is>
          <t>Europe</t>
        </is>
      </c>
      <c r="H41" s="18" t="n">
        <v>9.164999999999999</v>
      </c>
      <c r="I41" s="18" t="n">
        <v>11.847</v>
      </c>
      <c r="J41" s="18" t="n">
        <v>12.988</v>
      </c>
      <c r="K41" s="18" t="n">
        <v>14.75</v>
      </c>
      <c r="L41" s="18" t="n">
        <v>15.547</v>
      </c>
      <c r="M41" s="18" t="n">
        <v>18.535</v>
      </c>
      <c r="N41" s="18" t="n">
        <v>20.957</v>
      </c>
      <c r="O41" s="18" t="n">
        <v>22.245</v>
      </c>
      <c r="P41" s="18" t="n">
        <v>23.731</v>
      </c>
      <c r="Q41" s="18" t="n">
        <v>26.359</v>
      </c>
      <c r="R41" s="18" t="n">
        <v>27.652</v>
      </c>
      <c r="S41" s="18" t="n">
        <v>28.889</v>
      </c>
      <c r="T41" s="18" t="n">
        <v>32.397</v>
      </c>
      <c r="U41" s="18" t="n">
        <v>33.713</v>
      </c>
      <c r="V41" s="18" t="n">
        <v>33.078</v>
      </c>
      <c r="W41" s="18" t="n">
        <v>36.161</v>
      </c>
      <c r="X41" s="18" t="n">
        <v>37.118</v>
      </c>
      <c r="Y41" s="18" t="n">
        <v>39.282</v>
      </c>
    </row>
    <row r="42">
      <c r="A42" s="4" t="inlineStr">
        <is>
          <t xml:space="preserve">    % YoY</t>
        </is>
      </c>
      <c r="F42" s="57">
        <f>IFERROR(F41/B41-1,"")</f>
        <v/>
      </c>
      <c r="G42" s="57">
        <f>IFERROR(G41/C41-1,"")</f>
        <v/>
      </c>
      <c r="H42" s="57">
        <f>IFERROR(H41/D41-1,"")</f>
        <v/>
      </c>
      <c r="I42" s="57">
        <f>IFERROR(I41/E41-1,"")</f>
        <v/>
      </c>
      <c r="J42" s="57">
        <f>IFERROR(J41/F41-1,"")</f>
        <v/>
      </c>
      <c r="K42" s="57">
        <f>IFERROR(K41/G41-1,"")</f>
        <v/>
      </c>
      <c r="L42" s="57">
        <f>IFERROR(L41/H41-1,"")</f>
        <v/>
      </c>
      <c r="M42" s="57">
        <f>IFERROR(M41/I41-1,"")</f>
        <v/>
      </c>
      <c r="N42" s="57">
        <f>IFERROR(N41/J41-1,"")</f>
        <v/>
      </c>
      <c r="O42" s="57">
        <f>IFERROR(O41/K41-1,"")</f>
        <v/>
      </c>
      <c r="P42" s="57">
        <f>IFERROR(P41/L41-1,"")</f>
        <v/>
      </c>
      <c r="Q42" s="57">
        <f>IFERROR(Q41/M41-1,"")</f>
        <v/>
      </c>
      <c r="R42" s="57">
        <f>IFERROR(R41/N41-1,"")</f>
        <v/>
      </c>
      <c r="S42" s="57">
        <f>IFERROR(S41/O41-1,"")</f>
        <v/>
      </c>
      <c r="T42" s="57">
        <f>IFERROR(T41/P41-1,"")</f>
        <v/>
      </c>
      <c r="U42" s="57">
        <f>IFERROR(U41/Q41-1,"")</f>
        <v/>
      </c>
      <c r="V42" s="57">
        <f>IFERROR(V41/R41-1,"")</f>
        <v/>
      </c>
      <c r="W42" s="57">
        <f>IFERROR(W41/S41-1,"")</f>
        <v/>
      </c>
      <c r="X42" s="57">
        <f>IFERROR(X41/T41-1,"")</f>
        <v/>
      </c>
      <c r="Y42" s="57">
        <f>IFERROR(Y41/U41-1,"")</f>
        <v/>
      </c>
    </row>
    <row r="43">
      <c r="A43" s="4" t="inlineStr">
        <is>
          <t xml:space="preserve">    % of revenue</t>
        </is>
      </c>
      <c r="B43" s="57">
        <f>IFERROR(B41/B3,"")</f>
        <v/>
      </c>
      <c r="C43" s="57">
        <f>IFERROR(C41/C3,"")</f>
        <v/>
      </c>
      <c r="D43" s="57">
        <f>IFERROR(D41/D3,"")</f>
        <v/>
      </c>
      <c r="E43" s="57">
        <f>IFERROR(E41/E3,"")</f>
        <v/>
      </c>
      <c r="F43" s="57">
        <f>IFERROR(F41/F3,"")</f>
        <v/>
      </c>
      <c r="G43" s="57">
        <f>IFERROR(G41/G3,"")</f>
        <v/>
      </c>
      <c r="H43" s="57">
        <f>IFERROR(H41/H3,"")</f>
        <v/>
      </c>
      <c r="I43" s="57">
        <f>IFERROR(I41/I3,"")</f>
        <v/>
      </c>
      <c r="J43" s="57">
        <f>IFERROR(J41/J3,"")</f>
        <v/>
      </c>
      <c r="K43" s="57">
        <f>IFERROR(K41/K3,"")</f>
        <v/>
      </c>
      <c r="L43" s="57">
        <f>IFERROR(L41/L3,"")</f>
        <v/>
      </c>
      <c r="M43" s="57">
        <f>IFERROR(M41/M3,"")</f>
        <v/>
      </c>
      <c r="N43" s="57">
        <f>IFERROR(N41/N3,"")</f>
        <v/>
      </c>
      <c r="O43" s="57">
        <f>IFERROR(O41/O3,"")</f>
        <v/>
      </c>
      <c r="P43" s="57">
        <f>IFERROR(P41/P3,"")</f>
        <v/>
      </c>
      <c r="Q43" s="57">
        <f>IFERROR(Q41/Q3,"")</f>
        <v/>
      </c>
      <c r="R43" s="57">
        <f>IFERROR(R41/R3,"")</f>
        <v/>
      </c>
      <c r="S43" s="57">
        <f>IFERROR(S41/S3,"")</f>
        <v/>
      </c>
      <c r="T43" s="57">
        <f>IFERROR(T41/T3,"")</f>
        <v/>
      </c>
      <c r="U43" s="57">
        <f>IFERROR(U41/U3,"")</f>
        <v/>
      </c>
      <c r="V43" s="57">
        <f>IFERROR(V41/V3,"")</f>
        <v/>
      </c>
      <c r="W43" s="57">
        <f>IFERROR(W41/W3,"")</f>
        <v/>
      </c>
      <c r="X43" s="57">
        <f>IFERROR(X41/X3,"")</f>
        <v/>
      </c>
      <c r="Y43" s="57">
        <f>IFERROR(Y41/Y3,"")</f>
        <v/>
      </c>
    </row>
    <row r="44">
      <c r="A44" s="4" t="inlineStr">
        <is>
          <t>Asia Pacific</t>
        </is>
      </c>
      <c r="H44" s="18" t="n">
        <v>0.929</v>
      </c>
      <c r="I44" s="18" t="n">
        <v>1.655</v>
      </c>
      <c r="J44" s="18" t="n">
        <v>2.145</v>
      </c>
      <c r="K44" s="18" t="n">
        <v>2.168</v>
      </c>
      <c r="L44" s="18" t="n">
        <v>2.492</v>
      </c>
      <c r="M44" s="18" t="n">
        <v>2.736</v>
      </c>
      <c r="N44" s="18" t="n">
        <v>2.959</v>
      </c>
      <c r="O44" s="18" t="n">
        <v>3.282</v>
      </c>
      <c r="P44" s="18" t="n">
        <v>3.522</v>
      </c>
      <c r="Q44" s="18" t="n">
        <v>3.83</v>
      </c>
      <c r="R44" s="18" t="n">
        <v>4.009</v>
      </c>
      <c r="S44" s="18" t="n">
        <v>4.338</v>
      </c>
      <c r="T44" s="18" t="n">
        <v>4.637</v>
      </c>
      <c r="U44" s="18" t="n">
        <v>4.956</v>
      </c>
      <c r="V44" s="18" t="n">
        <v>4.545</v>
      </c>
      <c r="W44" s="18" t="n">
        <v>5.215</v>
      </c>
      <c r="X44" s="18" t="n">
        <v>5.844</v>
      </c>
      <c r="Y44" s="18" t="n">
        <v>6.633</v>
      </c>
    </row>
    <row r="45">
      <c r="A45" s="4" t="inlineStr">
        <is>
          <t xml:space="preserve">    % YoY</t>
        </is>
      </c>
      <c r="F45" s="57">
        <f>IFERROR(F44/B44-1,"")</f>
        <v/>
      </c>
      <c r="G45" s="57">
        <f>IFERROR(G44/C44-1,"")</f>
        <v/>
      </c>
      <c r="H45" s="57">
        <f>IFERROR(H44/D44-1,"")</f>
        <v/>
      </c>
      <c r="I45" s="57">
        <f>IFERROR(I44/E44-1,"")</f>
        <v/>
      </c>
      <c r="J45" s="57">
        <f>IFERROR(J44/F44-1,"")</f>
        <v/>
      </c>
      <c r="K45" s="57">
        <f>IFERROR(K44/G44-1,"")</f>
        <v/>
      </c>
      <c r="L45" s="57">
        <f>IFERROR(L44/H44-1,"")</f>
        <v/>
      </c>
      <c r="M45" s="57">
        <f>IFERROR(M44/I44-1,"")</f>
        <v/>
      </c>
      <c r="N45" s="57">
        <f>IFERROR(N44/J44-1,"")</f>
        <v/>
      </c>
      <c r="O45" s="57">
        <f>IFERROR(O44/K44-1,"")</f>
        <v/>
      </c>
      <c r="P45" s="57">
        <f>IFERROR(P44/L44-1,"")</f>
        <v/>
      </c>
      <c r="Q45" s="57">
        <f>IFERROR(Q44/M44-1,"")</f>
        <v/>
      </c>
      <c r="R45" s="57">
        <f>IFERROR(R44/N44-1,"")</f>
        <v/>
      </c>
      <c r="S45" s="57">
        <f>IFERROR(S44/O44-1,"")</f>
        <v/>
      </c>
      <c r="T45" s="57">
        <f>IFERROR(T44/P44-1,"")</f>
        <v/>
      </c>
      <c r="U45" s="57">
        <f>IFERROR(U44/Q44-1,"")</f>
        <v/>
      </c>
      <c r="V45" s="57">
        <f>IFERROR(V44/R44-1,"")</f>
        <v/>
      </c>
      <c r="W45" s="57">
        <f>IFERROR(W44/S44-1,"")</f>
        <v/>
      </c>
      <c r="X45" s="57">
        <f>IFERROR(X44/T44-1,"")</f>
        <v/>
      </c>
      <c r="Y45" s="57">
        <f>IFERROR(Y44/U44-1,"")</f>
        <v/>
      </c>
    </row>
    <row r="46">
      <c r="A46" s="4" t="inlineStr">
        <is>
          <t xml:space="preserve">    % of revenue</t>
        </is>
      </c>
      <c r="B46" s="57">
        <f>IFERROR(B44/B3,"")</f>
        <v/>
      </c>
      <c r="C46" s="57">
        <f>IFERROR(C44/C3,"")</f>
        <v/>
      </c>
      <c r="D46" s="57">
        <f>IFERROR(D44/D3,"")</f>
        <v/>
      </c>
      <c r="E46" s="57">
        <f>IFERROR(E44/E3,"")</f>
        <v/>
      </c>
      <c r="F46" s="57">
        <f>IFERROR(F44/F3,"")</f>
        <v/>
      </c>
      <c r="G46" s="57">
        <f>IFERROR(G44/G3,"")</f>
        <v/>
      </c>
      <c r="H46" s="57">
        <f>IFERROR(H44/H3,"")</f>
        <v/>
      </c>
      <c r="I46" s="57">
        <f>IFERROR(I44/I3,"")</f>
        <v/>
      </c>
      <c r="J46" s="57">
        <f>IFERROR(J44/J3,"")</f>
        <v/>
      </c>
      <c r="K46" s="57">
        <f>IFERROR(K44/K3,"")</f>
        <v/>
      </c>
      <c r="L46" s="57">
        <f>IFERROR(L44/L3,"")</f>
        <v/>
      </c>
      <c r="M46" s="57">
        <f>IFERROR(M44/M3,"")</f>
        <v/>
      </c>
      <c r="N46" s="57">
        <f>IFERROR(N44/N3,"")</f>
        <v/>
      </c>
      <c r="O46" s="57">
        <f>IFERROR(O44/O3,"")</f>
        <v/>
      </c>
      <c r="P46" s="57">
        <f>IFERROR(P44/P3,"")</f>
        <v/>
      </c>
      <c r="Q46" s="57">
        <f>IFERROR(Q44/Q3,"")</f>
        <v/>
      </c>
      <c r="R46" s="57">
        <f>IFERROR(R44/R3,"")</f>
        <v/>
      </c>
      <c r="S46" s="57">
        <f>IFERROR(S44/S3,"")</f>
        <v/>
      </c>
      <c r="T46" s="57">
        <f>IFERROR(T44/T3,"")</f>
        <v/>
      </c>
      <c r="U46" s="57">
        <f>IFERROR(U44/U3,"")</f>
        <v/>
      </c>
      <c r="V46" s="57">
        <f>IFERROR(V44/V3,"")</f>
        <v/>
      </c>
      <c r="W46" s="57">
        <f>IFERROR(W44/W3,"")</f>
        <v/>
      </c>
      <c r="X46" s="57">
        <f>IFERROR(X44/X3,"")</f>
        <v/>
      </c>
      <c r="Y46" s="57">
        <f>IFERROR(Y44/Y3,"")</f>
        <v/>
      </c>
    </row>
    <row r="47">
      <c r="A47" s="5" t="inlineStr">
        <is>
          <t xml:space="preserve">  BALANCE SHEET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>
      <c r="A48" s="4" t="inlineStr">
        <is>
          <t>Cash &amp; ST Investments</t>
        </is>
      </c>
      <c r="G48" s="18" t="n">
        <v>276.254</v>
      </c>
      <c r="H48" s="18" t="n">
        <v>924.745</v>
      </c>
      <c r="I48" s="18" t="n">
        <v>934.703</v>
      </c>
      <c r="J48" s="18" t="n">
        <v>934.7809999999999</v>
      </c>
      <c r="K48" s="18" t="n">
        <v>930.1900000000001</v>
      </c>
      <c r="L48" s="18" t="n">
        <v>927.752</v>
      </c>
      <c r="M48" s="18" t="n">
        <v>936.651</v>
      </c>
      <c r="N48" s="18" t="n">
        <v>937.639</v>
      </c>
      <c r="O48" s="18" t="n">
        <v>986.283</v>
      </c>
      <c r="P48" s="18" t="n">
        <v>989.634</v>
      </c>
      <c r="Q48" s="18" t="n">
        <v>1036.285</v>
      </c>
      <c r="R48" s="18" t="n">
        <v>1061.495</v>
      </c>
      <c r="S48" s="18" t="n">
        <v>1083.104</v>
      </c>
      <c r="T48" s="18" t="n">
        <v>916.972</v>
      </c>
      <c r="U48" s="18" t="n">
        <v>992.377</v>
      </c>
      <c r="V48" s="18" t="n">
        <v>1104.832</v>
      </c>
      <c r="W48" s="18" t="n">
        <v>1165.177</v>
      </c>
      <c r="X48" s="18" t="n">
        <v>1204.308</v>
      </c>
      <c r="Y48" s="18" t="n">
        <v>1259.903</v>
      </c>
    </row>
    <row r="49">
      <c r="A49" s="4" t="inlineStr">
        <is>
          <t>Total Current Assets</t>
        </is>
      </c>
      <c r="G49" s="18" t="n">
        <v>350.714</v>
      </c>
      <c r="H49" s="18" t="n">
        <v>992.47</v>
      </c>
      <c r="I49" s="18" t="n">
        <v>1051.843</v>
      </c>
      <c r="J49" s="18" t="n">
        <v>1044.231</v>
      </c>
      <c r="K49" s="18" t="n">
        <v>1063.989</v>
      </c>
      <c r="L49" s="18" t="n">
        <v>1069.385</v>
      </c>
      <c r="M49" s="18" t="n">
        <v>1117.962</v>
      </c>
      <c r="N49" s="18" t="n">
        <v>1115.22</v>
      </c>
      <c r="O49" s="18" t="n">
        <v>1143.22</v>
      </c>
      <c r="P49" s="18" t="n">
        <v>1182.336</v>
      </c>
      <c r="Q49" s="18" t="n">
        <v>1284.459</v>
      </c>
      <c r="R49" s="18" t="n">
        <v>1263.043</v>
      </c>
      <c r="S49" s="18" t="n">
        <v>1314.356</v>
      </c>
      <c r="T49" s="18" t="n">
        <v>1192.165</v>
      </c>
      <c r="U49" s="18" t="n">
        <v>1336.317</v>
      </c>
      <c r="V49" s="18" t="n">
        <v>1380.761</v>
      </c>
      <c r="W49" s="18" t="n">
        <v>1436.17</v>
      </c>
      <c r="X49" s="18" t="n">
        <v>1506.949</v>
      </c>
      <c r="Y49" s="18" t="n">
        <v>1655.779</v>
      </c>
    </row>
    <row r="50">
      <c r="A50" s="4" t="inlineStr">
        <is>
          <t>PP&amp;E (net)</t>
        </is>
      </c>
      <c r="G50" s="18" t="n">
        <v>0</v>
      </c>
      <c r="H50" s="18" t="n">
        <v>0</v>
      </c>
      <c r="I50" s="18" t="n">
        <v>3.271</v>
      </c>
      <c r="J50" s="18" t="n">
        <v>4.347</v>
      </c>
      <c r="K50" s="18" t="n">
        <v>5.459</v>
      </c>
      <c r="L50" s="18" t="n">
        <v>5.56</v>
      </c>
      <c r="M50" s="18" t="n">
        <v>6.795</v>
      </c>
      <c r="N50" s="18" t="n">
        <v>6.236</v>
      </c>
      <c r="O50" s="18" t="n">
        <v>4.753</v>
      </c>
      <c r="P50" s="18" t="n">
        <v>4.223</v>
      </c>
      <c r="Q50" s="18" t="n">
        <v>3.359</v>
      </c>
      <c r="R50" s="18" t="n">
        <v>3.363</v>
      </c>
      <c r="S50" s="18" t="n">
        <v>3.381</v>
      </c>
      <c r="T50" s="18" t="n">
        <v>4.007</v>
      </c>
      <c r="U50" s="18" t="n">
        <v>4.394</v>
      </c>
      <c r="V50" s="18" t="n">
        <v>5.185</v>
      </c>
      <c r="W50" s="18" t="n">
        <v>8.035</v>
      </c>
      <c r="X50" s="18" t="n">
        <v>10.193</v>
      </c>
      <c r="Y50" s="18" t="n">
        <v>11.815</v>
      </c>
    </row>
    <row r="51">
      <c r="A51" s="4" t="inlineStr">
        <is>
          <t>Total Assets</t>
        </is>
      </c>
      <c r="G51" s="18" t="n">
        <v>366.378</v>
      </c>
      <c r="H51" s="18" t="n">
        <v>1028.808</v>
      </c>
      <c r="I51" s="18" t="n">
        <v>1091.438</v>
      </c>
      <c r="J51" s="18" t="n">
        <v>1098.953</v>
      </c>
      <c r="K51" s="18" t="n">
        <v>1115.419</v>
      </c>
      <c r="L51" s="18" t="n">
        <v>1120.241</v>
      </c>
      <c r="M51" s="18" t="n">
        <v>1169.2</v>
      </c>
      <c r="N51" s="18" t="n">
        <v>1164.108</v>
      </c>
      <c r="O51" s="18" t="n">
        <v>1189.069</v>
      </c>
      <c r="P51" s="18" t="n">
        <v>1226.896</v>
      </c>
      <c r="Q51" s="18" t="n">
        <v>1321.403</v>
      </c>
      <c r="R51" s="18" t="n">
        <v>1321.627</v>
      </c>
      <c r="S51" s="18" t="n">
        <v>1376.262</v>
      </c>
      <c r="T51" s="18" t="n">
        <v>1252.639</v>
      </c>
      <c r="U51" s="18" t="n">
        <v>1399.263</v>
      </c>
      <c r="V51" s="18" t="n">
        <v>1441.99</v>
      </c>
      <c r="W51" s="18" t="n">
        <v>1498.187</v>
      </c>
      <c r="X51" s="18" t="n">
        <v>1570.839</v>
      </c>
      <c r="Y51" s="18" t="n">
        <v>1722.747</v>
      </c>
    </row>
    <row r="52">
      <c r="A52" s="4" t="inlineStr">
        <is>
          <t>Total Current Liabilities</t>
        </is>
      </c>
      <c r="G52" s="18" t="n">
        <v>151.458</v>
      </c>
      <c r="H52" s="18" t="n">
        <v>178.89</v>
      </c>
      <c r="I52" s="18" t="n">
        <v>241.599</v>
      </c>
      <c r="J52" s="18" t="n">
        <v>234.6</v>
      </c>
      <c r="K52" s="18" t="n">
        <v>246.704</v>
      </c>
      <c r="L52" s="18" t="n">
        <v>264.479</v>
      </c>
      <c r="M52" s="18" t="n">
        <v>306.296</v>
      </c>
      <c r="N52" s="18" t="n">
        <v>311.053</v>
      </c>
      <c r="O52" s="18" t="n">
        <v>321.195</v>
      </c>
      <c r="P52" s="18" t="n">
        <v>585.922</v>
      </c>
      <c r="Q52" s="18" t="n">
        <v>677.157</v>
      </c>
      <c r="R52" s="18" t="n">
        <v>674.537</v>
      </c>
      <c r="S52" s="18" t="n">
        <v>666.848</v>
      </c>
      <c r="T52" s="18" t="n">
        <v>464.502</v>
      </c>
      <c r="U52" s="18" t="n">
        <v>545.0309999999999</v>
      </c>
      <c r="V52" s="18" t="n">
        <v>556.383</v>
      </c>
      <c r="W52" s="18" t="n">
        <v>553.357</v>
      </c>
      <c r="X52" s="18" t="n">
        <v>565.808</v>
      </c>
      <c r="Y52" s="18" t="n">
        <v>652.143</v>
      </c>
    </row>
    <row r="53">
      <c r="A53" s="4" t="inlineStr">
        <is>
          <t>Long-term Debt</t>
        </is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  <c r="Q53" s="18" t="n">
        <v>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</row>
    <row r="54">
      <c r="A54" s="4" t="inlineStr">
        <is>
          <t>Total Equity</t>
        </is>
      </c>
      <c r="G54" s="18" t="n">
        <v>-276.013</v>
      </c>
      <c r="H54" s="18" t="n">
        <v>784.4</v>
      </c>
      <c r="I54" s="18" t="n">
        <v>774.866</v>
      </c>
      <c r="J54" s="18" t="n">
        <v>782.0940000000001</v>
      </c>
      <c r="K54" s="18" t="n">
        <v>778.487</v>
      </c>
      <c r="L54" s="18" t="n">
        <v>763.5599999999999</v>
      </c>
      <c r="M54" s="18" t="n">
        <v>771.02</v>
      </c>
      <c r="N54" s="18" t="n">
        <v>765.489</v>
      </c>
      <c r="O54" s="18" t="n">
        <v>783.657</v>
      </c>
      <c r="P54" s="18" t="n">
        <v>546.567</v>
      </c>
      <c r="Q54" s="18" t="n">
        <v>559.771</v>
      </c>
      <c r="R54" s="18" t="n">
        <v>567.841</v>
      </c>
      <c r="S54" s="18" t="n">
        <v>642.8390000000001</v>
      </c>
      <c r="T54" s="18" t="n">
        <v>724.705</v>
      </c>
      <c r="U54" s="18" t="n">
        <v>775.909</v>
      </c>
      <c r="V54" s="18" t="n">
        <v>808.28</v>
      </c>
      <c r="W54" s="18" t="n">
        <v>866.551</v>
      </c>
      <c r="X54" s="18" t="n">
        <v>922.715</v>
      </c>
      <c r="Y54" s="18" t="n">
        <v>990.668</v>
      </c>
    </row>
    <row r="55">
      <c r="A55" s="5" t="inlineStr">
        <is>
          <t xml:space="preserve">  CASH FLOW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>
      <c r="A56" s="4" t="inlineStr">
        <is>
          <t>D&amp;A</t>
        </is>
      </c>
      <c r="B56" s="18" t="n">
        <v>3.683</v>
      </c>
      <c r="C56" s="18" t="n">
        <v>3.683</v>
      </c>
      <c r="D56" s="18" t="n">
        <v>0.083</v>
      </c>
      <c r="E56" s="18" t="n">
        <v>0.08500000000000001</v>
      </c>
      <c r="F56" s="18" t="n">
        <v>0.08400000000000001</v>
      </c>
      <c r="G56" s="18" t="n">
        <v>0.08500000000000001</v>
      </c>
      <c r="H56" s="18" t="n">
        <v>0.082</v>
      </c>
      <c r="I56" s="18" t="n">
        <v>0.957</v>
      </c>
      <c r="J56" s="18" t="n">
        <v>1.139</v>
      </c>
      <c r="K56" s="18" t="n">
        <v>1.323</v>
      </c>
      <c r="L56" s="18" t="n">
        <v>1.503</v>
      </c>
      <c r="M56" s="18" t="n">
        <v>1.628</v>
      </c>
      <c r="N56" s="18" t="n">
        <v>1.671</v>
      </c>
      <c r="O56" s="18" t="n">
        <v>1.66</v>
      </c>
      <c r="P56" s="18" t="n">
        <v>1.644</v>
      </c>
      <c r="Q56" s="18" t="n">
        <v>1.56</v>
      </c>
      <c r="R56" s="18" t="n">
        <v>2.024</v>
      </c>
      <c r="S56" s="18" t="n">
        <v>3.077</v>
      </c>
      <c r="T56" s="18" t="n">
        <v>3.191</v>
      </c>
      <c r="U56" s="18" t="n">
        <v>2.694</v>
      </c>
      <c r="V56" s="18" t="n">
        <v>2.576</v>
      </c>
      <c r="W56" s="18" t="n">
        <v>2.774</v>
      </c>
      <c r="X56" s="18" t="n">
        <v>2.884</v>
      </c>
      <c r="Y56" s="18" t="n">
        <v>1.154</v>
      </c>
    </row>
    <row r="57">
      <c r="A57" s="4" t="inlineStr">
        <is>
          <t>Stock-based Compensation</t>
        </is>
      </c>
      <c r="B57" s="18" t="n">
        <v>1.811</v>
      </c>
      <c r="C57" s="18" t="n">
        <v>1.88</v>
      </c>
      <c r="D57" s="18" t="n">
        <v>2.056</v>
      </c>
      <c r="E57" s="18" t="n">
        <v>106.168</v>
      </c>
      <c r="F57" s="18" t="n">
        <v>3.431</v>
      </c>
      <c r="G57" s="18" t="n">
        <v>5.232</v>
      </c>
      <c r="H57" s="18" t="n">
        <v>8.579000000000001</v>
      </c>
      <c r="I57" s="18" t="n">
        <v>12.767</v>
      </c>
      <c r="J57" s="18" t="n">
        <v>17.471</v>
      </c>
      <c r="K57" s="18" t="n">
        <v>37.747</v>
      </c>
      <c r="L57" s="18" t="n">
        <v>33.708</v>
      </c>
      <c r="M57" s="18" t="n">
        <v>33.641</v>
      </c>
      <c r="N57" s="18" t="n">
        <v>32.33</v>
      </c>
      <c r="O57" s="18" t="n">
        <v>46.368</v>
      </c>
      <c r="P57" s="18" t="n">
        <v>41.334</v>
      </c>
      <c r="Q57" s="18" t="n">
        <v>43.017</v>
      </c>
      <c r="R57" s="18" t="n">
        <v>42.252</v>
      </c>
      <c r="S57" s="18" t="n">
        <v>48.969</v>
      </c>
      <c r="T57" s="18" t="n">
        <v>48.042</v>
      </c>
      <c r="U57" s="18" t="n">
        <v>46.636</v>
      </c>
      <c r="V57" s="18" t="n">
        <v>55.827</v>
      </c>
      <c r="W57" s="18" t="n">
        <v>54.284</v>
      </c>
      <c r="X57" s="18" t="n">
        <v>51.682</v>
      </c>
      <c r="Y57" s="18" t="n">
        <v>53.158</v>
      </c>
    </row>
    <row r="58">
      <c r="A58" s="4" t="inlineStr">
        <is>
          <t>Change in Working Capital</t>
        </is>
      </c>
      <c r="B58" s="18" t="n">
        <v>-7.331</v>
      </c>
      <c r="C58" s="18" t="n">
        <v>-7.331</v>
      </c>
      <c r="D58" s="18" t="n">
        <v>3.107</v>
      </c>
      <c r="E58" s="18" t="n">
        <v>10.941</v>
      </c>
      <c r="F58" s="18" t="n">
        <v>-4.464</v>
      </c>
      <c r="G58" s="18" t="n">
        <v>1.244</v>
      </c>
      <c r="H58" s="18" t="n">
        <v>4.624</v>
      </c>
      <c r="I58" s="18" t="n">
        <v>21.171</v>
      </c>
      <c r="J58" s="18" t="n">
        <v>-12.925</v>
      </c>
      <c r="K58" s="18" t="n">
        <v>-23.85</v>
      </c>
      <c r="L58" s="18" t="n">
        <v>6.617</v>
      </c>
      <c r="M58" s="18" t="n">
        <v>-14.693</v>
      </c>
      <c r="N58" s="18" t="n">
        <v>-2.317</v>
      </c>
      <c r="O58" s="18" t="n">
        <v>20.238</v>
      </c>
      <c r="P58" s="18" t="n">
        <v>229.374</v>
      </c>
      <c r="Q58" s="18" t="n">
        <v>-6.28</v>
      </c>
      <c r="R58" s="18" t="n">
        <v>39.04</v>
      </c>
      <c r="S58" s="18" t="n">
        <v>-65.79000000000001</v>
      </c>
      <c r="T58" s="18" t="n">
        <v>-263.227</v>
      </c>
      <c r="U58" s="18" t="n">
        <v>-0.62</v>
      </c>
      <c r="V58" s="18" t="n">
        <v>61.406</v>
      </c>
      <c r="W58" s="18" t="n">
        <v>-11.502</v>
      </c>
      <c r="X58" s="18" t="n">
        <v>-30.695</v>
      </c>
      <c r="Y58" s="18" t="n">
        <v>-27.666</v>
      </c>
    </row>
    <row r="59">
      <c r="A59" s="4" t="inlineStr">
        <is>
          <t>Operating Cash Flow</t>
        </is>
      </c>
      <c r="B59" s="18" t="n">
        <v>-26.042</v>
      </c>
      <c r="C59" s="18" t="n">
        <v>-26.042</v>
      </c>
      <c r="D59" s="18" t="n">
        <v>-14.136</v>
      </c>
      <c r="E59" s="18" t="n">
        <v>-7.36</v>
      </c>
      <c r="F59" s="18" t="n">
        <v>-21.521</v>
      </c>
      <c r="G59" s="18" t="n">
        <v>-17.12</v>
      </c>
      <c r="H59" s="18" t="n">
        <v>-10.079</v>
      </c>
      <c r="I59" s="18" t="n">
        <v>-1.094</v>
      </c>
      <c r="J59" s="18" t="n">
        <v>-28.156</v>
      </c>
      <c r="K59" s="18" t="n">
        <v>-36.335</v>
      </c>
      <c r="L59" s="18" t="n">
        <v>-1.197</v>
      </c>
      <c r="M59" s="18" t="n">
        <v>-11.72</v>
      </c>
      <c r="N59" s="18" t="n">
        <v>-10.961</v>
      </c>
      <c r="O59" s="18" t="n">
        <v>27.109</v>
      </c>
      <c r="P59" s="18" t="n">
        <v>-5.961</v>
      </c>
      <c r="Q59" s="18" t="n">
        <v>24.853</v>
      </c>
      <c r="R59" s="18" t="n">
        <v>38.138</v>
      </c>
      <c r="S59" s="18" t="n">
        <v>11.697</v>
      </c>
      <c r="T59" s="18" t="n">
        <v>-177.028</v>
      </c>
      <c r="U59" s="18" t="n">
        <v>63.222</v>
      </c>
      <c r="V59" s="18" t="n">
        <v>106.302</v>
      </c>
      <c r="W59" s="18" t="n">
        <v>49.369</v>
      </c>
      <c r="X59" s="18" t="n">
        <v>31.428</v>
      </c>
      <c r="Y59" s="18" t="n">
        <v>45.757</v>
      </c>
    </row>
    <row r="60">
      <c r="A60" s="4" t="inlineStr">
        <is>
          <t>Capex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-3.541</v>
      </c>
      <c r="J60" s="18" t="n">
        <v>-1.874</v>
      </c>
      <c r="K60" s="18" t="n">
        <v>-1.36</v>
      </c>
      <c r="L60" s="18" t="n">
        <v>-1.784</v>
      </c>
      <c r="M60" s="18" t="n">
        <v>-1.052</v>
      </c>
      <c r="N60" s="18" t="n">
        <v>-0.256</v>
      </c>
      <c r="O60" s="18" t="n">
        <v>-0.277</v>
      </c>
      <c r="P60" s="18" t="n">
        <v>-0.735999</v>
      </c>
      <c r="Q60" s="18" t="n">
        <v>-0.329</v>
      </c>
      <c r="R60" s="18" t="n">
        <v>-0.7</v>
      </c>
      <c r="S60" s="18" t="n">
        <v>-0.851</v>
      </c>
      <c r="T60" s="18" t="n">
        <v>-1.057</v>
      </c>
      <c r="U60" s="18" t="n">
        <v>-1.157</v>
      </c>
      <c r="V60" s="18" t="n">
        <v>-0.912</v>
      </c>
      <c r="W60" s="18" t="n">
        <v>-2.904</v>
      </c>
      <c r="X60" s="18" t="n">
        <v>-3.038</v>
      </c>
      <c r="Y60" s="18" t="n">
        <v>-3.973</v>
      </c>
    </row>
    <row r="61">
      <c r="A61" s="4" t="inlineStr">
        <is>
          <t>Free Cash Flow</t>
        </is>
      </c>
      <c r="B61" s="18" t="n">
        <v>-26.042</v>
      </c>
      <c r="C61" s="18" t="n">
        <v>-26.042</v>
      </c>
      <c r="D61" s="18" t="n">
        <v>-14.136</v>
      </c>
      <c r="E61" s="18" t="n">
        <v>-7.36</v>
      </c>
      <c r="F61" s="18" t="n">
        <v>-21.521</v>
      </c>
      <c r="G61" s="18" t="n">
        <v>-17.12</v>
      </c>
      <c r="H61" s="18" t="n">
        <v>-10.079</v>
      </c>
      <c r="I61" s="18" t="n">
        <v>-4.635</v>
      </c>
      <c r="J61" s="18" t="n">
        <v>-30.03</v>
      </c>
      <c r="K61" s="18" t="n">
        <v>-37.695</v>
      </c>
      <c r="L61" s="18" t="n">
        <v>-2.981</v>
      </c>
      <c r="M61" s="18" t="n">
        <v>-12.772</v>
      </c>
      <c r="N61" s="18" t="n">
        <v>-11.217</v>
      </c>
      <c r="O61" s="18" t="n">
        <v>26.832</v>
      </c>
      <c r="P61" s="18" t="n">
        <v>-6.697</v>
      </c>
      <c r="Q61" s="18" t="n">
        <v>24.524</v>
      </c>
      <c r="R61" s="18" t="n">
        <v>37.438</v>
      </c>
      <c r="S61" s="18" t="n">
        <v>10.846</v>
      </c>
      <c r="T61" s="18" t="n">
        <v>-178.085</v>
      </c>
      <c r="U61" s="18" t="n">
        <v>62.065</v>
      </c>
      <c r="V61" s="18" t="n">
        <v>105.39</v>
      </c>
      <c r="W61" s="18" t="n">
        <v>46.465</v>
      </c>
      <c r="X61" s="18" t="n">
        <v>28.39</v>
      </c>
      <c r="Y61" s="18" t="n">
        <v>41.784</v>
      </c>
    </row>
    <row r="63">
      <c r="A6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2027</v>
      </c>
      <c r="C2" s="36" t="n">
        <v>2028</v>
      </c>
      <c r="D2" s="36" t="n">
        <v>2029</v>
      </c>
      <c r="E2" s="36" t="n">
        <v>2030</v>
      </c>
      <c r="F2" s="3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1110.164234</v>
      </c>
      <c r="C4" s="18" t="n">
        <v>1283.061709</v>
      </c>
      <c r="D4" s="18" t="n">
        <v>1463.536743</v>
      </c>
      <c r="E4" s="18" t="n">
        <v>1674.7</v>
      </c>
      <c r="F4" s="18" t="n">
        <v>1902.1</v>
      </c>
    </row>
    <row r="5">
      <c r="A5" s="4" t="inlineStr">
        <is>
          <t xml:space="preserve">  model</t>
        </is>
      </c>
      <c r="B5" s="28">
        <f>Model!G16</f>
        <v/>
      </c>
      <c r="C5" s="28">
        <f>Model!H16</f>
        <v/>
      </c>
      <c r="D5" s="28">
        <f>Model!I16</f>
        <v/>
      </c>
      <c r="E5" s="28">
        <f>Model!J16</f>
        <v/>
      </c>
      <c r="F5" s="28">
        <f>Model!K16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304.354417</v>
      </c>
      <c r="C8" s="18" t="n">
        <v>351.754711</v>
      </c>
      <c r="D8" s="18" t="n">
        <v>401.232412</v>
      </c>
      <c r="E8" s="18" t="n">
        <v>459.123369</v>
      </c>
      <c r="F8" s="18" t="n">
        <v>521.465672</v>
      </c>
    </row>
    <row r="9">
      <c r="A9" s="4" t="inlineStr">
        <is>
          <t xml:space="preserve">  model</t>
        </is>
      </c>
      <c r="B9" s="28">
        <f>Model!G29+Model!G34</f>
        <v/>
      </c>
      <c r="C9" s="28">
        <f>Model!H29+Model!H34</f>
        <v/>
      </c>
      <c r="D9" s="28">
        <f>Model!I29+Model!I34</f>
        <v/>
      </c>
      <c r="E9" s="28">
        <f>Model!J29+Model!J34</f>
        <v/>
      </c>
      <c r="F9" s="28">
        <f>Model!K29+Model!K34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286.559704</v>
      </c>
      <c r="C12" s="18" t="n">
        <v>331.188641</v>
      </c>
      <c r="D12" s="18" t="n">
        <v>377.773526</v>
      </c>
      <c r="E12" s="18" t="n">
        <v>432.279768</v>
      </c>
      <c r="F12" s="18" t="n">
        <v>490.977098</v>
      </c>
    </row>
    <row r="13">
      <c r="A13" s="4" t="inlineStr">
        <is>
          <t xml:space="preserve">  model</t>
        </is>
      </c>
      <c r="B13" s="28">
        <f>Model!G29</f>
        <v/>
      </c>
      <c r="C13" s="28">
        <f>Model!H29</f>
        <v/>
      </c>
      <c r="D13" s="28">
        <f>Model!I29</f>
        <v/>
      </c>
      <c r="E13" s="28">
        <f>Model!J29</f>
        <v/>
      </c>
      <c r="F13" s="28">
        <f>Model!K29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963.992926</v>
      </c>
      <c r="C16" s="18" t="n">
        <v>1114.125616</v>
      </c>
      <c r="D16" s="18" t="n">
        <v>1270.838155</v>
      </c>
      <c r="E16" s="18" t="n">
        <v>1454.198311</v>
      </c>
      <c r="F16" s="18" t="n">
        <v>1651.657375</v>
      </c>
    </row>
    <row r="17">
      <c r="A17" s="4" t="inlineStr">
        <is>
          <t xml:space="preserve">  model</t>
        </is>
      </c>
      <c r="B17" s="28">
        <f>Model!G24</f>
        <v/>
      </c>
      <c r="C17" s="28">
        <f>Model!H24</f>
        <v/>
      </c>
      <c r="D17" s="28">
        <f>Model!I24</f>
        <v/>
      </c>
      <c r="E17" s="28">
        <f>Model!J24</f>
        <v/>
      </c>
      <c r="F17" s="28">
        <f>Model!K24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148.1091405</v>
      </c>
      <c r="C20" s="18" t="n">
        <v>170.4954565</v>
      </c>
      <c r="D20" s="18" t="n">
        <v>232.620717</v>
      </c>
      <c r="E20" s="18" t="n">
        <v>198.131001</v>
      </c>
      <c r="F20" s="18" t="n">
        <v>248.700001</v>
      </c>
    </row>
    <row r="21">
      <c r="A21" s="4" t="inlineStr">
        <is>
          <t xml:space="preserve">  model</t>
        </is>
      </c>
      <c r="B21" s="28">
        <f>Model!G33</f>
        <v/>
      </c>
      <c r="C21" s="28">
        <f>Model!H33</f>
        <v/>
      </c>
      <c r="D21" s="28">
        <f>Model!I33</f>
        <v/>
      </c>
      <c r="E21" s="28">
        <f>Model!J33</f>
        <v/>
      </c>
      <c r="F21" s="28">
        <f>Model!K33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0.80397</v>
      </c>
      <c r="C24" s="62" t="n">
        <v>0.98086</v>
      </c>
      <c r="D24" s="62" t="n">
        <v>1.12661</v>
      </c>
      <c r="E24" s="62" t="n">
        <v>1.195</v>
      </c>
      <c r="F24" s="62" t="n">
        <v>1.5</v>
      </c>
    </row>
    <row r="25">
      <c r="A25" s="4" t="inlineStr">
        <is>
          <t xml:space="preserve">  model</t>
        </is>
      </c>
      <c r="B25" s="46">
        <f>Model!G33/Financials!Y17</f>
        <v/>
      </c>
      <c r="C25" s="46">
        <f>Model!H33/Financials!Y17</f>
        <v/>
      </c>
      <c r="D25" s="46">
        <f>Model!I33/Financials!Y17</f>
        <v/>
      </c>
      <c r="E25" s="46">
        <f>Model!J33/Financials!Y17</f>
        <v/>
      </c>
      <c r="F25" s="46">
        <f>Model!K33/Financials!Y17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GitLab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2027</v>
      </c>
      <c r="D11" s="36" t="n">
        <v>2028</v>
      </c>
      <c r="E11" s="36" t="n">
        <v>2029</v>
      </c>
      <c r="F11" s="36" t="n">
        <v>2030</v>
      </c>
      <c r="G11" s="36" t="n">
        <v>2031</v>
      </c>
      <c r="H11" s="36" t="n">
        <v>2032</v>
      </c>
      <c r="I11" s="36" t="n">
        <v>2033</v>
      </c>
      <c r="J11" s="36" t="n">
        <v>2034</v>
      </c>
      <c r="K11" s="36" t="n">
        <v>2035</v>
      </c>
      <c r="L11" s="36" t="n">
        <v>2036</v>
      </c>
    </row>
    <row r="12">
      <c r="A12" s="4" t="inlineStr">
        <is>
          <t>FCFF ($M)</t>
        </is>
      </c>
      <c r="C12" s="28">
        <f>Model!G41</f>
        <v/>
      </c>
      <c r="D12" s="28">
        <f>Model!H41</f>
        <v/>
      </c>
      <c r="E12" s="28">
        <f>Model!I41</f>
        <v/>
      </c>
      <c r="F12" s="28">
        <f>Model!J41</f>
        <v/>
      </c>
      <c r="G12" s="28">
        <f>Model!K41</f>
        <v/>
      </c>
      <c r="H12" s="28">
        <f>Model!L41</f>
        <v/>
      </c>
      <c r="I12" s="28">
        <f>Model!M41</f>
        <v/>
      </c>
      <c r="J12" s="28">
        <f>Model!N41</f>
        <v/>
      </c>
      <c r="K12" s="28">
        <f>Model!O41</f>
        <v/>
      </c>
      <c r="L12" s="28">
        <f>Model!P41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Model!P16</f>
        <v/>
      </c>
    </row>
    <row r="21">
      <c r="A21" s="4" t="inlineStr">
        <is>
          <t>Terminal EBIT</t>
        </is>
      </c>
      <c r="B21" s="28">
        <f>Model!P29</f>
        <v/>
      </c>
    </row>
    <row r="22">
      <c r="A22" s="4" t="inlineStr">
        <is>
          <t>Terminal EBITDA</t>
        </is>
      </c>
      <c r="B22" s="28">
        <f>Model!P29+Model!P34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Financials!Y48</f>
        <v/>
      </c>
    </row>
    <row r="33">
      <c r="A33" s="4" t="inlineStr">
        <is>
          <t>- Long-term debt</t>
        </is>
      </c>
      <c r="B33" s="28">
        <f>-Financials!Y53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Financials!Y17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Model!F30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0.009828061271492342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1.09155528059976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(Model!P16/Model!F16)^(1/10)-1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1.297096921356183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Financials!Y48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Financials!Y53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Financials!Y17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2026-06-05T13:48:23Z</dcterms:created>
  <dcterms:modified xmlns:dcterms="http://purl.org/dc/terms/" xmlns:xsi="http://www.w3.org/2001/XMLSchema-instance" xsi:type="dcterms:W3CDTF">2026-06-05T13:48:23Z</dcterms:modified>
</cp:coreProperties>
</file>