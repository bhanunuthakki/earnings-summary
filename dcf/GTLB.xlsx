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7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workbook (synced) — no Opus pass — value synced from this workbook</t>
      </text>
    </comment>
    <comment ref="C20" authorId="0" shapeId="0">
      <text>
        <t>workbook (synced) — no Opus pass — value synced from this workbook</t>
      </text>
    </comment>
    <comment ref="B29" authorId="0" shapeId="0">
      <text>
        <t>workbook (synced) — no Opus pass — value synced from this workbook</t>
      </text>
    </comment>
    <comment ref="B30" authorId="0" shapeId="0">
      <text>
        <t>workbook (synced) — no Opus pass — value synced from this workbook</t>
      </text>
    </comment>
    <comment ref="B31" authorId="0" shapeId="0">
      <text>
        <t>workbook (synced) — no Opus pass — value synced from this workbook</t>
      </text>
    </comment>
    <comment ref="B34" authorId="0" shapeId="0">
      <text>
        <t>workbook (synced) — last-year capex +10% unless set to guidance; edits not tracked</t>
      </text>
    </comment>
    <comment ref="B35" authorId="0" shapeId="0">
      <text>
        <t>workbook (synced) — no Opus pass — value synced from this workbook</t>
      </text>
    </comment>
    <comment ref="B38" authorId="0" shapeId="0">
      <text>
        <t>workbook (synced) — no Opus pass — value synced from this workbook</t>
      </text>
    </comment>
    <comment ref="B39" authorId="0" shapeId="0">
      <text>
        <t>workbook (synced) — no Opus pass — value synced from this workbook</t>
      </text>
    </comment>
    <comment ref="B40" authorId="0" shapeId="0">
      <text>
        <t>workbook (synced) — no Opus pass — value synced from this workbook</t>
      </text>
    </comment>
    <comment ref="B41" authorId="0" shapeId="0">
      <text>
        <t>workbook (synced) — no Opus pass — value synced from this workbook</t>
      </text>
    </comment>
    <comment ref="B43" authorId="0" shapeId="0">
      <text>
        <t>workbook (synced) — no Opus pass — value synced from this workbook</t>
      </text>
    </comment>
    <comment ref="B44" authorId="0" shapeId="0">
      <text>
        <t>workbook (synced) — no Opus pass — value synced from this workbook</t>
      </text>
    </comment>
    <comment ref="B45" authorId="0" shapeId="0">
      <text>
        <t>Opus: 22.0x</t>
      </text>
    </comment>
    <comment ref="B46" authorId="0" shapeId="0">
      <text>
        <t>workbook (synced) — no Opus pass — value synced from this workbook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GitLab Inc. (GTLB)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Opus 4.8 — values as of 2026-07-06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GitLab Inc. (GTLB)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GitLab (DevSecOps platform)</t>
        </is>
      </c>
      <c r="B20" s="15" t="n">
        <v>0.18</v>
      </c>
      <c r="C20" s="15" t="n">
        <v>0.05</v>
      </c>
      <c r="D20" s="16" t="n">
        <v>0.18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0.1755419982538509</v>
      </c>
      <c r="D29" s="16" t="n">
        <v>0.1755419982538509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11.9097</v>
      </c>
      <c r="D34" s="18" t="n">
        <v>11.9097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0.823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22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33.65000152587891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35.61128508849737</v>
      </c>
      <c r="C58" s="28" t="n">
        <v>47.22218033872672</v>
      </c>
      <c r="D58" s="28" t="n">
        <v>26.82462355628193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0.18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0.1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GTLB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2026-07-06 from the synced assumptions block (pass predates provenance tracking — may already include your edits)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GitLab (DevSecOps platform) — near-term growth</t>
        </is>
      </c>
      <c r="B8" t="inlineStr">
        <is>
          <t>B20</t>
        </is>
      </c>
      <c r="C8" s="11">
        <f>Dashboard!B20</f>
        <v/>
      </c>
      <c r="D8" t="inlineStr">
        <is>
          <t>workbook (synced)</t>
        </is>
      </c>
      <c r="E8" t="inlineStr">
        <is>
          <t>—</t>
        </is>
      </c>
      <c r="F8" s="31" t="inlineStr">
        <is>
          <t>no Opus pass — value synced from this workbook</t>
        </is>
      </c>
    </row>
    <row r="9">
      <c r="A9" t="inlineStr">
        <is>
          <t>GitLab (DevSecOps platform) — terminal growth</t>
        </is>
      </c>
      <c r="B9" t="inlineStr">
        <is>
          <t>C20</t>
        </is>
      </c>
      <c r="C9" s="11">
        <f>Dashboard!C20</f>
        <v/>
      </c>
      <c r="D9" t="inlineStr">
        <is>
          <t>workbook (synced)</t>
        </is>
      </c>
      <c r="E9" t="inlineStr">
        <is>
          <t>—</t>
        </is>
      </c>
      <c r="F9" s="31" t="inlineStr">
        <is>
          <t>no Opus pass — value synced from this workbook</t>
        </is>
      </c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workbook (synced)</t>
        </is>
      </c>
      <c r="E10" t="inlineStr">
        <is>
          <t>—</t>
        </is>
      </c>
      <c r="F10" s="31" t="inlineStr">
        <is>
          <t>no Opus pass — value synced from this workbook</t>
        </is>
      </c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workbook (synced)</t>
        </is>
      </c>
      <c r="E11" t="inlineStr">
        <is>
          <t>—</t>
        </is>
      </c>
      <c r="F11" s="31" t="inlineStr">
        <is>
          <t>no Opus pass — value synced from this workbook</t>
        </is>
      </c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workbook (synced)</t>
        </is>
      </c>
      <c r="E12" t="inlineStr">
        <is>
          <t>—</t>
        </is>
      </c>
      <c r="F12" s="31" t="inlineStr">
        <is>
          <t>no Opus pass — value synced from this workbook</t>
        </is>
      </c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workbook (synced)</t>
        </is>
      </c>
      <c r="E13" t="inlineStr">
        <is>
          <t>—</t>
        </is>
      </c>
      <c r="F13" s="31" t="inlineStr">
        <is>
          <t>no Opus pass — value synced from this workbook</t>
        </is>
      </c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workbook (synced)</t>
        </is>
      </c>
      <c r="E14" t="inlineStr">
        <is>
          <t>—</t>
        </is>
      </c>
      <c r="F14" s="31" t="inlineStr">
        <is>
          <t>no Opus pass — value synced from this workbook</t>
        </is>
      </c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workbook (synced)</t>
        </is>
      </c>
      <c r="E15" t="inlineStr">
        <is>
          <t>—</t>
        </is>
      </c>
      <c r="F15" s="31" t="inlineStr">
        <is>
          <t>no Opus pass — value synced from this workbook</t>
        </is>
      </c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workbook (synced)</t>
        </is>
      </c>
      <c r="E16" t="inlineStr">
        <is>
          <t>—</t>
        </is>
      </c>
      <c r="F16" s="31" t="inlineStr">
        <is>
          <t>no Opus pass — value synced from this workbook</t>
        </is>
      </c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workbook (synced)</t>
        </is>
      </c>
      <c r="E17" t="inlineStr">
        <is>
          <t>—</t>
        </is>
      </c>
      <c r="F17" s="31" t="inlineStr">
        <is>
          <t>no Opus pass — value synced from this workbook</t>
        </is>
      </c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workbook (synced)</t>
        </is>
      </c>
      <c r="E18" t="inlineStr">
        <is>
          <t>—</t>
        </is>
      </c>
      <c r="F18" s="31" t="inlineStr">
        <is>
          <t>no Opus pass — value synced from this workbook</t>
        </is>
      </c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workbook (synced)</t>
        </is>
      </c>
      <c r="E19" t="inlineStr">
        <is>
          <t>—</t>
        </is>
      </c>
      <c r="F19" s="31" t="inlineStr">
        <is>
          <t>no Opus pass — value synced from this workbook</t>
        </is>
      </c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Opus</t>
        </is>
      </c>
      <c r="E20" t="inlineStr">
        <is>
          <t>22.0x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workbook (synced)</t>
        </is>
      </c>
      <c r="E21" t="inlineStr">
        <is>
          <t>—</t>
        </is>
      </c>
      <c r="F21" s="31" t="inlineStr">
        <is>
          <t>no Opus pass — value synced from this workbook</t>
        </is>
      </c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workbook (synced)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Dashboard!$B$48*Financials!Y17</f>
        <v/>
      </c>
    </row>
    <row r="11">
      <c r="A11" s="4" t="inlineStr">
        <is>
          <t>Total debt (D)</t>
        </is>
      </c>
      <c r="B11" s="33">
        <f>Financials!Y38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FY2022A</t>
        </is>
      </c>
      <c r="C1" s="39" t="inlineStr">
        <is>
          <t>FY2023A</t>
        </is>
      </c>
      <c r="D1" s="39" t="inlineStr">
        <is>
          <t>FY2024A</t>
        </is>
      </c>
      <c r="E1" s="39" t="inlineStr">
        <is>
          <t>FY2025A</t>
        </is>
      </c>
      <c r="F1" s="39" t="inlineStr">
        <is>
          <t>FY2026A</t>
        </is>
      </c>
      <c r="G1" s="40" t="inlineStr">
        <is>
          <t>FY2027E</t>
        </is>
      </c>
      <c r="H1" s="40" t="inlineStr">
        <is>
          <t>FY2028E</t>
        </is>
      </c>
      <c r="I1" s="40" t="inlineStr">
        <is>
          <t>FY2029E</t>
        </is>
      </c>
      <c r="J1" s="40" t="inlineStr">
        <is>
          <t>FY2030E</t>
        </is>
      </c>
      <c r="K1" s="40" t="inlineStr">
        <is>
          <t>FY2031E</t>
        </is>
      </c>
      <c r="L1" s="40" t="inlineStr">
        <is>
          <t>FY2032E</t>
        </is>
      </c>
      <c r="M1" s="40" t="inlineStr">
        <is>
          <t>FY2033E</t>
        </is>
      </c>
      <c r="N1" s="40" t="inlineStr">
        <is>
          <t>FY2034E</t>
        </is>
      </c>
      <c r="O1" s="40" t="inlineStr">
        <is>
          <t>FY2035E</t>
        </is>
      </c>
      <c r="P1" s="40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GitLab (DevSecOps platform)</t>
        </is>
      </c>
      <c r="B4" s="33">
        <f>SUM(Financials!F19:I19)</f>
        <v/>
      </c>
      <c r="C4" s="33">
        <f>SUM(Financials!J19:M19)</f>
        <v/>
      </c>
      <c r="D4" s="33">
        <f>SUM(Financials!N19:Q19)</f>
        <v/>
      </c>
      <c r="E4" s="33">
        <f>SUM(Financials!R19:U19)</f>
        <v/>
      </c>
      <c r="F4" s="33">
        <f>SUM(Financials!V19:Y19)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SUM(Financials!F5:I5)</f>
        <v/>
      </c>
      <c r="C10" s="33">
        <f>SUM(Financials!J5:M5)</f>
        <v/>
      </c>
      <c r="D10" s="33">
        <f>SUM(Financials!N5:Q5)</f>
        <v/>
      </c>
      <c r="E10" s="33">
        <f>SUM(Financials!R5:U5)</f>
        <v/>
      </c>
      <c r="F10" s="33">
        <f>SUM(Financials!V5:Y5)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0.12624264046967</v>
      </c>
      <c r="H11" s="15" t="n">
        <v>0.12624264046967</v>
      </c>
      <c r="I11" s="15" t="n">
        <v>0.12624264046967</v>
      </c>
      <c r="J11" s="15" t="n">
        <v>0.12624264046967</v>
      </c>
      <c r="K11" s="15" t="n">
        <v>0.12624264046967</v>
      </c>
      <c r="L11" s="15" t="n">
        <v>0.12624264046967</v>
      </c>
      <c r="M11" s="15" t="n">
        <v>0.12624264046967</v>
      </c>
      <c r="N11" s="15" t="n">
        <v>0.12624264046967</v>
      </c>
      <c r="O11" s="15" t="n">
        <v>0.12624264046967</v>
      </c>
      <c r="P11" s="15" t="n">
        <v>0.12624264046967</v>
      </c>
    </row>
    <row r="12">
      <c r="A12" s="4" t="inlineStr">
        <is>
          <t>R&amp;D / Technology</t>
        </is>
      </c>
      <c r="B12" s="33">
        <f>SUM(Financials!F7:I7)</f>
        <v/>
      </c>
      <c r="C12" s="33">
        <f>SUM(Financials!J7:M7)</f>
        <v/>
      </c>
      <c r="D12" s="33">
        <f>SUM(Financials!N7:Q7)</f>
        <v/>
      </c>
      <c r="E12" s="33">
        <f>SUM(Financials!R7:U7)</f>
        <v/>
      </c>
      <c r="F12" s="33">
        <f>SUM(Financials!V7:Y7)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0.2874446203194225</v>
      </c>
      <c r="H13" s="15" t="n">
        <v>0.2874446203194225</v>
      </c>
      <c r="I13" s="15" t="n">
        <v>0.2874446203194225</v>
      </c>
      <c r="J13" s="15" t="n">
        <v>0.2874446203194225</v>
      </c>
      <c r="K13" s="15" t="n">
        <v>0.2874446203194225</v>
      </c>
      <c r="L13" s="15" t="n">
        <v>0.2874446203194225</v>
      </c>
      <c r="M13" s="15" t="n">
        <v>0.2874446203194225</v>
      </c>
      <c r="N13" s="15" t="n">
        <v>0.2874446203194225</v>
      </c>
      <c r="O13" s="15" t="n">
        <v>0.2874446203194225</v>
      </c>
      <c r="P13" s="15" t="n">
        <v>0.2874446203194225</v>
      </c>
    </row>
    <row r="14">
      <c r="A14" s="4" t="inlineStr">
        <is>
          <t>SG&amp;A</t>
        </is>
      </c>
      <c r="B14" s="33">
        <f>SUM(Financials!F9:I9)</f>
        <v/>
      </c>
      <c r="C14" s="33">
        <f>SUM(Financials!J9:M9)</f>
        <v/>
      </c>
      <c r="D14" s="33">
        <f>SUM(Financials!N9:Q9)</f>
        <v/>
      </c>
      <c r="E14" s="33">
        <f>SUM(Financials!R9:U9)</f>
        <v/>
      </c>
      <c r="F14" s="33">
        <f>SUM(Financials!V9:Y9)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0.6582288552213931</v>
      </c>
      <c r="H15" s="15" t="n">
        <v>0.6582288552213931</v>
      </c>
      <c r="I15" s="15" t="n">
        <v>0.6582288552213931</v>
      </c>
      <c r="J15" s="15" t="n">
        <v>0.6582288552213931</v>
      </c>
      <c r="K15" s="15" t="n">
        <v>0.6582288552213931</v>
      </c>
      <c r="L15" s="15" t="n">
        <v>0.6582288552213931</v>
      </c>
      <c r="M15" s="15" t="n">
        <v>0.6582288552213931</v>
      </c>
      <c r="N15" s="15" t="n">
        <v>0.6582288552213931</v>
      </c>
      <c r="O15" s="15" t="n">
        <v>0.6582288552213931</v>
      </c>
      <c r="P15" s="15" t="n">
        <v>0.6582288552213931</v>
      </c>
    </row>
    <row r="16">
      <c r="A16" s="4" t="inlineStr">
        <is>
          <t>Other opex (fulfilment, etc.)</t>
        </is>
      </c>
      <c r="B16" s="33">
        <f>B6-(B10+B12+B14)-SUM(Financials!F13:I13)</f>
        <v/>
      </c>
      <c r="C16" s="33">
        <f>C6-(C10+C12+C14)-SUM(Financials!J13:M13)</f>
        <v/>
      </c>
      <c r="D16" s="33">
        <f>D6-(D10+D12+D14)-SUM(Financials!N13:Q13)</f>
        <v/>
      </c>
      <c r="E16" s="33">
        <f>E6-(E10+E12+E14)-SUM(Financials!R13:U13)</f>
        <v/>
      </c>
      <c r="F16" s="33">
        <f>F6-(F10+F12+F14)-SUM(Financials!V13:Y13)</f>
        <v/>
      </c>
      <c r="G16" s="33">
        <f>G6*(1-(Dashboard!$B$29+(Dashboard!$B$30-Dashboard!$B$29)*MIN(1,0/4)))-(G10+G12+G14)</f>
        <v/>
      </c>
      <c r="H16" s="33">
        <f>H6*(1-(Dashboard!$B$29+(Dashboard!$B$30-Dashboard!$B$29)*MIN(1,1/4)))-(H10+H12+H14)</f>
        <v/>
      </c>
      <c r="I16" s="33">
        <f>I6*(1-(Dashboard!$B$29+(Dashboard!$B$30-Dashboard!$B$29)*MIN(1,2/4)))-(I10+I12+I14)</f>
        <v/>
      </c>
      <c r="J16" s="33">
        <f>J6*(1-(Dashboard!$B$29+(Dashboard!$B$30-Dashboard!$B$29)*MIN(1,3/4)))-(J10+J12+J14)</f>
        <v/>
      </c>
      <c r="K16" s="33">
        <f>K6*(1-(Dashboard!$B$29+(Dashboard!$B$30-Dashboard!$B$29)*MIN(1,4/4)))-(K10+K12+K14)</f>
        <v/>
      </c>
      <c r="L16" s="33">
        <f>L6*(1-(Dashboard!$B$29+(Dashboard!$B$30-Dashboard!$B$29)*MIN(1,5/4)))-(L10+L12+L14)</f>
        <v/>
      </c>
      <c r="M16" s="33">
        <f>M6*(1-(Dashboard!$B$29+(Dashboard!$B$30-Dashboard!$B$29)*MIN(1,6/4)))-(M10+M12+M14)</f>
        <v/>
      </c>
      <c r="N16" s="33">
        <f>N6*(1-(Dashboard!$B$29+(Dashboard!$B$30-Dashboard!$B$29)*MIN(1,7/4)))-(N10+N12+N14)</f>
        <v/>
      </c>
      <c r="O16" s="33">
        <f>O6*(1-(Dashboard!$B$29+(Dashboard!$B$30-Dashboard!$B$29)*MIN(1,8/4)))-(O10+O12+O14)</f>
        <v/>
      </c>
      <c r="P16" s="33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SUM(Financials!F41:I41)</f>
        <v/>
      </c>
      <c r="C24" s="33">
        <f>SUM(Financials!J41:M41)</f>
        <v/>
      </c>
      <c r="D24" s="33">
        <f>SUM(Financials!N41:Q41)</f>
        <v/>
      </c>
      <c r="E24" s="33">
        <f>SUM(Financials!R41:U41)</f>
        <v/>
      </c>
      <c r="F24" s="33">
        <f>SUM(Financials!V41:Y41)</f>
        <v/>
      </c>
      <c r="G24" s="41">
        <f>G6*0.0098</f>
        <v/>
      </c>
      <c r="H24" s="41">
        <f>H6*0.0098</f>
        <v/>
      </c>
      <c r="I24" s="41">
        <f>I6*0.0098</f>
        <v/>
      </c>
      <c r="J24" s="41">
        <f>J6*0.0098</f>
        <v/>
      </c>
      <c r="K24" s="41">
        <f>K6*0.0098</f>
        <v/>
      </c>
      <c r="L24" s="41">
        <f>L6*0.0098</f>
        <v/>
      </c>
      <c r="M24" s="41">
        <f>M6*0.0098</f>
        <v/>
      </c>
      <c r="N24" s="41">
        <f>N6*0.0098</f>
        <v/>
      </c>
      <c r="O24" s="41">
        <f>O6*0.0098</f>
        <v/>
      </c>
      <c r="P24" s="41">
        <f>P6*0.0098</f>
        <v/>
      </c>
    </row>
    <row r="25">
      <c r="A25" s="4" t="inlineStr">
        <is>
          <t>+ SBC (non-cash)</t>
        </is>
      </c>
      <c r="B25" s="33">
        <f>SUM(Financials!F42:I42)</f>
        <v/>
      </c>
      <c r="C25" s="33">
        <f>SUM(Financials!J42:M42)</f>
        <v/>
      </c>
      <c r="D25" s="33">
        <f>SUM(Financials!N42:Q42)</f>
        <v/>
      </c>
      <c r="E25" s="33">
        <f>SUM(Financials!R42:U42)</f>
        <v/>
      </c>
      <c r="F25" s="33">
        <f>SUM(Financials!V42:Y42)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-SUM(Financials!F45:I45)</f>
        <v/>
      </c>
      <c r="C27" s="33">
        <f>-SUM(Financials!J45:M45)</f>
        <v/>
      </c>
      <c r="D27" s="33">
        <f>-SUM(Financials!N45:Q45)</f>
        <v/>
      </c>
      <c r="E27" s="33">
        <f>-SUM(Financials!R45:U45)</f>
        <v/>
      </c>
      <c r="F27" s="33">
        <f>-SUM(Financials!V45:Y45)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Financials!I39+Financials!I38-Financials!I33</f>
        <v/>
      </c>
      <c r="C34" s="33">
        <f>Financials!M39+Financials!M38-Financials!M33</f>
        <v/>
      </c>
      <c r="D34" s="33">
        <f>Financials!Q39+Financials!Q38-Financials!Q33</f>
        <v/>
      </c>
      <c r="E34" s="33">
        <f>Financials!U39+Financials!U38-Financials!U33</f>
        <v/>
      </c>
      <c r="F34" s="33">
        <f>Financials!Y39+Financials!Y38-Financials!Y33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Financials!I39</f>
        <v/>
      </c>
      <c r="C35" s="33">
        <f>Financials!M39</f>
        <v/>
      </c>
      <c r="D35" s="33">
        <f>Financials!Q39</f>
        <v/>
      </c>
      <c r="E35" s="33">
        <f>Financials!U39</f>
        <v/>
      </c>
      <c r="F35" s="33">
        <f>Financials!Y39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IFERROR(SUM(Financials!J15:M15)/B35,"")</f>
        <v/>
      </c>
      <c r="D37" s="11">
        <f>IFERROR(SUM(Financials!N15:Q15)/C35,"")</f>
        <v/>
      </c>
      <c r="E37" s="11">
        <f>IFERROR(SUM(Financials!R15:U15)/D35,"")</f>
        <v/>
      </c>
      <c r="F37" s="11">
        <f>IFERROR(SUM(Financials!V15:Y15)/E35,"")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3" t="inlineStr">
        <is>
          <t>Line Item ($M)</t>
        </is>
      </c>
      <c r="B1" s="45" t="inlineStr">
        <is>
          <t>Q1 2021</t>
        </is>
      </c>
      <c r="C1" s="45" t="inlineStr">
        <is>
          <t>Q2 2021</t>
        </is>
      </c>
      <c r="D1" s="45" t="inlineStr">
        <is>
          <t>Q3 2021</t>
        </is>
      </c>
      <c r="E1" s="45" t="inlineStr">
        <is>
          <t>Q4 2021</t>
        </is>
      </c>
      <c r="F1" s="45" t="inlineStr">
        <is>
          <t>Q1 2022</t>
        </is>
      </c>
      <c r="G1" s="45" t="inlineStr">
        <is>
          <t>Q2 2022</t>
        </is>
      </c>
      <c r="H1" s="45" t="inlineStr">
        <is>
          <t>Q3 2022</t>
        </is>
      </c>
      <c r="I1" s="45" t="inlineStr">
        <is>
          <t>Q4 2022</t>
        </is>
      </c>
      <c r="J1" s="45" t="inlineStr">
        <is>
          <t>Q1 2023</t>
        </is>
      </c>
      <c r="K1" s="45" t="inlineStr">
        <is>
          <t>Q2 2023</t>
        </is>
      </c>
      <c r="L1" s="45" t="inlineStr">
        <is>
          <t>Q3 2023</t>
        </is>
      </c>
      <c r="M1" s="45" t="inlineStr">
        <is>
          <t>Q4 2023</t>
        </is>
      </c>
      <c r="N1" s="45" t="inlineStr">
        <is>
          <t>Q1 2024</t>
        </is>
      </c>
      <c r="O1" s="45" t="inlineStr">
        <is>
          <t>Q2 2024</t>
        </is>
      </c>
      <c r="P1" s="45" t="inlineStr">
        <is>
          <t>Q3 2024</t>
        </is>
      </c>
      <c r="Q1" s="45" t="inlineStr">
        <is>
          <t>Q4 2024</t>
        </is>
      </c>
      <c r="R1" s="45" t="inlineStr">
        <is>
          <t>Q1 2025</t>
        </is>
      </c>
      <c r="S1" s="45" t="inlineStr">
        <is>
          <t>Q2 2025</t>
        </is>
      </c>
      <c r="T1" s="45" t="inlineStr">
        <is>
          <t>Q3 2025</t>
        </is>
      </c>
      <c r="U1" s="45" t="inlineStr">
        <is>
          <t>Q4 2025</t>
        </is>
      </c>
      <c r="V1" s="45" t="inlineStr">
        <is>
          <t>Q1 2026</t>
        </is>
      </c>
      <c r="W1" s="45" t="inlineStr">
        <is>
          <t>Q2 2026</t>
        </is>
      </c>
      <c r="X1" s="45" t="inlineStr">
        <is>
          <t>Q3 2026</t>
        </is>
      </c>
      <c r="Y1" s="45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</row>
    <row r="3">
      <c r="A3" s="4" t="inlineStr">
        <is>
          <t>Revenue</t>
        </is>
      </c>
      <c r="B3" s="18" t="n">
        <v>29.515</v>
      </c>
      <c r="C3" s="18" t="n">
        <v>34.362</v>
      </c>
      <c r="D3" s="18" t="n">
        <v>42.152</v>
      </c>
      <c r="E3" s="18" t="n">
        <v>46.147</v>
      </c>
      <c r="F3" s="18" t="n">
        <v>49.93</v>
      </c>
      <c r="G3" s="18" t="n">
        <v>58.127</v>
      </c>
      <c r="H3" s="18" t="n">
        <v>66.8</v>
      </c>
      <c r="I3" s="18" t="n">
        <v>77.79600000000001</v>
      </c>
      <c r="J3" s="18" t="n">
        <v>87.407</v>
      </c>
      <c r="K3" s="18" t="n">
        <v>101.041</v>
      </c>
      <c r="L3" s="18" t="n">
        <v>112.981</v>
      </c>
      <c r="M3" s="18" t="n">
        <v>122.907</v>
      </c>
      <c r="N3" s="18" t="n">
        <v>126.878</v>
      </c>
      <c r="O3" s="18" t="n">
        <v>139.581</v>
      </c>
      <c r="P3" s="18" t="n">
        <v>149.668</v>
      </c>
      <c r="Q3" s="18" t="n">
        <v>163.779</v>
      </c>
      <c r="R3" s="18" t="n">
        <v>169.187</v>
      </c>
      <c r="S3" s="18" t="n">
        <v>182.584</v>
      </c>
      <c r="T3" s="18" t="n">
        <v>196.047</v>
      </c>
      <c r="U3" s="18" t="n">
        <v>211.431</v>
      </c>
      <c r="V3" s="18" t="n">
        <v>214.509</v>
      </c>
      <c r="W3" s="18" t="n">
        <v>235.96</v>
      </c>
      <c r="X3" s="18" t="n">
        <v>244.353</v>
      </c>
      <c r="Y3" s="18" t="n">
        <v>260.402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</row>
    <row r="5">
      <c r="A5" s="4" t="inlineStr">
        <is>
          <t>Cost of Revenue</t>
        </is>
      </c>
      <c r="B5" s="18" t="n">
        <v>3.789</v>
      </c>
      <c r="C5" s="18" t="n">
        <v>3.812</v>
      </c>
      <c r="D5" s="18" t="n">
        <v>4.637</v>
      </c>
      <c r="E5" s="18" t="n">
        <v>6.225</v>
      </c>
      <c r="F5" s="18" t="n">
        <v>6.425</v>
      </c>
      <c r="G5" s="18" t="n">
        <v>7.192</v>
      </c>
      <c r="H5" s="18" t="n">
        <v>7.195</v>
      </c>
      <c r="I5" s="18" t="n">
        <v>9.173</v>
      </c>
      <c r="J5" s="18" t="n">
        <v>9.848000000000001</v>
      </c>
      <c r="K5" s="18" t="n">
        <v>13.03</v>
      </c>
      <c r="L5" s="18" t="n">
        <v>14.564</v>
      </c>
      <c r="M5" s="18" t="n">
        <v>14.238</v>
      </c>
      <c r="N5" s="18" t="n">
        <v>13.939</v>
      </c>
      <c r="O5" s="18" t="n">
        <v>14.696</v>
      </c>
      <c r="P5" s="18" t="n">
        <v>15.084</v>
      </c>
      <c r="Q5" s="18" t="n">
        <v>15.989</v>
      </c>
      <c r="R5" s="18" t="n">
        <v>18.776</v>
      </c>
      <c r="S5" s="18" t="n">
        <v>21.37</v>
      </c>
      <c r="T5" s="18" t="n">
        <v>22.125</v>
      </c>
      <c r="U5" s="18" t="n">
        <v>22.869</v>
      </c>
      <c r="V5" s="18" t="n">
        <v>25.035</v>
      </c>
      <c r="W5" s="18" t="n">
        <v>28.505</v>
      </c>
      <c r="X5" s="18" t="n">
        <v>32.221</v>
      </c>
      <c r="Y5" s="18" t="n">
        <v>34.829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</row>
    <row r="7">
      <c r="A7" s="4" t="inlineStr">
        <is>
          <t>R&amp;D Expense</t>
        </is>
      </c>
      <c r="B7" s="18" t="n">
        <v>19.103</v>
      </c>
      <c r="C7" s="18" t="n">
        <v>19.797</v>
      </c>
      <c r="D7" s="18" t="n">
        <v>19.042</v>
      </c>
      <c r="E7" s="18" t="n">
        <v>48.701</v>
      </c>
      <c r="F7" s="18" t="n">
        <v>21.34</v>
      </c>
      <c r="G7" s="18" t="n">
        <v>22.603</v>
      </c>
      <c r="H7" s="18" t="n">
        <v>24.664</v>
      </c>
      <c r="I7" s="18" t="n">
        <v>28.61</v>
      </c>
      <c r="J7" s="18" t="n">
        <v>31.83</v>
      </c>
      <c r="K7" s="18" t="n">
        <v>39.52</v>
      </c>
      <c r="L7" s="18" t="n">
        <v>41.113</v>
      </c>
      <c r="M7" s="18" t="n">
        <v>43.68</v>
      </c>
      <c r="N7" s="18" t="n">
        <v>48.328</v>
      </c>
      <c r="O7" s="18" t="n">
        <v>49.019</v>
      </c>
      <c r="P7" s="18" t="n">
        <v>48.986</v>
      </c>
      <c r="Q7" s="18" t="n">
        <v>52.388</v>
      </c>
      <c r="R7" s="18" t="n">
        <v>54.14</v>
      </c>
      <c r="S7" s="18" t="n">
        <v>60.88</v>
      </c>
      <c r="T7" s="18" t="n">
        <v>61.354</v>
      </c>
      <c r="U7" s="18" t="n">
        <v>62.885</v>
      </c>
      <c r="V7" s="18" t="n">
        <v>65.41</v>
      </c>
      <c r="W7" s="18" t="n">
        <v>71.488</v>
      </c>
      <c r="X7" s="18" t="n">
        <v>68.715</v>
      </c>
      <c r="Y7" s="18" t="n">
        <v>68.961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</row>
    <row r="9">
      <c r="A9" s="4" t="inlineStr">
        <is>
          <t>SG&amp;A Expense</t>
        </is>
      </c>
      <c r="B9" s="18" t="n">
        <v>38.705</v>
      </c>
      <c r="C9" s="18" t="n">
        <v>39.645</v>
      </c>
      <c r="D9" s="18" t="n">
        <v>42.927</v>
      </c>
      <c r="E9" s="18" t="n">
        <v>119.677</v>
      </c>
      <c r="F9" s="18" t="n">
        <v>48.193</v>
      </c>
      <c r="G9" s="18" t="n">
        <v>58.163</v>
      </c>
      <c r="H9" s="18" t="n">
        <v>67.482</v>
      </c>
      <c r="I9" s="18" t="n">
        <v>80.56999999999999</v>
      </c>
      <c r="J9" s="18" t="n">
        <v>88.602</v>
      </c>
      <c r="K9" s="18" t="n">
        <v>113.793</v>
      </c>
      <c r="L9" s="18" t="n">
        <v>112.166</v>
      </c>
      <c r="M9" s="18" t="n">
        <v>112.911</v>
      </c>
      <c r="N9" s="18" t="n">
        <v>115.608</v>
      </c>
      <c r="O9" s="18" t="n">
        <v>129.797</v>
      </c>
      <c r="P9" s="18" t="n">
        <v>125.851</v>
      </c>
      <c r="Q9" s="18" t="n">
        <v>128.378999</v>
      </c>
      <c r="R9" s="18" t="n">
        <v>149.911</v>
      </c>
      <c r="S9" s="18" t="n">
        <v>140.946</v>
      </c>
      <c r="T9" s="18" t="n">
        <v>141.181</v>
      </c>
      <c r="U9" s="18" t="n">
        <v>145.015</v>
      </c>
      <c r="V9" s="18" t="n">
        <v>158.674</v>
      </c>
      <c r="W9" s="18" t="n">
        <v>154.318</v>
      </c>
      <c r="X9" s="18" t="n">
        <v>155.773</v>
      </c>
      <c r="Y9" s="18" t="n">
        <v>159.991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</row>
    <row r="11">
      <c r="A11" s="4" t="inlineStr">
        <is>
          <t>Gross Profit</t>
        </is>
      </c>
      <c r="B11" s="18" t="n">
        <v>25.726</v>
      </c>
      <c r="C11" s="18" t="n">
        <v>30.55</v>
      </c>
      <c r="D11" s="18" t="n">
        <v>37.515</v>
      </c>
      <c r="E11" s="18" t="n">
        <v>39.922</v>
      </c>
      <c r="F11" s="18" t="n">
        <v>43.505</v>
      </c>
      <c r="G11" s="18" t="n">
        <v>50.935</v>
      </c>
      <c r="H11" s="18" t="n">
        <v>59.605</v>
      </c>
      <c r="I11" s="18" t="n">
        <v>68.623</v>
      </c>
      <c r="J11" s="18" t="n">
        <v>77.559</v>
      </c>
      <c r="K11" s="18" t="n">
        <v>88.011</v>
      </c>
      <c r="L11" s="18" t="n">
        <v>98.417</v>
      </c>
      <c r="M11" s="18" t="n">
        <v>108.669</v>
      </c>
      <c r="N11" s="18" t="n">
        <v>112.939</v>
      </c>
      <c r="O11" s="18" t="n">
        <v>124.885</v>
      </c>
      <c r="P11" s="18" t="n">
        <v>134.584</v>
      </c>
      <c r="Q11" s="18" t="n">
        <v>147.79</v>
      </c>
      <c r="R11" s="18" t="n">
        <v>150.411</v>
      </c>
      <c r="S11" s="18" t="n">
        <v>161.214</v>
      </c>
      <c r="T11" s="18" t="n">
        <v>173.922</v>
      </c>
      <c r="U11" s="18" t="n">
        <v>188.562</v>
      </c>
      <c r="V11" s="18" t="n">
        <v>189.474</v>
      </c>
      <c r="W11" s="18" t="n">
        <v>207.455</v>
      </c>
      <c r="X11" s="18" t="n">
        <v>212.132</v>
      </c>
      <c r="Y11" s="18" t="n">
        <v>225.573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</row>
    <row r="13">
      <c r="A13" s="4" t="inlineStr">
        <is>
          <t>Operating Income</t>
        </is>
      </c>
      <c r="B13" s="18" t="n">
        <v>-32.082</v>
      </c>
      <c r="C13" s="18" t="n">
        <v>-28.892</v>
      </c>
      <c r="D13" s="18" t="n">
        <v>-24.454</v>
      </c>
      <c r="E13" s="18" t="n">
        <v>-128.456</v>
      </c>
      <c r="F13" s="18" t="n">
        <v>-26.028</v>
      </c>
      <c r="G13" s="18" t="n">
        <v>-29.831</v>
      </c>
      <c r="H13" s="18" t="n">
        <v>-32.541</v>
      </c>
      <c r="I13" s="18" t="n">
        <v>-40.057</v>
      </c>
      <c r="J13" s="18" t="n">
        <v>-42.873</v>
      </c>
      <c r="K13" s="18" t="n">
        <v>-65.30200000000001</v>
      </c>
      <c r="L13" s="18" t="n">
        <v>-54.862</v>
      </c>
      <c r="M13" s="18" t="n">
        <v>-47.996</v>
      </c>
      <c r="N13" s="18" t="n">
        <v>-50.58</v>
      </c>
      <c r="O13" s="18" t="n">
        <v>-54.057</v>
      </c>
      <c r="P13" s="18" t="n">
        <v>-40.253</v>
      </c>
      <c r="Q13" s="18" t="n">
        <v>-32.976999</v>
      </c>
      <c r="R13" s="18" t="n">
        <v>-53.64</v>
      </c>
      <c r="S13" s="18" t="n">
        <v>-41.005</v>
      </c>
      <c r="T13" s="18" t="n">
        <v>-28.732</v>
      </c>
      <c r="U13" s="18" t="n">
        <v>-19.338</v>
      </c>
      <c r="V13" s="18" t="n">
        <v>-34.61</v>
      </c>
      <c r="W13" s="18" t="n">
        <v>-18.351</v>
      </c>
      <c r="X13" s="18" t="n">
        <v>-12.356</v>
      </c>
      <c r="Y13" s="18" t="n">
        <v>-3.379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</row>
    <row r="15">
      <c r="A15" s="4" t="inlineStr">
        <is>
          <t>Net Income</t>
        </is>
      </c>
      <c r="B15" s="18" t="n">
        <v>-34.157</v>
      </c>
      <c r="C15" s="18" t="n">
        <v>-9.391</v>
      </c>
      <c r="D15" s="18" t="n">
        <v>-28.608</v>
      </c>
      <c r="E15" s="18" t="n">
        <v>-120.038</v>
      </c>
      <c r="F15" s="18" t="n">
        <v>-27.937</v>
      </c>
      <c r="G15" s="18" t="n">
        <v>-40.189</v>
      </c>
      <c r="H15" s="18" t="n">
        <v>-41.227</v>
      </c>
      <c r="I15" s="18" t="n">
        <v>-45.785</v>
      </c>
      <c r="J15" s="18" t="n">
        <v>-26.099</v>
      </c>
      <c r="K15" s="18" t="n">
        <v>-59.024</v>
      </c>
      <c r="L15" s="18" t="n">
        <v>-48.455</v>
      </c>
      <c r="M15" s="18" t="n">
        <v>-38.733</v>
      </c>
      <c r="N15" s="18" t="n">
        <v>-52.469</v>
      </c>
      <c r="O15" s="18" t="n">
        <v>-50.08</v>
      </c>
      <c r="P15" s="18" t="n">
        <v>-285.158</v>
      </c>
      <c r="Q15" s="18" t="n">
        <v>-36.868</v>
      </c>
      <c r="R15" s="18" t="n">
        <v>-55.233</v>
      </c>
      <c r="S15" s="18" t="n">
        <v>12.949</v>
      </c>
      <c r="T15" s="18" t="n">
        <v>29.565</v>
      </c>
      <c r="U15" s="18" t="n">
        <v>5.804</v>
      </c>
      <c r="V15" s="18" t="n">
        <v>-35.875</v>
      </c>
      <c r="W15" s="18" t="n">
        <v>-9.208</v>
      </c>
      <c r="X15" s="18" t="n">
        <v>-8.276</v>
      </c>
      <c r="Y15" s="18" t="n">
        <v>-2.6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</row>
    <row r="17">
      <c r="A17" s="4" t="inlineStr">
        <is>
          <t>Diluted Shares (M)</t>
        </is>
      </c>
      <c r="B17" s="18" t="n">
        <v>132.492</v>
      </c>
      <c r="C17" s="18" t="n">
        <v>132.492</v>
      </c>
      <c r="D17" s="18" t="n">
        <v>132.492</v>
      </c>
      <c r="E17" s="18" t="n">
        <v>132.492</v>
      </c>
      <c r="F17" s="18" t="n">
        <v>132.492</v>
      </c>
      <c r="G17" s="18" t="n">
        <v>143.015</v>
      </c>
      <c r="H17" s="18" t="n">
        <v>144.546</v>
      </c>
      <c r="I17" s="18" t="n">
        <v>144.929</v>
      </c>
      <c r="J17" s="18" t="n">
        <v>146.643</v>
      </c>
      <c r="K17" s="18" t="n">
        <v>147.797</v>
      </c>
      <c r="L17" s="18" t="n">
        <v>148.883</v>
      </c>
      <c r="M17" s="18" t="n">
        <v>150.133</v>
      </c>
      <c r="N17" s="18" t="n">
        <v>151.692</v>
      </c>
      <c r="O17" s="18" t="n">
        <v>153.644</v>
      </c>
      <c r="P17" s="18" t="n">
        <v>155.123</v>
      </c>
      <c r="Q17" s="18" t="n">
        <v>156.601</v>
      </c>
      <c r="R17" s="18" t="n">
        <v>158.157</v>
      </c>
      <c r="S17" s="18" t="n">
        <v>166.346</v>
      </c>
      <c r="T17" s="18" t="n">
        <v>164.25</v>
      </c>
      <c r="U17" s="18" t="n">
        <v>170.094</v>
      </c>
      <c r="V17" s="18" t="n">
        <v>164.491</v>
      </c>
      <c r="W17" s="18" t="n">
        <v>165.953</v>
      </c>
      <c r="X17" s="18" t="n">
        <v>165.965</v>
      </c>
      <c r="Y17" s="18" t="n">
        <v>165.8</v>
      </c>
    </row>
    <row r="18">
      <c r="A18" s="5" t="inlineStr">
        <is>
          <t xml:space="preserve">  REVENUE BY SEGMENT — ANALYST-DEFINED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</row>
    <row r="19">
      <c r="A19" s="4" t="inlineStr">
        <is>
          <t>GitLab (DevSecOps platform)</t>
        </is>
      </c>
      <c r="B19" s="18" t="n">
        <v>29.515</v>
      </c>
      <c r="C19" s="18" t="n">
        <v>34.362</v>
      </c>
      <c r="D19" s="18" t="n">
        <v>42.152</v>
      </c>
      <c r="E19" s="18" t="n">
        <v>46.147</v>
      </c>
      <c r="F19" s="18" t="n">
        <v>49.93</v>
      </c>
      <c r="G19" s="18" t="n">
        <v>58.127</v>
      </c>
      <c r="H19" s="18" t="n">
        <v>66.8</v>
      </c>
      <c r="I19" s="18" t="n">
        <v>77.79600000000001</v>
      </c>
      <c r="J19" s="18" t="n">
        <v>87.407</v>
      </c>
      <c r="K19" s="18" t="n">
        <v>101.041</v>
      </c>
      <c r="L19" s="18" t="n">
        <v>112.981</v>
      </c>
      <c r="M19" s="18" t="n">
        <v>122.907</v>
      </c>
      <c r="N19" s="18" t="n">
        <v>126.878</v>
      </c>
      <c r="O19" s="18" t="n">
        <v>139.581</v>
      </c>
      <c r="P19" s="18" t="n">
        <v>149.668</v>
      </c>
      <c r="Q19" s="18" t="n">
        <v>163.779</v>
      </c>
      <c r="R19" s="18" t="n">
        <v>169.187</v>
      </c>
      <c r="S19" s="18" t="n">
        <v>182.584</v>
      </c>
      <c r="T19" s="18" t="n">
        <v>196.047</v>
      </c>
      <c r="U19" s="18" t="n">
        <v>211.431</v>
      </c>
      <c r="V19" s="18" t="n">
        <v>214.509</v>
      </c>
      <c r="W19" s="18" t="n">
        <v>235.96</v>
      </c>
      <c r="X19" s="18" t="n">
        <v>244.353</v>
      </c>
      <c r="Y19" s="18" t="n">
        <v>260.402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</row>
    <row r="22">
      <c r="A22" s="5" t="inlineStr">
        <is>
          <t xml:space="preserve">  REVENUE BY SEGMENT — GEOGRAPHY (% YoY, % of revenue)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</row>
    <row r="23">
      <c r="A23" s="4" t="inlineStr">
        <is>
          <t>UNITED STATES</t>
        </is>
      </c>
      <c r="H23" s="18" t="n">
        <v>56.706</v>
      </c>
      <c r="I23" s="18" t="n">
        <v>64.294</v>
      </c>
      <c r="J23" s="18" t="n">
        <v>72.274</v>
      </c>
      <c r="K23" s="18" t="n">
        <v>84.123</v>
      </c>
      <c r="L23" s="18" t="n">
        <v>94.94199999999999</v>
      </c>
      <c r="M23" s="18" t="n">
        <v>101.636</v>
      </c>
      <c r="N23" s="18" t="n">
        <v>102.962</v>
      </c>
      <c r="O23" s="18" t="n">
        <v>114.054</v>
      </c>
      <c r="P23" s="18" t="n">
        <v>122.415</v>
      </c>
      <c r="Q23" s="18" t="n">
        <v>133.59</v>
      </c>
      <c r="R23" s="18" t="n">
        <v>137.526</v>
      </c>
      <c r="S23" s="18" t="n">
        <v>149.357</v>
      </c>
      <c r="T23" s="18" t="n">
        <v>159.013</v>
      </c>
      <c r="U23" s="18" t="n">
        <v>172.762</v>
      </c>
      <c r="V23" s="18" t="n">
        <v>176.886</v>
      </c>
      <c r="W23" s="18" t="n">
        <v>194.584</v>
      </c>
      <c r="X23" s="18" t="n">
        <v>201.391</v>
      </c>
      <c r="Y23" s="18" t="n">
        <v>214.487</v>
      </c>
    </row>
    <row r="24">
      <c r="A24" s="4" t="inlineStr">
        <is>
          <t xml:space="preserve">    % YoY</t>
        </is>
      </c>
      <c r="F24" s="25">
        <f>IFERROR(F23/B23-1,"")</f>
        <v/>
      </c>
      <c r="G24" s="25">
        <f>IFERROR(G23/C23-1,"")</f>
        <v/>
      </c>
      <c r="H24" s="25">
        <f>IFERROR(H23/D23-1,"")</f>
        <v/>
      </c>
      <c r="I24" s="25">
        <f>IFERROR(I23/E23-1,"")</f>
        <v/>
      </c>
      <c r="J24" s="25">
        <f>IFERROR(J23/F23-1,"")</f>
        <v/>
      </c>
      <c r="K24" s="25">
        <f>IFERROR(K23/G23-1,"")</f>
        <v/>
      </c>
      <c r="L24" s="25">
        <f>IFERROR(L23/H23-1,"")</f>
        <v/>
      </c>
      <c r="M24" s="25">
        <f>IFERROR(M23/I23-1,"")</f>
        <v/>
      </c>
      <c r="N24" s="25">
        <f>IFERROR(N23/J23-1,"")</f>
        <v/>
      </c>
      <c r="O24" s="25">
        <f>IFERROR(O23/K23-1,"")</f>
        <v/>
      </c>
      <c r="P24" s="25">
        <f>IFERROR(P23/L23-1,"")</f>
        <v/>
      </c>
      <c r="Q24" s="25">
        <f>IFERROR(Q23/M23-1,"")</f>
        <v/>
      </c>
      <c r="R24" s="25">
        <f>IFERROR(R23/N23-1,"")</f>
        <v/>
      </c>
      <c r="S24" s="25">
        <f>IFERROR(S23/O23-1,"")</f>
        <v/>
      </c>
      <c r="T24" s="25">
        <f>IFERROR(T23/P23-1,"")</f>
        <v/>
      </c>
      <c r="U24" s="25">
        <f>IFERROR(U23/Q23-1,"")</f>
        <v/>
      </c>
      <c r="V24" s="25">
        <f>IFERROR(V23/R23-1,"")</f>
        <v/>
      </c>
      <c r="W24" s="25">
        <f>IFERROR(W23/S23-1,"")</f>
        <v/>
      </c>
      <c r="X24" s="25">
        <f>IFERROR(X23/T23-1,"")</f>
        <v/>
      </c>
      <c r="Y24" s="25">
        <f>IFERROR(Y23/U23-1,"")</f>
        <v/>
      </c>
    </row>
    <row r="25">
      <c r="A25" s="4" t="inlineStr">
        <is>
          <t xml:space="preserve">    % of revenue</t>
        </is>
      </c>
      <c r="B25" s="25">
        <f>IFERROR(B23/B3,"")</f>
        <v/>
      </c>
      <c r="C25" s="25">
        <f>IFERROR(C23/C3,"")</f>
        <v/>
      </c>
      <c r="D25" s="25">
        <f>IFERROR(D23/D3,"")</f>
        <v/>
      </c>
      <c r="E25" s="25">
        <f>IFERROR(E23/E3,"")</f>
        <v/>
      </c>
      <c r="F25" s="25">
        <f>IFERROR(F23/F3,"")</f>
        <v/>
      </c>
      <c r="G25" s="25">
        <f>IFERROR(G23/G3,"")</f>
        <v/>
      </c>
      <c r="H25" s="25">
        <f>IFERROR(H23/H3,"")</f>
        <v/>
      </c>
      <c r="I25" s="25">
        <f>IFERROR(I23/I3,"")</f>
        <v/>
      </c>
      <c r="J25" s="25">
        <f>IFERROR(J23/J3,"")</f>
        <v/>
      </c>
      <c r="K25" s="25">
        <f>IFERROR(K23/K3,"")</f>
        <v/>
      </c>
      <c r="L25" s="25">
        <f>IFERROR(L23/L3,"")</f>
        <v/>
      </c>
      <c r="M25" s="25">
        <f>IFERROR(M23/M3,"")</f>
        <v/>
      </c>
      <c r="N25" s="25">
        <f>IFERROR(N23/N3,"")</f>
        <v/>
      </c>
      <c r="O25" s="25">
        <f>IFERROR(O23/O3,"")</f>
        <v/>
      </c>
      <c r="P25" s="25">
        <f>IFERROR(P23/P3,"")</f>
        <v/>
      </c>
      <c r="Q25" s="25">
        <f>IFERROR(Q23/Q3,"")</f>
        <v/>
      </c>
      <c r="R25" s="25">
        <f>IFERROR(R23/R3,"")</f>
        <v/>
      </c>
      <c r="S25" s="25">
        <f>IFERROR(S23/S3,"")</f>
        <v/>
      </c>
      <c r="T25" s="25">
        <f>IFERROR(T23/T3,"")</f>
        <v/>
      </c>
      <c r="U25" s="25">
        <f>IFERROR(U23/U3,"")</f>
        <v/>
      </c>
      <c r="V25" s="25">
        <f>IFERROR(V23/V3,"")</f>
        <v/>
      </c>
      <c r="W25" s="25">
        <f>IFERROR(W23/W3,"")</f>
        <v/>
      </c>
      <c r="X25" s="25">
        <f>IFERROR(X23/X3,"")</f>
        <v/>
      </c>
      <c r="Y25" s="25">
        <f>IFERROR(Y23/Y3,"")</f>
        <v/>
      </c>
    </row>
    <row r="26">
      <c r="A26" s="4" t="inlineStr">
        <is>
          <t>Europe</t>
        </is>
      </c>
      <c r="H26" s="18" t="n">
        <v>9.164999999999999</v>
      </c>
      <c r="I26" s="18" t="n">
        <v>11.847</v>
      </c>
      <c r="J26" s="18" t="n">
        <v>12.988</v>
      </c>
      <c r="K26" s="18" t="n">
        <v>14.75</v>
      </c>
      <c r="L26" s="18" t="n">
        <v>15.547</v>
      </c>
      <c r="M26" s="18" t="n">
        <v>18.535</v>
      </c>
      <c r="N26" s="18" t="n">
        <v>20.957</v>
      </c>
      <c r="O26" s="18" t="n">
        <v>22.245</v>
      </c>
      <c r="P26" s="18" t="n">
        <v>23.731</v>
      </c>
      <c r="Q26" s="18" t="n">
        <v>26.359</v>
      </c>
      <c r="R26" s="18" t="n">
        <v>27.652</v>
      </c>
      <c r="S26" s="18" t="n">
        <v>28.889</v>
      </c>
      <c r="T26" s="18" t="n">
        <v>32.397</v>
      </c>
      <c r="U26" s="18" t="n">
        <v>33.713</v>
      </c>
      <c r="V26" s="18" t="n">
        <v>33.078</v>
      </c>
      <c r="W26" s="18" t="n">
        <v>36.161</v>
      </c>
      <c r="X26" s="18" t="n">
        <v>37.118</v>
      </c>
      <c r="Y26" s="18" t="n">
        <v>39.282</v>
      </c>
    </row>
    <row r="27">
      <c r="A27" s="4" t="inlineStr">
        <is>
          <t xml:space="preserve">    % YoY</t>
        </is>
      </c>
      <c r="F27" s="25">
        <f>IFERROR(F26/B26-1,"")</f>
        <v/>
      </c>
      <c r="G27" s="25">
        <f>IFERROR(G26/C26-1,"")</f>
        <v/>
      </c>
      <c r="H27" s="25">
        <f>IFERROR(H26/D26-1,"")</f>
        <v/>
      </c>
      <c r="I27" s="25">
        <f>IFERROR(I26/E26-1,"")</f>
        <v/>
      </c>
      <c r="J27" s="25">
        <f>IFERROR(J26/F26-1,"")</f>
        <v/>
      </c>
      <c r="K27" s="25">
        <f>IFERROR(K26/G26-1,"")</f>
        <v/>
      </c>
      <c r="L27" s="25">
        <f>IFERROR(L26/H26-1,"")</f>
        <v/>
      </c>
      <c r="M27" s="25">
        <f>IFERROR(M26/I26-1,"")</f>
        <v/>
      </c>
      <c r="N27" s="25">
        <f>IFERROR(N26/J26-1,"")</f>
        <v/>
      </c>
      <c r="O27" s="25">
        <f>IFERROR(O26/K26-1,"")</f>
        <v/>
      </c>
      <c r="P27" s="25">
        <f>IFERROR(P26/L26-1,"")</f>
        <v/>
      </c>
      <c r="Q27" s="25">
        <f>IFERROR(Q26/M26-1,"")</f>
        <v/>
      </c>
      <c r="R27" s="25">
        <f>IFERROR(R26/N26-1,"")</f>
        <v/>
      </c>
      <c r="S27" s="25">
        <f>IFERROR(S26/O26-1,"")</f>
        <v/>
      </c>
      <c r="T27" s="25">
        <f>IFERROR(T26/P26-1,"")</f>
        <v/>
      </c>
      <c r="U27" s="25">
        <f>IFERROR(U26/Q26-1,"")</f>
        <v/>
      </c>
      <c r="V27" s="25">
        <f>IFERROR(V26/R26-1,"")</f>
        <v/>
      </c>
      <c r="W27" s="25">
        <f>IFERROR(W26/S26-1,"")</f>
        <v/>
      </c>
      <c r="X27" s="25">
        <f>IFERROR(X26/T26-1,"")</f>
        <v/>
      </c>
      <c r="Y27" s="25">
        <f>IFERROR(Y26/U26-1,"")</f>
        <v/>
      </c>
    </row>
    <row r="28">
      <c r="A28" s="4" t="inlineStr">
        <is>
          <t xml:space="preserve">    % of revenue</t>
        </is>
      </c>
      <c r="B28" s="25">
        <f>IFERROR(B26/B3,"")</f>
        <v/>
      </c>
      <c r="C28" s="25">
        <f>IFERROR(C26/C3,"")</f>
        <v/>
      </c>
      <c r="D28" s="25">
        <f>IFERROR(D26/D3,"")</f>
        <v/>
      </c>
      <c r="E28" s="25">
        <f>IFERROR(E26/E3,"")</f>
        <v/>
      </c>
      <c r="F28" s="25">
        <f>IFERROR(F26/F3,"")</f>
        <v/>
      </c>
      <c r="G28" s="25">
        <f>IFERROR(G26/G3,"")</f>
        <v/>
      </c>
      <c r="H28" s="25">
        <f>IFERROR(H26/H3,"")</f>
        <v/>
      </c>
      <c r="I28" s="25">
        <f>IFERROR(I26/I3,"")</f>
        <v/>
      </c>
      <c r="J28" s="25">
        <f>IFERROR(J26/J3,"")</f>
        <v/>
      </c>
      <c r="K28" s="25">
        <f>IFERROR(K26/K3,"")</f>
        <v/>
      </c>
      <c r="L28" s="25">
        <f>IFERROR(L26/L3,"")</f>
        <v/>
      </c>
      <c r="M28" s="25">
        <f>IFERROR(M26/M3,"")</f>
        <v/>
      </c>
      <c r="N28" s="25">
        <f>IFERROR(N26/N3,"")</f>
        <v/>
      </c>
      <c r="O28" s="25">
        <f>IFERROR(O26/O3,"")</f>
        <v/>
      </c>
      <c r="P28" s="25">
        <f>IFERROR(P26/P3,"")</f>
        <v/>
      </c>
      <c r="Q28" s="25">
        <f>IFERROR(Q26/Q3,"")</f>
        <v/>
      </c>
      <c r="R28" s="25">
        <f>IFERROR(R26/R3,"")</f>
        <v/>
      </c>
      <c r="S28" s="25">
        <f>IFERROR(S26/S3,"")</f>
        <v/>
      </c>
      <c r="T28" s="25">
        <f>IFERROR(T26/T3,"")</f>
        <v/>
      </c>
      <c r="U28" s="25">
        <f>IFERROR(U26/U3,"")</f>
        <v/>
      </c>
      <c r="V28" s="25">
        <f>IFERROR(V26/V3,"")</f>
        <v/>
      </c>
      <c r="W28" s="25">
        <f>IFERROR(W26/W3,"")</f>
        <v/>
      </c>
      <c r="X28" s="25">
        <f>IFERROR(X26/X3,"")</f>
        <v/>
      </c>
      <c r="Y28" s="25">
        <f>IFERROR(Y26/Y3,"")</f>
        <v/>
      </c>
    </row>
    <row r="29">
      <c r="A29" s="4" t="inlineStr">
        <is>
          <t>Asia Pacific</t>
        </is>
      </c>
      <c r="H29" s="18" t="n">
        <v>0.929</v>
      </c>
      <c r="I29" s="18" t="n">
        <v>1.655</v>
      </c>
      <c r="J29" s="18" t="n">
        <v>2.145</v>
      </c>
      <c r="K29" s="18" t="n">
        <v>2.168</v>
      </c>
      <c r="L29" s="18" t="n">
        <v>2.492</v>
      </c>
      <c r="M29" s="18" t="n">
        <v>2.736</v>
      </c>
      <c r="N29" s="18" t="n">
        <v>2.959</v>
      </c>
      <c r="O29" s="18" t="n">
        <v>3.282</v>
      </c>
      <c r="P29" s="18" t="n">
        <v>3.522</v>
      </c>
      <c r="Q29" s="18" t="n">
        <v>3.83</v>
      </c>
      <c r="R29" s="18" t="n">
        <v>4.009</v>
      </c>
      <c r="S29" s="18" t="n">
        <v>4.338</v>
      </c>
      <c r="T29" s="18" t="n">
        <v>4.637</v>
      </c>
      <c r="U29" s="18" t="n">
        <v>4.956</v>
      </c>
      <c r="V29" s="18" t="n">
        <v>4.545</v>
      </c>
      <c r="W29" s="18" t="n">
        <v>5.215</v>
      </c>
      <c r="X29" s="18" t="n">
        <v>5.844</v>
      </c>
      <c r="Y29" s="18" t="n">
        <v>6.633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</row>
    <row r="32">
      <c r="A32" s="5" t="inlineStr">
        <is>
          <t xml:space="preserve">  BALANCE SHEET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</row>
    <row r="33">
      <c r="A33" s="4" t="inlineStr">
        <is>
          <t>Cash &amp; ST Investments</t>
        </is>
      </c>
      <c r="G33" s="18" t="n">
        <v>276.254</v>
      </c>
      <c r="H33" s="18" t="n">
        <v>924.745</v>
      </c>
      <c r="I33" s="18" t="n">
        <v>934.703</v>
      </c>
      <c r="J33" s="18" t="n">
        <v>934.7809999999999</v>
      </c>
      <c r="K33" s="18" t="n">
        <v>930.1900000000001</v>
      </c>
      <c r="L33" s="18" t="n">
        <v>927.752</v>
      </c>
      <c r="M33" s="18" t="n">
        <v>936.651</v>
      </c>
      <c r="N33" s="18" t="n">
        <v>937.639</v>
      </c>
      <c r="O33" s="18" t="n">
        <v>986.283</v>
      </c>
      <c r="P33" s="18" t="n">
        <v>989.634</v>
      </c>
      <c r="Q33" s="18" t="n">
        <v>1036.285</v>
      </c>
      <c r="R33" s="18" t="n">
        <v>1061.495</v>
      </c>
      <c r="S33" s="18" t="n">
        <v>1083.104</v>
      </c>
      <c r="T33" s="18" t="n">
        <v>916.972</v>
      </c>
      <c r="U33" s="18" t="n">
        <v>992.377</v>
      </c>
      <c r="V33" s="18" t="n">
        <v>1104.832</v>
      </c>
      <c r="W33" s="18" t="n">
        <v>1165.177</v>
      </c>
      <c r="X33" s="18" t="n">
        <v>1204.308</v>
      </c>
      <c r="Y33" s="18" t="n">
        <v>1259.903</v>
      </c>
    </row>
    <row r="34">
      <c r="A34" s="4" t="inlineStr">
        <is>
          <t>Total Current Assets</t>
        </is>
      </c>
      <c r="G34" s="18" t="n">
        <v>350.714</v>
      </c>
      <c r="H34" s="18" t="n">
        <v>992.47</v>
      </c>
      <c r="I34" s="18" t="n">
        <v>1051.843</v>
      </c>
      <c r="J34" s="18" t="n">
        <v>1044.231</v>
      </c>
      <c r="K34" s="18" t="n">
        <v>1063.989</v>
      </c>
      <c r="L34" s="18" t="n">
        <v>1069.385</v>
      </c>
      <c r="M34" s="18" t="n">
        <v>1117.962</v>
      </c>
      <c r="N34" s="18" t="n">
        <v>1115.22</v>
      </c>
      <c r="O34" s="18" t="n">
        <v>1143.22</v>
      </c>
      <c r="P34" s="18" t="n">
        <v>1182.336</v>
      </c>
      <c r="Q34" s="18" t="n">
        <v>1284.459</v>
      </c>
      <c r="R34" s="18" t="n">
        <v>1263.043</v>
      </c>
      <c r="S34" s="18" t="n">
        <v>1314.356</v>
      </c>
      <c r="T34" s="18" t="n">
        <v>1192.165</v>
      </c>
      <c r="U34" s="18" t="n">
        <v>1336.317</v>
      </c>
      <c r="V34" s="18" t="n">
        <v>1380.761</v>
      </c>
      <c r="W34" s="18" t="n">
        <v>1436.17</v>
      </c>
      <c r="X34" s="18" t="n">
        <v>1506.949</v>
      </c>
      <c r="Y34" s="18" t="n">
        <v>1655.779</v>
      </c>
    </row>
    <row r="35">
      <c r="A35" s="4" t="inlineStr">
        <is>
          <t>PP&amp;E (net)</t>
        </is>
      </c>
      <c r="G35" s="18" t="n">
        <v>0</v>
      </c>
      <c r="H35" s="18" t="n">
        <v>0</v>
      </c>
      <c r="I35" s="18" t="n">
        <v>3.271</v>
      </c>
      <c r="J35" s="18" t="n">
        <v>4.347</v>
      </c>
      <c r="K35" s="18" t="n">
        <v>5.459</v>
      </c>
      <c r="L35" s="18" t="n">
        <v>5.56</v>
      </c>
      <c r="M35" s="18" t="n">
        <v>6.795</v>
      </c>
      <c r="N35" s="18" t="n">
        <v>6.236</v>
      </c>
      <c r="O35" s="18" t="n">
        <v>4.753</v>
      </c>
      <c r="P35" s="18" t="n">
        <v>4.223</v>
      </c>
      <c r="Q35" s="18" t="n">
        <v>3.359</v>
      </c>
      <c r="R35" s="18" t="n">
        <v>3.363</v>
      </c>
      <c r="S35" s="18" t="n">
        <v>3.381</v>
      </c>
      <c r="T35" s="18" t="n">
        <v>4.007</v>
      </c>
      <c r="U35" s="18" t="n">
        <v>4.394</v>
      </c>
      <c r="V35" s="18" t="n">
        <v>5.185</v>
      </c>
      <c r="W35" s="18" t="n">
        <v>8.035</v>
      </c>
      <c r="X35" s="18" t="n">
        <v>10.193</v>
      </c>
      <c r="Y35" s="18" t="n">
        <v>11.815</v>
      </c>
    </row>
    <row r="36">
      <c r="A36" s="4" t="inlineStr">
        <is>
          <t>Total Assets</t>
        </is>
      </c>
      <c r="G36" s="18" t="n">
        <v>366.378</v>
      </c>
      <c r="H36" s="18" t="n">
        <v>1028.808</v>
      </c>
      <c r="I36" s="18" t="n">
        <v>1091.438</v>
      </c>
      <c r="J36" s="18" t="n">
        <v>1098.953</v>
      </c>
      <c r="K36" s="18" t="n">
        <v>1115.419</v>
      </c>
      <c r="L36" s="18" t="n">
        <v>1120.241</v>
      </c>
      <c r="M36" s="18" t="n">
        <v>1169.2</v>
      </c>
      <c r="N36" s="18" t="n">
        <v>1164.108</v>
      </c>
      <c r="O36" s="18" t="n">
        <v>1189.069</v>
      </c>
      <c r="P36" s="18" t="n">
        <v>1226.896</v>
      </c>
      <c r="Q36" s="18" t="n">
        <v>1321.403</v>
      </c>
      <c r="R36" s="18" t="n">
        <v>1321.627</v>
      </c>
      <c r="S36" s="18" t="n">
        <v>1376.262</v>
      </c>
      <c r="T36" s="18" t="n">
        <v>1252.639</v>
      </c>
      <c r="U36" s="18" t="n">
        <v>1399.263</v>
      </c>
      <c r="V36" s="18" t="n">
        <v>1441.99</v>
      </c>
      <c r="W36" s="18" t="n">
        <v>1498.187</v>
      </c>
      <c r="X36" s="18" t="n">
        <v>1570.839</v>
      </c>
      <c r="Y36" s="18" t="n">
        <v>1722.747</v>
      </c>
    </row>
    <row r="37">
      <c r="A37" s="4" t="inlineStr">
        <is>
          <t>Total Current Liabilities</t>
        </is>
      </c>
      <c r="G37" s="18" t="n">
        <v>151.458</v>
      </c>
      <c r="H37" s="18" t="n">
        <v>178.89</v>
      </c>
      <c r="I37" s="18" t="n">
        <v>241.599</v>
      </c>
      <c r="J37" s="18" t="n">
        <v>234.6</v>
      </c>
      <c r="K37" s="18" t="n">
        <v>246.704</v>
      </c>
      <c r="L37" s="18" t="n">
        <v>264.479</v>
      </c>
      <c r="M37" s="18" t="n">
        <v>306.296</v>
      </c>
      <c r="N37" s="18" t="n">
        <v>311.053</v>
      </c>
      <c r="O37" s="18" t="n">
        <v>321.195</v>
      </c>
      <c r="P37" s="18" t="n">
        <v>585.922</v>
      </c>
      <c r="Q37" s="18" t="n">
        <v>677.157</v>
      </c>
      <c r="R37" s="18" t="n">
        <v>674.537</v>
      </c>
      <c r="S37" s="18" t="n">
        <v>666.848</v>
      </c>
      <c r="T37" s="18" t="n">
        <v>464.502</v>
      </c>
      <c r="U37" s="18" t="n">
        <v>545.0309999999999</v>
      </c>
      <c r="V37" s="18" t="n">
        <v>556.383</v>
      </c>
      <c r="W37" s="18" t="n">
        <v>553.357</v>
      </c>
      <c r="X37" s="18" t="n">
        <v>565.808</v>
      </c>
      <c r="Y37" s="18" t="n">
        <v>652.143</v>
      </c>
    </row>
    <row r="38">
      <c r="A38" s="4" t="inlineStr">
        <is>
          <t>Long-term Debt</t>
        </is>
      </c>
      <c r="G38" s="18" t="n">
        <v>0</v>
      </c>
      <c r="H38" s="18" t="n">
        <v>0</v>
      </c>
      <c r="I38" s="18" t="n">
        <v>0</v>
      </c>
      <c r="J38" s="18" t="n">
        <v>0</v>
      </c>
      <c r="K38" s="18" t="n">
        <v>0</v>
      </c>
      <c r="L38" s="18" t="n">
        <v>0</v>
      </c>
      <c r="M38" s="18" t="n">
        <v>0</v>
      </c>
      <c r="N38" s="18" t="n">
        <v>0</v>
      </c>
      <c r="O38" s="18" t="n">
        <v>0</v>
      </c>
      <c r="P38" s="18" t="n">
        <v>0</v>
      </c>
      <c r="Q38" s="18" t="n">
        <v>0</v>
      </c>
      <c r="R38" s="18" t="n">
        <v>0</v>
      </c>
      <c r="S38" s="18" t="n">
        <v>0</v>
      </c>
      <c r="T38" s="18" t="n">
        <v>0</v>
      </c>
      <c r="U38" s="18" t="n">
        <v>0</v>
      </c>
      <c r="V38" s="18" t="n">
        <v>0</v>
      </c>
      <c r="W38" s="18" t="n">
        <v>0</v>
      </c>
      <c r="X38" s="18" t="n">
        <v>0</v>
      </c>
      <c r="Y38" s="18" t="n">
        <v>0</v>
      </c>
    </row>
    <row r="39">
      <c r="A39" s="4" t="inlineStr">
        <is>
          <t>Total Equity</t>
        </is>
      </c>
      <c r="G39" s="18" t="n">
        <v>-276.013</v>
      </c>
      <c r="H39" s="18" t="n">
        <v>784.4</v>
      </c>
      <c r="I39" s="18" t="n">
        <v>774.866</v>
      </c>
      <c r="J39" s="18" t="n">
        <v>782.0940000000001</v>
      </c>
      <c r="K39" s="18" t="n">
        <v>778.487</v>
      </c>
      <c r="L39" s="18" t="n">
        <v>763.5599999999999</v>
      </c>
      <c r="M39" s="18" t="n">
        <v>771.02</v>
      </c>
      <c r="N39" s="18" t="n">
        <v>765.489</v>
      </c>
      <c r="O39" s="18" t="n">
        <v>783.657</v>
      </c>
      <c r="P39" s="18" t="n">
        <v>546.567</v>
      </c>
      <c r="Q39" s="18" t="n">
        <v>559.771</v>
      </c>
      <c r="R39" s="18" t="n">
        <v>567.841</v>
      </c>
      <c r="S39" s="18" t="n">
        <v>642.8390000000001</v>
      </c>
      <c r="T39" s="18" t="n">
        <v>724.705</v>
      </c>
      <c r="U39" s="18" t="n">
        <v>775.909</v>
      </c>
      <c r="V39" s="18" t="n">
        <v>808.28</v>
      </c>
      <c r="W39" s="18" t="n">
        <v>866.551</v>
      </c>
      <c r="X39" s="18" t="n">
        <v>922.715</v>
      </c>
      <c r="Y39" s="18" t="n">
        <v>990.668</v>
      </c>
    </row>
    <row r="40">
      <c r="A40" s="5" t="inlineStr">
        <is>
          <t xml:space="preserve">  CASH FLOW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</row>
    <row r="41">
      <c r="A41" s="4" t="inlineStr">
        <is>
          <t>D&amp;A</t>
        </is>
      </c>
      <c r="B41" s="18" t="n">
        <v>3.683</v>
      </c>
      <c r="C41" s="18" t="n">
        <v>3.683</v>
      </c>
      <c r="D41" s="18" t="n">
        <v>0.083</v>
      </c>
      <c r="E41" s="18" t="n">
        <v>0.08500000000000001</v>
      </c>
      <c r="F41" s="18" t="n">
        <v>0.08400000000000001</v>
      </c>
      <c r="G41" s="18" t="n">
        <v>0.08500000000000001</v>
      </c>
      <c r="H41" s="18" t="n">
        <v>0.082</v>
      </c>
      <c r="I41" s="18" t="n">
        <v>0.957</v>
      </c>
      <c r="J41" s="18" t="n">
        <v>1.139</v>
      </c>
      <c r="K41" s="18" t="n">
        <v>1.323</v>
      </c>
      <c r="L41" s="18" t="n">
        <v>1.503</v>
      </c>
      <c r="M41" s="18" t="n">
        <v>1.628</v>
      </c>
      <c r="N41" s="18" t="n">
        <v>1.671</v>
      </c>
      <c r="O41" s="18" t="n">
        <v>1.66</v>
      </c>
      <c r="P41" s="18" t="n">
        <v>1.644</v>
      </c>
      <c r="Q41" s="18" t="n">
        <v>1.56</v>
      </c>
      <c r="R41" s="18" t="n">
        <v>2.024</v>
      </c>
      <c r="S41" s="18" t="n">
        <v>3.077</v>
      </c>
      <c r="T41" s="18" t="n">
        <v>3.191</v>
      </c>
      <c r="U41" s="18" t="n">
        <v>2.694</v>
      </c>
      <c r="V41" s="18" t="n">
        <v>2.576</v>
      </c>
      <c r="W41" s="18" t="n">
        <v>2.774</v>
      </c>
      <c r="X41" s="18" t="n">
        <v>2.884</v>
      </c>
      <c r="Y41" s="18" t="n">
        <v>1.154</v>
      </c>
    </row>
    <row r="42">
      <c r="A42" s="4" t="inlineStr">
        <is>
          <t>Stock-based Compensation</t>
        </is>
      </c>
      <c r="B42" s="18" t="n">
        <v>1.811</v>
      </c>
      <c r="C42" s="18" t="n">
        <v>1.88</v>
      </c>
      <c r="D42" s="18" t="n">
        <v>2.056</v>
      </c>
      <c r="E42" s="18" t="n">
        <v>106.168</v>
      </c>
      <c r="F42" s="18" t="n">
        <v>3.431</v>
      </c>
      <c r="G42" s="18" t="n">
        <v>5.232</v>
      </c>
      <c r="H42" s="18" t="n">
        <v>8.579000000000001</v>
      </c>
      <c r="I42" s="18" t="n">
        <v>12.767</v>
      </c>
      <c r="J42" s="18" t="n">
        <v>17.471</v>
      </c>
      <c r="K42" s="18" t="n">
        <v>37.747</v>
      </c>
      <c r="L42" s="18" t="n">
        <v>33.708</v>
      </c>
      <c r="M42" s="18" t="n">
        <v>33.641</v>
      </c>
      <c r="N42" s="18" t="n">
        <v>32.33</v>
      </c>
      <c r="O42" s="18" t="n">
        <v>46.368</v>
      </c>
      <c r="P42" s="18" t="n">
        <v>41.334</v>
      </c>
      <c r="Q42" s="18" t="n">
        <v>43.017</v>
      </c>
      <c r="R42" s="18" t="n">
        <v>42.252</v>
      </c>
      <c r="S42" s="18" t="n">
        <v>48.969</v>
      </c>
      <c r="T42" s="18" t="n">
        <v>48.042</v>
      </c>
      <c r="U42" s="18" t="n">
        <v>46.636</v>
      </c>
      <c r="V42" s="18" t="n">
        <v>55.827</v>
      </c>
      <c r="W42" s="18" t="n">
        <v>54.284</v>
      </c>
      <c r="X42" s="18" t="n">
        <v>51.682</v>
      </c>
      <c r="Y42" s="18" t="n">
        <v>53.158</v>
      </c>
    </row>
    <row r="43">
      <c r="A43" s="4" t="inlineStr">
        <is>
          <t>Change in Working Capital</t>
        </is>
      </c>
      <c r="B43" s="18" t="n">
        <v>-7.331</v>
      </c>
      <c r="C43" s="18" t="n">
        <v>-7.331</v>
      </c>
      <c r="D43" s="18" t="n">
        <v>3.107</v>
      </c>
      <c r="E43" s="18" t="n">
        <v>10.941</v>
      </c>
      <c r="F43" s="18" t="n">
        <v>-4.464</v>
      </c>
      <c r="G43" s="18" t="n">
        <v>1.244</v>
      </c>
      <c r="H43" s="18" t="n">
        <v>4.624</v>
      </c>
      <c r="I43" s="18" t="n">
        <v>21.171</v>
      </c>
      <c r="J43" s="18" t="n">
        <v>-12.925</v>
      </c>
      <c r="K43" s="18" t="n">
        <v>-23.85</v>
      </c>
      <c r="L43" s="18" t="n">
        <v>6.617</v>
      </c>
      <c r="M43" s="18" t="n">
        <v>-14.693</v>
      </c>
      <c r="N43" s="18" t="n">
        <v>-2.317</v>
      </c>
      <c r="O43" s="18" t="n">
        <v>20.238</v>
      </c>
      <c r="P43" s="18" t="n">
        <v>229.374</v>
      </c>
      <c r="Q43" s="18" t="n">
        <v>-6.28</v>
      </c>
      <c r="R43" s="18" t="n">
        <v>39.04</v>
      </c>
      <c r="S43" s="18" t="n">
        <v>-65.79000000000001</v>
      </c>
      <c r="T43" s="18" t="n">
        <v>-263.227</v>
      </c>
      <c r="U43" s="18" t="n">
        <v>-0.62</v>
      </c>
      <c r="V43" s="18" t="n">
        <v>61.406</v>
      </c>
      <c r="W43" s="18" t="n">
        <v>-11.502</v>
      </c>
      <c r="X43" s="18" t="n">
        <v>-30.695</v>
      </c>
      <c r="Y43" s="18" t="n">
        <v>-27.666</v>
      </c>
    </row>
    <row r="44">
      <c r="A44" s="4" t="inlineStr">
        <is>
          <t>Operating Cash Flow</t>
        </is>
      </c>
      <c r="B44" s="18" t="n">
        <v>-26.042</v>
      </c>
      <c r="C44" s="18" t="n">
        <v>-26.042</v>
      </c>
      <c r="D44" s="18" t="n">
        <v>-14.136</v>
      </c>
      <c r="E44" s="18" t="n">
        <v>-7.36</v>
      </c>
      <c r="F44" s="18" t="n">
        <v>-21.521</v>
      </c>
      <c r="G44" s="18" t="n">
        <v>-17.12</v>
      </c>
      <c r="H44" s="18" t="n">
        <v>-10.079</v>
      </c>
      <c r="I44" s="18" t="n">
        <v>-1.094</v>
      </c>
      <c r="J44" s="18" t="n">
        <v>-28.156</v>
      </c>
      <c r="K44" s="18" t="n">
        <v>-36.335</v>
      </c>
      <c r="L44" s="18" t="n">
        <v>-1.197</v>
      </c>
      <c r="M44" s="18" t="n">
        <v>-11.72</v>
      </c>
      <c r="N44" s="18" t="n">
        <v>-10.961</v>
      </c>
      <c r="O44" s="18" t="n">
        <v>27.109</v>
      </c>
      <c r="P44" s="18" t="n">
        <v>-5.961</v>
      </c>
      <c r="Q44" s="18" t="n">
        <v>24.853</v>
      </c>
      <c r="R44" s="18" t="n">
        <v>38.138</v>
      </c>
      <c r="S44" s="18" t="n">
        <v>11.697</v>
      </c>
      <c r="T44" s="18" t="n">
        <v>-177.028</v>
      </c>
      <c r="U44" s="18" t="n">
        <v>63.222</v>
      </c>
      <c r="V44" s="18" t="n">
        <v>106.302</v>
      </c>
      <c r="W44" s="18" t="n">
        <v>49.369</v>
      </c>
      <c r="X44" s="18" t="n">
        <v>31.428</v>
      </c>
      <c r="Y44" s="18" t="n">
        <v>45.757</v>
      </c>
    </row>
    <row r="45">
      <c r="A45" s="4" t="inlineStr">
        <is>
          <t>Capex</t>
        </is>
      </c>
      <c r="B45" s="18" t="n">
        <v>0</v>
      </c>
      <c r="C45" s="18" t="n">
        <v>0</v>
      </c>
      <c r="D45" s="18" t="n">
        <v>0</v>
      </c>
      <c r="E45" s="18" t="n">
        <v>0</v>
      </c>
      <c r="F45" s="18" t="n">
        <v>0</v>
      </c>
      <c r="G45" s="18" t="n">
        <v>0</v>
      </c>
      <c r="H45" s="18" t="n">
        <v>0</v>
      </c>
      <c r="I45" s="18" t="n">
        <v>-3.541</v>
      </c>
      <c r="J45" s="18" t="n">
        <v>-1.874</v>
      </c>
      <c r="K45" s="18" t="n">
        <v>-1.36</v>
      </c>
      <c r="L45" s="18" t="n">
        <v>-1.784</v>
      </c>
      <c r="M45" s="18" t="n">
        <v>-1.052</v>
      </c>
      <c r="N45" s="18" t="n">
        <v>-0.256</v>
      </c>
      <c r="O45" s="18" t="n">
        <v>-0.277</v>
      </c>
      <c r="P45" s="18" t="n">
        <v>-0.735999</v>
      </c>
      <c r="Q45" s="18" t="n">
        <v>-0.329</v>
      </c>
      <c r="R45" s="18" t="n">
        <v>-0.7</v>
      </c>
      <c r="S45" s="18" t="n">
        <v>-0.851</v>
      </c>
      <c r="T45" s="18" t="n">
        <v>-1.057</v>
      </c>
      <c r="U45" s="18" t="n">
        <v>-1.157</v>
      </c>
      <c r="V45" s="18" t="n">
        <v>-0.912</v>
      </c>
      <c r="W45" s="18" t="n">
        <v>-2.904</v>
      </c>
      <c r="X45" s="18" t="n">
        <v>-3.038</v>
      </c>
      <c r="Y45" s="18" t="n">
        <v>-3.973</v>
      </c>
    </row>
    <row r="46">
      <c r="A46" s="4" t="inlineStr">
        <is>
          <t>Free Cash Flow</t>
        </is>
      </c>
      <c r="B46" s="18" t="n">
        <v>-26.042</v>
      </c>
      <c r="C46" s="18" t="n">
        <v>-26.042</v>
      </c>
      <c r="D46" s="18" t="n">
        <v>-14.136</v>
      </c>
      <c r="E46" s="18" t="n">
        <v>-7.36</v>
      </c>
      <c r="F46" s="18" t="n">
        <v>-21.521</v>
      </c>
      <c r="G46" s="18" t="n">
        <v>-17.12</v>
      </c>
      <c r="H46" s="18" t="n">
        <v>-10.079</v>
      </c>
      <c r="I46" s="18" t="n">
        <v>-4.635</v>
      </c>
      <c r="J46" s="18" t="n">
        <v>-30.03</v>
      </c>
      <c r="K46" s="18" t="n">
        <v>-37.695</v>
      </c>
      <c r="L46" s="18" t="n">
        <v>-2.981</v>
      </c>
      <c r="M46" s="18" t="n">
        <v>-12.772</v>
      </c>
      <c r="N46" s="18" t="n">
        <v>-11.217</v>
      </c>
      <c r="O46" s="18" t="n">
        <v>26.832</v>
      </c>
      <c r="P46" s="18" t="n">
        <v>-6.697</v>
      </c>
      <c r="Q46" s="18" t="n">
        <v>24.524</v>
      </c>
      <c r="R46" s="18" t="n">
        <v>37.438</v>
      </c>
      <c r="S46" s="18" t="n">
        <v>10.846</v>
      </c>
      <c r="T46" s="18" t="n">
        <v>-178.085</v>
      </c>
      <c r="U46" s="18" t="n">
        <v>62.065</v>
      </c>
      <c r="V46" s="18" t="n">
        <v>105.39</v>
      </c>
      <c r="W46" s="18" t="n">
        <v>46.465</v>
      </c>
      <c r="X46" s="18" t="n">
        <v>28.39</v>
      </c>
      <c r="Y46" s="18" t="n">
        <v>41.784</v>
      </c>
    </row>
    <row r="48">
      <c r="A48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2027</v>
      </c>
      <c r="C2" s="45" t="n">
        <v>2028</v>
      </c>
      <c r="D2" s="45" t="n">
        <v>2029</v>
      </c>
      <c r="E2" s="45" t="n">
        <v>2030</v>
      </c>
      <c r="F2" s="45" t="n">
        <v>2031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1110.164234</v>
      </c>
      <c r="C4" s="18" t="n">
        <v>1283.061709</v>
      </c>
      <c r="D4" s="18" t="n">
        <v>1463.536743</v>
      </c>
      <c r="E4" s="18" t="n">
        <v>1674.7</v>
      </c>
      <c r="F4" s="18" t="n">
        <v>1902.1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  <c r="F5" s="33">
        <f>Model!K6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304.354417</v>
      </c>
      <c r="C8" s="18" t="n">
        <v>351.754711</v>
      </c>
      <c r="D8" s="18" t="n">
        <v>401.232412</v>
      </c>
      <c r="E8" s="18" t="n">
        <v>459.123369</v>
      </c>
      <c r="F8" s="18" t="n">
        <v>521.465672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  <c r="F9" s="33">
        <f>Model!K19+Model!K24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286.559704</v>
      </c>
      <c r="C12" s="18" t="n">
        <v>331.188641</v>
      </c>
      <c r="D12" s="18" t="n">
        <v>377.773526</v>
      </c>
      <c r="E12" s="18" t="n">
        <v>432.279768</v>
      </c>
      <c r="F12" s="18" t="n">
        <v>490.977098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  <c r="F13" s="33">
        <f>Model!K19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963.992926</v>
      </c>
      <c r="C16" s="18" t="n">
        <v>1114.125616</v>
      </c>
      <c r="D16" s="18" t="n">
        <v>1270.838155</v>
      </c>
      <c r="E16" s="18" t="n">
        <v>1454.198311</v>
      </c>
      <c r="F16" s="18" t="n">
        <v>1651.657375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  <c r="F17" s="33">
        <f>Model!K14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148.1091405</v>
      </c>
      <c r="C20" s="18" t="n">
        <v>170.4954565</v>
      </c>
      <c r="D20" s="18" t="n">
        <v>232.620717</v>
      </c>
      <c r="E20" s="18" t="n">
        <v>198.131001</v>
      </c>
      <c r="F20" s="18" t="n">
        <v>248.700001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  <c r="F21" s="33">
        <f>Model!K23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0.80397</v>
      </c>
      <c r="C24" s="47" t="n">
        <v>0.98086</v>
      </c>
      <c r="D24" s="47" t="n">
        <v>1.12661</v>
      </c>
      <c r="E24" s="47" t="n">
        <v>1.195</v>
      </c>
      <c r="F24" s="47" t="n">
        <v>1.5</v>
      </c>
    </row>
    <row r="25">
      <c r="A25" s="4" t="inlineStr">
        <is>
          <t xml:space="preserve">  model</t>
        </is>
      </c>
      <c r="B25" s="8">
        <f>Model!G23/Financials!Y17</f>
        <v/>
      </c>
      <c r="C25" s="8">
        <f>Model!H23/Financials!Y17</f>
        <v/>
      </c>
      <c r="D25" s="8">
        <f>Model!I23/Financials!Y17</f>
        <v/>
      </c>
      <c r="E25" s="8">
        <f>Model!J23/Financials!Y17</f>
        <v/>
      </c>
      <c r="F25" s="8">
        <f>Model!K23/Financials!Y17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GitLab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2027</v>
      </c>
      <c r="D11" s="45" t="n">
        <v>2028</v>
      </c>
      <c r="E11" s="45" t="n">
        <v>2029</v>
      </c>
      <c r="F11" s="45" t="n">
        <v>2030</v>
      </c>
      <c r="G11" s="45" t="n">
        <v>2031</v>
      </c>
      <c r="H11" s="45" t="n">
        <v>2032</v>
      </c>
      <c r="I11" s="45" t="n">
        <v>2033</v>
      </c>
      <c r="J11" s="45" t="n">
        <v>2034</v>
      </c>
      <c r="K11" s="45" t="n">
        <v>2035</v>
      </c>
      <c r="L11" s="45" t="n">
        <v>2036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Financials!Y33</f>
        <v/>
      </c>
    </row>
    <row r="33">
      <c r="A33" s="4" t="inlineStr">
        <is>
          <t>- Long-term debt</t>
        </is>
      </c>
      <c r="B33" s="33">
        <f>-Financials!Y38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Financials!Y17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0.065035</v>
      </c>
      <c r="C4" s="51" t="n">
        <v>0.070035</v>
      </c>
      <c r="D4" s="51" t="n">
        <v>0.07503499999999999</v>
      </c>
      <c r="E4" s="51" t="n">
        <v>0.080035</v>
      </c>
      <c r="F4" s="51" t="n">
        <v>0.085035</v>
      </c>
      <c r="G4" s="51" t="n">
        <v>0.09003499999999999</v>
      </c>
      <c r="H4" s="51" t="n">
        <v>0.09503499999999999</v>
      </c>
    </row>
    <row r="5">
      <c r="A5" s="52" t="n">
        <v>19</v>
      </c>
      <c r="B5" s="8" t="n">
        <v>35.94909841650947</v>
      </c>
      <c r="C5" s="8" t="n">
        <v>34.7220656088543</v>
      </c>
      <c r="D5" s="53" t="n">
        <v>33.55475779149084</v>
      </c>
      <c r="E5" s="53" t="n">
        <v>32.44398150548699</v>
      </c>
      <c r="F5" s="53" t="n">
        <v>31.38672851920509</v>
      </c>
      <c r="G5" s="53" t="n">
        <v>30.38016427168036</v>
      </c>
      <c r="H5" s="53" t="n">
        <v>29.4216170866831</v>
      </c>
    </row>
    <row r="6">
      <c r="A6" s="52" t="n">
        <v>20</v>
      </c>
      <c r="B6" s="8" t="n">
        <v>37.16334791350903</v>
      </c>
      <c r="C6" s="8" t="n">
        <v>35.88075465165285</v>
      </c>
      <c r="D6" s="8" t="n">
        <v>34.66067010876016</v>
      </c>
      <c r="E6" s="53" t="n">
        <v>33.49974936649045</v>
      </c>
      <c r="F6" s="53" t="n">
        <v>32.39484162082289</v>
      </c>
      <c r="G6" s="53" t="n">
        <v>31.3429780663999</v>
      </c>
      <c r="H6" s="53" t="n">
        <v>30.34136058906311</v>
      </c>
    </row>
    <row r="7">
      <c r="A7" s="52" t="n">
        <v>21</v>
      </c>
      <c r="B7" s="8" t="n">
        <v>38.3775974105086</v>
      </c>
      <c r="C7" s="8" t="n">
        <v>37.03944369445141</v>
      </c>
      <c r="D7" s="8" t="n">
        <v>35.76658242602948</v>
      </c>
      <c r="E7" s="8" t="n">
        <v>34.55551722749391</v>
      </c>
      <c r="F7" s="53" t="n">
        <v>33.4029547224407</v>
      </c>
      <c r="G7" s="53" t="n">
        <v>32.30579186111945</v>
      </c>
      <c r="H7" s="53" t="n">
        <v>31.26110409144312</v>
      </c>
    </row>
    <row r="8">
      <c r="A8" s="52" t="n">
        <v>22</v>
      </c>
      <c r="B8" s="8" t="n">
        <v>39.59184690750816</v>
      </c>
      <c r="C8" s="8" t="n">
        <v>38.19813273724997</v>
      </c>
      <c r="D8" s="8" t="n">
        <v>36.87249474329881</v>
      </c>
      <c r="E8" s="54" t="n">
        <v>35.61128508849737</v>
      </c>
      <c r="F8" s="8" t="n">
        <v>34.4110678240585</v>
      </c>
      <c r="G8" s="53" t="n">
        <v>33.268605655839</v>
      </c>
      <c r="H8" s="53" t="n">
        <v>32.18084759382314</v>
      </c>
    </row>
    <row r="9">
      <c r="A9" s="52" t="n">
        <v>23</v>
      </c>
      <c r="B9" s="8" t="n">
        <v>40.80609640450772</v>
      </c>
      <c r="C9" s="8" t="n">
        <v>39.35682178004852</v>
      </c>
      <c r="D9" s="8" t="n">
        <v>37.97840706056812</v>
      </c>
      <c r="E9" s="8" t="n">
        <v>36.66705294950083</v>
      </c>
      <c r="F9" s="8" t="n">
        <v>35.4191809256763</v>
      </c>
      <c r="G9" s="8" t="n">
        <v>34.23141945055854</v>
      </c>
      <c r="H9" s="53" t="n">
        <v>33.10059109620315</v>
      </c>
    </row>
    <row r="10">
      <c r="A10" s="52" t="n">
        <v>24</v>
      </c>
      <c r="B10" s="8" t="n">
        <v>42.02034590150729</v>
      </c>
      <c r="C10" s="8" t="n">
        <v>40.51551082284708</v>
      </c>
      <c r="D10" s="8" t="n">
        <v>39.08431937783745</v>
      </c>
      <c r="E10" s="8" t="n">
        <v>37.72282081050429</v>
      </c>
      <c r="F10" s="8" t="n">
        <v>36.42729402729411</v>
      </c>
      <c r="G10" s="8" t="n">
        <v>35.19423324527808</v>
      </c>
      <c r="H10" s="8" t="n">
        <v>34.02033459858316</v>
      </c>
    </row>
    <row r="11">
      <c r="A11" s="52" t="n">
        <v>25</v>
      </c>
      <c r="B11" s="8" t="n">
        <v>43.23459539850685</v>
      </c>
      <c r="C11" s="8" t="n">
        <v>41.67419986564563</v>
      </c>
      <c r="D11" s="8" t="n">
        <v>40.19023169510677</v>
      </c>
      <c r="E11" s="8" t="n">
        <v>38.77858867150775</v>
      </c>
      <c r="F11" s="8" t="n">
        <v>37.43540712891191</v>
      </c>
      <c r="G11" s="8" t="n">
        <v>36.15704703999763</v>
      </c>
      <c r="H11" s="8" t="n">
        <v>34.94007810096317</v>
      </c>
    </row>
    <row r="13">
      <c r="A13" s="3" t="inlineStr">
        <is>
          <t>Current price</t>
        </is>
      </c>
      <c r="B13" s="53" t="n">
        <v>33.65000152587891</v>
      </c>
    </row>
    <row r="14">
      <c r="A14" s="3" t="inlineStr">
        <is>
          <t>Base WACC / multiple</t>
        </is>
      </c>
      <c r="B14" s="55" t="n">
        <v>0.080035</v>
      </c>
      <c r="C14" s="56" t="n">
        <v>22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0.009828061271492342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1.09155528059976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0.7060677869243869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Financials!Y33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Financials!Y38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Financials!Y17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2026-07-08T07:32:51Z</dcterms:created>
  <dcterms:modified xmlns:dcterms="http://purl.org/dc/terms/" xmlns:xsi="http://www.w3.org/2001/XMLSchema-instance" xsi:type="dcterms:W3CDTF">2026-07-08T07:32:51Z</dcterms:modified>
</cp:coreProperties>
</file>