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Wheaton Precious Metals Corp. (WPM)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Wheaton Precious Metals Corp. (WPM)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0.1447621802928572</v>
      </c>
      <c r="C20" s="50" t="n">
        <v>0.05</v>
      </c>
      <c r="D20" s="51" t="n">
        <v>0.1447621802928572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0.7897911387423012</v>
      </c>
      <c r="D29" s="51" t="n">
        <v>0.7897911387423012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0.7939894847033598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1487.4165295</v>
      </c>
      <c r="D34" s="18" t="n">
        <v>1487.4165295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1.175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121.0899963378906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0.2493388415728453</v>
      </c>
      <c r="H11" s="50" t="n">
        <v>0.2493388415728453</v>
      </c>
      <c r="I11" s="50" t="n">
        <v>0.2493388415728453</v>
      </c>
      <c r="J11" s="50" t="n">
        <v>0.2493388415728453</v>
      </c>
      <c r="K11" s="50" t="n">
        <v>0.2493388415728453</v>
      </c>
      <c r="L11" s="50" t="n">
        <v>0.2493388415728453</v>
      </c>
      <c r="M11" s="50" t="n">
        <v>0.2493388415728453</v>
      </c>
      <c r="N11" s="50" t="n">
        <v>0.2493388415728453</v>
      </c>
      <c r="O11" s="50" t="n">
        <v>0.2493388415728453</v>
      </c>
      <c r="P11" s="50" t="n">
        <v>0.2493388415728453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0.03334312813298584</v>
      </c>
      <c r="H15" s="50" t="n">
        <v>0.03334312813298584</v>
      </c>
      <c r="I15" s="50" t="n">
        <v>0.03334312813298584</v>
      </c>
      <c r="J15" s="50" t="n">
        <v>0.03334312813298584</v>
      </c>
      <c r="K15" s="50" t="n">
        <v>0.03334312813298584</v>
      </c>
      <c r="L15" s="50" t="n">
        <v>0.03334312813298584</v>
      </c>
      <c r="M15" s="50" t="n">
        <v>0.03334312813298584</v>
      </c>
      <c r="N15" s="50" t="n">
        <v>0.03334312813298584</v>
      </c>
      <c r="O15" s="50" t="n">
        <v>0.03334312813298584</v>
      </c>
      <c r="P15" s="50" t="n">
        <v>0.03334312813298584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G6*0.1317</f>
        <v/>
      </c>
      <c r="H24" s="32">
        <f>H6*0.1317</f>
        <v/>
      </c>
      <c r="I24" s="32">
        <f>I6*0.1317</f>
        <v/>
      </c>
      <c r="J24" s="32">
        <f>J6*0.1317</f>
        <v/>
      </c>
      <c r="K24" s="32">
        <f>K6*0.1317</f>
        <v/>
      </c>
      <c r="L24" s="32">
        <f>L6*0.1317</f>
        <v/>
      </c>
      <c r="M24" s="32">
        <f>M6*0.1317</f>
        <v/>
      </c>
      <c r="N24" s="32">
        <f>N6*0.1317</f>
        <v/>
      </c>
      <c r="O24" s="32">
        <f>O6*0.1317</f>
        <v/>
      </c>
      <c r="P24" s="32">
        <f>P6*0.1317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G6*0.0132</f>
        <v/>
      </c>
      <c r="H25" s="32">
        <f>H6*0.0126</f>
        <v/>
      </c>
      <c r="I25" s="32">
        <f>I6*0.0121</f>
        <v/>
      </c>
      <c r="J25" s="32">
        <f>J6*0.0115</f>
        <v/>
      </c>
      <c r="K25" s="32">
        <f>K6*0.0109</f>
        <v/>
      </c>
      <c r="L25" s="32">
        <f>L6*0.0103</f>
        <v/>
      </c>
      <c r="M25" s="32">
        <f>M6*0.0097</f>
        <v/>
      </c>
      <c r="N25" s="32">
        <f>N6*0.0091</f>
        <v/>
      </c>
      <c r="O25" s="32">
        <f>O6*0.0085</f>
        <v/>
      </c>
      <c r="P25" s="32">
        <f>P6*0.0079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IFERROR(SUM(Financials!M15:P15)/B35,"")</f>
        <v/>
      </c>
      <c r="D37" s="48">
        <f>IFERROR(SUM(Financials!Q15:T15)/C35,"")</f>
        <v/>
      </c>
      <c r="E37" s="48">
        <f>IFERROR(SUM(Financials!U15:X15)/D35,"")</f>
        <v/>
      </c>
      <c r="F37" s="48">
        <f>IFERROR(SUM(Financials!Y15:AB15)/E35,"")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189.466</v>
      </c>
      <c r="C3" s="18" t="n">
        <v>223.595</v>
      </c>
      <c r="D3" s="18" t="n">
        <v>223.222</v>
      </c>
      <c r="E3" s="18" t="n">
        <v>254.789</v>
      </c>
      <c r="F3" s="18" t="n">
        <v>247.954</v>
      </c>
      <c r="G3" s="18" t="n">
        <v>307.268</v>
      </c>
      <c r="H3" s="18" t="n">
        <v>286.212</v>
      </c>
      <c r="I3" s="18" t="n">
        <v>324.119</v>
      </c>
      <c r="J3" s="18" t="n">
        <v>330.393</v>
      </c>
      <c r="K3" s="18" t="n">
        <v>268.957</v>
      </c>
      <c r="L3" s="18" t="n">
        <v>278.197</v>
      </c>
      <c r="M3" s="18" t="n">
        <v>307.244</v>
      </c>
      <c r="N3" s="18" t="n">
        <v>302.922</v>
      </c>
      <c r="O3" s="18" t="n">
        <v>218.836</v>
      </c>
      <c r="P3" s="18" t="n">
        <v>236.051</v>
      </c>
      <c r="Q3" s="18" t="n">
        <v>214.465</v>
      </c>
      <c r="R3" s="18" t="n">
        <v>264.972</v>
      </c>
      <c r="S3" s="18" t="n">
        <v>223.137</v>
      </c>
      <c r="T3" s="18" t="n">
        <v>313.472</v>
      </c>
      <c r="U3" s="18" t="n">
        <v>296.806</v>
      </c>
      <c r="V3" s="18" t="n">
        <v>299.064</v>
      </c>
      <c r="W3" s="18" t="n">
        <v>308.253</v>
      </c>
      <c r="X3" s="18" t="n">
        <v>380.516</v>
      </c>
      <c r="Y3" s="18" t="n">
        <v>470.411</v>
      </c>
      <c r="Z3" s="18" t="n">
        <v>503.218</v>
      </c>
      <c r="AA3" s="18" t="n">
        <v>476.257</v>
      </c>
      <c r="AB3" s="18" t="n">
        <v>878.005753</v>
      </c>
      <c r="AC3" s="18" t="n">
        <v>888.982094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122.361</v>
      </c>
      <c r="C5" s="18" t="n">
        <v>128.02</v>
      </c>
      <c r="D5" s="18" t="n">
        <v>127.409</v>
      </c>
      <c r="E5" s="18" t="n">
        <v>131.749</v>
      </c>
      <c r="F5" s="18" t="n">
        <v>123.872</v>
      </c>
      <c r="G5" s="18" t="n">
        <v>130.72</v>
      </c>
      <c r="H5" s="18" t="n">
        <v>124.31</v>
      </c>
      <c r="I5" s="18" t="n">
        <v>148.956</v>
      </c>
      <c r="J5" s="18" t="n">
        <v>148.753</v>
      </c>
      <c r="K5" s="18" t="n">
        <v>117.505</v>
      </c>
      <c r="L5" s="18" t="n">
        <v>127.525</v>
      </c>
      <c r="M5" s="18" t="n">
        <v>127.396</v>
      </c>
      <c r="N5" s="18" t="n">
        <v>140.625</v>
      </c>
      <c r="O5" s="18" t="n">
        <v>116.683</v>
      </c>
      <c r="P5" s="18" t="n">
        <v>114.87</v>
      </c>
      <c r="Q5" s="18" t="n">
        <v>96.964</v>
      </c>
      <c r="R5" s="18" t="n">
        <v>113.116</v>
      </c>
      <c r="S5" s="18" t="n">
        <v>96.24299999999999</v>
      </c>
      <c r="T5" s="18" t="n">
        <v>136.284</v>
      </c>
      <c r="U5" s="18" t="n">
        <v>125.231</v>
      </c>
      <c r="V5" s="18" t="n">
        <v>112.872</v>
      </c>
      <c r="W5" s="18" t="n">
        <v>110.84</v>
      </c>
      <c r="X5" s="18" t="n">
        <v>133.109</v>
      </c>
      <c r="Y5" s="18" t="n">
        <v>151.328</v>
      </c>
      <c r="Z5" s="18" t="n">
        <v>150.171</v>
      </c>
      <c r="AA5" s="18" t="n">
        <v>74.303</v>
      </c>
      <c r="AB5" s="18" t="n">
        <v>204.631833</v>
      </c>
      <c r="AC5" s="18" t="n">
        <v>199.720664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12.249</v>
      </c>
      <c r="C9" s="18" t="n">
        <v>14.028</v>
      </c>
      <c r="D9" s="18" t="n">
        <v>10.328</v>
      </c>
      <c r="E9" s="18" t="n">
        <v>12.329</v>
      </c>
      <c r="F9" s="18" t="n">
        <v>21.799</v>
      </c>
      <c r="G9" s="18" t="n">
        <v>19.132</v>
      </c>
      <c r="H9" s="18" t="n">
        <v>1.71</v>
      </c>
      <c r="I9" s="18" t="n">
        <v>10.986</v>
      </c>
      <c r="J9" s="18" t="n">
        <v>16.162</v>
      </c>
      <c r="K9" s="18" t="n">
        <v>11.66</v>
      </c>
      <c r="L9" s="18" t="n">
        <v>13.681</v>
      </c>
      <c r="M9" s="18" t="n">
        <v>18.595</v>
      </c>
      <c r="N9" s="18" t="n">
        <v>10.504</v>
      </c>
      <c r="O9" s="18" t="n">
        <v>7.926</v>
      </c>
      <c r="P9" s="18" t="n">
        <v>16.369</v>
      </c>
      <c r="Q9" s="18" t="n">
        <v>16.457</v>
      </c>
      <c r="R9" s="18" t="n">
        <v>14.113</v>
      </c>
      <c r="S9" s="18" t="n">
        <v>12.49</v>
      </c>
      <c r="T9" s="18" t="n">
        <v>15.282</v>
      </c>
      <c r="U9" s="18" t="n">
        <v>10.988</v>
      </c>
      <c r="V9" s="18" t="n">
        <v>15.826</v>
      </c>
      <c r="W9" s="18" t="n">
        <v>18.596</v>
      </c>
      <c r="X9" s="18" t="n">
        <v>16.157</v>
      </c>
      <c r="Y9" s="18" t="n">
        <v>24.783</v>
      </c>
      <c r="Z9" s="18" t="n">
        <v>20.404</v>
      </c>
      <c r="AA9" s="18" t="n">
        <v>19.076</v>
      </c>
      <c r="AB9" s="18" t="n">
        <v>13.356193</v>
      </c>
      <c r="AC9" s="18" t="n">
        <v>22.339216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67.105</v>
      </c>
      <c r="C11" s="18" t="n">
        <v>95.575</v>
      </c>
      <c r="D11" s="18" t="n">
        <v>95.813</v>
      </c>
      <c r="E11" s="18" t="n">
        <v>123.04</v>
      </c>
      <c r="F11" s="18" t="n">
        <v>124.082</v>
      </c>
      <c r="G11" s="18" t="n">
        <v>176.548</v>
      </c>
      <c r="H11" s="18" t="n">
        <v>161.902</v>
      </c>
      <c r="I11" s="18" t="n">
        <v>175.163</v>
      </c>
      <c r="J11" s="18" t="n">
        <v>181.64</v>
      </c>
      <c r="K11" s="18" t="n">
        <v>151.452</v>
      </c>
      <c r="L11" s="18" t="n">
        <v>150.672</v>
      </c>
      <c r="M11" s="18" t="n">
        <v>179.848</v>
      </c>
      <c r="N11" s="18" t="n">
        <v>162.297</v>
      </c>
      <c r="O11" s="18" t="n">
        <v>102.153</v>
      </c>
      <c r="P11" s="18" t="n">
        <v>121.181</v>
      </c>
      <c r="Q11" s="18" t="n">
        <v>117.501</v>
      </c>
      <c r="R11" s="18" t="n">
        <v>151.856</v>
      </c>
      <c r="S11" s="18" t="n">
        <v>126.894</v>
      </c>
      <c r="T11" s="18" t="n">
        <v>177.188</v>
      </c>
      <c r="U11" s="18" t="n">
        <v>171.575</v>
      </c>
      <c r="V11" s="18" t="n">
        <v>186.192</v>
      </c>
      <c r="W11" s="18" t="n">
        <v>197.413</v>
      </c>
      <c r="X11" s="18" t="n">
        <v>247.407</v>
      </c>
      <c r="Y11" s="18" t="n">
        <v>319.083</v>
      </c>
      <c r="Z11" s="18" t="n">
        <v>353.047</v>
      </c>
      <c r="AA11" s="18" t="n">
        <v>401.954</v>
      </c>
      <c r="AB11" s="18" t="n">
        <v>673.373919</v>
      </c>
      <c r="AC11" s="18" t="n">
        <v>689.26143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-111.056</v>
      </c>
      <c r="C13" s="18" t="n">
        <v>81.547</v>
      </c>
      <c r="D13" s="18" t="n">
        <v>84.117</v>
      </c>
      <c r="E13" s="18" t="n">
        <v>109.859</v>
      </c>
      <c r="F13" s="18" t="n">
        <v>102.283</v>
      </c>
      <c r="G13" s="18" t="n">
        <v>155.222</v>
      </c>
      <c r="H13" s="18" t="n">
        <v>152.511</v>
      </c>
      <c r="I13" s="18" t="n">
        <v>163.192</v>
      </c>
      <c r="J13" s="18" t="n">
        <v>163.175</v>
      </c>
      <c r="K13" s="18" t="n">
        <v>137.857</v>
      </c>
      <c r="L13" s="18" t="n">
        <v>290.434</v>
      </c>
      <c r="M13" s="18" t="n">
        <v>159.73</v>
      </c>
      <c r="N13" s="18" t="n">
        <v>149.844</v>
      </c>
      <c r="O13" s="18" t="n">
        <v>102.64</v>
      </c>
      <c r="P13" s="18" t="n">
        <v>99.688</v>
      </c>
      <c r="Q13" s="18" t="n">
        <v>98.627</v>
      </c>
      <c r="R13" s="18" t="n">
        <v>135.216</v>
      </c>
      <c r="S13" s="18" t="n">
        <v>112.216</v>
      </c>
      <c r="T13" s="18" t="n">
        <v>159.211</v>
      </c>
      <c r="U13" s="18" t="n">
        <v>158.26</v>
      </c>
      <c r="V13" s="18" t="n">
        <v>169.007</v>
      </c>
      <c r="W13" s="18" t="n">
        <v>175.945</v>
      </c>
      <c r="X13" s="18" t="n">
        <v>117.621</v>
      </c>
      <c r="Y13" s="18" t="n">
        <v>290.684</v>
      </c>
      <c r="Z13" s="18" t="n">
        <v>329.695</v>
      </c>
      <c r="AA13" s="18" t="n">
        <v>315.506</v>
      </c>
      <c r="AB13" s="18" t="n">
        <v>660.017726</v>
      </c>
      <c r="AC13" s="18" t="n">
        <v>666.9222130000001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-124.694</v>
      </c>
      <c r="C15" s="18" t="n">
        <v>75.95999999999999</v>
      </c>
      <c r="D15" s="18" t="n">
        <v>77.523</v>
      </c>
      <c r="E15" s="18" t="n">
        <v>94.896</v>
      </c>
      <c r="F15" s="18" t="n">
        <v>105.812</v>
      </c>
      <c r="G15" s="18" t="n">
        <v>149.875</v>
      </c>
      <c r="H15" s="18" t="n">
        <v>157.221</v>
      </c>
      <c r="I15" s="18" t="n">
        <v>162.002</v>
      </c>
      <c r="J15" s="18" t="n">
        <v>166.124</v>
      </c>
      <c r="K15" s="18" t="n">
        <v>134.937</v>
      </c>
      <c r="L15" s="18" t="n">
        <v>291.822</v>
      </c>
      <c r="M15" s="18" t="n">
        <v>157.467</v>
      </c>
      <c r="N15" s="18" t="n">
        <v>149.074</v>
      </c>
      <c r="O15" s="18" t="n">
        <v>196.46</v>
      </c>
      <c r="P15" s="18" t="n">
        <v>166.125</v>
      </c>
      <c r="Q15" s="18" t="n">
        <v>111.391</v>
      </c>
      <c r="R15" s="18" t="n">
        <v>141.448</v>
      </c>
      <c r="S15" s="18" t="n">
        <v>116.371</v>
      </c>
      <c r="T15" s="18" t="n">
        <v>168.435</v>
      </c>
      <c r="U15" s="18" t="n">
        <v>164.041</v>
      </c>
      <c r="V15" s="18" t="n">
        <v>122.317</v>
      </c>
      <c r="W15" s="18" t="n">
        <v>154.635</v>
      </c>
      <c r="X15" s="18" t="n">
        <v>88.14700000000001</v>
      </c>
      <c r="Y15" s="18" t="n">
        <v>253.984</v>
      </c>
      <c r="Z15" s="18" t="n">
        <v>292.27</v>
      </c>
      <c r="AA15" s="18" t="n">
        <v>367.216</v>
      </c>
      <c r="AB15" s="18" t="n">
        <v>566.831012</v>
      </c>
      <c r="AC15" s="18" t="n">
        <v>573.981683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446.47</v>
      </c>
      <c r="C17" s="18" t="n">
        <v>447.849</v>
      </c>
      <c r="D17" s="18" t="n">
        <v>448.891</v>
      </c>
      <c r="E17" s="18" t="n">
        <v>448.891</v>
      </c>
      <c r="F17" s="18" t="n">
        <v>450.042</v>
      </c>
      <c r="G17" s="18" t="n">
        <v>451.999</v>
      </c>
      <c r="H17" s="18" t="n">
        <v>450.6</v>
      </c>
      <c r="I17" s="18" t="n">
        <v>450.6</v>
      </c>
      <c r="J17" s="18" t="n">
        <v>451.203</v>
      </c>
      <c r="K17" s="18" t="n">
        <v>451.717</v>
      </c>
      <c r="L17" s="18" t="n">
        <v>451.717</v>
      </c>
      <c r="M17" s="18" t="n">
        <v>451.953</v>
      </c>
      <c r="N17" s="18" t="n">
        <v>452.359</v>
      </c>
      <c r="O17" s="18" t="n">
        <v>452.386</v>
      </c>
      <c r="P17" s="18" t="n">
        <v>452.778</v>
      </c>
      <c r="Q17" s="18" t="n">
        <v>453.159</v>
      </c>
      <c r="R17" s="18" t="n">
        <v>453.575</v>
      </c>
      <c r="S17" s="18" t="n">
        <v>453.538</v>
      </c>
      <c r="T17" s="18" t="n">
        <v>453.611</v>
      </c>
      <c r="U17" s="18" t="n">
        <v>453.666</v>
      </c>
      <c r="V17" s="18" t="n">
        <v>454.104</v>
      </c>
      <c r="W17" s="18" t="n">
        <v>454.302</v>
      </c>
      <c r="X17" s="18" t="n">
        <v>454.361</v>
      </c>
      <c r="Y17" s="18" t="n">
        <v>454.428</v>
      </c>
      <c r="Z17" s="18" t="n">
        <v>454.663</v>
      </c>
      <c r="AA17" s="18" t="n">
        <v>454.768</v>
      </c>
      <c r="AB17" s="18" t="n">
        <v>454.841</v>
      </c>
      <c r="AC17" s="18" t="n">
        <v>454.955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87.182</v>
      </c>
      <c r="C19" s="18" t="n">
        <v>151.626</v>
      </c>
      <c r="D19" s="18" t="n">
        <v>103.986</v>
      </c>
      <c r="E19" s="18" t="n">
        <v>126.676</v>
      </c>
      <c r="F19" s="18" t="n">
        <v>131.764</v>
      </c>
      <c r="G19" s="18" t="n">
        <v>209.834</v>
      </c>
      <c r="H19" s="18" t="n">
        <v>192.683</v>
      </c>
      <c r="I19" s="18" t="n">
        <v>191.162</v>
      </c>
      <c r="J19" s="18" t="n">
        <v>235.446</v>
      </c>
      <c r="K19" s="18" t="n">
        <v>372.45</v>
      </c>
      <c r="L19" s="18" t="n">
        <v>226.045</v>
      </c>
      <c r="M19" s="18" t="n">
        <v>376.163</v>
      </c>
      <c r="N19" s="18" t="n">
        <v>448.626</v>
      </c>
      <c r="O19" s="18" t="n">
        <v>494.618</v>
      </c>
      <c r="P19" s="18" t="n">
        <v>696.0890000000001</v>
      </c>
      <c r="Q19" s="18" t="n">
        <v>799.697</v>
      </c>
      <c r="R19" s="18" t="n">
        <v>828.837</v>
      </c>
      <c r="S19" s="18" t="n">
        <v>833.919</v>
      </c>
      <c r="T19" s="18" t="n">
        <v>546.527</v>
      </c>
      <c r="U19" s="18" t="n">
        <v>306.109</v>
      </c>
      <c r="V19" s="18" t="n">
        <v>540.217</v>
      </c>
      <c r="W19" s="18" t="n">
        <v>694.085</v>
      </c>
      <c r="X19" s="18" t="n">
        <v>818.1660000000001</v>
      </c>
      <c r="Y19" s="18" t="n">
        <v>1085.581</v>
      </c>
      <c r="Z19" s="18" t="n">
        <v>1005.885</v>
      </c>
      <c r="AA19" s="18" t="n">
        <v>1157.706</v>
      </c>
      <c r="AB19" s="18" t="n">
        <v>1151.493633</v>
      </c>
      <c r="AC19" s="18" t="n">
        <v>2171.623637</v>
      </c>
    </row>
    <row r="20">
      <c r="A20" s="4" t="inlineStr">
        <is>
          <t>Total Current Assets</t>
        </is>
      </c>
      <c r="B20" s="18" t="n">
        <v>91.28400000000001</v>
      </c>
      <c r="C20" s="18" t="n">
        <v>157.406</v>
      </c>
      <c r="D20" s="18" t="n">
        <v>154.752</v>
      </c>
      <c r="E20" s="18" t="n">
        <v>172.936</v>
      </c>
      <c r="F20" s="18" t="n">
        <v>180.275</v>
      </c>
      <c r="G20" s="18" t="n">
        <v>221.798</v>
      </c>
      <c r="H20" s="18" t="n">
        <v>201.831</v>
      </c>
      <c r="I20" s="18" t="n">
        <v>201.484</v>
      </c>
      <c r="J20" s="18" t="n">
        <v>254.448</v>
      </c>
      <c r="K20" s="18" t="n">
        <v>392.716</v>
      </c>
      <c r="L20" s="18" t="n">
        <v>249.724</v>
      </c>
      <c r="M20" s="18" t="n">
        <v>413.977</v>
      </c>
      <c r="N20" s="18" t="n">
        <v>478.336</v>
      </c>
      <c r="O20" s="18" t="n">
        <v>520.918</v>
      </c>
      <c r="P20" s="18" t="n">
        <v>720.093</v>
      </c>
      <c r="Q20" s="18" t="n">
        <v>822.095</v>
      </c>
      <c r="R20" s="18" t="n">
        <v>849.447</v>
      </c>
      <c r="S20" s="18" t="n">
        <v>856.193</v>
      </c>
      <c r="T20" s="18" t="n">
        <v>567.4109999999999</v>
      </c>
      <c r="U20" s="18" t="n">
        <v>320.848</v>
      </c>
      <c r="V20" s="18" t="n">
        <v>558.813</v>
      </c>
      <c r="W20" s="18" t="n">
        <v>709.85</v>
      </c>
      <c r="X20" s="18" t="n">
        <v>828.08</v>
      </c>
      <c r="Y20" s="18" t="n">
        <v>1097.167</v>
      </c>
      <c r="Z20" s="18" t="n">
        <v>1026.196</v>
      </c>
      <c r="AA20" s="18" t="n">
        <v>1203.186</v>
      </c>
      <c r="AB20" s="18" t="n">
        <v>1201.977593</v>
      </c>
      <c r="AC20" s="18" t="n">
        <v>2192.785004</v>
      </c>
    </row>
    <row r="21">
      <c r="A21" s="4" t="inlineStr">
        <is>
          <t>PP&amp;E (net)</t>
        </is>
      </c>
      <c r="B21" s="18" t="n">
        <v>5868.76</v>
      </c>
      <c r="C21" s="18" t="n">
        <v>5805.265</v>
      </c>
      <c r="D21" s="18" t="n">
        <v>5741.417</v>
      </c>
      <c r="E21" s="18" t="n">
        <v>5676.204</v>
      </c>
      <c r="F21" s="18" t="n">
        <v>5617.25</v>
      </c>
      <c r="G21" s="18" t="n">
        <v>5554.311</v>
      </c>
      <c r="H21" s="18" t="n">
        <v>5494.68</v>
      </c>
      <c r="I21" s="18" t="n">
        <v>5574.355</v>
      </c>
      <c r="J21" s="18" t="n">
        <v>5569.499</v>
      </c>
      <c r="K21" s="18" t="n">
        <v>5511.453</v>
      </c>
      <c r="L21" s="18" t="n">
        <v>5911.306</v>
      </c>
      <c r="M21" s="18" t="n">
        <v>5900.067</v>
      </c>
      <c r="N21" s="18" t="n">
        <v>5846.292</v>
      </c>
      <c r="O21" s="18" t="n">
        <v>5811.561</v>
      </c>
      <c r="P21" s="18" t="n">
        <v>5711.229</v>
      </c>
      <c r="Q21" s="18" t="n">
        <v>5700.791</v>
      </c>
      <c r="R21" s="18" t="n">
        <v>5699.624</v>
      </c>
      <c r="S21" s="18" t="n">
        <v>5745.546</v>
      </c>
      <c r="T21" s="18" t="n">
        <v>6130.079</v>
      </c>
      <c r="U21" s="18" t="n">
        <v>6518.763</v>
      </c>
      <c r="V21" s="18" t="n">
        <v>6495.304</v>
      </c>
      <c r="W21" s="18" t="n">
        <v>6463.658</v>
      </c>
      <c r="X21" s="18" t="n">
        <v>6388.271</v>
      </c>
      <c r="Y21" s="18" t="n">
        <v>6409.469</v>
      </c>
      <c r="Z21" s="18" t="n">
        <v>6767.739</v>
      </c>
      <c r="AA21" s="18" t="n">
        <v>6847.662</v>
      </c>
      <c r="AB21" s="18" t="n">
        <v>7433.942674</v>
      </c>
      <c r="AC21" s="18" t="n">
        <v>7454.379644</v>
      </c>
    </row>
    <row r="22">
      <c r="A22" s="4" t="inlineStr">
        <is>
          <t>Total Assets</t>
        </is>
      </c>
      <c r="B22" s="18" t="n">
        <v>6240.823</v>
      </c>
      <c r="C22" s="18" t="n">
        <v>6258.859</v>
      </c>
      <c r="D22" s="18" t="n">
        <v>6278.007</v>
      </c>
      <c r="E22" s="18" t="n">
        <v>6076.941</v>
      </c>
      <c r="F22" s="18" t="n">
        <v>6134.044</v>
      </c>
      <c r="G22" s="18" t="n">
        <v>6091.187</v>
      </c>
      <c r="H22" s="18" t="n">
        <v>5957.272</v>
      </c>
      <c r="I22" s="18" t="n">
        <v>5928.412</v>
      </c>
      <c r="J22" s="18" t="n">
        <v>5981.466</v>
      </c>
      <c r="K22" s="18" t="n">
        <v>6046.74</v>
      </c>
      <c r="L22" s="18" t="n">
        <v>6296.151</v>
      </c>
      <c r="M22" s="18" t="n">
        <v>6470.033</v>
      </c>
      <c r="N22" s="18" t="n">
        <v>6448.695</v>
      </c>
      <c r="O22" s="18" t="n">
        <v>6587.595</v>
      </c>
      <c r="P22" s="18" t="n">
        <v>6759.906</v>
      </c>
      <c r="Q22" s="18" t="n">
        <v>6905.479</v>
      </c>
      <c r="R22" s="18" t="n">
        <v>6879.905</v>
      </c>
      <c r="S22" s="18" t="n">
        <v>6881.515</v>
      </c>
      <c r="T22" s="18" t="n">
        <v>7031.185</v>
      </c>
      <c r="U22" s="18" t="n">
        <v>7180.455</v>
      </c>
      <c r="V22" s="18" t="n">
        <v>7247.082</v>
      </c>
      <c r="W22" s="18" t="n">
        <v>7386.179</v>
      </c>
      <c r="X22" s="18" t="n">
        <v>7424.457</v>
      </c>
      <c r="Y22" s="18" t="n">
        <v>7739.297</v>
      </c>
      <c r="Z22" s="18" t="n">
        <v>7982.385</v>
      </c>
      <c r="AA22" s="18" t="n">
        <v>8419.518</v>
      </c>
      <c r="AB22" s="18" t="n">
        <v>9153.488653</v>
      </c>
      <c r="AC22" s="18" t="n">
        <v>9878.577225000001</v>
      </c>
    </row>
    <row r="23">
      <c r="A23" s="4" t="inlineStr">
        <is>
          <t>Total Current Liabilities</t>
        </is>
      </c>
      <c r="B23" s="18" t="n">
        <v>25.041</v>
      </c>
      <c r="C23" s="18" t="n">
        <v>33.677</v>
      </c>
      <c r="D23" s="18" t="n">
        <v>64.7</v>
      </c>
      <c r="E23" s="18" t="n">
        <v>116.627</v>
      </c>
      <c r="F23" s="18" t="n">
        <v>66.068</v>
      </c>
      <c r="G23" s="18" t="n">
        <v>36.587</v>
      </c>
      <c r="H23" s="18" t="n">
        <v>31.169</v>
      </c>
      <c r="I23" s="18" t="n">
        <v>96.97199999999999</v>
      </c>
      <c r="J23" s="18" t="n">
        <v>26.802</v>
      </c>
      <c r="K23" s="18" t="n">
        <v>28.817</v>
      </c>
      <c r="L23" s="18" t="n">
        <v>29.691</v>
      </c>
      <c r="M23" s="18" t="n">
        <v>111.941</v>
      </c>
      <c r="N23" s="18" t="n">
        <v>22.456</v>
      </c>
      <c r="O23" s="18" t="n">
        <v>28.647</v>
      </c>
      <c r="P23" s="18" t="n">
        <v>30.717</v>
      </c>
      <c r="Q23" s="18" t="n">
        <v>85.51600000000001</v>
      </c>
      <c r="R23" s="18" t="n">
        <v>18.879</v>
      </c>
      <c r="S23" s="18" t="n">
        <v>21.993</v>
      </c>
      <c r="T23" s="18" t="n">
        <v>26.075</v>
      </c>
      <c r="U23" s="18" t="n">
        <v>87.958</v>
      </c>
      <c r="V23" s="18" t="n">
        <v>20.806</v>
      </c>
      <c r="W23" s="18" t="n">
        <v>27.612</v>
      </c>
      <c r="X23" s="18" t="n">
        <v>29.504</v>
      </c>
      <c r="Y23" s="18" t="n">
        <v>96.449</v>
      </c>
      <c r="Z23" s="18" t="n">
        <v>139.128</v>
      </c>
      <c r="AA23" s="18" t="n">
        <v>148.743</v>
      </c>
      <c r="AB23" s="18" t="n">
        <v>154.405492</v>
      </c>
      <c r="AC23" s="18" t="n">
        <v>483.937358</v>
      </c>
    </row>
    <row r="24">
      <c r="A24" s="4" t="inlineStr">
        <is>
          <t>Long-term Debt</t>
        </is>
      </c>
      <c r="B24" s="18" t="n">
        <v>1095.5</v>
      </c>
      <c r="C24" s="18" t="n">
        <v>1013.5</v>
      </c>
      <c r="D24" s="18" t="n">
        <v>874.5</v>
      </c>
      <c r="E24" s="18" t="n">
        <v>715.5</v>
      </c>
      <c r="F24" s="18" t="n">
        <v>640.5</v>
      </c>
      <c r="G24" s="18" t="n">
        <v>487.5</v>
      </c>
      <c r="H24" s="18" t="n">
        <v>195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A25" s="4" t="inlineStr">
        <is>
          <t>Total Equity</t>
        </is>
      </c>
      <c r="B25" s="18" t="n">
        <v>5111.946</v>
      </c>
      <c r="C25" s="18" t="n">
        <v>5201.444</v>
      </c>
      <c r="D25" s="18" t="n">
        <v>5325.92</v>
      </c>
      <c r="E25" s="18" t="n">
        <v>5238.226</v>
      </c>
      <c r="F25" s="18" t="n">
        <v>5416.943</v>
      </c>
      <c r="G25" s="18" t="n">
        <v>5551.338</v>
      </c>
      <c r="H25" s="18" t="n">
        <v>5714.571</v>
      </c>
      <c r="I25" s="18" t="n">
        <v>5823.427</v>
      </c>
      <c r="J25" s="18" t="n">
        <v>5943.264</v>
      </c>
      <c r="K25" s="18" t="n">
        <v>6004.353</v>
      </c>
      <c r="L25" s="18" t="n">
        <v>6250.117</v>
      </c>
      <c r="M25" s="18" t="n">
        <v>6349.461</v>
      </c>
      <c r="N25" s="18" t="n">
        <v>6416.801</v>
      </c>
      <c r="O25" s="18" t="n">
        <v>6548.812</v>
      </c>
      <c r="P25" s="18" t="n">
        <v>6717.675</v>
      </c>
      <c r="Q25" s="18" t="n">
        <v>6812.454</v>
      </c>
      <c r="R25" s="18" t="n">
        <v>6846.413</v>
      </c>
      <c r="S25" s="18" t="n">
        <v>6843.261</v>
      </c>
      <c r="T25" s="18" t="n">
        <v>6985.516</v>
      </c>
      <c r="U25" s="18" t="n">
        <v>7079.195</v>
      </c>
      <c r="V25" s="18" t="n">
        <v>7159.672</v>
      </c>
      <c r="W25" s="18" t="n">
        <v>7260.014</v>
      </c>
      <c r="X25" s="18" t="n">
        <v>7259.379</v>
      </c>
      <c r="Y25" s="18" t="n">
        <v>7466.142</v>
      </c>
      <c r="Z25" s="18" t="n">
        <v>7725.706</v>
      </c>
      <c r="AA25" s="18" t="n">
        <v>8092.757</v>
      </c>
      <c r="AB25" s="18" t="n">
        <v>8674.692579</v>
      </c>
      <c r="AC25" s="18" t="n">
        <v>9273.677347999999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61.871</v>
      </c>
      <c r="C27" s="18" t="n">
        <v>63.845</v>
      </c>
      <c r="D27" s="18" t="n">
        <v>64.14</v>
      </c>
      <c r="E27" s="18" t="n">
        <v>65.352</v>
      </c>
      <c r="F27" s="18" t="n">
        <v>59.14</v>
      </c>
      <c r="G27" s="18" t="n">
        <v>61.05</v>
      </c>
      <c r="H27" s="18" t="n">
        <v>60.237</v>
      </c>
      <c r="I27" s="18" t="n">
        <v>70.649</v>
      </c>
      <c r="J27" s="18" t="n">
        <v>70.77500000000001</v>
      </c>
      <c r="K27" s="18" t="n">
        <v>55.445</v>
      </c>
      <c r="L27" s="18" t="n">
        <v>59.816</v>
      </c>
      <c r="M27" s="18" t="n">
        <v>57.795</v>
      </c>
      <c r="N27" s="18" t="n">
        <v>66.08</v>
      </c>
      <c r="O27" s="18" t="n">
        <v>56.129</v>
      </c>
      <c r="P27" s="18" t="n">
        <v>53.535</v>
      </c>
      <c r="Q27" s="18" t="n">
        <v>45.39</v>
      </c>
      <c r="R27" s="18" t="n">
        <v>54.857</v>
      </c>
      <c r="S27" s="18" t="n">
        <v>46.784</v>
      </c>
      <c r="T27" s="18" t="n">
        <v>68.895</v>
      </c>
      <c r="U27" s="18" t="n">
        <v>64.01300000000001</v>
      </c>
      <c r="V27" s="18" t="n">
        <v>59.211</v>
      </c>
      <c r="W27" s="18" t="n">
        <v>55.887</v>
      </c>
      <c r="X27" s="18" t="n">
        <v>69.19199999999999</v>
      </c>
      <c r="Y27" s="18" t="n">
        <v>76.994</v>
      </c>
      <c r="Z27" s="18" t="n">
        <v>75.322</v>
      </c>
      <c r="AA27" s="18" t="n">
        <v>66.272999</v>
      </c>
      <c r="AB27" s="18" t="n">
        <v>87.90881299999999</v>
      </c>
      <c r="AC27" s="18" t="n">
        <v>76.212496</v>
      </c>
    </row>
    <row r="28">
      <c r="A28" s="4" t="inlineStr">
        <is>
          <t>Stock-based Compensation</t>
        </is>
      </c>
      <c r="B28" s="18" t="n">
        <v>2.249</v>
      </c>
      <c r="C28" s="18" t="n">
        <v>6.25</v>
      </c>
      <c r="D28" s="18" t="n">
        <v>4.262</v>
      </c>
      <c r="E28" s="18" t="n">
        <v>4.78</v>
      </c>
      <c r="F28" s="18" t="n">
        <v>0.437</v>
      </c>
      <c r="G28" s="18" t="n">
        <v>10.644</v>
      </c>
      <c r="H28" s="18" t="n">
        <v>-1.031</v>
      </c>
      <c r="I28" s="18" t="n">
        <v>1.63</v>
      </c>
      <c r="J28" s="18" t="n">
        <v>-8.951000000000001</v>
      </c>
      <c r="K28" s="18" t="n">
        <v>4.139</v>
      </c>
      <c r="L28" s="18" t="n">
        <v>5.519</v>
      </c>
      <c r="M28" s="18" t="n">
        <v>9.901999999999999</v>
      </c>
      <c r="N28" s="18" t="n">
        <v>1.608</v>
      </c>
      <c r="O28" s="18" t="n">
        <v>0.077</v>
      </c>
      <c r="P28" s="18" t="n">
        <v>8.474</v>
      </c>
      <c r="Q28" s="18" t="n">
        <v>7.397</v>
      </c>
      <c r="R28" s="18" t="n">
        <v>4.484</v>
      </c>
      <c r="S28" s="18" t="n">
        <v>4.336</v>
      </c>
      <c r="T28" s="18" t="n">
        <v>6.527</v>
      </c>
      <c r="U28" s="18" t="n">
        <v>1.281</v>
      </c>
      <c r="V28" s="18" t="n">
        <v>6.241</v>
      </c>
      <c r="W28" s="18" t="n">
        <v>9.628</v>
      </c>
      <c r="X28" s="18" t="n">
        <v>6.118</v>
      </c>
      <c r="Y28" s="18" t="n">
        <v>12.181</v>
      </c>
      <c r="Z28" s="18" t="n">
        <v>9.962</v>
      </c>
      <c r="AA28" s="18" t="n">
        <v>8.651999999999999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4.659</v>
      </c>
      <c r="C29" s="18" t="n">
        <v>2.093</v>
      </c>
      <c r="D29" s="18" t="n">
        <v>-11.416</v>
      </c>
      <c r="E29" s="18" t="n">
        <v>4.62</v>
      </c>
      <c r="F29" s="18" t="n">
        <v>-5.505</v>
      </c>
      <c r="G29" s="18" t="n">
        <v>3.656</v>
      </c>
      <c r="H29" s="18" t="n">
        <v>-1.746</v>
      </c>
      <c r="I29" s="18" t="n">
        <v>-1.972</v>
      </c>
      <c r="J29" s="18" t="n">
        <v>-7.803</v>
      </c>
      <c r="K29" s="18" t="n">
        <v>4.434</v>
      </c>
      <c r="L29" s="18" t="n">
        <v>-2.731</v>
      </c>
      <c r="M29" s="18" t="n">
        <v>-15.918</v>
      </c>
      <c r="N29" s="18" t="n">
        <v>7.365</v>
      </c>
      <c r="O29" s="18" t="n">
        <v>4.728</v>
      </c>
      <c r="P29" s="18" t="n">
        <v>5.398</v>
      </c>
      <c r="Q29" s="18" t="n">
        <v>-2.072</v>
      </c>
      <c r="R29" s="18" t="n">
        <v>1.685</v>
      </c>
      <c r="S29" s="18" t="n">
        <v>-0.489</v>
      </c>
      <c r="T29" s="18" t="n">
        <v>2.788</v>
      </c>
      <c r="U29" s="18" t="n">
        <v>2.155</v>
      </c>
      <c r="V29" s="18" t="n">
        <v>-3.664</v>
      </c>
      <c r="W29" s="18" t="n">
        <v>2.837</v>
      </c>
      <c r="X29" s="18" t="n">
        <v>3.097</v>
      </c>
      <c r="Y29" s="18" t="n">
        <v>-7.742</v>
      </c>
      <c r="Z29" s="18" t="n">
        <v>-6.709</v>
      </c>
      <c r="AA29" s="18" t="n">
        <v>-17.512</v>
      </c>
      <c r="AB29" s="18" t="n">
        <v>1.60316</v>
      </c>
      <c r="AC29" s="18" t="n">
        <v>18.515919</v>
      </c>
    </row>
    <row r="30">
      <c r="A30" s="4" t="inlineStr">
        <is>
          <t>Operating Cash Flow</t>
        </is>
      </c>
      <c r="B30" s="18" t="n">
        <v>109.258</v>
      </c>
      <c r="C30" s="18" t="n">
        <v>142.3</v>
      </c>
      <c r="D30" s="18" t="n">
        <v>131.867</v>
      </c>
      <c r="E30" s="18" t="n">
        <v>177.588</v>
      </c>
      <c r="F30" s="18" t="n">
        <v>151.793</v>
      </c>
      <c r="G30" s="18" t="n">
        <v>228.099</v>
      </c>
      <c r="H30" s="18" t="n">
        <v>207.962</v>
      </c>
      <c r="I30" s="18" t="n">
        <v>232.154</v>
      </c>
      <c r="J30" s="18" t="n">
        <v>216.415</v>
      </c>
      <c r="K30" s="18" t="n">
        <v>201.287</v>
      </c>
      <c r="L30" s="18" t="n">
        <v>195.289</v>
      </c>
      <c r="M30" s="18" t="n">
        <v>210.54</v>
      </c>
      <c r="N30" s="18" t="n">
        <v>206.359</v>
      </c>
      <c r="O30" s="18" t="n">
        <v>154.497</v>
      </c>
      <c r="P30" s="18" t="n">
        <v>172.028</v>
      </c>
      <c r="Q30" s="18" t="n">
        <v>135.104</v>
      </c>
      <c r="R30" s="18" t="n">
        <v>202.376</v>
      </c>
      <c r="S30" s="18" t="n">
        <v>171.103</v>
      </c>
      <c r="T30" s="18" t="n">
        <v>242.225</v>
      </c>
      <c r="U30" s="18" t="n">
        <v>219.38</v>
      </c>
      <c r="V30" s="18" t="n">
        <v>234.393</v>
      </c>
      <c r="W30" s="18" t="n">
        <v>254.337</v>
      </c>
      <c r="X30" s="18" t="n">
        <v>319.471</v>
      </c>
      <c r="Y30" s="18" t="n">
        <v>360.793</v>
      </c>
      <c r="Z30" s="18" t="n">
        <v>414.959</v>
      </c>
      <c r="AA30" s="18" t="n">
        <v>382.953</v>
      </c>
      <c r="AB30" s="18" t="n">
        <v>758.798233</v>
      </c>
      <c r="AC30" s="18" t="n">
        <v>752.212204</v>
      </c>
    </row>
    <row r="31">
      <c r="A31" s="4" t="inlineStr">
        <is>
          <t>Capex</t>
        </is>
      </c>
      <c r="B31" s="18" t="n">
        <v>-0.75</v>
      </c>
      <c r="C31" s="18" t="n">
        <v>-0.759</v>
      </c>
      <c r="D31" s="18" t="n">
        <v>-1.524</v>
      </c>
      <c r="E31" s="18" t="n">
        <v>-0.75</v>
      </c>
      <c r="F31" s="18" t="n">
        <v>0</v>
      </c>
      <c r="G31" s="18" t="n">
        <v>-0.79</v>
      </c>
      <c r="H31" s="18" t="n">
        <v>-0.282</v>
      </c>
      <c r="I31" s="18" t="n">
        <v>-155.33</v>
      </c>
      <c r="J31" s="18" t="n">
        <v>-64.78100000000001</v>
      </c>
      <c r="K31" s="18" t="n">
        <v>-1.805</v>
      </c>
      <c r="L31" s="18" t="n">
        <v>-304.046</v>
      </c>
      <c r="M31" s="18" t="n">
        <v>-46.002</v>
      </c>
      <c r="N31" s="18" t="n">
        <v>-15.549</v>
      </c>
      <c r="O31" s="18" t="n">
        <v>-47.564</v>
      </c>
      <c r="P31" s="18" t="n">
        <v>-44.314</v>
      </c>
      <c r="Q31" s="18" t="n">
        <v>-32.303</v>
      </c>
      <c r="R31" s="18" t="n">
        <v>-88.70999999999999</v>
      </c>
      <c r="S31" s="18" t="n">
        <v>-94.562</v>
      </c>
      <c r="T31" s="18" t="n">
        <v>-460.325</v>
      </c>
      <c r="U31" s="18" t="n">
        <v>-462.849</v>
      </c>
      <c r="V31" s="18" t="n">
        <v>-45.683</v>
      </c>
      <c r="W31" s="18" t="n">
        <v>-30.832</v>
      </c>
      <c r="X31" s="18" t="n">
        <v>-118.965</v>
      </c>
      <c r="Y31" s="18" t="n">
        <v>-95.73999999999999</v>
      </c>
      <c r="Z31" s="18" t="n">
        <v>-347.951</v>
      </c>
      <c r="AA31" s="18" t="n">
        <v>-250.63</v>
      </c>
      <c r="AB31" s="18" t="n">
        <v>-657.875845</v>
      </c>
      <c r="AC31" s="18" t="n">
        <v>-60.30691</v>
      </c>
    </row>
    <row r="32">
      <c r="A32" s="4" t="inlineStr">
        <is>
          <t>Free Cash Flow</t>
        </is>
      </c>
      <c r="B32" s="18" t="n">
        <v>108.508</v>
      </c>
      <c r="C32" s="18" t="n">
        <v>141.541</v>
      </c>
      <c r="D32" s="18" t="n">
        <v>130.343</v>
      </c>
      <c r="E32" s="18" t="n">
        <v>176.838</v>
      </c>
      <c r="F32" s="18" t="n">
        <v>151.793</v>
      </c>
      <c r="G32" s="18" t="n">
        <v>227.309</v>
      </c>
      <c r="H32" s="18" t="n">
        <v>207.68</v>
      </c>
      <c r="I32" s="18" t="n">
        <v>76.824</v>
      </c>
      <c r="J32" s="18" t="n">
        <v>151.634</v>
      </c>
      <c r="K32" s="18" t="n">
        <v>199.482</v>
      </c>
      <c r="L32" s="18" t="n">
        <v>-108.757</v>
      </c>
      <c r="M32" s="18" t="n">
        <v>164.538</v>
      </c>
      <c r="N32" s="18" t="n">
        <v>190.81</v>
      </c>
      <c r="O32" s="18" t="n">
        <v>106.933</v>
      </c>
      <c r="P32" s="18" t="n">
        <v>127.714</v>
      </c>
      <c r="Q32" s="18" t="n">
        <v>102.801</v>
      </c>
      <c r="R32" s="18" t="n">
        <v>113.666</v>
      </c>
      <c r="S32" s="18" t="n">
        <v>76.541</v>
      </c>
      <c r="T32" s="18" t="n">
        <v>-218.1</v>
      </c>
      <c r="U32" s="18" t="n">
        <v>-243.469</v>
      </c>
      <c r="V32" s="18" t="n">
        <v>188.71</v>
      </c>
      <c r="W32" s="18" t="n">
        <v>223.505</v>
      </c>
      <c r="X32" s="18" t="n">
        <v>200.506</v>
      </c>
      <c r="Y32" s="18" t="n">
        <v>265.053</v>
      </c>
      <c r="Z32" s="18" t="n">
        <v>67.008</v>
      </c>
      <c r="AA32" s="18" t="n">
        <v>132.322999</v>
      </c>
      <c r="AB32" s="18" t="n">
        <v>100.922388</v>
      </c>
      <c r="AC32" s="18" t="n">
        <v>691.905294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4110.325884</v>
      </c>
      <c r="C4" s="18" t="n">
        <v>4505.438359</v>
      </c>
      <c r="D4" s="18" t="n">
        <v>4358.576074</v>
      </c>
      <c r="E4" s="18" t="n">
        <v>4077.333</v>
      </c>
      <c r="F4" s="18" t="n">
        <v>3910.65625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3245.623156</v>
      </c>
      <c r="C8" s="18" t="n">
        <v>3557.614525</v>
      </c>
      <c r="D8" s="18" t="n">
        <v>3441.64814</v>
      </c>
      <c r="E8" s="18" t="n">
        <v>3219.571093</v>
      </c>
      <c r="F8" s="18" t="n">
        <v>3087.958678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2447.784993</v>
      </c>
      <c r="C12" s="18" t="n">
        <v>2683.082732</v>
      </c>
      <c r="D12" s="18" t="n">
        <v>2595.623171</v>
      </c>
      <c r="E12" s="18" t="n">
        <v>2428.137041</v>
      </c>
      <c r="F12" s="18" t="n">
        <v>2328.877552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191.034873</v>
      </c>
      <c r="C16" s="18" t="n">
        <v>209.398444</v>
      </c>
      <c r="D16" s="18" t="n">
        <v>202.572752</v>
      </c>
      <c r="E16" s="18" t="n">
        <v>189.501468</v>
      </c>
      <c r="F16" s="18" t="n">
        <v>181.754863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2467.18721</v>
      </c>
      <c r="C20" s="18" t="n">
        <v>2613.7399</v>
      </c>
      <c r="D20" s="18" t="n">
        <v>2595.794397</v>
      </c>
      <c r="E20" s="18" t="n">
        <v>2367.972204</v>
      </c>
      <c r="F20" s="18" t="n">
        <v>2359.815155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5.53036</v>
      </c>
      <c r="C24" s="62" t="n">
        <v>5.89918</v>
      </c>
      <c r="D24" s="62" t="n">
        <v>5.75879</v>
      </c>
      <c r="E24" s="62" t="n">
        <v>5.20794</v>
      </c>
      <c r="F24" s="62" t="n">
        <v>5.19</v>
      </c>
    </row>
    <row r="25">
      <c r="A25" s="4" t="inlineStr">
        <is>
          <t xml:space="preserve">  model</t>
        </is>
      </c>
      <c r="B25" s="46">
        <f>Model!G23/Financials!AC17</f>
        <v/>
      </c>
      <c r="C25" s="46">
        <f>Model!H23/Financials!AC17</f>
        <v/>
      </c>
      <c r="D25" s="46">
        <f>Model!I23/Financials!AC17</f>
        <v/>
      </c>
      <c r="E25" s="46">
        <f>Model!J23/Financials!AC17</f>
        <v/>
      </c>
      <c r="F25" s="46">
        <f>Model!K23/Financials!AC17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Wheaton Precious Metals Corp.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0.1316632577975373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2.748474744909596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1.039779894879464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2026-06-05T14:23:36Z</dcterms:created>
  <dcterms:modified xmlns:dcterms="http://purl.org/dc/terms/" xmlns:xsi="http://www.w3.org/2001/XMLSchema-instance" xsi:type="dcterms:W3CDTF">2026-06-05T14:23:36Z</dcterms:modified>
</cp:coreProperties>
</file>