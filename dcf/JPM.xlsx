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JPMorgan Chase &amp; Co. (JPM)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JPMorgan Chase &amp; Co. (JPM)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-0.06891036751353333</v>
      </c>
      <c r="C20" s="15" t="n">
        <v>0.05</v>
      </c>
      <c r="D20" s="16" t="n">
        <v>-0.06891036751353333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0.4153939553765329</v>
      </c>
      <c r="D29" s="16" t="n">
        <v>0.4153939553765329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0.4445159296361102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15418.315</v>
      </c>
      <c r="D34" s="18" t="n">
        <v>15418.315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1.023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338.25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954.9391377731304</v>
      </c>
      <c r="C58" s="28" t="n">
        <v>1116.391374795091</v>
      </c>
      <c r="D58" s="28" t="n">
        <v>834.2197524575545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JPM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0.4000171224936058</v>
      </c>
      <c r="H11" s="15" t="n">
        <v>0.4000171224936058</v>
      </c>
      <c r="I11" s="15" t="n">
        <v>0.4000171224936058</v>
      </c>
      <c r="J11" s="15" t="n">
        <v>0.4000171224936058</v>
      </c>
      <c r="K11" s="15" t="n">
        <v>0.4000171224936058</v>
      </c>
      <c r="L11" s="15" t="n">
        <v>0.4000171224936058</v>
      </c>
      <c r="M11" s="15" t="n">
        <v>0.4000171224936058</v>
      </c>
      <c r="N11" s="15" t="n">
        <v>0.4000171224936058</v>
      </c>
      <c r="O11" s="15" t="n">
        <v>0.4000171224936058</v>
      </c>
      <c r="P11" s="15" t="n">
        <v>0.4000171224936058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0.2152868196038283</v>
      </c>
      <c r="H15" s="15" t="n">
        <v>0.2152868196038283</v>
      </c>
      <c r="I15" s="15" t="n">
        <v>0.2152868196038283</v>
      </c>
      <c r="J15" s="15" t="n">
        <v>0.2152868196038283</v>
      </c>
      <c r="K15" s="15" t="n">
        <v>0.2152868196038283</v>
      </c>
      <c r="L15" s="15" t="n">
        <v>0.2152868196038283</v>
      </c>
      <c r="M15" s="15" t="n">
        <v>0.2152868196038283</v>
      </c>
      <c r="N15" s="15" t="n">
        <v>0.2152868196038283</v>
      </c>
      <c r="O15" s="15" t="n">
        <v>0.2152868196038283</v>
      </c>
      <c r="P15" s="15" t="n">
        <v>0.2152868196038283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G6*(1-(Dashboard!$B$29+(Dashboard!$B$30-Dashboard!$B$29)*MIN(1,0/2)))-(G10+G12+G14)</f>
        <v/>
      </c>
      <c r="H16" s="33">
        <f>H6*(1-(Dashboard!$B$29+(Dashboard!$B$30-Dashboard!$B$29)*MIN(1,1/2)))-(H10+H12+H14)</f>
        <v/>
      </c>
      <c r="I16" s="33">
        <f>I6*(1-(Dashboard!$B$29+(Dashboard!$B$30-Dashboard!$B$29)*MIN(1,2/2)))-(I10+I12+I14)</f>
        <v/>
      </c>
      <c r="J16" s="33">
        <f>J6*(1-(Dashboard!$B$29+(Dashboard!$B$30-Dashboard!$B$29)*MIN(1,3/2)))-(J10+J12+J14)</f>
        <v/>
      </c>
      <c r="K16" s="33">
        <f>K6*(1-(Dashboard!$B$29+(Dashboard!$B$30-Dashboard!$B$29)*MIN(1,4/2)))-(K10+K12+K14)</f>
        <v/>
      </c>
      <c r="L16" s="33">
        <f>L6*(1-(Dashboard!$B$29+(Dashboard!$B$30-Dashboard!$B$29)*MIN(1,5/2)))-(L10+L12+L14)</f>
        <v/>
      </c>
      <c r="M16" s="33">
        <f>M6*(1-(Dashboard!$B$29+(Dashboard!$B$30-Dashboard!$B$29)*MIN(1,6/2)))-(M10+M12+M14)</f>
        <v/>
      </c>
      <c r="N16" s="33">
        <f>N6*(1-(Dashboard!$B$29+(Dashboard!$B$30-Dashboard!$B$29)*MIN(1,7/2)))-(N10+N12+N14)</f>
        <v/>
      </c>
      <c r="O16" s="33">
        <f>O6*(1-(Dashboard!$B$29+(Dashboard!$B$30-Dashboard!$B$29)*MIN(1,8/2)))-(O10+O12+O14)</f>
        <v/>
      </c>
      <c r="P16" s="33">
        <f>P6*(1-(Dashboard!$B$29+(Dashboard!$B$30-Dashboard!$B$29)*MIN(1,9/2)))-(P10+P12+P14)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G6*0.0315</f>
        <v/>
      </c>
      <c r="H24" s="41">
        <f>H6*0.0315</f>
        <v/>
      </c>
      <c r="I24" s="41">
        <f>I6*0.0315</f>
        <v/>
      </c>
      <c r="J24" s="41">
        <f>J6*0.0315</f>
        <v/>
      </c>
      <c r="K24" s="41">
        <f>K6*0.0315</f>
        <v/>
      </c>
      <c r="L24" s="41">
        <f>L6*0.0315</f>
        <v/>
      </c>
      <c r="M24" s="41">
        <f>M6*0.0315</f>
        <v/>
      </c>
      <c r="N24" s="41">
        <f>N6*0.0315</f>
        <v/>
      </c>
      <c r="O24" s="41">
        <f>O6*0.0315</f>
        <v/>
      </c>
      <c r="P24" s="41">
        <f>P6*0.0315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35952</v>
      </c>
      <c r="C3" s="18" t="n">
        <v>36184</v>
      </c>
      <c r="D3" s="18" t="n">
        <v>34092</v>
      </c>
      <c r="E3" s="18" t="n">
        <v>32999</v>
      </c>
      <c r="F3" s="18" t="n">
        <v>35330</v>
      </c>
      <c r="G3" s="18" t="n">
        <v>30845</v>
      </c>
      <c r="H3" s="18" t="n">
        <v>30558</v>
      </c>
      <c r="I3" s="18" t="n">
        <v>33632</v>
      </c>
      <c r="J3" s="18" t="n">
        <v>31839</v>
      </c>
      <c r="K3" s="18" t="n">
        <v>31061</v>
      </c>
      <c r="L3" s="18" t="n">
        <v>30706</v>
      </c>
      <c r="M3" s="18" t="n">
        <v>32342</v>
      </c>
      <c r="N3" s="18" t="n">
        <v>34227</v>
      </c>
      <c r="O3" s="18" t="n">
        <v>40795</v>
      </c>
      <c r="P3" s="18" t="n">
        <v>47374</v>
      </c>
      <c r="Q3" s="18" t="n">
        <v>54641</v>
      </c>
      <c r="R3" s="18" t="n">
        <v>58447</v>
      </c>
      <c r="S3" s="18" t="n">
        <v>61591</v>
      </c>
      <c r="T3" s="18" t="n">
        <v>61933</v>
      </c>
      <c r="U3" s="18" t="n">
        <v>66264</v>
      </c>
      <c r="V3" s="18" t="n">
        <v>67835</v>
      </c>
      <c r="W3" s="18" t="n">
        <v>69667</v>
      </c>
      <c r="X3" s="18" t="n">
        <v>67007</v>
      </c>
      <c r="Y3" s="18" t="n">
        <v>68907</v>
      </c>
      <c r="Z3" s="18" t="n">
        <v>69914</v>
      </c>
      <c r="AA3" s="18" t="n">
        <v>71903</v>
      </c>
      <c r="AB3" s="18" t="n">
        <v>69609</v>
      </c>
      <c r="AC3" s="18" t="n">
        <v>73661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8354</v>
      </c>
      <c r="C5" s="18" t="n">
        <v>8407</v>
      </c>
      <c r="D5" s="18" t="n">
        <v>7188</v>
      </c>
      <c r="E5" s="18" t="n">
        <v>12998</v>
      </c>
      <c r="F5" s="18" t="n">
        <v>12728</v>
      </c>
      <c r="G5" s="18" t="n">
        <v>2201</v>
      </c>
      <c r="H5" s="18" t="n">
        <v>-555</v>
      </c>
      <c r="I5" s="18" t="n">
        <v>-2790</v>
      </c>
      <c r="J5" s="18" t="n">
        <v>-925</v>
      </c>
      <c r="K5" s="18" t="n">
        <v>-113</v>
      </c>
      <c r="L5" s="18" t="n">
        <v>161</v>
      </c>
      <c r="M5" s="18" t="n">
        <v>3088</v>
      </c>
      <c r="N5" s="18" t="n">
        <v>4613</v>
      </c>
      <c r="O5" s="18" t="n">
        <v>9616</v>
      </c>
      <c r="P5" s="18" t="n">
        <v>15115</v>
      </c>
      <c r="Q5" s="18" t="n">
        <v>18567</v>
      </c>
      <c r="R5" s="18" t="n">
        <v>22751</v>
      </c>
      <c r="S5" s="18" t="n">
        <v>23201</v>
      </c>
      <c r="T5" s="18" t="n">
        <v>26084</v>
      </c>
      <c r="U5" s="18" t="n">
        <v>26214</v>
      </c>
      <c r="V5" s="18" t="n">
        <v>28796</v>
      </c>
      <c r="W5" s="18" t="n">
        <v>30124</v>
      </c>
      <c r="X5" s="18" t="n">
        <v>26870</v>
      </c>
      <c r="Y5" s="18" t="n">
        <v>26902</v>
      </c>
      <c r="Z5" s="18" t="n">
        <v>27891</v>
      </c>
      <c r="AA5" s="18" t="n">
        <v>28879</v>
      </c>
      <c r="AB5" s="18" t="n">
        <v>28466</v>
      </c>
      <c r="AC5" s="18" t="n">
        <v>26332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9324</v>
      </c>
      <c r="C9" s="18" t="n">
        <v>9478</v>
      </c>
      <c r="D9" s="18" t="n">
        <v>8981</v>
      </c>
      <c r="E9" s="18" t="n">
        <v>9695</v>
      </c>
      <c r="F9" s="18" t="n">
        <v>9990</v>
      </c>
      <c r="G9" s="18" t="n">
        <v>9100</v>
      </c>
      <c r="H9" s="18" t="n">
        <v>8679</v>
      </c>
      <c r="I9" s="18" t="n">
        <v>11352</v>
      </c>
      <c r="J9" s="18" t="n">
        <v>10440</v>
      </c>
      <c r="K9" s="18" t="n">
        <v>9799</v>
      </c>
      <c r="L9" s="18" t="n">
        <v>10012</v>
      </c>
      <c r="M9" s="18" t="n">
        <v>11707</v>
      </c>
      <c r="N9" s="18" t="n">
        <v>11182</v>
      </c>
      <c r="O9" s="18" t="n">
        <v>11556</v>
      </c>
      <c r="P9" s="18" t="n">
        <v>11102</v>
      </c>
      <c r="Q9" s="18" t="n">
        <v>13038</v>
      </c>
      <c r="R9" s="18" t="n">
        <v>12338</v>
      </c>
      <c r="S9" s="18" t="n">
        <v>12852</v>
      </c>
      <c r="T9" s="18" t="n">
        <v>13145</v>
      </c>
      <c r="U9" s="18" t="n">
        <v>14526</v>
      </c>
      <c r="V9" s="18" t="n">
        <v>14174</v>
      </c>
      <c r="W9" s="18" t="n">
        <v>14075</v>
      </c>
      <c r="X9" s="18" t="n">
        <v>13804</v>
      </c>
      <c r="Y9" s="18" t="n">
        <v>15731</v>
      </c>
      <c r="Z9" s="18" t="n">
        <v>14989</v>
      </c>
      <c r="AA9" s="18" t="n">
        <v>15046</v>
      </c>
      <c r="AB9" s="18" t="n">
        <v>14586</v>
      </c>
      <c r="AC9" s="18" t="n">
        <v>21411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27598</v>
      </c>
      <c r="C11" s="18" t="n">
        <v>27777</v>
      </c>
      <c r="D11" s="18" t="n">
        <v>26904</v>
      </c>
      <c r="E11" s="18" t="n">
        <v>20001</v>
      </c>
      <c r="F11" s="18" t="n">
        <v>22602</v>
      </c>
      <c r="G11" s="18" t="n">
        <v>28644</v>
      </c>
      <c r="H11" s="18" t="n">
        <v>31113</v>
      </c>
      <c r="I11" s="18" t="n">
        <v>36422</v>
      </c>
      <c r="J11" s="18" t="n">
        <v>32764</v>
      </c>
      <c r="K11" s="18" t="n">
        <v>31174</v>
      </c>
      <c r="L11" s="18" t="n">
        <v>30545</v>
      </c>
      <c r="M11" s="18" t="n">
        <v>29254</v>
      </c>
      <c r="N11" s="18" t="n">
        <v>29614</v>
      </c>
      <c r="O11" s="18" t="n">
        <v>31179</v>
      </c>
      <c r="P11" s="18" t="n">
        <v>32259</v>
      </c>
      <c r="Q11" s="18" t="n">
        <v>36074</v>
      </c>
      <c r="R11" s="18" t="n">
        <v>35696</v>
      </c>
      <c r="S11" s="18" t="n">
        <v>38390</v>
      </c>
      <c r="T11" s="18" t="n">
        <v>35849</v>
      </c>
      <c r="U11" s="18" t="n">
        <v>40050</v>
      </c>
      <c r="V11" s="18" t="n">
        <v>39039</v>
      </c>
      <c r="W11" s="18" t="n">
        <v>39543</v>
      </c>
      <c r="X11" s="18" t="n">
        <v>40137</v>
      </c>
      <c r="Y11" s="18" t="n">
        <v>42005</v>
      </c>
      <c r="Z11" s="18" t="n">
        <v>42023</v>
      </c>
      <c r="AA11" s="18" t="n">
        <v>43024</v>
      </c>
      <c r="AB11" s="18" t="n">
        <v>41143</v>
      </c>
      <c r="AC11" s="18" t="n">
        <v>47329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11342</v>
      </c>
      <c r="C13" s="18" t="n">
        <v>11405</v>
      </c>
      <c r="D13" s="18" t="n">
        <v>10565</v>
      </c>
      <c r="E13" s="18" t="n">
        <v>3210</v>
      </c>
      <c r="F13" s="18" t="n">
        <v>5660</v>
      </c>
      <c r="G13" s="18" t="n">
        <v>11769</v>
      </c>
      <c r="H13" s="18" t="n">
        <v>15065</v>
      </c>
      <c r="I13" s="18" t="n">
        <v>17697</v>
      </c>
      <c r="J13" s="18" t="n">
        <v>15097</v>
      </c>
      <c r="K13" s="18" t="n">
        <v>14111</v>
      </c>
      <c r="L13" s="18" t="n">
        <v>12657</v>
      </c>
      <c r="M13" s="18" t="n">
        <v>10063</v>
      </c>
      <c r="N13" s="18" t="n">
        <v>10865</v>
      </c>
      <c r="O13" s="18" t="n">
        <v>12001</v>
      </c>
      <c r="P13" s="18" t="n">
        <v>13237</v>
      </c>
      <c r="Q13" s="18" t="n">
        <v>15967</v>
      </c>
      <c r="R13" s="18" t="n">
        <v>17586</v>
      </c>
      <c r="S13" s="18" t="n">
        <v>16733</v>
      </c>
      <c r="T13" s="18" t="n">
        <v>11326</v>
      </c>
      <c r="U13" s="18" t="n">
        <v>17293</v>
      </c>
      <c r="V13" s="18" t="n">
        <v>23435</v>
      </c>
      <c r="W13" s="18" t="n">
        <v>16978</v>
      </c>
      <c r="X13" s="18" t="n">
        <v>17375</v>
      </c>
      <c r="Y13" s="18" t="n">
        <v>18408</v>
      </c>
      <c r="Z13" s="18" t="n">
        <v>18284</v>
      </c>
      <c r="AA13" s="18" t="n">
        <v>18743</v>
      </c>
      <c r="AB13" s="18" t="n">
        <v>17160</v>
      </c>
      <c r="AC13" s="18" t="n">
        <v>20479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9652</v>
      </c>
      <c r="C15" s="18" t="n">
        <v>9080</v>
      </c>
      <c r="D15" s="18" t="n">
        <v>8520</v>
      </c>
      <c r="E15" s="18" t="n">
        <v>2865</v>
      </c>
      <c r="F15" s="18" t="n">
        <v>4687</v>
      </c>
      <c r="G15" s="18" t="n">
        <v>9443</v>
      </c>
      <c r="H15" s="18" t="n">
        <v>12136</v>
      </c>
      <c r="I15" s="18" t="n">
        <v>14300</v>
      </c>
      <c r="J15" s="18" t="n">
        <v>11948</v>
      </c>
      <c r="K15" s="18" t="n">
        <v>11687</v>
      </c>
      <c r="L15" s="18" t="n">
        <v>10399</v>
      </c>
      <c r="M15" s="18" t="n">
        <v>8282</v>
      </c>
      <c r="N15" s="18" t="n">
        <v>8649</v>
      </c>
      <c r="O15" s="18" t="n">
        <v>9737</v>
      </c>
      <c r="P15" s="18" t="n">
        <v>11008</v>
      </c>
      <c r="Q15" s="18" t="n">
        <v>12622</v>
      </c>
      <c r="R15" s="18" t="n">
        <v>14472</v>
      </c>
      <c r="S15" s="18" t="n">
        <v>13151</v>
      </c>
      <c r="T15" s="18" t="n">
        <v>9307</v>
      </c>
      <c r="U15" s="18" t="n">
        <v>13419</v>
      </c>
      <c r="V15" s="18" t="n">
        <v>18149</v>
      </c>
      <c r="W15" s="18" t="n">
        <v>12898</v>
      </c>
      <c r="X15" s="18" t="n">
        <v>14005</v>
      </c>
      <c r="Y15" s="18" t="n">
        <v>14643</v>
      </c>
      <c r="Z15" s="18" t="n">
        <v>14987</v>
      </c>
      <c r="AA15" s="18" t="n">
        <v>14393</v>
      </c>
      <c r="AB15" s="18" t="n">
        <v>13025</v>
      </c>
      <c r="AC15" s="18" t="n">
        <v>16494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3259.7</v>
      </c>
      <c r="C17" s="18" t="n">
        <v>3211.194</v>
      </c>
      <c r="D17" s="18" t="n">
        <v>3153.884</v>
      </c>
      <c r="E17" s="18" t="n">
        <v>3100.6</v>
      </c>
      <c r="F17" s="18" t="n">
        <v>3090.58</v>
      </c>
      <c r="G17" s="18" t="n">
        <v>3087.329</v>
      </c>
      <c r="H17" s="18" t="n">
        <v>3085.184</v>
      </c>
      <c r="I17" s="18" t="n">
        <v>3078.9</v>
      </c>
      <c r="J17" s="18" t="n">
        <v>3041.9</v>
      </c>
      <c r="K17" s="18" t="n">
        <v>3005.1</v>
      </c>
      <c r="L17" s="18" t="n">
        <v>2981.8</v>
      </c>
      <c r="M17" s="18" t="n">
        <v>2981</v>
      </c>
      <c r="N17" s="18" t="n">
        <v>2966.3</v>
      </c>
      <c r="O17" s="18" t="n">
        <v>2965.4</v>
      </c>
      <c r="P17" s="18" t="n">
        <v>2967.1</v>
      </c>
      <c r="Q17" s="18" t="n">
        <v>2972.7</v>
      </c>
      <c r="R17" s="18" t="n">
        <v>2948.3</v>
      </c>
      <c r="S17" s="18" t="n">
        <v>2932.1</v>
      </c>
      <c r="T17" s="18" t="n">
        <v>2919.1</v>
      </c>
      <c r="U17" s="18" t="n">
        <v>2912.8</v>
      </c>
      <c r="V17" s="18" t="n">
        <v>2894.9</v>
      </c>
      <c r="W17" s="18" t="n">
        <v>2865.9</v>
      </c>
      <c r="X17" s="18" t="n">
        <v>2842.4</v>
      </c>
      <c r="Y17" s="18" t="n">
        <v>2824.3</v>
      </c>
      <c r="Z17" s="18" t="n">
        <v>2793.7</v>
      </c>
      <c r="AA17" s="18" t="n">
        <v>2793.7</v>
      </c>
      <c r="AB17" s="18" t="n">
        <v>2793.7</v>
      </c>
      <c r="AC17" s="18" t="n">
        <v>2793.7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544395</v>
      </c>
      <c r="C19" s="18" t="n">
        <v>610018</v>
      </c>
      <c r="D19" s="18" t="n">
        <v>604005</v>
      </c>
      <c r="E19" s="18" t="n">
        <v>750514</v>
      </c>
      <c r="F19" s="18" t="n">
        <v>951137</v>
      </c>
      <c r="G19" s="18" t="n">
        <v>842820</v>
      </c>
      <c r="H19" s="18" t="n">
        <v>883560</v>
      </c>
      <c r="I19" s="18" t="n">
        <v>1026474</v>
      </c>
      <c r="J19" s="18" t="n">
        <v>925383</v>
      </c>
      <c r="K19" s="18" t="n">
        <v>997838</v>
      </c>
      <c r="L19" s="18" t="n">
        <v>1031091</v>
      </c>
      <c r="M19" s="18" t="n">
        <v>1047288</v>
      </c>
      <c r="N19" s="18" t="n">
        <v>876167</v>
      </c>
      <c r="O19" s="18" t="n">
        <v>821213</v>
      </c>
      <c r="P19" s="18" t="n">
        <v>763933</v>
      </c>
      <c r="Q19" s="18" t="n">
        <v>729509</v>
      </c>
      <c r="R19" s="18" t="n">
        <v>685521</v>
      </c>
      <c r="S19" s="18" t="n">
        <v>695940</v>
      </c>
      <c r="T19" s="18" t="n">
        <v>816636</v>
      </c>
      <c r="U19" s="18" t="n">
        <v>787462</v>
      </c>
      <c r="V19" s="18" t="n">
        <v>787925</v>
      </c>
      <c r="W19" s="18" t="n">
        <v>1381786</v>
      </c>
      <c r="X19" s="18" t="n">
        <v>1367721</v>
      </c>
      <c r="Y19" s="18" t="n">
        <v>1466079</v>
      </c>
      <c r="Z19" s="18" t="n">
        <v>1567127</v>
      </c>
      <c r="AA19" s="18" t="n">
        <v>1497273</v>
      </c>
      <c r="AB19" s="18" t="n">
        <v>1479747</v>
      </c>
      <c r="AC19" s="18" t="n">
        <v>1864181</v>
      </c>
    </row>
    <row r="20">
      <c r="A20" s="4" t="inlineStr">
        <is>
          <t>Total Current Assets</t>
        </is>
      </c>
      <c r="B20" s="18" t="n">
        <v>632794</v>
      </c>
      <c r="C20" s="18" t="n">
        <v>699006</v>
      </c>
      <c r="D20" s="18" t="n">
        <v>676866</v>
      </c>
      <c r="E20" s="18" t="n">
        <v>872578</v>
      </c>
      <c r="F20" s="18" t="n">
        <v>1023397</v>
      </c>
      <c r="G20" s="18" t="n">
        <v>919765</v>
      </c>
      <c r="H20" s="18" t="n">
        <v>974063</v>
      </c>
      <c r="I20" s="18" t="n">
        <v>1141228</v>
      </c>
      <c r="J20" s="18" t="n">
        <v>1050636</v>
      </c>
      <c r="K20" s="18" t="n">
        <v>1114233</v>
      </c>
      <c r="L20" s="18" t="n">
        <v>1133661</v>
      </c>
      <c r="M20" s="18" t="n">
        <v>1199495</v>
      </c>
      <c r="N20" s="18" t="n">
        <v>1021609</v>
      </c>
      <c r="O20" s="18" t="n">
        <v>965118</v>
      </c>
      <c r="P20" s="18" t="n">
        <v>889122</v>
      </c>
      <c r="Q20" s="18" t="n">
        <v>844825</v>
      </c>
      <c r="R20" s="18" t="n">
        <v>797082</v>
      </c>
      <c r="S20" s="18" t="n">
        <v>823692</v>
      </c>
      <c r="T20" s="18" t="n">
        <v>923999</v>
      </c>
      <c r="U20" s="18" t="n">
        <v>917285</v>
      </c>
      <c r="V20" s="18" t="n">
        <v>923617</v>
      </c>
      <c r="W20" s="18" t="n">
        <v>1756785</v>
      </c>
      <c r="X20" s="18" t="n">
        <v>1688490</v>
      </c>
      <c r="Y20" s="18" t="n">
        <v>1822626</v>
      </c>
      <c r="Z20" s="18" t="n">
        <v>1915566</v>
      </c>
      <c r="AA20" s="18" t="n">
        <v>1887517</v>
      </c>
      <c r="AB20" s="18" t="n">
        <v>1877537</v>
      </c>
      <c r="AC20" s="18" t="n">
        <v>2291039</v>
      </c>
    </row>
    <row r="21">
      <c r="A21" s="4" t="inlineStr">
        <is>
          <t>PP&amp;E (net)</t>
        </is>
      </c>
      <c r="B21" s="18" t="n">
        <v>24665</v>
      </c>
      <c r="C21" s="18" t="n">
        <v>25117</v>
      </c>
      <c r="D21" s="18" t="n">
        <v>25813</v>
      </c>
      <c r="E21" s="18" t="n">
        <v>25882</v>
      </c>
      <c r="F21" s="18" t="n">
        <v>26301</v>
      </c>
      <c r="G21" s="18" t="n">
        <v>26672</v>
      </c>
      <c r="H21" s="18" t="n">
        <v>27109</v>
      </c>
      <c r="I21" s="18" t="n">
        <v>26926</v>
      </c>
      <c r="J21" s="18" t="n">
        <v>26631</v>
      </c>
      <c r="K21" s="18" t="n">
        <v>26996</v>
      </c>
      <c r="L21" s="18" t="n">
        <v>27070</v>
      </c>
      <c r="M21" s="18" t="n">
        <v>26916</v>
      </c>
      <c r="N21" s="18" t="n">
        <v>26770</v>
      </c>
      <c r="O21" s="18" t="n">
        <v>27199</v>
      </c>
      <c r="P21" s="18" t="n">
        <v>27734</v>
      </c>
      <c r="Q21" s="18" t="n">
        <v>28266</v>
      </c>
      <c r="R21" s="18" t="n">
        <v>29493</v>
      </c>
      <c r="S21" s="18" t="n">
        <v>29677</v>
      </c>
      <c r="T21" s="18" t="n">
        <v>30157</v>
      </c>
      <c r="U21" s="18" t="n">
        <v>30279</v>
      </c>
      <c r="V21" s="18" t="n">
        <v>30582</v>
      </c>
      <c r="W21" s="18" t="n">
        <v>31525</v>
      </c>
      <c r="X21" s="18" t="n">
        <v>32223</v>
      </c>
      <c r="Y21" s="18" t="n">
        <v>32811</v>
      </c>
      <c r="Z21" s="18" t="n">
        <v>33562</v>
      </c>
      <c r="AA21" s="18" t="n">
        <v>35063</v>
      </c>
      <c r="AB21" s="18" t="n">
        <v>36244</v>
      </c>
      <c r="AC21" s="18" t="n">
        <v>36771</v>
      </c>
    </row>
    <row r="22">
      <c r="A22" s="4" t="inlineStr">
        <is>
          <t>Total Assets</t>
        </is>
      </c>
      <c r="B22" s="18" t="n">
        <v>2727379</v>
      </c>
      <c r="C22" s="18" t="n">
        <v>2764661</v>
      </c>
      <c r="D22" s="18" t="n">
        <v>2687379</v>
      </c>
      <c r="E22" s="18" t="n">
        <v>3139431</v>
      </c>
      <c r="F22" s="18" t="n">
        <v>3213115</v>
      </c>
      <c r="G22" s="18" t="n">
        <v>3246076</v>
      </c>
      <c r="H22" s="18" t="n">
        <v>3384757</v>
      </c>
      <c r="I22" s="18" t="n">
        <v>3689336</v>
      </c>
      <c r="J22" s="18" t="n">
        <v>3684256</v>
      </c>
      <c r="K22" s="18" t="n">
        <v>3757576</v>
      </c>
      <c r="L22" s="18" t="n">
        <v>3743567</v>
      </c>
      <c r="M22" s="18" t="n">
        <v>3954687</v>
      </c>
      <c r="N22" s="18" t="n">
        <v>3841314</v>
      </c>
      <c r="O22" s="18" t="n">
        <v>3773884</v>
      </c>
      <c r="P22" s="18" t="n">
        <v>3665743</v>
      </c>
      <c r="Q22" s="18" t="n">
        <v>3744305</v>
      </c>
      <c r="R22" s="18" t="n">
        <v>3868240</v>
      </c>
      <c r="S22" s="18" t="n">
        <v>3898333</v>
      </c>
      <c r="T22" s="18" t="n">
        <v>3875393</v>
      </c>
      <c r="U22" s="18" t="n">
        <v>4090727</v>
      </c>
      <c r="V22" s="18" t="n">
        <v>4143003</v>
      </c>
      <c r="W22" s="18" t="n">
        <v>4210048</v>
      </c>
      <c r="X22" s="18" t="n">
        <v>4002814</v>
      </c>
      <c r="Y22" s="18" t="n">
        <v>4357856</v>
      </c>
      <c r="Z22" s="18" t="n">
        <v>4552482</v>
      </c>
      <c r="AA22" s="18" t="n">
        <v>4560205</v>
      </c>
      <c r="AB22" s="18" t="n">
        <v>4424900</v>
      </c>
      <c r="AC22" s="18" t="n">
        <v>4900475</v>
      </c>
    </row>
    <row r="23">
      <c r="A23" s="4" t="inlineStr">
        <is>
          <t>Total Current Liabilities</t>
        </is>
      </c>
      <c r="B23" s="18" t="n">
        <v>1933573</v>
      </c>
      <c r="C23" s="18" t="n">
        <v>1960263</v>
      </c>
      <c r="D23" s="18" t="n">
        <v>2110310</v>
      </c>
      <c r="E23" s="18" t="n">
        <v>2305321</v>
      </c>
      <c r="F23" s="18" t="n">
        <v>2379902</v>
      </c>
      <c r="G23" s="18" t="n">
        <v>2442341</v>
      </c>
      <c r="H23" s="18" t="n">
        <v>2798440</v>
      </c>
      <c r="I23" s="18" t="n">
        <v>2828458</v>
      </c>
      <c r="J23" s="18" t="n">
        <v>2786459</v>
      </c>
      <c r="K23" s="18" t="n">
        <v>2887209</v>
      </c>
      <c r="L23" s="18" t="n">
        <v>3127885</v>
      </c>
      <c r="M23" s="18" t="n">
        <v>3044734</v>
      </c>
      <c r="N23" s="18" t="n">
        <v>2942993</v>
      </c>
      <c r="O23" s="18" t="n">
        <v>2886298</v>
      </c>
      <c r="P23" s="18" t="n">
        <v>3053636</v>
      </c>
      <c r="Q23" s="18" t="n">
        <v>2855754</v>
      </c>
      <c r="R23" s="18" t="n">
        <v>2899508</v>
      </c>
      <c r="S23" s="18" t="n">
        <v>2901203</v>
      </c>
      <c r="T23" s="18" t="n">
        <v>3119470</v>
      </c>
      <c r="U23" s="18" t="n">
        <v>3294140</v>
      </c>
      <c r="V23" s="18" t="n">
        <v>3050688</v>
      </c>
      <c r="W23" s="18" t="n">
        <v>3114005</v>
      </c>
      <c r="X23" s="18" t="n">
        <v>3214915</v>
      </c>
      <c r="Y23" s="18" t="n">
        <v>3281006</v>
      </c>
      <c r="Z23" s="18" t="n">
        <v>3444415</v>
      </c>
      <c r="AA23" s="18" t="n">
        <v>3427667</v>
      </c>
      <c r="AB23" s="18" t="n">
        <v>3584541</v>
      </c>
      <c r="AC23" s="18" t="n">
        <v>3708027</v>
      </c>
    </row>
    <row r="24">
      <c r="A24" s="4" t="inlineStr">
        <is>
          <t>Long-term Debt</t>
        </is>
      </c>
      <c r="B24" s="18" t="n">
        <v>288869</v>
      </c>
      <c r="C24" s="18" t="n">
        <v>296472</v>
      </c>
      <c r="D24" s="18" t="n">
        <v>291498</v>
      </c>
      <c r="E24" s="18" t="n">
        <v>299344</v>
      </c>
      <c r="F24" s="18" t="n">
        <v>317003</v>
      </c>
      <c r="G24" s="18" t="n">
        <v>279175</v>
      </c>
      <c r="H24" s="18" t="n">
        <v>281685</v>
      </c>
      <c r="I24" s="18" t="n">
        <v>279427</v>
      </c>
      <c r="J24" s="18" t="n">
        <v>299926</v>
      </c>
      <c r="K24" s="18" t="n">
        <v>298465</v>
      </c>
      <c r="L24" s="18" t="n">
        <v>301005</v>
      </c>
      <c r="M24" s="18" t="n">
        <v>293239</v>
      </c>
      <c r="N24" s="18" t="n">
        <v>288212</v>
      </c>
      <c r="O24" s="18" t="n">
        <v>287473</v>
      </c>
      <c r="P24" s="18" t="n">
        <v>295865</v>
      </c>
      <c r="Q24" s="18" t="n">
        <v>295489</v>
      </c>
      <c r="R24" s="18" t="n">
        <v>349635</v>
      </c>
      <c r="S24" s="18" t="n">
        <v>362793</v>
      </c>
      <c r="T24" s="18" t="n">
        <v>391825</v>
      </c>
      <c r="U24" s="18" t="n">
        <v>395872</v>
      </c>
      <c r="V24" s="18" t="n">
        <v>394028</v>
      </c>
      <c r="W24" s="18" t="n">
        <v>410157</v>
      </c>
      <c r="X24" s="18" t="n">
        <v>401418</v>
      </c>
      <c r="Y24" s="18" t="n">
        <v>407224</v>
      </c>
      <c r="Z24" s="18" t="n">
        <v>419802</v>
      </c>
      <c r="AA24" s="18" t="n">
        <v>427203</v>
      </c>
      <c r="AB24" s="18" t="n">
        <v>433970</v>
      </c>
      <c r="AC24" s="18" t="n">
        <v>448764</v>
      </c>
    </row>
    <row r="25">
      <c r="A25" s="4" t="inlineStr">
        <is>
          <t>Total Equity</t>
        </is>
      </c>
      <c r="B25" s="18" t="n">
        <v>263215</v>
      </c>
      <c r="C25" s="18" t="n">
        <v>264348</v>
      </c>
      <c r="D25" s="18" t="n">
        <v>261330</v>
      </c>
      <c r="E25" s="18" t="n">
        <v>261262</v>
      </c>
      <c r="F25" s="18" t="n">
        <v>264466</v>
      </c>
      <c r="G25" s="18" t="n">
        <v>271113</v>
      </c>
      <c r="H25" s="18" t="n">
        <v>279354</v>
      </c>
      <c r="I25" s="18" t="n">
        <v>280714</v>
      </c>
      <c r="J25" s="18" t="n">
        <v>286386</v>
      </c>
      <c r="K25" s="18" t="n">
        <v>290041</v>
      </c>
      <c r="L25" s="18" t="n">
        <v>294127</v>
      </c>
      <c r="M25" s="18" t="n">
        <v>285899</v>
      </c>
      <c r="N25" s="18" t="n">
        <v>286143</v>
      </c>
      <c r="O25" s="18" t="n">
        <v>288018</v>
      </c>
      <c r="P25" s="18" t="n">
        <v>292332</v>
      </c>
      <c r="Q25" s="18" t="n">
        <v>303082</v>
      </c>
      <c r="R25" s="18" t="n">
        <v>312516</v>
      </c>
      <c r="S25" s="18" t="n">
        <v>317371</v>
      </c>
      <c r="T25" s="18" t="n">
        <v>327878</v>
      </c>
      <c r="U25" s="18" t="n">
        <v>336637</v>
      </c>
      <c r="V25" s="18" t="n">
        <v>340552</v>
      </c>
      <c r="W25" s="18" t="n">
        <v>345836</v>
      </c>
      <c r="X25" s="18" t="n">
        <v>344758</v>
      </c>
      <c r="Y25" s="18" t="n">
        <v>351420</v>
      </c>
      <c r="Z25" s="18" t="n">
        <v>356924</v>
      </c>
      <c r="AA25" s="18" t="n">
        <v>360212</v>
      </c>
      <c r="AB25" s="18" t="n">
        <v>362438</v>
      </c>
      <c r="AC25" s="18" t="n">
        <v>364038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2046</v>
      </c>
      <c r="C27" s="18" t="n">
        <v>2145</v>
      </c>
      <c r="D27" s="18" t="n">
        <v>2139</v>
      </c>
      <c r="E27" s="18" t="n">
        <v>2197</v>
      </c>
      <c r="F27" s="18" t="n">
        <v>2149</v>
      </c>
      <c r="G27" s="18" t="n">
        <v>2141</v>
      </c>
      <c r="H27" s="18" t="n">
        <v>2127</v>
      </c>
      <c r="I27" s="18" t="n">
        <v>2070</v>
      </c>
      <c r="J27" s="18" t="n">
        <v>2003</v>
      </c>
      <c r="K27" s="18" t="n">
        <v>1928</v>
      </c>
      <c r="L27" s="18" t="n">
        <v>1931</v>
      </c>
      <c r="M27" s="18" t="n">
        <v>1820</v>
      </c>
      <c r="N27" s="18" t="n">
        <v>1789</v>
      </c>
      <c r="O27" s="18" t="n">
        <v>1771</v>
      </c>
      <c r="P27" s="18" t="n">
        <v>1671</v>
      </c>
      <c r="Q27" s="18" t="n">
        <v>1649</v>
      </c>
      <c r="R27" s="18" t="n">
        <v>507</v>
      </c>
      <c r="S27" s="18" t="n">
        <v>2019</v>
      </c>
      <c r="T27" s="18" t="n">
        <v>3337</v>
      </c>
      <c r="U27" s="18" t="n">
        <v>2004</v>
      </c>
      <c r="V27" s="18" t="n">
        <v>2002</v>
      </c>
      <c r="W27" s="18" t="n">
        <v>1967</v>
      </c>
      <c r="X27" s="18" t="n">
        <v>1965</v>
      </c>
      <c r="Y27" s="18" t="n">
        <v>2030</v>
      </c>
      <c r="Z27" s="18" t="n">
        <v>2210</v>
      </c>
      <c r="AA27" s="18" t="n">
        <v>2269</v>
      </c>
      <c r="AB27" s="18" t="n">
        <v>2312</v>
      </c>
      <c r="AC27" s="18" t="n">
        <v>2364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631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-27156</v>
      </c>
      <c r="C29" s="18" t="n">
        <v>11275</v>
      </c>
      <c r="D29" s="18" t="n">
        <v>65944</v>
      </c>
      <c r="E29" s="18" t="n">
        <v>-136804</v>
      </c>
      <c r="F29" s="18" t="n">
        <v>65276</v>
      </c>
      <c r="G29" s="18" t="n">
        <v>-29224</v>
      </c>
      <c r="H29" s="18" t="n">
        <v>-44449</v>
      </c>
      <c r="I29" s="18" t="n">
        <v>-46853</v>
      </c>
      <c r="J29" s="18" t="n">
        <v>14042</v>
      </c>
      <c r="K29" s="18" t="n">
        <v>14745</v>
      </c>
      <c r="L29" s="18" t="n">
        <v>65299</v>
      </c>
      <c r="M29" s="18" t="n">
        <v>-63861</v>
      </c>
      <c r="N29" s="18" t="n">
        <v>50065</v>
      </c>
      <c r="O29" s="18" t="n">
        <v>-35687</v>
      </c>
      <c r="P29" s="18" t="n">
        <v>82169</v>
      </c>
      <c r="Q29" s="18" t="n">
        <v>-128222</v>
      </c>
      <c r="R29" s="18" t="n">
        <v>2588</v>
      </c>
      <c r="S29" s="18" t="n">
        <v>29668</v>
      </c>
      <c r="T29" s="18" t="n">
        <v>39798</v>
      </c>
      <c r="U29" s="18" t="n">
        <v>-169603</v>
      </c>
      <c r="V29" s="18" t="n">
        <v>23373</v>
      </c>
      <c r="W29" s="18" t="n">
        <v>-89281</v>
      </c>
      <c r="X29" s="18" t="n">
        <v>121291</v>
      </c>
      <c r="Y29" s="18" t="n">
        <v>-269523</v>
      </c>
      <c r="Z29" s="18" t="n">
        <v>12573</v>
      </c>
      <c r="AA29" s="18" t="n">
        <v>-71671</v>
      </c>
      <c r="AB29" s="18" t="n">
        <v>342487</v>
      </c>
      <c r="AC29" s="18" t="n">
        <v>-234262</v>
      </c>
    </row>
    <row r="30">
      <c r="A30" s="4" t="inlineStr">
        <is>
          <t>Operating Cash Flow</t>
        </is>
      </c>
      <c r="B30" s="18" t="n">
        <v>-19094</v>
      </c>
      <c r="C30" s="18" t="n">
        <v>16015</v>
      </c>
      <c r="D30" s="18" t="n">
        <v>83085</v>
      </c>
      <c r="E30" s="18" t="n">
        <v>-120089</v>
      </c>
      <c r="F30" s="18" t="n">
        <v>82919</v>
      </c>
      <c r="G30" s="18" t="n">
        <v>-14688</v>
      </c>
      <c r="H30" s="18" t="n">
        <v>-28052</v>
      </c>
      <c r="I30" s="18" t="n">
        <v>-43872</v>
      </c>
      <c r="J30" s="18" t="n">
        <v>13530</v>
      </c>
      <c r="K30" s="18" t="n">
        <v>25617</v>
      </c>
      <c r="L30" s="18" t="n">
        <v>85095</v>
      </c>
      <c r="M30" s="18" t="n">
        <v>-41917</v>
      </c>
      <c r="N30" s="18" t="n">
        <v>66018</v>
      </c>
      <c r="O30" s="18" t="n">
        <v>-18204</v>
      </c>
      <c r="P30" s="18" t="n">
        <v>101222</v>
      </c>
      <c r="Q30" s="18" t="n">
        <v>-111241</v>
      </c>
      <c r="R30" s="18" t="n">
        <v>18865</v>
      </c>
      <c r="S30" s="18" t="n">
        <v>45119</v>
      </c>
      <c r="T30" s="18" t="n">
        <v>60231</v>
      </c>
      <c r="U30" s="18" t="n">
        <v>-154158</v>
      </c>
      <c r="V30" s="18" t="n">
        <v>38469</v>
      </c>
      <c r="W30" s="18" t="n">
        <v>-74081</v>
      </c>
      <c r="X30" s="18" t="n">
        <v>147758</v>
      </c>
      <c r="Y30" s="18" t="n">
        <v>-251839</v>
      </c>
      <c r="Z30" s="18" t="n">
        <v>29547</v>
      </c>
      <c r="AA30" s="18" t="n">
        <v>-45214</v>
      </c>
      <c r="AB30" s="18" t="n">
        <v>368373</v>
      </c>
      <c r="AC30" s="18" t="n">
        <v>-211761</v>
      </c>
    </row>
    <row r="31">
      <c r="A31" s="4" t="inlineStr">
        <is>
          <t>Capex</t>
        </is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0</v>
      </c>
      <c r="AB31" s="18" t="n">
        <v>0</v>
      </c>
      <c r="AC31" s="18" t="n">
        <v>0</v>
      </c>
    </row>
    <row r="32">
      <c r="A32" s="4" t="inlineStr">
        <is>
          <t>Free Cash Flow</t>
        </is>
      </c>
      <c r="B32" s="18" t="n">
        <v>-19094</v>
      </c>
      <c r="C32" s="18" t="n">
        <v>16015</v>
      </c>
      <c r="D32" s="18" t="n">
        <v>83085</v>
      </c>
      <c r="E32" s="18" t="n">
        <v>-120089</v>
      </c>
      <c r="F32" s="18" t="n">
        <v>82919</v>
      </c>
      <c r="G32" s="18" t="n">
        <v>-14688</v>
      </c>
      <c r="H32" s="18" t="n">
        <v>-28052</v>
      </c>
      <c r="I32" s="18" t="n">
        <v>-43872</v>
      </c>
      <c r="J32" s="18" t="n">
        <v>13530</v>
      </c>
      <c r="K32" s="18" t="n">
        <v>25617</v>
      </c>
      <c r="L32" s="18" t="n">
        <v>85095</v>
      </c>
      <c r="M32" s="18" t="n">
        <v>-41917</v>
      </c>
      <c r="N32" s="18" t="n">
        <v>66018</v>
      </c>
      <c r="O32" s="18" t="n">
        <v>-18204</v>
      </c>
      <c r="P32" s="18" t="n">
        <v>101222</v>
      </c>
      <c r="Q32" s="18" t="n">
        <v>-111241</v>
      </c>
      <c r="R32" s="18" t="n">
        <v>18865</v>
      </c>
      <c r="S32" s="18" t="n">
        <v>45119</v>
      </c>
      <c r="T32" s="18" t="n">
        <v>60231</v>
      </c>
      <c r="U32" s="18" t="n">
        <v>-154158</v>
      </c>
      <c r="V32" s="18" t="n">
        <v>38469</v>
      </c>
      <c r="W32" s="18" t="n">
        <v>-74081</v>
      </c>
      <c r="X32" s="18" t="n">
        <v>147758</v>
      </c>
      <c r="Y32" s="18" t="n">
        <v>-251839</v>
      </c>
      <c r="Z32" s="18" t="n">
        <v>29547</v>
      </c>
      <c r="AA32" s="18" t="n">
        <v>-45214</v>
      </c>
      <c r="AB32" s="18" t="n">
        <v>368373</v>
      </c>
      <c r="AC32" s="18" t="n">
        <v>-211761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</row>
    <row r="4">
      <c r="A4" s="3" t="inlineStr">
        <is>
          <t>Revenue — consensus</t>
        </is>
      </c>
      <c r="B4" s="18" t="n">
        <v>196465.087741</v>
      </c>
      <c r="C4" s="18" t="n">
        <v>204893.12518</v>
      </c>
      <c r="D4" s="18" t="n">
        <v>215044.136357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</row>
    <row r="8">
      <c r="A8" s="3" t="inlineStr">
        <is>
          <t>EBITDA* — consensus</t>
        </is>
      </c>
      <c r="B8" s="18" t="n">
        <v>69414.781202</v>
      </c>
      <c r="C8" s="18" t="n">
        <v>72392.564082</v>
      </c>
      <c r="D8" s="18" t="n">
        <v>75979.105731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</row>
    <row r="12">
      <c r="A12" s="3" t="inlineStr">
        <is>
          <t>EBIT* — consensus</t>
        </is>
      </c>
      <c r="B12" s="18" t="n">
        <v>61524.023306</v>
      </c>
      <c r="C12" s="18" t="n">
        <v>64163.305316</v>
      </c>
      <c r="D12" s="18" t="n">
        <v>67342.14515700001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</row>
    <row r="16">
      <c r="A16" s="3" t="inlineStr">
        <is>
          <t>SG&amp;A — consensus</t>
        </is>
      </c>
      <c r="B16" s="18" t="n">
        <v>49577.096928</v>
      </c>
      <c r="C16" s="18" t="n">
        <v>51703.874941</v>
      </c>
      <c r="D16" s="18" t="n">
        <v>54265.437766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</row>
    <row r="20">
      <c r="A20" s="3" t="inlineStr">
        <is>
          <t>Net income (NOPAT) — consensus</t>
        </is>
      </c>
      <c r="B20" s="18" t="n">
        <v>62023.9115165</v>
      </c>
      <c r="C20" s="18" t="n">
        <v>65354.5047835</v>
      </c>
      <c r="D20" s="18" t="n">
        <v>72648.81358099999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</row>
    <row r="24">
      <c r="A24" s="3" t="inlineStr">
        <is>
          <t>EPS — consensus</t>
        </is>
      </c>
      <c r="B24" s="47" t="n">
        <v>22.28082</v>
      </c>
      <c r="C24" s="47" t="n">
        <v>23.59887</v>
      </c>
      <c r="D24" s="47" t="n">
        <v>25.85854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JPMorgan Chase &amp; Co.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0.05637883953124738</v>
      </c>
      <c r="C4" s="51" t="n">
        <v>0.06137883953124738</v>
      </c>
      <c r="D4" s="51" t="n">
        <v>0.06637883953124737</v>
      </c>
      <c r="E4" s="51" t="n">
        <v>0.07137883953124738</v>
      </c>
      <c r="F4" s="51" t="n">
        <v>0.07637883953124738</v>
      </c>
      <c r="G4" s="51" t="n">
        <v>0.08137883953124737</v>
      </c>
      <c r="H4" s="51" t="n">
        <v>0.08637883953124738</v>
      </c>
    </row>
    <row r="5">
      <c r="A5" s="52" t="n">
        <v>9</v>
      </c>
      <c r="B5" s="8" t="n">
        <v>933.4945447161103</v>
      </c>
      <c r="C5" s="8" t="n">
        <v>918.322295356052</v>
      </c>
      <c r="D5" s="8" t="n">
        <v>903.8452133908602</v>
      </c>
      <c r="E5" s="8" t="n">
        <v>890.0270520575549</v>
      </c>
      <c r="F5" s="8" t="n">
        <v>876.8336431265087</v>
      </c>
      <c r="G5" s="8" t="n">
        <v>864.2327678341293</v>
      </c>
      <c r="H5" s="8" t="n">
        <v>852.1940364135439</v>
      </c>
    </row>
    <row r="6">
      <c r="A6" s="52" t="n">
        <v>10</v>
      </c>
      <c r="B6" s="8" t="n">
        <v>958.408232757224</v>
      </c>
      <c r="C6" s="8" t="n">
        <v>942.0869060781691</v>
      </c>
      <c r="D6" s="8" t="n">
        <v>926.5187761622949</v>
      </c>
      <c r="E6" s="8" t="n">
        <v>911.6644139627467</v>
      </c>
      <c r="F6" s="8" t="n">
        <v>897.4866571597685</v>
      </c>
      <c r="G6" s="8" t="n">
        <v>883.9504691623453</v>
      </c>
      <c r="H6" s="8" t="n">
        <v>871.0228075146096</v>
      </c>
    </row>
    <row r="7">
      <c r="A7" s="52" t="n">
        <v>11</v>
      </c>
      <c r="B7" s="8" t="n">
        <v>983.3219207983377</v>
      </c>
      <c r="C7" s="8" t="n">
        <v>965.8515168002863</v>
      </c>
      <c r="D7" s="8" t="n">
        <v>949.1923389337295</v>
      </c>
      <c r="E7" s="8" t="n">
        <v>933.3017758679387</v>
      </c>
      <c r="F7" s="8" t="n">
        <v>918.1396711930283</v>
      </c>
      <c r="G7" s="8" t="n">
        <v>903.6681704905612</v>
      </c>
      <c r="H7" s="8" t="n">
        <v>889.8515786156751</v>
      </c>
    </row>
    <row r="8">
      <c r="A8" s="52" t="n">
        <v>12</v>
      </c>
      <c r="B8" s="8" t="n">
        <v>1008.235608839452</v>
      </c>
      <c r="C8" s="8" t="n">
        <v>989.6161275224034</v>
      </c>
      <c r="D8" s="8" t="n">
        <v>971.865901705164</v>
      </c>
      <c r="E8" s="53" t="n">
        <v>954.9391377731304</v>
      </c>
      <c r="F8" s="8" t="n">
        <v>938.7926852262883</v>
      </c>
      <c r="G8" s="8" t="n">
        <v>923.3858718187773</v>
      </c>
      <c r="H8" s="8" t="n">
        <v>908.6803497167407</v>
      </c>
    </row>
    <row r="9">
      <c r="A9" s="52" t="n">
        <v>13</v>
      </c>
      <c r="B9" s="8" t="n">
        <v>1033.149296880565</v>
      </c>
      <c r="C9" s="8" t="n">
        <v>1013.380738244521</v>
      </c>
      <c r="D9" s="8" t="n">
        <v>994.5394644765988</v>
      </c>
      <c r="E9" s="8" t="n">
        <v>976.5764996783223</v>
      </c>
      <c r="F9" s="8" t="n">
        <v>959.4456992595481</v>
      </c>
      <c r="G9" s="8" t="n">
        <v>943.1035731469934</v>
      </c>
      <c r="H9" s="8" t="n">
        <v>927.5091208178063</v>
      </c>
    </row>
    <row r="10">
      <c r="A10" s="52" t="n">
        <v>14</v>
      </c>
      <c r="B10" s="8" t="n">
        <v>1058.062984921679</v>
      </c>
      <c r="C10" s="8" t="n">
        <v>1037.145348966638</v>
      </c>
      <c r="D10" s="8" t="n">
        <v>1017.213027248033</v>
      </c>
      <c r="E10" s="8" t="n">
        <v>998.213861583514</v>
      </c>
      <c r="F10" s="8" t="n">
        <v>980.0987132928079</v>
      </c>
      <c r="G10" s="8" t="n">
        <v>962.8212744752093</v>
      </c>
      <c r="H10" s="8" t="n">
        <v>946.3378919188718</v>
      </c>
    </row>
    <row r="11">
      <c r="A11" s="52" t="n">
        <v>15</v>
      </c>
      <c r="B11" s="8" t="n">
        <v>1082.976672962793</v>
      </c>
      <c r="C11" s="8" t="n">
        <v>1060.909959688755</v>
      </c>
      <c r="D11" s="8" t="n">
        <v>1039.886590019468</v>
      </c>
      <c r="E11" s="8" t="n">
        <v>1019.851223488706</v>
      </c>
      <c r="F11" s="8" t="n">
        <v>1000.751727326068</v>
      </c>
      <c r="G11" s="8" t="n">
        <v>982.5389758034253</v>
      </c>
      <c r="H11" s="8" t="n">
        <v>965.1666630199375</v>
      </c>
    </row>
    <row r="13">
      <c r="A13" s="3" t="inlineStr">
        <is>
          <t>Current price</t>
        </is>
      </c>
      <c r="B13" s="54" t="n">
        <v>338.25</v>
      </c>
    </row>
    <row r="14">
      <c r="A14" s="3" t="inlineStr">
        <is>
          <t>Base WACC / multiple</t>
        </is>
      </c>
      <c r="B14" s="55" t="n">
        <v>0.07137883953124738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0.03146614918685992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2.49406593277441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1.023730478931415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2026-07-08T07:03:46Z</dcterms:created>
  <dcterms:modified xmlns:dcterms="http://purl.org/dc/terms/" xmlns:xsi="http://www.w3.org/2001/XMLSchema-instance" xsi:type="dcterms:W3CDTF">2026-07-08T07:03:46Z</dcterms:modified>
</cp:coreProperties>
</file>