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workbook (synced) — no Opus pass — value synced from this workbook</t>
      </text>
    </comment>
    <comment ref="C20" authorId="0" shapeId="0">
      <text>
        <t>workbook (synced) — no Opus pass — value synced from this workbook</t>
      </text>
    </comment>
    <comment ref="B29" authorId="0" shapeId="0">
      <text>
        <t>workbook (synced) — no Opus pass — value synced from this workbook</t>
      </text>
    </comment>
    <comment ref="B30" authorId="0" shapeId="0">
      <text>
        <t>workbook (synced) — no Opus pass — value synced from this workbook</t>
      </text>
    </comment>
    <comment ref="B31" authorId="0" shapeId="0">
      <text>
        <t>workbook (synced) — no Opus pass — value synced from this workbook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workbook (synced) — no Opus pass — value synced from this workbook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workbook (synced) — no Opus pass — value synced from this workbook</t>
      </text>
    </comment>
    <comment ref="B41" authorId="0" shapeId="0">
      <text>
        <t>workbook (synced) — no Opus pass — value synced from this workbook</t>
      </text>
    </comment>
    <comment ref="B43" authorId="0" shapeId="0">
      <text>
        <t>workbook (synced) — no Opus pass — value synced from this workbook</t>
      </text>
    </comment>
    <comment ref="B44" authorId="0" shapeId="0">
      <text>
        <t>workbook (synced) — no Opus pass — value synced from this workbook</t>
      </text>
    </comment>
    <comment ref="B45" authorId="0" shapeId="0">
      <text>
        <t>Opus: 15.1x</t>
      </text>
    </comment>
    <comment ref="B46" authorId="0" shapeId="0">
      <text>
        <t>workbook (synced) — no Opus pass — value synced from this workbook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Cloudflare, Inc. (NET)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2026-07-06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Cloudflare, Inc. (NET)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0.2493317389396743</v>
      </c>
      <c r="C20" s="15" t="n">
        <v>0.05000000000000002</v>
      </c>
      <c r="D20" s="16" t="n">
        <v>0.2493317389396743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0.1985360769057019</v>
      </c>
      <c r="D29" s="16" t="n">
        <v>0.1985360769057019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0.2510342674366162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376.8072000000001</v>
      </c>
      <c r="D34" s="18" t="n">
        <v>376.8072000000001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1.673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15.1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268.1650085449219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34.22428729003157</v>
      </c>
      <c r="C58" s="28" t="n">
        <v>46.02213478617704</v>
      </c>
      <c r="D58" s="28" t="n">
        <v>25.20655665174684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0.2082412911445305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0.1249447746867183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NET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2026-07-06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workbook (synced)</t>
        </is>
      </c>
      <c r="E8" t="inlineStr">
        <is>
          <t>—</t>
        </is>
      </c>
      <c r="F8" s="31" t="inlineStr">
        <is>
          <t>no Opus pass — value synced from this workbook</t>
        </is>
      </c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workbook (synced)</t>
        </is>
      </c>
      <c r="E9" t="inlineStr">
        <is>
          <t>—</t>
        </is>
      </c>
      <c r="F9" s="31" t="inlineStr">
        <is>
          <t>no Opus pass — value synced from this workbook</t>
        </is>
      </c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workbook (synced)</t>
        </is>
      </c>
      <c r="E10" t="inlineStr">
        <is>
          <t>—</t>
        </is>
      </c>
      <c r="F10" s="31" t="inlineStr">
        <is>
          <t>no Opus pass — value synced from this workbook</t>
        </is>
      </c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workbook (synced)</t>
        </is>
      </c>
      <c r="E11" t="inlineStr">
        <is>
          <t>—</t>
        </is>
      </c>
      <c r="F11" s="31" t="inlineStr">
        <is>
          <t>no Opus pass — value synced from this workbook</t>
        </is>
      </c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workbook (synced)</t>
        </is>
      </c>
      <c r="E12" t="inlineStr">
        <is>
          <t>—</t>
        </is>
      </c>
      <c r="F12" s="31" t="inlineStr">
        <is>
          <t>no Opus pass — value synced from this workbook</t>
        </is>
      </c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workbook (synced)</t>
        </is>
      </c>
      <c r="E13" t="inlineStr">
        <is>
          <t>—</t>
        </is>
      </c>
      <c r="F13" s="31" t="inlineStr">
        <is>
          <t>no Opus pass — value synced from this workbook</t>
        </is>
      </c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workbook (synced)</t>
        </is>
      </c>
      <c r="E18" t="inlineStr">
        <is>
          <t>—</t>
        </is>
      </c>
      <c r="F18" s="31" t="inlineStr">
        <is>
          <t>no Opus pass — value synced from this workbook</t>
        </is>
      </c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workbook (synced)</t>
        </is>
      </c>
      <c r="E19" t="inlineStr">
        <is>
          <t>—</t>
        </is>
      </c>
      <c r="F19" s="31" t="inlineStr">
        <is>
          <t>no Opus pass — value synced from this workbook</t>
        </is>
      </c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Opus</t>
        </is>
      </c>
      <c r="E20" t="inlineStr">
        <is>
          <t>15.1x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workbook (synced)</t>
        </is>
      </c>
      <c r="E21" t="inlineStr">
        <is>
          <t>—</t>
        </is>
      </c>
      <c r="F21" s="31" t="inlineStr">
        <is>
          <t>no Opus pass — value synced from this workbook</t>
        </is>
      </c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Financials!AC37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0.253177098781007</v>
      </c>
      <c r="H11" s="15" t="n">
        <v>0.253177098781007</v>
      </c>
      <c r="I11" s="15" t="n">
        <v>0.253177098781007</v>
      </c>
      <c r="J11" s="15" t="n">
        <v>0.253177098781007</v>
      </c>
      <c r="K11" s="15" t="n">
        <v>0.253177098781007</v>
      </c>
      <c r="L11" s="15" t="n">
        <v>0.253177098781007</v>
      </c>
      <c r="M11" s="15" t="n">
        <v>0.253177098781007</v>
      </c>
      <c r="N11" s="15" t="n">
        <v>0.253177098781007</v>
      </c>
      <c r="O11" s="15" t="n">
        <v>0.253177098781007</v>
      </c>
      <c r="P11" s="15" t="n">
        <v>0.253177098781007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0.2363947845347905</v>
      </c>
      <c r="H13" s="15" t="n">
        <v>0.2363947845347905</v>
      </c>
      <c r="I13" s="15" t="n">
        <v>0.2363947845347905</v>
      </c>
      <c r="J13" s="15" t="n">
        <v>0.2363947845347905</v>
      </c>
      <c r="K13" s="15" t="n">
        <v>0.2363947845347905</v>
      </c>
      <c r="L13" s="15" t="n">
        <v>0.2363947845347905</v>
      </c>
      <c r="M13" s="15" t="n">
        <v>0.2363947845347905</v>
      </c>
      <c r="N13" s="15" t="n">
        <v>0.2363947845347905</v>
      </c>
      <c r="O13" s="15" t="n">
        <v>0.2363947845347905</v>
      </c>
      <c r="P13" s="15" t="n">
        <v>0.2363947845347905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0.6043201439894241</v>
      </c>
      <c r="H15" s="15" t="n">
        <v>0.6043201439894241</v>
      </c>
      <c r="I15" s="15" t="n">
        <v>0.6043201439894241</v>
      </c>
      <c r="J15" s="15" t="n">
        <v>0.6043201439894241</v>
      </c>
      <c r="K15" s="15" t="n">
        <v>0.6043201439894241</v>
      </c>
      <c r="L15" s="15" t="n">
        <v>0.6043201439894241</v>
      </c>
      <c r="M15" s="15" t="n">
        <v>0.6043201439894241</v>
      </c>
      <c r="N15" s="15" t="n">
        <v>0.6043201439894241</v>
      </c>
      <c r="O15" s="15" t="n">
        <v>0.6043201439894241</v>
      </c>
      <c r="P15" s="15" t="n">
        <v>0.6043201439894241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SUM(Financials!I40:L40)</f>
        <v/>
      </c>
      <c r="C24" s="33">
        <f>SUM(Financials!M40:P40)</f>
        <v/>
      </c>
      <c r="D24" s="33">
        <f>SUM(Financials!Q40:T40)</f>
        <v/>
      </c>
      <c r="E24" s="33">
        <f>SUM(Financials!U40:X40)</f>
        <v/>
      </c>
      <c r="F24" s="33">
        <f>SUM(Financials!Y40:AB40)</f>
        <v/>
      </c>
      <c r="G24" s="41">
        <f>G6*0.1344</f>
        <v/>
      </c>
      <c r="H24" s="41">
        <f>H6*0.1344</f>
        <v/>
      </c>
      <c r="I24" s="41">
        <f>I6*0.1344</f>
        <v/>
      </c>
      <c r="J24" s="41">
        <f>J6*0.1344</f>
        <v/>
      </c>
      <c r="K24" s="41">
        <f>K6*0.1344</f>
        <v/>
      </c>
      <c r="L24" s="41">
        <f>L6*0.1344</f>
        <v/>
      </c>
      <c r="M24" s="41">
        <f>M6*0.1344</f>
        <v/>
      </c>
      <c r="N24" s="41">
        <f>N6*0.1344</f>
        <v/>
      </c>
      <c r="O24" s="41">
        <f>O6*0.1344</f>
        <v/>
      </c>
      <c r="P24" s="41">
        <f>P6*0.1344</f>
        <v/>
      </c>
    </row>
    <row r="25">
      <c r="A25" s="4" t="inlineStr">
        <is>
          <t>+ SBC (non-cash)</t>
        </is>
      </c>
      <c r="B25" s="33">
        <f>SUM(Financials!I41:L41)</f>
        <v/>
      </c>
      <c r="C25" s="33">
        <f>SUM(Financials!M41:P41)</f>
        <v/>
      </c>
      <c r="D25" s="33">
        <f>SUM(Financials!Q41:T41)</f>
        <v/>
      </c>
      <c r="E25" s="33">
        <f>SUM(Financials!U41:X41)</f>
        <v/>
      </c>
      <c r="F25" s="33">
        <f>SUM(Financials!Y41:AB41)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-SUM(Financials!I44:L44)</f>
        <v/>
      </c>
      <c r="C27" s="33">
        <f>-SUM(Financials!M44:P44)</f>
        <v/>
      </c>
      <c r="D27" s="33">
        <f>-SUM(Financials!Q44:T44)</f>
        <v/>
      </c>
      <c r="E27" s="33">
        <f>-SUM(Financials!U44:X44)</f>
        <v/>
      </c>
      <c r="F27" s="33">
        <f>-SUM(Financials!Y44:AB44)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Financials!L38+Financials!L37-Financials!L32</f>
        <v/>
      </c>
      <c r="C34" s="33">
        <f>Financials!P38+Financials!P37-Financials!P32</f>
        <v/>
      </c>
      <c r="D34" s="33">
        <f>Financials!T38+Financials!T37-Financials!T32</f>
        <v/>
      </c>
      <c r="E34" s="33">
        <f>Financials!X38+Financials!X37-Financials!X32</f>
        <v/>
      </c>
      <c r="F34" s="33">
        <f>Financials!AB38+Financials!AB37-Financials!AB32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Financials!L38</f>
        <v/>
      </c>
      <c r="C35" s="33">
        <f>Financials!P38</f>
        <v/>
      </c>
      <c r="D35" s="33">
        <f>Financials!T38</f>
        <v/>
      </c>
      <c r="E35" s="33">
        <f>Financials!X38</f>
        <v/>
      </c>
      <c r="F35" s="33">
        <f>Financials!AB38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67.42400000000001</v>
      </c>
      <c r="C3" s="18" t="n">
        <v>73.941</v>
      </c>
      <c r="D3" s="18" t="n">
        <v>83.93000000000001</v>
      </c>
      <c r="E3" s="18" t="n">
        <v>91.25</v>
      </c>
      <c r="F3" s="18" t="n">
        <v>99.721</v>
      </c>
      <c r="G3" s="18" t="n">
        <v>114.162</v>
      </c>
      <c r="H3" s="18" t="n">
        <v>125.926</v>
      </c>
      <c r="I3" s="18" t="n">
        <v>138.055</v>
      </c>
      <c r="J3" s="18" t="n">
        <v>152.428</v>
      </c>
      <c r="K3" s="18" t="n">
        <v>172.347</v>
      </c>
      <c r="L3" s="18" t="n">
        <v>193.596</v>
      </c>
      <c r="M3" s="18" t="n">
        <v>212.167</v>
      </c>
      <c r="N3" s="18" t="n">
        <v>234.517</v>
      </c>
      <c r="O3" s="18" t="n">
        <v>253.857</v>
      </c>
      <c r="P3" s="18" t="n">
        <v>274.7</v>
      </c>
      <c r="Q3" s="18" t="n">
        <v>290.175</v>
      </c>
      <c r="R3" s="18" t="n">
        <v>308.494</v>
      </c>
      <c r="S3" s="18" t="n">
        <v>335.603</v>
      </c>
      <c r="T3" s="18" t="n">
        <v>362.473</v>
      </c>
      <c r="U3" s="18" t="n">
        <v>378.602</v>
      </c>
      <c r="V3" s="18" t="n">
        <v>400.996</v>
      </c>
      <c r="W3" s="18" t="n">
        <v>430.082</v>
      </c>
      <c r="X3" s="18" t="n">
        <v>459.946</v>
      </c>
      <c r="Y3" s="18" t="n">
        <v>479.087</v>
      </c>
      <c r="Z3" s="18" t="n">
        <v>512.316</v>
      </c>
      <c r="AA3" s="18" t="n">
        <v>562.027</v>
      </c>
      <c r="AB3" s="18" t="n">
        <v>614.5069999999999</v>
      </c>
      <c r="AC3" s="18" t="n">
        <v>639.755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14.832</v>
      </c>
      <c r="C5" s="18" t="n">
        <v>16.033</v>
      </c>
      <c r="D5" s="18" t="n">
        <v>18.198</v>
      </c>
      <c r="E5" s="18" t="n">
        <v>20.821</v>
      </c>
      <c r="F5" s="18" t="n">
        <v>24.164</v>
      </c>
      <c r="G5" s="18" t="n">
        <v>27.005</v>
      </c>
      <c r="H5" s="18" t="n">
        <v>29.065</v>
      </c>
      <c r="I5" s="18" t="n">
        <v>32.084</v>
      </c>
      <c r="J5" s="18" t="n">
        <v>35.029</v>
      </c>
      <c r="K5" s="18" t="n">
        <v>37.525</v>
      </c>
      <c r="L5" s="18" t="n">
        <v>42.496</v>
      </c>
      <c r="M5" s="18" t="n">
        <v>47.051</v>
      </c>
      <c r="N5" s="18" t="n">
        <v>55.804</v>
      </c>
      <c r="O5" s="18" t="n">
        <v>61.967</v>
      </c>
      <c r="P5" s="18" t="n">
        <v>67.788</v>
      </c>
      <c r="Q5" s="18" t="n">
        <v>70.432</v>
      </c>
      <c r="R5" s="18" t="n">
        <v>75.221</v>
      </c>
      <c r="S5" s="18" t="n">
        <v>78.069</v>
      </c>
      <c r="T5" s="18" t="n">
        <v>83.858</v>
      </c>
      <c r="U5" s="18" t="n">
        <v>85.038</v>
      </c>
      <c r="V5" s="18" t="n">
        <v>89.011</v>
      </c>
      <c r="W5" s="18" t="n">
        <v>95.967</v>
      </c>
      <c r="X5" s="18" t="n">
        <v>109.048</v>
      </c>
      <c r="Y5" s="18" t="n">
        <v>115.576</v>
      </c>
      <c r="Z5" s="18" t="n">
        <v>128.677</v>
      </c>
      <c r="AA5" s="18" t="n">
        <v>146.316</v>
      </c>
      <c r="AB5" s="18" t="n">
        <v>158.303</v>
      </c>
      <c r="AC5" s="18" t="n">
        <v>184.158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18.868</v>
      </c>
      <c r="C7" s="18" t="n">
        <v>27.863</v>
      </c>
      <c r="D7" s="18" t="n">
        <v>26.289</v>
      </c>
      <c r="E7" s="18" t="n">
        <v>27.578</v>
      </c>
      <c r="F7" s="18" t="n">
        <v>28.182</v>
      </c>
      <c r="G7" s="18" t="n">
        <v>30.902</v>
      </c>
      <c r="H7" s="18" t="n">
        <v>34.757</v>
      </c>
      <c r="I7" s="18" t="n">
        <v>39.527</v>
      </c>
      <c r="J7" s="18" t="n">
        <v>41.349</v>
      </c>
      <c r="K7" s="18" t="n">
        <v>46.77</v>
      </c>
      <c r="L7" s="18" t="n">
        <v>61.762</v>
      </c>
      <c r="M7" s="18" t="n">
        <v>67.054</v>
      </c>
      <c r="N7" s="18" t="n">
        <v>75.114</v>
      </c>
      <c r="O7" s="18" t="n">
        <v>76.432</v>
      </c>
      <c r="P7" s="18" t="n">
        <v>79.703</v>
      </c>
      <c r="Q7" s="18" t="n">
        <v>81.539</v>
      </c>
      <c r="R7" s="18" t="n">
        <v>89.61</v>
      </c>
      <c r="S7" s="18" t="n">
        <v>90.593</v>
      </c>
      <c r="T7" s="18" t="n">
        <v>96.401</v>
      </c>
      <c r="U7" s="18" t="n">
        <v>87.703</v>
      </c>
      <c r="V7" s="18" t="n">
        <v>102.547</v>
      </c>
      <c r="W7" s="18" t="n">
        <v>110.911</v>
      </c>
      <c r="X7" s="18" t="n">
        <v>120.213</v>
      </c>
      <c r="Y7" s="18" t="n">
        <v>115.089</v>
      </c>
      <c r="Z7" s="18" t="n">
        <v>134.557</v>
      </c>
      <c r="AA7" s="18" t="n">
        <v>120.956</v>
      </c>
      <c r="AB7" s="18" t="n">
        <v>141.887</v>
      </c>
      <c r="AC7" s="18" t="n">
        <v>150.972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53.495</v>
      </c>
      <c r="C9" s="18" t="n">
        <v>71.131</v>
      </c>
      <c r="D9" s="18" t="n">
        <v>69.38500000000001</v>
      </c>
      <c r="E9" s="18" t="n">
        <v>72.592</v>
      </c>
      <c r="F9" s="18" t="n">
        <v>72.13</v>
      </c>
      <c r="G9" s="18" t="n">
        <v>77.50700000000001</v>
      </c>
      <c r="H9" s="18" t="n">
        <v>86.845</v>
      </c>
      <c r="I9" s="18" t="n">
        <v>97.69799999999999</v>
      </c>
      <c r="J9" s="18" t="n">
        <v>104.922</v>
      </c>
      <c r="K9" s="18" t="n">
        <v>114.546</v>
      </c>
      <c r="L9" s="18" t="n">
        <v>130.021999</v>
      </c>
      <c r="M9" s="18" t="n">
        <v>135.447</v>
      </c>
      <c r="N9" s="18" t="n">
        <v>166.832</v>
      </c>
      <c r="O9" s="18" t="n">
        <v>161.405</v>
      </c>
      <c r="P9" s="18" t="n">
        <v>177.9</v>
      </c>
      <c r="Q9" s="18" t="n">
        <v>185.476</v>
      </c>
      <c r="R9" s="18" t="n">
        <v>199.835</v>
      </c>
      <c r="S9" s="18" t="n">
        <v>206.153</v>
      </c>
      <c r="T9" s="18" t="n">
        <v>225.043</v>
      </c>
      <c r="U9" s="18" t="n">
        <v>260.411</v>
      </c>
      <c r="V9" s="18" t="n">
        <v>243.974</v>
      </c>
      <c r="W9" s="18" t="n">
        <v>253.92</v>
      </c>
      <c r="X9" s="18" t="n">
        <v>264.942</v>
      </c>
      <c r="Y9" s="18" t="n">
        <v>301.669</v>
      </c>
      <c r="Z9" s="18" t="n">
        <v>316.346</v>
      </c>
      <c r="AA9" s="18" t="n">
        <v>332.215</v>
      </c>
      <c r="AB9" s="18" t="n">
        <v>359.898</v>
      </c>
      <c r="AC9" s="18" t="n">
        <v>366.619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52.592</v>
      </c>
      <c r="C11" s="18" t="n">
        <v>57.908</v>
      </c>
      <c r="D11" s="18" t="n">
        <v>65.732</v>
      </c>
      <c r="E11" s="18" t="n">
        <v>70.429</v>
      </c>
      <c r="F11" s="18" t="n">
        <v>75.557</v>
      </c>
      <c r="G11" s="18" t="n">
        <v>87.157</v>
      </c>
      <c r="H11" s="18" t="n">
        <v>96.861</v>
      </c>
      <c r="I11" s="18" t="n">
        <v>105.971</v>
      </c>
      <c r="J11" s="18" t="n">
        <v>117.399</v>
      </c>
      <c r="K11" s="18" t="n">
        <v>134.822</v>
      </c>
      <c r="L11" s="18" t="n">
        <v>151.1</v>
      </c>
      <c r="M11" s="18" t="n">
        <v>165.116</v>
      </c>
      <c r="N11" s="18" t="n">
        <v>178.713</v>
      </c>
      <c r="O11" s="18" t="n">
        <v>191.89</v>
      </c>
      <c r="P11" s="18" t="n">
        <v>206.912</v>
      </c>
      <c r="Q11" s="18" t="n">
        <v>219.743</v>
      </c>
      <c r="R11" s="18" t="n">
        <v>233.273</v>
      </c>
      <c r="S11" s="18" t="n">
        <v>257.534</v>
      </c>
      <c r="T11" s="18" t="n">
        <v>278.615</v>
      </c>
      <c r="U11" s="18" t="n">
        <v>293.564</v>
      </c>
      <c r="V11" s="18" t="n">
        <v>311.985</v>
      </c>
      <c r="W11" s="18" t="n">
        <v>334.115</v>
      </c>
      <c r="X11" s="18" t="n">
        <v>350.898</v>
      </c>
      <c r="Y11" s="18" t="n">
        <v>363.511</v>
      </c>
      <c r="Z11" s="18" t="n">
        <v>383.639</v>
      </c>
      <c r="AA11" s="18" t="n">
        <v>415.711</v>
      </c>
      <c r="AB11" s="18" t="n">
        <v>456.204</v>
      </c>
      <c r="AC11" s="18" t="n">
        <v>455.597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-19.771</v>
      </c>
      <c r="C13" s="18" t="n">
        <v>-41.086</v>
      </c>
      <c r="D13" s="18" t="n">
        <v>-29.942</v>
      </c>
      <c r="E13" s="18" t="n">
        <v>-29.741</v>
      </c>
      <c r="F13" s="18" t="n">
        <v>-24.755</v>
      </c>
      <c r="G13" s="18" t="n">
        <v>-21.252</v>
      </c>
      <c r="H13" s="18" t="n">
        <v>-24.741</v>
      </c>
      <c r="I13" s="18" t="n">
        <v>-31.254</v>
      </c>
      <c r="J13" s="18" t="n">
        <v>-28.872</v>
      </c>
      <c r="K13" s="18" t="n">
        <v>-26.494</v>
      </c>
      <c r="L13" s="18" t="n">
        <v>-40.684</v>
      </c>
      <c r="M13" s="18" t="n">
        <v>-37.385</v>
      </c>
      <c r="N13" s="18" t="n">
        <v>-63.233</v>
      </c>
      <c r="O13" s="18" t="n">
        <v>-45.947</v>
      </c>
      <c r="P13" s="18" t="n">
        <v>-50.691</v>
      </c>
      <c r="Q13" s="18" t="n">
        <v>-47.272</v>
      </c>
      <c r="R13" s="18" t="n">
        <v>-56.172</v>
      </c>
      <c r="S13" s="18" t="n">
        <v>-39.212</v>
      </c>
      <c r="T13" s="18" t="n">
        <v>-42.829</v>
      </c>
      <c r="U13" s="18" t="n">
        <v>-54.55</v>
      </c>
      <c r="V13" s="18" t="n">
        <v>-34.536</v>
      </c>
      <c r="W13" s="18" t="n">
        <v>-30.716</v>
      </c>
      <c r="X13" s="18" t="n">
        <v>-34.257</v>
      </c>
      <c r="Y13" s="18" t="n">
        <v>-53.247</v>
      </c>
      <c r="Z13" s="18" t="n">
        <v>-67.264</v>
      </c>
      <c r="AA13" s="18" t="n">
        <v>-37.46</v>
      </c>
      <c r="AB13" s="18" t="n">
        <v>-45.437</v>
      </c>
      <c r="AC13" s="18" t="n">
        <v>-61.571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-19.706</v>
      </c>
      <c r="C15" s="18" t="n">
        <v>-40.853</v>
      </c>
      <c r="D15" s="18" t="n">
        <v>-28.155</v>
      </c>
      <c r="E15" s="18" t="n">
        <v>-32.746</v>
      </c>
      <c r="F15" s="18" t="n">
        <v>-26.135</v>
      </c>
      <c r="G15" s="18" t="n">
        <v>-26.468</v>
      </c>
      <c r="H15" s="18" t="n">
        <v>-34.021</v>
      </c>
      <c r="I15" s="18" t="n">
        <v>-39.963</v>
      </c>
      <c r="J15" s="18" t="n">
        <v>-35.51</v>
      </c>
      <c r="K15" s="18" t="n">
        <v>-107.335</v>
      </c>
      <c r="L15" s="18" t="n">
        <v>-77.501</v>
      </c>
      <c r="M15" s="18" t="n">
        <v>-41.381</v>
      </c>
      <c r="N15" s="18" t="n">
        <v>-63.537</v>
      </c>
      <c r="O15" s="18" t="n">
        <v>-42.546</v>
      </c>
      <c r="P15" s="18" t="n">
        <v>-45.917</v>
      </c>
      <c r="Q15" s="18" t="n">
        <v>-38.082</v>
      </c>
      <c r="R15" s="18" t="n">
        <v>-94.467</v>
      </c>
      <c r="S15" s="18" t="n">
        <v>-23.535</v>
      </c>
      <c r="T15" s="18" t="n">
        <v>-27.865</v>
      </c>
      <c r="U15" s="18" t="n">
        <v>-35.543</v>
      </c>
      <c r="V15" s="18" t="n">
        <v>-15.078</v>
      </c>
      <c r="W15" s="18" t="n">
        <v>-15.331</v>
      </c>
      <c r="X15" s="18" t="n">
        <v>-12.848</v>
      </c>
      <c r="Y15" s="18" t="n">
        <v>-38.454</v>
      </c>
      <c r="Z15" s="18" t="n">
        <v>-50.446</v>
      </c>
      <c r="AA15" s="18" t="n">
        <v>-1.29</v>
      </c>
      <c r="AB15" s="18" t="n">
        <v>-12.077</v>
      </c>
      <c r="AC15" s="18" t="n">
        <v>-22.927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293.343687</v>
      </c>
      <c r="C17" s="18" t="n">
        <v>296.758417</v>
      </c>
      <c r="D17" s="18" t="n">
        <v>294.418</v>
      </c>
      <c r="E17" s="18" t="n">
        <v>296.077</v>
      </c>
      <c r="F17" s="18" t="n">
        <v>299.321</v>
      </c>
      <c r="G17" s="18" t="n">
        <v>301.689</v>
      </c>
      <c r="H17" s="18" t="n">
        <v>303.813</v>
      </c>
      <c r="I17" s="18" t="n">
        <v>305.947</v>
      </c>
      <c r="J17" s="18" t="n">
        <v>308.263</v>
      </c>
      <c r="K17" s="18" t="n">
        <v>314.543</v>
      </c>
      <c r="L17" s="18" t="n">
        <v>320.331</v>
      </c>
      <c r="M17" s="18" t="n">
        <v>323.334</v>
      </c>
      <c r="N17" s="18" t="n">
        <v>325.197</v>
      </c>
      <c r="O17" s="18" t="n">
        <v>326.59</v>
      </c>
      <c r="P17" s="18" t="n">
        <v>328.326</v>
      </c>
      <c r="Q17" s="18" t="n">
        <v>330.389</v>
      </c>
      <c r="R17" s="18" t="n">
        <v>332.297</v>
      </c>
      <c r="S17" s="18" t="n">
        <v>334.666</v>
      </c>
      <c r="T17" s="18" t="n">
        <v>336.578</v>
      </c>
      <c r="U17" s="18" t="n">
        <v>338.583</v>
      </c>
      <c r="V17" s="18" t="n">
        <v>340.648</v>
      </c>
      <c r="W17" s="18" t="n">
        <v>342.356</v>
      </c>
      <c r="X17" s="18" t="n">
        <v>344.003</v>
      </c>
      <c r="Y17" s="18" t="n">
        <v>345.723</v>
      </c>
      <c r="Z17" s="18" t="n">
        <v>347.489</v>
      </c>
      <c r="AA17" s="18" t="n">
        <v>342.356</v>
      </c>
      <c r="AB17" s="18" t="n">
        <v>351.087</v>
      </c>
      <c r="AC17" s="18" t="n">
        <v>352.625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UNITED STATES</t>
        </is>
      </c>
      <c r="C19" s="18" t="n">
        <v>37.605</v>
      </c>
      <c r="D19" s="18" t="n">
        <v>43.004</v>
      </c>
      <c r="E19" s="18" t="n">
        <v>44.215</v>
      </c>
      <c r="F19" s="18" t="n">
        <v>48.478</v>
      </c>
      <c r="G19" s="18" t="n">
        <v>59.277</v>
      </c>
      <c r="H19" s="18" t="n">
        <v>66.221</v>
      </c>
      <c r="I19" s="18" t="n">
        <v>71.22199999999999</v>
      </c>
      <c r="J19" s="18" t="n">
        <v>79.944</v>
      </c>
      <c r="K19" s="18" t="n">
        <v>90.73399999999999</v>
      </c>
      <c r="L19" s="18" t="n">
        <v>100.678</v>
      </c>
      <c r="M19" s="18" t="n">
        <v>111.35</v>
      </c>
      <c r="N19" s="18" t="n">
        <v>124.259</v>
      </c>
      <c r="O19" s="18" t="n">
        <v>135.28</v>
      </c>
      <c r="P19" s="18" t="n">
        <v>144.833</v>
      </c>
      <c r="Q19" s="18" t="n">
        <v>152.918</v>
      </c>
      <c r="R19" s="18" t="n">
        <v>161.692</v>
      </c>
      <c r="S19" s="18" t="n">
        <v>175.519</v>
      </c>
      <c r="T19" s="18" t="n">
        <v>188.055</v>
      </c>
      <c r="U19" s="18" t="n">
        <v>196.463</v>
      </c>
      <c r="V19" s="18" t="n">
        <v>207.008</v>
      </c>
      <c r="W19" s="18" t="n">
        <v>214.955</v>
      </c>
      <c r="X19" s="18" t="n">
        <v>231.074</v>
      </c>
      <c r="Y19" s="18" t="n">
        <v>234.887</v>
      </c>
      <c r="Z19" s="18" t="n">
        <v>251.894</v>
      </c>
      <c r="AA19" s="18" t="n">
        <v>282.604</v>
      </c>
      <c r="AB19" s="18" t="n">
        <v>303.611</v>
      </c>
      <c r="AC19" s="18" t="n">
        <v>315.83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EMEA</t>
        </is>
      </c>
      <c r="C22" s="18" t="n">
        <v>17.652</v>
      </c>
      <c r="D22" s="18" t="n">
        <v>20.143</v>
      </c>
      <c r="E22" s="18" t="n">
        <v>23.106</v>
      </c>
      <c r="F22" s="18" t="n">
        <v>25.912</v>
      </c>
      <c r="G22" s="18" t="n">
        <v>27.943</v>
      </c>
      <c r="H22" s="18" t="n">
        <v>32.313</v>
      </c>
      <c r="I22" s="18" t="n">
        <v>35.532</v>
      </c>
      <c r="J22" s="18" t="n">
        <v>39.696</v>
      </c>
      <c r="K22" s="18" t="n">
        <v>45.264</v>
      </c>
      <c r="L22" s="18" t="n">
        <v>51.637</v>
      </c>
      <c r="M22" s="18" t="n">
        <v>55.792</v>
      </c>
      <c r="N22" s="18" t="n">
        <v>61.147</v>
      </c>
      <c r="O22" s="18" t="n">
        <v>68.149</v>
      </c>
      <c r="P22" s="18" t="n">
        <v>73.203</v>
      </c>
      <c r="Q22" s="18" t="n">
        <v>78.331</v>
      </c>
      <c r="R22" s="18" t="n">
        <v>84.346</v>
      </c>
      <c r="S22" s="18" t="n">
        <v>92.705</v>
      </c>
      <c r="T22" s="18" t="n">
        <v>101.187</v>
      </c>
      <c r="U22" s="18" t="n">
        <v>105.384</v>
      </c>
      <c r="V22" s="18" t="n">
        <v>110.968</v>
      </c>
      <c r="W22" s="18" t="n">
        <v>121.802</v>
      </c>
      <c r="X22" s="18" t="n">
        <v>128.345</v>
      </c>
      <c r="Y22" s="18" t="n">
        <v>133.853</v>
      </c>
      <c r="Z22" s="18" t="n">
        <v>143.438</v>
      </c>
      <c r="AA22" s="18" t="n">
        <v>153.298</v>
      </c>
      <c r="AB22" s="18" t="n">
        <v>168.035</v>
      </c>
      <c r="AC22" s="18" t="n">
        <v>175.678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Asia Pacific</t>
        </is>
      </c>
      <c r="C25" s="18" t="n">
        <v>13.993</v>
      </c>
      <c r="D25" s="18" t="n">
        <v>2.471</v>
      </c>
      <c r="E25" s="18" t="n">
        <v>17.604</v>
      </c>
      <c r="F25" s="18" t="n">
        <v>18.589</v>
      </c>
      <c r="G25" s="18" t="n">
        <v>19.634</v>
      </c>
      <c r="H25" s="18" t="n">
        <v>20.35</v>
      </c>
      <c r="I25" s="18" t="n">
        <v>22.879</v>
      </c>
      <c r="J25" s="18" t="n">
        <v>22.841</v>
      </c>
      <c r="K25" s="18" t="n">
        <v>24.519</v>
      </c>
      <c r="L25" s="18" t="n">
        <v>26.298</v>
      </c>
      <c r="M25" s="18" t="n">
        <v>29.925</v>
      </c>
      <c r="N25" s="18" t="n">
        <v>32.755</v>
      </c>
      <c r="O25" s="18" t="n">
        <v>33.801</v>
      </c>
      <c r="P25" s="18" t="n">
        <v>36.872</v>
      </c>
      <c r="Q25" s="18" t="n">
        <v>39.218</v>
      </c>
      <c r="R25" s="18" t="n">
        <v>40.399</v>
      </c>
      <c r="S25" s="18" t="n">
        <v>42.96</v>
      </c>
      <c r="T25" s="18" t="n">
        <v>46.249</v>
      </c>
      <c r="U25" s="18" t="n">
        <v>47.651</v>
      </c>
      <c r="V25" s="18" t="n">
        <v>52.126</v>
      </c>
      <c r="W25" s="18" t="n">
        <v>59.103</v>
      </c>
      <c r="X25" s="18" t="n">
        <v>64.354</v>
      </c>
      <c r="Y25" s="18" t="n">
        <v>73.395</v>
      </c>
      <c r="Z25" s="18" t="n">
        <v>75.14400000000001</v>
      </c>
      <c r="AA25" s="18" t="n">
        <v>84.667</v>
      </c>
      <c r="AB25" s="18" t="n">
        <v>96.554</v>
      </c>
      <c r="AC25" s="18" t="n">
        <v>98.648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Other Geographical Regions</t>
        </is>
      </c>
      <c r="C28" s="18" t="n">
        <v>4.691</v>
      </c>
      <c r="D28" s="18" t="n">
        <v>5.434</v>
      </c>
      <c r="E28" s="18" t="n">
        <v>6.325</v>
      </c>
      <c r="F28" s="18" t="n">
        <v>6.742</v>
      </c>
      <c r="G28" s="18" t="n">
        <v>7.308</v>
      </c>
      <c r="H28" s="18" t="n">
        <v>7.042</v>
      </c>
      <c r="I28" s="18" t="n">
        <v>8.422000000000001</v>
      </c>
      <c r="J28" s="18" t="n">
        <v>9.946999999999999</v>
      </c>
      <c r="K28" s="18" t="n">
        <v>11.83</v>
      </c>
      <c r="L28" s="18" t="n">
        <v>14.983</v>
      </c>
      <c r="M28" s="18" t="n">
        <v>15.1</v>
      </c>
      <c r="N28" s="18" t="n">
        <v>16.356</v>
      </c>
      <c r="O28" s="18" t="n">
        <v>16.627</v>
      </c>
      <c r="P28" s="18" t="n">
        <v>19.792</v>
      </c>
      <c r="Q28" s="18" t="n">
        <v>19.708</v>
      </c>
      <c r="R28" s="18" t="n">
        <v>22.057</v>
      </c>
      <c r="S28" s="18" t="n">
        <v>24.419</v>
      </c>
      <c r="T28" s="18" t="n">
        <v>26.982</v>
      </c>
      <c r="U28" s="18" t="n">
        <v>29.104</v>
      </c>
      <c r="V28" s="18" t="n">
        <v>30.894</v>
      </c>
      <c r="W28" s="18" t="n">
        <v>34.222</v>
      </c>
      <c r="X28" s="18" t="n">
        <v>36.173</v>
      </c>
      <c r="Y28" s="18" t="n">
        <v>36.952</v>
      </c>
      <c r="Z28" s="18" t="n">
        <v>41.84</v>
      </c>
      <c r="AA28" s="18" t="n">
        <v>41.458</v>
      </c>
      <c r="AB28" s="18" t="n">
        <v>46.307</v>
      </c>
      <c r="AC28" s="18" t="n">
        <v>49.599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5" t="inlineStr">
        <is>
          <t xml:space="preserve">  BALANCE SHEET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4" t="inlineStr">
        <is>
          <t>Cash &amp; ST Investments</t>
        </is>
      </c>
      <c r="B32" s="18" t="n">
        <v>124.688</v>
      </c>
      <c r="C32" s="18" t="n">
        <v>645.105</v>
      </c>
      <c r="D32" s="18" t="n">
        <v>636.948</v>
      </c>
      <c r="E32" s="18" t="n">
        <v>587.854</v>
      </c>
      <c r="F32" s="18" t="n">
        <v>1069.091</v>
      </c>
      <c r="G32" s="18" t="n">
        <v>1051.297</v>
      </c>
      <c r="H32" s="18" t="n">
        <v>1032.096</v>
      </c>
      <c r="I32" s="18" t="n">
        <v>1035.224</v>
      </c>
      <c r="J32" s="18" t="n">
        <v>1033.542</v>
      </c>
      <c r="K32" s="18" t="n">
        <v>1813.877</v>
      </c>
      <c r="L32" s="18" t="n">
        <v>1821.843</v>
      </c>
      <c r="M32" s="18" t="n">
        <v>1725.24</v>
      </c>
      <c r="N32" s="18" t="n">
        <v>1641.848</v>
      </c>
      <c r="O32" s="18" t="n">
        <v>1636.262</v>
      </c>
      <c r="P32" s="18" t="n">
        <v>1649.937</v>
      </c>
      <c r="Q32" s="18" t="n">
        <v>1715.592</v>
      </c>
      <c r="R32" s="18" t="n">
        <v>1584.62</v>
      </c>
      <c r="S32" s="18" t="n">
        <v>1574.305</v>
      </c>
      <c r="T32" s="18" t="n">
        <v>1673.744</v>
      </c>
      <c r="U32" s="18" t="n">
        <v>1716.202</v>
      </c>
      <c r="V32" s="18" t="n">
        <v>1757.397</v>
      </c>
      <c r="W32" s="18" t="n">
        <v>1823.846</v>
      </c>
      <c r="X32" s="18" t="n">
        <v>1860.192</v>
      </c>
      <c r="Y32" s="18" t="n">
        <v>1914.874</v>
      </c>
      <c r="Z32" s="18" t="n">
        <v>3959.72</v>
      </c>
      <c r="AA32" s="18" t="n">
        <v>4043.508</v>
      </c>
      <c r="AB32" s="18" t="n">
        <v>4101.251</v>
      </c>
      <c r="AC32" s="18" t="n">
        <v>4174.832999</v>
      </c>
    </row>
    <row r="33">
      <c r="A33" s="4" t="inlineStr">
        <is>
          <t>Total Current Assets</t>
        </is>
      </c>
      <c r="B33" s="18" t="n">
        <v>166.006</v>
      </c>
      <c r="C33" s="18" t="n">
        <v>695.678</v>
      </c>
      <c r="D33" s="18" t="n">
        <v>689.872</v>
      </c>
      <c r="E33" s="18" t="n">
        <v>647.604</v>
      </c>
      <c r="F33" s="18" t="n">
        <v>1132.124</v>
      </c>
      <c r="G33" s="18" t="n">
        <v>1127.379</v>
      </c>
      <c r="H33" s="18" t="n">
        <v>1129.954</v>
      </c>
      <c r="I33" s="18" t="n">
        <v>1139.868</v>
      </c>
      <c r="J33" s="18" t="n">
        <v>1145.953</v>
      </c>
      <c r="K33" s="18" t="n">
        <v>1930.577</v>
      </c>
      <c r="L33" s="18" t="n">
        <v>1953.419</v>
      </c>
      <c r="M33" s="18" t="n">
        <v>1894.81</v>
      </c>
      <c r="N33" s="18" t="n">
        <v>1814.013</v>
      </c>
      <c r="O33" s="18" t="n">
        <v>1815.787</v>
      </c>
      <c r="P33" s="18" t="n">
        <v>1887.884</v>
      </c>
      <c r="Q33" s="18" t="n">
        <v>1954.4</v>
      </c>
      <c r="R33" s="18" t="n">
        <v>1818.06</v>
      </c>
      <c r="S33" s="18" t="n">
        <v>1858.003</v>
      </c>
      <c r="T33" s="18" t="n">
        <v>1983.077</v>
      </c>
      <c r="U33" s="18" t="n">
        <v>2016.172</v>
      </c>
      <c r="V33" s="18" t="n">
        <v>2093.018</v>
      </c>
      <c r="W33" s="18" t="n">
        <v>2163.878</v>
      </c>
      <c r="X33" s="18" t="n">
        <v>2268.997</v>
      </c>
      <c r="Y33" s="18" t="n">
        <v>2624.291</v>
      </c>
      <c r="Z33" s="18" t="n">
        <v>4405.831</v>
      </c>
      <c r="AA33" s="18" t="n">
        <v>4536.765</v>
      </c>
      <c r="AB33" s="18" t="n">
        <v>4644.837</v>
      </c>
      <c r="AC33" s="18" t="n">
        <v>4715.656</v>
      </c>
    </row>
    <row r="34">
      <c r="A34" s="4" t="inlineStr">
        <is>
          <t>PP&amp;E (net)</t>
        </is>
      </c>
      <c r="B34" s="18" t="n">
        <v>84.64</v>
      </c>
      <c r="C34" s="18" t="n">
        <v>92.485</v>
      </c>
      <c r="D34" s="18" t="n">
        <v>101.466</v>
      </c>
      <c r="E34" s="18" t="n">
        <v>148.408</v>
      </c>
      <c r="F34" s="18" t="n">
        <v>160.699</v>
      </c>
      <c r="G34" s="18" t="n">
        <v>167.529</v>
      </c>
      <c r="H34" s="18" t="n">
        <v>166.836</v>
      </c>
      <c r="I34" s="18" t="n">
        <v>177.54</v>
      </c>
      <c r="J34" s="18" t="n">
        <v>201.175</v>
      </c>
      <c r="K34" s="18" t="n">
        <v>277.816</v>
      </c>
      <c r="L34" s="18" t="n">
        <v>314.05</v>
      </c>
      <c r="M34" s="18" t="n">
        <v>341.303</v>
      </c>
      <c r="N34" s="18" t="n">
        <v>376.725</v>
      </c>
      <c r="O34" s="18" t="n">
        <v>397.094</v>
      </c>
      <c r="P34" s="18" t="n">
        <v>418.96</v>
      </c>
      <c r="Q34" s="18" t="n">
        <v>429.096</v>
      </c>
      <c r="R34" s="18" t="n">
        <v>423.302</v>
      </c>
      <c r="S34" s="18" t="n">
        <v>436.222</v>
      </c>
      <c r="T34" s="18" t="n">
        <v>461.369</v>
      </c>
      <c r="U34" s="18" t="n">
        <v>471.242</v>
      </c>
      <c r="V34" s="18" t="n">
        <v>480.994</v>
      </c>
      <c r="W34" s="18" t="n">
        <v>548.0650000000001</v>
      </c>
      <c r="X34" s="18" t="n">
        <v>635.799</v>
      </c>
      <c r="Y34" s="18" t="n">
        <v>691.957</v>
      </c>
      <c r="Z34" s="18" t="n">
        <v>732.704</v>
      </c>
      <c r="AA34" s="18" t="n">
        <v>810.509</v>
      </c>
      <c r="AB34" s="18" t="n">
        <v>856.337</v>
      </c>
      <c r="AC34" s="18" t="n">
        <v>875.249</v>
      </c>
    </row>
    <row r="35">
      <c r="A35" s="4" t="inlineStr">
        <is>
          <t>Total Assets</t>
        </is>
      </c>
      <c r="B35" s="18" t="n">
        <v>286.859</v>
      </c>
      <c r="C35" s="18" t="n">
        <v>839.847</v>
      </c>
      <c r="D35" s="18" t="n">
        <v>830.824</v>
      </c>
      <c r="E35" s="18" t="n">
        <v>858.5309999999999</v>
      </c>
      <c r="F35" s="18" t="n">
        <v>1364.055</v>
      </c>
      <c r="G35" s="18" t="n">
        <v>1371.225</v>
      </c>
      <c r="H35" s="18" t="n">
        <v>1380.651</v>
      </c>
      <c r="I35" s="18" t="n">
        <v>1405.526</v>
      </c>
      <c r="J35" s="18" t="n">
        <v>1445.932</v>
      </c>
      <c r="K35" s="18" t="n">
        <v>2315.514</v>
      </c>
      <c r="L35" s="18" t="n">
        <v>2372.071</v>
      </c>
      <c r="M35" s="18" t="n">
        <v>2353.949</v>
      </c>
      <c r="N35" s="18" t="n">
        <v>2468.459</v>
      </c>
      <c r="O35" s="18" t="n">
        <v>2490.617</v>
      </c>
      <c r="P35" s="18" t="n">
        <v>2587.908</v>
      </c>
      <c r="Q35" s="18" t="n">
        <v>2667.564</v>
      </c>
      <c r="R35" s="18" t="n">
        <v>2533.208</v>
      </c>
      <c r="S35" s="18" t="n">
        <v>2589.91</v>
      </c>
      <c r="T35" s="18" t="n">
        <v>2759.767</v>
      </c>
      <c r="U35" s="18" t="n">
        <v>2801.63</v>
      </c>
      <c r="V35" s="18" t="n">
        <v>2916.673</v>
      </c>
      <c r="W35" s="18" t="n">
        <v>3062.746</v>
      </c>
      <c r="X35" s="18" t="n">
        <v>3301.162</v>
      </c>
      <c r="Y35" s="18" t="n">
        <v>3721.259</v>
      </c>
      <c r="Z35" s="18" t="n">
        <v>5562.361</v>
      </c>
      <c r="AA35" s="18" t="n">
        <v>5786.395</v>
      </c>
      <c r="AB35" s="18" t="n">
        <v>6036.256</v>
      </c>
      <c r="AC35" s="18" t="n">
        <v>6163.977</v>
      </c>
    </row>
    <row r="36">
      <c r="A36" s="4" t="inlineStr">
        <is>
          <t>Total Current Liabilities</t>
        </is>
      </c>
      <c r="B36" s="18" t="n">
        <v>77.488</v>
      </c>
      <c r="C36" s="18" t="n">
        <v>77.139</v>
      </c>
      <c r="D36" s="18" t="n">
        <v>83.883</v>
      </c>
      <c r="E36" s="18" t="n">
        <v>108.284</v>
      </c>
      <c r="F36" s="18" t="n">
        <v>120.747</v>
      </c>
      <c r="G36" s="18" t="n">
        <v>131.004</v>
      </c>
      <c r="H36" s="18" t="n">
        <v>141.377</v>
      </c>
      <c r="I36" s="18" t="n">
        <v>168.146</v>
      </c>
      <c r="J36" s="18" t="n">
        <v>200.476</v>
      </c>
      <c r="K36" s="18" t="n">
        <v>226.957</v>
      </c>
      <c r="L36" s="18" t="n">
        <v>288.565</v>
      </c>
      <c r="M36" s="18" t="n">
        <v>276.616</v>
      </c>
      <c r="N36" s="18" t="n">
        <v>332.814</v>
      </c>
      <c r="O36" s="18" t="n">
        <v>339.287</v>
      </c>
      <c r="P36" s="18" t="n">
        <v>397.87</v>
      </c>
      <c r="Q36" s="18" t="n">
        <v>444.505</v>
      </c>
      <c r="R36" s="18" t="n">
        <v>473.118</v>
      </c>
      <c r="S36" s="18" t="n">
        <v>477.775</v>
      </c>
      <c r="T36" s="18" t="n">
        <v>567.0839999999999</v>
      </c>
      <c r="U36" s="18" t="n">
        <v>574.059</v>
      </c>
      <c r="V36" s="18" t="n">
        <v>595.965</v>
      </c>
      <c r="W36" s="18" t="n">
        <v>641.615</v>
      </c>
      <c r="X36" s="18" t="n">
        <v>793.654</v>
      </c>
      <c r="Y36" s="18" t="n">
        <v>821.009</v>
      </c>
      <c r="Z36" s="18" t="n">
        <v>857.593</v>
      </c>
      <c r="AA36" s="18" t="n">
        <v>2223.183</v>
      </c>
      <c r="AB36" s="18" t="n">
        <v>2350.563</v>
      </c>
      <c r="AC36" s="18" t="n">
        <v>2410.671</v>
      </c>
    </row>
    <row r="37">
      <c r="A37" s="4" t="inlineStr">
        <is>
          <t>Long-term Debt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365.949</v>
      </c>
      <c r="G37" s="18" t="n">
        <v>374.511</v>
      </c>
      <c r="H37" s="18" t="n">
        <v>383.275</v>
      </c>
      <c r="I37" s="18" t="n">
        <v>392.246</v>
      </c>
      <c r="J37" s="18" t="n">
        <v>401.428</v>
      </c>
      <c r="K37" s="18" t="n">
        <v>1143.308</v>
      </c>
      <c r="L37" s="18" t="n">
        <v>1146.877</v>
      </c>
      <c r="M37" s="18" t="n">
        <v>1432.705</v>
      </c>
      <c r="N37" s="18" t="n">
        <v>1433.867</v>
      </c>
      <c r="O37" s="18" t="n">
        <v>1435.03</v>
      </c>
      <c r="P37" s="18" t="n">
        <v>1436.192</v>
      </c>
      <c r="Q37" s="18" t="n">
        <v>1437.355</v>
      </c>
      <c r="R37" s="18" t="n">
        <v>1281.383</v>
      </c>
      <c r="S37" s="18" t="n">
        <v>1282.372</v>
      </c>
      <c r="T37" s="18" t="n">
        <v>1283.362</v>
      </c>
      <c r="U37" s="18" t="n">
        <v>1284.352</v>
      </c>
      <c r="V37" s="18" t="n">
        <v>1285.342</v>
      </c>
      <c r="W37" s="18" t="n">
        <v>1286.332</v>
      </c>
      <c r="X37" s="18" t="n">
        <v>1287.321</v>
      </c>
      <c r="Y37" s="18" t="n">
        <v>1288.311</v>
      </c>
      <c r="Z37" s="18" t="n">
        <v>3260.506</v>
      </c>
      <c r="AA37" s="18" t="n">
        <v>1972.707</v>
      </c>
      <c r="AB37" s="18" t="n">
        <v>2156.145</v>
      </c>
      <c r="AC37" s="18" t="n">
        <v>1975.556</v>
      </c>
    </row>
    <row r="38">
      <c r="A38" s="4" t="inlineStr">
        <is>
          <t>Total Equity</t>
        </is>
      </c>
      <c r="B38" s="18" t="n">
        <v>186.086</v>
      </c>
      <c r="C38" s="18" t="n">
        <v>740.398</v>
      </c>
      <c r="D38" s="18" t="n">
        <v>725.828</v>
      </c>
      <c r="E38" s="18" t="n">
        <v>706.352</v>
      </c>
      <c r="F38" s="18" t="n">
        <v>835.6180000000001</v>
      </c>
      <c r="G38" s="18" t="n">
        <v>826.447</v>
      </c>
      <c r="H38" s="18" t="n">
        <v>816.9400000000001</v>
      </c>
      <c r="I38" s="18" t="n">
        <v>804.04</v>
      </c>
      <c r="J38" s="18" t="n">
        <v>801.096</v>
      </c>
      <c r="K38" s="18" t="n">
        <v>853.15</v>
      </c>
      <c r="L38" s="18" t="n">
        <v>815.798</v>
      </c>
      <c r="M38" s="18" t="n">
        <v>515.477</v>
      </c>
      <c r="N38" s="18" t="n">
        <v>580.49</v>
      </c>
      <c r="O38" s="18" t="n">
        <v>593.989</v>
      </c>
      <c r="P38" s="18" t="n">
        <v>623.9640000000001</v>
      </c>
      <c r="Q38" s="18" t="n">
        <v>652.586</v>
      </c>
      <c r="R38" s="18" t="n">
        <v>641.8339999999999</v>
      </c>
      <c r="S38" s="18" t="n">
        <v>699.2569999999999</v>
      </c>
      <c r="T38" s="18" t="n">
        <v>763.047</v>
      </c>
      <c r="U38" s="18" t="n">
        <v>797.224</v>
      </c>
      <c r="V38" s="18" t="n">
        <v>881.545</v>
      </c>
      <c r="W38" s="18" t="n">
        <v>973.09</v>
      </c>
      <c r="X38" s="18" t="n">
        <v>1046.201</v>
      </c>
      <c r="Y38" s="18" t="n">
        <v>1425.878</v>
      </c>
      <c r="Z38" s="18" t="n">
        <v>1239.727</v>
      </c>
      <c r="AA38" s="18" t="n">
        <v>1347.016</v>
      </c>
      <c r="AB38" s="18" t="n">
        <v>1459.123</v>
      </c>
      <c r="AC38" s="18" t="n">
        <v>1526.708</v>
      </c>
    </row>
    <row r="39">
      <c r="A39" s="5" t="inlineStr">
        <is>
          <t xml:space="preserve">  CASH FLOW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4" t="inlineStr">
        <is>
          <t>D&amp;A</t>
        </is>
      </c>
      <c r="B40" s="18" t="n">
        <v>6.99</v>
      </c>
      <c r="C40" s="18" t="n">
        <v>7.763</v>
      </c>
      <c r="D40" s="18" t="n">
        <v>8.555999999999999</v>
      </c>
      <c r="E40" s="18" t="n">
        <v>10.563</v>
      </c>
      <c r="F40" s="18" t="n">
        <v>11.55</v>
      </c>
      <c r="G40" s="18" t="n">
        <v>12.916</v>
      </c>
      <c r="H40" s="18" t="n">
        <v>14.358</v>
      </c>
      <c r="I40" s="18" t="n">
        <v>15.218</v>
      </c>
      <c r="J40" s="18" t="n">
        <v>16.027</v>
      </c>
      <c r="K40" s="18" t="n">
        <v>17.03</v>
      </c>
      <c r="L40" s="18" t="n">
        <v>18.332</v>
      </c>
      <c r="M40" s="18" t="n">
        <v>20.014</v>
      </c>
      <c r="N40" s="18" t="n">
        <v>37.056</v>
      </c>
      <c r="O40" s="18" t="n">
        <v>27.35</v>
      </c>
      <c r="P40" s="18" t="n">
        <v>29.633</v>
      </c>
      <c r="Q40" s="18" t="n">
        <v>31.509</v>
      </c>
      <c r="R40" s="18" t="n">
        <v>33.673</v>
      </c>
      <c r="S40" s="18" t="n">
        <v>34.458</v>
      </c>
      <c r="T40" s="18" t="n">
        <v>50.25</v>
      </c>
      <c r="U40" s="18" t="n">
        <v>49.209</v>
      </c>
      <c r="V40" s="18" t="n">
        <v>49.529</v>
      </c>
      <c r="W40" s="18" t="n">
        <v>31.709</v>
      </c>
      <c r="X40" s="18" t="n">
        <v>36.246</v>
      </c>
      <c r="Y40" s="18" t="n">
        <v>42.207</v>
      </c>
      <c r="Z40" s="18" t="n">
        <v>45.481</v>
      </c>
      <c r="AA40" s="18" t="n">
        <v>49.468</v>
      </c>
      <c r="AB40" s="18" t="n">
        <v>154.209</v>
      </c>
      <c r="AC40" s="18" t="n">
        <v>88.794</v>
      </c>
    </row>
    <row r="41">
      <c r="A41" s="4" t="inlineStr">
        <is>
          <t>Stock-based Compensation</t>
        </is>
      </c>
      <c r="B41" s="18" t="n">
        <v>1.044</v>
      </c>
      <c r="C41" s="18" t="n">
        <v>22.911</v>
      </c>
      <c r="D41" s="18" t="n">
        <v>11.615</v>
      </c>
      <c r="E41" s="18" t="n">
        <v>12.897</v>
      </c>
      <c r="F41" s="18" t="n">
        <v>12.449</v>
      </c>
      <c r="G41" s="18" t="n">
        <v>14.745</v>
      </c>
      <c r="H41" s="18" t="n">
        <v>16.243</v>
      </c>
      <c r="I41" s="18" t="n">
        <v>18.042</v>
      </c>
      <c r="J41" s="18" t="n">
        <v>20.547</v>
      </c>
      <c r="K41" s="18" t="n">
        <v>23.049</v>
      </c>
      <c r="L41" s="18" t="n">
        <v>28.498</v>
      </c>
      <c r="M41" s="18" t="n">
        <v>33.965</v>
      </c>
      <c r="N41" s="18" t="n">
        <v>54.815</v>
      </c>
      <c r="O41" s="18" t="n">
        <v>53.765</v>
      </c>
      <c r="P41" s="18" t="n">
        <v>60.232</v>
      </c>
      <c r="Q41" s="18" t="n">
        <v>57.401</v>
      </c>
      <c r="R41" s="18" t="n">
        <v>68.392</v>
      </c>
      <c r="S41" s="18" t="n">
        <v>73.77200000000001</v>
      </c>
      <c r="T41" s="18" t="n">
        <v>74.42400000000001</v>
      </c>
      <c r="U41" s="18" t="n">
        <v>69.723</v>
      </c>
      <c r="V41" s="18" t="n">
        <v>85.991</v>
      </c>
      <c r="W41" s="18" t="n">
        <v>88.255</v>
      </c>
      <c r="X41" s="18" t="n">
        <v>94.492</v>
      </c>
      <c r="Y41" s="18" t="n">
        <v>95.535</v>
      </c>
      <c r="Z41" s="18" t="n">
        <v>122.377</v>
      </c>
      <c r="AA41" s="18" t="n">
        <v>109.917</v>
      </c>
      <c r="AB41" s="18" t="n">
        <v>123.625</v>
      </c>
      <c r="AC41" s="18" t="n">
        <v>0</v>
      </c>
    </row>
    <row r="42">
      <c r="A42" s="4" t="inlineStr">
        <is>
          <t>Change in Working Capital</t>
        </is>
      </c>
      <c r="B42" s="18" t="n">
        <v>6.148</v>
      </c>
      <c r="C42" s="18" t="n">
        <v>-11.758</v>
      </c>
      <c r="D42" s="18" t="n">
        <v>-5.299</v>
      </c>
      <c r="E42" s="18" t="n">
        <v>-14.471</v>
      </c>
      <c r="F42" s="18" t="n">
        <v>-4.903</v>
      </c>
      <c r="G42" s="18" t="n">
        <v>-13.958</v>
      </c>
      <c r="H42" s="18" t="n">
        <v>-27.732</v>
      </c>
      <c r="I42" s="18" t="n">
        <v>7.905</v>
      </c>
      <c r="J42" s="18" t="n">
        <v>-12.731</v>
      </c>
      <c r="K42" s="18" t="n">
        <v>-8.393000000000001</v>
      </c>
      <c r="L42" s="18" t="n">
        <v>16.609</v>
      </c>
      <c r="M42" s="18" t="n">
        <v>-70.789</v>
      </c>
      <c r="N42" s="18" t="n">
        <v>-0.536</v>
      </c>
      <c r="O42" s="18" t="n">
        <v>-19.234</v>
      </c>
      <c r="P42" s="18" t="n">
        <v>11.263</v>
      </c>
      <c r="Q42" s="18" t="n">
        <v>-33.961</v>
      </c>
      <c r="R42" s="18" t="n">
        <v>-14.174</v>
      </c>
      <c r="S42" s="18" t="n">
        <v>-36.119</v>
      </c>
      <c r="T42" s="18" t="n">
        <v>19.572</v>
      </c>
      <c r="U42" s="18" t="n">
        <v>-12.013</v>
      </c>
      <c r="V42" s="18" t="n">
        <v>-46.271</v>
      </c>
      <c r="W42" s="18" t="n">
        <v>-25.789</v>
      </c>
      <c r="X42" s="18" t="n">
        <v>-24.849</v>
      </c>
      <c r="Y42" s="18" t="n">
        <v>10.464</v>
      </c>
      <c r="Z42" s="18" t="n">
        <v>-59.516</v>
      </c>
      <c r="AA42" s="18" t="n">
        <v>-32.38</v>
      </c>
      <c r="AB42" s="18" t="n">
        <v>47.867</v>
      </c>
      <c r="AC42" s="18" t="n">
        <v>-10.324</v>
      </c>
    </row>
    <row r="43">
      <c r="A43" s="4" t="inlineStr">
        <is>
          <t>Operating Cash Flow</t>
        </is>
      </c>
      <c r="B43" s="18" t="n">
        <v>-2.867</v>
      </c>
      <c r="C43" s="18" t="n">
        <v>-17.786</v>
      </c>
      <c r="D43" s="18" t="n">
        <v>-8.574</v>
      </c>
      <c r="E43" s="18" t="n">
        <v>-14.276</v>
      </c>
      <c r="F43" s="18" t="n">
        <v>3.987</v>
      </c>
      <c r="G43" s="18" t="n">
        <v>1.973</v>
      </c>
      <c r="H43" s="18" t="n">
        <v>-8.813000000000001</v>
      </c>
      <c r="I43" s="18" t="n">
        <v>23.494</v>
      </c>
      <c r="J43" s="18" t="n">
        <v>7.455</v>
      </c>
      <c r="K43" s="18" t="n">
        <v>-6.918</v>
      </c>
      <c r="L43" s="18" t="n">
        <v>40.617</v>
      </c>
      <c r="M43" s="18" t="n">
        <v>-35.467</v>
      </c>
      <c r="N43" s="18" t="n">
        <v>38.251</v>
      </c>
      <c r="O43" s="18" t="n">
        <v>42.688</v>
      </c>
      <c r="P43" s="18" t="n">
        <v>78.123</v>
      </c>
      <c r="Q43" s="18" t="n">
        <v>36.414</v>
      </c>
      <c r="R43" s="18" t="n">
        <v>64.45099999999999</v>
      </c>
      <c r="S43" s="18" t="n">
        <v>68.09999999999999</v>
      </c>
      <c r="T43" s="18" t="n">
        <v>85.441</v>
      </c>
      <c r="U43" s="18" t="n">
        <v>73.57899999999999</v>
      </c>
      <c r="V43" s="18" t="n">
        <v>74.815</v>
      </c>
      <c r="W43" s="18" t="n">
        <v>104.727</v>
      </c>
      <c r="X43" s="18" t="n">
        <v>127.308</v>
      </c>
      <c r="Y43" s="18" t="n">
        <v>145.784</v>
      </c>
      <c r="Z43" s="18" t="n">
        <v>99.79600000000001</v>
      </c>
      <c r="AA43" s="18" t="n">
        <v>167.123</v>
      </c>
      <c r="AB43" s="18" t="n">
        <v>254.168</v>
      </c>
      <c r="AC43" s="18" t="n">
        <v>181.334</v>
      </c>
    </row>
    <row r="44">
      <c r="A44" s="4" t="inlineStr">
        <is>
          <t>Capex</t>
        </is>
      </c>
      <c r="B44" s="18" t="n">
        <v>-14.028</v>
      </c>
      <c r="C44" s="18" t="n">
        <v>-15.852</v>
      </c>
      <c r="D44" s="18" t="n">
        <v>-14.966</v>
      </c>
      <c r="E44" s="18" t="n">
        <v>-16.327</v>
      </c>
      <c r="F44" s="18" t="n">
        <v>-24.141</v>
      </c>
      <c r="G44" s="18" t="n">
        <v>-19.827</v>
      </c>
      <c r="H44" s="18" t="n">
        <v>-14.667</v>
      </c>
      <c r="I44" s="18" t="n">
        <v>-25.713</v>
      </c>
      <c r="J44" s="18" t="n">
        <v>-17.23</v>
      </c>
      <c r="K44" s="18" t="n">
        <v>-32.814</v>
      </c>
      <c r="L44" s="18" t="n">
        <v>-31.981</v>
      </c>
      <c r="M44" s="18" t="n">
        <v>-28.934</v>
      </c>
      <c r="N44" s="18" t="n">
        <v>-42.665</v>
      </c>
      <c r="O44" s="18" t="n">
        <v>-47.302</v>
      </c>
      <c r="P44" s="18" t="n">
        <v>-44.463</v>
      </c>
      <c r="Q44" s="18" t="n">
        <v>-22.511</v>
      </c>
      <c r="R44" s="18" t="n">
        <v>-44.481</v>
      </c>
      <c r="S44" s="18" t="n">
        <v>-33.225</v>
      </c>
      <c r="T44" s="18" t="n">
        <v>-34.725</v>
      </c>
      <c r="U44" s="18" t="n">
        <v>-37.972</v>
      </c>
      <c r="V44" s="18" t="n">
        <v>-36.54</v>
      </c>
      <c r="W44" s="18" t="n">
        <v>-59.448</v>
      </c>
      <c r="X44" s="18" t="n">
        <v>-79.554</v>
      </c>
      <c r="Y44" s="18" t="n">
        <v>-92.917</v>
      </c>
      <c r="Z44" s="18" t="n">
        <v>-66.51600000000001</v>
      </c>
      <c r="AA44" s="18" t="n">
        <v>-84.64100000000001</v>
      </c>
      <c r="AB44" s="18" t="n">
        <v>-98.47799999999999</v>
      </c>
      <c r="AC44" s="18" t="n">
        <v>-74.256</v>
      </c>
    </row>
    <row r="45">
      <c r="A45" s="4" t="inlineStr">
        <is>
          <t>Free Cash Flow</t>
        </is>
      </c>
      <c r="B45" s="18" t="n">
        <v>-16.895</v>
      </c>
      <c r="C45" s="18" t="n">
        <v>-33.638</v>
      </c>
      <c r="D45" s="18" t="n">
        <v>-23.54</v>
      </c>
      <c r="E45" s="18" t="n">
        <v>-30.603</v>
      </c>
      <c r="F45" s="18" t="n">
        <v>-20.154</v>
      </c>
      <c r="G45" s="18" t="n">
        <v>-17.854</v>
      </c>
      <c r="H45" s="18" t="n">
        <v>-23.48</v>
      </c>
      <c r="I45" s="18" t="n">
        <v>-2.219</v>
      </c>
      <c r="J45" s="18" t="n">
        <v>-9.775</v>
      </c>
      <c r="K45" s="18" t="n">
        <v>-39.732</v>
      </c>
      <c r="L45" s="18" t="n">
        <v>8.635999999999999</v>
      </c>
      <c r="M45" s="18" t="n">
        <v>-64.401</v>
      </c>
      <c r="N45" s="18" t="n">
        <v>-4.414</v>
      </c>
      <c r="O45" s="18" t="n">
        <v>-4.614</v>
      </c>
      <c r="P45" s="18" t="n">
        <v>33.66</v>
      </c>
      <c r="Q45" s="18" t="n">
        <v>13.903</v>
      </c>
      <c r="R45" s="18" t="n">
        <v>19.97</v>
      </c>
      <c r="S45" s="18" t="n">
        <v>34.875</v>
      </c>
      <c r="T45" s="18" t="n">
        <v>50.716</v>
      </c>
      <c r="U45" s="18" t="n">
        <v>35.607</v>
      </c>
      <c r="V45" s="18" t="n">
        <v>38.275</v>
      </c>
      <c r="W45" s="18" t="n">
        <v>45.279</v>
      </c>
      <c r="X45" s="18" t="n">
        <v>47.754</v>
      </c>
      <c r="Y45" s="18" t="n">
        <v>52.867</v>
      </c>
      <c r="Z45" s="18" t="n">
        <v>33.28</v>
      </c>
      <c r="AA45" s="18" t="n">
        <v>82.482</v>
      </c>
      <c r="AB45" s="18" t="n">
        <v>155.69</v>
      </c>
      <c r="AC45" s="18" t="n">
        <v>107.078</v>
      </c>
    </row>
    <row r="47">
      <c r="A4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2809.50267</v>
      </c>
      <c r="C4" s="18" t="n">
        <v>3579.824741</v>
      </c>
      <c r="D4" s="18" t="n">
        <v>4524.994286</v>
      </c>
      <c r="E4" s="18" t="n">
        <v>5414.8</v>
      </c>
      <c r="F4" s="18" t="n">
        <v>6583.7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999.622436</v>
      </c>
      <c r="C8" s="18" t="n">
        <v>1273.703409</v>
      </c>
      <c r="D8" s="18" t="n">
        <v>1609.9952</v>
      </c>
      <c r="E8" s="18" t="n">
        <v>1926.588512</v>
      </c>
      <c r="F8" s="18" t="n">
        <v>2342.483709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732.8296350000001</v>
      </c>
      <c r="C12" s="18" t="n">
        <v>933.760159</v>
      </c>
      <c r="D12" s="18" t="n">
        <v>1180.297833</v>
      </c>
      <c r="E12" s="18" t="n">
        <v>1412.394426</v>
      </c>
      <c r="F12" s="18" t="n">
        <v>1717.289869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1792.920134</v>
      </c>
      <c r="C16" s="18" t="n">
        <v>2284.511036</v>
      </c>
      <c r="D16" s="18" t="n">
        <v>2887.683094</v>
      </c>
      <c r="E16" s="18" t="n">
        <v>3455.524014</v>
      </c>
      <c r="F16" s="18" t="n">
        <v>4201.472529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423.918605</v>
      </c>
      <c r="C20" s="18" t="n">
        <v>529.951826</v>
      </c>
      <c r="D20" s="18" t="n">
        <v>90.50740999999999</v>
      </c>
      <c r="E20" s="18" t="n">
        <v>1033.068267</v>
      </c>
      <c r="F20" s="18" t="n">
        <v>0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1.19589</v>
      </c>
      <c r="C24" s="47" t="n">
        <v>1.52631</v>
      </c>
      <c r="D24" s="47" t="n">
        <v>1.96703</v>
      </c>
      <c r="E24" s="47" t="n">
        <v>2.965</v>
      </c>
      <c r="F24" s="47" t="n">
        <v>0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Cloudflare,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Financials!AC32</f>
        <v/>
      </c>
    </row>
    <row r="33">
      <c r="A33" s="4" t="inlineStr">
        <is>
          <t>- Long-term debt</t>
        </is>
      </c>
      <c r="B33" s="33">
        <f>-Financials!AC37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0.1015642689890366</v>
      </c>
      <c r="C4" s="51" t="n">
        <v>0.1065642689890366</v>
      </c>
      <c r="D4" s="51" t="n">
        <v>0.1115642689890366</v>
      </c>
      <c r="E4" s="51" t="n">
        <v>0.1165642689890366</v>
      </c>
      <c r="F4" s="51" t="n">
        <v>0.1215642689890366</v>
      </c>
      <c r="G4" s="51" t="n">
        <v>0.1265642689890366</v>
      </c>
      <c r="H4" s="51" t="n">
        <v>0.1315642689890366</v>
      </c>
    </row>
    <row r="5">
      <c r="A5" s="52" t="n">
        <v>12.1</v>
      </c>
      <c r="B5" s="53" t="n">
        <v>32.55106216714969</v>
      </c>
      <c r="C5" s="53" t="n">
        <v>31.43104215234225</v>
      </c>
      <c r="D5" s="53" t="n">
        <v>30.36414307891505</v>
      </c>
      <c r="E5" s="53" t="n">
        <v>29.34760502827685</v>
      </c>
      <c r="F5" s="53" t="n">
        <v>28.37882344198668</v>
      </c>
      <c r="G5" s="53" t="n">
        <v>27.45533972008499</v>
      </c>
      <c r="H5" s="53" t="n">
        <v>26.57483242735688</v>
      </c>
    </row>
    <row r="6">
      <c r="A6" s="52" t="n">
        <v>13.1</v>
      </c>
      <c r="B6" s="53" t="n">
        <v>34.41204368744383</v>
      </c>
      <c r="C6" s="53" t="n">
        <v>33.20962474624221</v>
      </c>
      <c r="D6" s="53" t="n">
        <v>32.0643222241739</v>
      </c>
      <c r="E6" s="53" t="n">
        <v>30.97316578219509</v>
      </c>
      <c r="F6" s="53" t="n">
        <v>29.93335239398087</v>
      </c>
      <c r="G6" s="53" t="n">
        <v>28.94223621627621</v>
      </c>
      <c r="H6" s="53" t="n">
        <v>27.99731911447782</v>
      </c>
    </row>
    <row r="7">
      <c r="A7" s="52" t="n">
        <v>14.1</v>
      </c>
      <c r="B7" s="53" t="n">
        <v>36.27302520773797</v>
      </c>
      <c r="C7" s="53" t="n">
        <v>34.98820734014216</v>
      </c>
      <c r="D7" s="53" t="n">
        <v>33.76450136943275</v>
      </c>
      <c r="E7" s="53" t="n">
        <v>32.59872653611333</v>
      </c>
      <c r="F7" s="53" t="n">
        <v>31.48788134597505</v>
      </c>
      <c r="G7" s="53" t="n">
        <v>30.42913271246744</v>
      </c>
      <c r="H7" s="53" t="n">
        <v>29.41980580159876</v>
      </c>
    </row>
    <row r="8">
      <c r="A8" s="52" t="n">
        <v>15.1</v>
      </c>
      <c r="B8" s="53" t="n">
        <v>38.1340067280321</v>
      </c>
      <c r="C8" s="53" t="n">
        <v>36.76678993404212</v>
      </c>
      <c r="D8" s="53" t="n">
        <v>35.4646805146916</v>
      </c>
      <c r="E8" s="54" t="n">
        <v>34.22428729003157</v>
      </c>
      <c r="F8" s="53" t="n">
        <v>33.04241029796923</v>
      </c>
      <c r="G8" s="53" t="n">
        <v>31.91602920865866</v>
      </c>
      <c r="H8" s="53" t="n">
        <v>30.8422924887197</v>
      </c>
    </row>
    <row r="9">
      <c r="A9" s="52" t="n">
        <v>16.1</v>
      </c>
      <c r="B9" s="53" t="n">
        <v>39.99498824832624</v>
      </c>
      <c r="C9" s="53" t="n">
        <v>38.54537252794208</v>
      </c>
      <c r="D9" s="53" t="n">
        <v>37.16485965995046</v>
      </c>
      <c r="E9" s="53" t="n">
        <v>35.84984804394981</v>
      </c>
      <c r="F9" s="53" t="n">
        <v>34.59693924996343</v>
      </c>
      <c r="G9" s="53" t="n">
        <v>33.40292570484989</v>
      </c>
      <c r="H9" s="53" t="n">
        <v>32.26477917584064</v>
      </c>
    </row>
    <row r="10">
      <c r="A10" s="52" t="n">
        <v>17.1</v>
      </c>
      <c r="B10" s="53" t="n">
        <v>41.85596976862038</v>
      </c>
      <c r="C10" s="53" t="n">
        <v>40.32395512184203</v>
      </c>
      <c r="D10" s="53" t="n">
        <v>38.86503880520931</v>
      </c>
      <c r="E10" s="53" t="n">
        <v>37.47540879786805</v>
      </c>
      <c r="F10" s="53" t="n">
        <v>36.15146820195761</v>
      </c>
      <c r="G10" s="53" t="n">
        <v>34.88982220104112</v>
      </c>
      <c r="H10" s="53" t="n">
        <v>33.68726586296158</v>
      </c>
    </row>
    <row r="11">
      <c r="A11" s="52" t="n">
        <v>18.1</v>
      </c>
      <c r="B11" s="53" t="n">
        <v>43.71695128891452</v>
      </c>
      <c r="C11" s="53" t="n">
        <v>42.10253771574198</v>
      </c>
      <c r="D11" s="53" t="n">
        <v>40.56521795046816</v>
      </c>
      <c r="E11" s="53" t="n">
        <v>39.10096955178629</v>
      </c>
      <c r="F11" s="53" t="n">
        <v>37.70599715395179</v>
      </c>
      <c r="G11" s="53" t="n">
        <v>36.37671869723234</v>
      </c>
      <c r="H11" s="53" t="n">
        <v>35.10975255008252</v>
      </c>
    </row>
    <row r="13">
      <c r="A13" s="3" t="inlineStr">
        <is>
          <t>Current price</t>
        </is>
      </c>
      <c r="B13" s="53" t="n">
        <v>268.1650085449219</v>
      </c>
    </row>
    <row r="14">
      <c r="A14" s="3" t="inlineStr">
        <is>
          <t>Base WACC / multiple</t>
        </is>
      </c>
      <c r="B14" s="55" t="n">
        <v>0.1165642689890366</v>
      </c>
      <c r="C14" s="56" t="n">
        <v>15.1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0.1343973556427147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0.9979275667266083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0.7347074395937582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Financials!AC32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Financials!AC37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2026-07-08T07:03:57Z</dcterms:created>
  <dcterms:modified xmlns:dcterms="http://purl.org/dc/terms/" xmlns:xsi="http://www.w3.org/2001/XMLSchema-instance" xsi:type="dcterms:W3CDTF">2026-07-08T07:03:57Z</dcterms:modified>
</cp:coreProperties>
</file>