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46.0%</t>
      </text>
    </comment>
    <comment ref="B30" authorId="0" shapeId="0">
      <text>
        <t>Opus: 40.0%</t>
      </text>
    </comment>
    <comment ref="B31" authorId="0" shapeId="0">
      <text>
        <t>Opus: 16.0%</t>
      </text>
    </comment>
    <comment ref="B34" authorId="0" shapeId="0">
      <text>
        <t>Opus: —
set from Opus 10%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0.481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</t>
      </text>
    </comment>
    <comment ref="B45" authorId="0" shapeId="0">
      <text>
        <t>Opus: 18.0x</t>
      </text>
    </comment>
    <comment ref="B46" authorId="0" shapeId="0">
      <text>
        <t>Opus: 3.5%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Eli Lilly and Company (LLY)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LLY is the GLP-1 franchise leader (Mounjaro/Zepbound) with a multi-year capacity ramp and a deep incretin pipeline (oral orforglipron, retatrutide), driving Cardiometabolic—now ~80% of revenue—well above 20% near-term before fading toward a mature, branded-pharma growth rate as patents and competition normalize. Operating margins, already 45.6% in FY2025, hold near-term on operating leverage from the volume ramp, then normalize toward ~42% as pricing matures and pipeline/SG&amp;A reinvestment continues. Capex/D&amp;A converges toward maintenance (~1.1x) as the manufacturing build-out completes, lifting terminal FCFF conversion.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Eli Lilly and Company (LLY)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0.151473318095041</v>
      </c>
      <c r="C20" s="15" t="n">
        <v>0.05</v>
      </c>
      <c r="D20" s="16" t="n">
        <v>0.151473318095041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0.46</v>
      </c>
      <c r="D29" s="16" t="n">
        <v>0.46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0.16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8483.1718979</v>
      </c>
      <c r="D34" s="18" t="n">
        <v>8483.1718979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0.481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19" t="n">
        <v>18</v>
      </c>
    </row>
    <row r="46">
      <c r="A46" s="4" t="inlineStr">
        <is>
          <t>Terminal growth (g)</t>
        </is>
      </c>
      <c r="B46" s="15" t="n">
        <v>0.035</v>
      </c>
    </row>
    <row r="47">
      <c r="A47" s="4" t="inlineStr">
        <is>
          <t>Country risk premium</t>
        </is>
      </c>
      <c r="B47" s="15" t="n">
        <v>0.0005560718190227903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1112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863.792646680441</v>
      </c>
      <c r="C58" s="28" t="n">
        <v>1138.276751549099</v>
      </c>
      <c r="D58" s="28" t="n">
        <v>647.7523921615875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</v>
      </c>
      <c r="D62" s="30" t="n">
        <v>0.3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0.00960432040994799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0.005762592245968794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LLY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LLY is the GLP-1 franchise leader (Mounjaro/Zepbound) with a multi-year capacity ramp and a deep incretin pipeline (oral orforglipron, retatrutide), driving Cardiometabolic—now ~80% of revenue—well above 20% near-term before fading toward a mature, branded-pharma growth rate as patents and competition normalize. Operating margins, already 45.6% in FY2025, hold near-term on operating leverage from the volume ramp, then normalize toward ~42% as pricing matures and pipeline/SG&amp;A reinvestment continues. Capex/D&amp;A converges toward maintenance (~1.1x) as the manufacturing build-out completes, lifting terminal FCFF conversion.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revenue is anchored to FMP consensus (2026 +30%, fading to high-single-digits by 2030), with segment growth weighted to reflect Cardiometabolic dominance while letting it fade to a ~3% terminal rate; the negative recent prints in Oncology/Neuroscience are treated as transitory and normalized to low single digits rather than extrapolated. Tax at 15% reflects Lilly's structurally low effective rate, and I used a perpetuity terminal (g=4% ≈ risk-free) rather than an exit multiple given the 10-year fade fully captures normalization—the EV/EBIT 16x is provided only as a sanity cross-check.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46.0%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40.0%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16.0%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t="inlineStr">
        <is>
          <t>Opus</t>
        </is>
      </c>
      <c r="E25" t="inlineStr">
        <is>
          <t>1.1x</t>
        </is>
      </c>
      <c r="F25" s="31" t="inlineStr"/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Opus</t>
        </is>
      </c>
      <c r="E26" t="inlineStr">
        <is>
          <t>4.3%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Opus</t>
        </is>
      </c>
      <c r="E27" t="inlineStr">
        <is>
          <t>4.5%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2">
        <f>Dashboard!B40</f>
        <v/>
      </c>
      <c r="D28" t="inlineStr">
        <is>
          <t>Opus</t>
        </is>
      </c>
      <c r="E28" t="inlineStr">
        <is>
          <t>0.481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18.0x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3.5%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3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10%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4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4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4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4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4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4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4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4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5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5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4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4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Financials!AC40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0.1620767425090903</v>
      </c>
      <c r="H11" s="15" t="n">
        <v>0.1620767425090903</v>
      </c>
      <c r="I11" s="15" t="n">
        <v>0.1620767425090903</v>
      </c>
      <c r="J11" s="15" t="n">
        <v>0.1620767425090903</v>
      </c>
      <c r="K11" s="15" t="n">
        <v>0.1620767425090903</v>
      </c>
      <c r="L11" s="15" t="n">
        <v>0.1620767425090903</v>
      </c>
      <c r="M11" s="15" t="n">
        <v>0.1620767425090903</v>
      </c>
      <c r="N11" s="15" t="n">
        <v>0.1620767425090903</v>
      </c>
      <c r="O11" s="15" t="n">
        <v>0.1620767425090903</v>
      </c>
      <c r="P11" s="15" t="n">
        <v>0.1620767425090903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0.204628791481919</v>
      </c>
      <c r="H13" s="15" t="n">
        <v>0.204628791481919</v>
      </c>
      <c r="I13" s="15" t="n">
        <v>0.204628791481919</v>
      </c>
      <c r="J13" s="15" t="n">
        <v>0.204628791481919</v>
      </c>
      <c r="K13" s="15" t="n">
        <v>0.204628791481919</v>
      </c>
      <c r="L13" s="15" t="n">
        <v>0.204628791481919</v>
      </c>
      <c r="M13" s="15" t="n">
        <v>0.204628791481919</v>
      </c>
      <c r="N13" s="15" t="n">
        <v>0.204628791481919</v>
      </c>
      <c r="O13" s="15" t="n">
        <v>0.204628791481919</v>
      </c>
      <c r="P13" s="15" t="n">
        <v>0.204628791481919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0.1702081958913147</v>
      </c>
      <c r="H15" s="15" t="n">
        <v>0.1702081958913147</v>
      </c>
      <c r="I15" s="15" t="n">
        <v>0.1702081958913147</v>
      </c>
      <c r="J15" s="15" t="n">
        <v>0.1702081958913147</v>
      </c>
      <c r="K15" s="15" t="n">
        <v>0.1702081958913147</v>
      </c>
      <c r="L15" s="15" t="n">
        <v>0.1702081958913147</v>
      </c>
      <c r="M15" s="15" t="n">
        <v>0.1702081958913147</v>
      </c>
      <c r="N15" s="15" t="n">
        <v>0.1702081958913147</v>
      </c>
      <c r="O15" s="15" t="n">
        <v>0.1702081958913147</v>
      </c>
      <c r="P15" s="15" t="n">
        <v>0.1702081958913147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SUM(Financials!I43:L43)</f>
        <v/>
      </c>
      <c r="C24" s="33">
        <f>SUM(Financials!M43:P43)</f>
        <v/>
      </c>
      <c r="D24" s="33">
        <f>SUM(Financials!Q43:T43)</f>
        <v/>
      </c>
      <c r="E24" s="33">
        <f>SUM(Financials!U43:X43)</f>
        <v/>
      </c>
      <c r="F24" s="33">
        <f>SUM(Financials!Y43:AB43)</f>
        <v/>
      </c>
      <c r="G24" s="41">
        <f>G6*0.0306</f>
        <v/>
      </c>
      <c r="H24" s="41">
        <f>H6*0.0306</f>
        <v/>
      </c>
      <c r="I24" s="41">
        <f>I6*0.0306</f>
        <v/>
      </c>
      <c r="J24" s="41">
        <f>J6*0.0306</f>
        <v/>
      </c>
      <c r="K24" s="41">
        <f>K6*0.0306</f>
        <v/>
      </c>
      <c r="L24" s="41">
        <f>L6*0.0306</f>
        <v/>
      </c>
      <c r="M24" s="41">
        <f>M6*0.0306</f>
        <v/>
      </c>
      <c r="N24" s="41">
        <f>N6*0.0306</f>
        <v/>
      </c>
      <c r="O24" s="41">
        <f>O6*0.0306</f>
        <v/>
      </c>
      <c r="P24" s="41">
        <f>P6*0.0306</f>
        <v/>
      </c>
    </row>
    <row r="25">
      <c r="A25" s="4" t="inlineStr">
        <is>
          <t>+ SBC (non-cash)</t>
        </is>
      </c>
      <c r="B25" s="33">
        <f>SUM(Financials!I44:L44)</f>
        <v/>
      </c>
      <c r="C25" s="33">
        <f>SUM(Financials!M44:P44)</f>
        <v/>
      </c>
      <c r="D25" s="33">
        <f>SUM(Financials!Q44:T44)</f>
        <v/>
      </c>
      <c r="E25" s="33">
        <f>SUM(Financials!U44:X44)</f>
        <v/>
      </c>
      <c r="F25" s="33">
        <f>SUM(Financials!Y44:AB44)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-SUM(Financials!I47:L47)</f>
        <v/>
      </c>
      <c r="C27" s="33">
        <f>-SUM(Financials!M47:P47)</f>
        <v/>
      </c>
      <c r="D27" s="33">
        <f>-SUM(Financials!Q47:T47)</f>
        <v/>
      </c>
      <c r="E27" s="33">
        <f>-SUM(Financials!U47:X47)</f>
        <v/>
      </c>
      <c r="F27" s="33">
        <f>-SUM(Financials!Y47:AB47)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Financials!L41+Financials!L40-Financials!L35</f>
        <v/>
      </c>
      <c r="C34" s="33">
        <f>Financials!P41+Financials!P40-Financials!P35</f>
        <v/>
      </c>
      <c r="D34" s="33">
        <f>Financials!T41+Financials!T40-Financials!T35</f>
        <v/>
      </c>
      <c r="E34" s="33">
        <f>Financials!X41+Financials!X40-Financials!X35</f>
        <v/>
      </c>
      <c r="F34" s="33">
        <f>Financials!AB41+Financials!AB40-Financials!AB35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Financials!L41</f>
        <v/>
      </c>
      <c r="C35" s="33">
        <f>Financials!P41</f>
        <v/>
      </c>
      <c r="D35" s="33">
        <f>Financials!T41</f>
        <v/>
      </c>
      <c r="E35" s="33">
        <f>Financials!X41</f>
        <v/>
      </c>
      <c r="F35" s="33">
        <f>Financials!AB41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5636.7</v>
      </c>
      <c r="C3" s="18" t="n">
        <v>5476.6</v>
      </c>
      <c r="D3" s="18" t="n">
        <v>6114</v>
      </c>
      <c r="E3" s="18" t="n">
        <v>5859.8</v>
      </c>
      <c r="F3" s="18" t="n">
        <v>5499.4</v>
      </c>
      <c r="G3" s="18" t="n">
        <v>5740.6</v>
      </c>
      <c r="H3" s="18" t="n">
        <v>7440</v>
      </c>
      <c r="I3" s="18" t="n">
        <v>6805.6</v>
      </c>
      <c r="J3" s="18" t="n">
        <v>6740.1</v>
      </c>
      <c r="K3" s="18" t="n">
        <v>6772.8</v>
      </c>
      <c r="L3" s="18" t="n">
        <v>7999.9</v>
      </c>
      <c r="M3" s="18" t="n">
        <v>7810</v>
      </c>
      <c r="N3" s="18" t="n">
        <v>6488</v>
      </c>
      <c r="O3" s="18" t="n">
        <v>6941.6</v>
      </c>
      <c r="P3" s="18" t="n">
        <v>7301.8</v>
      </c>
      <c r="Q3" s="18" t="n">
        <v>6960</v>
      </c>
      <c r="R3" s="18" t="n">
        <v>8312.1</v>
      </c>
      <c r="S3" s="18" t="n">
        <v>9498.6</v>
      </c>
      <c r="T3" s="18" t="n">
        <v>9353.4</v>
      </c>
      <c r="U3" s="18" t="n">
        <v>8768</v>
      </c>
      <c r="V3" s="18" t="n">
        <v>11302.8</v>
      </c>
      <c r="W3" s="18" t="n">
        <v>11439.1</v>
      </c>
      <c r="X3" s="18" t="n">
        <v>13532.8</v>
      </c>
      <c r="Y3" s="18" t="n">
        <v>12728.5</v>
      </c>
      <c r="Z3" s="18" t="n">
        <v>15557.7</v>
      </c>
      <c r="AA3" s="18" t="n">
        <v>17600.8</v>
      </c>
      <c r="AB3" s="18" t="n">
        <v>19292</v>
      </c>
      <c r="AC3" s="18" t="n">
        <v>19799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1124.9</v>
      </c>
      <c r="C5" s="18" t="n">
        <v>1175</v>
      </c>
      <c r="D5" s="18" t="n">
        <v>1282.6</v>
      </c>
      <c r="E5" s="18" t="n">
        <v>1215.1</v>
      </c>
      <c r="F5" s="18" t="n">
        <v>1222</v>
      </c>
      <c r="G5" s="18" t="n">
        <v>1326.4</v>
      </c>
      <c r="H5" s="18" t="n">
        <v>1719.8</v>
      </c>
      <c r="I5" s="18" t="n">
        <v>1878.6</v>
      </c>
      <c r="J5" s="18" t="n">
        <v>1953.2</v>
      </c>
      <c r="K5" s="18" t="n">
        <v>1430.8</v>
      </c>
      <c r="L5" s="18" t="n">
        <v>2050.2</v>
      </c>
      <c r="M5" s="18" t="n">
        <v>2072.1</v>
      </c>
      <c r="N5" s="18" t="n">
        <v>1430.5</v>
      </c>
      <c r="O5" s="18" t="n">
        <v>1579.1</v>
      </c>
      <c r="P5" s="18" t="n">
        <v>1548.1</v>
      </c>
      <c r="Q5" s="18" t="n">
        <v>1626.7</v>
      </c>
      <c r="R5" s="18" t="n">
        <v>1807.4</v>
      </c>
      <c r="S5" s="18" t="n">
        <v>1860.1</v>
      </c>
      <c r="T5" s="18" t="n">
        <v>1788</v>
      </c>
      <c r="U5" s="18" t="n">
        <v>1673.5</v>
      </c>
      <c r="V5" s="18" t="n">
        <v>2170.2</v>
      </c>
      <c r="W5" s="18" t="n">
        <v>2170.8</v>
      </c>
      <c r="X5" s="18" t="n">
        <v>2403.8</v>
      </c>
      <c r="Y5" s="18" t="n">
        <v>2224.2</v>
      </c>
      <c r="Z5" s="18" t="n">
        <v>2447.8</v>
      </c>
      <c r="AA5" s="18" t="n">
        <v>3008.3</v>
      </c>
      <c r="AB5" s="18" t="n">
        <v>2883.7</v>
      </c>
      <c r="AC5" s="18" t="n">
        <v>3577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1402.2</v>
      </c>
      <c r="C7" s="18" t="n">
        <v>1380.9</v>
      </c>
      <c r="D7" s="18" t="n">
        <v>1581.4</v>
      </c>
      <c r="E7" s="18" t="n">
        <v>1392.1</v>
      </c>
      <c r="F7" s="18" t="n">
        <v>1390.2</v>
      </c>
      <c r="G7" s="18" t="n">
        <v>1465.4</v>
      </c>
      <c r="H7" s="18" t="n">
        <v>1838</v>
      </c>
      <c r="I7" s="18" t="n">
        <v>1672.1</v>
      </c>
      <c r="J7" s="18" t="n">
        <v>1655</v>
      </c>
      <c r="K7" s="18" t="n">
        <v>1705.3</v>
      </c>
      <c r="L7" s="18" t="n">
        <v>1959.4</v>
      </c>
      <c r="M7" s="18" t="n">
        <v>1610.1</v>
      </c>
      <c r="N7" s="18" t="n">
        <v>1781.9</v>
      </c>
      <c r="O7" s="18" t="n">
        <v>1802.9</v>
      </c>
      <c r="P7" s="18" t="n">
        <v>1995.9</v>
      </c>
      <c r="Q7" s="18" t="n">
        <v>1985.1</v>
      </c>
      <c r="R7" s="18" t="n">
        <v>2356.5</v>
      </c>
      <c r="S7" s="18" t="n">
        <v>2409.1</v>
      </c>
      <c r="T7" s="18" t="n">
        <v>2562.7</v>
      </c>
      <c r="U7" s="18" t="n">
        <v>2522.8</v>
      </c>
      <c r="V7" s="18" t="n">
        <v>2711.2</v>
      </c>
      <c r="W7" s="18" t="n">
        <v>2734.1</v>
      </c>
      <c r="X7" s="18" t="n">
        <v>3022.5</v>
      </c>
      <c r="Y7" s="18" t="n">
        <v>2733.7</v>
      </c>
      <c r="Z7" s="18" t="n">
        <v>3336.1</v>
      </c>
      <c r="AA7" s="18" t="n">
        <v>3465.7</v>
      </c>
      <c r="AB7" s="18" t="n">
        <v>3802</v>
      </c>
      <c r="AC7" s="18" t="n">
        <v>3510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1536.5</v>
      </c>
      <c r="C9" s="18" t="n">
        <v>1360.1</v>
      </c>
      <c r="D9" s="18" t="n">
        <v>1646.1</v>
      </c>
      <c r="E9" s="18" t="n">
        <v>1505</v>
      </c>
      <c r="F9" s="18" t="n">
        <v>1412.7</v>
      </c>
      <c r="G9" s="18" t="n">
        <v>1455.1</v>
      </c>
      <c r="H9" s="18" t="n">
        <v>1496.6</v>
      </c>
      <c r="I9" s="18" t="n">
        <v>1502.6</v>
      </c>
      <c r="J9" s="18" t="n">
        <v>1614.6</v>
      </c>
      <c r="K9" s="18" t="n">
        <v>1505.3</v>
      </c>
      <c r="L9" s="18" t="n">
        <v>1519.4</v>
      </c>
      <c r="M9" s="18" t="n">
        <v>1464.6</v>
      </c>
      <c r="N9" s="18" t="n">
        <v>1530.8</v>
      </c>
      <c r="O9" s="18" t="n">
        <v>1521.8</v>
      </c>
      <c r="P9" s="18" t="n">
        <v>1550.3</v>
      </c>
      <c r="Q9" s="18" t="n">
        <v>1633.4</v>
      </c>
      <c r="R9" s="18" t="n">
        <v>1809.8</v>
      </c>
      <c r="S9" s="18" t="n">
        <v>1688.4</v>
      </c>
      <c r="T9" s="18" t="n">
        <v>1809.6</v>
      </c>
      <c r="U9" s="18" t="n">
        <v>1836.1</v>
      </c>
      <c r="V9" s="18" t="n">
        <v>2002.9</v>
      </c>
      <c r="W9" s="18" t="n">
        <v>1984.4</v>
      </c>
      <c r="X9" s="18" t="n">
        <v>2308.7</v>
      </c>
      <c r="Y9" s="18" t="n">
        <v>2362.2</v>
      </c>
      <c r="Z9" s="18" t="n">
        <v>2647.6</v>
      </c>
      <c r="AA9" s="18" t="n">
        <v>2740.7</v>
      </c>
      <c r="AB9" s="18" t="n">
        <v>3343.5</v>
      </c>
      <c r="AC9" s="18" t="n">
        <v>2934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4511.8</v>
      </c>
      <c r="C11" s="18" t="n">
        <v>4301.6</v>
      </c>
      <c r="D11" s="18" t="n">
        <v>4831.4</v>
      </c>
      <c r="E11" s="18" t="n">
        <v>4644.7</v>
      </c>
      <c r="F11" s="18" t="n">
        <v>4277.4</v>
      </c>
      <c r="G11" s="18" t="n">
        <v>4414.2</v>
      </c>
      <c r="H11" s="18" t="n">
        <v>5720.2</v>
      </c>
      <c r="I11" s="18" t="n">
        <v>4927</v>
      </c>
      <c r="J11" s="18" t="n">
        <v>4786.9</v>
      </c>
      <c r="K11" s="18" t="n">
        <v>5342</v>
      </c>
      <c r="L11" s="18" t="n">
        <v>5949.7</v>
      </c>
      <c r="M11" s="18" t="n">
        <v>5737.9</v>
      </c>
      <c r="N11" s="18" t="n">
        <v>5057.5</v>
      </c>
      <c r="O11" s="18" t="n">
        <v>5362.5</v>
      </c>
      <c r="P11" s="18" t="n">
        <v>5753.7</v>
      </c>
      <c r="Q11" s="18" t="n">
        <v>5333.3</v>
      </c>
      <c r="R11" s="18" t="n">
        <v>6504.7</v>
      </c>
      <c r="S11" s="18" t="n">
        <v>7638.5</v>
      </c>
      <c r="T11" s="18" t="n">
        <v>7565.4</v>
      </c>
      <c r="U11" s="18" t="n">
        <v>7094.5</v>
      </c>
      <c r="V11" s="18" t="n">
        <v>9132.6</v>
      </c>
      <c r="W11" s="18" t="n">
        <v>9268.299999999999</v>
      </c>
      <c r="X11" s="18" t="n">
        <v>11129</v>
      </c>
      <c r="Y11" s="18" t="n">
        <v>10504.3</v>
      </c>
      <c r="Z11" s="18" t="n">
        <v>13109.9</v>
      </c>
      <c r="AA11" s="18" t="n">
        <v>14592.5</v>
      </c>
      <c r="AB11" s="18" t="n">
        <v>16408.3</v>
      </c>
      <c r="AC11" s="18" t="n">
        <v>16222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1573.1</v>
      </c>
      <c r="C13" s="18" t="n">
        <v>1560.6</v>
      </c>
      <c r="D13" s="18" t="n">
        <v>1603.9</v>
      </c>
      <c r="E13" s="18" t="n">
        <v>1747.6</v>
      </c>
      <c r="F13" s="18" t="n">
        <v>1474.5</v>
      </c>
      <c r="G13" s="18" t="n">
        <v>1493.7</v>
      </c>
      <c r="H13" s="18" t="n">
        <v>2385.6</v>
      </c>
      <c r="I13" s="18" t="n">
        <v>1752.3</v>
      </c>
      <c r="J13" s="18" t="n">
        <v>1517.3</v>
      </c>
      <c r="K13" s="18" t="n">
        <v>2131.4</v>
      </c>
      <c r="L13" s="18" t="n">
        <v>2470.9</v>
      </c>
      <c r="M13" s="18" t="n">
        <v>2663.2</v>
      </c>
      <c r="N13" s="18" t="n">
        <v>1744.8</v>
      </c>
      <c r="O13" s="18" t="n">
        <v>2037.8</v>
      </c>
      <c r="P13" s="18" t="n">
        <v>2207.5</v>
      </c>
      <c r="Q13" s="18" t="n">
        <v>1714.8</v>
      </c>
      <c r="R13" s="18" t="n">
        <v>2338.4</v>
      </c>
      <c r="S13" s="18" t="n">
        <v>3541</v>
      </c>
      <c r="T13" s="18" t="n">
        <v>3193.1</v>
      </c>
      <c r="U13" s="18" t="n">
        <v>2735.6</v>
      </c>
      <c r="V13" s="18" t="n">
        <v>4418.5</v>
      </c>
      <c r="W13" s="18" t="n">
        <v>4549.8</v>
      </c>
      <c r="X13" s="18" t="n">
        <v>5797.8</v>
      </c>
      <c r="Y13" s="18" t="n">
        <v>5408.4</v>
      </c>
      <c r="Z13" s="18" t="n">
        <v>7126.2</v>
      </c>
      <c r="AA13" s="18" t="n">
        <v>8386.1</v>
      </c>
      <c r="AB13" s="18" t="n">
        <v>8775.299999999999</v>
      </c>
      <c r="AC13" s="18" t="n">
        <v>8850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1327.2</v>
      </c>
      <c r="C15" s="18" t="n">
        <v>1253.9</v>
      </c>
      <c r="D15" s="18" t="n">
        <v>1495.7</v>
      </c>
      <c r="E15" s="18" t="n">
        <v>1456.5</v>
      </c>
      <c r="F15" s="18" t="n">
        <v>1412</v>
      </c>
      <c r="G15" s="18" t="n">
        <v>1208.4</v>
      </c>
      <c r="H15" s="18" t="n">
        <v>2116.8</v>
      </c>
      <c r="I15" s="18" t="n">
        <v>1355.3</v>
      </c>
      <c r="J15" s="18" t="n">
        <v>1390.2</v>
      </c>
      <c r="K15" s="18" t="n">
        <v>1110.1</v>
      </c>
      <c r="L15" s="18" t="n">
        <v>1726.1</v>
      </c>
      <c r="M15" s="18" t="n">
        <v>1902.9</v>
      </c>
      <c r="N15" s="18" t="n">
        <v>952.5</v>
      </c>
      <c r="O15" s="18" t="n">
        <v>1451.7</v>
      </c>
      <c r="P15" s="18" t="n">
        <v>1937.7</v>
      </c>
      <c r="Q15" s="18" t="n">
        <v>1344.9</v>
      </c>
      <c r="R15" s="18" t="n">
        <v>1763.2</v>
      </c>
      <c r="S15" s="18" t="n">
        <v>-57.4</v>
      </c>
      <c r="T15" s="18" t="n">
        <v>2189.7</v>
      </c>
      <c r="U15" s="18" t="n">
        <v>2242.9</v>
      </c>
      <c r="V15" s="18" t="n">
        <v>2967</v>
      </c>
      <c r="W15" s="18" t="n">
        <v>970.3</v>
      </c>
      <c r="X15" s="18" t="n">
        <v>4409.8</v>
      </c>
      <c r="Y15" s="18" t="n">
        <v>2759.3</v>
      </c>
      <c r="Z15" s="18" t="n">
        <v>5660.5</v>
      </c>
      <c r="AA15" s="18" t="n">
        <v>5582.5</v>
      </c>
      <c r="AB15" s="18" t="n">
        <v>6636</v>
      </c>
      <c r="AC15" s="18" t="n">
        <v>7396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965.957</v>
      </c>
      <c r="C17" s="18" t="n">
        <v>960.046</v>
      </c>
      <c r="D17" s="18" t="n">
        <v>957.526</v>
      </c>
      <c r="E17" s="18" t="n">
        <v>956.929</v>
      </c>
      <c r="F17" s="18" t="n">
        <v>956.466</v>
      </c>
      <c r="G17" s="18" t="n">
        <v>956.491</v>
      </c>
      <c r="H17" s="18" t="n">
        <v>956.59</v>
      </c>
      <c r="I17" s="18" t="n">
        <v>959.482</v>
      </c>
      <c r="J17" s="18" t="n">
        <v>910.4</v>
      </c>
      <c r="K17" s="18" t="n">
        <v>956.5890000000001</v>
      </c>
      <c r="L17" s="18" t="n">
        <v>953.653</v>
      </c>
      <c r="M17" s="18" t="n">
        <v>950.605</v>
      </c>
      <c r="N17" s="18" t="n">
        <v>902.9</v>
      </c>
      <c r="O17" s="18" t="n">
        <v>903.8</v>
      </c>
      <c r="P17" s="18" t="n">
        <v>950.182</v>
      </c>
      <c r="Q17" s="18" t="n">
        <v>949.2670000000001</v>
      </c>
      <c r="R17" s="18" t="n">
        <v>949.2859999999999</v>
      </c>
      <c r="S17" s="18" t="n">
        <v>949.303</v>
      </c>
      <c r="T17" s="18" t="n">
        <v>903.98</v>
      </c>
      <c r="U17" s="18" t="n">
        <v>903.8</v>
      </c>
      <c r="V17" s="18" t="n">
        <v>904.2</v>
      </c>
      <c r="W17" s="18" t="n">
        <v>905</v>
      </c>
      <c r="X17" s="18" t="n">
        <v>903.158</v>
      </c>
      <c r="Y17" s="18" t="n">
        <v>900.604</v>
      </c>
      <c r="Z17" s="18" t="n">
        <v>899.793</v>
      </c>
      <c r="AA17" s="18" t="n">
        <v>898.8</v>
      </c>
      <c r="AB17" s="18" t="n">
        <v>898.002</v>
      </c>
      <c r="AC17" s="18" t="n">
        <v>895.9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UNITED STATES</t>
        </is>
      </c>
      <c r="B19" s="18" t="n">
        <v>3252.5</v>
      </c>
      <c r="C19" s="18" t="n">
        <v>3060.2</v>
      </c>
      <c r="D19" s="18" t="n">
        <v>3519.1</v>
      </c>
      <c r="E19" s="18" t="n">
        <v>3328.8</v>
      </c>
      <c r="F19" s="18" t="n">
        <v>3144.8</v>
      </c>
      <c r="G19" s="18" t="n">
        <v>3161.4</v>
      </c>
      <c r="H19" s="18" t="n">
        <v>4594.3</v>
      </c>
      <c r="I19" s="18" t="n">
        <v>3941.3</v>
      </c>
      <c r="J19" s="18" t="n">
        <v>3704.2</v>
      </c>
      <c r="K19" s="18" t="n">
        <v>3989.6</v>
      </c>
      <c r="L19" s="18" t="n">
        <v>5175.9</v>
      </c>
      <c r="M19" s="18" t="n">
        <v>5174.6</v>
      </c>
      <c r="N19" s="18" t="n">
        <v>3934.8</v>
      </c>
      <c r="O19" s="18" t="n">
        <v>4422.1</v>
      </c>
      <c r="P19" s="18" t="n">
        <v>4658.5</v>
      </c>
      <c r="Q19" s="18" t="n">
        <v>4436.2</v>
      </c>
      <c r="R19" s="18" t="n">
        <v>5531.4</v>
      </c>
      <c r="S19" s="18" t="n">
        <v>5368.1</v>
      </c>
      <c r="T19" s="18" t="n">
        <v>6455.3</v>
      </c>
      <c r="U19" s="18" t="n">
        <v>5694.4</v>
      </c>
      <c r="V19" s="18" t="n">
        <v>7835.2</v>
      </c>
      <c r="W19" s="18" t="n">
        <v>7813.6</v>
      </c>
      <c r="X19" s="18" t="n">
        <v>9032</v>
      </c>
      <c r="Y19" s="18" t="n">
        <v>8489.4</v>
      </c>
      <c r="Z19" s="18" t="n">
        <v>10814.2</v>
      </c>
      <c r="AA19" s="18" t="n">
        <v>11300</v>
      </c>
      <c r="AB19" s="18" t="n">
        <v>12877.4</v>
      </c>
      <c r="AC19" s="18" t="n">
        <v>12119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Non-US</t>
        </is>
      </c>
      <c r="I22" s="18" t="n">
        <v>609.1</v>
      </c>
      <c r="J22" s="18" t="n">
        <v>638.1</v>
      </c>
      <c r="K22" s="18" t="n">
        <v>689.4</v>
      </c>
      <c r="L22" s="18" t="n">
        <v>765.6</v>
      </c>
      <c r="M22" s="18" t="n">
        <v>751.5</v>
      </c>
      <c r="N22" s="18" t="n">
        <v>645.7</v>
      </c>
      <c r="O22" s="18" t="n">
        <v>632</v>
      </c>
      <c r="P22" s="18" t="n">
        <v>822.8</v>
      </c>
      <c r="Q22" s="18" t="n">
        <v>673.1</v>
      </c>
      <c r="R22" s="18" t="n">
        <v>748.5</v>
      </c>
      <c r="S22" s="18" t="n">
        <v>780.3</v>
      </c>
      <c r="T22" s="18" t="n">
        <v>744.3</v>
      </c>
      <c r="U22" s="18" t="n">
        <v>892.9</v>
      </c>
      <c r="V22" s="18" t="n">
        <v>1206.1</v>
      </c>
      <c r="W22" s="18" t="n">
        <v>1108.2</v>
      </c>
      <c r="X22" s="18" t="n">
        <v>1064.2</v>
      </c>
      <c r="Y22" s="18" t="n">
        <v>997.4</v>
      </c>
      <c r="Z22" s="18" t="n">
        <v>1182.1</v>
      </c>
      <c r="AA22" s="18" t="n">
        <v>1687.7</v>
      </c>
      <c r="AB22" s="18" t="n">
        <v>2189.8</v>
      </c>
      <c r="AC22" s="18" t="n">
        <v>10451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Europe</t>
        </is>
      </c>
      <c r="B25" s="18" t="n">
        <v>928.2</v>
      </c>
      <c r="C25" s="18" t="n">
        <v>923.4</v>
      </c>
      <c r="D25" s="18" t="n">
        <v>1013.1</v>
      </c>
      <c r="E25" s="18" t="n">
        <v>1061</v>
      </c>
      <c r="F25" s="18" t="n">
        <v>873</v>
      </c>
      <c r="G25" s="18" t="n">
        <v>1046.7</v>
      </c>
      <c r="H25" s="18" t="n">
        <v>1207</v>
      </c>
      <c r="I25" s="18" t="n">
        <v>1321.2</v>
      </c>
      <c r="J25" s="18" t="n">
        <v>1209.8</v>
      </c>
      <c r="K25" s="18" t="n">
        <v>1098.6</v>
      </c>
      <c r="L25" s="18" t="n">
        <v>1147.2</v>
      </c>
      <c r="M25" s="18" t="n">
        <v>1067.3</v>
      </c>
      <c r="N25" s="18" t="n">
        <v>1101.1</v>
      </c>
      <c r="O25" s="18" t="n">
        <v>1056.4</v>
      </c>
      <c r="P25" s="18" t="n">
        <v>1074.4</v>
      </c>
      <c r="Q25" s="18" t="n">
        <v>1090.9</v>
      </c>
      <c r="R25" s="18" t="n">
        <v>1177.6</v>
      </c>
      <c r="S25" s="18" t="n">
        <v>2568.6</v>
      </c>
      <c r="T25" s="18" t="n">
        <v>1337.6</v>
      </c>
      <c r="U25" s="18" t="n">
        <v>1440.7</v>
      </c>
      <c r="V25" s="18" t="n">
        <v>1403.7</v>
      </c>
      <c r="W25" s="18" t="n">
        <v>1628.3</v>
      </c>
      <c r="X25" s="18" t="n">
        <v>2448</v>
      </c>
      <c r="Y25" s="18" t="n">
        <v>2388.7</v>
      </c>
      <c r="Z25" s="18" t="n">
        <v>2574.4</v>
      </c>
      <c r="AA25" s="18" t="n">
        <v>3498.1</v>
      </c>
      <c r="AB25" s="18" t="n">
        <v>3096.8</v>
      </c>
      <c r="AC25" s="18" t="n">
        <v>3646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CHINA</t>
        </is>
      </c>
      <c r="E28" s="18" t="n">
        <v>267.3</v>
      </c>
      <c r="F28" s="18" t="n">
        <v>239.8</v>
      </c>
      <c r="G28" s="18" t="n">
        <v>289.1</v>
      </c>
      <c r="H28" s="18" t="n">
        <v>320.7</v>
      </c>
      <c r="I28" s="18" t="n">
        <v>362.2</v>
      </c>
      <c r="J28" s="18" t="n">
        <v>522.5</v>
      </c>
      <c r="K28" s="18" t="n">
        <v>400.3</v>
      </c>
      <c r="L28" s="18" t="n">
        <v>376.4</v>
      </c>
      <c r="M28" s="18" t="n">
        <v>406.5</v>
      </c>
      <c r="N28" s="18" t="n">
        <v>352.1</v>
      </c>
      <c r="O28" s="18" t="n">
        <v>343.4</v>
      </c>
      <c r="P28" s="18" t="n">
        <v>350.8</v>
      </c>
      <c r="Q28" s="18" t="n">
        <v>372.7</v>
      </c>
      <c r="R28" s="18" t="n">
        <v>399</v>
      </c>
      <c r="S28" s="18" t="n">
        <v>390.8</v>
      </c>
      <c r="T28" s="18" t="n">
        <v>377.2</v>
      </c>
      <c r="U28" s="18" t="n">
        <v>376.2</v>
      </c>
      <c r="V28" s="18" t="n">
        <v>395.1</v>
      </c>
      <c r="W28" s="18" t="n">
        <v>459.9</v>
      </c>
      <c r="X28" s="18" t="n">
        <v>429.2</v>
      </c>
      <c r="Y28" s="18" t="n">
        <v>450.8</v>
      </c>
      <c r="Z28" s="18" t="n">
        <v>465.9</v>
      </c>
      <c r="AA28" s="18" t="n">
        <v>560.4</v>
      </c>
      <c r="AB28" s="18" t="n">
        <v>473.9</v>
      </c>
      <c r="AC28" s="18" t="n">
        <v>693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JAPAN</t>
        </is>
      </c>
      <c r="B31" s="18" t="n">
        <v>653.2</v>
      </c>
      <c r="C31" s="18" t="n">
        <v>641.5</v>
      </c>
      <c r="D31" s="18" t="n">
        <v>709.2</v>
      </c>
      <c r="E31" s="18" t="n">
        <v>592.3</v>
      </c>
      <c r="F31" s="18" t="n">
        <v>666.7</v>
      </c>
      <c r="G31" s="18" t="n">
        <v>660.1</v>
      </c>
      <c r="H31" s="18" t="n">
        <v>664</v>
      </c>
      <c r="I31" s="18" t="n">
        <v>571.8</v>
      </c>
      <c r="J31" s="18" t="n">
        <v>665.4</v>
      </c>
      <c r="K31" s="18" t="n">
        <v>595</v>
      </c>
      <c r="L31" s="18" t="n">
        <v>534.8</v>
      </c>
      <c r="M31" s="18" t="n">
        <v>410.2</v>
      </c>
      <c r="N31" s="18" t="n">
        <v>454.4</v>
      </c>
      <c r="O31" s="18" t="n">
        <v>487.7</v>
      </c>
      <c r="P31" s="18" t="n">
        <v>395</v>
      </c>
      <c r="Q31" s="18" t="n">
        <v>387.2</v>
      </c>
      <c r="R31" s="18" t="n">
        <v>455.6</v>
      </c>
      <c r="S31" s="18" t="n">
        <v>390.8</v>
      </c>
      <c r="T31" s="18" t="n">
        <v>439</v>
      </c>
      <c r="U31" s="18" t="n">
        <v>363.9</v>
      </c>
      <c r="V31" s="18" t="n">
        <v>462.7</v>
      </c>
      <c r="W31" s="18" t="n">
        <v>429.1</v>
      </c>
      <c r="X31" s="18" t="n">
        <v>559.2</v>
      </c>
      <c r="Y31" s="18" t="n">
        <v>402.2</v>
      </c>
      <c r="Z31" s="18" t="n">
        <v>521</v>
      </c>
      <c r="AA31" s="18" t="n">
        <v>554.7</v>
      </c>
      <c r="AB31" s="18" t="n">
        <v>654.1</v>
      </c>
      <c r="AC31" s="18" t="n">
        <v>571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BALANCE SHEET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Cash &amp; ST Investments</t>
        </is>
      </c>
      <c r="B35" s="18" t="n">
        <v>2367.9</v>
      </c>
      <c r="C35" s="18" t="n">
        <v>1653</v>
      </c>
      <c r="D35" s="18" t="n">
        <v>2438.5</v>
      </c>
      <c r="E35" s="18" t="n">
        <v>1777.4</v>
      </c>
      <c r="F35" s="18" t="n">
        <v>2387.9</v>
      </c>
      <c r="G35" s="18" t="n">
        <v>3630.3</v>
      </c>
      <c r="H35" s="18" t="n">
        <v>3681.3</v>
      </c>
      <c r="I35" s="18" t="n">
        <v>3051.4</v>
      </c>
      <c r="J35" s="18" t="n">
        <v>3271.2</v>
      </c>
      <c r="K35" s="18" t="n">
        <v>3825.3</v>
      </c>
      <c r="L35" s="18" t="n">
        <v>3908.6</v>
      </c>
      <c r="M35" s="18" t="n">
        <v>2568.3</v>
      </c>
      <c r="N35" s="18" t="n">
        <v>2736.7</v>
      </c>
      <c r="O35" s="18" t="n">
        <v>2742.1</v>
      </c>
      <c r="P35" s="18" t="n">
        <v>2211.8</v>
      </c>
      <c r="Q35" s="18" t="n">
        <v>3669.3</v>
      </c>
      <c r="R35" s="18" t="n">
        <v>2829.1</v>
      </c>
      <c r="S35" s="18" t="n">
        <v>2493.9</v>
      </c>
      <c r="T35" s="18" t="n">
        <v>2927.7</v>
      </c>
      <c r="U35" s="18" t="n">
        <v>2586.3</v>
      </c>
      <c r="V35" s="18" t="n">
        <v>3364</v>
      </c>
      <c r="W35" s="18" t="n">
        <v>3518.4</v>
      </c>
      <c r="X35" s="18" t="n">
        <v>3423.2</v>
      </c>
      <c r="Y35" s="18" t="n">
        <v>3220.7</v>
      </c>
      <c r="Z35" s="18" t="n">
        <v>3546</v>
      </c>
      <c r="AA35" s="18" t="n">
        <v>9913.5</v>
      </c>
      <c r="AB35" s="18" t="n">
        <v>7268</v>
      </c>
      <c r="AC35" s="18" t="n">
        <v>5282</v>
      </c>
    </row>
    <row r="36">
      <c r="A36" s="4" t="inlineStr">
        <is>
          <t>Total Current Assets</t>
        </is>
      </c>
      <c r="B36" s="18" t="n">
        <v>13454.5</v>
      </c>
      <c r="C36" s="18" t="n">
        <v>12661.8</v>
      </c>
      <c r="D36" s="18" t="n">
        <v>13709.6</v>
      </c>
      <c r="E36" s="18" t="n">
        <v>13994.2</v>
      </c>
      <c r="F36" s="18" t="n">
        <v>14581.9</v>
      </c>
      <c r="G36" s="18" t="n">
        <v>16239.9</v>
      </c>
      <c r="H36" s="18" t="n">
        <v>17462.1</v>
      </c>
      <c r="I36" s="18" t="n">
        <v>16604.5</v>
      </c>
      <c r="J36" s="18" t="n">
        <v>17295.5</v>
      </c>
      <c r="K36" s="18" t="n">
        <v>17808.3</v>
      </c>
      <c r="L36" s="18" t="n">
        <v>18452.4</v>
      </c>
      <c r="M36" s="18" t="n">
        <v>16964.7</v>
      </c>
      <c r="N36" s="18" t="n">
        <v>17115.2</v>
      </c>
      <c r="O36" s="18" t="n">
        <v>17639.9</v>
      </c>
      <c r="P36" s="18" t="n">
        <v>18034.5</v>
      </c>
      <c r="Q36" s="18" t="n">
        <v>20811.4</v>
      </c>
      <c r="R36" s="18" t="n">
        <v>21331.6</v>
      </c>
      <c r="S36" s="18" t="n">
        <v>23007</v>
      </c>
      <c r="T36" s="18" t="n">
        <v>25727</v>
      </c>
      <c r="U36" s="18" t="n">
        <v>25188.8</v>
      </c>
      <c r="V36" s="18" t="n">
        <v>30204.3</v>
      </c>
      <c r="W36" s="18" t="n">
        <v>31415.1</v>
      </c>
      <c r="X36" s="18" t="n">
        <v>32739.7</v>
      </c>
      <c r="Y36" s="18" t="n">
        <v>41261.2</v>
      </c>
      <c r="Z36" s="18" t="n">
        <v>49854</v>
      </c>
      <c r="AA36" s="18" t="n">
        <v>62071.3</v>
      </c>
      <c r="AB36" s="18" t="n">
        <v>55629</v>
      </c>
      <c r="AC36" s="18" t="n">
        <v>54835</v>
      </c>
    </row>
    <row r="37">
      <c r="A37" s="4" t="inlineStr">
        <is>
          <t>PP&amp;E (net)</t>
        </is>
      </c>
      <c r="B37" s="18" t="n">
        <v>8393</v>
      </c>
      <c r="C37" s="18" t="n">
        <v>8337.200000000001</v>
      </c>
      <c r="D37" s="18" t="n">
        <v>8405</v>
      </c>
      <c r="E37" s="18" t="n">
        <v>7897.9</v>
      </c>
      <c r="F37" s="18" t="n">
        <v>7981.1</v>
      </c>
      <c r="G37" s="18" t="n">
        <v>8281.1</v>
      </c>
      <c r="H37" s="18" t="n">
        <v>8681.9</v>
      </c>
      <c r="I37" s="18" t="n">
        <v>8630.1</v>
      </c>
      <c r="J37" s="18" t="n">
        <v>8855.5</v>
      </c>
      <c r="K37" s="18" t="n">
        <v>8920.4</v>
      </c>
      <c r="L37" s="18" t="n">
        <v>8985.1</v>
      </c>
      <c r="M37" s="18" t="n">
        <v>9102.700000000001</v>
      </c>
      <c r="N37" s="18" t="n">
        <v>9128.200000000001</v>
      </c>
      <c r="O37" s="18" t="n">
        <v>9311.299999999999</v>
      </c>
      <c r="P37" s="18" t="n">
        <v>10144</v>
      </c>
      <c r="Q37" s="18" t="n">
        <v>10546.2</v>
      </c>
      <c r="R37" s="18" t="n">
        <v>11277.4</v>
      </c>
      <c r="S37" s="18" t="n">
        <v>11863.2</v>
      </c>
      <c r="T37" s="18" t="n">
        <v>12913.6</v>
      </c>
      <c r="U37" s="18" t="n">
        <v>13624</v>
      </c>
      <c r="V37" s="18" t="n">
        <v>14829.4</v>
      </c>
      <c r="W37" s="18" t="n">
        <v>16171.8</v>
      </c>
      <c r="X37" s="18" t="n">
        <v>17102.4</v>
      </c>
      <c r="Y37" s="18" t="n">
        <v>18474.1</v>
      </c>
      <c r="Z37" s="18" t="n">
        <v>20529.7</v>
      </c>
      <c r="AA37" s="18" t="n">
        <v>22316</v>
      </c>
      <c r="AB37" s="18" t="n">
        <v>24674</v>
      </c>
      <c r="AC37" s="18" t="n">
        <v>26540</v>
      </c>
    </row>
    <row r="38">
      <c r="A38" s="4" t="inlineStr">
        <is>
          <t>Total Assets</t>
        </is>
      </c>
      <c r="B38" s="18" t="n">
        <v>38666.4</v>
      </c>
      <c r="C38" s="18" t="n">
        <v>37893.1</v>
      </c>
      <c r="D38" s="18" t="n">
        <v>39286.1</v>
      </c>
      <c r="E38" s="18" t="n">
        <v>41102.8</v>
      </c>
      <c r="F38" s="18" t="n">
        <v>41967</v>
      </c>
      <c r="G38" s="18" t="n">
        <v>43946</v>
      </c>
      <c r="H38" s="18" t="n">
        <v>46633.1</v>
      </c>
      <c r="I38" s="18" t="n">
        <v>46838.3</v>
      </c>
      <c r="J38" s="18" t="n">
        <v>47809</v>
      </c>
      <c r="K38" s="18" t="n">
        <v>48187</v>
      </c>
      <c r="L38" s="18" t="n">
        <v>48806</v>
      </c>
      <c r="M38" s="18" t="n">
        <v>46919.3</v>
      </c>
      <c r="N38" s="18" t="n">
        <v>47063.6</v>
      </c>
      <c r="O38" s="18" t="n">
        <v>47461.5</v>
      </c>
      <c r="P38" s="18" t="n">
        <v>49489.8</v>
      </c>
      <c r="Q38" s="18" t="n">
        <v>53163</v>
      </c>
      <c r="R38" s="18" t="n">
        <v>54814</v>
      </c>
      <c r="S38" s="18" t="n">
        <v>57915.5</v>
      </c>
      <c r="T38" s="18" t="n">
        <v>64006.3</v>
      </c>
      <c r="U38" s="18" t="n">
        <v>63943.5</v>
      </c>
      <c r="V38" s="18" t="n">
        <v>71874.8</v>
      </c>
      <c r="W38" s="18" t="n">
        <v>75606.89999999999</v>
      </c>
      <c r="X38" s="18" t="n">
        <v>78714.89999999999</v>
      </c>
      <c r="Y38" s="18" t="n">
        <v>89388.8</v>
      </c>
      <c r="Z38" s="18" t="n">
        <v>100922.6</v>
      </c>
      <c r="AA38" s="18" t="n">
        <v>114935.4</v>
      </c>
      <c r="AB38" s="18" t="n">
        <v>112476</v>
      </c>
      <c r="AC38" s="18" t="n">
        <v>116576</v>
      </c>
    </row>
    <row r="39">
      <c r="A39" s="4" t="inlineStr">
        <is>
          <t>Total Current Liabilities</t>
        </is>
      </c>
      <c r="B39" s="18" t="n">
        <v>11855.4</v>
      </c>
      <c r="C39" s="18" t="n">
        <v>10828.6</v>
      </c>
      <c r="D39" s="18" t="n">
        <v>11775.2</v>
      </c>
      <c r="E39" s="18" t="n">
        <v>12610.2</v>
      </c>
      <c r="F39" s="18" t="n">
        <v>11988.5</v>
      </c>
      <c r="G39" s="18" t="n">
        <v>11976.9</v>
      </c>
      <c r="H39" s="18" t="n">
        <v>12481.6</v>
      </c>
      <c r="I39" s="18" t="n">
        <v>11714.2</v>
      </c>
      <c r="J39" s="18" t="n">
        <v>15093.2</v>
      </c>
      <c r="K39" s="18" t="n">
        <v>13682</v>
      </c>
      <c r="L39" s="18" t="n">
        <v>15052.7</v>
      </c>
      <c r="M39" s="18" t="n">
        <v>13386</v>
      </c>
      <c r="N39" s="18" t="n">
        <v>15620.6</v>
      </c>
      <c r="O39" s="18" t="n">
        <v>15652.8</v>
      </c>
      <c r="P39" s="18" t="n">
        <v>17138.2</v>
      </c>
      <c r="Q39" s="18" t="n">
        <v>16010</v>
      </c>
      <c r="R39" s="18" t="n">
        <v>18915</v>
      </c>
      <c r="S39" s="18" t="n">
        <v>21998.2</v>
      </c>
      <c r="T39" s="18" t="n">
        <v>27293.2</v>
      </c>
      <c r="U39" s="18" t="n">
        <v>18598.1</v>
      </c>
      <c r="V39" s="18" t="n">
        <v>27121.2</v>
      </c>
      <c r="W39" s="18" t="n">
        <v>24674.1</v>
      </c>
      <c r="X39" s="18" t="n">
        <v>28376.6</v>
      </c>
      <c r="Y39" s="18" t="n">
        <v>30068.1</v>
      </c>
      <c r="Z39" s="18" t="n">
        <v>39019.9</v>
      </c>
      <c r="AA39" s="18" t="n">
        <v>40140.9</v>
      </c>
      <c r="AB39" s="18" t="n">
        <v>35228</v>
      </c>
      <c r="AC39" s="18" t="n">
        <v>36634</v>
      </c>
    </row>
    <row r="40">
      <c r="A40" s="4" t="inlineStr">
        <is>
          <t>Long-term Debt</t>
        </is>
      </c>
      <c r="B40" s="18" t="n">
        <v>13717.6</v>
      </c>
      <c r="C40" s="18" t="n">
        <v>13662.2</v>
      </c>
      <c r="D40" s="18" t="n">
        <v>13817.9</v>
      </c>
      <c r="E40" s="18" t="n">
        <v>13982.3</v>
      </c>
      <c r="F40" s="18" t="n">
        <v>15064.4</v>
      </c>
      <c r="G40" s="18" t="n">
        <v>16334.6</v>
      </c>
      <c r="H40" s="18" t="n">
        <v>16586.6</v>
      </c>
      <c r="I40" s="18" t="n">
        <v>16199.6</v>
      </c>
      <c r="J40" s="18" t="n">
        <v>14736.6</v>
      </c>
      <c r="K40" s="18" t="n">
        <v>15522.4</v>
      </c>
      <c r="L40" s="18" t="n">
        <v>15346.4</v>
      </c>
      <c r="M40" s="18" t="n">
        <v>15152.9</v>
      </c>
      <c r="N40" s="18" t="n">
        <v>14692</v>
      </c>
      <c r="O40" s="18" t="n">
        <v>14143.8</v>
      </c>
      <c r="P40" s="18" t="n">
        <v>14737.5</v>
      </c>
      <c r="Q40" s="18" t="n">
        <v>18880.5</v>
      </c>
      <c r="R40" s="18" t="n">
        <v>18158.4</v>
      </c>
      <c r="S40" s="18" t="n">
        <v>17923.6</v>
      </c>
      <c r="T40" s="18" t="n">
        <v>18320.8</v>
      </c>
      <c r="U40" s="18" t="n">
        <v>24559.9</v>
      </c>
      <c r="V40" s="18" t="n">
        <v>23730.4</v>
      </c>
      <c r="W40" s="18" t="n">
        <v>29045.4</v>
      </c>
      <c r="X40" s="18" t="n">
        <v>28527.1</v>
      </c>
      <c r="Y40" s="18" t="n">
        <v>34499.5</v>
      </c>
      <c r="Z40" s="18" t="n">
        <v>34180.1</v>
      </c>
      <c r="AA40" s="18" t="n">
        <v>40873.6</v>
      </c>
      <c r="AB40" s="18" t="n">
        <v>40868</v>
      </c>
      <c r="AC40" s="18" t="n">
        <v>39370</v>
      </c>
    </row>
    <row r="41">
      <c r="A41" s="4" t="inlineStr">
        <is>
          <t>Total Equity</t>
        </is>
      </c>
      <c r="B41" s="18" t="n">
        <v>2780.5</v>
      </c>
      <c r="C41" s="18" t="n">
        <v>3382.5</v>
      </c>
      <c r="D41" s="18" t="n">
        <v>2606.9</v>
      </c>
      <c r="E41" s="18" t="n">
        <v>3078.8</v>
      </c>
      <c r="F41" s="18" t="n">
        <v>4092.9</v>
      </c>
      <c r="G41" s="18" t="n">
        <v>4826.9</v>
      </c>
      <c r="H41" s="18" t="n">
        <v>5641.6</v>
      </c>
      <c r="I41" s="18" t="n">
        <v>6898.7</v>
      </c>
      <c r="J41" s="18" t="n">
        <v>6444.4</v>
      </c>
      <c r="K41" s="18" t="n">
        <v>7757</v>
      </c>
      <c r="L41" s="18" t="n">
        <v>8979.200000000001</v>
      </c>
      <c r="M41" s="18" t="n">
        <v>9330.799999999999</v>
      </c>
      <c r="N41" s="18" t="n">
        <v>8544.700000000001</v>
      </c>
      <c r="O41" s="18" t="n">
        <v>10070.1</v>
      </c>
      <c r="P41" s="18" t="n">
        <v>10649.8</v>
      </c>
      <c r="Q41" s="18" t="n">
        <v>11190.4</v>
      </c>
      <c r="R41" s="18" t="n">
        <v>11063.8</v>
      </c>
      <c r="S41" s="18" t="n">
        <v>11220.4</v>
      </c>
      <c r="T41" s="18" t="n">
        <v>10771.9</v>
      </c>
      <c r="U41" s="18" t="n">
        <v>12812.2</v>
      </c>
      <c r="V41" s="18" t="n">
        <v>13562</v>
      </c>
      <c r="W41" s="18" t="n">
        <v>14240</v>
      </c>
      <c r="X41" s="18" t="n">
        <v>14192.1</v>
      </c>
      <c r="Y41" s="18" t="n">
        <v>15764.8</v>
      </c>
      <c r="Z41" s="18" t="n">
        <v>18272.9</v>
      </c>
      <c r="AA41" s="18" t="n">
        <v>23793.3</v>
      </c>
      <c r="AB41" s="18" t="n">
        <v>26535</v>
      </c>
      <c r="AC41" s="18" t="n">
        <v>31198</v>
      </c>
    </row>
    <row r="42">
      <c r="A42" s="5" t="inlineStr">
        <is>
          <t xml:space="preserve">  CASH FLOW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4" t="inlineStr">
        <is>
          <t>D&amp;A</t>
        </is>
      </c>
      <c r="B43" s="18" t="n">
        <v>247.4</v>
      </c>
      <c r="C43" s="18" t="n">
        <v>288</v>
      </c>
      <c r="D43" s="18" t="n">
        <v>340.7</v>
      </c>
      <c r="E43" s="18" t="n">
        <v>273.6</v>
      </c>
      <c r="F43" s="18" t="n">
        <v>324.4</v>
      </c>
      <c r="G43" s="18" t="n">
        <v>358.4</v>
      </c>
      <c r="H43" s="18" t="n">
        <v>367.5</v>
      </c>
      <c r="I43" s="18" t="n">
        <v>350.3</v>
      </c>
      <c r="J43" s="18" t="n">
        <v>369.3</v>
      </c>
      <c r="K43" s="18" t="n">
        <v>382.3</v>
      </c>
      <c r="L43" s="18" t="n">
        <v>445.7</v>
      </c>
      <c r="M43" s="18" t="n">
        <v>435.7</v>
      </c>
      <c r="N43" s="18" t="n">
        <v>348.9</v>
      </c>
      <c r="O43" s="18" t="n">
        <v>362.9</v>
      </c>
      <c r="P43" s="18" t="n">
        <v>375</v>
      </c>
      <c r="Q43" s="18" t="n">
        <v>362.3</v>
      </c>
      <c r="R43" s="18" t="n">
        <v>366.3</v>
      </c>
      <c r="S43" s="18" t="n">
        <v>411</v>
      </c>
      <c r="T43" s="18" t="n">
        <v>387.7</v>
      </c>
      <c r="U43" s="18" t="n">
        <v>400.6</v>
      </c>
      <c r="V43" s="18" t="n">
        <v>414.4</v>
      </c>
      <c r="W43" s="18" t="n">
        <v>466.8</v>
      </c>
      <c r="X43" s="18" t="n">
        <v>484.8</v>
      </c>
      <c r="Y43" s="18" t="n">
        <v>462.8</v>
      </c>
      <c r="Z43" s="18" t="n">
        <v>478.5</v>
      </c>
      <c r="AA43" s="18" t="n">
        <v>470</v>
      </c>
      <c r="AB43" s="18" t="n">
        <v>585.7</v>
      </c>
      <c r="AC43" s="18" t="n">
        <v>509</v>
      </c>
    </row>
    <row r="44">
      <c r="A44" s="4" t="inlineStr">
        <is>
          <t>Stock-based Compensation</t>
        </is>
      </c>
      <c r="B44" s="18" t="n">
        <v>79.5</v>
      </c>
      <c r="C44" s="18" t="n">
        <v>75.5</v>
      </c>
      <c r="D44" s="18" t="n">
        <v>81.59999999999999</v>
      </c>
      <c r="E44" s="18" t="n">
        <v>71.8</v>
      </c>
      <c r="F44" s="18" t="n">
        <v>76.8</v>
      </c>
      <c r="G44" s="18" t="n">
        <v>71.7</v>
      </c>
      <c r="H44" s="18" t="n">
        <v>87.8</v>
      </c>
      <c r="I44" s="18" t="n">
        <v>85.5</v>
      </c>
      <c r="J44" s="18" t="n">
        <v>91.90000000000001</v>
      </c>
      <c r="K44" s="18" t="n">
        <v>90.09999999999999</v>
      </c>
      <c r="L44" s="18" t="n">
        <v>75.3</v>
      </c>
      <c r="M44" s="18" t="n">
        <v>101</v>
      </c>
      <c r="N44" s="18" t="n">
        <v>92.09999999999999</v>
      </c>
      <c r="O44" s="18" t="n">
        <v>85.09999999999999</v>
      </c>
      <c r="P44" s="18" t="n">
        <v>92.90000000000001</v>
      </c>
      <c r="Q44" s="18" t="n">
        <v>131.2</v>
      </c>
      <c r="R44" s="18" t="n">
        <v>161.5</v>
      </c>
      <c r="S44" s="18" t="n">
        <v>215.6</v>
      </c>
      <c r="T44" s="18" t="n">
        <v>120.2</v>
      </c>
      <c r="U44" s="18" t="n">
        <v>159.4</v>
      </c>
      <c r="V44" s="18" t="n">
        <v>211.1</v>
      </c>
      <c r="W44" s="18" t="n">
        <v>133.2</v>
      </c>
      <c r="X44" s="18" t="n">
        <v>141.9</v>
      </c>
      <c r="Y44" s="18" t="n">
        <v>153.7</v>
      </c>
      <c r="Z44" s="18" t="n">
        <v>185.1</v>
      </c>
      <c r="AA44" s="18" t="n">
        <v>151.1</v>
      </c>
      <c r="AB44" s="18" t="n">
        <v>136.1</v>
      </c>
      <c r="AC44" s="18" t="n">
        <v>161</v>
      </c>
    </row>
    <row r="45">
      <c r="A45" s="4" t="inlineStr">
        <is>
          <t>Change in Working Capital</t>
        </is>
      </c>
      <c r="B45" s="18" t="n">
        <v>-802.1</v>
      </c>
      <c r="C45" s="18" t="n">
        <v>-247.3</v>
      </c>
      <c r="D45" s="18" t="n">
        <v>76.5</v>
      </c>
      <c r="E45" s="18" t="n">
        <v>-1408.1</v>
      </c>
      <c r="F45" s="18" t="n">
        <v>926.5</v>
      </c>
      <c r="G45" s="18" t="n">
        <v>249.4</v>
      </c>
      <c r="H45" s="18" t="n">
        <v>-515.2</v>
      </c>
      <c r="I45" s="18" t="n">
        <v>-102.8</v>
      </c>
      <c r="J45" s="18" t="n">
        <v>221.2</v>
      </c>
      <c r="K45" s="18" t="n">
        <v>-666.5</v>
      </c>
      <c r="L45" s="18" t="n">
        <v>-474.5</v>
      </c>
      <c r="M45" s="18" t="n">
        <v>-34.3</v>
      </c>
      <c r="N45" s="18" t="n">
        <v>-69.90000000000001</v>
      </c>
      <c r="O45" s="18" t="n">
        <v>927.6</v>
      </c>
      <c r="P45" s="18" t="n">
        <v>-836</v>
      </c>
      <c r="Q45" s="18" t="n">
        <v>164.1</v>
      </c>
      <c r="R45" s="18" t="n">
        <v>-840.2</v>
      </c>
      <c r="S45" s="18" t="n">
        <v>793.3</v>
      </c>
      <c r="T45" s="18" t="n">
        <v>-3172.2</v>
      </c>
      <c r="U45" s="18" t="n">
        <v>-1751.2</v>
      </c>
      <c r="V45" s="18" t="n">
        <v>-1399.1</v>
      </c>
      <c r="W45" s="18" t="n">
        <v>-9.800000000000001</v>
      </c>
      <c r="X45" s="18" t="n">
        <v>-2224.9</v>
      </c>
      <c r="Y45" s="18" t="n">
        <v>-3364.2</v>
      </c>
      <c r="Z45" s="18" t="n">
        <v>-2262.9</v>
      </c>
      <c r="AA45" s="18" t="n">
        <v>1208.2</v>
      </c>
      <c r="AB45" s="18" t="n">
        <v>-3674.1</v>
      </c>
      <c r="AC45" s="18" t="n">
        <v>-1664</v>
      </c>
    </row>
    <row r="46">
      <c r="A46" s="4" t="inlineStr">
        <is>
          <t>Operating Cash Flow</t>
        </is>
      </c>
      <c r="B46" s="18" t="n">
        <v>1051.5</v>
      </c>
      <c r="C46" s="18" t="n">
        <v>1510.1</v>
      </c>
      <c r="D46" s="18" t="n">
        <v>1963.7</v>
      </c>
      <c r="E46" s="18" t="n">
        <v>382.4</v>
      </c>
      <c r="F46" s="18" t="n">
        <v>2495.4</v>
      </c>
      <c r="G46" s="18" t="n">
        <v>1806.6</v>
      </c>
      <c r="H46" s="18" t="n">
        <v>1815.2</v>
      </c>
      <c r="I46" s="18" t="n">
        <v>1697.4</v>
      </c>
      <c r="J46" s="18" t="n">
        <v>1775.5</v>
      </c>
      <c r="K46" s="18" t="n">
        <v>1631.3</v>
      </c>
      <c r="L46" s="18" t="n">
        <v>2156.5</v>
      </c>
      <c r="M46" s="18" t="n">
        <v>2523</v>
      </c>
      <c r="N46" s="18" t="n">
        <v>1183.3</v>
      </c>
      <c r="O46" s="18" t="n">
        <v>2216.7</v>
      </c>
      <c r="P46" s="18" t="n">
        <v>1579.7</v>
      </c>
      <c r="Q46" s="18" t="n">
        <v>1730.6</v>
      </c>
      <c r="R46" s="18" t="n">
        <v>631.9</v>
      </c>
      <c r="S46" s="18" t="n">
        <v>2189.5</v>
      </c>
      <c r="T46" s="18" t="n">
        <v>-311.9</v>
      </c>
      <c r="U46" s="18" t="n">
        <v>1166</v>
      </c>
      <c r="V46" s="18" t="n">
        <v>1466.2</v>
      </c>
      <c r="W46" s="18" t="n">
        <v>3711.9</v>
      </c>
      <c r="X46" s="18" t="n">
        <v>2473.8</v>
      </c>
      <c r="Y46" s="18" t="n">
        <v>1665.6</v>
      </c>
      <c r="Z46" s="18" t="n">
        <v>3086.9</v>
      </c>
      <c r="AA46" s="18" t="n">
        <v>8835.9</v>
      </c>
      <c r="AB46" s="18" t="n">
        <v>3224.6</v>
      </c>
      <c r="AC46" s="18" t="n">
        <v>5333</v>
      </c>
    </row>
    <row r="47">
      <c r="A47" s="4" t="inlineStr">
        <is>
          <t>Capex</t>
        </is>
      </c>
      <c r="B47" s="18" t="n">
        <v>-285.3</v>
      </c>
      <c r="C47" s="18" t="n">
        <v>-341.1</v>
      </c>
      <c r="D47" s="18" t="n">
        <v>-326.5</v>
      </c>
      <c r="E47" s="18" t="n">
        <v>-258.3</v>
      </c>
      <c r="F47" s="18" t="n">
        <v>-523.2</v>
      </c>
      <c r="G47" s="18" t="n">
        <v>-415.1</v>
      </c>
      <c r="H47" s="18" t="n">
        <v>-819.5</v>
      </c>
      <c r="I47" s="18" t="n">
        <v>-492.1</v>
      </c>
      <c r="J47" s="18" t="n">
        <v>-531.3</v>
      </c>
      <c r="K47" s="18" t="n">
        <v>-455.6</v>
      </c>
      <c r="L47" s="18" t="n">
        <v>-394.2</v>
      </c>
      <c r="M47" s="18" t="n">
        <v>-881</v>
      </c>
      <c r="N47" s="18" t="n">
        <v>-813.6</v>
      </c>
      <c r="O47" s="18" t="n">
        <v>-652.1</v>
      </c>
      <c r="P47" s="18" t="n">
        <v>-555.6</v>
      </c>
      <c r="Q47" s="18" t="n">
        <v>-903.5</v>
      </c>
      <c r="R47" s="18" t="n">
        <v>-836.3</v>
      </c>
      <c r="S47" s="18" t="n">
        <v>-4001.2</v>
      </c>
      <c r="T47" s="18" t="n">
        <v>-1651.1</v>
      </c>
      <c r="U47" s="18" t="n">
        <v>-986.3</v>
      </c>
      <c r="V47" s="18" t="n">
        <v>-1402.8</v>
      </c>
      <c r="W47" s="18" t="n">
        <v>-4170.8</v>
      </c>
      <c r="X47" s="18" t="n">
        <v>-1747.2</v>
      </c>
      <c r="Y47" s="18" t="n">
        <v>-3266.5</v>
      </c>
      <c r="Z47" s="18" t="n">
        <v>-1803.9</v>
      </c>
      <c r="AA47" s="18" t="n">
        <v>-223.9</v>
      </c>
      <c r="AB47" s="18" t="n">
        <v>-2546.7</v>
      </c>
      <c r="AC47" s="18" t="n">
        <v>-2326</v>
      </c>
    </row>
    <row r="48">
      <c r="A48" s="4" t="inlineStr">
        <is>
          <t>Free Cash Flow</t>
        </is>
      </c>
      <c r="B48" s="18" t="n">
        <v>766.2</v>
      </c>
      <c r="C48" s="18" t="n">
        <v>1169</v>
      </c>
      <c r="D48" s="18" t="n">
        <v>1637.2</v>
      </c>
      <c r="E48" s="18" t="n">
        <v>124.099999</v>
      </c>
      <c r="F48" s="18" t="n">
        <v>1972.2</v>
      </c>
      <c r="G48" s="18" t="n">
        <v>1391.5</v>
      </c>
      <c r="H48" s="18" t="n">
        <v>995.7</v>
      </c>
      <c r="I48" s="18" t="n">
        <v>1205.3</v>
      </c>
      <c r="J48" s="18" t="n">
        <v>1244.2</v>
      </c>
      <c r="K48" s="18" t="n">
        <v>1175.7</v>
      </c>
      <c r="L48" s="18" t="n">
        <v>1762.3</v>
      </c>
      <c r="M48" s="18" t="n">
        <v>1642</v>
      </c>
      <c r="N48" s="18" t="n">
        <v>369.7</v>
      </c>
      <c r="O48" s="18" t="n">
        <v>1564.6</v>
      </c>
      <c r="P48" s="18" t="n">
        <v>1024.1</v>
      </c>
      <c r="Q48" s="18" t="n">
        <v>827.1</v>
      </c>
      <c r="R48" s="18" t="n">
        <v>-204.4</v>
      </c>
      <c r="S48" s="18" t="n">
        <v>-1811.7</v>
      </c>
      <c r="T48" s="18" t="n">
        <v>-1963</v>
      </c>
      <c r="U48" s="18" t="n">
        <v>179.7</v>
      </c>
      <c r="V48" s="18" t="n">
        <v>63.4</v>
      </c>
      <c r="W48" s="18" t="n">
        <v>-458.9</v>
      </c>
      <c r="X48" s="18" t="n">
        <v>726.6</v>
      </c>
      <c r="Y48" s="18" t="n">
        <v>-1600.9</v>
      </c>
      <c r="Z48" s="18" t="n">
        <v>1283</v>
      </c>
      <c r="AA48" s="18" t="n">
        <v>8612</v>
      </c>
      <c r="AB48" s="18" t="n">
        <v>677.9</v>
      </c>
      <c r="AC48" s="18" t="n">
        <v>3007</v>
      </c>
    </row>
    <row r="50">
      <c r="A5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84831.718979</v>
      </c>
      <c r="C4" s="18" t="n">
        <v>98186.30996</v>
      </c>
      <c r="D4" s="18" t="n">
        <v>109991.182545</v>
      </c>
      <c r="E4" s="18" t="n">
        <v>120521.404832</v>
      </c>
      <c r="F4" s="18" t="n">
        <v>130459.193012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27234.598072</v>
      </c>
      <c r="C8" s="18" t="n">
        <v>31521.991067</v>
      </c>
      <c r="D8" s="18" t="n">
        <v>35311.858396</v>
      </c>
      <c r="E8" s="18" t="n">
        <v>38692.508641</v>
      </c>
      <c r="F8" s="18" t="n">
        <v>41882.962284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23570.56143</v>
      </c>
      <c r="C12" s="18" t="n">
        <v>27281.145288</v>
      </c>
      <c r="D12" s="18" t="n">
        <v>30561.138642</v>
      </c>
      <c r="E12" s="18" t="n">
        <v>33486.969384</v>
      </c>
      <c r="F12" s="18" t="n">
        <v>36248.191833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16688.670731</v>
      </c>
      <c r="C16" s="18" t="n">
        <v>19315.876384</v>
      </c>
      <c r="D16" s="18" t="n">
        <v>21638.21093</v>
      </c>
      <c r="E16" s="18" t="n">
        <v>23709.787631</v>
      </c>
      <c r="F16" s="18" t="n">
        <v>25664.816678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30986.57177</v>
      </c>
      <c r="C20" s="18" t="n">
        <v>37834.62058</v>
      </c>
      <c r="D20" s="18" t="n">
        <v>44965.6697</v>
      </c>
      <c r="E20" s="18" t="n">
        <v>51647.552385</v>
      </c>
      <c r="F20" s="18" t="n">
        <v>56930.094056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36.50702</v>
      </c>
      <c r="C24" s="47" t="n">
        <v>44.39563</v>
      </c>
      <c r="D24" s="47" t="n">
        <v>51.22708</v>
      </c>
      <c r="E24" s="47" t="n">
        <v>57.51385</v>
      </c>
      <c r="F24" s="47" t="n">
        <v>63.3964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Eli Lilly and Company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Financials!AC35</f>
        <v/>
      </c>
    </row>
    <row r="33">
      <c r="A33" s="4" t="inlineStr">
        <is>
          <t>- Long-term debt</t>
        </is>
      </c>
      <c r="B33" s="33">
        <f>-Financials!AC40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 x  \  WACC</t>
        </is>
      </c>
      <c r="B4" s="51" t="n">
        <v>0.04915938685637568</v>
      </c>
      <c r="C4" s="51" t="n">
        <v>0.05415938685637568</v>
      </c>
      <c r="D4" s="51" t="n">
        <v>0.05915938685637568</v>
      </c>
      <c r="E4" s="51" t="n">
        <v>0.06415938685637568</v>
      </c>
      <c r="F4" s="51" t="n">
        <v>0.06915938685637568</v>
      </c>
      <c r="G4" s="51" t="n">
        <v>0.07415938685637567</v>
      </c>
      <c r="H4" s="51" t="n">
        <v>0.07915938685637568</v>
      </c>
    </row>
    <row r="5">
      <c r="A5" s="52" t="n">
        <v>15</v>
      </c>
      <c r="B5" s="53" t="n">
        <v>861.1362476426165</v>
      </c>
      <c r="C5" s="53" t="n">
        <v>824.9198436773171</v>
      </c>
      <c r="D5" s="53" t="n">
        <v>790.4451285526801</v>
      </c>
      <c r="E5" s="53" t="n">
        <v>757.6187952907064</v>
      </c>
      <c r="F5" s="53" t="n">
        <v>726.3529876384375</v>
      </c>
      <c r="G5" s="53" t="n">
        <v>696.5649567151879</v>
      </c>
      <c r="H5" s="53" t="n">
        <v>668.1767408083015</v>
      </c>
    </row>
    <row r="6">
      <c r="A6" s="52" t="n">
        <v>16</v>
      </c>
      <c r="B6" s="53" t="n">
        <v>901.9257505781883</v>
      </c>
      <c r="C6" s="53" t="n">
        <v>863.8154294161827</v>
      </c>
      <c r="D6" s="53" t="n">
        <v>827.5430796186391</v>
      </c>
      <c r="E6" s="53" t="n">
        <v>793.0100790872845</v>
      </c>
      <c r="F6" s="53" t="n">
        <v>760.1235728519744</v>
      </c>
      <c r="G6" s="53" t="n">
        <v>728.7961095267245</v>
      </c>
      <c r="H6" s="53" t="n">
        <v>698.9453022885184</v>
      </c>
    </row>
    <row r="7">
      <c r="A7" s="52" t="n">
        <v>17</v>
      </c>
      <c r="B7" s="53" t="n">
        <v>942.7152535137599</v>
      </c>
      <c r="C7" s="53" t="n">
        <v>902.7110151550486</v>
      </c>
      <c r="D7" s="53" t="n">
        <v>864.641030684598</v>
      </c>
      <c r="E7" s="53" t="n">
        <v>828.4013628838626</v>
      </c>
      <c r="F7" s="53" t="n">
        <v>793.8941580655111</v>
      </c>
      <c r="G7" s="53" t="n">
        <v>761.0272623382612</v>
      </c>
      <c r="H7" s="53" t="n">
        <v>729.7138637687352</v>
      </c>
    </row>
    <row r="8">
      <c r="A8" s="52" t="n">
        <v>18</v>
      </c>
      <c r="B8" s="53" t="n">
        <v>983.5047564493317</v>
      </c>
      <c r="C8" s="53" t="n">
        <v>941.6066008939144</v>
      </c>
      <c r="D8" s="53" t="n">
        <v>901.7389817505568</v>
      </c>
      <c r="E8" s="54" t="n">
        <v>863.792646680441</v>
      </c>
      <c r="F8" s="53" t="n">
        <v>827.6647432790478</v>
      </c>
      <c r="G8" s="53" t="n">
        <v>793.2584151497977</v>
      </c>
      <c r="H8" s="53" t="n">
        <v>760.4824252489522</v>
      </c>
    </row>
    <row r="9">
      <c r="A9" s="52" t="n">
        <v>19</v>
      </c>
      <c r="B9" s="53" t="n">
        <v>1024.294259384903</v>
      </c>
      <c r="C9" s="53" t="n">
        <v>980.5021866327801</v>
      </c>
      <c r="D9" s="53" t="n">
        <v>938.8369328165156</v>
      </c>
      <c r="E9" s="53" t="n">
        <v>899.1839304770189</v>
      </c>
      <c r="F9" s="53" t="n">
        <v>861.4353284925845</v>
      </c>
      <c r="G9" s="53" t="n">
        <v>825.4895679613342</v>
      </c>
      <c r="H9" s="53" t="n">
        <v>791.2509867291691</v>
      </c>
    </row>
    <row r="10">
      <c r="A10" s="52" t="n">
        <v>20</v>
      </c>
      <c r="B10" s="53" t="n">
        <v>1065.083762320475</v>
      </c>
      <c r="C10" s="53" t="n">
        <v>1019.397772371646</v>
      </c>
      <c r="D10" s="53" t="n">
        <v>975.9348838824747</v>
      </c>
      <c r="E10" s="53" t="n">
        <v>934.575214273597</v>
      </c>
      <c r="F10" s="53" t="n">
        <v>895.2059137061212</v>
      </c>
      <c r="G10" s="53" t="n">
        <v>857.7207207728709</v>
      </c>
      <c r="H10" s="53" t="n">
        <v>822.019548209386</v>
      </c>
    </row>
    <row r="11">
      <c r="A11" s="52" t="n">
        <v>21</v>
      </c>
      <c r="B11" s="53" t="n">
        <v>1105.873265256047</v>
      </c>
      <c r="C11" s="53" t="n">
        <v>1058.293358110512</v>
      </c>
      <c r="D11" s="53" t="n">
        <v>1013.032834948433</v>
      </c>
      <c r="E11" s="53" t="n">
        <v>969.9664980701751</v>
      </c>
      <c r="F11" s="53" t="n">
        <v>928.976498919658</v>
      </c>
      <c r="G11" s="53" t="n">
        <v>889.9518735844075</v>
      </c>
      <c r="H11" s="53" t="n">
        <v>852.7881096896031</v>
      </c>
    </row>
    <row r="13">
      <c r="A13" s="3" t="inlineStr">
        <is>
          <t>Current price</t>
        </is>
      </c>
      <c r="B13" s="53" t="n">
        <v>1112</v>
      </c>
    </row>
    <row r="14">
      <c r="A14" s="3" t="inlineStr">
        <is>
          <t>Base WACC / multiple</t>
        </is>
      </c>
      <c r="B14" s="55" t="n">
        <v>0.06415938685637568</v>
      </c>
      <c r="C14" s="56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0.03063870264962641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3.26384576865298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0.9538930306959708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Financials!AC35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Financials!AC40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2026-07-08T07:03:49Z</dcterms:created>
  <dcterms:modified xmlns:dcterms="http://purl.org/dc/terms/" xmlns:xsi="http://www.w3.org/2001/XMLSchema-instance" xsi:type="dcterms:W3CDTF">2026-07-08T07:03:49Z</dcterms:modified>
</cp:coreProperties>
</file>