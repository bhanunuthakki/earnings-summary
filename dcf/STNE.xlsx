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StoneCo Ltd. (STNE)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StoneCo Ltd. (STNE)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0.01847166601632962</v>
      </c>
      <c r="C20" s="50" t="n">
        <v>0.04999999999999999</v>
      </c>
      <c r="D20" s="51" t="n">
        <v>0.01847166601632962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0.2441846567096434</v>
      </c>
      <c r="D29" s="51" t="n">
        <v>0.2441846567096434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0.3934514425978609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1152.3844222</v>
      </c>
      <c r="D34" s="18" t="n">
        <v>1152.3844222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1.597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10.71500015258789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0.2479618707797082</v>
      </c>
      <c r="H11" s="50" t="n">
        <v>0.2479618707797082</v>
      </c>
      <c r="I11" s="50" t="n">
        <v>0.2479618707797082</v>
      </c>
      <c r="J11" s="50" t="n">
        <v>0.2479618707797082</v>
      </c>
      <c r="K11" s="50" t="n">
        <v>0.2479618707797082</v>
      </c>
      <c r="L11" s="50" t="n">
        <v>0.2479618707797082</v>
      </c>
      <c r="M11" s="50" t="n">
        <v>0.2479618707797082</v>
      </c>
      <c r="N11" s="50" t="n">
        <v>0.2479618707797082</v>
      </c>
      <c r="O11" s="50" t="n">
        <v>0.2479618707797082</v>
      </c>
      <c r="P11" s="50" t="n">
        <v>0.2479618707797082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>
        <v>0</v>
      </c>
      <c r="P13" s="50" t="n">
        <v>0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0.2261519043132693</v>
      </c>
      <c r="H15" s="50" t="n">
        <v>0.2261519043132693</v>
      </c>
      <c r="I15" s="50" t="n">
        <v>0.2261519043132693</v>
      </c>
      <c r="J15" s="50" t="n">
        <v>0.2261519043132693</v>
      </c>
      <c r="K15" s="50" t="n">
        <v>0.2261519043132693</v>
      </c>
      <c r="L15" s="50" t="n">
        <v>0.2261519043132693</v>
      </c>
      <c r="M15" s="50" t="n">
        <v>0.2261519043132693</v>
      </c>
      <c r="N15" s="50" t="n">
        <v>0.2261519043132693</v>
      </c>
      <c r="O15" s="50" t="n">
        <v>0.2261519043132693</v>
      </c>
      <c r="P15" s="50" t="n">
        <v>0.2261519043132693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G6*(1-(Dashboard!$B$29+(Dashboard!$B$30-Dashboard!$B$29)*MIN(1,0/3)))-(G10+G12+G14)</f>
        <v/>
      </c>
      <c r="H16" s="28">
        <f>H6*(1-(Dashboard!$B$29+(Dashboard!$B$30-Dashboard!$B$29)*MIN(1,1/3)))-(H10+H12+H14)</f>
        <v/>
      </c>
      <c r="I16" s="28">
        <f>I6*(1-(Dashboard!$B$29+(Dashboard!$B$30-Dashboard!$B$29)*MIN(1,2/3)))-(I10+I12+I14)</f>
        <v/>
      </c>
      <c r="J16" s="28">
        <f>J6*(1-(Dashboard!$B$29+(Dashboard!$B$30-Dashboard!$B$29)*MIN(1,3/3)))-(J10+J12+J14)</f>
        <v/>
      </c>
      <c r="K16" s="28">
        <f>K6*(1-(Dashboard!$B$29+(Dashboard!$B$30-Dashboard!$B$29)*MIN(1,4/3)))-(K10+K12+K14)</f>
        <v/>
      </c>
      <c r="L16" s="28">
        <f>L6*(1-(Dashboard!$B$29+(Dashboard!$B$30-Dashboard!$B$29)*MIN(1,5/3)))-(L10+L12+L14)</f>
        <v/>
      </c>
      <c r="M16" s="28">
        <f>M6*(1-(Dashboard!$B$29+(Dashboard!$B$30-Dashboard!$B$29)*MIN(1,6/3)))-(M10+M12+M14)</f>
        <v/>
      </c>
      <c r="N16" s="28">
        <f>N6*(1-(Dashboard!$B$29+(Dashboard!$B$30-Dashboard!$B$29)*MIN(1,7/3)))-(N10+N12+N14)</f>
        <v/>
      </c>
      <c r="O16" s="28">
        <f>O6*(1-(Dashboard!$B$29+(Dashboard!$B$30-Dashboard!$B$29)*MIN(1,8/3)))-(O10+O12+O14)</f>
        <v/>
      </c>
      <c r="P16" s="28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G6*0.0742</f>
        <v/>
      </c>
      <c r="H24" s="32">
        <f>H6*0.0742</f>
        <v/>
      </c>
      <c r="I24" s="32">
        <f>I6*0.0742</f>
        <v/>
      </c>
      <c r="J24" s="32">
        <f>J6*0.0742</f>
        <v/>
      </c>
      <c r="K24" s="32">
        <f>K6*0.0742</f>
        <v/>
      </c>
      <c r="L24" s="32">
        <f>L6*0.0742</f>
        <v/>
      </c>
      <c r="M24" s="32">
        <f>M6*0.0742</f>
        <v/>
      </c>
      <c r="N24" s="32">
        <f>N6*0.0742</f>
        <v/>
      </c>
      <c r="O24" s="32">
        <f>O6*0.0742</f>
        <v/>
      </c>
      <c r="P24" s="32">
        <f>P6*0.0742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G6*0.0187</f>
        <v/>
      </c>
      <c r="H25" s="32">
        <f>H6*0.0179</f>
        <v/>
      </c>
      <c r="I25" s="32">
        <f>I6*0.0171</f>
        <v/>
      </c>
      <c r="J25" s="32">
        <f>J6*0.0162</f>
        <v/>
      </c>
      <c r="K25" s="32">
        <f>K6*0.0154</f>
        <v/>
      </c>
      <c r="L25" s="32">
        <f>L6*0.0146</f>
        <v/>
      </c>
      <c r="M25" s="32">
        <f>M6*0.0137</f>
        <v/>
      </c>
      <c r="N25" s="32">
        <f>N6*0.0129</f>
        <v/>
      </c>
      <c r="O25" s="32">
        <f>O6*0.0121</f>
        <v/>
      </c>
      <c r="P25" s="32">
        <f>P6*0.0112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549.098</v>
      </c>
      <c r="C3" s="18" t="n">
        <v>623.164</v>
      </c>
      <c r="D3" s="18" t="n">
        <v>726.004</v>
      </c>
      <c r="E3" s="18" t="n">
        <v>679.742</v>
      </c>
      <c r="F3" s="18" t="n">
        <v>634.473</v>
      </c>
      <c r="G3" s="18" t="n">
        <v>906.737</v>
      </c>
      <c r="H3" s="18" t="n">
        <v>945.723</v>
      </c>
      <c r="I3" s="18" t="n">
        <v>827.025</v>
      </c>
      <c r="J3" s="18" t="n">
        <v>552.095</v>
      </c>
      <c r="K3" s="18" t="n">
        <v>1415.387</v>
      </c>
      <c r="L3" s="18" t="n">
        <v>3088.166</v>
      </c>
      <c r="M3" s="18" t="n">
        <v>1936.821</v>
      </c>
      <c r="N3" s="18" t="n">
        <v>2149.727</v>
      </c>
      <c r="O3" s="18" t="n">
        <v>2355.777</v>
      </c>
      <c r="P3" s="18" t="n">
        <v>2574.019</v>
      </c>
      <c r="Q3" s="18" t="n">
        <v>2553.229</v>
      </c>
      <c r="R3" s="18" t="n">
        <v>2759.994</v>
      </c>
      <c r="S3" s="18" t="n">
        <v>2952.86</v>
      </c>
      <c r="T3" s="18" t="n">
        <v>3097.941</v>
      </c>
      <c r="U3" s="18" t="n">
        <v>2645.169</v>
      </c>
      <c r="V3" s="18" t="n">
        <v>2795.662</v>
      </c>
      <c r="W3" s="18" t="n">
        <v>3213.298</v>
      </c>
      <c r="X3" s="18" t="n">
        <v>3490.762</v>
      </c>
      <c r="Y3" s="18" t="n">
        <v>3179.668</v>
      </c>
      <c r="Z3" s="18" t="n">
        <v>3286.241</v>
      </c>
      <c r="AA3" s="18" t="n">
        <v>3566.79</v>
      </c>
      <c r="AB3" s="18" t="n">
        <v>3539.674</v>
      </c>
      <c r="AC3" s="18" t="n">
        <v>719.519436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100.784</v>
      </c>
      <c r="C5" s="18" t="n">
        <v>112.495</v>
      </c>
      <c r="D5" s="18" t="n">
        <v>128.301999</v>
      </c>
      <c r="E5" s="18" t="n">
        <v>149.942</v>
      </c>
      <c r="F5" s="18" t="n">
        <v>198.712</v>
      </c>
      <c r="G5" s="18" t="n">
        <v>208.053</v>
      </c>
      <c r="H5" s="18" t="n">
        <v>213.239</v>
      </c>
      <c r="I5" s="18" t="n">
        <v>239.67</v>
      </c>
      <c r="J5" s="18" t="n">
        <v>302.415</v>
      </c>
      <c r="K5" s="18" t="n">
        <v>525.614</v>
      </c>
      <c r="L5" s="18" t="n">
        <v>646.129</v>
      </c>
      <c r="M5" s="18" t="n">
        <v>674.3680000000001</v>
      </c>
      <c r="N5" s="18" t="n">
        <v>626.17</v>
      </c>
      <c r="O5" s="18" t="n">
        <v>671.258</v>
      </c>
      <c r="P5" s="18" t="n">
        <v>697.956</v>
      </c>
      <c r="Q5" s="18" t="n">
        <v>721.277</v>
      </c>
      <c r="R5" s="18" t="n">
        <v>685.302</v>
      </c>
      <c r="S5" s="18" t="n">
        <v>773.485</v>
      </c>
      <c r="T5" s="18" t="n">
        <v>802.694</v>
      </c>
      <c r="U5" s="18" t="n">
        <v>663.425</v>
      </c>
      <c r="V5" s="18" t="n">
        <v>697.365</v>
      </c>
      <c r="W5" s="18" t="n">
        <v>859.044</v>
      </c>
      <c r="X5" s="18" t="n">
        <v>878.783</v>
      </c>
      <c r="Y5" s="18" t="n">
        <v>785.792</v>
      </c>
      <c r="Z5" s="18" t="n">
        <v>850.39</v>
      </c>
      <c r="AA5" s="18" t="n">
        <v>817.754</v>
      </c>
      <c r="AB5" s="18" t="n">
        <v>911.495</v>
      </c>
      <c r="AC5" s="18" t="n">
        <v>1006.526681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164.641</v>
      </c>
      <c r="C9" s="18" t="n">
        <v>172.86</v>
      </c>
      <c r="D9" s="18" t="n">
        <v>181.44</v>
      </c>
      <c r="E9" s="18" t="n">
        <v>185.772</v>
      </c>
      <c r="F9" s="18" t="n">
        <v>204.592</v>
      </c>
      <c r="G9" s="18" t="n">
        <v>245.704</v>
      </c>
      <c r="H9" s="18" t="n">
        <v>233.941</v>
      </c>
      <c r="I9" s="18" t="n">
        <v>280.372</v>
      </c>
      <c r="J9" s="18" t="n">
        <v>345</v>
      </c>
      <c r="K9" s="18" t="n">
        <v>667.985</v>
      </c>
      <c r="L9" s="18" t="n">
        <v>532.528</v>
      </c>
      <c r="M9" s="18" t="n">
        <v>621.991</v>
      </c>
      <c r="N9" s="18" t="n">
        <v>607.942</v>
      </c>
      <c r="O9" s="18" t="n">
        <v>669.359</v>
      </c>
      <c r="P9" s="18" t="n">
        <v>733.306</v>
      </c>
      <c r="Q9" s="18" t="n">
        <v>687.976</v>
      </c>
      <c r="R9" s="18" t="n">
        <v>715.7910000000001</v>
      </c>
      <c r="S9" s="18" t="n">
        <v>720.771</v>
      </c>
      <c r="T9" s="18" t="n">
        <v>762.606</v>
      </c>
      <c r="U9" s="18" t="n">
        <v>657.799</v>
      </c>
      <c r="V9" s="18" t="n">
        <v>657.244</v>
      </c>
      <c r="W9" s="18" t="n">
        <v>816.486</v>
      </c>
      <c r="X9" s="18" t="n">
        <v>852.396</v>
      </c>
      <c r="Y9" s="18" t="n">
        <v>735.138</v>
      </c>
      <c r="Z9" s="18" t="n">
        <v>756.105</v>
      </c>
      <c r="AA9" s="18" t="n">
        <v>760.886</v>
      </c>
      <c r="AB9" s="18" t="n">
        <v>817.289</v>
      </c>
      <c r="AC9" s="18" t="n">
        <v>703.452856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448.314</v>
      </c>
      <c r="C11" s="18" t="n">
        <v>510.669</v>
      </c>
      <c r="D11" s="18" t="n">
        <v>597.702</v>
      </c>
      <c r="E11" s="18" t="n">
        <v>529.799999</v>
      </c>
      <c r="F11" s="18" t="n">
        <v>435.761</v>
      </c>
      <c r="G11" s="18" t="n">
        <v>698.684</v>
      </c>
      <c r="H11" s="18" t="n">
        <v>732.484</v>
      </c>
      <c r="I11" s="18" t="n">
        <v>587.355</v>
      </c>
      <c r="J11" s="18" t="n">
        <v>249.68</v>
      </c>
      <c r="K11" s="18" t="n">
        <v>889.773</v>
      </c>
      <c r="L11" s="18" t="n">
        <v>2442.037</v>
      </c>
      <c r="M11" s="18" t="n">
        <v>1262.453</v>
      </c>
      <c r="N11" s="18" t="n">
        <v>1523.557</v>
      </c>
      <c r="O11" s="18" t="n">
        <v>1684.519</v>
      </c>
      <c r="P11" s="18" t="n">
        <v>1876.063</v>
      </c>
      <c r="Q11" s="18" t="n">
        <v>1831.952</v>
      </c>
      <c r="R11" s="18" t="n">
        <v>2074.692</v>
      </c>
      <c r="S11" s="18" t="n">
        <v>2179.375</v>
      </c>
      <c r="T11" s="18" t="n">
        <v>2295.247</v>
      </c>
      <c r="U11" s="18" t="n">
        <v>1981.744</v>
      </c>
      <c r="V11" s="18" t="n">
        <v>2098.297</v>
      </c>
      <c r="W11" s="18" t="n">
        <v>2354.254</v>
      </c>
      <c r="X11" s="18" t="n">
        <v>2611.979</v>
      </c>
      <c r="Y11" s="18" t="n">
        <v>2393.876</v>
      </c>
      <c r="Z11" s="18" t="n">
        <v>2435.851</v>
      </c>
      <c r="AA11" s="18" t="n">
        <v>2749.036</v>
      </c>
      <c r="AB11" s="18" t="n">
        <v>2628.179</v>
      </c>
      <c r="AC11" s="18" t="n">
        <v>-287.007239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283.673</v>
      </c>
      <c r="C13" s="18" t="n">
        <v>337.809</v>
      </c>
      <c r="D13" s="18" t="n">
        <v>351.962</v>
      </c>
      <c r="E13" s="18" t="n">
        <v>344.028</v>
      </c>
      <c r="F13" s="18" t="n">
        <v>231.169</v>
      </c>
      <c r="G13" s="18" t="n">
        <v>452.98</v>
      </c>
      <c r="H13" s="18" t="n">
        <v>498.543</v>
      </c>
      <c r="I13" s="18" t="n">
        <v>306.983</v>
      </c>
      <c r="J13" s="18" t="n">
        <v>-95.31999999999999</v>
      </c>
      <c r="K13" s="18" t="n">
        <v>221.788</v>
      </c>
      <c r="L13" s="18" t="n">
        <v>1796.339</v>
      </c>
      <c r="M13" s="18" t="n">
        <v>613.111</v>
      </c>
      <c r="N13" s="18" t="n">
        <v>915.615</v>
      </c>
      <c r="O13" s="18" t="n">
        <v>944.922</v>
      </c>
      <c r="P13" s="18" t="n">
        <v>1073.332</v>
      </c>
      <c r="Q13" s="18" t="n">
        <v>1073.858</v>
      </c>
      <c r="R13" s="18" t="n">
        <v>1308.494</v>
      </c>
      <c r="S13" s="18" t="n">
        <v>1397.484</v>
      </c>
      <c r="T13" s="18" t="n">
        <v>1463.047</v>
      </c>
      <c r="U13" s="18" t="n">
        <v>1298.15</v>
      </c>
      <c r="V13" s="18" t="n">
        <v>1376.692</v>
      </c>
      <c r="W13" s="18" t="n">
        <v>1469.566</v>
      </c>
      <c r="X13" s="18" t="n">
        <v>1685.27</v>
      </c>
      <c r="Y13" s="18" t="n">
        <v>1571.61</v>
      </c>
      <c r="Z13" s="18" t="n">
        <v>1582.869</v>
      </c>
      <c r="AA13" s="18" t="n">
        <v>1988.15</v>
      </c>
      <c r="AB13" s="18" t="n">
        <v>1810.89</v>
      </c>
      <c r="AC13" s="18" t="n">
        <v>-990.460101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171.946</v>
      </c>
      <c r="C15" s="18" t="n">
        <v>191.189</v>
      </c>
      <c r="D15" s="18" t="n">
        <v>262.947999</v>
      </c>
      <c r="E15" s="18" t="n">
        <v>158.806</v>
      </c>
      <c r="F15" s="18" t="n">
        <v>126.594</v>
      </c>
      <c r="G15" s="18" t="n">
        <v>254.901</v>
      </c>
      <c r="H15" s="18" t="n">
        <v>313.77</v>
      </c>
      <c r="I15" s="18" t="n">
        <v>158.336</v>
      </c>
      <c r="J15" s="18" t="n">
        <v>529.176</v>
      </c>
      <c r="K15" s="18" t="n">
        <v>-1251.707</v>
      </c>
      <c r="L15" s="18" t="n">
        <v>-794.6180000000001</v>
      </c>
      <c r="M15" s="18" t="n">
        <v>-313.224</v>
      </c>
      <c r="N15" s="18" t="n">
        <v>-487.39</v>
      </c>
      <c r="O15" s="18" t="n">
        <v>202.35</v>
      </c>
      <c r="P15" s="18" t="n">
        <v>78.84699999999999</v>
      </c>
      <c r="Q15" s="18" t="n">
        <v>226.639</v>
      </c>
      <c r="R15" s="18" t="n">
        <v>305.369</v>
      </c>
      <c r="S15" s="18" t="n">
        <v>408.754</v>
      </c>
      <c r="T15" s="18" t="n">
        <v>651.303</v>
      </c>
      <c r="U15" s="18" t="n">
        <v>373.595</v>
      </c>
      <c r="V15" s="18" t="n">
        <v>498.301</v>
      </c>
      <c r="W15" s="18" t="n">
        <v>539.692</v>
      </c>
      <c r="X15" s="18" t="n">
        <v>-2924.009</v>
      </c>
      <c r="Y15" s="18" t="n">
        <v>516.746999</v>
      </c>
      <c r="Z15" s="18" t="n">
        <v>602.979</v>
      </c>
      <c r="AA15" s="18" t="n">
        <v>660.074</v>
      </c>
      <c r="AB15" s="18" t="n">
        <v>499.961</v>
      </c>
      <c r="AC15" s="18" t="n">
        <v>1674.587535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282.382016</v>
      </c>
      <c r="C17" s="18" t="n">
        <v>282.170319</v>
      </c>
      <c r="D17" s="18" t="n">
        <v>277.353096</v>
      </c>
      <c r="E17" s="18" t="n">
        <v>281.76904</v>
      </c>
      <c r="F17" s="18" t="n">
        <v>282.005405</v>
      </c>
      <c r="G17" s="18" t="n">
        <v>297.225058</v>
      </c>
      <c r="H17" s="18" t="n">
        <v>292.831509</v>
      </c>
      <c r="I17" s="18" t="n">
        <v>314.785</v>
      </c>
      <c r="J17" s="18" t="n">
        <v>314.65156</v>
      </c>
      <c r="K17" s="18" t="n">
        <v>311.160494</v>
      </c>
      <c r="L17" s="18" t="n">
        <v>309.607225</v>
      </c>
      <c r="M17" s="18" t="n">
        <v>310.309051</v>
      </c>
      <c r="N17" s="18" t="n">
        <v>311.240266</v>
      </c>
      <c r="O17" s="18" t="n">
        <v>303.230769</v>
      </c>
      <c r="P17" s="18" t="n">
        <v>312.639827</v>
      </c>
      <c r="Q17" s="18" t="n">
        <v>338.368129</v>
      </c>
      <c r="R17" s="18" t="n">
        <v>340.874065</v>
      </c>
      <c r="S17" s="18" t="n">
        <v>326.88891</v>
      </c>
      <c r="T17" s="18" t="n">
        <v>318.4</v>
      </c>
      <c r="U17" s="18" t="n">
        <v>316.091433</v>
      </c>
      <c r="V17" s="18" t="n">
        <v>314.811241</v>
      </c>
      <c r="W17" s="18" t="n">
        <v>303.571205</v>
      </c>
      <c r="X17" s="18" t="n">
        <v>292.765531</v>
      </c>
      <c r="Y17" s="18" t="n">
        <v>286.082045</v>
      </c>
      <c r="Z17" s="18" t="n">
        <v>275.904799</v>
      </c>
      <c r="AA17" s="18" t="n">
        <v>271.63539</v>
      </c>
      <c r="AB17" s="18" t="n">
        <v>273.485784</v>
      </c>
      <c r="AC17" s="18" t="n">
        <v>253.432916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2865.479</v>
      </c>
      <c r="C19" s="18" t="n">
        <v>3074.548</v>
      </c>
      <c r="D19" s="18" t="n">
        <v>970.833271</v>
      </c>
      <c r="E19" s="18" t="n">
        <v>756.87271</v>
      </c>
      <c r="F19" s="18" t="n">
        <v>3565.454</v>
      </c>
      <c r="G19" s="18" t="n">
        <v>10377.334</v>
      </c>
      <c r="H19" s="18" t="n">
        <v>11289.955</v>
      </c>
      <c r="I19" s="18" t="n">
        <v>10537.252</v>
      </c>
      <c r="J19" s="18" t="n">
        <v>10872.217</v>
      </c>
      <c r="K19" s="18" t="n">
        <v>5287.888</v>
      </c>
      <c r="L19" s="18" t="n">
        <v>8835.156000000001</v>
      </c>
      <c r="M19" s="18" t="n">
        <v>6693.655</v>
      </c>
      <c r="N19" s="18" t="n">
        <v>6274.885</v>
      </c>
      <c r="O19" s="18" t="n">
        <v>5059.238</v>
      </c>
      <c r="P19" s="18" t="n">
        <v>8927.246999999999</v>
      </c>
      <c r="Q19" s="18" t="n">
        <v>9139.453</v>
      </c>
      <c r="R19" s="18" t="n">
        <v>9795.459000000001</v>
      </c>
      <c r="S19" s="18" t="n">
        <v>10312.204</v>
      </c>
      <c r="T19" s="18" t="n">
        <v>12055.81</v>
      </c>
      <c r="U19" s="18" t="n">
        <v>12072.268</v>
      </c>
      <c r="V19" s="18" t="n">
        <v>11817.625</v>
      </c>
      <c r="W19" s="18" t="n">
        <v>11945.423</v>
      </c>
      <c r="X19" s="18" t="n">
        <v>14551.41</v>
      </c>
      <c r="Y19" s="18" t="n">
        <v>7935.55</v>
      </c>
      <c r="Z19" s="18" t="n">
        <v>7048.158</v>
      </c>
      <c r="AA19" s="18" t="n">
        <v>7525.93</v>
      </c>
      <c r="AB19" s="18" t="n">
        <v>5937.858</v>
      </c>
      <c r="AC19" s="18" t="n">
        <v>10084.768906</v>
      </c>
    </row>
    <row r="20">
      <c r="A20" s="4" t="inlineStr">
        <is>
          <t>Total Current Assets</t>
        </is>
      </c>
      <c r="B20" s="18" t="n">
        <v>15576.454</v>
      </c>
      <c r="C20" s="18" t="n">
        <v>15889.167</v>
      </c>
      <c r="D20" s="18" t="n">
        <v>4575.2599</v>
      </c>
      <c r="E20" s="18" t="n">
        <v>3343.99703</v>
      </c>
      <c r="F20" s="18" t="n">
        <v>17699.344</v>
      </c>
      <c r="G20" s="18" t="n">
        <v>28346.795</v>
      </c>
      <c r="H20" s="18" t="n">
        <v>29274.824</v>
      </c>
      <c r="I20" s="18" t="n">
        <v>28809.534</v>
      </c>
      <c r="J20" s="18" t="n">
        <v>30555.569</v>
      </c>
      <c r="K20" s="18" t="n">
        <v>27352.196</v>
      </c>
      <c r="L20" s="18" t="n">
        <v>29944.452</v>
      </c>
      <c r="M20" s="18" t="n">
        <v>28916.556</v>
      </c>
      <c r="N20" s="18" t="n">
        <v>27935.9</v>
      </c>
      <c r="O20" s="18" t="n">
        <v>27999.731</v>
      </c>
      <c r="P20" s="18" t="n">
        <v>30659.203</v>
      </c>
      <c r="Q20" s="18" t="n">
        <v>29067.489</v>
      </c>
      <c r="R20" s="18" t="n">
        <v>29390.1</v>
      </c>
      <c r="S20" s="18" t="n">
        <v>32423.008</v>
      </c>
      <c r="T20" s="18" t="n">
        <v>37152.601</v>
      </c>
      <c r="U20" s="18" t="n">
        <v>39937.726</v>
      </c>
      <c r="V20" s="18" t="n">
        <v>40846.597</v>
      </c>
      <c r="W20" s="18" t="n">
        <v>39990.148</v>
      </c>
      <c r="X20" s="18" t="n">
        <v>45965.024</v>
      </c>
      <c r="Y20" s="18" t="n">
        <v>44925.627</v>
      </c>
      <c r="Z20" s="18" t="n">
        <v>49682.386</v>
      </c>
      <c r="AA20" s="18" t="n">
        <v>52923.122</v>
      </c>
      <c r="AB20" s="18" t="n">
        <v>52397.924</v>
      </c>
      <c r="AC20" s="18" t="n">
        <v>51737.817822</v>
      </c>
    </row>
    <row r="21">
      <c r="A21" s="4" t="inlineStr">
        <is>
          <t>PP&amp;E (net)</t>
        </is>
      </c>
      <c r="B21" s="18" t="n">
        <v>375.782</v>
      </c>
      <c r="C21" s="18" t="n">
        <v>478.896</v>
      </c>
      <c r="D21" s="18" t="n">
        <v>136.377805</v>
      </c>
      <c r="E21" s="18" t="n">
        <v>114.632707</v>
      </c>
      <c r="F21" s="18" t="n">
        <v>632.749</v>
      </c>
      <c r="G21" s="18" t="n">
        <v>687.516</v>
      </c>
      <c r="H21" s="18" t="n">
        <v>717.234</v>
      </c>
      <c r="I21" s="18" t="n">
        <v>943.152</v>
      </c>
      <c r="J21" s="18" t="n">
        <v>1015.285</v>
      </c>
      <c r="K21" s="18" t="n">
        <v>1336.932</v>
      </c>
      <c r="L21" s="18" t="n">
        <v>1569.52</v>
      </c>
      <c r="M21" s="18" t="n">
        <v>1661.959</v>
      </c>
      <c r="N21" s="18" t="n">
        <v>1711.479</v>
      </c>
      <c r="O21" s="18" t="n">
        <v>1669.158</v>
      </c>
      <c r="P21" s="18" t="n">
        <v>1641.178</v>
      </c>
      <c r="Q21" s="18" t="n">
        <v>1790.653</v>
      </c>
      <c r="R21" s="18" t="n">
        <v>1700.423</v>
      </c>
      <c r="S21" s="18" t="n">
        <v>1655.857</v>
      </c>
      <c r="T21" s="18" t="n">
        <v>1661.897</v>
      </c>
      <c r="U21" s="18" t="n">
        <v>1698.39</v>
      </c>
      <c r="V21" s="18" t="n">
        <v>1728.204</v>
      </c>
      <c r="W21" s="18" t="n">
        <v>1760.401</v>
      </c>
      <c r="X21" s="18" t="n">
        <v>1833.997</v>
      </c>
      <c r="Y21" s="18" t="n">
        <v>1880.315</v>
      </c>
      <c r="Z21" s="18" t="n">
        <v>1823.349</v>
      </c>
      <c r="AA21" s="18" t="n">
        <v>1744.143</v>
      </c>
      <c r="AB21" s="18" t="n">
        <v>1724.64</v>
      </c>
      <c r="AC21" s="18" t="n">
        <v>1720.692703</v>
      </c>
    </row>
    <row r="22">
      <c r="A22" s="4" t="inlineStr">
        <is>
          <t>Total Assets</t>
        </is>
      </c>
      <c r="B22" s="18" t="n">
        <v>16575.709</v>
      </c>
      <c r="C22" s="18" t="n">
        <v>17016.73</v>
      </c>
      <c r="D22" s="18" t="n">
        <v>4873.778556</v>
      </c>
      <c r="E22" s="18" t="n">
        <v>3590.305016</v>
      </c>
      <c r="F22" s="18" t="n">
        <v>19260.218</v>
      </c>
      <c r="G22" s="18" t="n">
        <v>30087.437</v>
      </c>
      <c r="H22" s="18" t="n">
        <v>31748.664</v>
      </c>
      <c r="I22" s="18" t="n">
        <v>31672.097</v>
      </c>
      <c r="J22" s="18" t="n">
        <v>36817.523</v>
      </c>
      <c r="K22" s="18" t="n">
        <v>39711.298</v>
      </c>
      <c r="L22" s="18" t="n">
        <v>42097.012</v>
      </c>
      <c r="M22" s="18" t="n">
        <v>40854.634</v>
      </c>
      <c r="N22" s="18" t="n">
        <v>39512.675</v>
      </c>
      <c r="O22" s="18" t="n">
        <v>39729.312</v>
      </c>
      <c r="P22" s="18" t="n">
        <v>42245.44</v>
      </c>
      <c r="Q22" s="18" t="n">
        <v>40511.358</v>
      </c>
      <c r="R22" s="18" t="n">
        <v>40750.701</v>
      </c>
      <c r="S22" s="18" t="n">
        <v>43833.413</v>
      </c>
      <c r="T22" s="18" t="n">
        <v>48693.561</v>
      </c>
      <c r="U22" s="18" t="n">
        <v>51612.385</v>
      </c>
      <c r="V22" s="18" t="n">
        <v>52699.743</v>
      </c>
      <c r="W22" s="18" t="n">
        <v>51925.684</v>
      </c>
      <c r="X22" s="18" t="n">
        <v>54813.463</v>
      </c>
      <c r="Y22" s="18" t="n">
        <v>53933.91</v>
      </c>
      <c r="Z22" s="18" t="n">
        <v>55155.724</v>
      </c>
      <c r="AA22" s="18" t="n">
        <v>58596.986</v>
      </c>
      <c r="AB22" s="18" t="n">
        <v>62265.632</v>
      </c>
      <c r="AC22" s="18" t="n">
        <v>59133.845106</v>
      </c>
    </row>
    <row r="23">
      <c r="A23" s="4" t="inlineStr">
        <is>
          <t>Total Current Liabilities</t>
        </is>
      </c>
      <c r="B23" s="18" t="n">
        <v>8206.063</v>
      </c>
      <c r="C23" s="18" t="n">
        <v>8767.725</v>
      </c>
      <c r="D23" s="18" t="n">
        <v>2951.382653</v>
      </c>
      <c r="E23" s="18" t="n">
        <v>1972.308834</v>
      </c>
      <c r="F23" s="18" t="n">
        <v>11286.366</v>
      </c>
      <c r="G23" s="18" t="n">
        <v>12196.255</v>
      </c>
      <c r="H23" s="18" t="n">
        <v>13380.381</v>
      </c>
      <c r="I23" s="18" t="n">
        <v>12921.325</v>
      </c>
      <c r="J23" s="18" t="n">
        <v>15698.794</v>
      </c>
      <c r="K23" s="18" t="n">
        <v>19789.133</v>
      </c>
      <c r="L23" s="18" t="n">
        <v>22789.845</v>
      </c>
      <c r="M23" s="18" t="n">
        <v>23281.156</v>
      </c>
      <c r="N23" s="18" t="n">
        <v>22072.07</v>
      </c>
      <c r="O23" s="18" t="n">
        <v>22070.19</v>
      </c>
      <c r="P23" s="18" t="n">
        <v>25174.139</v>
      </c>
      <c r="Q23" s="18" t="n">
        <v>23049.212</v>
      </c>
      <c r="R23" s="18" t="n">
        <v>23107.207</v>
      </c>
      <c r="S23" s="18" t="n">
        <v>25527.795</v>
      </c>
      <c r="T23" s="18" t="n">
        <v>28831.133</v>
      </c>
      <c r="U23" s="18" t="n">
        <v>29282.276</v>
      </c>
      <c r="V23" s="18" t="n">
        <v>30048.199</v>
      </c>
      <c r="W23" s="18" t="n">
        <v>28072.729</v>
      </c>
      <c r="X23" s="18" t="n">
        <v>33533.813</v>
      </c>
      <c r="Y23" s="18" t="n">
        <v>32319.832</v>
      </c>
      <c r="Z23" s="18" t="n">
        <v>33682.079</v>
      </c>
      <c r="AA23" s="18" t="n">
        <v>37118.081</v>
      </c>
      <c r="AB23" s="18" t="n">
        <v>40390.771</v>
      </c>
      <c r="AC23" s="18" t="n">
        <v>38760.364815</v>
      </c>
    </row>
    <row r="24">
      <c r="A24" s="4" t="inlineStr">
        <is>
          <t>Long-term Debt</t>
        </is>
      </c>
      <c r="B24" s="18" t="n">
        <v>2831.337</v>
      </c>
      <c r="C24" s="18" t="n">
        <v>2504.453</v>
      </c>
      <c r="D24" s="18" t="n">
        <v>402.714594</v>
      </c>
      <c r="E24" s="18" t="n">
        <v>389.24999</v>
      </c>
      <c r="F24" s="18" t="n">
        <v>1102.504</v>
      </c>
      <c r="G24" s="18" t="n">
        <v>2836.855</v>
      </c>
      <c r="H24" s="18" t="n">
        <v>2812.787</v>
      </c>
      <c r="I24" s="18" t="n">
        <v>2703.984</v>
      </c>
      <c r="J24" s="18" t="n">
        <v>5199.232</v>
      </c>
      <c r="K24" s="18" t="n">
        <v>3993.45</v>
      </c>
      <c r="L24" s="18" t="n">
        <v>4281.904</v>
      </c>
      <c r="M24" s="18" t="n">
        <v>2903.973</v>
      </c>
      <c r="N24" s="18" t="n">
        <v>3141.774</v>
      </c>
      <c r="O24" s="18" t="n">
        <v>3247.24</v>
      </c>
      <c r="P24" s="18" t="n">
        <v>2583.906</v>
      </c>
      <c r="Q24" s="18" t="n">
        <v>2659.778</v>
      </c>
      <c r="R24" s="18" t="n">
        <v>2527.501</v>
      </c>
      <c r="S24" s="18" t="n">
        <v>2729.037</v>
      </c>
      <c r="T24" s="18" t="n">
        <v>3495.759</v>
      </c>
      <c r="U24" s="18" t="n">
        <v>6054.799</v>
      </c>
      <c r="V24" s="18" t="n">
        <v>6228.696</v>
      </c>
      <c r="W24" s="18" t="n">
        <v>7218.627</v>
      </c>
      <c r="X24" s="18" t="n">
        <v>7728.994</v>
      </c>
      <c r="Y24" s="18" t="n">
        <v>8251.459000000001</v>
      </c>
      <c r="Z24" s="18" t="n">
        <v>8840.377</v>
      </c>
      <c r="AA24" s="18" t="n">
        <v>8523.554</v>
      </c>
      <c r="AB24" s="18" t="n">
        <v>8791.602999999999</v>
      </c>
      <c r="AC24" s="18" t="n">
        <v>6910.274284</v>
      </c>
    </row>
    <row r="25">
      <c r="A25" s="4" t="inlineStr">
        <is>
          <t>Total Equity</t>
        </is>
      </c>
      <c r="B25" s="18" t="n">
        <v>5433.998</v>
      </c>
      <c r="C25" s="18" t="n">
        <v>5635.509</v>
      </c>
      <c r="D25" s="18" t="n">
        <v>1484.669251</v>
      </c>
      <c r="E25" s="18" t="n">
        <v>1201.015115</v>
      </c>
      <c r="F25" s="18" t="n">
        <v>6386.591</v>
      </c>
      <c r="G25" s="18" t="n">
        <v>14508.82</v>
      </c>
      <c r="H25" s="18" t="n">
        <v>14853.462</v>
      </c>
      <c r="I25" s="18" t="n">
        <v>15333.597</v>
      </c>
      <c r="J25" s="18" t="n">
        <v>15070.266</v>
      </c>
      <c r="K25" s="18" t="n">
        <v>14434.337</v>
      </c>
      <c r="L25" s="18" t="n">
        <v>13536.446</v>
      </c>
      <c r="M25" s="18" t="n">
        <v>13268.776</v>
      </c>
      <c r="N25" s="18" t="n">
        <v>12570.029999</v>
      </c>
      <c r="O25" s="18" t="n">
        <v>12682.783</v>
      </c>
      <c r="P25" s="18" t="n">
        <v>12893.906</v>
      </c>
      <c r="Q25" s="18" t="n">
        <v>13334.206</v>
      </c>
      <c r="R25" s="18" t="n">
        <v>13697.924</v>
      </c>
      <c r="S25" s="18" t="n">
        <v>14113.335</v>
      </c>
      <c r="T25" s="18" t="n">
        <v>14622.264</v>
      </c>
      <c r="U25" s="18" t="n">
        <v>14951.928</v>
      </c>
      <c r="V25" s="18" t="n">
        <v>15163.623</v>
      </c>
      <c r="W25" s="18" t="n">
        <v>15275.087</v>
      </c>
      <c r="X25" s="18" t="n">
        <v>11775.984</v>
      </c>
      <c r="Y25" s="18" t="n">
        <v>11416.293</v>
      </c>
      <c r="Z25" s="18" t="n">
        <v>11566.599</v>
      </c>
      <c r="AA25" s="18" t="n">
        <v>11747.427</v>
      </c>
      <c r="AB25" s="18" t="n">
        <v>11782.106</v>
      </c>
      <c r="AC25" s="18" t="n">
        <v>12091.780151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34.126</v>
      </c>
      <c r="C27" s="18" t="n">
        <v>43.855</v>
      </c>
      <c r="D27" s="18" t="n">
        <v>55.692</v>
      </c>
      <c r="E27" s="18" t="n">
        <v>60.194</v>
      </c>
      <c r="F27" s="18" t="n">
        <v>63.2</v>
      </c>
      <c r="G27" s="18" t="n">
        <v>61.6</v>
      </c>
      <c r="H27" s="18" t="n">
        <v>71.354</v>
      </c>
      <c r="I27" s="18" t="n">
        <v>84.44199999999999</v>
      </c>
      <c r="J27" s="18" t="n">
        <v>97.40000000000001</v>
      </c>
      <c r="K27" s="18" t="n">
        <v>213.977</v>
      </c>
      <c r="L27" s="18" t="n">
        <v>111.579</v>
      </c>
      <c r="M27" s="18" t="n">
        <v>184.862</v>
      </c>
      <c r="N27" s="18" t="n">
        <v>196.881</v>
      </c>
      <c r="O27" s="18" t="n">
        <v>203.825</v>
      </c>
      <c r="P27" s="18" t="n">
        <v>214.8</v>
      </c>
      <c r="Q27" s="18" t="n">
        <v>212.494</v>
      </c>
      <c r="R27" s="18" t="n">
        <v>221.688</v>
      </c>
      <c r="S27" s="18" t="n">
        <v>222.956</v>
      </c>
      <c r="T27" s="18" t="n">
        <v>221.043</v>
      </c>
      <c r="U27" s="18" t="n">
        <v>217.335</v>
      </c>
      <c r="V27" s="18" t="n">
        <v>224.224</v>
      </c>
      <c r="W27" s="18" t="n">
        <v>263.833</v>
      </c>
      <c r="X27" s="18" t="n">
        <v>244.002</v>
      </c>
      <c r="Y27" s="18" t="n">
        <v>258.399</v>
      </c>
      <c r="Z27" s="18" t="n">
        <v>270.888</v>
      </c>
      <c r="AA27" s="18" t="n">
        <v>232.02</v>
      </c>
      <c r="AB27" s="18" t="n">
        <v>245.205695</v>
      </c>
      <c r="AC27" s="18" t="n">
        <v>233.433984</v>
      </c>
    </row>
    <row r="28">
      <c r="A28" s="4" t="inlineStr">
        <is>
          <t>Stock-based Compensation</t>
        </is>
      </c>
      <c r="B28" s="18" t="n">
        <v>8.881</v>
      </c>
      <c r="C28" s="18" t="n">
        <v>6.129</v>
      </c>
      <c r="D28" s="18" t="n">
        <v>7.645</v>
      </c>
      <c r="E28" s="18" t="n">
        <v>7.085</v>
      </c>
      <c r="F28" s="18" t="n">
        <v>0.6</v>
      </c>
      <c r="G28" s="18" t="n">
        <v>12.1</v>
      </c>
      <c r="H28" s="18" t="n">
        <v>11.686</v>
      </c>
      <c r="I28" s="18" t="n">
        <v>22.148</v>
      </c>
      <c r="J28" s="18" t="n">
        <v>29</v>
      </c>
      <c r="K28" s="18" t="n">
        <v>40.737</v>
      </c>
      <c r="L28" s="18" t="n">
        <v>41.234</v>
      </c>
      <c r="M28" s="18" t="n">
        <v>37.858</v>
      </c>
      <c r="N28" s="18" t="n">
        <v>39.107</v>
      </c>
      <c r="O28" s="18" t="n">
        <v>70.238</v>
      </c>
      <c r="P28" s="18" t="n">
        <v>59.728</v>
      </c>
      <c r="Q28" s="18" t="n">
        <v>70.11799999999999</v>
      </c>
      <c r="R28" s="18" t="n">
        <v>50.407</v>
      </c>
      <c r="S28" s="18" t="n">
        <v>61.12</v>
      </c>
      <c r="T28" s="18" t="n">
        <v>69.59399999999999</v>
      </c>
      <c r="U28" s="18" t="n">
        <v>25.783</v>
      </c>
      <c r="V28" s="18" t="n">
        <v>64.373</v>
      </c>
      <c r="W28" s="18" t="n">
        <v>68.202</v>
      </c>
      <c r="X28" s="18" t="n">
        <v>74.313</v>
      </c>
      <c r="Y28" s="18" t="n">
        <v>87.129</v>
      </c>
      <c r="Z28" s="18" t="n">
        <v>96.876</v>
      </c>
      <c r="AA28" s="18" t="n">
        <v>70.11199999999999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-2372.248</v>
      </c>
      <c r="C29" s="18" t="n">
        <v>-359.189</v>
      </c>
      <c r="D29" s="18" t="n">
        <v>-1199.609</v>
      </c>
      <c r="E29" s="18" t="n">
        <v>-175.698</v>
      </c>
      <c r="F29" s="18" t="n">
        <v>653.3</v>
      </c>
      <c r="G29" s="18" t="n">
        <v>-1953.6</v>
      </c>
      <c r="H29" s="18" t="n">
        <v>-296.005</v>
      </c>
      <c r="I29" s="18" t="n">
        <v>-583.553</v>
      </c>
      <c r="J29" s="18" t="n">
        <v>700.3</v>
      </c>
      <c r="K29" s="18" t="n">
        <v>1141.084</v>
      </c>
      <c r="L29" s="18" t="n">
        <v>54.88</v>
      </c>
      <c r="M29" s="18" t="n">
        <v>144.173</v>
      </c>
      <c r="N29" s="18" t="n">
        <v>195.56</v>
      </c>
      <c r="O29" s="18" t="n">
        <v>-1397.769</v>
      </c>
      <c r="P29" s="18" t="n">
        <v>-492.2</v>
      </c>
      <c r="Q29" s="18" t="n">
        <v>190.669</v>
      </c>
      <c r="R29" s="18" t="n">
        <v>-13.866</v>
      </c>
      <c r="S29" s="18" t="n">
        <v>-1280.387</v>
      </c>
      <c r="T29" s="18" t="n">
        <v>-2118.744</v>
      </c>
      <c r="U29" s="18" t="n">
        <v>-4065.416</v>
      </c>
      <c r="V29" s="18" t="n">
        <v>-2232.327</v>
      </c>
      <c r="W29" s="18" t="n">
        <v>-2242.826</v>
      </c>
      <c r="X29" s="18" t="n">
        <v>-2341.01</v>
      </c>
      <c r="Y29" s="18" t="n">
        <v>-1732.108</v>
      </c>
      <c r="Z29" s="18" t="n">
        <v>-2360.8</v>
      </c>
      <c r="AA29" s="18" t="n">
        <v>-3990.258</v>
      </c>
      <c r="AB29" s="18" t="n">
        <v>-2561.612168</v>
      </c>
      <c r="AC29" s="18" t="n">
        <v>684.781944</v>
      </c>
    </row>
    <row r="30">
      <c r="A30" s="4" t="inlineStr">
        <is>
          <t>Operating Cash Flow</t>
        </is>
      </c>
      <c r="B30" s="18" t="n">
        <v>-1883.634</v>
      </c>
      <c r="C30" s="18" t="n">
        <v>190.191</v>
      </c>
      <c r="D30" s="18" t="n">
        <v>-663.491</v>
      </c>
      <c r="E30" s="18" t="n">
        <v>362.456</v>
      </c>
      <c r="F30" s="18" t="n">
        <v>1121.3</v>
      </c>
      <c r="G30" s="18" t="n">
        <v>-1669.9</v>
      </c>
      <c r="H30" s="18" t="n">
        <v>242.638</v>
      </c>
      <c r="I30" s="18" t="n">
        <v>-89.161</v>
      </c>
      <c r="J30" s="18" t="n">
        <v>1322.2</v>
      </c>
      <c r="K30" s="18" t="n">
        <v>1778.87</v>
      </c>
      <c r="L30" s="18" t="n">
        <v>594.986</v>
      </c>
      <c r="M30" s="18" t="n">
        <v>795.167</v>
      </c>
      <c r="N30" s="18" t="n">
        <v>714.6079999999999</v>
      </c>
      <c r="O30" s="18" t="n">
        <v>-169.133</v>
      </c>
      <c r="P30" s="18" t="n">
        <v>343</v>
      </c>
      <c r="Q30" s="18" t="n">
        <v>1168.396</v>
      </c>
      <c r="R30" s="18" t="n">
        <v>832.503</v>
      </c>
      <c r="S30" s="18" t="n">
        <v>63.429</v>
      </c>
      <c r="T30" s="18" t="n">
        <v>-416.62</v>
      </c>
      <c r="U30" s="18" t="n">
        <v>-2473.058</v>
      </c>
      <c r="V30" s="18" t="n">
        <v>-716.071</v>
      </c>
      <c r="W30" s="18" t="n">
        <v>-131.463</v>
      </c>
      <c r="X30" s="18" t="n">
        <v>-300.79</v>
      </c>
      <c r="Y30" s="18" t="n">
        <v>624.331</v>
      </c>
      <c r="Z30" s="18" t="n">
        <v>387.599</v>
      </c>
      <c r="AA30" s="18" t="n">
        <v>-1045.515</v>
      </c>
      <c r="AB30" s="18" t="n">
        <v>720.612707</v>
      </c>
      <c r="AC30" s="18" t="n">
        <v>3280.749079</v>
      </c>
    </row>
    <row r="31">
      <c r="A31" s="4" t="inlineStr">
        <is>
          <t>Capex</t>
        </is>
      </c>
      <c r="B31" s="18" t="n">
        <v>-80.05800000000001</v>
      </c>
      <c r="C31" s="18" t="n">
        <v>-215.183</v>
      </c>
      <c r="D31" s="18" t="n">
        <v>-38.078</v>
      </c>
      <c r="E31" s="18" t="n">
        <v>-112.178</v>
      </c>
      <c r="F31" s="18" t="n">
        <v>-111.3</v>
      </c>
      <c r="G31" s="18" t="n">
        <v>-181.9</v>
      </c>
      <c r="H31" s="18" t="n">
        <v>-49.712</v>
      </c>
      <c r="I31" s="18" t="n">
        <v>-376.539</v>
      </c>
      <c r="J31" s="18" t="n">
        <v>-224.5</v>
      </c>
      <c r="K31" s="18" t="n">
        <v>-87.608</v>
      </c>
      <c r="L31" s="18" t="n">
        <v>-547.711</v>
      </c>
      <c r="M31" s="18" t="n">
        <v>-241.848</v>
      </c>
      <c r="N31" s="18" t="n">
        <v>-216.822</v>
      </c>
      <c r="O31" s="18" t="n">
        <v>-47.03</v>
      </c>
      <c r="P31" s="18" t="n">
        <v>-155.3</v>
      </c>
      <c r="Q31" s="18" t="n">
        <v>-416.39</v>
      </c>
      <c r="R31" s="18" t="n">
        <v>-332.193</v>
      </c>
      <c r="S31" s="18" t="n">
        <v>-176.391</v>
      </c>
      <c r="T31" s="18" t="n">
        <v>-243.042</v>
      </c>
      <c r="U31" s="18" t="n">
        <v>-306.649</v>
      </c>
      <c r="V31" s="18" t="n">
        <v>-344.608</v>
      </c>
      <c r="W31" s="18" t="n">
        <v>-298.038</v>
      </c>
      <c r="X31" s="18" t="n">
        <v>-322.465</v>
      </c>
      <c r="Y31" s="18" t="n">
        <v>-287.515</v>
      </c>
      <c r="Z31" s="18" t="n">
        <v>-318.97</v>
      </c>
      <c r="AA31" s="18" t="n">
        <v>-273.798</v>
      </c>
      <c r="AB31" s="18" t="n">
        <v>-167.339202</v>
      </c>
      <c r="AC31" s="18" t="n">
        <v>-180.763495</v>
      </c>
    </row>
    <row r="32">
      <c r="A32" s="4" t="inlineStr">
        <is>
          <t>Free Cash Flow</t>
        </is>
      </c>
      <c r="B32" s="18" t="n">
        <v>-1963.692</v>
      </c>
      <c r="C32" s="18" t="n">
        <v>-24.992</v>
      </c>
      <c r="D32" s="18" t="n">
        <v>-701.569</v>
      </c>
      <c r="E32" s="18" t="n">
        <v>250.278</v>
      </c>
      <c r="F32" s="18" t="n">
        <v>1010</v>
      </c>
      <c r="G32" s="18" t="n">
        <v>-1851.8</v>
      </c>
      <c r="H32" s="18" t="n">
        <v>192.926</v>
      </c>
      <c r="I32" s="18" t="n">
        <v>-465.7</v>
      </c>
      <c r="J32" s="18" t="n">
        <v>1097.7</v>
      </c>
      <c r="K32" s="18" t="n">
        <v>1691.262</v>
      </c>
      <c r="L32" s="18" t="n">
        <v>47.275</v>
      </c>
      <c r="M32" s="18" t="n">
        <v>553.319</v>
      </c>
      <c r="N32" s="18" t="n">
        <v>497.786</v>
      </c>
      <c r="O32" s="18" t="n">
        <v>-216.163</v>
      </c>
      <c r="P32" s="18" t="n">
        <v>187.7</v>
      </c>
      <c r="Q32" s="18" t="n">
        <v>752.006</v>
      </c>
      <c r="R32" s="18" t="n">
        <v>500.31</v>
      </c>
      <c r="S32" s="18" t="n">
        <v>-112.962</v>
      </c>
      <c r="T32" s="18" t="n">
        <v>-659.662</v>
      </c>
      <c r="U32" s="18" t="n">
        <v>-2779.707</v>
      </c>
      <c r="V32" s="18" t="n">
        <v>-1060.679</v>
      </c>
      <c r="W32" s="18" t="n">
        <v>-429.501</v>
      </c>
      <c r="X32" s="18" t="n">
        <v>-623.255</v>
      </c>
      <c r="Y32" s="18" t="n">
        <v>336.816</v>
      </c>
      <c r="Z32" s="18" t="n">
        <v>68.629</v>
      </c>
      <c r="AA32" s="18" t="n">
        <v>-1319.313</v>
      </c>
      <c r="AB32" s="18" t="n">
        <v>553.273504</v>
      </c>
      <c r="AC32" s="18" t="n">
        <v>3099.985584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15431.932986</v>
      </c>
      <c r="C4" s="18" t="n">
        <v>16225.02186</v>
      </c>
      <c r="D4" s="18" t="n">
        <v>16567.353997</v>
      </c>
      <c r="E4" s="18" t="n">
        <v>14320.559913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7899.489288</v>
      </c>
      <c r="C8" s="18" t="n">
        <v>8305.465458999999</v>
      </c>
      <c r="D8" s="18" t="n">
        <v>8480.70268</v>
      </c>
      <c r="E8" s="18" t="n">
        <v>7330.585853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7488.572814</v>
      </c>
      <c r="C12" s="18" t="n">
        <v>7873.430874</v>
      </c>
      <c r="D12" s="18" t="n">
        <v>8039.552586</v>
      </c>
      <c r="E12" s="18" t="n">
        <v>6949.262659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4369.99103</v>
      </c>
      <c r="C16" s="18" t="n">
        <v>4594.576717</v>
      </c>
      <c r="D16" s="18" t="n">
        <v>4691.517804</v>
      </c>
      <c r="E16" s="18" t="n">
        <v>4055.274114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2863.8633565</v>
      </c>
      <c r="C20" s="18" t="n">
        <v>3235.8289315</v>
      </c>
      <c r="D20" s="18" t="n">
        <v>3676.3027495</v>
      </c>
      <c r="E20" s="18" t="n">
        <v>4282.178167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10.63198</v>
      </c>
      <c r="C24" s="62" t="n">
        <v>12.47716</v>
      </c>
      <c r="D24" s="62" t="n">
        <v>13.47927</v>
      </c>
      <c r="E24" s="62" t="n">
        <v>15.65776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StoneCo Ltd.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B34/B35*0.18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0.07415893263469844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1.006963154748871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0.1643298162527158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2026-06-05T14:18:26Z</dcterms:created>
  <dcterms:modified xmlns:dcterms="http://purl.org/dc/terms/" xmlns:xsi="http://www.w3.org/2001/XMLSchema-instance" xsi:type="dcterms:W3CDTF">2026-06-05T14:18:26Z</dcterms:modified>
</cp:coreProperties>
</file>