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1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  <font>
      <b val="1"/>
      <color rgb="009C57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45.0%</t>
      </text>
    </comment>
    <comment ref="C20" authorId="0" shapeId="0">
      <text>
        <t>Opus: 4.0%</t>
      </text>
    </comment>
    <comment ref="B29" authorId="0" shapeId="0">
      <text>
        <t>Opus: 20.0%</t>
      </text>
    </comment>
    <comment ref="B30" authorId="0" shapeId="0">
      <text>
        <t>Opus: 25.0%</t>
      </text>
    </comment>
    <comment ref="B31" authorId="0" shapeId="0">
      <text>
        <t>Opus: 21.0%</t>
      </text>
    </comment>
    <comment ref="B34" authorId="0" shapeId="0">
      <text>
        <t>Opus: —
set from Opus 10% of FY1E revenue; edits not tracked (unit differs from the JSON)</t>
      </text>
    </comment>
    <comment ref="B35" authorId="0" shapeId="0">
      <text>
        <t>User-edited — overridden from Opus 1.1x on 2026-06-13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User-edited — overridden from Opus 14.0x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Lumentum Holdings Inc. (LITE)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Opus 4.8 — values as of 2026-06-13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Lumentum is riding an AI-driven datacenter optics super-cycle layered on a recovering telecom business, with consensus implying revenue roughly quadrupling from $1.6B (FY2025) to $12B by 2029. We fade that explosive early growth (near-term ~45% blended) toward a 4% mature rate, while structurally negative-to-thin recent margins normalize via operating leverage to a ~25% terminal operating margin as cloud-optics volume absorbs the manufacturing footprint. Capex, elevated at 14% of revenue in FY2025 amid the AI capacity build, fades toward maintenance (capex/D&amp;A ~1.1x) as the buildout matures.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Lumentum Holdings Inc. (LITE)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0.45</v>
      </c>
      <c r="C20" s="15" t="n">
        <v>0.04</v>
      </c>
      <c r="D20" s="16" t="n">
        <v>0.45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</v>
      </c>
      <c r="D29" s="16" t="n">
        <v>0.2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0.21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298.300923</v>
      </c>
      <c r="D34" s="18" t="n">
        <v>298.300923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1.533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14.2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0.006151287553648068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702.3775024414062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212.6103943893274</v>
      </c>
      <c r="C58" s="28" t="n">
        <v>275.5452206554479</v>
      </c>
      <c r="D58" s="28" t="n">
        <v>163.3327980804023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0.1077203647416413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0.0646322188449848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LITE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2026-06-13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Lumentum is riding an AI-driven datacenter optics super-cycle layered on a recovering telecom business, with consensus implying revenue roughly quadrupling from $1.6B (FY2025) to $12B by 2029. We fade that explosive early growth (near-term ~45% blended) toward a 4% mature rate, while structurally negative-to-thin recent margins normalize via operating leverage to a ~25% terminal operating margin as cloud-optics volume absorbs the manufacturing footprint. Capex, elevated at 14% of revenue in FY2025 amid the AI capacity build, fades toward maintenance (capex/D&amp;A ~1.1x) as the buildout matures.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Near-term growth and margins are anchored to FMP consensus (2026 net margin ~19% on $2.98B revenue), but we deliberately fade growth and cap the terminal operating margin below the ~30% implied by 2029 estimates to avoid extrapolating peak-cycle economics. We use an EV/EBITDA exit (14x) because that is the multiple the market applies to optical-component/semiconductor hardware names, and a 4% perpetuity-style g anchored near the US risk-free rate; a US statutory ~21% tax rate is applied as deferred shields from prior losses unwind.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Opus</t>
        </is>
      </c>
      <c r="E20" t="inlineStr">
        <is>
          <t>45.0%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Opus</t>
        </is>
      </c>
      <c r="E21" t="inlineStr">
        <is>
          <t>4.0%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20.0%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25.0%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21.0%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s="32" t="inlineStr">
        <is>
          <t>user-edited</t>
        </is>
      </c>
      <c r="E25" t="inlineStr">
        <is>
          <t>1.1x</t>
        </is>
      </c>
      <c r="F25" s="31" t="inlineStr">
        <is>
          <t>overridden from Opus 1.1x on 2026-06-13</t>
        </is>
      </c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builder default</t>
        </is>
      </c>
      <c r="E26" t="inlineStr">
        <is>
          <t>—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builder default</t>
        </is>
      </c>
      <c r="E27" t="inlineStr">
        <is>
          <t>—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3">
        <f>Dashboard!B40</f>
        <v/>
      </c>
      <c r="D28" t="inlineStr">
        <is>
          <t>builder default</t>
        </is>
      </c>
      <c r="E28" t="inlineStr">
        <is>
          <t>—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builder default</t>
        </is>
      </c>
      <c r="E29" t="inlineStr">
        <is>
          <t>—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EV/EBITDA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s="32" t="inlineStr">
        <is>
          <t>user-edited</t>
        </is>
      </c>
      <c r="E32" t="inlineStr">
        <is>
          <t>14.0x</t>
        </is>
      </c>
      <c r="F32" s="31" t="inlineStr">
        <is>
          <t>overridden from Opus 14.0x</t>
        </is>
      </c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4.0%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4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10%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5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5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5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5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5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5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5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5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6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6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5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5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7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8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3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4">
        <f>Dashboard!$B$48*Financials!AC17</f>
        <v/>
      </c>
    </row>
    <row r="11">
      <c r="A11" s="4" t="inlineStr">
        <is>
          <t>Total debt (D)</t>
        </is>
      </c>
      <c r="B11" s="34">
        <f>Financials!AC55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9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40" t="inlineStr">
        <is>
          <t>FY2021A</t>
        </is>
      </c>
      <c r="C1" s="40" t="inlineStr">
        <is>
          <t>FY2022A</t>
        </is>
      </c>
      <c r="D1" s="40" t="inlineStr">
        <is>
          <t>FY2023A</t>
        </is>
      </c>
      <c r="E1" s="40" t="inlineStr">
        <is>
          <t>FY2024A</t>
        </is>
      </c>
      <c r="F1" s="40" t="inlineStr">
        <is>
          <t>FY2025A</t>
        </is>
      </c>
      <c r="G1" s="41" t="inlineStr">
        <is>
          <t>FY2026E</t>
        </is>
      </c>
      <c r="H1" s="41" t="inlineStr">
        <is>
          <t>FY2027E</t>
        </is>
      </c>
      <c r="I1" s="41" t="inlineStr">
        <is>
          <t>FY2028E</t>
        </is>
      </c>
      <c r="J1" s="41" t="inlineStr">
        <is>
          <t>FY2029E</t>
        </is>
      </c>
      <c r="K1" s="41" t="inlineStr">
        <is>
          <t>FY2030E</t>
        </is>
      </c>
      <c r="L1" s="41" t="inlineStr">
        <is>
          <t>FY2031E</t>
        </is>
      </c>
      <c r="M1" s="41" t="inlineStr">
        <is>
          <t>FY2032E</t>
        </is>
      </c>
      <c r="N1" s="41" t="inlineStr">
        <is>
          <t>FY2033E</t>
        </is>
      </c>
      <c r="O1" s="41" t="inlineStr">
        <is>
          <t>FY2034E</t>
        </is>
      </c>
      <c r="P1" s="41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4">
        <f>SUM(Financials!G3:J3)</f>
        <v/>
      </c>
      <c r="C4" s="34">
        <f>SUM(Financials!K3:N3)</f>
        <v/>
      </c>
      <c r="D4" s="34">
        <f>SUM(Financials!O3:R3)</f>
        <v/>
      </c>
      <c r="E4" s="34">
        <f>SUM(Financials!S3:V3)</f>
        <v/>
      </c>
      <c r="F4" s="34">
        <f>SUM(Financials!W3:Z3)</f>
        <v/>
      </c>
      <c r="G4" s="42">
        <f>F4*(1+G5)</f>
        <v/>
      </c>
      <c r="H4" s="42">
        <f>G4*(1+H5)</f>
        <v/>
      </c>
      <c r="I4" s="42">
        <f>H4*(1+I5)</f>
        <v/>
      </c>
      <c r="J4" s="42">
        <f>I4*(1+J5)</f>
        <v/>
      </c>
      <c r="K4" s="42">
        <f>J4*(1+K5)</f>
        <v/>
      </c>
      <c r="L4" s="42">
        <f>K4*(1+L5)</f>
        <v/>
      </c>
      <c r="M4" s="42">
        <f>L4*(1+M5)</f>
        <v/>
      </c>
      <c r="N4" s="42">
        <f>M4*(1+N5)</f>
        <v/>
      </c>
      <c r="O4" s="42">
        <f>N4*(1+O5)</f>
        <v/>
      </c>
      <c r="P4" s="42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3">
        <f>B4</f>
        <v/>
      </c>
      <c r="C6" s="43">
        <f>C4</f>
        <v/>
      </c>
      <c r="D6" s="43">
        <f>D4</f>
        <v/>
      </c>
      <c r="E6" s="43">
        <f>E4</f>
        <v/>
      </c>
      <c r="F6" s="43">
        <f>F4</f>
        <v/>
      </c>
      <c r="G6" s="43">
        <f>G4</f>
        <v/>
      </c>
      <c r="H6" s="43">
        <f>H4</f>
        <v/>
      </c>
      <c r="I6" s="43">
        <f>I4</f>
        <v/>
      </c>
      <c r="J6" s="43">
        <f>J4</f>
        <v/>
      </c>
      <c r="K6" s="43">
        <f>K4</f>
        <v/>
      </c>
      <c r="L6" s="43">
        <f>L4</f>
        <v/>
      </c>
      <c r="M6" s="43">
        <f>M4</f>
        <v/>
      </c>
      <c r="N6" s="43">
        <f>N4</f>
        <v/>
      </c>
      <c r="O6" s="43">
        <f>O4</f>
        <v/>
      </c>
      <c r="P6" s="43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4">
        <f>SUM(Financials!G5:J5)</f>
        <v/>
      </c>
      <c r="C10" s="34">
        <f>SUM(Financials!K5:N5)</f>
        <v/>
      </c>
      <c r="D10" s="34">
        <f>SUM(Financials!O5:R5)</f>
        <v/>
      </c>
      <c r="E10" s="34">
        <f>SUM(Financials!S5:V5)</f>
        <v/>
      </c>
      <c r="F10" s="34">
        <f>SUM(Financials!W5:Z5)</f>
        <v/>
      </c>
      <c r="G10" s="42">
        <f>G6*G11</f>
        <v/>
      </c>
      <c r="H10" s="42">
        <f>H6*H11</f>
        <v/>
      </c>
      <c r="I10" s="42">
        <f>I6*I11</f>
        <v/>
      </c>
      <c r="J10" s="42">
        <f>J6*J11</f>
        <v/>
      </c>
      <c r="K10" s="42">
        <f>K6*K11</f>
        <v/>
      </c>
      <c r="L10" s="42">
        <f>L6*L11</f>
        <v/>
      </c>
      <c r="M10" s="42">
        <f>M6*M11</f>
        <v/>
      </c>
      <c r="N10" s="42">
        <f>N6*N11</f>
        <v/>
      </c>
      <c r="O10" s="42">
        <f>O6*O11</f>
        <v/>
      </c>
      <c r="P10" s="42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0.7204255319148936</v>
      </c>
      <c r="H11" s="15" t="n">
        <v>0.7204255319148936</v>
      </c>
      <c r="I11" s="15" t="n">
        <v>0.7204255319148936</v>
      </c>
      <c r="J11" s="15" t="n">
        <v>0.7204255319148936</v>
      </c>
      <c r="K11" s="15" t="n">
        <v>0.7204255319148936</v>
      </c>
      <c r="L11" s="15" t="n">
        <v>0.7204255319148936</v>
      </c>
      <c r="M11" s="15" t="n">
        <v>0.7204255319148936</v>
      </c>
      <c r="N11" s="15" t="n">
        <v>0.7204255319148936</v>
      </c>
      <c r="O11" s="15" t="n">
        <v>0.7204255319148936</v>
      </c>
      <c r="P11" s="15" t="n">
        <v>0.7204255319148936</v>
      </c>
    </row>
    <row r="12">
      <c r="A12" s="4" t="inlineStr">
        <is>
          <t>R&amp;D / Technology</t>
        </is>
      </c>
      <c r="B12" s="34">
        <f>SUM(Financials!G7:J7)</f>
        <v/>
      </c>
      <c r="C12" s="34">
        <f>SUM(Financials!K7:N7)</f>
        <v/>
      </c>
      <c r="D12" s="34">
        <f>SUM(Financials!O7:R7)</f>
        <v/>
      </c>
      <c r="E12" s="34">
        <f>SUM(Financials!S7:V7)</f>
        <v/>
      </c>
      <c r="F12" s="34">
        <f>SUM(Financials!W7:Z7)</f>
        <v/>
      </c>
      <c r="G12" s="42">
        <f>G6*G13</f>
        <v/>
      </c>
      <c r="H12" s="42">
        <f>H6*H13</f>
        <v/>
      </c>
      <c r="I12" s="42">
        <f>I6*I13</f>
        <v/>
      </c>
      <c r="J12" s="42">
        <f>J6*J13</f>
        <v/>
      </c>
      <c r="K12" s="42">
        <f>K6*K13</f>
        <v/>
      </c>
      <c r="L12" s="42">
        <f>L6*L13</f>
        <v/>
      </c>
      <c r="M12" s="42">
        <f>M6*M13</f>
        <v/>
      </c>
      <c r="N12" s="42">
        <f>N6*N13</f>
        <v/>
      </c>
      <c r="O12" s="42">
        <f>O6*O13</f>
        <v/>
      </c>
      <c r="P12" s="42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0.184741641337386</v>
      </c>
      <c r="H13" s="15" t="n">
        <v>0.184741641337386</v>
      </c>
      <c r="I13" s="15" t="n">
        <v>0.184741641337386</v>
      </c>
      <c r="J13" s="15" t="n">
        <v>0.184741641337386</v>
      </c>
      <c r="K13" s="15" t="n">
        <v>0.184741641337386</v>
      </c>
      <c r="L13" s="15" t="n">
        <v>0.184741641337386</v>
      </c>
      <c r="M13" s="15" t="n">
        <v>0.184741641337386</v>
      </c>
      <c r="N13" s="15" t="n">
        <v>0.184741641337386</v>
      </c>
      <c r="O13" s="15" t="n">
        <v>0.184741641337386</v>
      </c>
      <c r="P13" s="15" t="n">
        <v>0.184741641337386</v>
      </c>
    </row>
    <row r="14">
      <c r="A14" s="4" t="inlineStr">
        <is>
          <t>SG&amp;A</t>
        </is>
      </c>
      <c r="B14" s="34">
        <f>SUM(Financials!G9:J9)</f>
        <v/>
      </c>
      <c r="C14" s="34">
        <f>SUM(Financials!K9:N9)</f>
        <v/>
      </c>
      <c r="D14" s="34">
        <f>SUM(Financials!O9:R9)</f>
        <v/>
      </c>
      <c r="E14" s="34">
        <f>SUM(Financials!S9:V9)</f>
        <v/>
      </c>
      <c r="F14" s="34">
        <f>SUM(Financials!W9:Z9)</f>
        <v/>
      </c>
      <c r="G14" s="42">
        <f>G6*G15</f>
        <v/>
      </c>
      <c r="H14" s="42">
        <f>H6*H15</f>
        <v/>
      </c>
      <c r="I14" s="42">
        <f>I6*I15</f>
        <v/>
      </c>
      <c r="J14" s="42">
        <f>J6*J15</f>
        <v/>
      </c>
      <c r="K14" s="42">
        <f>K6*K15</f>
        <v/>
      </c>
      <c r="L14" s="42">
        <f>L6*L15</f>
        <v/>
      </c>
      <c r="M14" s="42">
        <f>M6*M15</f>
        <v/>
      </c>
      <c r="N14" s="42">
        <f>N6*N15</f>
        <v/>
      </c>
      <c r="O14" s="42">
        <f>O6*O15</f>
        <v/>
      </c>
      <c r="P14" s="42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0.2116717325227964</v>
      </c>
      <c r="H15" s="15" t="n">
        <v>0.2116717325227964</v>
      </c>
      <c r="I15" s="15" t="n">
        <v>0.2116717325227964</v>
      </c>
      <c r="J15" s="15" t="n">
        <v>0.2116717325227964</v>
      </c>
      <c r="K15" s="15" t="n">
        <v>0.2116717325227964</v>
      </c>
      <c r="L15" s="15" t="n">
        <v>0.2116717325227964</v>
      </c>
      <c r="M15" s="15" t="n">
        <v>0.2116717325227964</v>
      </c>
      <c r="N15" s="15" t="n">
        <v>0.2116717325227964</v>
      </c>
      <c r="O15" s="15" t="n">
        <v>0.2116717325227964</v>
      </c>
      <c r="P15" s="15" t="n">
        <v>0.2116717325227964</v>
      </c>
    </row>
    <row r="16">
      <c r="A16" s="4" t="inlineStr">
        <is>
          <t>Other opex (fulfilment, etc.)</t>
        </is>
      </c>
      <c r="B16" s="34">
        <f>B6-(B10+B12+B14)-SUM(Financials!G13:J13)</f>
        <v/>
      </c>
      <c r="C16" s="34">
        <f>C6-(C10+C12+C14)-SUM(Financials!K13:N13)</f>
        <v/>
      </c>
      <c r="D16" s="34">
        <f>D6-(D10+D12+D14)-SUM(Financials!O13:R13)</f>
        <v/>
      </c>
      <c r="E16" s="34">
        <f>E6-(E10+E12+E14)-SUM(Financials!S13:V13)</f>
        <v/>
      </c>
      <c r="F16" s="34">
        <f>F6-(F10+F12+F14)-SUM(Financials!W13:Z13)</f>
        <v/>
      </c>
      <c r="G16" s="34">
        <f>G6*(1-(Dashboard!$B$29+(Dashboard!$B$30-Dashboard!$B$29)*MIN(1,0/3)))-(G10+G12+G14)</f>
        <v/>
      </c>
      <c r="H16" s="34">
        <f>H6*(1-(Dashboard!$B$29+(Dashboard!$B$30-Dashboard!$B$29)*MIN(1,1/3)))-(H10+H12+H14)</f>
        <v/>
      </c>
      <c r="I16" s="34">
        <f>I6*(1-(Dashboard!$B$29+(Dashboard!$B$30-Dashboard!$B$29)*MIN(1,2/3)))-(I10+I12+I14)</f>
        <v/>
      </c>
      <c r="J16" s="34">
        <f>J6*(1-(Dashboard!$B$29+(Dashboard!$B$30-Dashboard!$B$29)*MIN(1,3/3)))-(J10+J12+J14)</f>
        <v/>
      </c>
      <c r="K16" s="34">
        <f>K6*(1-(Dashboard!$B$29+(Dashboard!$B$30-Dashboard!$B$29)*MIN(1,4/3)))-(K10+K12+K14)</f>
        <v/>
      </c>
      <c r="L16" s="34">
        <f>L6*(1-(Dashboard!$B$29+(Dashboard!$B$30-Dashboard!$B$29)*MIN(1,5/3)))-(L10+L12+L14)</f>
        <v/>
      </c>
      <c r="M16" s="34">
        <f>M6*(1-(Dashboard!$B$29+(Dashboard!$B$30-Dashboard!$B$29)*MIN(1,6/3)))-(M10+M12+M14)</f>
        <v/>
      </c>
      <c r="N16" s="34">
        <f>N6*(1-(Dashboard!$B$29+(Dashboard!$B$30-Dashboard!$B$29)*MIN(1,7/3)))-(N10+N12+N14)</f>
        <v/>
      </c>
      <c r="O16" s="34">
        <f>O6*(1-(Dashboard!$B$29+(Dashboard!$B$30-Dashboard!$B$29)*MIN(1,8/3)))-(O10+O12+O14)</f>
        <v/>
      </c>
      <c r="P16" s="34">
        <f>P6*(1-(Dashboard!$B$29+(Dashboard!$B$30-Dashboard!$B$29)*MIN(1,9/3)))-(P10+P12+P14)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3">
        <f>B6-(B10+B12+B14)-B16</f>
        <v/>
      </c>
      <c r="C19" s="43">
        <f>C6-(C10+C12+C14)-C16</f>
        <v/>
      </c>
      <c r="D19" s="43">
        <f>D6-(D10+D12+D14)-D16</f>
        <v/>
      </c>
      <c r="E19" s="43">
        <f>E6-(E10+E12+E14)-E16</f>
        <v/>
      </c>
      <c r="F19" s="43">
        <f>F6-(F10+F12+F14)-F16</f>
        <v/>
      </c>
      <c r="G19" s="43">
        <f>G6-(G10+G12+G14)-G16</f>
        <v/>
      </c>
      <c r="H19" s="43">
        <f>H6-(H10+H12+H14)-H16</f>
        <v/>
      </c>
      <c r="I19" s="43">
        <f>I6-(I10+I12+I14)-I16</f>
        <v/>
      </c>
      <c r="J19" s="43">
        <f>J6-(J10+J12+J14)-J16</f>
        <v/>
      </c>
      <c r="K19" s="43">
        <f>K6-(K10+K12+K14)-K16</f>
        <v/>
      </c>
      <c r="L19" s="43">
        <f>L6-(L10+L12+L14)-L16</f>
        <v/>
      </c>
      <c r="M19" s="43">
        <f>M6-(M10+M12+M14)-M16</f>
        <v/>
      </c>
      <c r="N19" s="43">
        <f>N6-(N10+N12+N14)-N16</f>
        <v/>
      </c>
      <c r="O19" s="43">
        <f>O6-(O10+O12+O14)-O16</f>
        <v/>
      </c>
      <c r="P19" s="43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4">
        <f>B19*(1-Valuation!$B$5)</f>
        <v/>
      </c>
      <c r="C23" s="34">
        <f>C19*(1-Valuation!$B$5)</f>
        <v/>
      </c>
      <c r="D23" s="34">
        <f>D19*(1-Valuation!$B$5)</f>
        <v/>
      </c>
      <c r="E23" s="34">
        <f>E19*(1-Valuation!$B$5)</f>
        <v/>
      </c>
      <c r="F23" s="34">
        <f>F19*(1-Valuation!$B$5)</f>
        <v/>
      </c>
      <c r="G23" s="34">
        <f>G19*(1-Valuation!$B$5)</f>
        <v/>
      </c>
      <c r="H23" s="34">
        <f>H19*(1-Valuation!$B$5)</f>
        <v/>
      </c>
      <c r="I23" s="34">
        <f>I19*(1-Valuation!$B$5)</f>
        <v/>
      </c>
      <c r="J23" s="34">
        <f>J19*(1-Valuation!$B$5)</f>
        <v/>
      </c>
      <c r="K23" s="34">
        <f>K19*(1-Valuation!$B$5)</f>
        <v/>
      </c>
      <c r="L23" s="34">
        <f>L19*(1-Valuation!$B$5)</f>
        <v/>
      </c>
      <c r="M23" s="34">
        <f>M19*(1-Valuation!$B$5)</f>
        <v/>
      </c>
      <c r="N23" s="34">
        <f>N19*(1-Valuation!$B$5)</f>
        <v/>
      </c>
      <c r="O23" s="34">
        <f>O19*(1-Valuation!$B$5)</f>
        <v/>
      </c>
      <c r="P23" s="34">
        <f>P19*(1-Valuation!$B$5)</f>
        <v/>
      </c>
    </row>
    <row r="24">
      <c r="A24" s="4" t="inlineStr">
        <is>
          <t>+ D&amp;A</t>
        </is>
      </c>
      <c r="B24" s="34">
        <f>SUM(Financials!G58:J58)</f>
        <v/>
      </c>
      <c r="C24" s="34">
        <f>SUM(Financials!K58:N58)</f>
        <v/>
      </c>
      <c r="D24" s="34">
        <f>SUM(Financials!O58:R58)</f>
        <v/>
      </c>
      <c r="E24" s="34">
        <f>SUM(Financials!S58:V58)</f>
        <v/>
      </c>
      <c r="F24" s="34">
        <f>SUM(Financials!W58:Z58)</f>
        <v/>
      </c>
      <c r="G24" s="42">
        <f>G6*0.1560</f>
        <v/>
      </c>
      <c r="H24" s="42">
        <f>H6*0.1560</f>
        <v/>
      </c>
      <c r="I24" s="42">
        <f>I6*0.1560</f>
        <v/>
      </c>
      <c r="J24" s="42">
        <f>J6*0.1560</f>
        <v/>
      </c>
      <c r="K24" s="42">
        <f>K6*0.1560</f>
        <v/>
      </c>
      <c r="L24" s="42">
        <f>L6*0.1560</f>
        <v/>
      </c>
      <c r="M24" s="42">
        <f>M6*0.1560</f>
        <v/>
      </c>
      <c r="N24" s="42">
        <f>N6*0.1560</f>
        <v/>
      </c>
      <c r="O24" s="42">
        <f>O6*0.1560</f>
        <v/>
      </c>
      <c r="P24" s="42">
        <f>P6*0.1560</f>
        <v/>
      </c>
    </row>
    <row r="25">
      <c r="A25" s="4" t="inlineStr">
        <is>
          <t>+ SBC (non-cash)</t>
        </is>
      </c>
      <c r="B25" s="34">
        <f>SUM(Financials!G59:J59)</f>
        <v/>
      </c>
      <c r="C25" s="34">
        <f>SUM(Financials!K59:N59)</f>
        <v/>
      </c>
      <c r="D25" s="34">
        <f>SUM(Financials!O59:R59)</f>
        <v/>
      </c>
      <c r="E25" s="34">
        <f>SUM(Financials!S59:V59)</f>
        <v/>
      </c>
      <c r="F25" s="34">
        <f>SUM(Financials!W59:Z59)</f>
        <v/>
      </c>
      <c r="G25" s="34">
        <f>G6*(Dashboard!$B$65+(Dashboard!$B$66-Dashboard!$B$65)*0/9)</f>
        <v/>
      </c>
      <c r="H25" s="34">
        <f>H6*(Dashboard!$B$65+(Dashboard!$B$66-Dashboard!$B$65)*1/9)</f>
        <v/>
      </c>
      <c r="I25" s="34">
        <f>I6*(Dashboard!$B$65+(Dashboard!$B$66-Dashboard!$B$65)*2/9)</f>
        <v/>
      </c>
      <c r="J25" s="34">
        <f>J6*(Dashboard!$B$65+(Dashboard!$B$66-Dashboard!$B$65)*3/9)</f>
        <v/>
      </c>
      <c r="K25" s="34">
        <f>K6*(Dashboard!$B$65+(Dashboard!$B$66-Dashboard!$B$65)*4/9)</f>
        <v/>
      </c>
      <c r="L25" s="34">
        <f>L6*(Dashboard!$B$65+(Dashboard!$B$66-Dashboard!$B$65)*5/9)</f>
        <v/>
      </c>
      <c r="M25" s="34">
        <f>M6*(Dashboard!$B$65+(Dashboard!$B$66-Dashboard!$B$65)*6/9)</f>
        <v/>
      </c>
      <c r="N25" s="34">
        <f>N6*(Dashboard!$B$65+(Dashboard!$B$66-Dashboard!$B$65)*7/9)</f>
        <v/>
      </c>
      <c r="O25" s="34">
        <f>O6*(Dashboard!$B$65+(Dashboard!$B$66-Dashboard!$B$65)*8/9)</f>
        <v/>
      </c>
      <c r="P25" s="34">
        <f>P6*(Dashboard!$B$65+(Dashboard!$B$66-Dashboard!$B$65)*9/9)</f>
        <v/>
      </c>
    </row>
    <row r="26">
      <c r="A26" s="4" t="inlineStr">
        <is>
          <t>- dNWC</t>
        </is>
      </c>
      <c r="G26" s="42">
        <f>(G6-F6)*0.0050</f>
        <v/>
      </c>
      <c r="H26" s="42">
        <f>(H6-G6)*0.0050</f>
        <v/>
      </c>
      <c r="I26" s="42">
        <f>(I6-H6)*0.0050</f>
        <v/>
      </c>
      <c r="J26" s="42">
        <f>(J6-I6)*0.0050</f>
        <v/>
      </c>
      <c r="K26" s="42">
        <f>(K6-J6)*0.0050</f>
        <v/>
      </c>
      <c r="L26" s="42">
        <f>(L6-K6)*0.0050</f>
        <v/>
      </c>
      <c r="M26" s="42">
        <f>(M6-L6)*0.0050</f>
        <v/>
      </c>
      <c r="N26" s="42">
        <f>(N6-M6)*0.0050</f>
        <v/>
      </c>
      <c r="O26" s="42">
        <f>(O6-N6)*0.0050</f>
        <v/>
      </c>
      <c r="P26" s="42">
        <f>(P6-O6)*0.0050</f>
        <v/>
      </c>
    </row>
    <row r="27">
      <c r="A27" s="4" t="inlineStr">
        <is>
          <t>- Capex</t>
        </is>
      </c>
      <c r="B27" s="34">
        <f>-SUM(Financials!G62:J62)</f>
        <v/>
      </c>
      <c r="C27" s="34">
        <f>-SUM(Financials!K62:N62)</f>
        <v/>
      </c>
      <c r="D27" s="34">
        <f>-SUM(Financials!O62:R62)</f>
        <v/>
      </c>
      <c r="E27" s="34">
        <f>-SUM(Financials!S62:V62)</f>
        <v/>
      </c>
      <c r="F27" s="34">
        <f>-SUM(Financials!W62:Z62)</f>
        <v/>
      </c>
      <c r="G27" s="42">
        <f>G24*G28</f>
        <v/>
      </c>
      <c r="H27" s="42">
        <f>H24*H28</f>
        <v/>
      </c>
      <c r="I27" s="42">
        <f>I24*I28</f>
        <v/>
      </c>
      <c r="J27" s="42">
        <f>J24*J28</f>
        <v/>
      </c>
      <c r="K27" s="42">
        <f>K24*K28</f>
        <v/>
      </c>
      <c r="L27" s="42">
        <f>L24*L28</f>
        <v/>
      </c>
      <c r="M27" s="42">
        <f>M24*M28</f>
        <v/>
      </c>
      <c r="N27" s="42">
        <f>N24*N28</f>
        <v/>
      </c>
      <c r="O27" s="42">
        <f>O24*O28</f>
        <v/>
      </c>
      <c r="P27" s="42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3">
        <f>B23+B24+B25-B26-B27</f>
        <v/>
      </c>
      <c r="C30" s="43">
        <f>C23+C24+C25-C26-C27</f>
        <v/>
      </c>
      <c r="D30" s="43">
        <f>D23+D24+D25-D26-D27</f>
        <v/>
      </c>
      <c r="E30" s="43">
        <f>E23+E24+E25-E26-E27</f>
        <v/>
      </c>
      <c r="F30" s="43">
        <f>F23+F24+F25-F26-F27</f>
        <v/>
      </c>
      <c r="G30" s="43">
        <f>G23+G24+G25-G26-G27</f>
        <v/>
      </c>
      <c r="H30" s="43">
        <f>H23+H24+H25-H26-H27</f>
        <v/>
      </c>
      <c r="I30" s="43">
        <f>I23+I24+I25-I26-I27</f>
        <v/>
      </c>
      <c r="J30" s="43">
        <f>J23+J24+J25-J26-J27</f>
        <v/>
      </c>
      <c r="K30" s="43">
        <f>K23+K24+K25-K26-K27</f>
        <v/>
      </c>
      <c r="L30" s="43">
        <f>L23+L24+L25-L26-L27</f>
        <v/>
      </c>
      <c r="M30" s="43">
        <f>M23+M24+M25-M26-M27</f>
        <v/>
      </c>
      <c r="N30" s="43">
        <f>N23+N24+N25-N26-N27</f>
        <v/>
      </c>
      <c r="O30" s="43">
        <f>O23+O24+O25-O26-O27</f>
        <v/>
      </c>
      <c r="P30" s="43">
        <f>P23+P24+P25-P26-P27</f>
        <v/>
      </c>
    </row>
    <row r="31">
      <c r="A31" s="3" t="inlineStr">
        <is>
          <t>Valuation FCF (NOPAT + D&amp;A - dNWC - Capex - after-tax SBC)</t>
        </is>
      </c>
      <c r="B31" s="44">
        <f>B30-B25-B25*(1-Valuation!$B$5)</f>
        <v/>
      </c>
      <c r="C31" s="44">
        <f>C30-C25-C25*(1-Valuation!$B$5)</f>
        <v/>
      </c>
      <c r="D31" s="44">
        <f>D30-D25-D25*(1-Valuation!$B$5)</f>
        <v/>
      </c>
      <c r="E31" s="44">
        <f>E30-E25-E25*(1-Valuation!$B$5)</f>
        <v/>
      </c>
      <c r="F31" s="44">
        <f>F30-F25-F25*(1-Valuation!$B$5)</f>
        <v/>
      </c>
      <c r="G31" s="44">
        <f>G30-G25-G25*(1-Valuation!$B$5)</f>
        <v/>
      </c>
      <c r="H31" s="44">
        <f>H30-H25-H25*(1-Valuation!$B$5)</f>
        <v/>
      </c>
      <c r="I31" s="44">
        <f>I30-I25-I25*(1-Valuation!$B$5)</f>
        <v/>
      </c>
      <c r="J31" s="44">
        <f>J30-J25-J25*(1-Valuation!$B$5)</f>
        <v/>
      </c>
      <c r="K31" s="44">
        <f>K30-K25-K25*(1-Valuation!$B$5)</f>
        <v/>
      </c>
      <c r="L31" s="44">
        <f>L30-L25-L25*(1-Valuation!$B$5)</f>
        <v/>
      </c>
      <c r="M31" s="44">
        <f>M30-M25-M25*(1-Valuation!$B$5)</f>
        <v/>
      </c>
      <c r="N31" s="44">
        <f>N30-N25-N25*(1-Valuation!$B$5)</f>
        <v/>
      </c>
      <c r="O31" s="44">
        <f>O30-O25-O25*(1-Valuation!$B$5)</f>
        <v/>
      </c>
      <c r="P31" s="44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4">
        <f>Financials!J56+Financials!J55-Financials!J50</f>
        <v/>
      </c>
      <c r="C34" s="34">
        <f>Financials!N56+Financials!N55-Financials!N50</f>
        <v/>
      </c>
      <c r="D34" s="34">
        <f>Financials!R56+Financials!R55-Financials!R50</f>
        <v/>
      </c>
      <c r="E34" s="34">
        <f>Financials!V56+Financials!V55-Financials!V50</f>
        <v/>
      </c>
      <c r="F34" s="34">
        <f>Financials!Z56+Financials!Z55-Financials!Z50</f>
        <v/>
      </c>
      <c r="G34" s="42">
        <f>F34+G27-G24+G26</f>
        <v/>
      </c>
      <c r="H34" s="42">
        <f>G34+H27-H24+H26</f>
        <v/>
      </c>
      <c r="I34" s="42">
        <f>H34+I27-I24+I26</f>
        <v/>
      </c>
      <c r="J34" s="42">
        <f>I34+J27-J24+J26</f>
        <v/>
      </c>
      <c r="K34" s="42">
        <f>J34+K27-K24+K26</f>
        <v/>
      </c>
      <c r="L34" s="42">
        <f>K34+L27-L24+L26</f>
        <v/>
      </c>
      <c r="M34" s="42">
        <f>L34+M27-M24+M26</f>
        <v/>
      </c>
      <c r="N34" s="42">
        <f>M34+N27-N24+N26</f>
        <v/>
      </c>
      <c r="O34" s="42">
        <f>N34+O27-O24+O26</f>
        <v/>
      </c>
      <c r="P34" s="42">
        <f>O34+P27-P24+P26</f>
        <v/>
      </c>
    </row>
    <row r="35">
      <c r="A35" s="4" t="inlineStr">
        <is>
          <t>Book equity (year-end)</t>
        </is>
      </c>
      <c r="B35" s="34">
        <f>Financials!J56</f>
        <v/>
      </c>
      <c r="C35" s="34">
        <f>Financials!N56</f>
        <v/>
      </c>
      <c r="D35" s="34">
        <f>Financials!R56</f>
        <v/>
      </c>
      <c r="E35" s="34">
        <f>Financials!V56</f>
        <v/>
      </c>
      <c r="F35" s="34">
        <f>Financials!Z56</f>
        <v/>
      </c>
      <c r="G35" s="42">
        <f>F35+G23</f>
        <v/>
      </c>
      <c r="H35" s="42">
        <f>G35+H23</f>
        <v/>
      </c>
      <c r="I35" s="42">
        <f>H35+I23</f>
        <v/>
      </c>
      <c r="J35" s="42">
        <f>I35+J23</f>
        <v/>
      </c>
      <c r="K35" s="42">
        <f>J35+K23</f>
        <v/>
      </c>
      <c r="L35" s="42">
        <f>K35+L23</f>
        <v/>
      </c>
      <c r="M35" s="42">
        <f>L35+M23</f>
        <v/>
      </c>
      <c r="N35" s="42">
        <f>M35+N23</f>
        <v/>
      </c>
      <c r="O35" s="42">
        <f>N35+O23</f>
        <v/>
      </c>
      <c r="P35" s="42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IFERROR(SUM(Financials!K15:N15)/B35,"")</f>
        <v/>
      </c>
      <c r="D37" s="11">
        <f>IFERROR(SUM(Financials!O15:R15)/C35,"")</f>
        <v/>
      </c>
      <c r="E37" s="11">
        <f>IFERROR(SUM(Financials!S15:V15)/D35,"")</f>
        <v/>
      </c>
      <c r="F37" s="11">
        <f>IFERROR(SUM(Financials!W15:Z15)/E35,"")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5">
        <f>IFERROR((C6-B6)/(C34-B34),"")</f>
        <v/>
      </c>
      <c r="D41" s="45">
        <f>IFERROR((D6-C6)/(D34-C34),"")</f>
        <v/>
      </c>
      <c r="E41" s="45">
        <f>IFERROR((E6-D6)/(E34-D34),"")</f>
        <v/>
      </c>
      <c r="F41" s="45">
        <f>IFERROR((F6-E6)/(F34-E34),"")</f>
        <v/>
      </c>
      <c r="G41" s="45">
        <f>IFERROR((G6-F6)/(G34-F34),"")</f>
        <v/>
      </c>
      <c r="H41" s="45">
        <f>IFERROR((H6-G6)/(H34-G34),"")</f>
        <v/>
      </c>
      <c r="I41" s="45">
        <f>IFERROR((I6-H6)/(I34-H34),"")</f>
        <v/>
      </c>
      <c r="J41" s="45">
        <f>IFERROR((J6-I6)/(J34-I34),"")</f>
        <v/>
      </c>
      <c r="K41" s="45">
        <f>IFERROR((K6-J6)/(K34-J34),"")</f>
        <v/>
      </c>
      <c r="L41" s="45">
        <f>IFERROR((L6-K6)/(L34-K34),"")</f>
        <v/>
      </c>
      <c r="M41" s="45">
        <f>IFERROR((M6-L6)/(M34-L34),"")</f>
        <v/>
      </c>
      <c r="N41" s="45">
        <f>IFERROR((N6-M6)/(N34-M34),"")</f>
        <v/>
      </c>
      <c r="O41" s="45">
        <f>IFERROR((O6-N6)/(O34-N34),"")</f>
        <v/>
      </c>
      <c r="P41" s="45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6" t="inlineStr">
        <is>
          <t>Q4 2019</t>
        </is>
      </c>
      <c r="C1" s="46" t="inlineStr">
        <is>
          <t>Q1 2020</t>
        </is>
      </c>
      <c r="D1" s="46" t="inlineStr">
        <is>
          <t>Q2 2020</t>
        </is>
      </c>
      <c r="E1" s="46" t="inlineStr">
        <is>
          <t>Q3 2020</t>
        </is>
      </c>
      <c r="F1" s="46" t="inlineStr">
        <is>
          <t>Q4 2020</t>
        </is>
      </c>
      <c r="G1" s="46" t="inlineStr">
        <is>
          <t>Q1 2021</t>
        </is>
      </c>
      <c r="H1" s="46" t="inlineStr">
        <is>
          <t>Q2 2021</t>
        </is>
      </c>
      <c r="I1" s="46" t="inlineStr">
        <is>
          <t>Q3 2021</t>
        </is>
      </c>
      <c r="J1" s="46" t="inlineStr">
        <is>
          <t>Q4 2021</t>
        </is>
      </c>
      <c r="K1" s="46" t="inlineStr">
        <is>
          <t>Q1 2022</t>
        </is>
      </c>
      <c r="L1" s="46" t="inlineStr">
        <is>
          <t>Q2 2022</t>
        </is>
      </c>
      <c r="M1" s="46" t="inlineStr">
        <is>
          <t>Q3 2022</t>
        </is>
      </c>
      <c r="N1" s="46" t="inlineStr">
        <is>
          <t>Q4 2022</t>
        </is>
      </c>
      <c r="O1" s="46" t="inlineStr">
        <is>
          <t>Q1 2023</t>
        </is>
      </c>
      <c r="P1" s="46" t="inlineStr">
        <is>
          <t>Q2 2023</t>
        </is>
      </c>
      <c r="Q1" s="46" t="inlineStr">
        <is>
          <t>Q3 2023</t>
        </is>
      </c>
      <c r="R1" s="46" t="inlineStr">
        <is>
          <t>Q4 2023</t>
        </is>
      </c>
      <c r="S1" s="46" t="inlineStr">
        <is>
          <t>Q1 2024</t>
        </is>
      </c>
      <c r="T1" s="46" t="inlineStr">
        <is>
          <t>Q2 2024</t>
        </is>
      </c>
      <c r="U1" s="46" t="inlineStr">
        <is>
          <t>Q3 2024</t>
        </is>
      </c>
      <c r="V1" s="46" t="inlineStr">
        <is>
          <t>Q4 2024</t>
        </is>
      </c>
      <c r="W1" s="46" t="inlineStr">
        <is>
          <t>Q1 2025</t>
        </is>
      </c>
      <c r="X1" s="46" t="inlineStr">
        <is>
          <t>Q2 2025</t>
        </is>
      </c>
      <c r="Y1" s="46" t="inlineStr">
        <is>
          <t>Q3 2025</t>
        </is>
      </c>
      <c r="Z1" s="46" t="inlineStr">
        <is>
          <t>Q4 2025</t>
        </is>
      </c>
      <c r="AA1" s="46" t="inlineStr">
        <is>
          <t>Q1 2026</t>
        </is>
      </c>
      <c r="AB1" s="46" t="inlineStr">
        <is>
          <t>Q2 2026</t>
        </is>
      </c>
      <c r="AC1" s="46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404.6</v>
      </c>
      <c r="C3" s="18" t="n">
        <v>449.9</v>
      </c>
      <c r="D3" s="18" t="n">
        <v>457.8</v>
      </c>
      <c r="E3" s="18" t="n">
        <v>402.8</v>
      </c>
      <c r="F3" s="18" t="n">
        <v>368.1</v>
      </c>
      <c r="G3" s="18" t="n">
        <v>452.4</v>
      </c>
      <c r="H3" s="18" t="n">
        <v>478.8</v>
      </c>
      <c r="I3" s="18" t="n">
        <v>419.5</v>
      </c>
      <c r="J3" s="18" t="n">
        <v>392.1</v>
      </c>
      <c r="K3" s="18" t="n">
        <v>448.4</v>
      </c>
      <c r="L3" s="18" t="n">
        <v>446.7</v>
      </c>
      <c r="M3" s="18" t="n">
        <v>395.4</v>
      </c>
      <c r="N3" s="18" t="n">
        <v>422.1</v>
      </c>
      <c r="O3" s="18" t="n">
        <v>506.8</v>
      </c>
      <c r="P3" s="18" t="n">
        <v>506</v>
      </c>
      <c r="Q3" s="18" t="n">
        <v>383.4</v>
      </c>
      <c r="R3" s="18" t="n">
        <v>370.8</v>
      </c>
      <c r="S3" s="18" t="n">
        <v>317.6</v>
      </c>
      <c r="T3" s="18" t="n">
        <v>308.3</v>
      </c>
      <c r="U3" s="18" t="n">
        <v>336.9</v>
      </c>
      <c r="V3" s="18" t="n">
        <v>308.3</v>
      </c>
      <c r="W3" s="18" t="n">
        <v>336.9</v>
      </c>
      <c r="X3" s="18" t="n">
        <v>402.2</v>
      </c>
      <c r="Y3" s="18" t="n">
        <v>425.2</v>
      </c>
      <c r="Z3" s="18" t="n">
        <v>480.7</v>
      </c>
      <c r="AA3" s="18" t="n">
        <v>533.8</v>
      </c>
      <c r="AB3" s="18" t="n">
        <v>665.5</v>
      </c>
      <c r="AC3" s="18" t="n">
        <v>808.4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317.8</v>
      </c>
      <c r="C5" s="18" t="n">
        <v>288.5</v>
      </c>
      <c r="D5" s="18" t="n">
        <v>274.9</v>
      </c>
      <c r="E5" s="18" t="n">
        <v>251.2</v>
      </c>
      <c r="F5" s="18" t="n">
        <v>238.6</v>
      </c>
      <c r="G5" s="18" t="n">
        <v>246.7</v>
      </c>
      <c r="H5" s="18" t="n">
        <v>249.2</v>
      </c>
      <c r="I5" s="18" t="n">
        <v>240.3</v>
      </c>
      <c r="J5" s="18" t="n">
        <v>235.5</v>
      </c>
      <c r="K5" s="18" t="n">
        <v>221.8</v>
      </c>
      <c r="L5" s="18" t="n">
        <v>239.2</v>
      </c>
      <c r="M5" s="18" t="n">
        <v>228.2</v>
      </c>
      <c r="N5" s="18" t="n">
        <v>240.4</v>
      </c>
      <c r="O5" s="18" t="n">
        <v>314.9</v>
      </c>
      <c r="P5" s="18" t="n">
        <v>362.8</v>
      </c>
      <c r="Q5" s="18" t="n">
        <v>271.4</v>
      </c>
      <c r="R5" s="18" t="n">
        <v>281.2</v>
      </c>
      <c r="S5" s="18" t="n">
        <v>240.9</v>
      </c>
      <c r="T5" s="18" t="n">
        <v>257</v>
      </c>
      <c r="U5" s="18" t="n">
        <v>259</v>
      </c>
      <c r="V5" s="18" t="n">
        <v>257</v>
      </c>
      <c r="W5" s="18" t="n">
        <v>259</v>
      </c>
      <c r="X5" s="18" t="n">
        <v>302.6</v>
      </c>
      <c r="Y5" s="18" t="n">
        <v>302.7</v>
      </c>
      <c r="Z5" s="18" t="n">
        <v>320.8</v>
      </c>
      <c r="AA5" s="18" t="n">
        <v>352.3</v>
      </c>
      <c r="AB5" s="18" t="n">
        <v>425.4</v>
      </c>
      <c r="AC5" s="18" t="n">
        <v>451.4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49.5</v>
      </c>
      <c r="C7" s="18" t="n">
        <v>49.9</v>
      </c>
      <c r="D7" s="18" t="n">
        <v>51</v>
      </c>
      <c r="E7" s="18" t="n">
        <v>48.7</v>
      </c>
      <c r="F7" s="18" t="n">
        <v>49</v>
      </c>
      <c r="G7" s="18" t="n">
        <v>50.4</v>
      </c>
      <c r="H7" s="18" t="n">
        <v>52.8</v>
      </c>
      <c r="I7" s="18" t="n">
        <v>57.2</v>
      </c>
      <c r="J7" s="18" t="n">
        <v>54.1</v>
      </c>
      <c r="K7" s="18" t="n">
        <v>54.1</v>
      </c>
      <c r="L7" s="18" t="n">
        <v>53.2</v>
      </c>
      <c r="M7" s="18" t="n">
        <v>56.7</v>
      </c>
      <c r="N7" s="18" t="n">
        <v>56.7</v>
      </c>
      <c r="O7" s="18" t="n">
        <v>72.7</v>
      </c>
      <c r="P7" s="18" t="n">
        <v>75.8</v>
      </c>
      <c r="Q7" s="18" t="n">
        <v>85.40000000000001</v>
      </c>
      <c r="R7" s="18" t="n">
        <v>73.90000000000001</v>
      </c>
      <c r="S7" s="18" t="n">
        <v>73.5</v>
      </c>
      <c r="T7" s="18" t="n">
        <v>73.2</v>
      </c>
      <c r="U7" s="18" t="n">
        <v>74.3</v>
      </c>
      <c r="V7" s="18" t="n">
        <v>73.2</v>
      </c>
      <c r="W7" s="18" t="n">
        <v>74.3</v>
      </c>
      <c r="X7" s="18" t="n">
        <v>74.2</v>
      </c>
      <c r="Y7" s="18" t="n">
        <v>75.90000000000001</v>
      </c>
      <c r="Z7" s="18" t="n">
        <v>79.5</v>
      </c>
      <c r="AA7" s="18" t="n">
        <v>81.40000000000001</v>
      </c>
      <c r="AB7" s="18" t="n">
        <v>80.09999999999999</v>
      </c>
      <c r="AC7" s="18" t="n">
        <v>90.59999999999999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49.4</v>
      </c>
      <c r="C9" s="18" t="n">
        <v>50.4</v>
      </c>
      <c r="D9" s="18" t="n">
        <v>56.2</v>
      </c>
      <c r="E9" s="18" t="n">
        <v>55.2</v>
      </c>
      <c r="F9" s="18" t="n">
        <v>48.6</v>
      </c>
      <c r="G9" s="18" t="n">
        <v>56.3</v>
      </c>
      <c r="H9" s="18" t="n">
        <v>61.3</v>
      </c>
      <c r="I9" s="18" t="n">
        <v>59.3</v>
      </c>
      <c r="J9" s="18" t="n">
        <v>60.4</v>
      </c>
      <c r="K9" s="18" t="n">
        <v>57.7</v>
      </c>
      <c r="L9" s="18" t="n">
        <v>69</v>
      </c>
      <c r="M9" s="18" t="n">
        <v>63.8</v>
      </c>
      <c r="N9" s="18" t="n">
        <v>69.59999999999999</v>
      </c>
      <c r="O9" s="18" t="n">
        <v>95</v>
      </c>
      <c r="P9" s="18" t="n">
        <v>85.8</v>
      </c>
      <c r="Q9" s="18" t="n">
        <v>76.40000000000001</v>
      </c>
      <c r="R9" s="18" t="n">
        <v>68.3</v>
      </c>
      <c r="S9" s="18" t="n">
        <v>73</v>
      </c>
      <c r="T9" s="18" t="n">
        <v>74.90000000000001</v>
      </c>
      <c r="U9" s="18" t="n">
        <v>76.3</v>
      </c>
      <c r="V9" s="18" t="n">
        <v>74.90000000000001</v>
      </c>
      <c r="W9" s="18" t="n">
        <v>76.3</v>
      </c>
      <c r="X9" s="18" t="n">
        <v>76.3</v>
      </c>
      <c r="Y9" s="18" t="n">
        <v>112</v>
      </c>
      <c r="Z9" s="18" t="n">
        <v>83.59999999999999</v>
      </c>
      <c r="AA9" s="18" t="n">
        <v>85.09999999999999</v>
      </c>
      <c r="AB9" s="18" t="n">
        <v>96.09999999999999</v>
      </c>
      <c r="AC9" s="18" t="n">
        <v>90.8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105.3</v>
      </c>
      <c r="C11" s="18" t="n">
        <v>161.4</v>
      </c>
      <c r="D11" s="18" t="n">
        <v>182.9</v>
      </c>
      <c r="E11" s="18" t="n">
        <v>151.6</v>
      </c>
      <c r="F11" s="18" t="n">
        <v>129.5</v>
      </c>
      <c r="G11" s="18" t="n">
        <v>205.7</v>
      </c>
      <c r="H11" s="18" t="n">
        <v>229.6</v>
      </c>
      <c r="I11" s="18" t="n">
        <v>179.2</v>
      </c>
      <c r="J11" s="18" t="n">
        <v>156.6</v>
      </c>
      <c r="K11" s="18" t="n">
        <v>226.6</v>
      </c>
      <c r="L11" s="18" t="n">
        <v>207.5</v>
      </c>
      <c r="M11" s="18" t="n">
        <v>167.2</v>
      </c>
      <c r="N11" s="18" t="n">
        <v>181.7</v>
      </c>
      <c r="O11" s="18" t="n">
        <v>191.9</v>
      </c>
      <c r="P11" s="18" t="n">
        <v>143.2</v>
      </c>
      <c r="Q11" s="18" t="n">
        <v>112</v>
      </c>
      <c r="R11" s="18" t="n">
        <v>89.59999999999999</v>
      </c>
      <c r="S11" s="18" t="n">
        <v>76.7</v>
      </c>
      <c r="T11" s="18" t="n">
        <v>51.3</v>
      </c>
      <c r="U11" s="18" t="n">
        <v>77.90000000000001</v>
      </c>
      <c r="V11" s="18" t="n">
        <v>51.3</v>
      </c>
      <c r="W11" s="18" t="n">
        <v>77.90000000000001</v>
      </c>
      <c r="X11" s="18" t="n">
        <v>99.59999999999999</v>
      </c>
      <c r="Y11" s="18" t="n">
        <v>122.5</v>
      </c>
      <c r="Z11" s="18" t="n">
        <v>159.9</v>
      </c>
      <c r="AA11" s="18" t="n">
        <v>181.5</v>
      </c>
      <c r="AB11" s="18" t="n">
        <v>240.1</v>
      </c>
      <c r="AC11" s="18" t="n">
        <v>357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-13.8</v>
      </c>
      <c r="C13" s="18" t="n">
        <v>61.1</v>
      </c>
      <c r="D13" s="18" t="n">
        <v>75.7</v>
      </c>
      <c r="E13" s="18" t="n">
        <v>47.7</v>
      </c>
      <c r="F13" s="18" t="n">
        <v>31.9</v>
      </c>
      <c r="G13" s="18" t="n">
        <v>99</v>
      </c>
      <c r="H13" s="18" t="n">
        <v>115.3</v>
      </c>
      <c r="I13" s="18" t="n">
        <v>62.7</v>
      </c>
      <c r="J13" s="18" t="n">
        <v>42.1</v>
      </c>
      <c r="K13" s="18" t="n">
        <v>114.8</v>
      </c>
      <c r="L13" s="18" t="n">
        <v>85.2</v>
      </c>
      <c r="M13" s="18" t="n">
        <v>46.8</v>
      </c>
      <c r="N13" s="18" t="n">
        <v>55.4</v>
      </c>
      <c r="O13" s="18" t="n">
        <v>24.2</v>
      </c>
      <c r="P13" s="18" t="n">
        <v>-18.4</v>
      </c>
      <c r="Q13" s="18" t="n">
        <v>-51.4</v>
      </c>
      <c r="R13" s="18" t="n">
        <v>-55.9</v>
      </c>
      <c r="S13" s="18" t="n">
        <v>-80.8</v>
      </c>
      <c r="T13" s="18" t="n">
        <v>-133.4</v>
      </c>
      <c r="U13" s="18" t="n">
        <v>-82.40000000000001</v>
      </c>
      <c r="V13" s="18" t="n">
        <v>-133.4</v>
      </c>
      <c r="W13" s="18" t="n">
        <v>-82.40000000000001</v>
      </c>
      <c r="X13" s="18" t="n">
        <v>-51.6</v>
      </c>
      <c r="Y13" s="18" t="n">
        <v>-37.7</v>
      </c>
      <c r="Z13" s="18" t="n">
        <v>-8.4</v>
      </c>
      <c r="AA13" s="18" t="n">
        <v>6.7</v>
      </c>
      <c r="AB13" s="18" t="n">
        <v>64.3</v>
      </c>
      <c r="AC13" s="18" t="n">
        <v>174.5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-25.8</v>
      </c>
      <c r="C15" s="18" t="n">
        <v>47.6</v>
      </c>
      <c r="D15" s="18" t="n">
        <v>49.1</v>
      </c>
      <c r="E15" s="18" t="n">
        <v>43.4</v>
      </c>
      <c r="F15" s="18" t="n">
        <v>-4.6</v>
      </c>
      <c r="G15" s="18" t="n">
        <v>67.09999999999999</v>
      </c>
      <c r="H15" s="18" t="n">
        <v>83.2</v>
      </c>
      <c r="I15" s="18" t="n">
        <v>225.5</v>
      </c>
      <c r="J15" s="18" t="n">
        <v>21.5</v>
      </c>
      <c r="K15" s="18" t="n">
        <v>81.5</v>
      </c>
      <c r="L15" s="18" t="n">
        <v>56.7</v>
      </c>
      <c r="M15" s="18" t="n">
        <v>26</v>
      </c>
      <c r="N15" s="18" t="n">
        <v>34.7</v>
      </c>
      <c r="O15" s="18" t="n">
        <v>-0.4</v>
      </c>
      <c r="P15" s="18" t="n">
        <v>-31.7</v>
      </c>
      <c r="Q15" s="18" t="n">
        <v>-39.3</v>
      </c>
      <c r="R15" s="18" t="n">
        <v>-60.2</v>
      </c>
      <c r="S15" s="18" t="n">
        <v>-67.90000000000001</v>
      </c>
      <c r="T15" s="18" t="n">
        <v>-252.5</v>
      </c>
      <c r="U15" s="18" t="n">
        <v>-82.40000000000001</v>
      </c>
      <c r="V15" s="18" t="n">
        <v>-252.5</v>
      </c>
      <c r="W15" s="18" t="n">
        <v>-82.40000000000001</v>
      </c>
      <c r="X15" s="18" t="n">
        <v>-60.9</v>
      </c>
      <c r="Y15" s="18" t="n">
        <v>-44.1</v>
      </c>
      <c r="Z15" s="18" t="n">
        <v>213.3</v>
      </c>
      <c r="AA15" s="18" t="n">
        <v>4.2</v>
      </c>
      <c r="AB15" s="18" t="n">
        <v>78.2</v>
      </c>
      <c r="AC15" s="18" t="n">
        <v>144.2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76.5</v>
      </c>
      <c r="C17" s="18" t="n">
        <v>77.59999999999999</v>
      </c>
      <c r="D17" s="18" t="n">
        <v>78</v>
      </c>
      <c r="E17" s="18" t="n">
        <v>77.5</v>
      </c>
      <c r="F17" s="18" t="n">
        <v>75</v>
      </c>
      <c r="G17" s="18" t="n">
        <v>78.2</v>
      </c>
      <c r="H17" s="18" t="n">
        <v>78.40000000000001</v>
      </c>
      <c r="I17" s="18" t="n">
        <v>79.2</v>
      </c>
      <c r="J17" s="18" t="n">
        <v>77.5</v>
      </c>
      <c r="K17" s="18" t="n">
        <v>75.40000000000001</v>
      </c>
      <c r="L17" s="18" t="n">
        <v>75.3</v>
      </c>
      <c r="M17" s="18" t="n">
        <v>74.5</v>
      </c>
      <c r="N17" s="18" t="n">
        <v>71.5</v>
      </c>
      <c r="O17" s="18" t="n">
        <v>68.09999999999999</v>
      </c>
      <c r="P17" s="18" t="n">
        <v>68.3</v>
      </c>
      <c r="Q17" s="18" t="n">
        <v>68.59999999999999</v>
      </c>
      <c r="R17" s="18" t="n">
        <v>68.3</v>
      </c>
      <c r="S17" s="18" t="n">
        <v>66.7</v>
      </c>
      <c r="T17" s="18" t="n">
        <v>67.8</v>
      </c>
      <c r="U17" s="18" t="n">
        <v>68.3</v>
      </c>
      <c r="V17" s="18" t="n">
        <v>67.8</v>
      </c>
      <c r="W17" s="18" t="n">
        <v>68.3</v>
      </c>
      <c r="X17" s="18" t="n">
        <v>68.90000000000001</v>
      </c>
      <c r="Y17" s="18" t="n">
        <v>69.3</v>
      </c>
      <c r="Z17" s="18" t="n">
        <v>72</v>
      </c>
      <c r="AA17" s="18" t="n">
        <v>78.3</v>
      </c>
      <c r="AB17" s="18" t="n">
        <v>87.8</v>
      </c>
      <c r="AC17" s="18" t="n">
        <v>96.2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Asia Pacific</t>
        </is>
      </c>
      <c r="B19" s="18" t="n">
        <v>274.3</v>
      </c>
      <c r="C19" s="18" t="n">
        <v>350.7</v>
      </c>
      <c r="D19" s="18" t="n">
        <v>350.4</v>
      </c>
      <c r="E19" s="18" t="n">
        <v>302.2</v>
      </c>
      <c r="F19" s="18" t="n">
        <v>273.5</v>
      </c>
      <c r="T19" s="18" t="n">
        <v>201.2</v>
      </c>
      <c r="U19" s="18" t="n">
        <v>184.8</v>
      </c>
      <c r="V19" s="18" t="n">
        <v>393.8</v>
      </c>
      <c r="W19" s="18" t="n">
        <v>204.1</v>
      </c>
      <c r="X19" s="18" t="n">
        <v>242.2</v>
      </c>
      <c r="Y19" s="18" t="n">
        <v>267.2</v>
      </c>
      <c r="Z19" s="18" t="n">
        <v>287.1</v>
      </c>
      <c r="AA19" s="18" t="n">
        <v>321.7</v>
      </c>
      <c r="AB19" s="18" t="n">
        <v>376.1</v>
      </c>
      <c r="AC19" s="18" t="n">
        <v>464.9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  <c r="S20" s="25">
        <f>IFERROR(S19/O19-1,"")</f>
        <v/>
      </c>
      <c r="T20" s="25">
        <f>IFERROR(T19/P19-1,"")</f>
        <v/>
      </c>
      <c r="U20" s="25">
        <f>IFERROR(U19/Q19-1,"")</f>
        <v/>
      </c>
      <c r="V20" s="25">
        <f>IFERROR(V19/R19-1,"")</f>
        <v/>
      </c>
      <c r="W20" s="25">
        <f>IFERROR(W19/S19-1,"")</f>
        <v/>
      </c>
      <c r="X20" s="25">
        <f>IFERROR(X19/T19-1,"")</f>
        <v/>
      </c>
      <c r="Y20" s="25">
        <f>IFERROR(Y19/U19-1,"")</f>
        <v/>
      </c>
      <c r="Z20" s="25">
        <f>IFERROR(Z19/V19-1,"")</f>
        <v/>
      </c>
      <c r="AA20" s="25">
        <f>IFERROR(AA19/W19-1,"")</f>
        <v/>
      </c>
      <c r="AB20" s="25">
        <f>IFERROR(AB19/X19-1,"")</f>
        <v/>
      </c>
      <c r="AC20" s="25">
        <f>IFERROR(AC19/Y19-1,"")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  <c r="S21" s="25">
        <f>IFERROR(S19/S3,"")</f>
        <v/>
      </c>
      <c r="T21" s="25">
        <f>IFERROR(T19/T3,"")</f>
        <v/>
      </c>
      <c r="U21" s="25">
        <f>IFERROR(U19/U3,"")</f>
        <v/>
      </c>
      <c r="V21" s="25">
        <f>IFERROR(V19/V3,"")</f>
        <v/>
      </c>
      <c r="W21" s="25">
        <f>IFERROR(W19/W3,"")</f>
        <v/>
      </c>
      <c r="X21" s="25">
        <f>IFERROR(X19/X3,"")</f>
        <v/>
      </c>
      <c r="Y21" s="25">
        <f>IFERROR(Y19/Y3,"")</f>
        <v/>
      </c>
      <c r="Z21" s="25">
        <f>IFERROR(Z19/Z3,"")</f>
        <v/>
      </c>
      <c r="AA21" s="25">
        <f>IFERROR(AA19/AA3,"")</f>
        <v/>
      </c>
      <c r="AB21" s="25">
        <f>IFERROR(AB19/AB3,"")</f>
        <v/>
      </c>
      <c r="AC21" s="25">
        <f>IFERROR(AC19/AC3,"")</f>
        <v/>
      </c>
    </row>
    <row r="22">
      <c r="A22" s="4" t="inlineStr">
        <is>
          <t>Americas</t>
        </is>
      </c>
      <c r="B22" s="18" t="n">
        <v>80.3</v>
      </c>
      <c r="C22" s="18" t="n">
        <v>66.90000000000001</v>
      </c>
      <c r="D22" s="18" t="n">
        <v>70.3</v>
      </c>
      <c r="E22" s="18" t="n">
        <v>73.2</v>
      </c>
      <c r="F22" s="18" t="n">
        <v>67.7</v>
      </c>
      <c r="T22" s="18" t="n">
        <v>135.2</v>
      </c>
      <c r="U22" s="18" t="n">
        <v>149.4</v>
      </c>
      <c r="V22" s="18" t="n">
        <v>166.6</v>
      </c>
      <c r="W22" s="18" t="n">
        <v>102.2</v>
      </c>
      <c r="X22" s="18" t="n">
        <v>119.2</v>
      </c>
      <c r="Y22" s="18" t="n">
        <v>115.7</v>
      </c>
      <c r="Z22" s="18" t="n">
        <v>143.8</v>
      </c>
      <c r="AA22" s="18" t="n">
        <v>175.9</v>
      </c>
      <c r="AB22" s="18" t="n">
        <v>249.3</v>
      </c>
      <c r="AC22" s="18" t="n">
        <v>290.9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  <c r="S23" s="25">
        <f>IFERROR(S22/O22-1,"")</f>
        <v/>
      </c>
      <c r="T23" s="25">
        <f>IFERROR(T22/P22-1,"")</f>
        <v/>
      </c>
      <c r="U23" s="25">
        <f>IFERROR(U22/Q22-1,"")</f>
        <v/>
      </c>
      <c r="V23" s="25">
        <f>IFERROR(V22/R22-1,"")</f>
        <v/>
      </c>
      <c r="W23" s="25">
        <f>IFERROR(W22/S22-1,"")</f>
        <v/>
      </c>
      <c r="X23" s="25">
        <f>IFERROR(X22/T22-1,"")</f>
        <v/>
      </c>
      <c r="Y23" s="25">
        <f>IFERROR(Y22/U22-1,"")</f>
        <v/>
      </c>
      <c r="Z23" s="25">
        <f>IFERROR(Z22/V22-1,"")</f>
        <v/>
      </c>
      <c r="AA23" s="25">
        <f>IFERROR(AA22/W22-1,"")</f>
        <v/>
      </c>
      <c r="AB23" s="25">
        <f>IFERROR(AB22/X22-1,"")</f>
        <v/>
      </c>
      <c r="AC23" s="25">
        <f>IFERROR(AC22/Y22-1,"")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  <c r="S24" s="25">
        <f>IFERROR(S22/S3,"")</f>
        <v/>
      </c>
      <c r="T24" s="25">
        <f>IFERROR(T22/T3,"")</f>
        <v/>
      </c>
      <c r="U24" s="25">
        <f>IFERROR(U22/U3,"")</f>
        <v/>
      </c>
      <c r="V24" s="25">
        <f>IFERROR(V22/V3,"")</f>
        <v/>
      </c>
      <c r="W24" s="25">
        <f>IFERROR(W22/W3,"")</f>
        <v/>
      </c>
      <c r="X24" s="25">
        <f>IFERROR(X22/X3,"")</f>
        <v/>
      </c>
      <c r="Y24" s="25">
        <f>IFERROR(Y22/Y3,"")</f>
        <v/>
      </c>
      <c r="Z24" s="25">
        <f>IFERROR(Z22/Z3,"")</f>
        <v/>
      </c>
      <c r="AA24" s="25">
        <f>IFERROR(AA22/AA3,"")</f>
        <v/>
      </c>
      <c r="AB24" s="25">
        <f>IFERROR(AB22/AB3,"")</f>
        <v/>
      </c>
      <c r="AC24" s="25">
        <f>IFERROR(AC22/AC3,"")</f>
        <v/>
      </c>
    </row>
    <row r="25">
      <c r="A25" s="4" t="inlineStr">
        <is>
          <t>UNITED STATES</t>
        </is>
      </c>
      <c r="AA25" s="18" t="n">
        <v>93.7</v>
      </c>
      <c r="AB25" s="18" t="n">
        <v>144.7</v>
      </c>
      <c r="AC25" s="18" t="n">
        <v>185.9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  <c r="S26" s="25">
        <f>IFERROR(S25/O25-1,"")</f>
        <v/>
      </c>
      <c r="T26" s="25">
        <f>IFERROR(T25/P25-1,"")</f>
        <v/>
      </c>
      <c r="U26" s="25">
        <f>IFERROR(U25/Q25-1,"")</f>
        <v/>
      </c>
      <c r="V26" s="25">
        <f>IFERROR(V25/R25-1,"")</f>
        <v/>
      </c>
      <c r="W26" s="25">
        <f>IFERROR(W25/S25-1,"")</f>
        <v/>
      </c>
      <c r="X26" s="25">
        <f>IFERROR(X25/T25-1,"")</f>
        <v/>
      </c>
      <c r="Y26" s="25">
        <f>IFERROR(Y25/U25-1,"")</f>
        <v/>
      </c>
      <c r="Z26" s="25">
        <f>IFERROR(Z25/V25-1,"")</f>
        <v/>
      </c>
      <c r="AA26" s="25">
        <f>IFERROR(AA25/W25-1,"")</f>
        <v/>
      </c>
      <c r="AB26" s="25">
        <f>IFERROR(AB25/X25-1,"")</f>
        <v/>
      </c>
      <c r="AC26" s="25">
        <f>IFERROR(AC25/Y25-1,"")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  <c r="S27" s="25">
        <f>IFERROR(S25/S3,"")</f>
        <v/>
      </c>
      <c r="T27" s="25">
        <f>IFERROR(T25/T3,"")</f>
        <v/>
      </c>
      <c r="U27" s="25">
        <f>IFERROR(U25/U3,"")</f>
        <v/>
      </c>
      <c r="V27" s="25">
        <f>IFERROR(V25/V3,"")</f>
        <v/>
      </c>
      <c r="W27" s="25">
        <f>IFERROR(W25/W3,"")</f>
        <v/>
      </c>
      <c r="X27" s="25">
        <f>IFERROR(X25/X3,"")</f>
        <v/>
      </c>
      <c r="Y27" s="25">
        <f>IFERROR(Y25/Y3,"")</f>
        <v/>
      </c>
      <c r="Z27" s="25">
        <f>IFERROR(Z25/Z3,"")</f>
        <v/>
      </c>
      <c r="AA27" s="25">
        <f>IFERROR(AA25/AA3,"")</f>
        <v/>
      </c>
      <c r="AB27" s="25">
        <f>IFERROR(AB25/AB3,"")</f>
        <v/>
      </c>
      <c r="AC27" s="25">
        <f>IFERROR(AC25/AC3,"")</f>
        <v/>
      </c>
    </row>
    <row r="28">
      <c r="A28" s="4" t="inlineStr">
        <is>
          <t>HONG KONG</t>
        </is>
      </c>
      <c r="AA28" s="18" t="n">
        <v>92.90000000000001</v>
      </c>
      <c r="AB28" s="18" t="n">
        <v>118.9</v>
      </c>
      <c r="AC28" s="18" t="n">
        <v>136</v>
      </c>
    </row>
    <row r="29">
      <c r="A29" s="4" t="inlineStr">
        <is>
          <t xml:space="preserve">    % YoY</t>
        </is>
      </c>
      <c r="F29" s="25">
        <f>IFERROR(F28/B28-1,"")</f>
        <v/>
      </c>
      <c r="G29" s="25">
        <f>IFERROR(G28/C28-1,"")</f>
        <v/>
      </c>
      <c r="H29" s="25">
        <f>IFERROR(H28/D28-1,"")</f>
        <v/>
      </c>
      <c r="I29" s="25">
        <f>IFERROR(I28/E28-1,"")</f>
        <v/>
      </c>
      <c r="J29" s="25">
        <f>IFERROR(J28/F28-1,"")</f>
        <v/>
      </c>
      <c r="K29" s="25">
        <f>IFERROR(K28/G28-1,"")</f>
        <v/>
      </c>
      <c r="L29" s="25">
        <f>IFERROR(L28/H28-1,"")</f>
        <v/>
      </c>
      <c r="M29" s="25">
        <f>IFERROR(M28/I28-1,"")</f>
        <v/>
      </c>
      <c r="N29" s="25">
        <f>IFERROR(N28/J28-1,"")</f>
        <v/>
      </c>
      <c r="O29" s="25">
        <f>IFERROR(O28/K28-1,"")</f>
        <v/>
      </c>
      <c r="P29" s="25">
        <f>IFERROR(P28/L28-1,"")</f>
        <v/>
      </c>
      <c r="Q29" s="25">
        <f>IFERROR(Q28/M28-1,"")</f>
        <v/>
      </c>
      <c r="R29" s="25">
        <f>IFERROR(R28/N28-1,"")</f>
        <v/>
      </c>
      <c r="S29" s="25">
        <f>IFERROR(S28/O28-1,"")</f>
        <v/>
      </c>
      <c r="T29" s="25">
        <f>IFERROR(T28/P28-1,"")</f>
        <v/>
      </c>
      <c r="U29" s="25">
        <f>IFERROR(U28/Q28-1,"")</f>
        <v/>
      </c>
      <c r="V29" s="25">
        <f>IFERROR(V28/R28-1,"")</f>
        <v/>
      </c>
      <c r="W29" s="25">
        <f>IFERROR(W28/S28-1,"")</f>
        <v/>
      </c>
      <c r="X29" s="25">
        <f>IFERROR(X28/T28-1,"")</f>
        <v/>
      </c>
      <c r="Y29" s="25">
        <f>IFERROR(Y28/U28-1,"")</f>
        <v/>
      </c>
      <c r="Z29" s="25">
        <f>IFERROR(Z28/V28-1,"")</f>
        <v/>
      </c>
      <c r="AA29" s="25">
        <f>IFERROR(AA28/W28-1,"")</f>
        <v/>
      </c>
      <c r="AB29" s="25">
        <f>IFERROR(AB28/X28-1,"")</f>
        <v/>
      </c>
      <c r="AC29" s="25">
        <f>IFERROR(AC28/Y28-1,"")</f>
        <v/>
      </c>
    </row>
    <row r="30">
      <c r="A30" s="4" t="inlineStr">
        <is>
          <t xml:space="preserve">    % of revenue</t>
        </is>
      </c>
      <c r="B30" s="25">
        <f>IFERROR(B28/B3,"")</f>
        <v/>
      </c>
      <c r="C30" s="25">
        <f>IFERROR(C28/C3,"")</f>
        <v/>
      </c>
      <c r="D30" s="25">
        <f>IFERROR(D28/D3,"")</f>
        <v/>
      </c>
      <c r="E30" s="25">
        <f>IFERROR(E28/E3,"")</f>
        <v/>
      </c>
      <c r="F30" s="25">
        <f>IFERROR(F28/F3,"")</f>
        <v/>
      </c>
      <c r="G30" s="25">
        <f>IFERROR(G28/G3,"")</f>
        <v/>
      </c>
      <c r="H30" s="25">
        <f>IFERROR(H28/H3,"")</f>
        <v/>
      </c>
      <c r="I30" s="25">
        <f>IFERROR(I28/I3,"")</f>
        <v/>
      </c>
      <c r="J30" s="25">
        <f>IFERROR(J28/J3,"")</f>
        <v/>
      </c>
      <c r="K30" s="25">
        <f>IFERROR(K28/K3,"")</f>
        <v/>
      </c>
      <c r="L30" s="25">
        <f>IFERROR(L28/L3,"")</f>
        <v/>
      </c>
      <c r="M30" s="25">
        <f>IFERROR(M28/M3,"")</f>
        <v/>
      </c>
      <c r="N30" s="25">
        <f>IFERROR(N28/N3,"")</f>
        <v/>
      </c>
      <c r="O30" s="25">
        <f>IFERROR(O28/O3,"")</f>
        <v/>
      </c>
      <c r="P30" s="25">
        <f>IFERROR(P28/P3,"")</f>
        <v/>
      </c>
      <c r="Q30" s="25">
        <f>IFERROR(Q28/Q3,"")</f>
        <v/>
      </c>
      <c r="R30" s="25">
        <f>IFERROR(R28/R3,"")</f>
        <v/>
      </c>
      <c r="S30" s="25">
        <f>IFERROR(S28/S3,"")</f>
        <v/>
      </c>
      <c r="T30" s="25">
        <f>IFERROR(T28/T3,"")</f>
        <v/>
      </c>
      <c r="U30" s="25">
        <f>IFERROR(U28/U3,"")</f>
        <v/>
      </c>
      <c r="V30" s="25">
        <f>IFERROR(V28/V3,"")</f>
        <v/>
      </c>
      <c r="W30" s="25">
        <f>IFERROR(W28/W3,"")</f>
        <v/>
      </c>
      <c r="X30" s="25">
        <f>IFERROR(X28/X3,"")</f>
        <v/>
      </c>
      <c r="Y30" s="25">
        <f>IFERROR(Y28/Y3,"")</f>
        <v/>
      </c>
      <c r="Z30" s="25">
        <f>IFERROR(Z28/Z3,"")</f>
        <v/>
      </c>
      <c r="AA30" s="25">
        <f>IFERROR(AA28/AA3,"")</f>
        <v/>
      </c>
      <c r="AB30" s="25">
        <f>IFERROR(AB28/AB3,"")</f>
        <v/>
      </c>
      <c r="AC30" s="25">
        <f>IFERROR(AC28/AC3,"")</f>
        <v/>
      </c>
    </row>
    <row r="31">
      <c r="A31" s="4" t="inlineStr">
        <is>
          <t>MEXICO</t>
        </is>
      </c>
      <c r="AA31" s="18" t="n">
        <v>73.59999999999999</v>
      </c>
      <c r="AB31" s="18" t="n">
        <v>102.6</v>
      </c>
      <c r="AC31" s="18" t="n">
        <v>103.4</v>
      </c>
    </row>
    <row r="32">
      <c r="A32" s="4" t="inlineStr">
        <is>
          <t xml:space="preserve">    % YoY</t>
        </is>
      </c>
      <c r="F32" s="25">
        <f>IFERROR(F31/B31-1,"")</f>
        <v/>
      </c>
      <c r="G32" s="25">
        <f>IFERROR(G31/C31-1,"")</f>
        <v/>
      </c>
      <c r="H32" s="25">
        <f>IFERROR(H31/D31-1,"")</f>
        <v/>
      </c>
      <c r="I32" s="25">
        <f>IFERROR(I31/E31-1,"")</f>
        <v/>
      </c>
      <c r="J32" s="25">
        <f>IFERROR(J31/F31-1,"")</f>
        <v/>
      </c>
      <c r="K32" s="25">
        <f>IFERROR(K31/G31-1,"")</f>
        <v/>
      </c>
      <c r="L32" s="25">
        <f>IFERROR(L31/H31-1,"")</f>
        <v/>
      </c>
      <c r="M32" s="25">
        <f>IFERROR(M31/I31-1,"")</f>
        <v/>
      </c>
      <c r="N32" s="25">
        <f>IFERROR(N31/J31-1,"")</f>
        <v/>
      </c>
      <c r="O32" s="25">
        <f>IFERROR(O31/K31-1,"")</f>
        <v/>
      </c>
      <c r="P32" s="25">
        <f>IFERROR(P31/L31-1,"")</f>
        <v/>
      </c>
      <c r="Q32" s="25">
        <f>IFERROR(Q31/M31-1,"")</f>
        <v/>
      </c>
      <c r="R32" s="25">
        <f>IFERROR(R31/N31-1,"")</f>
        <v/>
      </c>
      <c r="S32" s="25">
        <f>IFERROR(S31/O31-1,"")</f>
        <v/>
      </c>
      <c r="T32" s="25">
        <f>IFERROR(T31/P31-1,"")</f>
        <v/>
      </c>
      <c r="U32" s="25">
        <f>IFERROR(U31/Q31-1,"")</f>
        <v/>
      </c>
      <c r="V32" s="25">
        <f>IFERROR(V31/R31-1,"")</f>
        <v/>
      </c>
      <c r="W32" s="25">
        <f>IFERROR(W31/S31-1,"")</f>
        <v/>
      </c>
      <c r="X32" s="25">
        <f>IFERROR(X31/T31-1,"")</f>
        <v/>
      </c>
      <c r="Y32" s="25">
        <f>IFERROR(Y31/U31-1,"")</f>
        <v/>
      </c>
      <c r="Z32" s="25">
        <f>IFERROR(Z31/V31-1,"")</f>
        <v/>
      </c>
      <c r="AA32" s="25">
        <f>IFERROR(AA31/W31-1,"")</f>
        <v/>
      </c>
      <c r="AB32" s="25">
        <f>IFERROR(AB31/X31-1,"")</f>
        <v/>
      </c>
      <c r="AC32" s="25">
        <f>IFERROR(AC31/Y31-1,"")</f>
        <v/>
      </c>
    </row>
    <row r="33">
      <c r="A33" s="4" t="inlineStr">
        <is>
          <t xml:space="preserve">    % of revenue</t>
        </is>
      </c>
      <c r="B33" s="25">
        <f>IFERROR(B31/B3,"")</f>
        <v/>
      </c>
      <c r="C33" s="25">
        <f>IFERROR(C31/C3,"")</f>
        <v/>
      </c>
      <c r="D33" s="25">
        <f>IFERROR(D31/D3,"")</f>
        <v/>
      </c>
      <c r="E33" s="25">
        <f>IFERROR(E31/E3,"")</f>
        <v/>
      </c>
      <c r="F33" s="25">
        <f>IFERROR(F31/F3,"")</f>
        <v/>
      </c>
      <c r="G33" s="25">
        <f>IFERROR(G31/G3,"")</f>
        <v/>
      </c>
      <c r="H33" s="25">
        <f>IFERROR(H31/H3,"")</f>
        <v/>
      </c>
      <c r="I33" s="25">
        <f>IFERROR(I31/I3,"")</f>
        <v/>
      </c>
      <c r="J33" s="25">
        <f>IFERROR(J31/J3,"")</f>
        <v/>
      </c>
      <c r="K33" s="25">
        <f>IFERROR(K31/K3,"")</f>
        <v/>
      </c>
      <c r="L33" s="25">
        <f>IFERROR(L31/L3,"")</f>
        <v/>
      </c>
      <c r="M33" s="25">
        <f>IFERROR(M31/M3,"")</f>
        <v/>
      </c>
      <c r="N33" s="25">
        <f>IFERROR(N31/N3,"")</f>
        <v/>
      </c>
      <c r="O33" s="25">
        <f>IFERROR(O31/O3,"")</f>
        <v/>
      </c>
      <c r="P33" s="25">
        <f>IFERROR(P31/P3,"")</f>
        <v/>
      </c>
      <c r="Q33" s="25">
        <f>IFERROR(Q31/Q3,"")</f>
        <v/>
      </c>
      <c r="R33" s="25">
        <f>IFERROR(R31/R3,"")</f>
        <v/>
      </c>
      <c r="S33" s="25">
        <f>IFERROR(S31/S3,"")</f>
        <v/>
      </c>
      <c r="T33" s="25">
        <f>IFERROR(T31/T3,"")</f>
        <v/>
      </c>
      <c r="U33" s="25">
        <f>IFERROR(U31/U3,"")</f>
        <v/>
      </c>
      <c r="V33" s="25">
        <f>IFERROR(V31/V3,"")</f>
        <v/>
      </c>
      <c r="W33" s="25">
        <f>IFERROR(W31/W3,"")</f>
        <v/>
      </c>
      <c r="X33" s="25">
        <f>IFERROR(X31/X3,"")</f>
        <v/>
      </c>
      <c r="Y33" s="25">
        <f>IFERROR(Y31/Y3,"")</f>
        <v/>
      </c>
      <c r="Z33" s="25">
        <f>IFERROR(Z31/Z3,"")</f>
        <v/>
      </c>
      <c r="AA33" s="25">
        <f>IFERROR(AA31/AA3,"")</f>
        <v/>
      </c>
      <c r="AB33" s="25">
        <f>IFERROR(AB31/AB3,"")</f>
        <v/>
      </c>
      <c r="AC33" s="25">
        <f>IFERROR(AC31/AC3,"")</f>
        <v/>
      </c>
    </row>
    <row r="34">
      <c r="A34" s="4" t="inlineStr">
        <is>
          <t>CHINA</t>
        </is>
      </c>
      <c r="AA34" s="18" t="n">
        <v>49.3</v>
      </c>
      <c r="AB34" s="18" t="n">
        <v>54.6</v>
      </c>
      <c r="AC34" s="18" t="n">
        <v>70.2</v>
      </c>
    </row>
    <row r="35">
      <c r="A35" s="4" t="inlineStr">
        <is>
          <t xml:space="preserve">    % YoY</t>
        </is>
      </c>
      <c r="F35" s="25">
        <f>IFERROR(F34/B34-1,"")</f>
        <v/>
      </c>
      <c r="G35" s="25">
        <f>IFERROR(G34/C34-1,"")</f>
        <v/>
      </c>
      <c r="H35" s="25">
        <f>IFERROR(H34/D34-1,"")</f>
        <v/>
      </c>
      <c r="I35" s="25">
        <f>IFERROR(I34/E34-1,"")</f>
        <v/>
      </c>
      <c r="J35" s="25">
        <f>IFERROR(J34/F34-1,"")</f>
        <v/>
      </c>
      <c r="K35" s="25">
        <f>IFERROR(K34/G34-1,"")</f>
        <v/>
      </c>
      <c r="L35" s="25">
        <f>IFERROR(L34/H34-1,"")</f>
        <v/>
      </c>
      <c r="M35" s="25">
        <f>IFERROR(M34/I34-1,"")</f>
        <v/>
      </c>
      <c r="N35" s="25">
        <f>IFERROR(N34/J34-1,"")</f>
        <v/>
      </c>
      <c r="O35" s="25">
        <f>IFERROR(O34/K34-1,"")</f>
        <v/>
      </c>
      <c r="P35" s="25">
        <f>IFERROR(P34/L34-1,"")</f>
        <v/>
      </c>
      <c r="Q35" s="25">
        <f>IFERROR(Q34/M34-1,"")</f>
        <v/>
      </c>
      <c r="R35" s="25">
        <f>IFERROR(R34/N34-1,"")</f>
        <v/>
      </c>
      <c r="S35" s="25">
        <f>IFERROR(S34/O34-1,"")</f>
        <v/>
      </c>
      <c r="T35" s="25">
        <f>IFERROR(T34/P34-1,"")</f>
        <v/>
      </c>
      <c r="U35" s="25">
        <f>IFERROR(U34/Q34-1,"")</f>
        <v/>
      </c>
      <c r="V35" s="25">
        <f>IFERROR(V34/R34-1,"")</f>
        <v/>
      </c>
      <c r="W35" s="25">
        <f>IFERROR(W34/S34-1,"")</f>
        <v/>
      </c>
      <c r="X35" s="25">
        <f>IFERROR(X34/T34-1,"")</f>
        <v/>
      </c>
      <c r="Y35" s="25">
        <f>IFERROR(Y34/U34-1,"")</f>
        <v/>
      </c>
      <c r="Z35" s="25">
        <f>IFERROR(Z34/V34-1,"")</f>
        <v/>
      </c>
      <c r="AA35" s="25">
        <f>IFERROR(AA34/W34-1,"")</f>
        <v/>
      </c>
      <c r="AB35" s="25">
        <f>IFERROR(AB34/X34-1,"")</f>
        <v/>
      </c>
      <c r="AC35" s="25">
        <f>IFERROR(AC34/Y34-1,"")</f>
        <v/>
      </c>
    </row>
    <row r="36">
      <c r="A36" s="4" t="inlineStr">
        <is>
          <t xml:space="preserve">    % of revenue</t>
        </is>
      </c>
      <c r="B36" s="25">
        <f>IFERROR(B34/B3,"")</f>
        <v/>
      </c>
      <c r="C36" s="25">
        <f>IFERROR(C34/C3,"")</f>
        <v/>
      </c>
      <c r="D36" s="25">
        <f>IFERROR(D34/D3,"")</f>
        <v/>
      </c>
      <c r="E36" s="25">
        <f>IFERROR(E34/E3,"")</f>
        <v/>
      </c>
      <c r="F36" s="25">
        <f>IFERROR(F34/F3,"")</f>
        <v/>
      </c>
      <c r="G36" s="25">
        <f>IFERROR(G34/G3,"")</f>
        <v/>
      </c>
      <c r="H36" s="25">
        <f>IFERROR(H34/H3,"")</f>
        <v/>
      </c>
      <c r="I36" s="25">
        <f>IFERROR(I34/I3,"")</f>
        <v/>
      </c>
      <c r="J36" s="25">
        <f>IFERROR(J34/J3,"")</f>
        <v/>
      </c>
      <c r="K36" s="25">
        <f>IFERROR(K34/K3,"")</f>
        <v/>
      </c>
      <c r="L36" s="25">
        <f>IFERROR(L34/L3,"")</f>
        <v/>
      </c>
      <c r="M36" s="25">
        <f>IFERROR(M34/M3,"")</f>
        <v/>
      </c>
      <c r="N36" s="25">
        <f>IFERROR(N34/N3,"")</f>
        <v/>
      </c>
      <c r="O36" s="25">
        <f>IFERROR(O34/O3,"")</f>
        <v/>
      </c>
      <c r="P36" s="25">
        <f>IFERROR(P34/P3,"")</f>
        <v/>
      </c>
      <c r="Q36" s="25">
        <f>IFERROR(Q34/Q3,"")</f>
        <v/>
      </c>
      <c r="R36" s="25">
        <f>IFERROR(R34/R3,"")</f>
        <v/>
      </c>
      <c r="S36" s="25">
        <f>IFERROR(S34/S3,"")</f>
        <v/>
      </c>
      <c r="T36" s="25">
        <f>IFERROR(T34/T3,"")</f>
        <v/>
      </c>
      <c r="U36" s="25">
        <f>IFERROR(U34/U3,"")</f>
        <v/>
      </c>
      <c r="V36" s="25">
        <f>IFERROR(V34/V3,"")</f>
        <v/>
      </c>
      <c r="W36" s="25">
        <f>IFERROR(W34/W3,"")</f>
        <v/>
      </c>
      <c r="X36" s="25">
        <f>IFERROR(X34/X3,"")</f>
        <v/>
      </c>
      <c r="Y36" s="25">
        <f>IFERROR(Y34/Y3,"")</f>
        <v/>
      </c>
      <c r="Z36" s="25">
        <f>IFERROR(Z34/Z3,"")</f>
        <v/>
      </c>
      <c r="AA36" s="25">
        <f>IFERROR(AA34/AA3,"")</f>
        <v/>
      </c>
      <c r="AB36" s="25">
        <f>IFERROR(AB34/AB3,"")</f>
        <v/>
      </c>
      <c r="AC36" s="25">
        <f>IFERROR(AC34/AC3,"")</f>
        <v/>
      </c>
    </row>
    <row r="37">
      <c r="A37" s="4" t="inlineStr">
        <is>
          <t>Other Asia Pacific Not Individually Identified</t>
        </is>
      </c>
      <c r="AA37" s="18" t="n">
        <v>49.4</v>
      </c>
      <c r="AB37" s="18" t="n">
        <v>55.8</v>
      </c>
      <c r="AC37" s="18" t="n">
        <v>52.7</v>
      </c>
    </row>
    <row r="38">
      <c r="A38" s="4" t="inlineStr">
        <is>
          <t xml:space="preserve">    % YoY</t>
        </is>
      </c>
      <c r="F38" s="25">
        <f>IFERROR(F37/B37-1,"")</f>
        <v/>
      </c>
      <c r="G38" s="25">
        <f>IFERROR(G37/C37-1,"")</f>
        <v/>
      </c>
      <c r="H38" s="25">
        <f>IFERROR(H37/D37-1,"")</f>
        <v/>
      </c>
      <c r="I38" s="25">
        <f>IFERROR(I37/E37-1,"")</f>
        <v/>
      </c>
      <c r="J38" s="25">
        <f>IFERROR(J37/F37-1,"")</f>
        <v/>
      </c>
      <c r="K38" s="25">
        <f>IFERROR(K37/G37-1,"")</f>
        <v/>
      </c>
      <c r="L38" s="25">
        <f>IFERROR(L37/H37-1,"")</f>
        <v/>
      </c>
      <c r="M38" s="25">
        <f>IFERROR(M37/I37-1,"")</f>
        <v/>
      </c>
      <c r="N38" s="25">
        <f>IFERROR(N37/J37-1,"")</f>
        <v/>
      </c>
      <c r="O38" s="25">
        <f>IFERROR(O37/K37-1,"")</f>
        <v/>
      </c>
      <c r="P38" s="25">
        <f>IFERROR(P37/L37-1,"")</f>
        <v/>
      </c>
      <c r="Q38" s="25">
        <f>IFERROR(Q37/M37-1,"")</f>
        <v/>
      </c>
      <c r="R38" s="25">
        <f>IFERROR(R37/N37-1,"")</f>
        <v/>
      </c>
      <c r="S38" s="25">
        <f>IFERROR(S37/O37-1,"")</f>
        <v/>
      </c>
      <c r="T38" s="25">
        <f>IFERROR(T37/P37-1,"")</f>
        <v/>
      </c>
      <c r="U38" s="25">
        <f>IFERROR(U37/Q37-1,"")</f>
        <v/>
      </c>
      <c r="V38" s="25">
        <f>IFERROR(V37/R37-1,"")</f>
        <v/>
      </c>
      <c r="W38" s="25">
        <f>IFERROR(W37/S37-1,"")</f>
        <v/>
      </c>
      <c r="X38" s="25">
        <f>IFERROR(X37/T37-1,"")</f>
        <v/>
      </c>
      <c r="Y38" s="25">
        <f>IFERROR(Y37/U37-1,"")</f>
        <v/>
      </c>
      <c r="Z38" s="25">
        <f>IFERROR(Z37/V37-1,"")</f>
        <v/>
      </c>
      <c r="AA38" s="25">
        <f>IFERROR(AA37/W37-1,"")</f>
        <v/>
      </c>
      <c r="AB38" s="25">
        <f>IFERROR(AB37/X37-1,"")</f>
        <v/>
      </c>
      <c r="AC38" s="25">
        <f>IFERROR(AC37/Y37-1,"")</f>
        <v/>
      </c>
    </row>
    <row r="39">
      <c r="A39" s="4" t="inlineStr">
        <is>
          <t xml:space="preserve">    % of revenue</t>
        </is>
      </c>
      <c r="B39" s="25">
        <f>IFERROR(B37/B3,"")</f>
        <v/>
      </c>
      <c r="C39" s="25">
        <f>IFERROR(C37/C3,"")</f>
        <v/>
      </c>
      <c r="D39" s="25">
        <f>IFERROR(D37/D3,"")</f>
        <v/>
      </c>
      <c r="E39" s="25">
        <f>IFERROR(E37/E3,"")</f>
        <v/>
      </c>
      <c r="F39" s="25">
        <f>IFERROR(F37/F3,"")</f>
        <v/>
      </c>
      <c r="G39" s="25">
        <f>IFERROR(G37/G3,"")</f>
        <v/>
      </c>
      <c r="H39" s="25">
        <f>IFERROR(H37/H3,"")</f>
        <v/>
      </c>
      <c r="I39" s="25">
        <f>IFERROR(I37/I3,"")</f>
        <v/>
      </c>
      <c r="J39" s="25">
        <f>IFERROR(J37/J3,"")</f>
        <v/>
      </c>
      <c r="K39" s="25">
        <f>IFERROR(K37/K3,"")</f>
        <v/>
      </c>
      <c r="L39" s="25">
        <f>IFERROR(L37/L3,"")</f>
        <v/>
      </c>
      <c r="M39" s="25">
        <f>IFERROR(M37/M3,"")</f>
        <v/>
      </c>
      <c r="N39" s="25">
        <f>IFERROR(N37/N3,"")</f>
        <v/>
      </c>
      <c r="O39" s="25">
        <f>IFERROR(O37/O3,"")</f>
        <v/>
      </c>
      <c r="P39" s="25">
        <f>IFERROR(P37/P3,"")</f>
        <v/>
      </c>
      <c r="Q39" s="25">
        <f>IFERROR(Q37/Q3,"")</f>
        <v/>
      </c>
      <c r="R39" s="25">
        <f>IFERROR(R37/R3,"")</f>
        <v/>
      </c>
      <c r="S39" s="25">
        <f>IFERROR(S37/S3,"")</f>
        <v/>
      </c>
      <c r="T39" s="25">
        <f>IFERROR(T37/T3,"")</f>
        <v/>
      </c>
      <c r="U39" s="25">
        <f>IFERROR(U37/U3,"")</f>
        <v/>
      </c>
      <c r="V39" s="25">
        <f>IFERROR(V37/V3,"")</f>
        <v/>
      </c>
      <c r="W39" s="25">
        <f>IFERROR(W37/W3,"")</f>
        <v/>
      </c>
      <c r="X39" s="25">
        <f>IFERROR(X37/X3,"")</f>
        <v/>
      </c>
      <c r="Y39" s="25">
        <f>IFERROR(Y37/Y3,"")</f>
        <v/>
      </c>
      <c r="Z39" s="25">
        <f>IFERROR(Z37/Z3,"")</f>
        <v/>
      </c>
      <c r="AA39" s="25">
        <f>IFERROR(AA37/AA3,"")</f>
        <v/>
      </c>
      <c r="AB39" s="25">
        <f>IFERROR(AB37/AB3,"")</f>
        <v/>
      </c>
      <c r="AC39" s="25">
        <f>IFERROR(AC37/AC3,"")</f>
        <v/>
      </c>
    </row>
    <row r="40">
      <c r="A40" s="4" t="inlineStr">
        <is>
          <t>EMEA</t>
        </is>
      </c>
      <c r="B40" s="18" t="n">
        <v>50</v>
      </c>
      <c r="C40" s="18" t="n">
        <v>32.299999</v>
      </c>
      <c r="D40" s="18" t="n">
        <v>37.1</v>
      </c>
      <c r="E40" s="18" t="n">
        <v>27.4</v>
      </c>
      <c r="F40" s="18" t="n">
        <v>26.9</v>
      </c>
      <c r="T40" s="18" t="n">
        <v>30.4</v>
      </c>
      <c r="U40" s="18" t="n">
        <v>32.299999</v>
      </c>
      <c r="V40" s="18" t="n">
        <v>65.500001</v>
      </c>
      <c r="W40" s="18" t="n">
        <v>30.6</v>
      </c>
      <c r="X40" s="18" t="n">
        <v>40.8</v>
      </c>
      <c r="Y40" s="18" t="n">
        <v>42.3</v>
      </c>
      <c r="Z40" s="18" t="n">
        <v>49.8</v>
      </c>
      <c r="AA40" s="18" t="n">
        <v>36.2</v>
      </c>
      <c r="AB40" s="18" t="n">
        <v>40.1</v>
      </c>
      <c r="AC40" s="18" t="n">
        <v>52.6</v>
      </c>
    </row>
    <row r="41">
      <c r="A41" s="4" t="inlineStr">
        <is>
          <t xml:space="preserve">    % YoY</t>
        </is>
      </c>
      <c r="F41" s="25">
        <f>IFERROR(F40/B40-1,"")</f>
        <v/>
      </c>
      <c r="G41" s="25">
        <f>IFERROR(G40/C40-1,"")</f>
        <v/>
      </c>
      <c r="H41" s="25">
        <f>IFERROR(H40/D40-1,"")</f>
        <v/>
      </c>
      <c r="I41" s="25">
        <f>IFERROR(I40/E40-1,"")</f>
        <v/>
      </c>
      <c r="J41" s="25">
        <f>IFERROR(J40/F40-1,"")</f>
        <v/>
      </c>
      <c r="K41" s="25">
        <f>IFERROR(K40/G40-1,"")</f>
        <v/>
      </c>
      <c r="L41" s="25">
        <f>IFERROR(L40/H40-1,"")</f>
        <v/>
      </c>
      <c r="M41" s="25">
        <f>IFERROR(M40/I40-1,"")</f>
        <v/>
      </c>
      <c r="N41" s="25">
        <f>IFERROR(N40/J40-1,"")</f>
        <v/>
      </c>
      <c r="O41" s="25">
        <f>IFERROR(O40/K40-1,"")</f>
        <v/>
      </c>
      <c r="P41" s="25">
        <f>IFERROR(P40/L40-1,"")</f>
        <v/>
      </c>
      <c r="Q41" s="25">
        <f>IFERROR(Q40/M40-1,"")</f>
        <v/>
      </c>
      <c r="R41" s="25">
        <f>IFERROR(R40/N40-1,"")</f>
        <v/>
      </c>
      <c r="S41" s="25">
        <f>IFERROR(S40/O40-1,"")</f>
        <v/>
      </c>
      <c r="T41" s="25">
        <f>IFERROR(T40/P40-1,"")</f>
        <v/>
      </c>
      <c r="U41" s="25">
        <f>IFERROR(U40/Q40-1,"")</f>
        <v/>
      </c>
      <c r="V41" s="25">
        <f>IFERROR(V40/R40-1,"")</f>
        <v/>
      </c>
      <c r="W41" s="25">
        <f>IFERROR(W40/S40-1,"")</f>
        <v/>
      </c>
      <c r="X41" s="25">
        <f>IFERROR(X40/T40-1,"")</f>
        <v/>
      </c>
      <c r="Y41" s="25">
        <f>IFERROR(Y40/U40-1,"")</f>
        <v/>
      </c>
      <c r="Z41" s="25">
        <f>IFERROR(Z40/V40-1,"")</f>
        <v/>
      </c>
      <c r="AA41" s="25">
        <f>IFERROR(AA40/W40-1,"")</f>
        <v/>
      </c>
      <c r="AB41" s="25">
        <f>IFERROR(AB40/X40-1,"")</f>
        <v/>
      </c>
      <c r="AC41" s="25">
        <f>IFERROR(AC40/Y40-1,"")</f>
        <v/>
      </c>
    </row>
    <row r="42">
      <c r="A42" s="4" t="inlineStr">
        <is>
          <t xml:space="preserve">    % of revenue</t>
        </is>
      </c>
      <c r="B42" s="25">
        <f>IFERROR(B40/B3,"")</f>
        <v/>
      </c>
      <c r="C42" s="25">
        <f>IFERROR(C40/C3,"")</f>
        <v/>
      </c>
      <c r="D42" s="25">
        <f>IFERROR(D40/D3,"")</f>
        <v/>
      </c>
      <c r="E42" s="25">
        <f>IFERROR(E40/E3,"")</f>
        <v/>
      </c>
      <c r="F42" s="25">
        <f>IFERROR(F40/F3,"")</f>
        <v/>
      </c>
      <c r="G42" s="25">
        <f>IFERROR(G40/G3,"")</f>
        <v/>
      </c>
      <c r="H42" s="25">
        <f>IFERROR(H40/H3,"")</f>
        <v/>
      </c>
      <c r="I42" s="25">
        <f>IFERROR(I40/I3,"")</f>
        <v/>
      </c>
      <c r="J42" s="25">
        <f>IFERROR(J40/J3,"")</f>
        <v/>
      </c>
      <c r="K42" s="25">
        <f>IFERROR(K40/K3,"")</f>
        <v/>
      </c>
      <c r="L42" s="25">
        <f>IFERROR(L40/L3,"")</f>
        <v/>
      </c>
      <c r="M42" s="25">
        <f>IFERROR(M40/M3,"")</f>
        <v/>
      </c>
      <c r="N42" s="25">
        <f>IFERROR(N40/N3,"")</f>
        <v/>
      </c>
      <c r="O42" s="25">
        <f>IFERROR(O40/O3,"")</f>
        <v/>
      </c>
      <c r="P42" s="25">
        <f>IFERROR(P40/P3,"")</f>
        <v/>
      </c>
      <c r="Q42" s="25">
        <f>IFERROR(Q40/Q3,"")</f>
        <v/>
      </c>
      <c r="R42" s="25">
        <f>IFERROR(R40/R3,"")</f>
        <v/>
      </c>
      <c r="S42" s="25">
        <f>IFERROR(S40/S3,"")</f>
        <v/>
      </c>
      <c r="T42" s="25">
        <f>IFERROR(T40/T3,"")</f>
        <v/>
      </c>
      <c r="U42" s="25">
        <f>IFERROR(U40/U3,"")</f>
        <v/>
      </c>
      <c r="V42" s="25">
        <f>IFERROR(V40/V3,"")</f>
        <v/>
      </c>
      <c r="W42" s="25">
        <f>IFERROR(W40/W3,"")</f>
        <v/>
      </c>
      <c r="X42" s="25">
        <f>IFERROR(X40/X3,"")</f>
        <v/>
      </c>
      <c r="Y42" s="25">
        <f>IFERROR(Y40/Y3,"")</f>
        <v/>
      </c>
      <c r="Z42" s="25">
        <f>IFERROR(Z40/Z3,"")</f>
        <v/>
      </c>
      <c r="AA42" s="25">
        <f>IFERROR(AA40/AA3,"")</f>
        <v/>
      </c>
      <c r="AB42" s="25">
        <f>IFERROR(AB40/AB3,"")</f>
        <v/>
      </c>
      <c r="AC42" s="25">
        <f>IFERROR(AC40/AC3,"")</f>
        <v/>
      </c>
    </row>
    <row r="43">
      <c r="A43" s="4" t="inlineStr">
        <is>
          <t>JAPAN</t>
        </is>
      </c>
      <c r="AA43" s="18" t="n">
        <v>21</v>
      </c>
      <c r="AB43" s="18" t="n">
        <v>23.8</v>
      </c>
      <c r="AC43" s="18" t="n">
        <v>29.2</v>
      </c>
    </row>
    <row r="44">
      <c r="A44" s="4" t="inlineStr">
        <is>
          <t xml:space="preserve">    % YoY</t>
        </is>
      </c>
      <c r="F44" s="25">
        <f>IFERROR(F43/B43-1,"")</f>
        <v/>
      </c>
      <c r="G44" s="25">
        <f>IFERROR(G43/C43-1,"")</f>
        <v/>
      </c>
      <c r="H44" s="25">
        <f>IFERROR(H43/D43-1,"")</f>
        <v/>
      </c>
      <c r="I44" s="25">
        <f>IFERROR(I43/E43-1,"")</f>
        <v/>
      </c>
      <c r="J44" s="25">
        <f>IFERROR(J43/F43-1,"")</f>
        <v/>
      </c>
      <c r="K44" s="25">
        <f>IFERROR(K43/G43-1,"")</f>
        <v/>
      </c>
      <c r="L44" s="25">
        <f>IFERROR(L43/H43-1,"")</f>
        <v/>
      </c>
      <c r="M44" s="25">
        <f>IFERROR(M43/I43-1,"")</f>
        <v/>
      </c>
      <c r="N44" s="25">
        <f>IFERROR(N43/J43-1,"")</f>
        <v/>
      </c>
      <c r="O44" s="25">
        <f>IFERROR(O43/K43-1,"")</f>
        <v/>
      </c>
      <c r="P44" s="25">
        <f>IFERROR(P43/L43-1,"")</f>
        <v/>
      </c>
      <c r="Q44" s="25">
        <f>IFERROR(Q43/M43-1,"")</f>
        <v/>
      </c>
      <c r="R44" s="25">
        <f>IFERROR(R43/N43-1,"")</f>
        <v/>
      </c>
      <c r="S44" s="25">
        <f>IFERROR(S43/O43-1,"")</f>
        <v/>
      </c>
      <c r="T44" s="25">
        <f>IFERROR(T43/P43-1,"")</f>
        <v/>
      </c>
      <c r="U44" s="25">
        <f>IFERROR(U43/Q43-1,"")</f>
        <v/>
      </c>
      <c r="V44" s="25">
        <f>IFERROR(V43/R43-1,"")</f>
        <v/>
      </c>
      <c r="W44" s="25">
        <f>IFERROR(W43/S43-1,"")</f>
        <v/>
      </c>
      <c r="X44" s="25">
        <f>IFERROR(X43/T43-1,"")</f>
        <v/>
      </c>
      <c r="Y44" s="25">
        <f>IFERROR(Y43/U43-1,"")</f>
        <v/>
      </c>
      <c r="Z44" s="25">
        <f>IFERROR(Z43/V43-1,"")</f>
        <v/>
      </c>
      <c r="AA44" s="25">
        <f>IFERROR(AA43/W43-1,"")</f>
        <v/>
      </c>
      <c r="AB44" s="25">
        <f>IFERROR(AB43/X43-1,"")</f>
        <v/>
      </c>
      <c r="AC44" s="25">
        <f>IFERROR(AC43/Y43-1,"")</f>
        <v/>
      </c>
    </row>
    <row r="45">
      <c r="A45" s="4" t="inlineStr">
        <is>
          <t xml:space="preserve">    % of revenue</t>
        </is>
      </c>
      <c r="B45" s="25">
        <f>IFERROR(B43/B3,"")</f>
        <v/>
      </c>
      <c r="C45" s="25">
        <f>IFERROR(C43/C3,"")</f>
        <v/>
      </c>
      <c r="D45" s="25">
        <f>IFERROR(D43/D3,"")</f>
        <v/>
      </c>
      <c r="E45" s="25">
        <f>IFERROR(E43/E3,"")</f>
        <v/>
      </c>
      <c r="F45" s="25">
        <f>IFERROR(F43/F3,"")</f>
        <v/>
      </c>
      <c r="G45" s="25">
        <f>IFERROR(G43/G3,"")</f>
        <v/>
      </c>
      <c r="H45" s="25">
        <f>IFERROR(H43/H3,"")</f>
        <v/>
      </c>
      <c r="I45" s="25">
        <f>IFERROR(I43/I3,"")</f>
        <v/>
      </c>
      <c r="J45" s="25">
        <f>IFERROR(J43/J3,"")</f>
        <v/>
      </c>
      <c r="K45" s="25">
        <f>IFERROR(K43/K3,"")</f>
        <v/>
      </c>
      <c r="L45" s="25">
        <f>IFERROR(L43/L3,"")</f>
        <v/>
      </c>
      <c r="M45" s="25">
        <f>IFERROR(M43/M3,"")</f>
        <v/>
      </c>
      <c r="N45" s="25">
        <f>IFERROR(N43/N3,"")</f>
        <v/>
      </c>
      <c r="O45" s="25">
        <f>IFERROR(O43/O3,"")</f>
        <v/>
      </c>
      <c r="P45" s="25">
        <f>IFERROR(P43/P3,"")</f>
        <v/>
      </c>
      <c r="Q45" s="25">
        <f>IFERROR(Q43/Q3,"")</f>
        <v/>
      </c>
      <c r="R45" s="25">
        <f>IFERROR(R43/R3,"")</f>
        <v/>
      </c>
      <c r="S45" s="25">
        <f>IFERROR(S43/S3,"")</f>
        <v/>
      </c>
      <c r="T45" s="25">
        <f>IFERROR(T43/T3,"")</f>
        <v/>
      </c>
      <c r="U45" s="25">
        <f>IFERROR(U43/U3,"")</f>
        <v/>
      </c>
      <c r="V45" s="25">
        <f>IFERROR(V43/V3,"")</f>
        <v/>
      </c>
      <c r="W45" s="25">
        <f>IFERROR(W43/W3,"")</f>
        <v/>
      </c>
      <c r="X45" s="25">
        <f>IFERROR(X43/X3,"")</f>
        <v/>
      </c>
      <c r="Y45" s="25">
        <f>IFERROR(Y43/Y3,"")</f>
        <v/>
      </c>
      <c r="Z45" s="25">
        <f>IFERROR(Z43/Z3,"")</f>
        <v/>
      </c>
      <c r="AA45" s="25">
        <f>IFERROR(AA43/AA3,"")</f>
        <v/>
      </c>
      <c r="AB45" s="25">
        <f>IFERROR(AB43/AB3,"")</f>
        <v/>
      </c>
      <c r="AC45" s="25">
        <f>IFERROR(AC43/AC3,"")</f>
        <v/>
      </c>
    </row>
    <row r="46">
      <c r="A46" s="4" t="inlineStr">
        <is>
          <t>Americas Excluding United States And Mexico</t>
        </is>
      </c>
      <c r="AA46" s="18" t="n">
        <v>8.6</v>
      </c>
      <c r="AB46" s="18" t="n">
        <v>2</v>
      </c>
      <c r="AC46" s="18" t="n">
        <v>1.6</v>
      </c>
    </row>
    <row r="47">
      <c r="A47" s="4" t="inlineStr">
        <is>
          <t xml:space="preserve">    % YoY</t>
        </is>
      </c>
      <c r="F47" s="25">
        <f>IFERROR(F46/B46-1,"")</f>
        <v/>
      </c>
      <c r="G47" s="25">
        <f>IFERROR(G46/C46-1,"")</f>
        <v/>
      </c>
      <c r="H47" s="25">
        <f>IFERROR(H46/D46-1,"")</f>
        <v/>
      </c>
      <c r="I47" s="25">
        <f>IFERROR(I46/E46-1,"")</f>
        <v/>
      </c>
      <c r="J47" s="25">
        <f>IFERROR(J46/F46-1,"")</f>
        <v/>
      </c>
      <c r="K47" s="25">
        <f>IFERROR(K46/G46-1,"")</f>
        <v/>
      </c>
      <c r="L47" s="25">
        <f>IFERROR(L46/H46-1,"")</f>
        <v/>
      </c>
      <c r="M47" s="25">
        <f>IFERROR(M46/I46-1,"")</f>
        <v/>
      </c>
      <c r="N47" s="25">
        <f>IFERROR(N46/J46-1,"")</f>
        <v/>
      </c>
      <c r="O47" s="25">
        <f>IFERROR(O46/K46-1,"")</f>
        <v/>
      </c>
      <c r="P47" s="25">
        <f>IFERROR(P46/L46-1,"")</f>
        <v/>
      </c>
      <c r="Q47" s="25">
        <f>IFERROR(Q46/M46-1,"")</f>
        <v/>
      </c>
      <c r="R47" s="25">
        <f>IFERROR(R46/N46-1,"")</f>
        <v/>
      </c>
      <c r="S47" s="25">
        <f>IFERROR(S46/O46-1,"")</f>
        <v/>
      </c>
      <c r="T47" s="25">
        <f>IFERROR(T46/P46-1,"")</f>
        <v/>
      </c>
      <c r="U47" s="25">
        <f>IFERROR(U46/Q46-1,"")</f>
        <v/>
      </c>
      <c r="V47" s="25">
        <f>IFERROR(V46/R46-1,"")</f>
        <v/>
      </c>
      <c r="W47" s="25">
        <f>IFERROR(W46/S46-1,"")</f>
        <v/>
      </c>
      <c r="X47" s="25">
        <f>IFERROR(X46/T46-1,"")</f>
        <v/>
      </c>
      <c r="Y47" s="25">
        <f>IFERROR(Y46/U46-1,"")</f>
        <v/>
      </c>
      <c r="Z47" s="25">
        <f>IFERROR(Z46/V46-1,"")</f>
        <v/>
      </c>
      <c r="AA47" s="25">
        <f>IFERROR(AA46/W46-1,"")</f>
        <v/>
      </c>
      <c r="AB47" s="25">
        <f>IFERROR(AB46/X46-1,"")</f>
        <v/>
      </c>
      <c r="AC47" s="25">
        <f>IFERROR(AC46/Y46-1,"")</f>
        <v/>
      </c>
    </row>
    <row r="48">
      <c r="A48" s="4" t="inlineStr">
        <is>
          <t xml:space="preserve">    % of revenue</t>
        </is>
      </c>
      <c r="B48" s="25">
        <f>IFERROR(B46/B3,"")</f>
        <v/>
      </c>
      <c r="C48" s="25">
        <f>IFERROR(C46/C3,"")</f>
        <v/>
      </c>
      <c r="D48" s="25">
        <f>IFERROR(D46/D3,"")</f>
        <v/>
      </c>
      <c r="E48" s="25">
        <f>IFERROR(E46/E3,"")</f>
        <v/>
      </c>
      <c r="F48" s="25">
        <f>IFERROR(F46/F3,"")</f>
        <v/>
      </c>
      <c r="G48" s="25">
        <f>IFERROR(G46/G3,"")</f>
        <v/>
      </c>
      <c r="H48" s="25">
        <f>IFERROR(H46/H3,"")</f>
        <v/>
      </c>
      <c r="I48" s="25">
        <f>IFERROR(I46/I3,"")</f>
        <v/>
      </c>
      <c r="J48" s="25">
        <f>IFERROR(J46/J3,"")</f>
        <v/>
      </c>
      <c r="K48" s="25">
        <f>IFERROR(K46/K3,"")</f>
        <v/>
      </c>
      <c r="L48" s="25">
        <f>IFERROR(L46/L3,"")</f>
        <v/>
      </c>
      <c r="M48" s="25">
        <f>IFERROR(M46/M3,"")</f>
        <v/>
      </c>
      <c r="N48" s="25">
        <f>IFERROR(N46/N3,"")</f>
        <v/>
      </c>
      <c r="O48" s="25">
        <f>IFERROR(O46/O3,"")</f>
        <v/>
      </c>
      <c r="P48" s="25">
        <f>IFERROR(P46/P3,"")</f>
        <v/>
      </c>
      <c r="Q48" s="25">
        <f>IFERROR(Q46/Q3,"")</f>
        <v/>
      </c>
      <c r="R48" s="25">
        <f>IFERROR(R46/R3,"")</f>
        <v/>
      </c>
      <c r="S48" s="25">
        <f>IFERROR(S46/S3,"")</f>
        <v/>
      </c>
      <c r="T48" s="25">
        <f>IFERROR(T46/T3,"")</f>
        <v/>
      </c>
      <c r="U48" s="25">
        <f>IFERROR(U46/U3,"")</f>
        <v/>
      </c>
      <c r="V48" s="25">
        <f>IFERROR(V46/V3,"")</f>
        <v/>
      </c>
      <c r="W48" s="25">
        <f>IFERROR(W46/W3,"")</f>
        <v/>
      </c>
      <c r="X48" s="25">
        <f>IFERROR(X46/X3,"")</f>
        <v/>
      </c>
      <c r="Y48" s="25">
        <f>IFERROR(Y46/Y3,"")</f>
        <v/>
      </c>
      <c r="Z48" s="25">
        <f>IFERROR(Z46/Z3,"")</f>
        <v/>
      </c>
      <c r="AA48" s="25">
        <f>IFERROR(AA46/AA3,"")</f>
        <v/>
      </c>
      <c r="AB48" s="25">
        <f>IFERROR(AB46/AB3,"")</f>
        <v/>
      </c>
      <c r="AC48" s="25">
        <f>IFERROR(AC46/AC3,"")</f>
        <v/>
      </c>
    </row>
    <row r="49">
      <c r="A49" s="5" t="inlineStr">
        <is>
          <t xml:space="preserve">  BALANCE SHEET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Cash &amp; ST Investments</t>
        </is>
      </c>
      <c r="B50" s="18" t="n">
        <v>768.5</v>
      </c>
      <c r="C50" s="18" t="n">
        <v>830.9</v>
      </c>
      <c r="D50" s="18" t="n">
        <v>1315.6</v>
      </c>
      <c r="E50" s="18" t="n">
        <v>1451.4</v>
      </c>
      <c r="F50" s="18" t="n">
        <v>1553.8</v>
      </c>
      <c r="G50" s="18" t="n">
        <v>1610.7</v>
      </c>
      <c r="H50" s="18" t="n">
        <v>1700.3</v>
      </c>
      <c r="I50" s="18" t="n">
        <v>2054.6</v>
      </c>
      <c r="J50" s="18" t="n">
        <v>1946</v>
      </c>
      <c r="K50" s="18" t="n">
        <v>1884.6</v>
      </c>
      <c r="L50" s="18" t="n">
        <v>2022.4</v>
      </c>
      <c r="M50" s="18" t="n">
        <v>2564.1</v>
      </c>
      <c r="N50" s="18" t="n">
        <v>2549</v>
      </c>
      <c r="O50" s="18" t="n">
        <v>1624.9</v>
      </c>
      <c r="P50" s="18" t="n">
        <v>1680.4</v>
      </c>
      <c r="Q50" s="18" t="n">
        <v>1667.2</v>
      </c>
      <c r="R50" s="18" t="n">
        <v>2013.6</v>
      </c>
      <c r="S50" s="18" t="n">
        <v>1944.3</v>
      </c>
      <c r="T50" s="18" t="n">
        <v>1224</v>
      </c>
      <c r="U50" s="18" t="n">
        <v>870.9</v>
      </c>
      <c r="V50" s="18" t="n">
        <v>887</v>
      </c>
      <c r="W50" s="18" t="n">
        <v>916.1</v>
      </c>
      <c r="X50" s="18" t="n">
        <v>896.7</v>
      </c>
      <c r="Y50" s="18" t="n">
        <v>866.7</v>
      </c>
      <c r="Z50" s="18" t="n">
        <v>877.1</v>
      </c>
      <c r="AA50" s="18" t="n">
        <v>1121.8</v>
      </c>
      <c r="AB50" s="18" t="n">
        <v>1155.3</v>
      </c>
      <c r="AC50" s="18" t="n">
        <v>3172.3</v>
      </c>
    </row>
    <row r="51">
      <c r="A51" s="4" t="inlineStr">
        <is>
          <t>Total Current Assets</t>
        </is>
      </c>
      <c r="B51" s="18" t="n">
        <v>1332.8</v>
      </c>
      <c r="C51" s="18" t="n">
        <v>1423.2</v>
      </c>
      <c r="D51" s="18" t="n">
        <v>1883</v>
      </c>
      <c r="E51" s="18" t="n">
        <v>1963</v>
      </c>
      <c r="F51" s="18" t="n">
        <v>2050</v>
      </c>
      <c r="G51" s="18" t="n">
        <v>2166.7</v>
      </c>
      <c r="H51" s="18" t="n">
        <v>2266.2</v>
      </c>
      <c r="I51" s="18" t="n">
        <v>2569.8</v>
      </c>
      <c r="J51" s="18" t="n">
        <v>2436.8</v>
      </c>
      <c r="K51" s="18" t="n">
        <v>2423</v>
      </c>
      <c r="L51" s="18" t="n">
        <v>2540.1</v>
      </c>
      <c r="M51" s="18" t="n">
        <v>3100.6</v>
      </c>
      <c r="N51" s="18" t="n">
        <v>3139.2</v>
      </c>
      <c r="O51" s="18" t="n">
        <v>2438.4</v>
      </c>
      <c r="P51" s="18" t="n">
        <v>2492.6</v>
      </c>
      <c r="Q51" s="18" t="n">
        <v>2463.6</v>
      </c>
      <c r="R51" s="18" t="n">
        <v>2777.9</v>
      </c>
      <c r="S51" s="18" t="n">
        <v>2691.7</v>
      </c>
      <c r="T51" s="18" t="n">
        <v>2062.1</v>
      </c>
      <c r="U51" s="18" t="n">
        <v>1650</v>
      </c>
      <c r="V51" s="18" t="n">
        <v>1590.1</v>
      </c>
      <c r="W51" s="18" t="n">
        <v>1636.2</v>
      </c>
      <c r="X51" s="18" t="n">
        <v>1651.4</v>
      </c>
      <c r="Y51" s="18" t="n">
        <v>1667.3</v>
      </c>
      <c r="Z51" s="18" t="n">
        <v>1717.3</v>
      </c>
      <c r="AA51" s="18" t="n">
        <v>2085.6</v>
      </c>
      <c r="AB51" s="18" t="n">
        <v>2283.2</v>
      </c>
      <c r="AC51" s="18" t="n">
        <v>4395.7</v>
      </c>
    </row>
    <row r="52">
      <c r="A52" s="4" t="inlineStr">
        <is>
          <t>PP&amp;E (net)</t>
        </is>
      </c>
      <c r="B52" s="18" t="n">
        <v>433.3</v>
      </c>
      <c r="C52" s="18" t="n">
        <v>524.9</v>
      </c>
      <c r="D52" s="18" t="n">
        <v>505.7</v>
      </c>
      <c r="E52" s="18" t="n">
        <v>491.8</v>
      </c>
      <c r="F52" s="18" t="n">
        <v>471.7</v>
      </c>
      <c r="G52" s="18" t="n">
        <v>468.1</v>
      </c>
      <c r="H52" s="18" t="n">
        <v>457.6</v>
      </c>
      <c r="I52" s="18" t="n">
        <v>448.3</v>
      </c>
      <c r="J52" s="18" t="n">
        <v>428.5</v>
      </c>
      <c r="K52" s="18" t="n">
        <v>428.4</v>
      </c>
      <c r="L52" s="18" t="n">
        <v>434.7</v>
      </c>
      <c r="M52" s="18" t="n">
        <v>430.7</v>
      </c>
      <c r="N52" s="18" t="n">
        <v>434.1</v>
      </c>
      <c r="O52" s="18" t="n">
        <v>567.4</v>
      </c>
      <c r="P52" s="18" t="n">
        <v>572.6</v>
      </c>
      <c r="Q52" s="18" t="n">
        <v>564.4</v>
      </c>
      <c r="R52" s="18" t="n">
        <v>566.8</v>
      </c>
      <c r="S52" s="18" t="n">
        <v>580.4</v>
      </c>
      <c r="T52" s="18" t="n">
        <v>663.6</v>
      </c>
      <c r="U52" s="18" t="n">
        <v>655.4</v>
      </c>
      <c r="V52" s="18" t="n">
        <v>645.3</v>
      </c>
      <c r="W52" s="18" t="n">
        <v>674.1</v>
      </c>
      <c r="X52" s="18" t="n">
        <v>696.3</v>
      </c>
      <c r="Y52" s="18" t="n">
        <v>725.5</v>
      </c>
      <c r="Z52" s="18" t="n">
        <v>754.3</v>
      </c>
      <c r="AA52" s="18" t="n">
        <v>825.3</v>
      </c>
      <c r="AB52" s="18" t="n">
        <v>843.1</v>
      </c>
      <c r="AC52" s="18" t="n">
        <v>991.3</v>
      </c>
    </row>
    <row r="53">
      <c r="A53" s="4" t="inlineStr">
        <is>
          <t>Total Assets</t>
        </is>
      </c>
      <c r="B53" s="18" t="n">
        <v>2716.6</v>
      </c>
      <c r="C53" s="18" t="n">
        <v>2867.8</v>
      </c>
      <c r="D53" s="18" t="n">
        <v>3221.2</v>
      </c>
      <c r="E53" s="18" t="n">
        <v>3268.7</v>
      </c>
      <c r="F53" s="18" t="n">
        <v>3292.6</v>
      </c>
      <c r="G53" s="18" t="n">
        <v>3387.4</v>
      </c>
      <c r="H53" s="18" t="n">
        <v>3468.2</v>
      </c>
      <c r="I53" s="18" t="n">
        <v>3745.9</v>
      </c>
      <c r="J53" s="18" t="n">
        <v>3551.6</v>
      </c>
      <c r="K53" s="18" t="n">
        <v>3519</v>
      </c>
      <c r="L53" s="18" t="n">
        <v>3615.7</v>
      </c>
      <c r="M53" s="18" t="n">
        <v>4133.5</v>
      </c>
      <c r="N53" s="18" t="n">
        <v>4162.2</v>
      </c>
      <c r="O53" s="18" t="n">
        <v>4387.4</v>
      </c>
      <c r="P53" s="18" t="n">
        <v>4418.1</v>
      </c>
      <c r="Q53" s="18" t="n">
        <v>4354</v>
      </c>
      <c r="R53" s="18" t="n">
        <v>4632.1</v>
      </c>
      <c r="S53" s="18" t="n">
        <v>4545</v>
      </c>
      <c r="T53" s="18" t="n">
        <v>4656</v>
      </c>
      <c r="U53" s="18" t="n">
        <v>4204.5</v>
      </c>
      <c r="V53" s="18" t="n">
        <v>3931.9</v>
      </c>
      <c r="W53" s="18" t="n">
        <v>3969.6</v>
      </c>
      <c r="X53" s="18" t="n">
        <v>3966.1</v>
      </c>
      <c r="Y53" s="18" t="n">
        <v>3975</v>
      </c>
      <c r="Z53" s="18" t="n">
        <v>4218.7</v>
      </c>
      <c r="AA53" s="18" t="n">
        <v>4613.1</v>
      </c>
      <c r="AB53" s="18" t="n">
        <v>4805.3</v>
      </c>
      <c r="AC53" s="18" t="n">
        <v>7027.9</v>
      </c>
    </row>
    <row r="54">
      <c r="A54" s="4" t="inlineStr">
        <is>
          <t>Total Current Liabilities</t>
        </is>
      </c>
      <c r="B54" s="18" t="n">
        <v>294</v>
      </c>
      <c r="C54" s="18" t="n">
        <v>316.8</v>
      </c>
      <c r="D54" s="18" t="n">
        <v>304.2</v>
      </c>
      <c r="E54" s="18" t="n">
        <v>286.7</v>
      </c>
      <c r="F54" s="18" t="n">
        <v>283</v>
      </c>
      <c r="G54" s="18" t="n">
        <v>293.4</v>
      </c>
      <c r="H54" s="18" t="n">
        <v>647.3</v>
      </c>
      <c r="I54" s="18" t="n">
        <v>674.2</v>
      </c>
      <c r="J54" s="18" t="n">
        <v>664.6</v>
      </c>
      <c r="K54" s="18" t="n">
        <v>611.7</v>
      </c>
      <c r="L54" s="18" t="n">
        <v>656.7</v>
      </c>
      <c r="M54" s="18" t="n">
        <v>660.7</v>
      </c>
      <c r="N54" s="18" t="n">
        <v>716.5</v>
      </c>
      <c r="O54" s="18" t="n">
        <v>802.8</v>
      </c>
      <c r="P54" s="18" t="n">
        <v>814.3</v>
      </c>
      <c r="Q54" s="18" t="n">
        <v>768.9</v>
      </c>
      <c r="R54" s="18" t="n">
        <v>633.8</v>
      </c>
      <c r="S54" s="18" t="n">
        <v>593.7</v>
      </c>
      <c r="T54" s="18" t="n">
        <v>658.4</v>
      </c>
      <c r="U54" s="18" t="n">
        <v>317.6</v>
      </c>
      <c r="V54" s="18" t="n">
        <v>269.3</v>
      </c>
      <c r="W54" s="18" t="n">
        <v>305.1</v>
      </c>
      <c r="X54" s="18" t="n">
        <v>346.9</v>
      </c>
      <c r="Y54" s="18" t="n">
        <v>353</v>
      </c>
      <c r="Z54" s="18" t="n">
        <v>392.8</v>
      </c>
      <c r="AA54" s="18" t="n">
        <v>1526.2</v>
      </c>
      <c r="AB54" s="18" t="n">
        <v>3767.6</v>
      </c>
      <c r="AC54" s="18" t="n">
        <v>3865.3</v>
      </c>
    </row>
    <row r="55">
      <c r="A55" s="4" t="inlineStr">
        <is>
          <t>Long-term Debt</t>
        </is>
      </c>
      <c r="B55" s="18" t="n">
        <v>835.9</v>
      </c>
      <c r="C55" s="18" t="n">
        <v>839.6</v>
      </c>
      <c r="D55" s="18" t="n">
        <v>1092</v>
      </c>
      <c r="E55" s="18" t="n">
        <v>1106</v>
      </c>
      <c r="F55" s="18" t="n">
        <v>1120.3</v>
      </c>
      <c r="G55" s="18" t="n">
        <v>1134.7</v>
      </c>
      <c r="H55" s="18" t="n">
        <v>769.1</v>
      </c>
      <c r="I55" s="18" t="n">
        <v>778.9</v>
      </c>
      <c r="J55" s="18" t="n">
        <v>789.8</v>
      </c>
      <c r="K55" s="18" t="n">
        <v>800</v>
      </c>
      <c r="L55" s="18" t="n">
        <v>810.3</v>
      </c>
      <c r="M55" s="18" t="n">
        <v>1447.6</v>
      </c>
      <c r="N55" s="18" t="n">
        <v>1466.1</v>
      </c>
      <c r="O55" s="18" t="n">
        <v>1899.5</v>
      </c>
      <c r="P55" s="18" t="n">
        <v>1900.3</v>
      </c>
      <c r="Q55" s="18" t="n">
        <v>1900.8</v>
      </c>
      <c r="R55" s="18" t="n">
        <v>2500</v>
      </c>
      <c r="S55" s="18" t="n">
        <v>2500.9</v>
      </c>
      <c r="T55" s="18" t="n">
        <v>2501.7</v>
      </c>
      <c r="U55" s="18" t="n">
        <v>2502.4</v>
      </c>
      <c r="V55" s="18" t="n">
        <v>2503.2</v>
      </c>
      <c r="W55" s="18" t="n">
        <v>2569.2</v>
      </c>
      <c r="X55" s="18" t="n">
        <v>2561.2</v>
      </c>
      <c r="Y55" s="18" t="n">
        <v>2562.4</v>
      </c>
      <c r="Z55" s="18" t="n">
        <v>2562.6</v>
      </c>
      <c r="AA55" s="18" t="n">
        <v>2164.5</v>
      </c>
      <c r="AB55" s="18" t="n">
        <v>69.8</v>
      </c>
      <c r="AC55" s="18" t="n">
        <v>43.2</v>
      </c>
    </row>
    <row r="56">
      <c r="A56" s="4" t="inlineStr">
        <is>
          <t>Total Equity</t>
        </is>
      </c>
      <c r="B56" s="18" t="n">
        <v>1497.1</v>
      </c>
      <c r="C56" s="18" t="n">
        <v>1561.3</v>
      </c>
      <c r="D56" s="18" t="n">
        <v>1681.6</v>
      </c>
      <c r="E56" s="18" t="n">
        <v>1734.2</v>
      </c>
      <c r="F56" s="18" t="n">
        <v>1749.2</v>
      </c>
      <c r="G56" s="18" t="n">
        <v>1816.1</v>
      </c>
      <c r="H56" s="18" t="n">
        <v>1921.9</v>
      </c>
      <c r="I56" s="18" t="n">
        <v>2165</v>
      </c>
      <c r="J56" s="18" t="n">
        <v>1972.8</v>
      </c>
      <c r="K56" s="18" t="n">
        <v>1971.4</v>
      </c>
      <c r="L56" s="18" t="n">
        <v>2021.9</v>
      </c>
      <c r="M56" s="18" t="n">
        <v>1912.1</v>
      </c>
      <c r="N56" s="18" t="n">
        <v>1875</v>
      </c>
      <c r="O56" s="18" t="n">
        <v>1526.4</v>
      </c>
      <c r="P56" s="18" t="n">
        <v>1543.6</v>
      </c>
      <c r="Q56" s="18" t="n">
        <v>1538</v>
      </c>
      <c r="R56" s="18" t="n">
        <v>1355.8</v>
      </c>
      <c r="S56" s="18" t="n">
        <v>1310.8</v>
      </c>
      <c r="T56" s="18" t="n">
        <v>1277.8</v>
      </c>
      <c r="U56" s="18" t="n">
        <v>1176.7</v>
      </c>
      <c r="V56" s="18" t="n">
        <v>957.3</v>
      </c>
      <c r="W56" s="18" t="n">
        <v>895.9</v>
      </c>
      <c r="X56" s="18" t="n">
        <v>872.3</v>
      </c>
      <c r="Y56" s="18" t="n">
        <v>879.5</v>
      </c>
      <c r="Z56" s="18" t="n">
        <v>1134.7</v>
      </c>
      <c r="AA56" s="18" t="n">
        <v>780.8</v>
      </c>
      <c r="AB56" s="18" t="n">
        <v>846.6</v>
      </c>
      <c r="AC56" s="18" t="n">
        <v>2973.4</v>
      </c>
    </row>
    <row r="57">
      <c r="A57" s="5" t="inlineStr">
        <is>
          <t xml:space="preserve">  CASH FLOW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</row>
    <row r="58">
      <c r="A58" s="4" t="inlineStr">
        <is>
          <t>D&amp;A</t>
        </is>
      </c>
      <c r="B58" s="18" t="n">
        <v>45.1</v>
      </c>
      <c r="C58" s="18" t="n">
        <v>53.7</v>
      </c>
      <c r="D58" s="18" t="n">
        <v>44</v>
      </c>
      <c r="E58" s="18" t="n">
        <v>61.5</v>
      </c>
      <c r="F58" s="18" t="n">
        <v>72.59999999999999</v>
      </c>
      <c r="G58" s="18" t="n">
        <v>44.5</v>
      </c>
      <c r="H58" s="18" t="n">
        <v>44.7</v>
      </c>
      <c r="I58" s="18" t="n">
        <v>44.8</v>
      </c>
      <c r="J58" s="18" t="n">
        <v>43.1</v>
      </c>
      <c r="K58" s="18" t="n">
        <v>41.8</v>
      </c>
      <c r="L58" s="18" t="n">
        <v>42.1</v>
      </c>
      <c r="M58" s="18" t="n">
        <v>41.6</v>
      </c>
      <c r="N58" s="18" t="n">
        <v>41.6</v>
      </c>
      <c r="O58" s="18" t="n">
        <v>56.7</v>
      </c>
      <c r="P58" s="18" t="n">
        <v>62.5</v>
      </c>
      <c r="Q58" s="18" t="n">
        <v>57.7</v>
      </c>
      <c r="R58" s="18" t="n">
        <v>78.7</v>
      </c>
      <c r="S58" s="18" t="n">
        <v>57.2</v>
      </c>
      <c r="T58" s="18" t="n">
        <v>69.59999999999999</v>
      </c>
      <c r="U58" s="18" t="n">
        <v>69.09999999999999</v>
      </c>
      <c r="V58" s="18" t="n">
        <v>69.7</v>
      </c>
      <c r="W58" s="18" t="n">
        <v>70.59999999999999</v>
      </c>
      <c r="X58" s="18" t="n">
        <v>64.90000000000001</v>
      </c>
      <c r="Y58" s="18" t="n">
        <v>60.1</v>
      </c>
      <c r="Z58" s="18" t="n">
        <v>61.1</v>
      </c>
      <c r="AA58" s="18" t="n">
        <v>63</v>
      </c>
      <c r="AB58" s="18" t="n">
        <v>63.8</v>
      </c>
      <c r="AC58" s="18" t="n">
        <v>66.599999</v>
      </c>
    </row>
    <row r="59">
      <c r="A59" s="4" t="inlineStr">
        <is>
          <t>Stock-based Compensation</t>
        </is>
      </c>
      <c r="B59" s="18" t="n">
        <v>14.2</v>
      </c>
      <c r="C59" s="18" t="n">
        <v>16.7</v>
      </c>
      <c r="D59" s="18" t="n">
        <v>20.2</v>
      </c>
      <c r="E59" s="18" t="n">
        <v>19.2</v>
      </c>
      <c r="F59" s="18" t="n">
        <v>17.1</v>
      </c>
      <c r="G59" s="18" t="n">
        <v>19.5</v>
      </c>
      <c r="H59" s="18" t="n">
        <v>24.1</v>
      </c>
      <c r="I59" s="18" t="n">
        <v>25.1</v>
      </c>
      <c r="J59" s="18" t="n">
        <v>24.2</v>
      </c>
      <c r="K59" s="18" t="n">
        <v>24.8</v>
      </c>
      <c r="L59" s="18" t="n">
        <v>27.3</v>
      </c>
      <c r="M59" s="18" t="n">
        <v>23.3</v>
      </c>
      <c r="N59" s="18" t="n">
        <v>27.7</v>
      </c>
      <c r="O59" s="18" t="n">
        <v>46.6</v>
      </c>
      <c r="P59" s="18" t="n">
        <v>36.6</v>
      </c>
      <c r="Q59" s="18" t="n">
        <v>33.1</v>
      </c>
      <c r="R59" s="18" t="n">
        <v>32.1</v>
      </c>
      <c r="S59" s="18" t="n">
        <v>32.1</v>
      </c>
      <c r="T59" s="18" t="n">
        <v>34.6</v>
      </c>
      <c r="U59" s="18" t="n">
        <v>31.6</v>
      </c>
      <c r="V59" s="18" t="n">
        <v>30.5</v>
      </c>
      <c r="W59" s="18" t="n">
        <v>35.6</v>
      </c>
      <c r="X59" s="18" t="n">
        <v>38.8</v>
      </c>
      <c r="Y59" s="18" t="n">
        <v>62.8</v>
      </c>
      <c r="Z59" s="18" t="n">
        <v>40</v>
      </c>
      <c r="AA59" s="18" t="n">
        <v>42.4</v>
      </c>
      <c r="AB59" s="18" t="n">
        <v>45.4</v>
      </c>
      <c r="AC59" s="18" t="n">
        <v>0</v>
      </c>
    </row>
    <row r="60">
      <c r="A60" s="4" t="inlineStr">
        <is>
          <t>Change in Working Capital</t>
        </is>
      </c>
      <c r="B60" s="18" t="n">
        <v>49.1</v>
      </c>
      <c r="C60" s="18" t="n">
        <v>-39.1</v>
      </c>
      <c r="D60" s="18" t="n">
        <v>29.8</v>
      </c>
      <c r="E60" s="18" t="n">
        <v>32</v>
      </c>
      <c r="F60" s="18" t="n">
        <v>14.8</v>
      </c>
      <c r="G60" s="18" t="n">
        <v>-42.7</v>
      </c>
      <c r="H60" s="18" t="n">
        <v>-44.8</v>
      </c>
      <c r="I60" s="18" t="n">
        <v>67.40000000000001</v>
      </c>
      <c r="J60" s="18" t="n">
        <v>21.6</v>
      </c>
      <c r="K60" s="18" t="n">
        <v>-99.5</v>
      </c>
      <c r="L60" s="18" t="n">
        <v>61.3</v>
      </c>
      <c r="M60" s="18" t="n">
        <v>-35.7</v>
      </c>
      <c r="N60" s="18" t="n">
        <v>-16.7</v>
      </c>
      <c r="O60" s="18" t="n">
        <v>-90.5</v>
      </c>
      <c r="P60" s="18" t="n">
        <v>1.6</v>
      </c>
      <c r="Q60" s="18" t="n">
        <v>-19</v>
      </c>
      <c r="R60" s="18" t="n">
        <v>7.9</v>
      </c>
      <c r="S60" s="18" t="n">
        <v>-24.3</v>
      </c>
      <c r="T60" s="18" t="n">
        <v>22.6</v>
      </c>
      <c r="U60" s="18" t="n">
        <v>12.4</v>
      </c>
      <c r="V60" s="18" t="n">
        <v>157.9</v>
      </c>
      <c r="W60" s="18" t="n">
        <v>9.9</v>
      </c>
      <c r="X60" s="18" t="n">
        <v>-11.8</v>
      </c>
      <c r="Y60" s="18" t="n">
        <v>-57.8</v>
      </c>
      <c r="Z60" s="18" t="n">
        <v>-254.8</v>
      </c>
      <c r="AA60" s="18" t="n">
        <v>-54.6</v>
      </c>
      <c r="AB60" s="18" t="n">
        <v>75.59999999999999</v>
      </c>
      <c r="AC60" s="18" t="n">
        <v>-46.8</v>
      </c>
    </row>
    <row r="61">
      <c r="A61" s="4" t="inlineStr">
        <is>
          <t>Operating Cash Flow</t>
        </is>
      </c>
      <c r="B61" s="18" t="n">
        <v>127.7</v>
      </c>
      <c r="C61" s="18" t="n">
        <v>87.5</v>
      </c>
      <c r="D61" s="18" t="n">
        <v>162.3</v>
      </c>
      <c r="E61" s="18" t="n">
        <v>151.8</v>
      </c>
      <c r="F61" s="18" t="n">
        <v>122.7</v>
      </c>
      <c r="G61" s="18" t="n">
        <v>104.7</v>
      </c>
      <c r="H61" s="18" t="n">
        <v>128.5</v>
      </c>
      <c r="I61" s="18" t="n">
        <v>381.3</v>
      </c>
      <c r="J61" s="18" t="n">
        <v>124.2</v>
      </c>
      <c r="K61" s="18" t="n">
        <v>61.9</v>
      </c>
      <c r="L61" s="18" t="n">
        <v>206.5</v>
      </c>
      <c r="M61" s="18" t="n">
        <v>76.59999999999999</v>
      </c>
      <c r="N61" s="18" t="n">
        <v>114.3</v>
      </c>
      <c r="O61" s="18" t="n">
        <v>20.8</v>
      </c>
      <c r="P61" s="18" t="n">
        <v>94.90000000000001</v>
      </c>
      <c r="Q61" s="18" t="n">
        <v>14.9</v>
      </c>
      <c r="R61" s="18" t="n">
        <v>49.2</v>
      </c>
      <c r="S61" s="18" t="n">
        <v>-2.3</v>
      </c>
      <c r="T61" s="18" t="n">
        <v>-1.5</v>
      </c>
      <c r="U61" s="18" t="n">
        <v>-7</v>
      </c>
      <c r="V61" s="18" t="n">
        <v>35.5</v>
      </c>
      <c r="W61" s="18" t="n">
        <v>39.6</v>
      </c>
      <c r="X61" s="18" t="n">
        <v>24.3</v>
      </c>
      <c r="Y61" s="18" t="n">
        <v>-1.6</v>
      </c>
      <c r="Z61" s="18" t="n">
        <v>64</v>
      </c>
      <c r="AA61" s="18" t="n">
        <v>57.9</v>
      </c>
      <c r="AB61" s="18" t="n">
        <v>126.7</v>
      </c>
      <c r="AC61" s="18" t="n">
        <v>203.8</v>
      </c>
    </row>
    <row r="62">
      <c r="A62" s="4" t="inlineStr">
        <is>
          <t>Capex</t>
        </is>
      </c>
      <c r="B62" s="18" t="n">
        <v>-85.5</v>
      </c>
      <c r="C62" s="18" t="n">
        <v>-21.7</v>
      </c>
      <c r="D62" s="18" t="n">
        <v>-25.7</v>
      </c>
      <c r="E62" s="18" t="n">
        <v>-18.5</v>
      </c>
      <c r="F62" s="18" t="n">
        <v>-21.1</v>
      </c>
      <c r="G62" s="18" t="n">
        <v>-26.3</v>
      </c>
      <c r="H62" s="18" t="n">
        <v>-24.2</v>
      </c>
      <c r="I62" s="18" t="n">
        <v>-15.9</v>
      </c>
      <c r="J62" s="18" t="n">
        <v>-18.4</v>
      </c>
      <c r="K62" s="18" t="n">
        <v>-17.9</v>
      </c>
      <c r="L62" s="18" t="n">
        <v>-26.1</v>
      </c>
      <c r="M62" s="18" t="n">
        <v>-18.6</v>
      </c>
      <c r="N62" s="18" t="n">
        <v>-28.6</v>
      </c>
      <c r="O62" s="18" t="n">
        <v>-22.9</v>
      </c>
      <c r="P62" s="18" t="n">
        <v>-39.9</v>
      </c>
      <c r="Q62" s="18" t="n">
        <v>-29.4</v>
      </c>
      <c r="R62" s="18" t="n">
        <v>-36.3</v>
      </c>
      <c r="S62" s="18" t="n">
        <v>-60.8</v>
      </c>
      <c r="T62" s="18" t="n">
        <v>-31</v>
      </c>
      <c r="U62" s="18" t="n">
        <v>-16.6</v>
      </c>
      <c r="V62" s="18" t="n">
        <v>-24.6</v>
      </c>
      <c r="W62" s="18" t="n">
        <v>-74.09999999999999</v>
      </c>
      <c r="X62" s="18" t="n">
        <v>-40.2</v>
      </c>
      <c r="Y62" s="18" t="n">
        <v>-62.8</v>
      </c>
      <c r="Z62" s="18" t="n">
        <v>-53.9</v>
      </c>
      <c r="AA62" s="18" t="n">
        <v>-76.2</v>
      </c>
      <c r="AB62" s="18" t="n">
        <v>76.2</v>
      </c>
      <c r="AC62" s="18" t="n">
        <v>-124.7</v>
      </c>
    </row>
    <row r="63">
      <c r="A63" s="4" t="inlineStr">
        <is>
          <t>Free Cash Flow</t>
        </is>
      </c>
      <c r="B63" s="18" t="n">
        <v>42.2</v>
      </c>
      <c r="C63" s="18" t="n">
        <v>65.8</v>
      </c>
      <c r="D63" s="18" t="n">
        <v>136.6</v>
      </c>
      <c r="E63" s="18" t="n">
        <v>133.3</v>
      </c>
      <c r="F63" s="18" t="n">
        <v>101.6</v>
      </c>
      <c r="G63" s="18" t="n">
        <v>78.40000000000001</v>
      </c>
      <c r="H63" s="18" t="n">
        <v>104.3</v>
      </c>
      <c r="I63" s="18" t="n">
        <v>365.4</v>
      </c>
      <c r="J63" s="18" t="n">
        <v>105.8</v>
      </c>
      <c r="K63" s="18" t="n">
        <v>44</v>
      </c>
      <c r="L63" s="18" t="n">
        <v>180.4</v>
      </c>
      <c r="M63" s="18" t="n">
        <v>58</v>
      </c>
      <c r="N63" s="18" t="n">
        <v>85.7</v>
      </c>
      <c r="O63" s="18" t="n">
        <v>-2.1</v>
      </c>
      <c r="P63" s="18" t="n">
        <v>55</v>
      </c>
      <c r="Q63" s="18" t="n">
        <v>-14.5</v>
      </c>
      <c r="R63" s="18" t="n">
        <v>12.9</v>
      </c>
      <c r="S63" s="18" t="n">
        <v>-63.1</v>
      </c>
      <c r="T63" s="18" t="n">
        <v>-32.5</v>
      </c>
      <c r="U63" s="18" t="n">
        <v>-23.6</v>
      </c>
      <c r="V63" s="18" t="n">
        <v>10.9</v>
      </c>
      <c r="W63" s="18" t="n">
        <v>-34.5</v>
      </c>
      <c r="X63" s="18" t="n">
        <v>-15.9</v>
      </c>
      <c r="Y63" s="18" t="n">
        <v>-64.40000000000001</v>
      </c>
      <c r="Z63" s="18" t="n">
        <v>10.1</v>
      </c>
      <c r="AA63" s="18" t="n">
        <v>-18.3</v>
      </c>
      <c r="AB63" s="18" t="n">
        <v>202.9</v>
      </c>
      <c r="AC63" s="18" t="n">
        <v>79.09999999999999</v>
      </c>
    </row>
    <row r="65">
      <c r="A65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6" t="n">
        <v>2026</v>
      </c>
      <c r="C2" s="46" t="n">
        <v>2027</v>
      </c>
      <c r="D2" s="46" t="n">
        <v>2028</v>
      </c>
      <c r="E2" s="46" t="n">
        <v>2029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</row>
    <row r="4">
      <c r="A4" s="3" t="inlineStr">
        <is>
          <t>Revenue — consensus</t>
        </is>
      </c>
      <c r="B4" s="18" t="n">
        <v>2983.00923</v>
      </c>
      <c r="C4" s="18" t="n">
        <v>5643.220193</v>
      </c>
      <c r="D4" s="18" t="n">
        <v>8528.144007000001</v>
      </c>
      <c r="E4" s="18" t="n">
        <v>12203.828971</v>
      </c>
    </row>
    <row r="5">
      <c r="A5" s="4" t="inlineStr">
        <is>
          <t xml:space="preserve">  model</t>
        </is>
      </c>
      <c r="B5" s="34">
        <f>Model!G6</f>
        <v/>
      </c>
      <c r="C5" s="34">
        <f>Model!H6</f>
        <v/>
      </c>
      <c r="D5" s="34">
        <f>Model!I6</f>
        <v/>
      </c>
      <c r="E5" s="34">
        <f>Model!J6</f>
        <v/>
      </c>
    </row>
    <row r="6">
      <c r="A6" s="4" t="inlineStr">
        <is>
          <t xml:space="preserve">  vs consensus</t>
        </is>
      </c>
      <c r="B6" s="47">
        <f>IFERROR(B5/B4-1,"")</f>
        <v/>
      </c>
      <c r="C6" s="47">
        <f>IFERROR(C5/C4-1,"")</f>
        <v/>
      </c>
      <c r="D6" s="47">
        <f>IFERROR(D5/D4-1,"")</f>
        <v/>
      </c>
      <c r="E6" s="47">
        <f>IFERROR(E5/E4-1,"")</f>
        <v/>
      </c>
    </row>
    <row r="8">
      <c r="A8" s="3" t="inlineStr">
        <is>
          <t>EBITDA* — consensus</t>
        </is>
      </c>
      <c r="B8" s="18" t="n">
        <v>402.726431</v>
      </c>
      <c r="C8" s="18" t="n">
        <v>761.872912</v>
      </c>
      <c r="D8" s="18" t="n">
        <v>1151.357148</v>
      </c>
      <c r="E8" s="18" t="n">
        <v>1647.59949</v>
      </c>
    </row>
    <row r="9">
      <c r="A9" s="4" t="inlineStr">
        <is>
          <t xml:space="preserve">  model</t>
        </is>
      </c>
      <c r="B9" s="34">
        <f>Model!G19+Model!G24</f>
        <v/>
      </c>
      <c r="C9" s="34">
        <f>Model!H19+Model!H24</f>
        <v/>
      </c>
      <c r="D9" s="34">
        <f>Model!I19+Model!I24</f>
        <v/>
      </c>
      <c r="E9" s="34">
        <f>Model!J19+Model!J24</f>
        <v/>
      </c>
    </row>
    <row r="10">
      <c r="A10" s="4" t="inlineStr">
        <is>
          <t xml:space="preserve">  vs consensus</t>
        </is>
      </c>
      <c r="B10" s="47">
        <f>IFERROR(B9/B8-1,"")</f>
        <v/>
      </c>
      <c r="C10" s="47">
        <f>IFERROR(C9/C8-1,"")</f>
        <v/>
      </c>
      <c r="D10" s="47">
        <f>IFERROR(D9/D8-1,"")</f>
        <v/>
      </c>
      <c r="E10" s="47">
        <f>IFERROR(E9/E8-1,"")</f>
        <v/>
      </c>
    </row>
    <row r="12">
      <c r="A12" s="3" t="inlineStr">
        <is>
          <t>EBIT* — consensus</t>
        </is>
      </c>
      <c r="B12" s="18" t="n">
        <v>-20.517232</v>
      </c>
      <c r="C12" s="18" t="n">
        <v>-38.814248</v>
      </c>
      <c r="D12" s="18" t="n">
        <v>-58.656846</v>
      </c>
      <c r="E12" s="18" t="n">
        <v>-83.93832399999999</v>
      </c>
    </row>
    <row r="13">
      <c r="A13" s="4" t="inlineStr">
        <is>
          <t xml:space="preserve">  model</t>
        </is>
      </c>
      <c r="B13" s="34">
        <f>Model!G19</f>
        <v/>
      </c>
      <c r="C13" s="34">
        <f>Model!H19</f>
        <v/>
      </c>
      <c r="D13" s="34">
        <f>Model!I19</f>
        <v/>
      </c>
      <c r="E13" s="34">
        <f>Model!J19</f>
        <v/>
      </c>
    </row>
    <row r="14">
      <c r="A14" s="4" t="inlineStr">
        <is>
          <t xml:space="preserve">  vs consensus</t>
        </is>
      </c>
      <c r="B14" s="47">
        <f>IFERROR(B13/B12-1,"")</f>
        <v/>
      </c>
      <c r="C14" s="47">
        <f>IFERROR(C13/C12-1,"")</f>
        <v/>
      </c>
      <c r="D14" s="47">
        <f>IFERROR(D13/D12-1,"")</f>
        <v/>
      </c>
      <c r="E14" s="47">
        <f>IFERROR(E13/E12-1,"")</f>
        <v/>
      </c>
    </row>
    <row r="16">
      <c r="A16" s="3" t="inlineStr">
        <is>
          <t>SG&amp;A — consensus</t>
        </is>
      </c>
      <c r="B16" s="18" t="n">
        <v>565.5470769999999</v>
      </c>
      <c r="C16" s="18" t="n">
        <v>1069.89501</v>
      </c>
      <c r="D16" s="18" t="n">
        <v>1616.846127</v>
      </c>
      <c r="E16" s="18" t="n">
        <v>2313.717216</v>
      </c>
    </row>
    <row r="17">
      <c r="A17" s="4" t="inlineStr">
        <is>
          <t xml:space="preserve">  model</t>
        </is>
      </c>
      <c r="B17" s="34">
        <f>Model!G14</f>
        <v/>
      </c>
      <c r="C17" s="34">
        <f>Model!H14</f>
        <v/>
      </c>
      <c r="D17" s="34">
        <f>Model!I14</f>
        <v/>
      </c>
      <c r="E17" s="34">
        <f>Model!J14</f>
        <v/>
      </c>
    </row>
    <row r="18">
      <c r="A18" s="4" t="inlineStr">
        <is>
          <t xml:space="preserve">  vs consensus</t>
        </is>
      </c>
      <c r="B18" s="47">
        <f>IFERROR(B17/B16-1,"")</f>
        <v/>
      </c>
      <c r="C18" s="47">
        <f>IFERROR(C17/C16-1,"")</f>
        <v/>
      </c>
      <c r="D18" s="47">
        <f>IFERROR(D17/D16-1,"")</f>
        <v/>
      </c>
      <c r="E18" s="47">
        <f>IFERROR(E17/E16-1,"")</f>
        <v/>
      </c>
    </row>
    <row r="20">
      <c r="A20" s="3" t="inlineStr">
        <is>
          <t>Net income (NOPAT) — consensus</t>
        </is>
      </c>
      <c r="B20" s="18" t="n">
        <v>568.1465475</v>
      </c>
      <c r="C20" s="18" t="n">
        <v>1245.2143135</v>
      </c>
      <c r="D20" s="18" t="n">
        <v>1991.1686805</v>
      </c>
      <c r="E20" s="18" t="n">
        <v>3096.269492</v>
      </c>
    </row>
    <row r="21">
      <c r="A21" s="4" t="inlineStr">
        <is>
          <t xml:space="preserve">  model</t>
        </is>
      </c>
      <c r="B21" s="34">
        <f>Model!G23</f>
        <v/>
      </c>
      <c r="C21" s="34">
        <f>Model!H23</f>
        <v/>
      </c>
      <c r="D21" s="34">
        <f>Model!I23</f>
        <v/>
      </c>
      <c r="E21" s="34">
        <f>Model!J23</f>
        <v/>
      </c>
    </row>
    <row r="22">
      <c r="A22" s="4" t="inlineStr">
        <is>
          <t xml:space="preserve">  vs consensus</t>
        </is>
      </c>
      <c r="B22" s="47">
        <f>IFERROR(B21/B20-1,"")</f>
        <v/>
      </c>
      <c r="C22" s="47">
        <f>IFERROR(C21/C20-1,"")</f>
        <v/>
      </c>
      <c r="D22" s="47">
        <f>IFERROR(D21/D20-1,"")</f>
        <v/>
      </c>
      <c r="E22" s="47">
        <f>IFERROR(E21/E20-1,"")</f>
        <v/>
      </c>
    </row>
    <row r="24">
      <c r="A24" s="3" t="inlineStr">
        <is>
          <t>EPS — consensus</t>
        </is>
      </c>
      <c r="B24" s="48" t="n">
        <v>8.20299</v>
      </c>
      <c r="C24" s="48" t="n">
        <v>18.42779</v>
      </c>
      <c r="D24" s="48" t="n">
        <v>28.85512</v>
      </c>
      <c r="E24" s="48" t="n">
        <v>44.48663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</row>
    <row r="26">
      <c r="A26" s="4" t="inlineStr">
        <is>
          <t xml:space="preserve">  vs consensus</t>
        </is>
      </c>
      <c r="B26" s="47">
        <f>IFERROR(B25/B24-1,"")</f>
        <v/>
      </c>
      <c r="C26" s="47">
        <f>IFERROR(C25/C24-1,"")</f>
        <v/>
      </c>
      <c r="D26" s="47">
        <f>IFERROR(D25/D24-1,"")</f>
        <v/>
      </c>
      <c r="E26" s="47">
        <f>IFERROR(E25/E24-1,"")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Lumentum Holdings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6" t="n">
        <v>2026</v>
      </c>
      <c r="D11" s="46" t="n">
        <v>2027</v>
      </c>
      <c r="E11" s="46" t="n">
        <v>2028</v>
      </c>
      <c r="F11" s="46" t="n">
        <v>2029</v>
      </c>
      <c r="G11" s="46" t="n">
        <v>2030</v>
      </c>
      <c r="H11" s="46" t="n">
        <v>2031</v>
      </c>
      <c r="I11" s="46" t="n">
        <v>2032</v>
      </c>
      <c r="J11" s="46" t="n">
        <v>2033</v>
      </c>
      <c r="K11" s="46" t="n">
        <v>2034</v>
      </c>
      <c r="L11" s="46" t="n">
        <v>2035</v>
      </c>
    </row>
    <row r="12">
      <c r="A12" s="4" t="inlineStr">
        <is>
          <t>FCFF ($M)</t>
        </is>
      </c>
      <c r="C12" s="34">
        <f>Model!G31</f>
        <v/>
      </c>
      <c r="D12" s="34">
        <f>Model!H31</f>
        <v/>
      </c>
      <c r="E12" s="34">
        <f>Model!I31</f>
        <v/>
      </c>
      <c r="F12" s="34">
        <f>Model!J31</f>
        <v/>
      </c>
      <c r="G12" s="34">
        <f>Model!K31</f>
        <v/>
      </c>
      <c r="H12" s="34">
        <f>Model!L31</f>
        <v/>
      </c>
      <c r="I12" s="34">
        <f>Model!M31</f>
        <v/>
      </c>
      <c r="J12" s="34">
        <f>Model!N31</f>
        <v/>
      </c>
      <c r="K12" s="34">
        <f>Model!O31</f>
        <v/>
      </c>
      <c r="L12" s="34">
        <f>Model!P31</f>
        <v/>
      </c>
    </row>
    <row r="13">
      <c r="A13" s="4" t="inlineStr">
        <is>
          <t>PV factor</t>
        </is>
      </c>
      <c r="C13" s="49">
        <f>1/(1+$B$3)^1</f>
        <v/>
      </c>
      <c r="D13" s="49">
        <f>1/(1+$B$3)^2</f>
        <v/>
      </c>
      <c r="E13" s="49">
        <f>1/(1+$B$3)^3</f>
        <v/>
      </c>
      <c r="F13" s="49">
        <f>1/(1+$B$3)^4</f>
        <v/>
      </c>
      <c r="G13" s="49">
        <f>1/(1+$B$3)^5</f>
        <v/>
      </c>
      <c r="H13" s="49">
        <f>1/(1+$B$3)^6</f>
        <v/>
      </c>
      <c r="I13" s="49">
        <f>1/(1+$B$3)^7</f>
        <v/>
      </c>
      <c r="J13" s="49">
        <f>1/(1+$B$3)^8</f>
        <v/>
      </c>
      <c r="K13" s="49">
        <f>1/(1+$B$3)^9</f>
        <v/>
      </c>
      <c r="L13" s="49">
        <f>1/(1+$B$3)^10</f>
        <v/>
      </c>
    </row>
    <row r="14">
      <c r="A14" s="4" t="inlineStr">
        <is>
          <t>PV of FCFF ($M)</t>
        </is>
      </c>
      <c r="C14" s="42">
        <f>C12*C13</f>
        <v/>
      </c>
      <c r="D14" s="42">
        <f>D12*D13</f>
        <v/>
      </c>
      <c r="E14" s="42">
        <f>E12*E13</f>
        <v/>
      </c>
      <c r="F14" s="42">
        <f>F12*F13</f>
        <v/>
      </c>
      <c r="G14" s="42">
        <f>G12*G13</f>
        <v/>
      </c>
      <c r="H14" s="42">
        <f>H12*H13</f>
        <v/>
      </c>
      <c r="I14" s="42">
        <f>I12*I13</f>
        <v/>
      </c>
      <c r="J14" s="42">
        <f>J12*J13</f>
        <v/>
      </c>
      <c r="K14" s="42">
        <f>K12*K13</f>
        <v/>
      </c>
      <c r="L14" s="42">
        <f>L12*L13</f>
        <v/>
      </c>
    </row>
    <row r="16">
      <c r="A16" s="3" t="inlineStr">
        <is>
          <t>Sum PV of FCFF</t>
        </is>
      </c>
      <c r="B16" s="43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2">
        <f>L12</f>
        <v/>
      </c>
    </row>
    <row r="20">
      <c r="A20" s="4" t="inlineStr">
        <is>
          <t>Terminal revenue</t>
        </is>
      </c>
      <c r="B20" s="34">
        <f>Model!P6</f>
        <v/>
      </c>
    </row>
    <row r="21">
      <c r="A21" s="4" t="inlineStr">
        <is>
          <t>Terminal EBIT</t>
        </is>
      </c>
      <c r="B21" s="34">
        <f>Model!P19</f>
        <v/>
      </c>
    </row>
    <row r="22">
      <c r="A22" s="4" t="inlineStr">
        <is>
          <t>Terminal EBITDA (SBC-burdened)</t>
        </is>
      </c>
      <c r="B22" s="34">
        <f>Model!P19+Model!P24-Model!P25</f>
        <v/>
      </c>
    </row>
    <row r="23">
      <c r="A23" s="4" t="inlineStr">
        <is>
          <t>Terminal metric (per exit basis)</t>
        </is>
      </c>
      <c r="B23" s="42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2">
        <f>B23*$B$8</f>
        <v/>
      </c>
    </row>
    <row r="25">
      <c r="A25" s="4" t="inlineStr">
        <is>
          <t>PV of TV — exit multiple</t>
        </is>
      </c>
      <c r="B25" s="42">
        <f>B24/(1+$B$3)^10</f>
        <v/>
      </c>
    </row>
    <row r="26">
      <c r="A26" s="4" t="inlineStr">
        <is>
          <t>TV (perpetuity) = FCFF(1+g)/(WACC-g)</t>
        </is>
      </c>
      <c r="B26" s="42">
        <f>B19*(1+$B$4)/($B$3-$B$4)</f>
        <v/>
      </c>
    </row>
    <row r="27">
      <c r="A27" s="4" t="inlineStr">
        <is>
          <t>PV of TV — perpetuity</t>
        </is>
      </c>
      <c r="B27" s="42">
        <f>B26/(1+$B$3)^10</f>
        <v/>
      </c>
    </row>
    <row r="28">
      <c r="A28" s="3" t="inlineStr">
        <is>
          <t>PV of TV — SELECTED</t>
        </is>
      </c>
      <c r="B28" s="43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3">
        <f>B16+B28</f>
        <v/>
      </c>
    </row>
    <row r="32">
      <c r="A32" s="4" t="inlineStr">
        <is>
          <t>+ Cash &amp; ST investments</t>
        </is>
      </c>
      <c r="B32" s="34">
        <f>Financials!AC50</f>
        <v/>
      </c>
    </row>
    <row r="33">
      <c r="A33" s="4" t="inlineStr">
        <is>
          <t>- Long-term debt</t>
        </is>
      </c>
      <c r="B33" s="34">
        <f>-Financials!AC55</f>
        <v/>
      </c>
    </row>
    <row r="34">
      <c r="A34" s="3" t="inlineStr">
        <is>
          <t>Equity value</t>
        </is>
      </c>
      <c r="B34" s="43">
        <f>B31+B32+B33</f>
        <v/>
      </c>
    </row>
    <row r="35">
      <c r="A35" s="4" t="inlineStr">
        <is>
          <t>Diluted shares (M)</t>
        </is>
      </c>
      <c r="B35" s="34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50">
        <f>-$B$2</f>
        <v/>
      </c>
      <c r="C44" s="51">
        <f>C12/B35</f>
        <v/>
      </c>
      <c r="D44" s="51">
        <f>D12/B35</f>
        <v/>
      </c>
      <c r="E44" s="51">
        <f>E12/B35</f>
        <v/>
      </c>
      <c r="F44" s="51">
        <f>F12/B35</f>
        <v/>
      </c>
      <c r="G44" s="51">
        <f>G12/B35</f>
        <v/>
      </c>
      <c r="H44" s="51">
        <f>H12/B35</f>
        <v/>
      </c>
      <c r="I44" s="51">
        <f>I12/B35</f>
        <v/>
      </c>
      <c r="J44" s="51">
        <f>J12/B35</f>
        <v/>
      </c>
      <c r="K44" s="51">
        <f>K12/B35</f>
        <v/>
      </c>
      <c r="L44" s="51">
        <f>L12/B35+B36</f>
        <v/>
      </c>
    </row>
    <row r="45">
      <c r="A45" s="3" t="inlineStr">
        <is>
          <t>IRR (buy at price, hold 10y)</t>
        </is>
      </c>
      <c r="B45" s="39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2" t="n">
        <v>0.1030835198190921</v>
      </c>
      <c r="C4" s="52" t="n">
        <v>0.1080835198190921</v>
      </c>
      <c r="D4" s="52" t="n">
        <v>0.1130835198190921</v>
      </c>
      <c r="E4" s="52" t="n">
        <v>0.1180835198190921</v>
      </c>
      <c r="F4" s="52" t="n">
        <v>0.1230835198190921</v>
      </c>
      <c r="G4" s="52" t="n">
        <v>0.1280835198190921</v>
      </c>
      <c r="H4" s="52" t="n">
        <v>0.1330835198190921</v>
      </c>
    </row>
    <row r="5">
      <c r="A5" s="53" t="n">
        <v>11.2</v>
      </c>
      <c r="B5" s="54" t="n">
        <v>202.6094316017639</v>
      </c>
      <c r="C5" s="54" t="n">
        <v>195.8997095304377</v>
      </c>
      <c r="D5" s="54" t="n">
        <v>189.4997570262236</v>
      </c>
      <c r="E5" s="54" t="n">
        <v>183.3937021410956</v>
      </c>
      <c r="F5" s="54" t="n">
        <v>177.5665586829631</v>
      </c>
      <c r="G5" s="54" t="n">
        <v>172.0041729380759</v>
      </c>
      <c r="H5" s="54" t="n">
        <v>166.6931738226099</v>
      </c>
    </row>
    <row r="6">
      <c r="A6" s="53" t="n">
        <v>12.2</v>
      </c>
      <c r="B6" s="54" t="n">
        <v>213.7566957028582</v>
      </c>
      <c r="C6" s="54" t="n">
        <v>206.554067760191</v>
      </c>
      <c r="D6" s="54" t="n">
        <v>199.6850781498171</v>
      </c>
      <c r="E6" s="54" t="n">
        <v>193.1325995571728</v>
      </c>
      <c r="F6" s="54" t="n">
        <v>186.8804616380189</v>
      </c>
      <c r="G6" s="54" t="n">
        <v>180.9133934092034</v>
      </c>
      <c r="H6" s="54" t="n">
        <v>175.2169693496751</v>
      </c>
    </row>
    <row r="7">
      <c r="A7" s="53" t="n">
        <v>13.2</v>
      </c>
      <c r="B7" s="54" t="n">
        <v>224.9039598039524</v>
      </c>
      <c r="C7" s="54" t="n">
        <v>217.2084259899443</v>
      </c>
      <c r="D7" s="54" t="n">
        <v>209.8703992734106</v>
      </c>
      <c r="E7" s="54" t="n">
        <v>202.8714969732501</v>
      </c>
      <c r="F7" s="54" t="n">
        <v>196.1943645930746</v>
      </c>
      <c r="G7" s="54" t="n">
        <v>189.8226138803309</v>
      </c>
      <c r="H7" s="54" t="n">
        <v>183.7407648767402</v>
      </c>
    </row>
    <row r="8">
      <c r="A8" s="53" t="n">
        <v>14.2</v>
      </c>
      <c r="B8" s="54" t="n">
        <v>236.0512239050466</v>
      </c>
      <c r="C8" s="54" t="n">
        <v>227.8627842196976</v>
      </c>
      <c r="D8" s="54" t="n">
        <v>220.0557203970041</v>
      </c>
      <c r="E8" s="55" t="n">
        <v>212.6103943893274</v>
      </c>
      <c r="F8" s="54" t="n">
        <v>205.5082675481304</v>
      </c>
      <c r="G8" s="54" t="n">
        <v>198.7318343514585</v>
      </c>
      <c r="H8" s="54" t="n">
        <v>192.2645604038053</v>
      </c>
    </row>
    <row r="9">
      <c r="A9" s="53" t="n">
        <v>15.2</v>
      </c>
      <c r="B9" s="54" t="n">
        <v>247.1984880061408</v>
      </c>
      <c r="C9" s="54" t="n">
        <v>238.5171424494509</v>
      </c>
      <c r="D9" s="54" t="n">
        <v>230.2410415205976</v>
      </c>
      <c r="E9" s="54" t="n">
        <v>222.3492918054046</v>
      </c>
      <c r="F9" s="54" t="n">
        <v>214.8221705031862</v>
      </c>
      <c r="G9" s="54" t="n">
        <v>207.641054822586</v>
      </c>
      <c r="H9" s="54" t="n">
        <v>200.7883559308704</v>
      </c>
    </row>
    <row r="10">
      <c r="A10" s="53" t="n">
        <v>16.2</v>
      </c>
      <c r="B10" s="54" t="n">
        <v>258.3457521072351</v>
      </c>
      <c r="C10" s="54" t="n">
        <v>249.1715006792042</v>
      </c>
      <c r="D10" s="54" t="n">
        <v>240.4263626441911</v>
      </c>
      <c r="E10" s="54" t="n">
        <v>232.0881892214818</v>
      </c>
      <c r="F10" s="54" t="n">
        <v>224.136073458242</v>
      </c>
      <c r="G10" s="54" t="n">
        <v>216.5502752937135</v>
      </c>
      <c r="H10" s="54" t="n">
        <v>209.3121514579356</v>
      </c>
    </row>
    <row r="11">
      <c r="A11" s="53" t="n">
        <v>17.2</v>
      </c>
      <c r="B11" s="54" t="n">
        <v>269.4930162083293</v>
      </c>
      <c r="C11" s="54" t="n">
        <v>259.8258589089576</v>
      </c>
      <c r="D11" s="54" t="n">
        <v>250.6116837677846</v>
      </c>
      <c r="E11" s="54" t="n">
        <v>241.8270866375591</v>
      </c>
      <c r="F11" s="54" t="n">
        <v>233.4499764132977</v>
      </c>
      <c r="G11" s="54" t="n">
        <v>225.459495764841</v>
      </c>
      <c r="H11" s="54" t="n">
        <v>217.8359469850007</v>
      </c>
    </row>
    <row r="13">
      <c r="A13" s="3" t="inlineStr">
        <is>
          <t>Current price</t>
        </is>
      </c>
      <c r="B13" s="54" t="n">
        <v>702.3775024414062</v>
      </c>
    </row>
    <row r="14">
      <c r="A14" s="3" t="inlineStr">
        <is>
          <t>Base WACC / multiple</t>
        </is>
      </c>
      <c r="B14" s="56" t="n">
        <v>0.1180835198190921</v>
      </c>
      <c r="C14" s="57" t="n">
        <v>14.2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50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50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9" t="n">
        <v>0.156048632218845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50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9" t="n">
        <v>0.6408258667705492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50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9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50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50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9" t="n">
        <v>0.9849328480812229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50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Financials!AC50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50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Financials!AC55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50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50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50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50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50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50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50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50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50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50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50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50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50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50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50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50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50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50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50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50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50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50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50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50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50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50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50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50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50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50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50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50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50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50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50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8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50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8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50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8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50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8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50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8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50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8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50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8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50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8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50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8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50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8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50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8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50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8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50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8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50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8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50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8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50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50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50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50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50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50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50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50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50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50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50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50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50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50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50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50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50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50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50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50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50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50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50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50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50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50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50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50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50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50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50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50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50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50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50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50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50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50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50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50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50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50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50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50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50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50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50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50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50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50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50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50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50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50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50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50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50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50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50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50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50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50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50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50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50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50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50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50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50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50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50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50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50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50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50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50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50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50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50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50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50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50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50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50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50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50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50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50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50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50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50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50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50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50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50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50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50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50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50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50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50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50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50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50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50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50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50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50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50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50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50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50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50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50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50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50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50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50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50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50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50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50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50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50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50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50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50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50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50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50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50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50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50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50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50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50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50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50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50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50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50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50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50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50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50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50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50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50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50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50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50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50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50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50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50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50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50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50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50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50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50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50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50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50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50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50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50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50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50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50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50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50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50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50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50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50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50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50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50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50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50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50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50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50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50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50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50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50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50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50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50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50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50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50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50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50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50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50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50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50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50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50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50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50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50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50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50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50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50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50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50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50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50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50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50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50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50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50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50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50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50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50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50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50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50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50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50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50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50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50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50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50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50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50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50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50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50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50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50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50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50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50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50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50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50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50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50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50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50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50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50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50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50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50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50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50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50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50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50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50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50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50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50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50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50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50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50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50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50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50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50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50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50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50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50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50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50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50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50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50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50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50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50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50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50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50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50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50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50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50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50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50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50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50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50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50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50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50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50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50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50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50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50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50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50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50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50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50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50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50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50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50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50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50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50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50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50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50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50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50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50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50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50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50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50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50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50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50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50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50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50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50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50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50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50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50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50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50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50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50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50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50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50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50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50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50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50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50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50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50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50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50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50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50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50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50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50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50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50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50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50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50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50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50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50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50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50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50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50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50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50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50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50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50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50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50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50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50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50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50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50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50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50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50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50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50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50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50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50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50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50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50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50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50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50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50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50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50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50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50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50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50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50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50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50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50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50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50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50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50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50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50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50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50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50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50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50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50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50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50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50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50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50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50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50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50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50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50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50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50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50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50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50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50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50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50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50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50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50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50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50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50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50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50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50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50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50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50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50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50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50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50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50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50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50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50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50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50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50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50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50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50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50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50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50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50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50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50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50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50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50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50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50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50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50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50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50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50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50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50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50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50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50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50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50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50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50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50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50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50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50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50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50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50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50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50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50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50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50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50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50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50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50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50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50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50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50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50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50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50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50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50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50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50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50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50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50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50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50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50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50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50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50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50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50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50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50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50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50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50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50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50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50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50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50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50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50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50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50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50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50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50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50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50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50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50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50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50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50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50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50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50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50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50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50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50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50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50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50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50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50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50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50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50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50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50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50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50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50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50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50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50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50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50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50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50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50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50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50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50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50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50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50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50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50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50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50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50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50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50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50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50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50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50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50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50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50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50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50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50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50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50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50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50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50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50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50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50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50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50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50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50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50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50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50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50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50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50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50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50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50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50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50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50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50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50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50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50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50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50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50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50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50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50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50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50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50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50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50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50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50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50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50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50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50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50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50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50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50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50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50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50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50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50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50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50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50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50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50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50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50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50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50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50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50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50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50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50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50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50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50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50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50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50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50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50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50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50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50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50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50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50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50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50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50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50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50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50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50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50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50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50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50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50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50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50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50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50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50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50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50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50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50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50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50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50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50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50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50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50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50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50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50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50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50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50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50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50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50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50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50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50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50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50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50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50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50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50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50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50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50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50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50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50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50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50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50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50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50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50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50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50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50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50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50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50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50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50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50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50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50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50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50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50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50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50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50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50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50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50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50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50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50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50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50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50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50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50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50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50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50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50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50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50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50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50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50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50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50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50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50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50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50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50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50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50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50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50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50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50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50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50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50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50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50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50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50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50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50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50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50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50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50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50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50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50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50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50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50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50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50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50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50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50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50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50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50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50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50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50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50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50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50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50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50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50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50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50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50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50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50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50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50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50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50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50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50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50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50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50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50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50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50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50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50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50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50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50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50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50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50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50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50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50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50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50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50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50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50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50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50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50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50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50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50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50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50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50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50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50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50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50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50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50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50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50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50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50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50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50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50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50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50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50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50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50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50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50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50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50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50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50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50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50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50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50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50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50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50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50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50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50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50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50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50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50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50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50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50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50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50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50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50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50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50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50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50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50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50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50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50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50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50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50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50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50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50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50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50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50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50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50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50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50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50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50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50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50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50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50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50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50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50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50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50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50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50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50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50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50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50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50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50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50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2026-07-08T07:03:48Z</dcterms:created>
  <dcterms:modified xmlns:dcterms="http://purl.org/dc/terms/" xmlns:xsi="http://www.w3.org/2001/XMLSchema-instance" xsi:type="dcterms:W3CDTF">2026-07-08T07:03:48Z</dcterms:modified>
</cp:coreProperties>
</file>