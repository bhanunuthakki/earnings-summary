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29.0%</t>
      </text>
    </comment>
    <comment ref="B30" authorId="0" shapeId="0">
      <text>
        <t>Opus: 35.0%</t>
      </text>
    </comment>
    <comment ref="B31" authorId="0" shapeId="0">
      <text>
        <t>Opus: 21.0%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0.924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17.0x</t>
      </text>
    </comment>
    <comment ref="B46" authorId="0" shapeId="0">
      <text>
        <t>Opus: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Veeva Systems Inc. (VEEV)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Veeva is a capital-light vertical SaaS compounder where a GxP-validated R&amp;D/Vault franchise provides durable, high-retention recurring revenue and the Vault CRM migration offers unconfirmed medium-term upside. Revenue compounds ~12-14% near term in line with consensus, fading toward a mature ~3.5% rate as the life-sciences software TAM saturates, while GAAP operating margin expands from ~29% to ~35% on operating leverage (non-GAAP &gt;40%). With near-zero capex and minimal D&amp;A, nearly all operating profit converts to free cash flow, supporting a premium-but-normalizing terminal multiple.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Veeva Systems Inc. (VEEV)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0.1296460648978478</v>
      </c>
      <c r="C20" s="15" t="n">
        <v>0.05</v>
      </c>
      <c r="D20" s="16" t="n">
        <v>0.1296460648978478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</v>
      </c>
      <c r="D29" s="16" t="n">
        <v>0.29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28.788702352</v>
      </c>
      <c r="D34" s="18" t="n">
        <v>28.788702352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0.924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17</v>
      </c>
    </row>
    <row r="46">
      <c r="A46" s="4" t="inlineStr">
        <is>
          <t>Terminal growth (g)</t>
        </is>
      </c>
      <c r="B46" s="15" t="n">
        <v>0.035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186.7700042724609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205.7985981074764</v>
      </c>
      <c r="C58" s="28" t="n">
        <v>263.8221047239457</v>
      </c>
      <c r="D58" s="28" t="n">
        <v>161.7212738004683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0.03645435452135958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0.02187261271281575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VEEV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Veeva is a capital-light vertical SaaS compounder where a GxP-validated R&amp;D/Vault franchise provides durable, high-retention recurring revenue and the Vault CRM migration offers unconfirmed medium-term upside. Revenue compounds ~12-14% near term in line with consensus, fading toward a mature ~3.5% rate as the life-sciences software TAM saturates, while GAAP operating margin expands from ~29% to ~35% on operating leverage (non-GAAP &gt;40%). With near-zero capex and minimal D&amp;A, nearly all operating profit converts to free cash flow, supporting a premium-but-normalizing terminal multiple.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The R&amp;D segment's reported -42% YoY is a segment-reclassification artifact, not a real decline, so I model it as the faster grower (~15%) consistent with the thesis that R&amp;D/Vault is the larger durable engine, and keep Professional Services low-growth as it is intentionally a thin-margin enabler of subscription pull-through. I anchored near-term revenue/margins to FMP consensus and FY2026 actuals, used a 21% US statutory tax rate, and chose an EV/EBITDA exit (the basis the market quotes for profitable SaaS) at a mature 17x that reflects mid-single-digit terminal growth rather than today's hypergrowth premium.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29.0%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0.924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17.0x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3.5%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SUM(Financials!J3:M3)</f>
        <v/>
      </c>
      <c r="C4" s="33">
        <f>SUM(Financials!N3:Q3)</f>
        <v/>
      </c>
      <c r="D4" s="33">
        <f>SUM(Financials!R3:U3)</f>
        <v/>
      </c>
      <c r="E4" s="33">
        <f>SUM(Financials!V3:Y3)</f>
        <v/>
      </c>
      <c r="F4" s="33">
        <f>SUM(Financials!Z3:AC3)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SUM(Financials!J5:M5)</f>
        <v/>
      </c>
      <c r="C10" s="33">
        <f>SUM(Financials!N5:Q5)</f>
        <v/>
      </c>
      <c r="D10" s="33">
        <f>SUM(Financials!R5:U5)</f>
        <v/>
      </c>
      <c r="E10" s="33">
        <f>SUM(Financials!V5:Y5)</f>
        <v/>
      </c>
      <c r="F10" s="33">
        <f>SUM(Financials!Z5:AC5)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0.2447395574327507</v>
      </c>
      <c r="H11" s="15" t="n">
        <v>0.2447395574327507</v>
      </c>
      <c r="I11" s="15" t="n">
        <v>0.2447395574327507</v>
      </c>
      <c r="J11" s="15" t="n">
        <v>0.2447395574327507</v>
      </c>
      <c r="K11" s="15" t="n">
        <v>0.2447395574327507</v>
      </c>
      <c r="L11" s="15" t="n">
        <v>0.2447395574327507</v>
      </c>
      <c r="M11" s="15" t="n">
        <v>0.2447395574327507</v>
      </c>
      <c r="N11" s="15" t="n">
        <v>0.2447395574327507</v>
      </c>
      <c r="O11" s="15" t="n">
        <v>0.2447395574327507</v>
      </c>
      <c r="P11" s="15" t="n">
        <v>0.2447395574327507</v>
      </c>
    </row>
    <row r="12">
      <c r="A12" s="4" t="inlineStr">
        <is>
          <t>R&amp;D / Technology</t>
        </is>
      </c>
      <c r="B12" s="33">
        <f>SUM(Financials!J7:M7)</f>
        <v/>
      </c>
      <c r="C12" s="33">
        <f>SUM(Financials!N7:Q7)</f>
        <v/>
      </c>
      <c r="D12" s="33">
        <f>SUM(Financials!R7:U7)</f>
        <v/>
      </c>
      <c r="E12" s="33">
        <f>SUM(Financials!V7:Y7)</f>
        <v/>
      </c>
      <c r="F12" s="33">
        <f>SUM(Financials!Z7:AC7)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0.2401600345005541</v>
      </c>
      <c r="H13" s="15" t="n">
        <v>0.2401600345005541</v>
      </c>
      <c r="I13" s="15" t="n">
        <v>0.2401600345005541</v>
      </c>
      <c r="J13" s="15" t="n">
        <v>0.2401600345005541</v>
      </c>
      <c r="K13" s="15" t="n">
        <v>0.2401600345005541</v>
      </c>
      <c r="L13" s="15" t="n">
        <v>0.2401600345005541</v>
      </c>
      <c r="M13" s="15" t="n">
        <v>0.2401600345005541</v>
      </c>
      <c r="N13" s="15" t="n">
        <v>0.2401600345005541</v>
      </c>
      <c r="O13" s="15" t="n">
        <v>0.2401600345005541</v>
      </c>
      <c r="P13" s="15" t="n">
        <v>0.2401600345005541</v>
      </c>
    </row>
    <row r="14">
      <c r="A14" s="4" t="inlineStr">
        <is>
          <t>SG&amp;A</t>
        </is>
      </c>
      <c r="B14" s="33">
        <f>SUM(Financials!J9:M9)</f>
        <v/>
      </c>
      <c r="C14" s="33">
        <f>SUM(Financials!N9:Q9)</f>
        <v/>
      </c>
      <c r="D14" s="33">
        <f>SUM(Financials!R9:U9)</f>
        <v/>
      </c>
      <c r="E14" s="33">
        <f>SUM(Financials!V9:Y9)</f>
        <v/>
      </c>
      <c r="F14" s="33">
        <f>SUM(Financials!Z9:AC9)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0.2283148651258047</v>
      </c>
      <c r="H15" s="15" t="n">
        <v>0.2283148651258047</v>
      </c>
      <c r="I15" s="15" t="n">
        <v>0.2283148651258047</v>
      </c>
      <c r="J15" s="15" t="n">
        <v>0.2283148651258047</v>
      </c>
      <c r="K15" s="15" t="n">
        <v>0.2283148651258047</v>
      </c>
      <c r="L15" s="15" t="n">
        <v>0.2283148651258047</v>
      </c>
      <c r="M15" s="15" t="n">
        <v>0.2283148651258047</v>
      </c>
      <c r="N15" s="15" t="n">
        <v>0.2283148651258047</v>
      </c>
      <c r="O15" s="15" t="n">
        <v>0.2283148651258047</v>
      </c>
      <c r="P15" s="15" t="n">
        <v>0.2283148651258047</v>
      </c>
    </row>
    <row r="16">
      <c r="A16" s="4" t="inlineStr">
        <is>
          <t>Other opex (fulfilment, etc.)</t>
        </is>
      </c>
      <c r="B16" s="33">
        <f>B6-(B10+B12+B14)-SUM(Financials!J13:M13)</f>
        <v/>
      </c>
      <c r="C16" s="33">
        <f>C6-(C10+C12+C14)-SUM(Financials!N13:Q13)</f>
        <v/>
      </c>
      <c r="D16" s="33">
        <f>D6-(D10+D12+D14)-SUM(Financials!R13:U13)</f>
        <v/>
      </c>
      <c r="E16" s="33">
        <f>E6-(E10+E12+E14)-SUM(Financials!V13:Y13)</f>
        <v/>
      </c>
      <c r="F16" s="33">
        <f>F6-(F10+F12+F14)-SUM(Financials!Z13:AC13)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SUM(Financials!J37:M37)</f>
        <v/>
      </c>
      <c r="C24" s="33">
        <f>SUM(Financials!N37:Q37)</f>
        <v/>
      </c>
      <c r="D24" s="33">
        <f>SUM(Financials!R37:U37)</f>
        <v/>
      </c>
      <c r="E24" s="33">
        <f>SUM(Financials!V37:Y37)</f>
        <v/>
      </c>
      <c r="F24" s="33">
        <f>SUM(Financials!Z37:AC37)</f>
        <v/>
      </c>
      <c r="G24" s="41">
        <f>G6*0.0148</f>
        <v/>
      </c>
      <c r="H24" s="41">
        <f>H6*0.0148</f>
        <v/>
      </c>
      <c r="I24" s="41">
        <f>I6*0.0148</f>
        <v/>
      </c>
      <c r="J24" s="41">
        <f>J6*0.0148</f>
        <v/>
      </c>
      <c r="K24" s="41">
        <f>K6*0.0148</f>
        <v/>
      </c>
      <c r="L24" s="41">
        <f>L6*0.0148</f>
        <v/>
      </c>
      <c r="M24" s="41">
        <f>M6*0.0148</f>
        <v/>
      </c>
      <c r="N24" s="41">
        <f>N6*0.0148</f>
        <v/>
      </c>
      <c r="O24" s="41">
        <f>O6*0.0148</f>
        <v/>
      </c>
      <c r="P24" s="41">
        <f>P6*0.0148</f>
        <v/>
      </c>
    </row>
    <row r="25">
      <c r="A25" s="4" t="inlineStr">
        <is>
          <t>+ SBC (non-cash)</t>
        </is>
      </c>
      <c r="B25" s="33">
        <f>SUM(Financials!J38:M38)</f>
        <v/>
      </c>
      <c r="C25" s="33">
        <f>SUM(Financials!N38:Q38)</f>
        <v/>
      </c>
      <c r="D25" s="33">
        <f>SUM(Financials!R38:U38)</f>
        <v/>
      </c>
      <c r="E25" s="33">
        <f>SUM(Financials!V38:Y38)</f>
        <v/>
      </c>
      <c r="F25" s="33">
        <f>SUM(Financials!Z38:AC38)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-SUM(Financials!J41:M41)</f>
        <v/>
      </c>
      <c r="C27" s="33">
        <f>-SUM(Financials!N41:Q41)</f>
        <v/>
      </c>
      <c r="D27" s="33">
        <f>-SUM(Financials!R41:U41)</f>
        <v/>
      </c>
      <c r="E27" s="33">
        <f>-SUM(Financials!V41:Y41)</f>
        <v/>
      </c>
      <c r="F27" s="33">
        <f>-SUM(Financials!Z41:AC41)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Financials!M35+Financials!M34-Financials!M29</f>
        <v/>
      </c>
      <c r="C34" s="33">
        <f>Financials!Q35+Financials!Q34-Financials!Q29</f>
        <v/>
      </c>
      <c r="D34" s="33">
        <f>Financials!U35+Financials!U34-Financials!U29</f>
        <v/>
      </c>
      <c r="E34" s="33">
        <f>Financials!Y35+Financials!Y34-Financials!Y29</f>
        <v/>
      </c>
      <c r="F34" s="33">
        <f>Financials!AC35+Financials!AC34-Financials!AC29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Financials!M35</f>
        <v/>
      </c>
      <c r="C35" s="33">
        <f>Financials!Q35</f>
        <v/>
      </c>
      <c r="D35" s="33">
        <f>Financials!U35</f>
        <v/>
      </c>
      <c r="E35" s="33">
        <f>Financials!Y35</f>
        <v/>
      </c>
      <c r="F35" s="33">
        <f>Financials!AC35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244.752</v>
      </c>
      <c r="C3" s="18" t="n">
        <v>266.9</v>
      </c>
      <c r="D3" s="18" t="n">
        <v>280.921</v>
      </c>
      <c r="E3" s="18" t="n">
        <v>311.508</v>
      </c>
      <c r="F3" s="18" t="n">
        <v>337.106</v>
      </c>
      <c r="G3" s="18" t="n">
        <v>353.683</v>
      </c>
      <c r="H3" s="18" t="n">
        <v>377.519</v>
      </c>
      <c r="I3" s="18" t="n">
        <v>396.761</v>
      </c>
      <c r="J3" s="18" t="n">
        <v>433.573</v>
      </c>
      <c r="K3" s="18" t="n">
        <v>455.594</v>
      </c>
      <c r="L3" s="18" t="n">
        <v>476.111</v>
      </c>
      <c r="M3" s="18" t="n">
        <v>485.499</v>
      </c>
      <c r="N3" s="18" t="n">
        <v>505.102</v>
      </c>
      <c r="O3" s="18" t="n">
        <v>534.218</v>
      </c>
      <c r="P3" s="18" t="n">
        <v>552.351</v>
      </c>
      <c r="Q3" s="18" t="n">
        <v>563.389</v>
      </c>
      <c r="R3" s="18" t="n">
        <v>526.325</v>
      </c>
      <c r="S3" s="18" t="n">
        <v>590.225</v>
      </c>
      <c r="T3" s="18" t="n">
        <v>616.505</v>
      </c>
      <c r="U3" s="18" t="n">
        <v>630.6180000000001</v>
      </c>
      <c r="V3" s="18" t="n">
        <v>650.345</v>
      </c>
      <c r="W3" s="18" t="n">
        <v>676.181</v>
      </c>
      <c r="X3" s="18" t="n">
        <v>699.207</v>
      </c>
      <c r="Y3" s="18" t="n">
        <v>720.886</v>
      </c>
      <c r="Z3" s="18" t="n">
        <v>759.043</v>
      </c>
      <c r="AA3" s="18" t="n">
        <v>789.081</v>
      </c>
      <c r="AB3" s="18" t="n">
        <v>811.236</v>
      </c>
      <c r="AC3" s="18" t="n">
        <v>835.951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65.503</v>
      </c>
      <c r="C5" s="18" t="n">
        <v>70.218</v>
      </c>
      <c r="D5" s="18" t="n">
        <v>73.32899999999999</v>
      </c>
      <c r="E5" s="18" t="n">
        <v>94.319</v>
      </c>
      <c r="F5" s="18" t="n">
        <v>94.88</v>
      </c>
      <c r="G5" s="18" t="n">
        <v>97.20399999999999</v>
      </c>
      <c r="H5" s="18" t="n">
        <v>102.997</v>
      </c>
      <c r="I5" s="18" t="n">
        <v>113.847</v>
      </c>
      <c r="J5" s="18" t="n">
        <v>116.136</v>
      </c>
      <c r="K5" s="18" t="n">
        <v>122.097</v>
      </c>
      <c r="L5" s="18" t="n">
        <v>129.564</v>
      </c>
      <c r="M5" s="18" t="n">
        <v>135.881</v>
      </c>
      <c r="N5" s="18" t="n">
        <v>139.515</v>
      </c>
      <c r="O5" s="18" t="n">
        <v>151.669</v>
      </c>
      <c r="P5" s="18" t="n">
        <v>153.907</v>
      </c>
      <c r="Q5" s="18" t="n">
        <v>164.314</v>
      </c>
      <c r="R5" s="18" t="n">
        <v>166.663</v>
      </c>
      <c r="S5" s="18" t="n">
        <v>169.018</v>
      </c>
      <c r="T5" s="18" t="n">
        <v>167.682</v>
      </c>
      <c r="U5" s="18" t="n">
        <v>173.928</v>
      </c>
      <c r="V5" s="18" t="n">
        <v>173.884</v>
      </c>
      <c r="W5" s="18" t="n">
        <v>170.372</v>
      </c>
      <c r="X5" s="18" t="n">
        <v>174.389</v>
      </c>
      <c r="Y5" s="18" t="n">
        <v>180.991</v>
      </c>
      <c r="Z5" s="18" t="n">
        <v>173.824</v>
      </c>
      <c r="AA5" s="18" t="n">
        <v>195.253</v>
      </c>
      <c r="AB5" s="18" t="n">
        <v>199.465</v>
      </c>
      <c r="AC5" s="18" t="n">
        <v>213.477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44.973</v>
      </c>
      <c r="C7" s="18" t="n">
        <v>51.146</v>
      </c>
      <c r="D7" s="18" t="n">
        <v>52.575</v>
      </c>
      <c r="E7" s="18" t="n">
        <v>61.201</v>
      </c>
      <c r="F7" s="18" t="n">
        <v>62.237</v>
      </c>
      <c r="G7" s="18" t="n">
        <v>70.053</v>
      </c>
      <c r="H7" s="18" t="n">
        <v>79.992</v>
      </c>
      <c r="I7" s="18" t="n">
        <v>81.938</v>
      </c>
      <c r="J7" s="18" t="n">
        <v>83.226</v>
      </c>
      <c r="K7" s="18" t="n">
        <v>94.899</v>
      </c>
      <c r="L7" s="18" t="n">
        <v>98.63500000000001</v>
      </c>
      <c r="M7" s="18" t="n">
        <v>105.275</v>
      </c>
      <c r="N7" s="18" t="n">
        <v>113.475</v>
      </c>
      <c r="O7" s="18" t="n">
        <v>134.008</v>
      </c>
      <c r="P7" s="18" t="n">
        <v>130.257</v>
      </c>
      <c r="Q7" s="18" t="n">
        <v>142.538</v>
      </c>
      <c r="R7" s="18" t="n">
        <v>146.96</v>
      </c>
      <c r="S7" s="18" t="n">
        <v>157.228</v>
      </c>
      <c r="T7" s="18" t="n">
        <v>161.278</v>
      </c>
      <c r="U7" s="18" t="n">
        <v>163.536</v>
      </c>
      <c r="V7" s="18" t="n">
        <v>162.711</v>
      </c>
      <c r="W7" s="18" t="n">
        <v>176.429</v>
      </c>
      <c r="X7" s="18" t="n">
        <v>172.411</v>
      </c>
      <c r="Y7" s="18" t="n">
        <v>181.527</v>
      </c>
      <c r="Z7" s="18" t="n">
        <v>184.033</v>
      </c>
      <c r="AA7" s="18" t="n">
        <v>192.677</v>
      </c>
      <c r="AB7" s="18" t="n">
        <v>191.883</v>
      </c>
      <c r="AC7" s="18" t="n">
        <v>198.793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63.107</v>
      </c>
      <c r="C9" s="18" t="n">
        <v>71.68000000000001</v>
      </c>
      <c r="D9" s="18" t="n">
        <v>74.217</v>
      </c>
      <c r="E9" s="18" t="n">
        <v>95.59399999999999</v>
      </c>
      <c r="F9" s="18" t="n">
        <v>92.42400000000001</v>
      </c>
      <c r="G9" s="18" t="n">
        <v>96.345</v>
      </c>
      <c r="H9" s="18" t="n">
        <v>93.22499999999999</v>
      </c>
      <c r="I9" s="18" t="n">
        <v>102.133</v>
      </c>
      <c r="J9" s="18" t="n">
        <v>105.765</v>
      </c>
      <c r="K9" s="18" t="n">
        <v>113.974</v>
      </c>
      <c r="L9" s="18" t="n">
        <v>115.204</v>
      </c>
      <c r="M9" s="18" t="n">
        <v>124.625</v>
      </c>
      <c r="N9" s="18" t="n">
        <v>124.44</v>
      </c>
      <c r="O9" s="18" t="n">
        <v>147.449</v>
      </c>
      <c r="P9" s="18" t="n">
        <v>146.783</v>
      </c>
      <c r="Q9" s="18" t="n">
        <v>147.614</v>
      </c>
      <c r="R9" s="18" t="n">
        <v>151.172</v>
      </c>
      <c r="S9" s="18" t="n">
        <v>159.93</v>
      </c>
      <c r="T9" s="18" t="n">
        <v>159.056</v>
      </c>
      <c r="U9" s="18" t="n">
        <v>157.861</v>
      </c>
      <c r="V9" s="18" t="n">
        <v>158.578</v>
      </c>
      <c r="W9" s="18" t="n">
        <v>162.893</v>
      </c>
      <c r="X9" s="18" t="n">
        <v>171.054</v>
      </c>
      <c r="Y9" s="18" t="n">
        <v>169.945</v>
      </c>
      <c r="Z9" s="18" t="n">
        <v>167.454</v>
      </c>
      <c r="AA9" s="18" t="n">
        <v>205.243</v>
      </c>
      <c r="AB9" s="18" t="n">
        <v>179.035</v>
      </c>
      <c r="AC9" s="18" t="n">
        <v>177.805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179.249</v>
      </c>
      <c r="C11" s="18" t="n">
        <v>196.682</v>
      </c>
      <c r="D11" s="18" t="n">
        <v>207.592</v>
      </c>
      <c r="E11" s="18" t="n">
        <v>217.189</v>
      </c>
      <c r="F11" s="18" t="n">
        <v>242.226</v>
      </c>
      <c r="G11" s="18" t="n">
        <v>256.479</v>
      </c>
      <c r="H11" s="18" t="n">
        <v>274.522</v>
      </c>
      <c r="I11" s="18" t="n">
        <v>282.914</v>
      </c>
      <c r="J11" s="18" t="n">
        <v>317.437</v>
      </c>
      <c r="K11" s="18" t="n">
        <v>333.497</v>
      </c>
      <c r="L11" s="18" t="n">
        <v>346.547</v>
      </c>
      <c r="M11" s="18" t="n">
        <v>349.618</v>
      </c>
      <c r="N11" s="18" t="n">
        <v>365.587</v>
      </c>
      <c r="O11" s="18" t="n">
        <v>382.549</v>
      </c>
      <c r="P11" s="18" t="n">
        <v>398.444</v>
      </c>
      <c r="Q11" s="18" t="n">
        <v>399.075</v>
      </c>
      <c r="R11" s="18" t="n">
        <v>359.662</v>
      </c>
      <c r="S11" s="18" t="n">
        <v>421.207</v>
      </c>
      <c r="T11" s="18" t="n">
        <v>448.823</v>
      </c>
      <c r="U11" s="18" t="n">
        <v>456.69</v>
      </c>
      <c r="V11" s="18" t="n">
        <v>476.461</v>
      </c>
      <c r="W11" s="18" t="n">
        <v>505.809</v>
      </c>
      <c r="X11" s="18" t="n">
        <v>524.818</v>
      </c>
      <c r="Y11" s="18" t="n">
        <v>539.895</v>
      </c>
      <c r="Z11" s="18" t="n">
        <v>585.2190000000001</v>
      </c>
      <c r="AA11" s="18" t="n">
        <v>593.828</v>
      </c>
      <c r="AB11" s="18" t="n">
        <v>611.771</v>
      </c>
      <c r="AC11" s="18" t="n">
        <v>622.474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71.169</v>
      </c>
      <c r="C13" s="18" t="n">
        <v>73.85599999999999</v>
      </c>
      <c r="D13" s="18" t="n">
        <v>80.8</v>
      </c>
      <c r="E13" s="18" t="n">
        <v>60.394</v>
      </c>
      <c r="F13" s="18" t="n">
        <v>87.565</v>
      </c>
      <c r="G13" s="18" t="n">
        <v>90.081</v>
      </c>
      <c r="H13" s="18" t="n">
        <v>101.305</v>
      </c>
      <c r="I13" s="18" t="n">
        <v>98.843</v>
      </c>
      <c r="J13" s="18" t="n">
        <v>128.446</v>
      </c>
      <c r="K13" s="18" t="n">
        <v>124.624</v>
      </c>
      <c r="L13" s="18" t="n">
        <v>132.708</v>
      </c>
      <c r="M13" s="18" t="n">
        <v>119.718</v>
      </c>
      <c r="N13" s="18" t="n">
        <v>127.672</v>
      </c>
      <c r="O13" s="18" t="n">
        <v>101.092</v>
      </c>
      <c r="P13" s="18" t="n">
        <v>121.404</v>
      </c>
      <c r="Q13" s="18" t="n">
        <v>108.923</v>
      </c>
      <c r="R13" s="18" t="n">
        <v>61.53</v>
      </c>
      <c r="S13" s="18" t="n">
        <v>104.049</v>
      </c>
      <c r="T13" s="18" t="n">
        <v>128.489</v>
      </c>
      <c r="U13" s="18" t="n">
        <v>135.264</v>
      </c>
      <c r="V13" s="18" t="n">
        <v>155.172</v>
      </c>
      <c r="W13" s="18" t="n">
        <v>166.487</v>
      </c>
      <c r="X13" s="18" t="n">
        <v>181.353</v>
      </c>
      <c r="Y13" s="18" t="n">
        <v>188.423</v>
      </c>
      <c r="Z13" s="18" t="n">
        <v>233.732</v>
      </c>
      <c r="AA13" s="18" t="n">
        <v>195.908</v>
      </c>
      <c r="AB13" s="18" t="n">
        <v>240.853</v>
      </c>
      <c r="AC13" s="18" t="n">
        <v>245.876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73.449</v>
      </c>
      <c r="C15" s="18" t="n">
        <v>79.242</v>
      </c>
      <c r="D15" s="18" t="n">
        <v>82.245</v>
      </c>
      <c r="E15" s="18" t="n">
        <v>66.182</v>
      </c>
      <c r="F15" s="18" t="n">
        <v>86.56999999999999</v>
      </c>
      <c r="G15" s="18" t="n">
        <v>93.551</v>
      </c>
      <c r="H15" s="18" t="n">
        <v>96.959</v>
      </c>
      <c r="I15" s="18" t="n">
        <v>102.918</v>
      </c>
      <c r="J15" s="18" t="n">
        <v>115.567</v>
      </c>
      <c r="K15" s="18" t="n">
        <v>108.858</v>
      </c>
      <c r="L15" s="18" t="n">
        <v>105.869</v>
      </c>
      <c r="M15" s="18" t="n">
        <v>97.096</v>
      </c>
      <c r="N15" s="18" t="n">
        <v>100.115</v>
      </c>
      <c r="O15" s="18" t="n">
        <v>90.601</v>
      </c>
      <c r="P15" s="18" t="n">
        <v>108.457</v>
      </c>
      <c r="Q15" s="18" t="n">
        <v>188.533</v>
      </c>
      <c r="R15" s="18" t="n">
        <v>131.521</v>
      </c>
      <c r="S15" s="18" t="n">
        <v>111.628</v>
      </c>
      <c r="T15" s="18" t="n">
        <v>135.158</v>
      </c>
      <c r="U15" s="18" t="n">
        <v>147.398</v>
      </c>
      <c r="V15" s="18" t="n">
        <v>161.664</v>
      </c>
      <c r="W15" s="18" t="n">
        <v>171.041</v>
      </c>
      <c r="X15" s="18" t="n">
        <v>185.808</v>
      </c>
      <c r="Y15" s="18" t="n">
        <v>195.625</v>
      </c>
      <c r="Z15" s="18" t="n">
        <v>228.19</v>
      </c>
      <c r="AA15" s="18" t="n">
        <v>200.309</v>
      </c>
      <c r="AB15" s="18" t="n">
        <v>236.203</v>
      </c>
      <c r="AC15" s="18" t="n">
        <v>244.204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157.91</v>
      </c>
      <c r="C17" s="18" t="n">
        <v>158.675</v>
      </c>
      <c r="D17" s="18" t="n">
        <v>158.75</v>
      </c>
      <c r="E17" s="18" t="n">
        <v>158.792</v>
      </c>
      <c r="F17" s="18" t="n">
        <v>159.474</v>
      </c>
      <c r="G17" s="18" t="n">
        <v>186.414</v>
      </c>
      <c r="H17" s="18" t="n">
        <v>161.711</v>
      </c>
      <c r="I17" s="18" t="n">
        <v>162.008</v>
      </c>
      <c r="J17" s="18" t="n">
        <v>162.213</v>
      </c>
      <c r="K17" s="18" t="n">
        <v>162.765</v>
      </c>
      <c r="L17" s="18" t="n">
        <v>163.034</v>
      </c>
      <c r="M17" s="18" t="n">
        <v>162.681</v>
      </c>
      <c r="N17" s="18" t="n">
        <v>161.928</v>
      </c>
      <c r="O17" s="18" t="n">
        <v>162.132</v>
      </c>
      <c r="P17" s="18" t="n">
        <v>162.295</v>
      </c>
      <c r="Q17" s="18" t="n">
        <v>162.104</v>
      </c>
      <c r="R17" s="18" t="n">
        <v>162.521</v>
      </c>
      <c r="S17" s="18" t="n">
        <v>163.284</v>
      </c>
      <c r="T17" s="18" t="n">
        <v>163.761</v>
      </c>
      <c r="U17" s="18" t="n">
        <v>164.071</v>
      </c>
      <c r="V17" s="18" t="n">
        <v>164.394</v>
      </c>
      <c r="W17" s="18" t="n">
        <v>164.564</v>
      </c>
      <c r="X17" s="18" t="n">
        <v>164.979</v>
      </c>
      <c r="Y17" s="18" t="n">
        <v>165.674</v>
      </c>
      <c r="Z17" s="18" t="n">
        <v>166.229</v>
      </c>
      <c r="AA17" s="18" t="n">
        <v>167.272</v>
      </c>
      <c r="AB17" s="18" t="n">
        <v>167.953</v>
      </c>
      <c r="AC17" s="18" t="n">
        <v>168.261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B19" s="18" t="n">
        <v>132.131</v>
      </c>
      <c r="C19" s="18" t="n">
        <v>145.305</v>
      </c>
      <c r="D19" s="18" t="n">
        <v>153.005</v>
      </c>
      <c r="E19" s="18" t="n">
        <v>177.263</v>
      </c>
      <c r="F19" s="18" t="n">
        <v>195.657</v>
      </c>
      <c r="G19" s="18" t="n">
        <v>200.334</v>
      </c>
      <c r="H19" s="18" t="n">
        <v>218.11</v>
      </c>
      <c r="I19" s="18" t="n">
        <v>224.091</v>
      </c>
      <c r="J19" s="18" t="n">
        <v>246.3</v>
      </c>
      <c r="K19" s="18" t="n">
        <v>259.125</v>
      </c>
      <c r="L19" s="18" t="n">
        <v>277.165</v>
      </c>
      <c r="M19" s="18" t="n">
        <v>281.18</v>
      </c>
      <c r="N19" s="18" t="n">
        <v>294.771</v>
      </c>
      <c r="O19" s="18" t="n">
        <v>308.958</v>
      </c>
      <c r="P19" s="18" t="n">
        <v>321.86</v>
      </c>
      <c r="Q19" s="18" t="n">
        <v>328.171</v>
      </c>
      <c r="R19" s="18" t="n">
        <v>313.975</v>
      </c>
      <c r="S19" s="18" t="n">
        <v>346.335</v>
      </c>
      <c r="T19" s="18" t="n">
        <v>362.381</v>
      </c>
      <c r="U19" s="18" t="n">
        <v>364.734</v>
      </c>
      <c r="V19" s="18" t="n">
        <v>381.599</v>
      </c>
      <c r="W19" s="18" t="n">
        <v>395.971</v>
      </c>
      <c r="X19" s="18" t="n">
        <v>414.474</v>
      </c>
      <c r="Y19" s="18" t="n">
        <v>429.653</v>
      </c>
      <c r="Z19" s="18" t="n">
        <v>459.467</v>
      </c>
      <c r="AA19" s="18" t="n">
        <v>468.008</v>
      </c>
      <c r="AC19" s="18" t="n">
        <v>975.867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Europe</t>
        </is>
      </c>
      <c r="B22" s="18" t="n">
        <v>78.254</v>
      </c>
      <c r="C22" s="18" t="n">
        <v>84.45999999999999</v>
      </c>
      <c r="D22" s="18" t="n">
        <v>79.83199999999999</v>
      </c>
      <c r="E22" s="18" t="n">
        <v>67.669</v>
      </c>
      <c r="F22" s="18" t="n">
        <v>89.422</v>
      </c>
      <c r="G22" s="18" t="n">
        <v>98.395</v>
      </c>
      <c r="H22" s="18" t="n">
        <v>102.44</v>
      </c>
      <c r="I22" s="18" t="n">
        <v>110.533</v>
      </c>
      <c r="J22" s="18" t="n">
        <v>121.304</v>
      </c>
      <c r="K22" s="18" t="n">
        <v>127.549</v>
      </c>
      <c r="L22" s="18" t="n">
        <v>128.032</v>
      </c>
      <c r="M22" s="18" t="n">
        <v>132.242</v>
      </c>
      <c r="N22" s="18" t="n">
        <v>138.962</v>
      </c>
      <c r="O22" s="18" t="n">
        <v>149.806</v>
      </c>
      <c r="P22" s="18" t="n">
        <v>152.951</v>
      </c>
      <c r="Q22" s="18" t="n">
        <v>157.109</v>
      </c>
      <c r="R22" s="18" t="n">
        <v>142.423</v>
      </c>
      <c r="S22" s="18" t="n">
        <v>164.527</v>
      </c>
      <c r="T22" s="18" t="n">
        <v>172.473</v>
      </c>
      <c r="U22" s="18" t="n">
        <v>183.137</v>
      </c>
      <c r="V22" s="18" t="n">
        <v>189.915</v>
      </c>
      <c r="W22" s="18" t="n">
        <v>198.315</v>
      </c>
      <c r="X22" s="18" t="n">
        <v>198.667</v>
      </c>
      <c r="Y22" s="18" t="n">
        <v>203.88</v>
      </c>
      <c r="Z22" s="18" t="n">
        <v>217.103</v>
      </c>
      <c r="AA22" s="18" t="n">
        <v>232.744</v>
      </c>
      <c r="AC22" s="18" t="n">
        <v>489.783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B25" s="18" t="n">
        <v>34.367</v>
      </c>
      <c r="C25" s="18" t="n">
        <v>37.135</v>
      </c>
      <c r="D25" s="18" t="n">
        <v>39.057</v>
      </c>
      <c r="E25" s="18" t="n">
        <v>40.493</v>
      </c>
      <c r="F25" s="18" t="n">
        <v>42.292</v>
      </c>
      <c r="G25" s="18" t="n">
        <v>44.569</v>
      </c>
      <c r="H25" s="18" t="n">
        <v>46.178</v>
      </c>
      <c r="I25" s="18" t="n">
        <v>50.809</v>
      </c>
      <c r="J25" s="18" t="n">
        <v>53.632</v>
      </c>
      <c r="K25" s="18" t="n">
        <v>55.85</v>
      </c>
      <c r="L25" s="18" t="n">
        <v>57.837</v>
      </c>
      <c r="M25" s="18" t="n">
        <v>58.649</v>
      </c>
      <c r="N25" s="18" t="n">
        <v>57.713</v>
      </c>
      <c r="O25" s="18" t="n">
        <v>60.952</v>
      </c>
      <c r="P25" s="18" t="n">
        <v>62.621</v>
      </c>
      <c r="Q25" s="18" t="n">
        <v>63.369</v>
      </c>
      <c r="R25" s="18" t="n">
        <v>55.577</v>
      </c>
      <c r="S25" s="18" t="n">
        <v>63.963</v>
      </c>
      <c r="T25" s="18" t="n">
        <v>65.18000000000001</v>
      </c>
      <c r="U25" s="18" t="n">
        <v>65.88</v>
      </c>
      <c r="V25" s="18" t="n">
        <v>62.44</v>
      </c>
      <c r="W25" s="18" t="n">
        <v>64.879</v>
      </c>
      <c r="X25" s="18" t="n">
        <v>68.655</v>
      </c>
      <c r="Y25" s="18" t="n">
        <v>69.761</v>
      </c>
      <c r="Z25" s="18" t="n">
        <v>65.37</v>
      </c>
      <c r="AA25" s="18" t="n">
        <v>70.128</v>
      </c>
      <c r="AC25" s="18" t="n">
        <v>144.664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1329.648</v>
      </c>
      <c r="C29" s="18" t="n">
        <v>1432.156</v>
      </c>
      <c r="D29" s="18" t="n">
        <v>1494.988</v>
      </c>
      <c r="E29" s="18" t="n">
        <v>1086.748</v>
      </c>
      <c r="F29" s="18" t="n">
        <v>1380.975</v>
      </c>
      <c r="G29" s="18" t="n">
        <v>1495.489</v>
      </c>
      <c r="H29" s="18" t="n">
        <v>1590.432</v>
      </c>
      <c r="I29" s="18" t="n">
        <v>1663.626</v>
      </c>
      <c r="J29" s="18" t="n">
        <v>2150.433</v>
      </c>
      <c r="K29" s="18" t="n">
        <v>2263.516</v>
      </c>
      <c r="L29" s="18" t="n">
        <v>2351.487</v>
      </c>
      <c r="M29" s="18" t="n">
        <v>2376.104</v>
      </c>
      <c r="N29" s="18" t="n">
        <v>2838.553</v>
      </c>
      <c r="O29" s="18" t="n">
        <v>2919.107</v>
      </c>
      <c r="P29" s="18" t="n">
        <v>3022.555</v>
      </c>
      <c r="Q29" s="18" t="n">
        <v>3102.628</v>
      </c>
      <c r="R29" s="18" t="n">
        <v>3614.902</v>
      </c>
      <c r="S29" s="18" t="n">
        <v>3868.739</v>
      </c>
      <c r="T29" s="18" t="n">
        <v>3942.282</v>
      </c>
      <c r="U29" s="18" t="n">
        <v>4027.756</v>
      </c>
      <c r="V29" s="18" t="n">
        <v>4765.037</v>
      </c>
      <c r="W29" s="18" t="n">
        <v>4885.078</v>
      </c>
      <c r="X29" s="18" t="n">
        <v>5062.986</v>
      </c>
      <c r="Y29" s="18" t="n">
        <v>5150.227</v>
      </c>
      <c r="Z29" s="18" t="n">
        <v>6068.417</v>
      </c>
      <c r="AA29" s="18" t="n">
        <v>6403.713</v>
      </c>
      <c r="AB29" s="18" t="n">
        <v>6637.301</v>
      </c>
      <c r="AC29" s="18" t="n">
        <v>6560.814</v>
      </c>
    </row>
    <row r="30">
      <c r="A30" s="4" t="inlineStr">
        <is>
          <t>Total Current Assets</t>
        </is>
      </c>
      <c r="B30" s="18" t="n">
        <v>1537.851</v>
      </c>
      <c r="C30" s="18" t="n">
        <v>1620.838</v>
      </c>
      <c r="D30" s="18" t="n">
        <v>1658.121</v>
      </c>
      <c r="E30" s="18" t="n">
        <v>1531.124</v>
      </c>
      <c r="F30" s="18" t="n">
        <v>1675.272</v>
      </c>
      <c r="G30" s="18" t="n">
        <v>1785.432</v>
      </c>
      <c r="H30" s="18" t="n">
        <v>1852.997</v>
      </c>
      <c r="I30" s="18" t="n">
        <v>2310.826</v>
      </c>
      <c r="J30" s="18" t="n">
        <v>2495.066</v>
      </c>
      <c r="K30" s="18" t="n">
        <v>2631.792</v>
      </c>
      <c r="L30" s="18" t="n">
        <v>2659.795</v>
      </c>
      <c r="M30" s="18" t="n">
        <v>3107.183</v>
      </c>
      <c r="N30" s="18" t="n">
        <v>3275.295</v>
      </c>
      <c r="O30" s="18" t="n">
        <v>3356.142</v>
      </c>
      <c r="P30" s="18" t="n">
        <v>3386.485</v>
      </c>
      <c r="Q30" s="18" t="n">
        <v>3969.313</v>
      </c>
      <c r="R30" s="18" t="n">
        <v>4188.134</v>
      </c>
      <c r="S30" s="18" t="n">
        <v>4361.753</v>
      </c>
      <c r="T30" s="18" t="n">
        <v>4335.758</v>
      </c>
      <c r="U30" s="18" t="n">
        <v>5003.211</v>
      </c>
      <c r="V30" s="18" t="n">
        <v>5244.948</v>
      </c>
      <c r="W30" s="18" t="n">
        <v>5367.843</v>
      </c>
      <c r="X30" s="18" t="n">
        <v>5447.16</v>
      </c>
      <c r="Y30" s="18" t="n">
        <v>6308.802</v>
      </c>
      <c r="Z30" s="18" t="n">
        <v>6707.534</v>
      </c>
      <c r="AA30" s="18" t="n">
        <v>6994.588</v>
      </c>
      <c r="AB30" s="18" t="n">
        <v>7111.854</v>
      </c>
      <c r="AC30" s="18" t="n">
        <v>7997.63</v>
      </c>
    </row>
    <row r="31">
      <c r="A31" s="4" t="inlineStr">
        <is>
          <t>PP&amp;E (net)</t>
        </is>
      </c>
      <c r="B31" s="18" t="n">
        <v>70.761</v>
      </c>
      <c r="C31" s="18" t="n">
        <v>73.274</v>
      </c>
      <c r="D31" s="18" t="n">
        <v>77.345</v>
      </c>
      <c r="E31" s="18" t="n">
        <v>103.884</v>
      </c>
      <c r="F31" s="18" t="n">
        <v>99.809</v>
      </c>
      <c r="G31" s="18" t="n">
        <v>103.862</v>
      </c>
      <c r="H31" s="18" t="n">
        <v>107.176</v>
      </c>
      <c r="I31" s="18" t="n">
        <v>110.567</v>
      </c>
      <c r="J31" s="18" t="n">
        <v>106.024</v>
      </c>
      <c r="K31" s="18" t="n">
        <v>105.687</v>
      </c>
      <c r="L31" s="18" t="n">
        <v>103.962</v>
      </c>
      <c r="M31" s="18" t="n">
        <v>104.135</v>
      </c>
      <c r="N31" s="18" t="n">
        <v>102.703</v>
      </c>
      <c r="O31" s="18" t="n">
        <v>110.948</v>
      </c>
      <c r="P31" s="18" t="n">
        <v>108.384</v>
      </c>
      <c r="Q31" s="18" t="n">
        <v>105.153</v>
      </c>
      <c r="R31" s="18" t="n">
        <v>102.237</v>
      </c>
      <c r="S31" s="18" t="n">
        <v>107.996</v>
      </c>
      <c r="T31" s="18" t="n">
        <v>105.736</v>
      </c>
      <c r="U31" s="18" t="n">
        <v>104.134</v>
      </c>
      <c r="V31" s="18" t="n">
        <v>102.625</v>
      </c>
      <c r="W31" s="18" t="n">
        <v>99.831</v>
      </c>
      <c r="X31" s="18" t="n">
        <v>116.02</v>
      </c>
      <c r="Y31" s="18" t="n">
        <v>119.775</v>
      </c>
      <c r="Z31" s="18" t="n">
        <v>122.225</v>
      </c>
      <c r="AA31" s="18" t="n">
        <v>132.748</v>
      </c>
      <c r="AB31" s="18" t="n">
        <v>139.956</v>
      </c>
      <c r="AC31" s="18" t="n">
        <v>145.887</v>
      </c>
    </row>
    <row r="32">
      <c r="A32" s="4" t="inlineStr">
        <is>
          <t>Total Assets</t>
        </is>
      </c>
      <c r="B32" s="18" t="n">
        <v>1776.104</v>
      </c>
      <c r="C32" s="18" t="n">
        <v>1859.853</v>
      </c>
      <c r="D32" s="18" t="n">
        <v>1900.441</v>
      </c>
      <c r="E32" s="18" t="n">
        <v>2271.777</v>
      </c>
      <c r="F32" s="18" t="n">
        <v>2404.619</v>
      </c>
      <c r="G32" s="18" t="n">
        <v>2516.409</v>
      </c>
      <c r="H32" s="18" t="n">
        <v>2583.641</v>
      </c>
      <c r="I32" s="18" t="n">
        <v>3046.067</v>
      </c>
      <c r="J32" s="18" t="n">
        <v>3222.149</v>
      </c>
      <c r="K32" s="18" t="n">
        <v>3351.383</v>
      </c>
      <c r="L32" s="18" t="n">
        <v>3367.486</v>
      </c>
      <c r="M32" s="18" t="n">
        <v>3816.465</v>
      </c>
      <c r="N32" s="18" t="n">
        <v>4011.222</v>
      </c>
      <c r="O32" s="18" t="n">
        <v>4116.583</v>
      </c>
      <c r="P32" s="18" t="n">
        <v>4182.717</v>
      </c>
      <c r="Q32" s="18" t="n">
        <v>4804.296</v>
      </c>
      <c r="R32" s="18" t="n">
        <v>5023.37</v>
      </c>
      <c r="S32" s="18" t="n">
        <v>5228.143</v>
      </c>
      <c r="T32" s="18" t="n">
        <v>5225.772</v>
      </c>
      <c r="U32" s="18" t="n">
        <v>5910.92</v>
      </c>
      <c r="V32" s="18" t="n">
        <v>6187.558</v>
      </c>
      <c r="W32" s="18" t="n">
        <v>6330.837</v>
      </c>
      <c r="X32" s="18" t="n">
        <v>6452.853</v>
      </c>
      <c r="Y32" s="18" t="n">
        <v>7339.756</v>
      </c>
      <c r="Z32" s="18" t="n">
        <v>7765.077</v>
      </c>
      <c r="AA32" s="18" t="n">
        <v>7999.427</v>
      </c>
      <c r="AB32" s="18" t="n">
        <v>8097.151</v>
      </c>
      <c r="AC32" s="18" t="n">
        <v>8979.343000000001</v>
      </c>
    </row>
    <row r="33">
      <c r="A33" s="4" t="inlineStr">
        <is>
          <t>Total Current Liabilities</t>
        </is>
      </c>
      <c r="B33" s="18" t="n">
        <v>412.587</v>
      </c>
      <c r="C33" s="18" t="n">
        <v>382.941</v>
      </c>
      <c r="D33" s="18" t="n">
        <v>306.897</v>
      </c>
      <c r="E33" s="18" t="n">
        <v>551.172</v>
      </c>
      <c r="F33" s="18" t="n">
        <v>550.34</v>
      </c>
      <c r="G33" s="18" t="n">
        <v>501.482</v>
      </c>
      <c r="H33" s="18" t="n">
        <v>417.392</v>
      </c>
      <c r="I33" s="18" t="n">
        <v>715.952</v>
      </c>
      <c r="J33" s="18" t="n">
        <v>709.546</v>
      </c>
      <c r="K33" s="18" t="n">
        <v>662.837</v>
      </c>
      <c r="L33" s="18" t="n">
        <v>536.8869999999999</v>
      </c>
      <c r="M33" s="18" t="n">
        <v>840.779</v>
      </c>
      <c r="N33" s="18" t="n">
        <v>878.86</v>
      </c>
      <c r="O33" s="18" t="n">
        <v>799.389</v>
      </c>
      <c r="P33" s="18" t="n">
        <v>690.28</v>
      </c>
      <c r="Q33" s="18" t="n">
        <v>1006.803</v>
      </c>
      <c r="R33" s="18" t="n">
        <v>1006.302</v>
      </c>
      <c r="S33" s="18" t="n">
        <v>1001.954</v>
      </c>
      <c r="T33" s="18" t="n">
        <v>768.25</v>
      </c>
      <c r="U33" s="18" t="n">
        <v>1178.883</v>
      </c>
      <c r="V33" s="18" t="n">
        <v>1223.286</v>
      </c>
      <c r="W33" s="18" t="n">
        <v>1070.438</v>
      </c>
      <c r="X33" s="18" t="n">
        <v>857.001</v>
      </c>
      <c r="Y33" s="18" t="n">
        <v>1398.404</v>
      </c>
      <c r="Z33" s="18" t="n">
        <v>1456.613</v>
      </c>
      <c r="AA33" s="18" t="n">
        <v>1255.053</v>
      </c>
      <c r="AB33" s="18" t="n">
        <v>944.878</v>
      </c>
      <c r="AC33" s="18" t="n">
        <v>1637.056</v>
      </c>
    </row>
    <row r="34">
      <c r="A34" s="4" t="inlineStr">
        <is>
          <t>Long-term Debt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18" t="n">
        <v>0</v>
      </c>
      <c r="V34" s="18" t="n">
        <v>0</v>
      </c>
      <c r="W34" s="18" t="n">
        <v>0</v>
      </c>
      <c r="X34" s="18" t="n">
        <v>0</v>
      </c>
      <c r="Y34" s="18" t="n">
        <v>0</v>
      </c>
      <c r="Z34" s="18" t="n">
        <v>0</v>
      </c>
      <c r="AA34" s="18" t="n">
        <v>0</v>
      </c>
      <c r="AB34" s="18" t="n">
        <v>0</v>
      </c>
      <c r="AC34" s="18" t="n">
        <v>0</v>
      </c>
    </row>
    <row r="35">
      <c r="A35" s="4" t="inlineStr">
        <is>
          <t>Total Equity</t>
        </is>
      </c>
      <c r="B35" s="18" t="n">
        <v>1335.103</v>
      </c>
      <c r="C35" s="18" t="n">
        <v>1445.017</v>
      </c>
      <c r="D35" s="18" t="n">
        <v>1558.565</v>
      </c>
      <c r="E35" s="18" t="n">
        <v>1665.594</v>
      </c>
      <c r="F35" s="18" t="n">
        <v>1801.036</v>
      </c>
      <c r="G35" s="18" t="n">
        <v>1956.727</v>
      </c>
      <c r="H35" s="18" t="n">
        <v>2106.379</v>
      </c>
      <c r="I35" s="18" t="n">
        <v>2266.32</v>
      </c>
      <c r="J35" s="18" t="n">
        <v>2444.984</v>
      </c>
      <c r="K35" s="18" t="n">
        <v>2620.097</v>
      </c>
      <c r="L35" s="18" t="n">
        <v>2769.361</v>
      </c>
      <c r="M35" s="18" t="n">
        <v>2911.637</v>
      </c>
      <c r="N35" s="18" t="n">
        <v>3068.275</v>
      </c>
      <c r="O35" s="18" t="n">
        <v>3243.931</v>
      </c>
      <c r="P35" s="18" t="n">
        <v>3418.792</v>
      </c>
      <c r="Q35" s="18" t="n">
        <v>3716.252</v>
      </c>
      <c r="R35" s="18" t="n">
        <v>3943.063</v>
      </c>
      <c r="S35" s="18" t="n">
        <v>4152.643</v>
      </c>
      <c r="T35" s="18" t="n">
        <v>4379.773</v>
      </c>
      <c r="U35" s="18" t="n">
        <v>4644.824</v>
      </c>
      <c r="V35" s="18" t="n">
        <v>4889.381</v>
      </c>
      <c r="W35" s="18" t="n">
        <v>5184.698</v>
      </c>
      <c r="X35" s="18" t="n">
        <v>5501.403</v>
      </c>
      <c r="Y35" s="18" t="n">
        <v>5832.373</v>
      </c>
      <c r="Z35" s="18" t="n">
        <v>6211.098</v>
      </c>
      <c r="AA35" s="18" t="n">
        <v>6638.539</v>
      </c>
      <c r="AB35" s="18" t="n">
        <v>7040.631</v>
      </c>
      <c r="AC35" s="18" t="n">
        <v>7214.752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3.6</v>
      </c>
      <c r="C37" s="18" t="n">
        <v>3.6</v>
      </c>
      <c r="D37" s="18" t="n">
        <v>3.6</v>
      </c>
      <c r="E37" s="18" t="n">
        <v>7.847</v>
      </c>
      <c r="F37" s="18" t="n">
        <v>9.997</v>
      </c>
      <c r="G37" s="18" t="n">
        <v>7</v>
      </c>
      <c r="H37" s="18" t="n">
        <v>7</v>
      </c>
      <c r="I37" s="18" t="n">
        <v>7.671</v>
      </c>
      <c r="J37" s="18" t="n">
        <v>8.827</v>
      </c>
      <c r="K37" s="18" t="n">
        <v>9.874000000000001</v>
      </c>
      <c r="L37" s="18" t="n">
        <v>9.855</v>
      </c>
      <c r="M37" s="18" t="n">
        <v>9.707000000000001</v>
      </c>
      <c r="N37" s="18" t="n">
        <v>9.948</v>
      </c>
      <c r="O37" s="18" t="n">
        <v>10.02</v>
      </c>
      <c r="P37" s="18" t="n">
        <v>9.093999999999999</v>
      </c>
      <c r="Q37" s="18" t="n">
        <v>9.042</v>
      </c>
      <c r="R37" s="18" t="n">
        <v>8.805999999999999</v>
      </c>
      <c r="S37" s="18" t="n">
        <v>8.871</v>
      </c>
      <c r="T37" s="18" t="n">
        <v>8.766</v>
      </c>
      <c r="U37" s="18" t="n">
        <v>9.707000000000001</v>
      </c>
      <c r="V37" s="18" t="n">
        <v>8.499000000000001</v>
      </c>
      <c r="W37" s="18" t="n">
        <v>11.02</v>
      </c>
      <c r="X37" s="18" t="n">
        <v>9.932</v>
      </c>
      <c r="Y37" s="18" t="n">
        <v>13.131</v>
      </c>
      <c r="Z37" s="18" t="n">
        <v>13.087</v>
      </c>
      <c r="AA37" s="18" t="n">
        <v>13.177</v>
      </c>
      <c r="AB37" s="18" t="n">
        <v>9.706</v>
      </c>
      <c r="AC37" s="18" t="n">
        <v>11.412</v>
      </c>
    </row>
    <row r="38">
      <c r="A38" s="4" t="inlineStr">
        <is>
          <t>Stock-based Compensation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  <c r="U38" s="18" t="n">
        <v>0</v>
      </c>
      <c r="V38" s="18" t="n">
        <v>0</v>
      </c>
      <c r="W38" s="18" t="n">
        <v>108.376</v>
      </c>
      <c r="X38" s="18" t="n">
        <v>117.859</v>
      </c>
      <c r="Y38" s="18" t="n">
        <v>0</v>
      </c>
      <c r="Z38" s="18" t="n">
        <v>0</v>
      </c>
      <c r="AA38" s="18" t="n">
        <v>-1.941</v>
      </c>
      <c r="AB38" s="18" t="n">
        <v>120.268</v>
      </c>
      <c r="AC38" s="18" t="n">
        <v>-1.844</v>
      </c>
    </row>
    <row r="39">
      <c r="A39" s="4" t="inlineStr">
        <is>
          <t>Change in Working Capital</t>
        </is>
      </c>
      <c r="B39" s="18" t="n">
        <v>132.789999</v>
      </c>
      <c r="C39" s="18" t="n">
        <v>-17.251</v>
      </c>
      <c r="D39" s="18" t="n">
        <v>-60.443</v>
      </c>
      <c r="E39" s="18" t="n">
        <v>-73.27800000000001</v>
      </c>
      <c r="F39" s="18" t="n">
        <v>144.514</v>
      </c>
      <c r="G39" s="18" t="n">
        <v>-53.738</v>
      </c>
      <c r="H39" s="18" t="n">
        <v>-65.873</v>
      </c>
      <c r="I39" s="18" t="n">
        <v>-100.549</v>
      </c>
      <c r="J39" s="18" t="n">
        <v>291.145</v>
      </c>
      <c r="K39" s="18" t="n">
        <v>-77.08199999999999</v>
      </c>
      <c r="L39" s="18" t="n">
        <v>-70.852</v>
      </c>
      <c r="M39" s="18" t="n">
        <v>-122.55</v>
      </c>
      <c r="N39" s="18" t="n">
        <v>329.762</v>
      </c>
      <c r="O39" s="18" t="n">
        <v>-89.767</v>
      </c>
      <c r="P39" s="18" t="n">
        <v>-43.088</v>
      </c>
      <c r="Q39" s="18" t="n">
        <v>-189.567</v>
      </c>
      <c r="R39" s="18" t="n">
        <v>292.621</v>
      </c>
      <c r="S39" s="18" t="n">
        <v>68.187</v>
      </c>
      <c r="T39" s="18" t="n">
        <v>-128.154</v>
      </c>
      <c r="U39" s="18" t="n">
        <v>-171.831</v>
      </c>
      <c r="V39" s="18" t="n">
        <v>522.652</v>
      </c>
      <c r="W39" s="18" t="n">
        <v>-162.004</v>
      </c>
      <c r="X39" s="18" t="n">
        <v>-117.968</v>
      </c>
      <c r="Y39" s="18" t="n">
        <v>-235.06</v>
      </c>
      <c r="Z39" s="18" t="n">
        <v>545.228</v>
      </c>
      <c r="AA39" s="18" t="n">
        <v>-152.531</v>
      </c>
      <c r="AB39" s="18" t="n">
        <v>-197.707</v>
      </c>
      <c r="AC39" s="18" t="n">
        <v>-286.928</v>
      </c>
    </row>
    <row r="40">
      <c r="A40" s="4" t="inlineStr">
        <is>
          <t>Operating Cash Flow</t>
        </is>
      </c>
      <c r="B40" s="18" t="n">
        <v>236.289</v>
      </c>
      <c r="C40" s="18" t="n">
        <v>100.473</v>
      </c>
      <c r="D40" s="18" t="n">
        <v>61.504</v>
      </c>
      <c r="E40" s="18" t="n">
        <v>39.109</v>
      </c>
      <c r="F40" s="18" t="n">
        <v>282.172</v>
      </c>
      <c r="G40" s="18" t="n">
        <v>105.32</v>
      </c>
      <c r="H40" s="18" t="n">
        <v>95.40300000000001</v>
      </c>
      <c r="I40" s="18" t="n">
        <v>68.351</v>
      </c>
      <c r="J40" s="18" t="n">
        <v>478.385</v>
      </c>
      <c r="K40" s="18" t="n">
        <v>119.065</v>
      </c>
      <c r="L40" s="18" t="n">
        <v>112.959</v>
      </c>
      <c r="M40" s="18" t="n">
        <v>54.054</v>
      </c>
      <c r="N40" s="18" t="n">
        <v>481.027</v>
      </c>
      <c r="O40" s="18" t="n">
        <v>93.386</v>
      </c>
      <c r="P40" s="18" t="n">
        <v>142.66</v>
      </c>
      <c r="Q40" s="18" t="n">
        <v>63.397</v>
      </c>
      <c r="R40" s="18" t="n">
        <v>505.936</v>
      </c>
      <c r="S40" s="18" t="n">
        <v>265.036</v>
      </c>
      <c r="T40" s="18" t="n">
        <v>82.598</v>
      </c>
      <c r="U40" s="18" t="n">
        <v>57.769</v>
      </c>
      <c r="V40" s="18" t="n">
        <v>763.516</v>
      </c>
      <c r="W40" s="18" t="n">
        <v>92.874</v>
      </c>
      <c r="X40" s="18" t="n">
        <v>164.117</v>
      </c>
      <c r="Y40" s="18" t="n">
        <v>69.544</v>
      </c>
      <c r="Z40" s="18" t="n">
        <v>877.158</v>
      </c>
      <c r="AA40" s="18" t="n">
        <v>238.433</v>
      </c>
      <c r="AB40" s="18" t="n">
        <v>192.787</v>
      </c>
      <c r="AC40" s="18" t="n">
        <v>106.847</v>
      </c>
    </row>
    <row r="41">
      <c r="A41" s="4" t="inlineStr">
        <is>
          <t>Capex</t>
        </is>
      </c>
      <c r="B41" s="18" t="n">
        <v>-1.194</v>
      </c>
      <c r="C41" s="18" t="n">
        <v>-1.092</v>
      </c>
      <c r="D41" s="18" t="n">
        <v>-0.881</v>
      </c>
      <c r="E41" s="18" t="n">
        <v>0.054</v>
      </c>
      <c r="F41" s="18" t="n">
        <v>0</v>
      </c>
      <c r="G41" s="18" t="n">
        <v>-5.14</v>
      </c>
      <c r="H41" s="18" t="n">
        <v>-3.316</v>
      </c>
      <c r="I41" s="18" t="n">
        <v>-0.227</v>
      </c>
      <c r="J41" s="18" t="n">
        <v>-2.656</v>
      </c>
      <c r="K41" s="18" t="n">
        <v>-5.325</v>
      </c>
      <c r="L41" s="18" t="n">
        <v>-2.314</v>
      </c>
      <c r="M41" s="18" t="n">
        <v>-3.919</v>
      </c>
      <c r="N41" s="18" t="n">
        <v>-2.333</v>
      </c>
      <c r="O41" s="18" t="n">
        <v>-1.663</v>
      </c>
      <c r="P41" s="18" t="n">
        <v>-5.609</v>
      </c>
      <c r="Q41" s="18" t="n">
        <v>-3.907</v>
      </c>
      <c r="R41" s="18" t="n">
        <v>-2.958</v>
      </c>
      <c r="S41" s="18" t="n">
        <v>-9.593</v>
      </c>
      <c r="T41" s="18" t="n">
        <v>-5.91</v>
      </c>
      <c r="U41" s="18" t="n">
        <v>-7.735</v>
      </c>
      <c r="V41" s="18" t="n">
        <v>-8.476000000000001</v>
      </c>
      <c r="W41" s="18" t="n">
        <v>-3.052</v>
      </c>
      <c r="X41" s="18" t="n">
        <v>-4.271</v>
      </c>
      <c r="Y41" s="18" t="n">
        <v>-4.72</v>
      </c>
      <c r="Z41" s="18" t="n">
        <v>-5.91</v>
      </c>
      <c r="AA41" s="18" t="n">
        <v>-6.303</v>
      </c>
      <c r="AB41" s="18" t="n">
        <v>-6.303</v>
      </c>
      <c r="AC41" s="18" t="n">
        <v>-7.029</v>
      </c>
    </row>
    <row r="42">
      <c r="A42" s="4" t="inlineStr">
        <is>
          <t>Free Cash Flow</t>
        </is>
      </c>
      <c r="B42" s="18" t="n">
        <v>235.095</v>
      </c>
      <c r="C42" s="18" t="n">
        <v>99.381</v>
      </c>
      <c r="D42" s="18" t="n">
        <v>60.623</v>
      </c>
      <c r="E42" s="18" t="n">
        <v>39.163</v>
      </c>
      <c r="F42" s="18" t="n">
        <v>282.172</v>
      </c>
      <c r="G42" s="18" t="n">
        <v>100.18</v>
      </c>
      <c r="H42" s="18" t="n">
        <v>92.087</v>
      </c>
      <c r="I42" s="18" t="n">
        <v>68.124</v>
      </c>
      <c r="J42" s="18" t="n">
        <v>475.729</v>
      </c>
      <c r="K42" s="18" t="n">
        <v>113.74</v>
      </c>
      <c r="L42" s="18" t="n">
        <v>110.645</v>
      </c>
      <c r="M42" s="18" t="n">
        <v>50.135</v>
      </c>
      <c r="N42" s="18" t="n">
        <v>478.694</v>
      </c>
      <c r="O42" s="18" t="n">
        <v>91.723</v>
      </c>
      <c r="P42" s="18" t="n">
        <v>137.051</v>
      </c>
      <c r="Q42" s="18" t="n">
        <v>59.49</v>
      </c>
      <c r="R42" s="18" t="n">
        <v>502.978</v>
      </c>
      <c r="S42" s="18" t="n">
        <v>255.443</v>
      </c>
      <c r="T42" s="18" t="n">
        <v>76.688</v>
      </c>
      <c r="U42" s="18" t="n">
        <v>50.034</v>
      </c>
      <c r="V42" s="18" t="n">
        <v>755.04</v>
      </c>
      <c r="W42" s="18" t="n">
        <v>89.822</v>
      </c>
      <c r="X42" s="18" t="n">
        <v>159.846</v>
      </c>
      <c r="Y42" s="18" t="n">
        <v>64.824</v>
      </c>
      <c r="Z42" s="18" t="n">
        <v>871.248</v>
      </c>
      <c r="AA42" s="18" t="n">
        <v>232.13</v>
      </c>
      <c r="AB42" s="18" t="n">
        <v>186.484</v>
      </c>
      <c r="AC42" s="18" t="n">
        <v>99.818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3598.587794</v>
      </c>
      <c r="C4" s="18" t="n">
        <v>4035.176499</v>
      </c>
      <c r="D4" s="18" t="n">
        <v>4539.009422</v>
      </c>
      <c r="E4" s="18" t="n">
        <v>5168.7975</v>
      </c>
      <c r="F4" s="18" t="n">
        <v>5877.382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908.86412</v>
      </c>
      <c r="C8" s="18" t="n">
        <v>1019.129544</v>
      </c>
      <c r="D8" s="18" t="n">
        <v>1146.378258</v>
      </c>
      <c r="E8" s="18" t="n">
        <v>1305.438372</v>
      </c>
      <c r="F8" s="18" t="n">
        <v>1484.399416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868.209794</v>
      </c>
      <c r="C12" s="18" t="n">
        <v>973.542944</v>
      </c>
      <c r="D12" s="18" t="n">
        <v>1095.099706</v>
      </c>
      <c r="E12" s="18" t="n">
        <v>1247.044916</v>
      </c>
      <c r="F12" s="18" t="n">
        <v>1418.000868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896.974076</v>
      </c>
      <c r="C16" s="18" t="n">
        <v>1005.796974</v>
      </c>
      <c r="D16" s="18" t="n">
        <v>1131.38098</v>
      </c>
      <c r="E16" s="18" t="n">
        <v>1288.36022</v>
      </c>
      <c r="F16" s="18" t="n">
        <v>1464.98004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1456.436881</v>
      </c>
      <c r="C20" s="18" t="n">
        <v>1629.209074</v>
      </c>
      <c r="D20" s="18" t="n">
        <v>1876.9528375</v>
      </c>
      <c r="E20" s="18" t="n">
        <v>2198.489188</v>
      </c>
      <c r="F20" s="18" t="n">
        <v>2554.18854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8.862270000000001</v>
      </c>
      <c r="C24" s="47" t="n">
        <v>9.88195</v>
      </c>
      <c r="D24" s="47" t="n">
        <v>11.14754</v>
      </c>
      <c r="E24" s="47" t="n">
        <v>13.165</v>
      </c>
      <c r="F24" s="47" t="n">
        <v>15.295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Veeva Systems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0.06957999999999999</v>
      </c>
      <c r="C4" s="51" t="n">
        <v>0.07457999999999999</v>
      </c>
      <c r="D4" s="51" t="n">
        <v>0.07957999999999998</v>
      </c>
      <c r="E4" s="51" t="n">
        <v>0.08457999999999999</v>
      </c>
      <c r="F4" s="51" t="n">
        <v>0.08957999999999999</v>
      </c>
      <c r="G4" s="51" t="n">
        <v>0.09457999999999998</v>
      </c>
      <c r="H4" s="51" t="n">
        <v>0.09957999999999999</v>
      </c>
    </row>
    <row r="5">
      <c r="A5" s="52" t="n">
        <v>14</v>
      </c>
      <c r="B5" s="8" t="n">
        <v>203.8481749446734</v>
      </c>
      <c r="C5" s="8" t="n">
        <v>197.3839836722314</v>
      </c>
      <c r="D5" s="8" t="n">
        <v>191.2234225956048</v>
      </c>
      <c r="E5" s="53" t="n">
        <v>185.3505712997853</v>
      </c>
      <c r="F5" s="53" t="n">
        <v>179.7504206689215</v>
      </c>
      <c r="G5" s="53" t="n">
        <v>174.4088165987648</v>
      </c>
      <c r="H5" s="53" t="n">
        <v>169.3124074317836</v>
      </c>
    </row>
    <row r="6">
      <c r="A6" s="52" t="n">
        <v>15</v>
      </c>
      <c r="B6" s="8" t="n">
        <v>211.6827118862475</v>
      </c>
      <c r="C6" s="8" t="n">
        <v>204.8615200590419</v>
      </c>
      <c r="D6" s="8" t="n">
        <v>198.3617713820942</v>
      </c>
      <c r="E6" s="8" t="n">
        <v>192.1665802356824</v>
      </c>
      <c r="F6" s="53" t="n">
        <v>186.26002870219</v>
      </c>
      <c r="G6" s="53" t="n">
        <v>180.6271067449764</v>
      </c>
      <c r="H6" s="53" t="n">
        <v>175.25365634604</v>
      </c>
    </row>
    <row r="7">
      <c r="A7" s="52" t="n">
        <v>16</v>
      </c>
      <c r="B7" s="8" t="n">
        <v>219.5172488278215</v>
      </c>
      <c r="C7" s="8" t="n">
        <v>212.3390564458524</v>
      </c>
      <c r="D7" s="8" t="n">
        <v>205.5001201685837</v>
      </c>
      <c r="E7" s="8" t="n">
        <v>198.9825891715794</v>
      </c>
      <c r="F7" s="8" t="n">
        <v>192.7696367354585</v>
      </c>
      <c r="G7" s="8" t="n">
        <v>186.8453968911881</v>
      </c>
      <c r="H7" s="53" t="n">
        <v>181.1949052602963</v>
      </c>
    </row>
    <row r="8">
      <c r="A8" s="52" t="n">
        <v>17</v>
      </c>
      <c r="B8" s="8" t="n">
        <v>227.3517857693955</v>
      </c>
      <c r="C8" s="8" t="n">
        <v>219.8165928326629</v>
      </c>
      <c r="D8" s="8" t="n">
        <v>212.6384689550731</v>
      </c>
      <c r="E8" s="54" t="n">
        <v>205.7985981074764</v>
      </c>
      <c r="F8" s="8" t="n">
        <v>199.279244768727</v>
      </c>
      <c r="G8" s="8" t="n">
        <v>193.0636870373998</v>
      </c>
      <c r="H8" s="8" t="n">
        <v>187.1361541745526</v>
      </c>
    </row>
    <row r="9">
      <c r="A9" s="52" t="n">
        <v>18</v>
      </c>
      <c r="B9" s="8" t="n">
        <v>235.1863227109696</v>
      </c>
      <c r="C9" s="8" t="n">
        <v>227.2941292194734</v>
      </c>
      <c r="D9" s="8" t="n">
        <v>219.7768177415626</v>
      </c>
      <c r="E9" s="8" t="n">
        <v>212.6146070433735</v>
      </c>
      <c r="F9" s="8" t="n">
        <v>205.7888528019956</v>
      </c>
      <c r="G9" s="8" t="n">
        <v>199.2819771836115</v>
      </c>
      <c r="H9" s="8" t="n">
        <v>193.0774030888089</v>
      </c>
    </row>
    <row r="10">
      <c r="A10" s="52" t="n">
        <v>19</v>
      </c>
      <c r="B10" s="8" t="n">
        <v>243.0208596525436</v>
      </c>
      <c r="C10" s="8" t="n">
        <v>234.7716656062839</v>
      </c>
      <c r="D10" s="8" t="n">
        <v>226.9151665280521</v>
      </c>
      <c r="E10" s="8" t="n">
        <v>219.4306159792705</v>
      </c>
      <c r="F10" s="8" t="n">
        <v>212.2984608352641</v>
      </c>
      <c r="G10" s="8" t="n">
        <v>205.5002673298231</v>
      </c>
      <c r="H10" s="8" t="n">
        <v>199.0186520030652</v>
      </c>
    </row>
    <row r="11">
      <c r="A11" s="52" t="n">
        <v>20</v>
      </c>
      <c r="B11" s="8" t="n">
        <v>250.8553965941177</v>
      </c>
      <c r="C11" s="8" t="n">
        <v>242.2492019930944</v>
      </c>
      <c r="D11" s="8" t="n">
        <v>234.0535153145415</v>
      </c>
      <c r="E11" s="8" t="n">
        <v>226.2466249151676</v>
      </c>
      <c r="F11" s="8" t="n">
        <v>218.8080688685327</v>
      </c>
      <c r="G11" s="8" t="n">
        <v>211.7185574760348</v>
      </c>
      <c r="H11" s="8" t="n">
        <v>204.9599009173216</v>
      </c>
    </row>
    <row r="13">
      <c r="A13" s="3" t="inlineStr">
        <is>
          <t>Current price</t>
        </is>
      </c>
      <c r="B13" s="53" t="n">
        <v>186.7700042724609</v>
      </c>
    </row>
    <row r="14">
      <c r="A14" s="3" t="inlineStr">
        <is>
          <t>Base WACC / multiple</t>
        </is>
      </c>
      <c r="B14" s="55" t="n">
        <v>0.08457999999999999</v>
      </c>
      <c r="C14" s="56" t="n">
        <v>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0.01482860353812195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0.5394978683888397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0.01439516347430576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0.9698623449506396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2026-07-06T20:35:56Z</dcterms:created>
  <dcterms:modified xmlns:dcterms="http://purl.org/dc/terms/" xmlns:xsi="http://www.w3.org/2001/XMLSchema-instance" xsi:type="dcterms:W3CDTF">2026-07-06T20:35:56Z</dcterms:modified>
</cp:coreProperties>
</file>