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2" authorId="0" shapeId="0">
      <text>
        <t>builder default</t>
      </text>
    </comment>
    <comment ref="C22" authorId="0" shapeId="0">
      <text>
        <t>builder default</t>
      </text>
    </comment>
    <comment ref="B23" authorId="0" shapeId="0">
      <text>
        <t>builder default</t>
      </text>
    </comment>
    <comment ref="C23" authorId="0" shapeId="0">
      <text>
        <t>builder default</t>
      </text>
    </comment>
    <comment ref="B24" authorId="0" shapeId="0">
      <text>
        <t>builder default</t>
      </text>
    </comment>
    <comment ref="C24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Southern Copper Corporation (SCCO)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Southern Copper Corporation (SCCO)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IF(Model!F42&lt;=0,"n/a (neg. capital)",Model!G44-WACC!B15)</f>
        <v/>
      </c>
      <c r="C15" s="10">
        <f>IF(Model!F42&lt;=0,"n/a",IF(Model!G44-WACC!B15&lt;0,"!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Copper</t>
        </is>
      </c>
      <c r="B20" s="15" t="n">
        <v>0.04602392124942085</v>
      </c>
      <c r="C20" s="15" t="n">
        <v>0.05</v>
      </c>
      <c r="D20" s="16" t="n">
        <v>0.04602392124942085</v>
      </c>
      <c r="E20" s="2" t="inlineStr"/>
    </row>
    <row r="21">
      <c r="A21" s="4" t="inlineStr">
        <is>
          <t>Silver</t>
        </is>
      </c>
      <c r="B21" s="15" t="n">
        <v>0.1656186830834644</v>
      </c>
      <c r="C21" s="15" t="n">
        <v>0.05</v>
      </c>
      <c r="D21" s="16" t="n">
        <v>0.1656186830834644</v>
      </c>
      <c r="E21" s="2" t="inlineStr"/>
    </row>
    <row r="22">
      <c r="A22" s="4" t="inlineStr">
        <is>
          <t>Molybdenum</t>
        </is>
      </c>
      <c r="B22" s="15" t="n">
        <v>0.03131722822681056</v>
      </c>
      <c r="C22" s="15" t="n">
        <v>0.04999999999999999</v>
      </c>
      <c r="D22" s="16" t="n">
        <v>0.03131722822681056</v>
      </c>
      <c r="E22" s="2" t="inlineStr"/>
    </row>
    <row r="23">
      <c r="A23" s="4" t="inlineStr">
        <is>
          <t>Other</t>
        </is>
      </c>
      <c r="B23" s="15" t="n">
        <v>0.05888270734164053</v>
      </c>
      <c r="C23" s="15" t="n">
        <v>0.05</v>
      </c>
      <c r="D23" s="16" t="n">
        <v>0.05888270734164053</v>
      </c>
      <c r="E23" s="2" t="inlineStr"/>
    </row>
    <row r="24">
      <c r="A24" s="4" t="inlineStr">
        <is>
          <t>Zinc</t>
        </is>
      </c>
      <c r="B24" s="15" t="n">
        <v>0.1021839215801814</v>
      </c>
      <c r="C24" s="15" t="n">
        <v>0.05</v>
      </c>
      <c r="D24" s="16" t="n">
        <v>0.1021839215801814</v>
      </c>
      <c r="E24" s="2" t="inlineStr"/>
    </row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0.4827450845624893</v>
      </c>
      <c r="D29" s="16" t="n">
        <v>0.4827450845624893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0.3126052687842268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1457.83</v>
      </c>
      <c r="D34" s="18" t="n">
        <v>1457.83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1.079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0.01336594515911431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170.8684997558594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78.67336376015344</v>
      </c>
      <c r="C58" s="28" t="n">
        <v>107.4531702394937</v>
      </c>
      <c r="D58" s="28" t="n">
        <v>57.08251329667306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:B24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SCCO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Copper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Copper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Silver — near-term growth</t>
        </is>
      </c>
      <c r="B10" t="inlineStr">
        <is>
          <t>B21</t>
        </is>
      </c>
      <c r="C10" s="11">
        <f>Dashboard!B21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Silver — terminal growth</t>
        </is>
      </c>
      <c r="B11" t="inlineStr">
        <is>
          <t>C21</t>
        </is>
      </c>
      <c r="C11" s="11">
        <f>Dashboard!C21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Molybdenum — near-term growth</t>
        </is>
      </c>
      <c r="B12" t="inlineStr">
        <is>
          <t>B22</t>
        </is>
      </c>
      <c r="C12" s="11">
        <f>Dashboard!B22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Molybdenum — terminal growth</t>
        </is>
      </c>
      <c r="B13" t="inlineStr">
        <is>
          <t>C22</t>
        </is>
      </c>
      <c r="C13" s="11">
        <f>Dashboard!C22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Other — near-term growth</t>
        </is>
      </c>
      <c r="B14" t="inlineStr">
        <is>
          <t>B23</t>
        </is>
      </c>
      <c r="C14" s="11">
        <f>Dashboard!B23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Other — terminal growth</t>
        </is>
      </c>
      <c r="B15" t="inlineStr">
        <is>
          <t>C23</t>
        </is>
      </c>
      <c r="C15" s="11">
        <f>Dashboard!C23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Zinc — near-term growth</t>
        </is>
      </c>
      <c r="B16" t="inlineStr">
        <is>
          <t>B24</t>
        </is>
      </c>
      <c r="C16" s="11">
        <f>Dashboard!B24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Zinc — terminal growth</t>
        </is>
      </c>
      <c r="B17" t="inlineStr">
        <is>
          <t>C24</t>
        </is>
      </c>
      <c r="C17" s="11">
        <f>Dashboard!C24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Near-term operating margin</t>
        </is>
      </c>
      <c r="B18" t="inlineStr">
        <is>
          <t>B29</t>
        </is>
      </c>
      <c r="C18" s="11">
        <f>Dashboard!B29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Terminal operating margin</t>
        </is>
      </c>
      <c r="B19" t="inlineStr">
        <is>
          <t>B30</t>
        </is>
      </c>
      <c r="C19" s="11">
        <f>Dashboard!B30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Tax rate</t>
        </is>
      </c>
      <c r="B20" t="inlineStr">
        <is>
          <t>B31</t>
        </is>
      </c>
      <c r="C20" s="11">
        <f>Dashboard!B31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capex / D&amp;A</t>
        </is>
      </c>
      <c r="B21" t="inlineStr">
        <is>
          <t>B35</t>
        </is>
      </c>
      <c r="C21" s="13">
        <f>Dashboard!B35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Risk-free rate (10Y)</t>
        </is>
      </c>
      <c r="B22" t="inlineStr">
        <is>
          <t>B38</t>
        </is>
      </c>
      <c r="C22" s="11">
        <f>Dashboard!B38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Equity risk premium</t>
        </is>
      </c>
      <c r="B23" t="inlineStr">
        <is>
          <t>B39</t>
        </is>
      </c>
      <c r="C23" s="11">
        <f>Dashboard!B39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Beta (levered)</t>
        </is>
      </c>
      <c r="B24" t="inlineStr">
        <is>
          <t>B40</t>
        </is>
      </c>
      <c r="C24" s="32">
        <f>Dashboard!B40</f>
        <v/>
      </c>
      <c r="D24" t="inlineStr">
        <is>
          <t>builder default</t>
        </is>
      </c>
      <c r="E24" t="inlineStr">
        <is>
          <t>—</t>
        </is>
      </c>
      <c r="F24" s="31" t="inlineStr"/>
    </row>
    <row r="25">
      <c r="A25" t="inlineStr">
        <is>
          <t>Pre-tax cost of debt</t>
        </is>
      </c>
      <c r="B25" t="inlineStr">
        <is>
          <t>B41</t>
        </is>
      </c>
      <c r="C25" s="11">
        <f>Dashboard!B41</f>
        <v/>
      </c>
      <c r="D25" t="inlineStr">
        <is>
          <t>builder default</t>
        </is>
      </c>
      <c r="E25" t="inlineStr">
        <is>
          <t>—</t>
        </is>
      </c>
      <c r="F25" s="31" t="inlineStr"/>
    </row>
    <row r="26">
      <c r="A26" t="inlineStr">
        <is>
          <t>Terminal method</t>
        </is>
      </c>
      <c r="B26" t="inlineStr">
        <is>
          <t>B43</t>
        </is>
      </c>
      <c r="C26" s="12">
        <f>Dashboard!B43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Exit basis</t>
        </is>
      </c>
      <c r="B27" t="inlineStr">
        <is>
          <t>B44</t>
        </is>
      </c>
      <c r="C27" s="12">
        <f>Dashboard!B44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Exit multiple</t>
        </is>
      </c>
      <c r="B28" t="inlineStr">
        <is>
          <t>B45</t>
        </is>
      </c>
      <c r="C28" s="13">
        <f>Dashboard!B45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Terminal growth (g)</t>
        </is>
      </c>
      <c r="B29" t="inlineStr">
        <is>
          <t>B46</t>
        </is>
      </c>
      <c r="C29" s="11">
        <f>Dashboard!B46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2026 capex ($M)</t>
        </is>
      </c>
      <c r="B30" t="inlineStr">
        <is>
          <t>B34</t>
        </is>
      </c>
      <c r="C30" s="33">
        <f>Dashboard!B34</f>
        <v/>
      </c>
      <c r="D30" t="inlineStr">
        <is>
          <t>builder default</t>
        </is>
      </c>
      <c r="E30" t="inlineStr">
        <is>
          <t>—</t>
        </is>
      </c>
      <c r="F30" s="31" t="inlineStr">
        <is>
          <t>last-year capex +10% unless set to guidance; edits not tracked</t>
        </is>
      </c>
    </row>
    <row r="31">
      <c r="A31" t="inlineStr">
        <is>
          <t>Bull Δ — segment growth, near-term</t>
        </is>
      </c>
      <c r="B31" t="inlineStr">
        <is>
          <t>C52</t>
        </is>
      </c>
      <c r="C31" s="34">
        <f>Dashboard!C52</f>
        <v/>
      </c>
      <c r="D31" t="inlineStr">
        <is>
          <t>seed default</t>
        </is>
      </c>
      <c r="E31" t="inlineStr">
        <is>
          <t>3.0%</t>
        </is>
      </c>
      <c r="F31" s="31" t="inlineStr"/>
    </row>
    <row r="32">
      <c r="A32" t="inlineStr">
        <is>
          <t>Bear Δ — segment growth, near-term</t>
        </is>
      </c>
      <c r="B32" t="inlineStr">
        <is>
          <t>D52</t>
        </is>
      </c>
      <c r="C32" s="34">
        <f>Dashboard!D52</f>
        <v/>
      </c>
      <c r="D32" t="inlineStr">
        <is>
          <t>seed default</t>
        </is>
      </c>
      <c r="E32" t="inlineStr">
        <is>
          <t>-3.0%</t>
        </is>
      </c>
      <c r="F32" s="31" t="inlineStr"/>
    </row>
    <row r="33">
      <c r="A33" t="inlineStr">
        <is>
          <t>Bull Δ — segment growth, terminal</t>
        </is>
      </c>
      <c r="B33" t="inlineStr">
        <is>
          <t>C53</t>
        </is>
      </c>
      <c r="C33" s="34">
        <f>Dashboard!C53</f>
        <v/>
      </c>
      <c r="D33" t="inlineStr">
        <is>
          <t>seed default</t>
        </is>
      </c>
      <c r="E33" t="inlineStr">
        <is>
          <t>1.0%</t>
        </is>
      </c>
      <c r="F33" s="31" t="inlineStr"/>
    </row>
    <row r="34">
      <c r="A34" t="inlineStr">
        <is>
          <t>Bear Δ — segment growth, terminal</t>
        </is>
      </c>
      <c r="B34" t="inlineStr">
        <is>
          <t>D53</t>
        </is>
      </c>
      <c r="C34" s="34">
        <f>Dashboard!D53</f>
        <v/>
      </c>
      <c r="D34" t="inlineStr">
        <is>
          <t>seed default</t>
        </is>
      </c>
      <c r="E34" t="inlineStr">
        <is>
          <t>-1.0%</t>
        </is>
      </c>
      <c r="F34" s="31" t="inlineStr"/>
    </row>
    <row r="35">
      <c r="A35" t="inlineStr">
        <is>
          <t>Bull Δ — operating margin, near-term</t>
        </is>
      </c>
      <c r="B35" t="inlineStr">
        <is>
          <t>C54</t>
        </is>
      </c>
      <c r="C35" s="34">
        <f>Dashboard!C54</f>
        <v/>
      </c>
      <c r="D35" t="inlineStr">
        <is>
          <t>seed default</t>
        </is>
      </c>
      <c r="E35" t="inlineStr">
        <is>
          <t>1.0%</t>
        </is>
      </c>
      <c r="F35" s="31" t="inlineStr"/>
    </row>
    <row r="36">
      <c r="A36" t="inlineStr">
        <is>
          <t>Bear Δ — operating margin, near-term</t>
        </is>
      </c>
      <c r="B36" t="inlineStr">
        <is>
          <t>D54</t>
        </is>
      </c>
      <c r="C36" s="34">
        <f>Dashboard!D54</f>
        <v/>
      </c>
      <c r="D36" t="inlineStr">
        <is>
          <t>seed default</t>
        </is>
      </c>
      <c r="E36" t="inlineStr">
        <is>
          <t>-1.0%</t>
        </is>
      </c>
      <c r="F36" s="31" t="inlineStr"/>
    </row>
    <row r="37">
      <c r="A37" t="inlineStr">
        <is>
          <t>Bull Δ — operating margin, terminal</t>
        </is>
      </c>
      <c r="B37" t="inlineStr">
        <is>
          <t>C55</t>
        </is>
      </c>
      <c r="C37" s="34">
        <f>Dashboard!C55</f>
        <v/>
      </c>
      <c r="D37" t="inlineStr">
        <is>
          <t>seed default</t>
        </is>
      </c>
      <c r="E37" t="inlineStr">
        <is>
          <t>2.0%</t>
        </is>
      </c>
      <c r="F37" s="31" t="inlineStr"/>
    </row>
    <row r="38">
      <c r="A38" t="inlineStr">
        <is>
          <t>Bear Δ — operating margin, terminal</t>
        </is>
      </c>
      <c r="B38" t="inlineStr">
        <is>
          <t>D55</t>
        </is>
      </c>
      <c r="C38" s="34">
        <f>Dashboard!D55</f>
        <v/>
      </c>
      <c r="D38" t="inlineStr">
        <is>
          <t>seed default</t>
        </is>
      </c>
      <c r="E38" t="inlineStr">
        <is>
          <t>-2.0%</t>
        </is>
      </c>
      <c r="F38" s="31" t="inlineStr"/>
    </row>
    <row r="39">
      <c r="A39" t="inlineStr">
        <is>
          <t>Bull Δ — exit multiple</t>
        </is>
      </c>
      <c r="B39" t="inlineStr">
        <is>
          <t>C56</t>
        </is>
      </c>
      <c r="C39" s="35">
        <f>Dashboard!C56</f>
        <v/>
      </c>
      <c r="D39" t="inlineStr">
        <is>
          <t>seed default</t>
        </is>
      </c>
      <c r="E39" t="inlineStr">
        <is>
          <t>2.0x</t>
        </is>
      </c>
      <c r="F39" s="31" t="inlineStr"/>
    </row>
    <row r="40">
      <c r="A40" t="inlineStr">
        <is>
          <t>Bear Δ — exit multiple</t>
        </is>
      </c>
      <c r="B40" t="inlineStr">
        <is>
          <t>D56</t>
        </is>
      </c>
      <c r="C40" s="35">
        <f>Dashboard!D56</f>
        <v/>
      </c>
      <c r="D40" t="inlineStr">
        <is>
          <t>seed default</t>
        </is>
      </c>
      <c r="E40" t="inlineStr">
        <is>
          <t>-2.0x</t>
        </is>
      </c>
      <c r="F40" s="31" t="inlineStr"/>
    </row>
    <row r="41">
      <c r="A41" t="inlineStr">
        <is>
          <t>Bull Δ — terminal growth (g)</t>
        </is>
      </c>
      <c r="B41" t="inlineStr">
        <is>
          <t>C57</t>
        </is>
      </c>
      <c r="C41" s="34">
        <f>Dashboard!C57</f>
        <v/>
      </c>
      <c r="D41" t="inlineStr">
        <is>
          <t>seed default</t>
        </is>
      </c>
      <c r="E41" t="inlineStr">
        <is>
          <t>0.5%</t>
        </is>
      </c>
      <c r="F41" s="31" t="inlineStr"/>
    </row>
    <row r="42">
      <c r="A42" t="inlineStr">
        <is>
          <t>Bear Δ — terminal growth (g)</t>
        </is>
      </c>
      <c r="B42" t="inlineStr">
        <is>
          <t>D57</t>
        </is>
      </c>
      <c r="C42" s="34">
        <f>Dashboard!D57</f>
        <v/>
      </c>
      <c r="D42" t="inlineStr">
        <is>
          <t>seed default</t>
        </is>
      </c>
      <c r="E42" t="inlineStr">
        <is>
          <t>-0.5%</t>
        </is>
      </c>
      <c r="F42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Financials!AC65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Copper</t>
        </is>
      </c>
      <c r="B4" s="33">
        <f>SUM(Financials!I19:L19)</f>
        <v/>
      </c>
      <c r="C4" s="33">
        <f>SUM(Financials!M19:P19)</f>
        <v/>
      </c>
      <c r="D4" s="33">
        <f>SUM(Financials!Q19:T19)</f>
        <v/>
      </c>
      <c r="E4" s="33">
        <f>SUM(Financials!U19:X19)</f>
        <v/>
      </c>
      <c r="F4" s="33">
        <f>SUM(Financials!Y19:AB19)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Silver</t>
        </is>
      </c>
      <c r="B6" s="33">
        <f>SUM(Financials!I22:L22)</f>
        <v/>
      </c>
      <c r="C6" s="33">
        <f>SUM(Financials!M22:P22)</f>
        <v/>
      </c>
      <c r="D6" s="33">
        <f>SUM(Financials!Q22:T22)</f>
        <v/>
      </c>
      <c r="E6" s="33">
        <f>SUM(Financials!U22:X22)</f>
        <v/>
      </c>
      <c r="F6" s="33">
        <f>SUM(Financials!Y22:AB22)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Molybdenum</t>
        </is>
      </c>
      <c r="B8" s="33">
        <f>SUM(Financials!I25:L25)</f>
        <v/>
      </c>
      <c r="C8" s="33">
        <f>SUM(Financials!M25:P25)</f>
        <v/>
      </c>
      <c r="D8" s="33">
        <f>SUM(Financials!Q25:T25)</f>
        <v/>
      </c>
      <c r="E8" s="33">
        <f>SUM(Financials!U25:X25)</f>
        <v/>
      </c>
      <c r="F8" s="33">
        <f>SUM(Financials!Y25:AB25)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4" t="inlineStr">
        <is>
          <t>Other</t>
        </is>
      </c>
      <c r="B10" s="33">
        <f>SUM(Financials!I28:L28)</f>
        <v/>
      </c>
      <c r="C10" s="33">
        <f>SUM(Financials!M28:P28)</f>
        <v/>
      </c>
      <c r="D10" s="33">
        <f>SUM(Financials!Q28:T28)</f>
        <v/>
      </c>
      <c r="E10" s="33">
        <f>SUM(Financials!U28:X28)</f>
        <v/>
      </c>
      <c r="F10" s="33">
        <f>SUM(Financials!Y28:AB28)</f>
        <v/>
      </c>
      <c r="G10" s="41">
        <f>F10*(1+G11)</f>
        <v/>
      </c>
      <c r="H10" s="41">
        <f>G10*(1+H11)</f>
        <v/>
      </c>
      <c r="I10" s="41">
        <f>H10*(1+I11)</f>
        <v/>
      </c>
      <c r="J10" s="41">
        <f>I10*(1+J11)</f>
        <v/>
      </c>
      <c r="K10" s="41">
        <f>J10*(1+K11)</f>
        <v/>
      </c>
      <c r="L10" s="41">
        <f>K10*(1+L11)</f>
        <v/>
      </c>
      <c r="M10" s="41">
        <f>L10*(1+M11)</f>
        <v/>
      </c>
      <c r="N10" s="41">
        <f>M10*(1+N11)</f>
        <v/>
      </c>
      <c r="O10" s="41">
        <f>N10*(1+O11)</f>
        <v/>
      </c>
      <c r="P10" s="41">
        <f>O10*(1+P11)</f>
        <v/>
      </c>
    </row>
    <row r="11">
      <c r="A11" s="4" t="inlineStr">
        <is>
          <t xml:space="preserve">    growth % (convex fade; curvature from Dashboard)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11">
        <f>Dashboard!$C$23+(Dashboard!$B$23-Dashboard!$C$23)*((9-0)/9)^Dashboard!$B$49</f>
        <v/>
      </c>
      <c r="H11" s="11">
        <f>Dashboard!$C$23+(Dashboard!$B$23-Dashboard!$C$23)*((9-1)/9)^Dashboard!$B$49</f>
        <v/>
      </c>
      <c r="I11" s="11">
        <f>Dashboard!$C$23+(Dashboard!$B$23-Dashboard!$C$23)*((9-2)/9)^Dashboard!$B$49</f>
        <v/>
      </c>
      <c r="J11" s="11">
        <f>Dashboard!$C$23+(Dashboard!$B$23-Dashboard!$C$23)*((9-3)/9)^Dashboard!$B$49</f>
        <v/>
      </c>
      <c r="K11" s="11">
        <f>Dashboard!$C$23+(Dashboard!$B$23-Dashboard!$C$23)*((9-4)/9)^Dashboard!$B$49</f>
        <v/>
      </c>
      <c r="L11" s="11">
        <f>Dashboard!$C$23+(Dashboard!$B$23-Dashboard!$C$23)*((9-5)/9)^Dashboard!$B$49</f>
        <v/>
      </c>
      <c r="M11" s="11">
        <f>Dashboard!$C$23+(Dashboard!$B$23-Dashboard!$C$23)*((9-6)/9)^Dashboard!$B$49</f>
        <v/>
      </c>
      <c r="N11" s="11">
        <f>Dashboard!$C$23+(Dashboard!$B$23-Dashboard!$C$23)*((9-7)/9)^Dashboard!$B$49</f>
        <v/>
      </c>
      <c r="O11" s="11">
        <f>Dashboard!$C$23+(Dashboard!$B$23-Dashboard!$C$23)*((9-8)/9)^Dashboard!$B$49</f>
        <v/>
      </c>
      <c r="P11" s="11">
        <f>Dashboard!$C$23+(Dashboard!$B$23-Dashboard!$C$23)*((9-9)/9)^Dashboard!$B$49</f>
        <v/>
      </c>
    </row>
    <row r="12">
      <c r="A12" s="4" t="inlineStr">
        <is>
          <t>Zinc</t>
        </is>
      </c>
      <c r="B12" s="33">
        <f>SUM(Financials!I31:L31)</f>
        <v/>
      </c>
      <c r="C12" s="33">
        <f>SUM(Financials!M31:P31)</f>
        <v/>
      </c>
      <c r="D12" s="33">
        <f>SUM(Financials!Q31:T31)</f>
        <v/>
      </c>
      <c r="E12" s="33">
        <f>SUM(Financials!U31:X31)</f>
        <v/>
      </c>
      <c r="F12" s="33">
        <f>SUM(Financials!Y31:AB31)</f>
        <v/>
      </c>
      <c r="G12" s="41">
        <f>F12*(1+G13)</f>
        <v/>
      </c>
      <c r="H12" s="41">
        <f>G12*(1+H13)</f>
        <v/>
      </c>
      <c r="I12" s="41">
        <f>H12*(1+I13)</f>
        <v/>
      </c>
      <c r="J12" s="41">
        <f>I12*(1+J13)</f>
        <v/>
      </c>
      <c r="K12" s="41">
        <f>J12*(1+K13)</f>
        <v/>
      </c>
      <c r="L12" s="41">
        <f>K12*(1+L13)</f>
        <v/>
      </c>
      <c r="M12" s="41">
        <f>L12*(1+M13)</f>
        <v/>
      </c>
      <c r="N12" s="41">
        <f>M12*(1+N13)</f>
        <v/>
      </c>
      <c r="O12" s="41">
        <f>N12*(1+O13)</f>
        <v/>
      </c>
      <c r="P12" s="41">
        <f>O12*(1+P13)</f>
        <v/>
      </c>
    </row>
    <row r="13">
      <c r="A13" s="4" t="inlineStr">
        <is>
          <t xml:space="preserve">    growth % (convex fade; curvature from Dashboard)</t>
        </is>
      </c>
      <c r="C13" s="25">
        <f>IFERROR(C12/B12-1,"")</f>
        <v/>
      </c>
      <c r="D13" s="25">
        <f>IFERROR(D12/C12-1,"")</f>
        <v/>
      </c>
      <c r="E13" s="25">
        <f>IFERROR(E12/D12-1,"")</f>
        <v/>
      </c>
      <c r="F13" s="25">
        <f>IFERROR(F12/E12-1,"")</f>
        <v/>
      </c>
      <c r="G13" s="11">
        <f>Dashboard!$C$24+(Dashboard!$B$24-Dashboard!$C$24)*((9-0)/9)^Dashboard!$B$49</f>
        <v/>
      </c>
      <c r="H13" s="11">
        <f>Dashboard!$C$24+(Dashboard!$B$24-Dashboard!$C$24)*((9-1)/9)^Dashboard!$B$49</f>
        <v/>
      </c>
      <c r="I13" s="11">
        <f>Dashboard!$C$24+(Dashboard!$B$24-Dashboard!$C$24)*((9-2)/9)^Dashboard!$B$49</f>
        <v/>
      </c>
      <c r="J13" s="11">
        <f>Dashboard!$C$24+(Dashboard!$B$24-Dashboard!$C$24)*((9-3)/9)^Dashboard!$B$49</f>
        <v/>
      </c>
      <c r="K13" s="11">
        <f>Dashboard!$C$24+(Dashboard!$B$24-Dashboard!$C$24)*((9-4)/9)^Dashboard!$B$49</f>
        <v/>
      </c>
      <c r="L13" s="11">
        <f>Dashboard!$C$24+(Dashboard!$B$24-Dashboard!$C$24)*((9-5)/9)^Dashboard!$B$49</f>
        <v/>
      </c>
      <c r="M13" s="11">
        <f>Dashboard!$C$24+(Dashboard!$B$24-Dashboard!$C$24)*((9-6)/9)^Dashboard!$B$49</f>
        <v/>
      </c>
      <c r="N13" s="11">
        <f>Dashboard!$C$24+(Dashboard!$B$24-Dashboard!$C$24)*((9-7)/9)^Dashboard!$B$49</f>
        <v/>
      </c>
      <c r="O13" s="11">
        <f>Dashboard!$C$24+(Dashboard!$B$24-Dashboard!$C$24)*((9-8)/9)^Dashboard!$B$49</f>
        <v/>
      </c>
      <c r="P13" s="11">
        <f>Dashboard!$C$24+(Dashboard!$B$24-Dashboard!$C$24)*((9-9)/9)^Dashboard!$B$49</f>
        <v/>
      </c>
    </row>
    <row r="14">
      <c r="A14" s="3" t="inlineStr">
        <is>
          <t>Total revenue</t>
        </is>
      </c>
      <c r="B14" s="42">
        <f>B4+B6+B8+B10+B12</f>
        <v/>
      </c>
      <c r="C14" s="42">
        <f>C4+C6+C8+C10+C12</f>
        <v/>
      </c>
      <c r="D14" s="42">
        <f>D4+D6+D8+D10+D12</f>
        <v/>
      </c>
      <c r="E14" s="42">
        <f>E4+E6+E8+E10+E12</f>
        <v/>
      </c>
      <c r="F14" s="42">
        <f>F4+F6+F8+F10+F12</f>
        <v/>
      </c>
      <c r="G14" s="42">
        <f>G4+G6+G8+G10+G12</f>
        <v/>
      </c>
      <c r="H14" s="42">
        <f>H4+H6+H8+H10+H12</f>
        <v/>
      </c>
      <c r="I14" s="42">
        <f>I4+I6+I8+I10+I12</f>
        <v/>
      </c>
      <c r="J14" s="42">
        <f>J4+J6+J8+J10+J12</f>
        <v/>
      </c>
      <c r="K14" s="42">
        <f>K4+K6+K8+K10+K12</f>
        <v/>
      </c>
      <c r="L14" s="42">
        <f>L4+L6+L8+L10+L12</f>
        <v/>
      </c>
      <c r="M14" s="42">
        <f>M4+M6+M8+M10+M12</f>
        <v/>
      </c>
      <c r="N14" s="42">
        <f>N4+N6+N8+N10+N12</f>
        <v/>
      </c>
      <c r="O14" s="42">
        <f>O4+O6+O8+O10+O12</f>
        <v/>
      </c>
      <c r="P14" s="42">
        <f>P4+P6+P8+P10+P12</f>
        <v/>
      </c>
    </row>
    <row r="15">
      <c r="A15" s="4" t="inlineStr">
        <is>
          <t xml:space="preserve">    growth %</t>
        </is>
      </c>
      <c r="C15" s="25">
        <f>IFERROR(C14/B14-1,"")</f>
        <v/>
      </c>
      <c r="D15" s="25">
        <f>IFERROR(D14/C14-1,"")</f>
        <v/>
      </c>
      <c r="E15" s="25">
        <f>IFERROR(E14/D14-1,"")</f>
        <v/>
      </c>
      <c r="F15" s="25">
        <f>IFERROR(F14/E14-1,"")</f>
        <v/>
      </c>
      <c r="G15" s="25">
        <f>IFERROR(G14/F14-1,"")</f>
        <v/>
      </c>
      <c r="H15" s="25">
        <f>IFERROR(H14/G14-1,"")</f>
        <v/>
      </c>
      <c r="I15" s="25">
        <f>IFERROR(I14/H14-1,"")</f>
        <v/>
      </c>
      <c r="J15" s="25">
        <f>IFERROR(J14/I14-1,"")</f>
        <v/>
      </c>
      <c r="K15" s="25">
        <f>IFERROR(K14/J14-1,"")</f>
        <v/>
      </c>
      <c r="L15" s="25">
        <f>IFERROR(L14/K14-1,"")</f>
        <v/>
      </c>
      <c r="M15" s="25">
        <f>IFERROR(M14/L14-1,"")</f>
        <v/>
      </c>
      <c r="N15" s="25">
        <f>IFERROR(N14/M14-1,"")</f>
        <v/>
      </c>
      <c r="O15" s="25">
        <f>IFERROR(O14/N14-1,"")</f>
        <v/>
      </c>
      <c r="P15" s="25">
        <f>IFERROR(P14/O14-1,"")</f>
        <v/>
      </c>
    </row>
    <row r="17">
      <c r="A17" s="5" t="inlineStr">
        <is>
          <t xml:space="preserve">  COST STRUCTURE (yellow = % of revenue)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4" t="inlineStr">
        <is>
          <t>Cost of revenue</t>
        </is>
      </c>
      <c r="B18" s="33">
        <f>SUM(Financials!I5:L5)</f>
        <v/>
      </c>
      <c r="C18" s="33">
        <f>SUM(Financials!M5:P5)</f>
        <v/>
      </c>
      <c r="D18" s="33">
        <f>SUM(Financials!Q5:T5)</f>
        <v/>
      </c>
      <c r="E18" s="33">
        <f>SUM(Financials!U5:X5)</f>
        <v/>
      </c>
      <c r="F18" s="33">
        <f>SUM(Financials!Y5:AB5)</f>
        <v/>
      </c>
      <c r="G18" s="41">
        <f>G14*G19</f>
        <v/>
      </c>
      <c r="H18" s="41">
        <f>H14*H19</f>
        <v/>
      </c>
      <c r="I18" s="41">
        <f>I14*I19</f>
        <v/>
      </c>
      <c r="J18" s="41">
        <f>J14*J19</f>
        <v/>
      </c>
      <c r="K18" s="41">
        <f>K14*K19</f>
        <v/>
      </c>
      <c r="L18" s="41">
        <f>L14*L19</f>
        <v/>
      </c>
      <c r="M18" s="41">
        <f>M14*M19</f>
        <v/>
      </c>
      <c r="N18" s="41">
        <f>N14*N19</f>
        <v/>
      </c>
      <c r="O18" s="41">
        <f>O14*O19</f>
        <v/>
      </c>
      <c r="P18" s="41">
        <f>P14*P19</f>
        <v/>
      </c>
    </row>
    <row r="19">
      <c r="A19" s="4" t="inlineStr">
        <is>
          <t xml:space="preserve">    % of revenue</t>
        </is>
      </c>
      <c r="B19" s="25">
        <f>IFERROR(B18/B14,"")</f>
        <v/>
      </c>
      <c r="C19" s="25">
        <f>IFERROR(C18/C14,"")</f>
        <v/>
      </c>
      <c r="D19" s="25">
        <f>IFERROR(D18/D14,"")</f>
        <v/>
      </c>
      <c r="E19" s="25">
        <f>IFERROR(E18/E14,"")</f>
        <v/>
      </c>
      <c r="F19" s="25">
        <f>IFERROR(F18/F14,"")</f>
        <v/>
      </c>
      <c r="G19" s="15" t="n">
        <v>0.4332786885245902</v>
      </c>
      <c r="H19" s="15" t="n">
        <v>0.4332786885245902</v>
      </c>
      <c r="I19" s="15" t="n">
        <v>0.4332786885245902</v>
      </c>
      <c r="J19" s="15" t="n">
        <v>0.4332786885245902</v>
      </c>
      <c r="K19" s="15" t="n">
        <v>0.4332786885245902</v>
      </c>
      <c r="L19" s="15" t="n">
        <v>0.4332786885245902</v>
      </c>
      <c r="M19" s="15" t="n">
        <v>0.4332786885245902</v>
      </c>
      <c r="N19" s="15" t="n">
        <v>0.4332786885245902</v>
      </c>
      <c r="O19" s="15" t="n">
        <v>0.4332786885245902</v>
      </c>
      <c r="P19" s="15" t="n">
        <v>0.4332786885245902</v>
      </c>
    </row>
    <row r="20">
      <c r="A20" s="4" t="inlineStr">
        <is>
          <t>R&amp;D / Technology</t>
        </is>
      </c>
      <c r="B20" s="33">
        <f>SUM(Financials!I7:L7)</f>
        <v/>
      </c>
      <c r="C20" s="33">
        <f>SUM(Financials!M7:P7)</f>
        <v/>
      </c>
      <c r="D20" s="33">
        <f>SUM(Financials!Q7:T7)</f>
        <v/>
      </c>
      <c r="E20" s="33">
        <f>SUM(Financials!U7:X7)</f>
        <v/>
      </c>
      <c r="F20" s="33">
        <f>SUM(Financials!Y7:AB7)</f>
        <v/>
      </c>
      <c r="G20" s="41">
        <f>G14*G21</f>
        <v/>
      </c>
      <c r="H20" s="41">
        <f>H14*H21</f>
        <v/>
      </c>
      <c r="I20" s="41">
        <f>I14*I21</f>
        <v/>
      </c>
      <c r="J20" s="41">
        <f>J14*J21</f>
        <v/>
      </c>
      <c r="K20" s="41">
        <f>K14*K21</f>
        <v/>
      </c>
      <c r="L20" s="41">
        <f>L14*L21</f>
        <v/>
      </c>
      <c r="M20" s="41">
        <f>M14*M21</f>
        <v/>
      </c>
      <c r="N20" s="41">
        <f>N14*N21</f>
        <v/>
      </c>
      <c r="O20" s="41">
        <f>O14*O21</f>
        <v/>
      </c>
      <c r="P20" s="41">
        <f>P14*P21</f>
        <v/>
      </c>
    </row>
    <row r="21">
      <c r="A21" s="4" t="inlineStr">
        <is>
          <t xml:space="preserve">    % of revenue</t>
        </is>
      </c>
      <c r="B21" s="25">
        <f>IFERROR(B20/B14,"")</f>
        <v/>
      </c>
      <c r="C21" s="25">
        <f>IFERROR(C20/C14,"")</f>
        <v/>
      </c>
      <c r="D21" s="25">
        <f>IFERROR(D20/D14,"")</f>
        <v/>
      </c>
      <c r="E21" s="25">
        <f>IFERROR(E20/E14,"")</f>
        <v/>
      </c>
      <c r="F21" s="25">
        <f>IFERROR(F20/F14,"")</f>
        <v/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</row>
    <row r="22">
      <c r="A22" s="4" t="inlineStr">
        <is>
          <t>SG&amp;A</t>
        </is>
      </c>
      <c r="B22" s="33">
        <f>SUM(Financials!I9:L9)</f>
        <v/>
      </c>
      <c r="C22" s="33">
        <f>SUM(Financials!M9:P9)</f>
        <v/>
      </c>
      <c r="D22" s="33">
        <f>SUM(Financials!Q9:T9)</f>
        <v/>
      </c>
      <c r="E22" s="33">
        <f>SUM(Financials!U9:X9)</f>
        <v/>
      </c>
      <c r="F22" s="33">
        <f>SUM(Financials!Y9:AB9)</f>
        <v/>
      </c>
      <c r="G22" s="41">
        <f>G14*G23</f>
        <v/>
      </c>
      <c r="H22" s="41">
        <f>H14*H23</f>
        <v/>
      </c>
      <c r="I22" s="41">
        <f>I14*I23</f>
        <v/>
      </c>
      <c r="J22" s="41">
        <f>J14*J23</f>
        <v/>
      </c>
      <c r="K22" s="41">
        <f>K14*K23</f>
        <v/>
      </c>
      <c r="L22" s="41">
        <f>L14*L23</f>
        <v/>
      </c>
      <c r="M22" s="41">
        <f>M14*M23</f>
        <v/>
      </c>
      <c r="N22" s="41">
        <f>N14*N23</f>
        <v/>
      </c>
      <c r="O22" s="41">
        <f>O14*O23</f>
        <v/>
      </c>
      <c r="P22" s="41">
        <f>P14*P23</f>
        <v/>
      </c>
    </row>
    <row r="23">
      <c r="A23" s="4" t="inlineStr">
        <is>
          <t xml:space="preserve">    % of revenue</t>
        </is>
      </c>
      <c r="B23" s="25">
        <f>IFERROR(B22/B14,"")</f>
        <v/>
      </c>
      <c r="C23" s="25">
        <f>IFERROR(C22/C14,"")</f>
        <v/>
      </c>
      <c r="D23" s="25">
        <f>IFERROR(D22/D14,"")</f>
        <v/>
      </c>
      <c r="E23" s="25">
        <f>IFERROR(E22/E14,"")</f>
        <v/>
      </c>
      <c r="F23" s="25">
        <f>IFERROR(F22/F14,"")</f>
        <v/>
      </c>
      <c r="G23" s="15" t="n">
        <v>0.01026825633383011</v>
      </c>
      <c r="H23" s="15" t="n">
        <v>0.01026825633383011</v>
      </c>
      <c r="I23" s="15" t="n">
        <v>0.01026825633383011</v>
      </c>
      <c r="J23" s="15" t="n">
        <v>0.01026825633383011</v>
      </c>
      <c r="K23" s="15" t="n">
        <v>0.01026825633383011</v>
      </c>
      <c r="L23" s="15" t="n">
        <v>0.01026825633383011</v>
      </c>
      <c r="M23" s="15" t="n">
        <v>0.01026825633383011</v>
      </c>
      <c r="N23" s="15" t="n">
        <v>0.01026825633383011</v>
      </c>
      <c r="O23" s="15" t="n">
        <v>0.01026825633383011</v>
      </c>
      <c r="P23" s="15" t="n">
        <v>0.01026825633383011</v>
      </c>
    </row>
    <row r="24">
      <c r="A24" s="4" t="inlineStr">
        <is>
          <t>Other opex (fulfilment, etc.)</t>
        </is>
      </c>
      <c r="B24" s="33">
        <f>B14-(B18+B20+B22)-SUM(Financials!I13:L13)</f>
        <v/>
      </c>
      <c r="C24" s="33">
        <f>C14-(C18+C20+C22)-SUM(Financials!M13:P13)</f>
        <v/>
      </c>
      <c r="D24" s="33">
        <f>D14-(D18+D20+D22)-SUM(Financials!Q13:T13)</f>
        <v/>
      </c>
      <c r="E24" s="33">
        <f>E14-(E18+E20+E22)-SUM(Financials!U13:X13)</f>
        <v/>
      </c>
      <c r="F24" s="33">
        <f>F14-(F18+F20+F22)-SUM(Financials!Y13:AB13)</f>
        <v/>
      </c>
      <c r="G24" s="33">
        <f>G14*(1-(Dashboard!$B$29+(Dashboard!$B$30-Dashboard!$B$29)*MIN(1,0/4)))-(G18+G20+G22)</f>
        <v/>
      </c>
      <c r="H24" s="33">
        <f>H14*(1-(Dashboard!$B$29+(Dashboard!$B$30-Dashboard!$B$29)*MIN(1,1/4)))-(H18+H20+H22)</f>
        <v/>
      </c>
      <c r="I24" s="33">
        <f>I14*(1-(Dashboard!$B$29+(Dashboard!$B$30-Dashboard!$B$29)*MIN(1,2/4)))-(I18+I20+I22)</f>
        <v/>
      </c>
      <c r="J24" s="33">
        <f>J14*(1-(Dashboard!$B$29+(Dashboard!$B$30-Dashboard!$B$29)*MIN(1,3/4)))-(J18+J20+J22)</f>
        <v/>
      </c>
      <c r="K24" s="33">
        <f>K14*(1-(Dashboard!$B$29+(Dashboard!$B$30-Dashboard!$B$29)*MIN(1,4/4)))-(K18+K20+K22)</f>
        <v/>
      </c>
      <c r="L24" s="33">
        <f>L14*(1-(Dashboard!$B$29+(Dashboard!$B$30-Dashboard!$B$29)*MIN(1,5/4)))-(L18+L20+L22)</f>
        <v/>
      </c>
      <c r="M24" s="33">
        <f>M14*(1-(Dashboard!$B$29+(Dashboard!$B$30-Dashboard!$B$29)*MIN(1,6/4)))-(M18+M20+M22)</f>
        <v/>
      </c>
      <c r="N24" s="33">
        <f>N14*(1-(Dashboard!$B$29+(Dashboard!$B$30-Dashboard!$B$29)*MIN(1,7/4)))-(N18+N20+N22)</f>
        <v/>
      </c>
      <c r="O24" s="33">
        <f>O14*(1-(Dashboard!$B$29+(Dashboard!$B$30-Dashboard!$B$29)*MIN(1,8/4)))-(O18+O20+O22)</f>
        <v/>
      </c>
      <c r="P24" s="33">
        <f>P14*(1-(Dashboard!$B$29+(Dashboard!$B$30-Dashboard!$B$29)*MIN(1,9/4)))-(P18+P20+P22)</f>
        <v/>
      </c>
    </row>
    <row r="25">
      <c r="A25" s="4" t="inlineStr">
        <is>
          <t xml:space="preserve">    % of revenue</t>
        </is>
      </c>
      <c r="B25" s="25">
        <f>IFERROR(B24/B14,"")</f>
        <v/>
      </c>
      <c r="C25" s="25">
        <f>IFERROR(C24/C14,"")</f>
        <v/>
      </c>
      <c r="D25" s="25">
        <f>IFERROR(D24/D14,"")</f>
        <v/>
      </c>
      <c r="E25" s="25">
        <f>IFERROR(E24/E14,"")</f>
        <v/>
      </c>
      <c r="F25" s="25">
        <f>IFERROR(F24/F14,"")</f>
        <v/>
      </c>
      <c r="G25" s="25">
        <f>IFERROR(G24/G14,"")</f>
        <v/>
      </c>
      <c r="H25" s="25">
        <f>IFERROR(H24/H14,"")</f>
        <v/>
      </c>
      <c r="I25" s="25">
        <f>IFERROR(I24/I14,"")</f>
        <v/>
      </c>
      <c r="J25" s="25">
        <f>IFERROR(J24/J14,"")</f>
        <v/>
      </c>
      <c r="K25" s="25">
        <f>IFERROR(K24/K14,"")</f>
        <v/>
      </c>
      <c r="L25" s="25">
        <f>IFERROR(L24/L14,"")</f>
        <v/>
      </c>
      <c r="M25" s="25">
        <f>IFERROR(M24/M14,"")</f>
        <v/>
      </c>
      <c r="N25" s="25">
        <f>IFERROR(N24/N14,"")</f>
        <v/>
      </c>
      <c r="O25" s="25">
        <f>IFERROR(O24/O14,"")</f>
        <v/>
      </c>
      <c r="P25" s="25">
        <f>IFERROR(P24/P14,"")</f>
        <v/>
      </c>
    </row>
    <row r="27">
      <c r="A27" s="3" t="inlineStr">
        <is>
          <t>Operating income (EBIT)</t>
        </is>
      </c>
      <c r="B27" s="42">
        <f>B14-(B18+B20+B22)-B24</f>
        <v/>
      </c>
      <c r="C27" s="42">
        <f>C14-(C18+C20+C22)-C24</f>
        <v/>
      </c>
      <c r="D27" s="42">
        <f>D14-(D18+D20+D22)-D24</f>
        <v/>
      </c>
      <c r="E27" s="42">
        <f>E14-(E18+E20+E22)-E24</f>
        <v/>
      </c>
      <c r="F27" s="42">
        <f>F14-(F18+F20+F22)-F24</f>
        <v/>
      </c>
      <c r="G27" s="42">
        <f>G14-(G18+G20+G22)-G24</f>
        <v/>
      </c>
      <c r="H27" s="42">
        <f>H14-(H18+H20+H22)-H24</f>
        <v/>
      </c>
      <c r="I27" s="42">
        <f>I14-(I18+I20+I22)-I24</f>
        <v/>
      </c>
      <c r="J27" s="42">
        <f>J14-(J18+J20+J22)-J24</f>
        <v/>
      </c>
      <c r="K27" s="42">
        <f>K14-(K18+K20+K22)-K24</f>
        <v/>
      </c>
      <c r="L27" s="42">
        <f>L14-(L18+L20+L22)-L24</f>
        <v/>
      </c>
      <c r="M27" s="42">
        <f>M14-(M18+M20+M22)-M24</f>
        <v/>
      </c>
      <c r="N27" s="42">
        <f>N14-(N18+N20+N22)-N24</f>
        <v/>
      </c>
      <c r="O27" s="42">
        <f>O14-(O18+O20+O22)-O24</f>
        <v/>
      </c>
      <c r="P27" s="42">
        <f>P14-(P18+P20+P22)-P24</f>
        <v/>
      </c>
    </row>
    <row r="28">
      <c r="A28" s="4" t="inlineStr">
        <is>
          <t xml:space="preserve">    operating margin</t>
        </is>
      </c>
      <c r="B28" s="25">
        <f>IFERROR(B27/B14,"")</f>
        <v/>
      </c>
      <c r="C28" s="25">
        <f>IFERROR(C27/C14,"")</f>
        <v/>
      </c>
      <c r="D28" s="25">
        <f>IFERROR(D27/D14,"")</f>
        <v/>
      </c>
      <c r="E28" s="25">
        <f>IFERROR(E27/E14,"")</f>
        <v/>
      </c>
      <c r="F28" s="25">
        <f>IFERROR(F27/F14,"")</f>
        <v/>
      </c>
      <c r="G28" s="25">
        <f>IFERROR(G27/G14,"")</f>
        <v/>
      </c>
      <c r="H28" s="25">
        <f>IFERROR(H27/H14,"")</f>
        <v/>
      </c>
      <c r="I28" s="25">
        <f>IFERROR(I27/I14,"")</f>
        <v/>
      </c>
      <c r="J28" s="25">
        <f>IFERROR(J27/J14,"")</f>
        <v/>
      </c>
      <c r="K28" s="25">
        <f>IFERROR(K27/K14,"")</f>
        <v/>
      </c>
      <c r="L28" s="25">
        <f>IFERROR(L27/L14,"")</f>
        <v/>
      </c>
      <c r="M28" s="25">
        <f>IFERROR(M27/M14,"")</f>
        <v/>
      </c>
      <c r="N28" s="25">
        <f>IFERROR(N27/N14,"")</f>
        <v/>
      </c>
      <c r="O28" s="25">
        <f>IFERROR(O27/O14,"")</f>
        <v/>
      </c>
      <c r="P28" s="25">
        <f>IFERROR(P27/P14,"")</f>
        <v/>
      </c>
    </row>
    <row r="30">
      <c r="A30" s="5" t="inlineStr">
        <is>
          <t xml:space="preserve">  FCF BRIDGE (NOPAT + D&amp;A + SBC - dNWC - Capex)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4" t="inlineStr">
        <is>
          <t>NOPAT = EBIT x (1 - tax)</t>
        </is>
      </c>
      <c r="B31" s="33">
        <f>B27*(1-Valuation!$B$5)</f>
        <v/>
      </c>
      <c r="C31" s="33">
        <f>C27*(1-Valuation!$B$5)</f>
        <v/>
      </c>
      <c r="D31" s="33">
        <f>D27*(1-Valuation!$B$5)</f>
        <v/>
      </c>
      <c r="E31" s="33">
        <f>E27*(1-Valuation!$B$5)</f>
        <v/>
      </c>
      <c r="F31" s="33">
        <f>F27*(1-Valuation!$B$5)</f>
        <v/>
      </c>
      <c r="G31" s="33">
        <f>G27*(1-Valuation!$B$5)</f>
        <v/>
      </c>
      <c r="H31" s="33">
        <f>H27*(1-Valuation!$B$5)</f>
        <v/>
      </c>
      <c r="I31" s="33">
        <f>I27*(1-Valuation!$B$5)</f>
        <v/>
      </c>
      <c r="J31" s="33">
        <f>J27*(1-Valuation!$B$5)</f>
        <v/>
      </c>
      <c r="K31" s="33">
        <f>K27*(1-Valuation!$B$5)</f>
        <v/>
      </c>
      <c r="L31" s="33">
        <f>L27*(1-Valuation!$B$5)</f>
        <v/>
      </c>
      <c r="M31" s="33">
        <f>M27*(1-Valuation!$B$5)</f>
        <v/>
      </c>
      <c r="N31" s="33">
        <f>N27*(1-Valuation!$B$5)</f>
        <v/>
      </c>
      <c r="O31" s="33">
        <f>O27*(1-Valuation!$B$5)</f>
        <v/>
      </c>
      <c r="P31" s="33">
        <f>P27*(1-Valuation!$B$5)</f>
        <v/>
      </c>
    </row>
    <row r="32">
      <c r="A32" s="4" t="inlineStr">
        <is>
          <t>+ D&amp;A</t>
        </is>
      </c>
      <c r="B32" s="33">
        <f>SUM(Financials!I68:L68)</f>
        <v/>
      </c>
      <c r="C32" s="33">
        <f>SUM(Financials!M68:P68)</f>
        <v/>
      </c>
      <c r="D32" s="33">
        <f>SUM(Financials!Q68:T68)</f>
        <v/>
      </c>
      <c r="E32" s="33">
        <f>SUM(Financials!U68:X68)</f>
        <v/>
      </c>
      <c r="F32" s="33">
        <f>SUM(Financials!Y68:AB68)</f>
        <v/>
      </c>
      <c r="G32" s="41">
        <f>G14*0.0647</f>
        <v/>
      </c>
      <c r="H32" s="41">
        <f>H14*0.0647</f>
        <v/>
      </c>
      <c r="I32" s="41">
        <f>I14*0.0647</f>
        <v/>
      </c>
      <c r="J32" s="41">
        <f>J14*0.0647</f>
        <v/>
      </c>
      <c r="K32" s="41">
        <f>K14*0.0647</f>
        <v/>
      </c>
      <c r="L32" s="41">
        <f>L14*0.0647</f>
        <v/>
      </c>
      <c r="M32" s="41">
        <f>M14*0.0647</f>
        <v/>
      </c>
      <c r="N32" s="41">
        <f>N14*0.0647</f>
        <v/>
      </c>
      <c r="O32" s="41">
        <f>O14*0.0647</f>
        <v/>
      </c>
      <c r="P32" s="41">
        <f>P14*0.0647</f>
        <v/>
      </c>
    </row>
    <row r="33">
      <c r="A33" s="4" t="inlineStr">
        <is>
          <t>+ SBC (non-cash)</t>
        </is>
      </c>
      <c r="B33" s="33">
        <f>SUM(Financials!I69:L69)</f>
        <v/>
      </c>
      <c r="C33" s="33">
        <f>SUM(Financials!M69:P69)</f>
        <v/>
      </c>
      <c r="D33" s="33">
        <f>SUM(Financials!Q69:T69)</f>
        <v/>
      </c>
      <c r="E33" s="33">
        <f>SUM(Financials!U69:X69)</f>
        <v/>
      </c>
      <c r="F33" s="33">
        <f>SUM(Financials!Y69:AB69)</f>
        <v/>
      </c>
      <c r="G33" s="33">
        <f>G14*(Dashboard!$B$65+(Dashboard!$B$66-Dashboard!$B$65)*0/9)</f>
        <v/>
      </c>
      <c r="H33" s="33">
        <f>H14*(Dashboard!$B$65+(Dashboard!$B$66-Dashboard!$B$65)*1/9)</f>
        <v/>
      </c>
      <c r="I33" s="33">
        <f>I14*(Dashboard!$B$65+(Dashboard!$B$66-Dashboard!$B$65)*2/9)</f>
        <v/>
      </c>
      <c r="J33" s="33">
        <f>J14*(Dashboard!$B$65+(Dashboard!$B$66-Dashboard!$B$65)*3/9)</f>
        <v/>
      </c>
      <c r="K33" s="33">
        <f>K14*(Dashboard!$B$65+(Dashboard!$B$66-Dashboard!$B$65)*4/9)</f>
        <v/>
      </c>
      <c r="L33" s="33">
        <f>L14*(Dashboard!$B$65+(Dashboard!$B$66-Dashboard!$B$65)*5/9)</f>
        <v/>
      </c>
      <c r="M33" s="33">
        <f>M14*(Dashboard!$B$65+(Dashboard!$B$66-Dashboard!$B$65)*6/9)</f>
        <v/>
      </c>
      <c r="N33" s="33">
        <f>N14*(Dashboard!$B$65+(Dashboard!$B$66-Dashboard!$B$65)*7/9)</f>
        <v/>
      </c>
      <c r="O33" s="33">
        <f>O14*(Dashboard!$B$65+(Dashboard!$B$66-Dashboard!$B$65)*8/9)</f>
        <v/>
      </c>
      <c r="P33" s="33">
        <f>P14*(Dashboard!$B$65+(Dashboard!$B$66-Dashboard!$B$65)*9/9)</f>
        <v/>
      </c>
    </row>
    <row r="34">
      <c r="A34" s="4" t="inlineStr">
        <is>
          <t>- dNWC</t>
        </is>
      </c>
      <c r="G34" s="41">
        <f>(G14-F14)*0.0050</f>
        <v/>
      </c>
      <c r="H34" s="41">
        <f>(H14-G14)*0.0050</f>
        <v/>
      </c>
      <c r="I34" s="41">
        <f>(I14-H14)*0.0050</f>
        <v/>
      </c>
      <c r="J34" s="41">
        <f>(J14-I14)*0.0050</f>
        <v/>
      </c>
      <c r="K34" s="41">
        <f>(K14-J14)*0.0050</f>
        <v/>
      </c>
      <c r="L34" s="41">
        <f>(L14-K14)*0.0050</f>
        <v/>
      </c>
      <c r="M34" s="41">
        <f>(M14-L14)*0.0050</f>
        <v/>
      </c>
      <c r="N34" s="41">
        <f>(N14-M14)*0.0050</f>
        <v/>
      </c>
      <c r="O34" s="41">
        <f>(O14-N14)*0.0050</f>
        <v/>
      </c>
      <c r="P34" s="41">
        <f>(P14-O14)*0.0050</f>
        <v/>
      </c>
    </row>
    <row r="35">
      <c r="A35" s="4" t="inlineStr">
        <is>
          <t>- Capex</t>
        </is>
      </c>
      <c r="B35" s="33">
        <f>-SUM(Financials!I72:L72)</f>
        <v/>
      </c>
      <c r="C35" s="33">
        <f>-SUM(Financials!M72:P72)</f>
        <v/>
      </c>
      <c r="D35" s="33">
        <f>-SUM(Financials!Q72:T72)</f>
        <v/>
      </c>
      <c r="E35" s="33">
        <f>-SUM(Financials!U72:X72)</f>
        <v/>
      </c>
      <c r="F35" s="33">
        <f>-SUM(Financials!Y72:AB72)</f>
        <v/>
      </c>
      <c r="G35" s="41">
        <f>G32*G36</f>
        <v/>
      </c>
      <c r="H35" s="41">
        <f>H32*H36</f>
        <v/>
      </c>
      <c r="I35" s="41">
        <f>I32*I36</f>
        <v/>
      </c>
      <c r="J35" s="41">
        <f>J32*J36</f>
        <v/>
      </c>
      <c r="K35" s="41">
        <f>K32*K36</f>
        <v/>
      </c>
      <c r="L35" s="41">
        <f>L32*L36</f>
        <v/>
      </c>
      <c r="M35" s="41">
        <f>M32*M36</f>
        <v/>
      </c>
      <c r="N35" s="41">
        <f>N32*N36</f>
        <v/>
      </c>
      <c r="O35" s="41">
        <f>O32*O36</f>
        <v/>
      </c>
      <c r="P35" s="41">
        <f>P32*P36</f>
        <v/>
      </c>
    </row>
    <row r="36">
      <c r="A36" s="4" t="inlineStr">
        <is>
          <t xml:space="preserve">    Capex / D&amp;A  (from Dashboard: $cap'26 -&gt; terminal)</t>
        </is>
      </c>
      <c r="B36" s="26">
        <f>IFERROR(B35/B32,"")</f>
        <v/>
      </c>
      <c r="C36" s="26">
        <f>IFERROR(C35/C32,"")</f>
        <v/>
      </c>
      <c r="D36" s="26">
        <f>IFERROR(D35/D32,"")</f>
        <v/>
      </c>
      <c r="E36" s="26">
        <f>IFERROR(E35/E32,"")</f>
        <v/>
      </c>
      <c r="F36" s="26">
        <f>IFERROR(F35/F32,"")</f>
        <v/>
      </c>
      <c r="G36" s="13">
        <f>(Dashboard!$B$34/G32)+(Dashboard!$B$35-(Dashboard!$B$34/G32))*0/9</f>
        <v/>
      </c>
      <c r="H36" s="13">
        <f>(Dashboard!$B$34/G32)+(Dashboard!$B$35-(Dashboard!$B$34/G32))*1/9</f>
        <v/>
      </c>
      <c r="I36" s="13">
        <f>(Dashboard!$B$34/G32)+(Dashboard!$B$35-(Dashboard!$B$34/G32))*2/9</f>
        <v/>
      </c>
      <c r="J36" s="13">
        <f>(Dashboard!$B$34/G32)+(Dashboard!$B$35-(Dashboard!$B$34/G32))*3/9</f>
        <v/>
      </c>
      <c r="K36" s="13">
        <f>(Dashboard!$B$34/G32)+(Dashboard!$B$35-(Dashboard!$B$34/G32))*4/9</f>
        <v/>
      </c>
      <c r="L36" s="13">
        <f>(Dashboard!$B$34/G32)+(Dashboard!$B$35-(Dashboard!$B$34/G32))*5/9</f>
        <v/>
      </c>
      <c r="M36" s="13">
        <f>(Dashboard!$B$34/G32)+(Dashboard!$B$35-(Dashboard!$B$34/G32))*6/9</f>
        <v/>
      </c>
      <c r="N36" s="13">
        <f>(Dashboard!$B$34/G32)+(Dashboard!$B$35-(Dashboard!$B$34/G32))*7/9</f>
        <v/>
      </c>
      <c r="O36" s="13">
        <f>(Dashboard!$B$34/G32)+(Dashboard!$B$35-(Dashboard!$B$34/G32))*8/9</f>
        <v/>
      </c>
      <c r="P36" s="13">
        <f>(Dashboard!$B$34/G32)+(Dashboard!$B$35-(Dashboard!$B$34/G32))*9/9</f>
        <v/>
      </c>
    </row>
    <row r="38">
      <c r="A38" s="3" t="inlineStr">
        <is>
          <t>FCFF (firm)</t>
        </is>
      </c>
      <c r="B38" s="42">
        <f>B31+B32+B33-B34-B35</f>
        <v/>
      </c>
      <c r="C38" s="42">
        <f>C31+C32+C33-C34-C35</f>
        <v/>
      </c>
      <c r="D38" s="42">
        <f>D31+D32+D33-D34-D35</f>
        <v/>
      </c>
      <c r="E38" s="42">
        <f>E31+E32+E33-E34-E35</f>
        <v/>
      </c>
      <c r="F38" s="42">
        <f>F31+F32+F33-F34-F35</f>
        <v/>
      </c>
      <c r="G38" s="42">
        <f>G31+G32+G33-G34-G35</f>
        <v/>
      </c>
      <c r="H38" s="42">
        <f>H31+H32+H33-H34-H35</f>
        <v/>
      </c>
      <c r="I38" s="42">
        <f>I31+I32+I33-I34-I35</f>
        <v/>
      </c>
      <c r="J38" s="42">
        <f>J31+J32+J33-J34-J35</f>
        <v/>
      </c>
      <c r="K38" s="42">
        <f>K31+K32+K33-K34-K35</f>
        <v/>
      </c>
      <c r="L38" s="42">
        <f>L31+L32+L33-L34-L35</f>
        <v/>
      </c>
      <c r="M38" s="42">
        <f>M31+M32+M33-M34-M35</f>
        <v/>
      </c>
      <c r="N38" s="42">
        <f>N31+N32+N33-N34-N35</f>
        <v/>
      </c>
      <c r="O38" s="42">
        <f>O31+O32+O33-O34-O35</f>
        <v/>
      </c>
      <c r="P38" s="42">
        <f>P31+P32+P33-P34-P35</f>
        <v/>
      </c>
    </row>
    <row r="39">
      <c r="A39" s="3" t="inlineStr">
        <is>
          <t>Valuation FCF (NOPAT + D&amp;A - dNWC - Capex - after-tax SBC)</t>
        </is>
      </c>
      <c r="B39" s="43">
        <f>B38-B33-B33*(1-Valuation!$B$5)</f>
        <v/>
      </c>
      <c r="C39" s="43">
        <f>C38-C33-C33*(1-Valuation!$B$5)</f>
        <v/>
      </c>
      <c r="D39" s="43">
        <f>D38-D33-D33*(1-Valuation!$B$5)</f>
        <v/>
      </c>
      <c r="E39" s="43">
        <f>E38-E33-E33*(1-Valuation!$B$5)</f>
        <v/>
      </c>
      <c r="F39" s="43">
        <f>F38-F33-F33*(1-Valuation!$B$5)</f>
        <v/>
      </c>
      <c r="G39" s="43">
        <f>G38-G33-G33*(1-Valuation!$B$5)</f>
        <v/>
      </c>
      <c r="H39" s="43">
        <f>H38-H33-H33*(1-Valuation!$B$5)</f>
        <v/>
      </c>
      <c r="I39" s="43">
        <f>I38-I33-I33*(1-Valuation!$B$5)</f>
        <v/>
      </c>
      <c r="J39" s="43">
        <f>J38-J33-J33*(1-Valuation!$B$5)</f>
        <v/>
      </c>
      <c r="K39" s="43">
        <f>K38-K33-K33*(1-Valuation!$B$5)</f>
        <v/>
      </c>
      <c r="L39" s="43">
        <f>L38-L33-L33*(1-Valuation!$B$5)</f>
        <v/>
      </c>
      <c r="M39" s="43">
        <f>M38-M33-M33*(1-Valuation!$B$5)</f>
        <v/>
      </c>
      <c r="N39" s="43">
        <f>N38-N33-N33*(1-Valuation!$B$5)</f>
        <v/>
      </c>
      <c r="O39" s="43">
        <f>O38-O33-O33*(1-Valuation!$B$5)</f>
        <v/>
      </c>
      <c r="P39" s="43">
        <f>P38-P33-P33*(1-Valuation!$B$5)</f>
        <v/>
      </c>
    </row>
    <row r="41">
      <c r="A41" s="5" t="inlineStr">
        <is>
          <t xml:space="preserve">  RETURNS ON CAPITAL &amp; EFFICIENCY  (is new revenue/capital earning its keep?)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4" t="inlineStr">
        <is>
          <t>Invested capital (debt + equity - cash)</t>
        </is>
      </c>
      <c r="B42" s="33">
        <f>Financials!L66+Financials!L65-Financials!L60</f>
        <v/>
      </c>
      <c r="C42" s="33">
        <f>Financials!P66+Financials!P65-Financials!P60</f>
        <v/>
      </c>
      <c r="D42" s="33">
        <f>Financials!T66+Financials!T65-Financials!T60</f>
        <v/>
      </c>
      <c r="E42" s="33">
        <f>Financials!X66+Financials!X65-Financials!X60</f>
        <v/>
      </c>
      <c r="F42" s="33">
        <f>Financials!AB66+Financials!AB65-Financials!AB60</f>
        <v/>
      </c>
      <c r="G42" s="41">
        <f>F42+G35-G32+G34</f>
        <v/>
      </c>
      <c r="H42" s="41">
        <f>G42+H35-H32+H34</f>
        <v/>
      </c>
      <c r="I42" s="41">
        <f>H42+I35-I32+I34</f>
        <v/>
      </c>
      <c r="J42" s="41">
        <f>I42+J35-J32+J34</f>
        <v/>
      </c>
      <c r="K42" s="41">
        <f>J42+K35-K32+K34</f>
        <v/>
      </c>
      <c r="L42" s="41">
        <f>K42+L35-L32+L34</f>
        <v/>
      </c>
      <c r="M42" s="41">
        <f>L42+M35-M32+M34</f>
        <v/>
      </c>
      <c r="N42" s="41">
        <f>M42+N35-N32+N34</f>
        <v/>
      </c>
      <c r="O42" s="41">
        <f>N42+O35-O32+O34</f>
        <v/>
      </c>
      <c r="P42" s="41">
        <f>O42+P35-P32+P34</f>
        <v/>
      </c>
    </row>
    <row r="43">
      <c r="A43" s="4" t="inlineStr">
        <is>
          <t>Book equity (year-end)</t>
        </is>
      </c>
      <c r="B43" s="33">
        <f>Financials!L66</f>
        <v/>
      </c>
      <c r="C43" s="33">
        <f>Financials!P66</f>
        <v/>
      </c>
      <c r="D43" s="33">
        <f>Financials!T66</f>
        <v/>
      </c>
      <c r="E43" s="33">
        <f>Financials!X66</f>
        <v/>
      </c>
      <c r="F43" s="33">
        <f>Financials!AB66</f>
        <v/>
      </c>
      <c r="G43" s="41">
        <f>F43+G31</f>
        <v/>
      </c>
      <c r="H43" s="41">
        <f>G43+H31</f>
        <v/>
      </c>
      <c r="I43" s="41">
        <f>H43+I31</f>
        <v/>
      </c>
      <c r="J43" s="41">
        <f>I43+J31</f>
        <v/>
      </c>
      <c r="K43" s="41">
        <f>J43+K31</f>
        <v/>
      </c>
      <c r="L43" s="41">
        <f>K43+L31</f>
        <v/>
      </c>
      <c r="M43" s="41">
        <f>L43+M31</f>
        <v/>
      </c>
      <c r="N43" s="41">
        <f>M43+N31</f>
        <v/>
      </c>
      <c r="O43" s="41">
        <f>N43+O31</f>
        <v/>
      </c>
      <c r="P43" s="41">
        <f>O43+P31</f>
        <v/>
      </c>
    </row>
    <row r="44">
      <c r="A44" s="3" t="inlineStr">
        <is>
          <t xml:space="preserve">  ROIC (NOPAT / beg. invested capital)</t>
        </is>
      </c>
      <c r="C44" s="25">
        <f>IFERROR(C31/B42,"")</f>
        <v/>
      </c>
      <c r="D44" s="25">
        <f>IFERROR(D31/C42,"")</f>
        <v/>
      </c>
      <c r="E44" s="25">
        <f>IFERROR(E31/D42,"")</f>
        <v/>
      </c>
      <c r="F44" s="25">
        <f>IFERROR(F31/E42,"")</f>
        <v/>
      </c>
      <c r="G44" s="25">
        <f>IFERROR(G31/F42,"")</f>
        <v/>
      </c>
      <c r="H44" s="25">
        <f>IFERROR(H31/G42,"")</f>
        <v/>
      </c>
      <c r="I44" s="25">
        <f>IFERROR(I31/H42,"")</f>
        <v/>
      </c>
      <c r="J44" s="25">
        <f>IFERROR(J31/I42,"")</f>
        <v/>
      </c>
      <c r="K44" s="25">
        <f>IFERROR(K31/J42,"")</f>
        <v/>
      </c>
      <c r="L44" s="25">
        <f>IFERROR(L31/K42,"")</f>
        <v/>
      </c>
      <c r="M44" s="25">
        <f>IFERROR(M31/L42,"")</f>
        <v/>
      </c>
      <c r="N44" s="25">
        <f>IFERROR(N31/M42,"")</f>
        <v/>
      </c>
      <c r="O44" s="25">
        <f>IFERROR(O31/N42,"")</f>
        <v/>
      </c>
      <c r="P44" s="25">
        <f>IFERROR(P31/O42,"")</f>
        <v/>
      </c>
    </row>
    <row r="45">
      <c r="A45" s="3" t="inlineStr">
        <is>
          <t xml:space="preserve">  ROE (earnings / beg. equity)</t>
        </is>
      </c>
      <c r="C45" s="11">
        <f>IFERROR(SUM(Financials!M15:P15)/B43,"")</f>
        <v/>
      </c>
      <c r="D45" s="11">
        <f>IFERROR(SUM(Financials!Q15:T15)/C43,"")</f>
        <v/>
      </c>
      <c r="E45" s="11">
        <f>IFERROR(SUM(Financials!U15:X15)/D43,"")</f>
        <v/>
      </c>
      <c r="F45" s="11">
        <f>IFERROR(SUM(Financials!Y15:AB15)/E43,"")</f>
        <v/>
      </c>
      <c r="G45" s="25">
        <f>IFERROR(G31/F43,"")</f>
        <v/>
      </c>
      <c r="H45" s="25">
        <f>IFERROR(H31/G43,"")</f>
        <v/>
      </c>
      <c r="I45" s="25">
        <f>IFERROR(I31/H43,"")</f>
        <v/>
      </c>
      <c r="J45" s="25">
        <f>IFERROR(J31/I43,"")</f>
        <v/>
      </c>
      <c r="K45" s="25">
        <f>IFERROR(K31/J43,"")</f>
        <v/>
      </c>
      <c r="L45" s="25">
        <f>IFERROR(L31/K43,"")</f>
        <v/>
      </c>
      <c r="M45" s="25">
        <f>IFERROR(M31/L43,"")</f>
        <v/>
      </c>
      <c r="N45" s="25">
        <f>IFERROR(N31/M43,"")</f>
        <v/>
      </c>
      <c r="O45" s="25">
        <f>IFERROR(O31/N43,"")</f>
        <v/>
      </c>
      <c r="P45" s="25">
        <f>IFERROR(P31/O43,"")</f>
        <v/>
      </c>
    </row>
    <row r="46">
      <c r="A46" s="4" t="inlineStr">
        <is>
          <t xml:space="preserve">  ROIC - WACC spread (value created)</t>
        </is>
      </c>
      <c r="C46" s="11">
        <f>IFERROR(C44-WACC!$B$15,"")</f>
        <v/>
      </c>
      <c r="D46" s="11">
        <f>IFERROR(D44-WACC!$B$15,"")</f>
        <v/>
      </c>
      <c r="E46" s="11">
        <f>IFERROR(E44-WACC!$B$15,"")</f>
        <v/>
      </c>
      <c r="F46" s="11">
        <f>IFERROR(F44-WACC!$B$15,"")</f>
        <v/>
      </c>
      <c r="G46" s="11">
        <f>IFERROR(G44-WACC!$B$15,"")</f>
        <v/>
      </c>
      <c r="H46" s="11">
        <f>IFERROR(H44-WACC!$B$15,"")</f>
        <v/>
      </c>
      <c r="I46" s="11">
        <f>IFERROR(I44-WACC!$B$15,"")</f>
        <v/>
      </c>
      <c r="J46" s="11">
        <f>IFERROR(J44-WACC!$B$15,"")</f>
        <v/>
      </c>
      <c r="K46" s="11">
        <f>IFERROR(K44-WACC!$B$15,"")</f>
        <v/>
      </c>
      <c r="L46" s="11">
        <f>IFERROR(L44-WACC!$B$15,"")</f>
        <v/>
      </c>
      <c r="M46" s="11">
        <f>IFERROR(M44-WACC!$B$15,"")</f>
        <v/>
      </c>
      <c r="N46" s="11">
        <f>IFERROR(N44-WACC!$B$15,"")</f>
        <v/>
      </c>
      <c r="O46" s="11">
        <f>IFERROR(O44-WACC!$B$15,"")</f>
        <v/>
      </c>
      <c r="P46" s="11">
        <f>IFERROR(P44-WACC!$B$15,"")</f>
        <v/>
      </c>
    </row>
    <row r="47">
      <c r="A47" s="4" t="inlineStr">
        <is>
          <t xml:space="preserve">  Incremental op margin (ΔEBIT / ΔRev)</t>
        </is>
      </c>
      <c r="C47" s="25">
        <f>IFERROR((C27-B27)/(C14-B14),"")</f>
        <v/>
      </c>
      <c r="D47" s="25">
        <f>IFERROR((D27-C27)/(D14-C14),"")</f>
        <v/>
      </c>
      <c r="E47" s="25">
        <f>IFERROR((E27-D27)/(E14-D14),"")</f>
        <v/>
      </c>
      <c r="F47" s="25">
        <f>IFERROR((F27-E27)/(F14-E14),"")</f>
        <v/>
      </c>
      <c r="G47" s="25">
        <f>IFERROR((G27-F27)/(G14-F14),"")</f>
        <v/>
      </c>
      <c r="H47" s="25">
        <f>IFERROR((H27-G27)/(H14-G14),"")</f>
        <v/>
      </c>
      <c r="I47" s="25">
        <f>IFERROR((I27-H27)/(I14-H14),"")</f>
        <v/>
      </c>
      <c r="J47" s="25">
        <f>IFERROR((J27-I27)/(J14-I14),"")</f>
        <v/>
      </c>
      <c r="K47" s="25">
        <f>IFERROR((K27-J27)/(K14-J14),"")</f>
        <v/>
      </c>
      <c r="L47" s="25">
        <f>IFERROR((L27-K27)/(L14-K14),"")</f>
        <v/>
      </c>
      <c r="M47" s="25">
        <f>IFERROR((M27-L27)/(M14-L14),"")</f>
        <v/>
      </c>
      <c r="N47" s="25">
        <f>IFERROR((N27-M27)/(N14-M14),"")</f>
        <v/>
      </c>
      <c r="O47" s="25">
        <f>IFERROR((O27-N27)/(O14-N14),"")</f>
        <v/>
      </c>
      <c r="P47" s="25">
        <f>IFERROR((P27-O27)/(P14-O14),"")</f>
        <v/>
      </c>
    </row>
    <row r="48">
      <c r="A48" s="3" t="inlineStr">
        <is>
          <t xml:space="preserve">  ROIIC (ΔNOPAT / ΔInvested capital)</t>
        </is>
      </c>
      <c r="C48" s="25">
        <f>IFERROR((C31-B31)/(C42-B42),"")</f>
        <v/>
      </c>
      <c r="D48" s="25">
        <f>IFERROR((D31-C31)/(D42-C42),"")</f>
        <v/>
      </c>
      <c r="E48" s="25">
        <f>IFERROR((E31-D31)/(E42-D42),"")</f>
        <v/>
      </c>
      <c r="F48" s="25">
        <f>IFERROR((F31-E31)/(F42-E42),"")</f>
        <v/>
      </c>
      <c r="G48" s="25">
        <f>IFERROR((G31-F31)/(G42-F42),"")</f>
        <v/>
      </c>
      <c r="H48" s="25">
        <f>IFERROR((H31-G31)/(H42-G42),"")</f>
        <v/>
      </c>
      <c r="I48" s="25">
        <f>IFERROR((I31-H31)/(I42-H42),"")</f>
        <v/>
      </c>
      <c r="J48" s="25">
        <f>IFERROR((J31-I31)/(J42-I42),"")</f>
        <v/>
      </c>
      <c r="K48" s="25">
        <f>IFERROR((K31-J31)/(K42-J42),"")</f>
        <v/>
      </c>
      <c r="L48" s="25">
        <f>IFERROR((L31-K31)/(L42-K42),"")</f>
        <v/>
      </c>
      <c r="M48" s="25">
        <f>IFERROR((M31-L31)/(M42-L42),"")</f>
        <v/>
      </c>
      <c r="N48" s="25">
        <f>IFERROR((N31-M31)/(N42-M42),"")</f>
        <v/>
      </c>
      <c r="O48" s="25">
        <f>IFERROR((O31-N31)/(O42-N42),"")</f>
        <v/>
      </c>
      <c r="P48" s="25">
        <f>IFERROR((P31-O31)/(P42-O42),"")</f>
        <v/>
      </c>
    </row>
    <row r="49">
      <c r="A49" s="4" t="inlineStr">
        <is>
          <t xml:space="preserve">  Sales-to-capital (ΔRev / ΔInvested capital)</t>
        </is>
      </c>
      <c r="C49" s="44">
        <f>IFERROR((C14-B14)/(C42-B42),"")</f>
        <v/>
      </c>
      <c r="D49" s="44">
        <f>IFERROR((D14-C14)/(D42-C42),"")</f>
        <v/>
      </c>
      <c r="E49" s="44">
        <f>IFERROR((E14-D14)/(E42-D42),"")</f>
        <v/>
      </c>
      <c r="F49" s="44">
        <f>IFERROR((F14-E14)/(F42-E42),"")</f>
        <v/>
      </c>
      <c r="G49" s="44">
        <f>IFERROR((G14-F14)/(G42-F42),"")</f>
        <v/>
      </c>
      <c r="H49" s="44">
        <f>IFERROR((H14-G14)/(H42-G42),"")</f>
        <v/>
      </c>
      <c r="I49" s="44">
        <f>IFERROR((I14-H14)/(I42-H42),"")</f>
        <v/>
      </c>
      <c r="J49" s="44">
        <f>IFERROR((J14-I14)/(J42-I42),"")</f>
        <v/>
      </c>
      <c r="K49" s="44">
        <f>IFERROR((K14-J14)/(K42-J42),"")</f>
        <v/>
      </c>
      <c r="L49" s="44">
        <f>IFERROR((L14-K14)/(L42-K42),"")</f>
        <v/>
      </c>
      <c r="M49" s="44">
        <f>IFERROR((M14-L14)/(M42-L42),"")</f>
        <v/>
      </c>
      <c r="N49" s="44">
        <f>IFERROR((N14-M14)/(N42-M42),"")</f>
        <v/>
      </c>
      <c r="O49" s="44">
        <f>IFERROR((O14-N14)/(O42-N42),"")</f>
        <v/>
      </c>
      <c r="P49" s="44">
        <f>IFERROR((P14-O14)/(P42-O42),"")</f>
        <v/>
      </c>
    </row>
    <row r="50">
      <c r="A50" s="4" t="inlineStr">
        <is>
          <t xml:space="preserve">  Reinvestment rate (ΔInvested capital / NOPAT)</t>
        </is>
      </c>
      <c r="C50" s="25">
        <f>IFERROR((C42-B42)/C31,"")</f>
        <v/>
      </c>
      <c r="D50" s="25">
        <f>IFERROR((D42-C42)/D31,"")</f>
        <v/>
      </c>
      <c r="E50" s="25">
        <f>IFERROR((E42-D42)/E31,"")</f>
        <v/>
      </c>
      <c r="F50" s="25">
        <f>IFERROR((F42-E42)/F31,"")</f>
        <v/>
      </c>
      <c r="G50" s="25">
        <f>IFERROR((G42-F42)/G31,"")</f>
        <v/>
      </c>
      <c r="H50" s="25">
        <f>IFERROR((H42-G42)/H31,"")</f>
        <v/>
      </c>
      <c r="I50" s="25">
        <f>IFERROR((I42-H42)/I31,"")</f>
        <v/>
      </c>
      <c r="J50" s="25">
        <f>IFERROR((J42-I42)/J31,"")</f>
        <v/>
      </c>
      <c r="K50" s="25">
        <f>IFERROR((K42-J42)/K31,"")</f>
        <v/>
      </c>
      <c r="L50" s="25">
        <f>IFERROR((L42-K42)/L31,"")</f>
        <v/>
      </c>
      <c r="M50" s="25">
        <f>IFERROR((M42-L42)/M31,"")</f>
        <v/>
      </c>
      <c r="N50" s="25">
        <f>IFERROR((N42-M42)/N31,"")</f>
        <v/>
      </c>
      <c r="O50" s="25">
        <f>IFERROR((O42-N42)/O31,"")</f>
        <v/>
      </c>
      <c r="P50" s="25">
        <f>IFERROR((P42-O42)/P31,"")</f>
        <v/>
      </c>
    </row>
    <row r="52">
      <c r="A52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1818</v>
      </c>
      <c r="C3" s="18" t="n">
        <v>1859.5</v>
      </c>
      <c r="D3" s="18" t="n">
        <v>1854.6</v>
      </c>
      <c r="E3" s="18" t="n">
        <v>1719.7</v>
      </c>
      <c r="F3" s="18" t="n">
        <v>1785.4</v>
      </c>
      <c r="G3" s="18" t="n">
        <v>2129.1</v>
      </c>
      <c r="H3" s="18" t="n">
        <v>2350.7</v>
      </c>
      <c r="I3" s="18" t="n">
        <v>2532.5</v>
      </c>
      <c r="J3" s="18" t="n">
        <v>2897</v>
      </c>
      <c r="K3" s="18" t="n">
        <v>2680.9</v>
      </c>
      <c r="L3" s="18" t="n">
        <v>2823.7</v>
      </c>
      <c r="M3" s="18" t="n">
        <v>2763.8</v>
      </c>
      <c r="N3" s="18" t="n">
        <v>2306.9</v>
      </c>
      <c r="O3" s="18" t="n">
        <v>2156.9</v>
      </c>
      <c r="P3" s="18" t="n">
        <v>2820.3</v>
      </c>
      <c r="Q3" s="18" t="n">
        <v>2793.9</v>
      </c>
      <c r="R3" s="18" t="n">
        <v>2300.7</v>
      </c>
      <c r="S3" s="18" t="n">
        <v>2505.6</v>
      </c>
      <c r="T3" s="18" t="n">
        <v>2295.6</v>
      </c>
      <c r="U3" s="18" t="n">
        <v>2599.8</v>
      </c>
      <c r="V3" s="18" t="n">
        <v>3118.3</v>
      </c>
      <c r="W3" s="18" t="n">
        <v>2930.9</v>
      </c>
      <c r="X3" s="18" t="n">
        <v>2784.3</v>
      </c>
      <c r="Y3" s="18" t="n">
        <v>3121.9</v>
      </c>
      <c r="Z3" s="18" t="n">
        <v>3051</v>
      </c>
      <c r="AA3" s="18" t="n">
        <v>3377.3</v>
      </c>
      <c r="AB3" s="18" t="n">
        <v>3869.8</v>
      </c>
      <c r="AC3" s="18" t="n">
        <v>4251.4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1073.5</v>
      </c>
      <c r="C5" s="18" t="n">
        <v>1113.7</v>
      </c>
      <c r="D5" s="18" t="n">
        <v>1182.3</v>
      </c>
      <c r="E5" s="18" t="n">
        <v>1157.3</v>
      </c>
      <c r="F5" s="18" t="n">
        <v>1166.3</v>
      </c>
      <c r="G5" s="18" t="n">
        <v>1143.4</v>
      </c>
      <c r="H5" s="18" t="n">
        <v>1252.1</v>
      </c>
      <c r="I5" s="18" t="n">
        <v>1150.8</v>
      </c>
      <c r="J5" s="18" t="n">
        <v>1190.4</v>
      </c>
      <c r="K5" s="18" t="n">
        <v>1141.8</v>
      </c>
      <c r="L5" s="18" t="n">
        <v>1260.8</v>
      </c>
      <c r="M5" s="18" t="n">
        <v>1263.4</v>
      </c>
      <c r="N5" s="18" t="n">
        <v>1467.5</v>
      </c>
      <c r="O5" s="18" t="n">
        <v>1339.5</v>
      </c>
      <c r="P5" s="18" t="n">
        <v>1416.7</v>
      </c>
      <c r="Q5" s="18" t="n">
        <v>1409.8</v>
      </c>
      <c r="R5" s="18" t="n">
        <v>1369</v>
      </c>
      <c r="S5" s="18" t="n">
        <v>1403.7</v>
      </c>
      <c r="T5" s="18" t="n">
        <v>1393.8</v>
      </c>
      <c r="U5" s="18" t="n">
        <v>1379.3</v>
      </c>
      <c r="V5" s="18" t="n">
        <v>1477.1</v>
      </c>
      <c r="W5" s="18" t="n">
        <v>1449.4</v>
      </c>
      <c r="X5" s="18" t="n">
        <v>1442.5</v>
      </c>
      <c r="Y5" s="18" t="n">
        <v>1554.7</v>
      </c>
      <c r="Z5" s="18" t="n">
        <v>1431.6</v>
      </c>
      <c r="AA5" s="18" t="n">
        <v>1356.8</v>
      </c>
      <c r="AB5" s="18" t="n">
        <v>1471.5</v>
      </c>
      <c r="AC5" s="18" t="n">
        <v>1498.8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30.9</v>
      </c>
      <c r="C9" s="18" t="n">
        <v>32</v>
      </c>
      <c r="D9" s="18" t="n">
        <v>40.4</v>
      </c>
      <c r="E9" s="18" t="n">
        <v>29.1</v>
      </c>
      <c r="F9" s="18" t="n">
        <v>31.4</v>
      </c>
      <c r="G9" s="18" t="n">
        <v>33.4</v>
      </c>
      <c r="H9" s="18" t="n">
        <v>32.2</v>
      </c>
      <c r="I9" s="18" t="n">
        <v>30.1</v>
      </c>
      <c r="J9" s="18" t="n">
        <v>31.4</v>
      </c>
      <c r="K9" s="18" t="n">
        <v>31.3</v>
      </c>
      <c r="L9" s="18" t="n">
        <v>32.299999</v>
      </c>
      <c r="M9" s="18" t="n">
        <v>30.3</v>
      </c>
      <c r="N9" s="18" t="n">
        <v>30.9</v>
      </c>
      <c r="O9" s="18" t="n">
        <v>30.2</v>
      </c>
      <c r="P9" s="18" t="n">
        <v>33.6</v>
      </c>
      <c r="Q9" s="18" t="n">
        <v>30.4</v>
      </c>
      <c r="R9" s="18" t="n">
        <v>31</v>
      </c>
      <c r="S9" s="18" t="n">
        <v>32.7</v>
      </c>
      <c r="T9" s="18" t="n">
        <v>33.1</v>
      </c>
      <c r="U9" s="18" t="n">
        <v>30.8</v>
      </c>
      <c r="V9" s="18" t="n">
        <v>33.9</v>
      </c>
      <c r="W9" s="18" t="n">
        <v>31.2</v>
      </c>
      <c r="X9" s="18" t="n">
        <v>34.5</v>
      </c>
      <c r="Y9" s="18" t="n">
        <v>31.7</v>
      </c>
      <c r="Z9" s="18" t="n">
        <v>32.5</v>
      </c>
      <c r="AA9" s="18" t="n">
        <v>33.7</v>
      </c>
      <c r="AB9" s="18" t="n">
        <v>39.9</v>
      </c>
      <c r="AC9" s="18" t="n">
        <v>35.8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744.5</v>
      </c>
      <c r="C11" s="18" t="n">
        <v>745.8</v>
      </c>
      <c r="D11" s="18" t="n">
        <v>672.3</v>
      </c>
      <c r="E11" s="18" t="n">
        <v>562.4</v>
      </c>
      <c r="F11" s="18" t="n">
        <v>619.1</v>
      </c>
      <c r="G11" s="18" t="n">
        <v>985.7</v>
      </c>
      <c r="H11" s="18" t="n">
        <v>1098.6</v>
      </c>
      <c r="I11" s="18" t="n">
        <v>1381.7</v>
      </c>
      <c r="J11" s="18" t="n">
        <v>1706.6</v>
      </c>
      <c r="K11" s="18" t="n">
        <v>1539.1</v>
      </c>
      <c r="L11" s="18" t="n">
        <v>1562.9</v>
      </c>
      <c r="M11" s="18" t="n">
        <v>1500.4</v>
      </c>
      <c r="N11" s="18" t="n">
        <v>839.4</v>
      </c>
      <c r="O11" s="18" t="n">
        <v>817.4</v>
      </c>
      <c r="P11" s="18" t="n">
        <v>1403.6</v>
      </c>
      <c r="Q11" s="18" t="n">
        <v>1384.1</v>
      </c>
      <c r="R11" s="18" t="n">
        <v>931.7</v>
      </c>
      <c r="S11" s="18" t="n">
        <v>1101.9</v>
      </c>
      <c r="T11" s="18" t="n">
        <v>901.8</v>
      </c>
      <c r="U11" s="18" t="n">
        <v>1220.5</v>
      </c>
      <c r="V11" s="18" t="n">
        <v>1641.2</v>
      </c>
      <c r="W11" s="18" t="n">
        <v>1481.5</v>
      </c>
      <c r="X11" s="18" t="n">
        <v>1341.8</v>
      </c>
      <c r="Y11" s="18" t="n">
        <v>1567.2</v>
      </c>
      <c r="Z11" s="18" t="n">
        <v>1619.4</v>
      </c>
      <c r="AA11" s="18" t="n">
        <v>2020.5</v>
      </c>
      <c r="AB11" s="18" t="n">
        <v>2398.3</v>
      </c>
      <c r="AC11" s="18" t="n">
        <v>2752.6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713.6</v>
      </c>
      <c r="C13" s="18" t="n">
        <v>713.8</v>
      </c>
      <c r="D13" s="18" t="n">
        <v>631.9</v>
      </c>
      <c r="E13" s="18" t="n">
        <v>533.299999</v>
      </c>
      <c r="F13" s="18" t="n">
        <v>587.7</v>
      </c>
      <c r="G13" s="18" t="n">
        <v>952.3</v>
      </c>
      <c r="H13" s="18" t="n">
        <v>1066.4</v>
      </c>
      <c r="I13" s="18" t="n">
        <v>1351.6</v>
      </c>
      <c r="J13" s="18" t="n">
        <v>1675.2</v>
      </c>
      <c r="K13" s="18" t="n">
        <v>1507.8</v>
      </c>
      <c r="L13" s="18" t="n">
        <v>1530.6</v>
      </c>
      <c r="M13" s="18" t="n">
        <v>1470.1</v>
      </c>
      <c r="N13" s="18" t="n">
        <v>808.5</v>
      </c>
      <c r="O13" s="18" t="n">
        <v>787.2</v>
      </c>
      <c r="P13" s="18" t="n">
        <v>1370</v>
      </c>
      <c r="Q13" s="18" t="n">
        <v>1353.7</v>
      </c>
      <c r="R13" s="18" t="n">
        <v>900.7</v>
      </c>
      <c r="S13" s="18" t="n">
        <v>1069.2</v>
      </c>
      <c r="T13" s="18" t="n">
        <v>868.7</v>
      </c>
      <c r="U13" s="18" t="n">
        <v>1189.7</v>
      </c>
      <c r="V13" s="18" t="n">
        <v>1607.3</v>
      </c>
      <c r="W13" s="18" t="n">
        <v>1450.3</v>
      </c>
      <c r="X13" s="18" t="n">
        <v>1307.3</v>
      </c>
      <c r="Y13" s="18" t="n">
        <v>1535.5</v>
      </c>
      <c r="Z13" s="18" t="n">
        <v>1586.9</v>
      </c>
      <c r="AA13" s="18" t="n">
        <v>1768.8</v>
      </c>
      <c r="AB13" s="18" t="n">
        <v>2110.4</v>
      </c>
      <c r="AC13" s="18" t="n">
        <v>2480.3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402.4</v>
      </c>
      <c r="C15" s="18" t="n">
        <v>389.6</v>
      </c>
      <c r="D15" s="18" t="n">
        <v>305.7</v>
      </c>
      <c r="E15" s="18" t="n">
        <v>214.8</v>
      </c>
      <c r="F15" s="18" t="n">
        <v>259.5</v>
      </c>
      <c r="G15" s="18" t="n">
        <v>506</v>
      </c>
      <c r="H15" s="18" t="n">
        <v>590.2</v>
      </c>
      <c r="I15" s="18" t="n">
        <v>763.8</v>
      </c>
      <c r="J15" s="18" t="n">
        <v>932.7</v>
      </c>
      <c r="K15" s="18" t="n">
        <v>867.6</v>
      </c>
      <c r="L15" s="18" t="n">
        <v>833</v>
      </c>
      <c r="M15" s="18" t="n">
        <v>784.7</v>
      </c>
      <c r="N15" s="18" t="n">
        <v>432.3</v>
      </c>
      <c r="O15" s="18" t="n">
        <v>519</v>
      </c>
      <c r="P15" s="18" t="n">
        <v>902.4</v>
      </c>
      <c r="Q15" s="18" t="n">
        <v>813.2</v>
      </c>
      <c r="R15" s="18" t="n">
        <v>547.5</v>
      </c>
      <c r="S15" s="18" t="n">
        <v>619.5</v>
      </c>
      <c r="T15" s="18" t="n">
        <v>445</v>
      </c>
      <c r="U15" s="18" t="n">
        <v>736</v>
      </c>
      <c r="V15" s="18" t="n">
        <v>950.2</v>
      </c>
      <c r="W15" s="18" t="n">
        <v>896.7</v>
      </c>
      <c r="X15" s="18" t="n">
        <v>793.9</v>
      </c>
      <c r="Y15" s="18" t="n">
        <v>945.9</v>
      </c>
      <c r="Z15" s="18" t="n">
        <v>973.5</v>
      </c>
      <c r="AA15" s="18" t="n">
        <v>1107.6</v>
      </c>
      <c r="AB15" s="18" t="n">
        <v>1307.9</v>
      </c>
      <c r="AC15" s="18" t="n">
        <v>1581.7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773</v>
      </c>
      <c r="C17" s="18" t="n">
        <v>773.1</v>
      </c>
      <c r="D17" s="18" t="n">
        <v>773.1</v>
      </c>
      <c r="E17" s="18" t="n">
        <v>773.1</v>
      </c>
      <c r="F17" s="18" t="n">
        <v>773.1</v>
      </c>
      <c r="G17" s="18" t="n">
        <v>773.1</v>
      </c>
      <c r="H17" s="18" t="n">
        <v>773.1</v>
      </c>
      <c r="I17" s="18" t="n">
        <v>773.1</v>
      </c>
      <c r="J17" s="18" t="n">
        <v>773.1</v>
      </c>
      <c r="K17" s="18" t="n">
        <v>773.1</v>
      </c>
      <c r="L17" s="18" t="n">
        <v>773.1</v>
      </c>
      <c r="M17" s="18" t="n">
        <v>773.1</v>
      </c>
      <c r="N17" s="18" t="n">
        <v>773.1</v>
      </c>
      <c r="O17" s="18" t="n">
        <v>773.1</v>
      </c>
      <c r="P17" s="18" t="n">
        <v>785.514625</v>
      </c>
      <c r="Q17" s="18" t="n">
        <v>773.1</v>
      </c>
      <c r="R17" s="18" t="n">
        <v>773.1</v>
      </c>
      <c r="S17" s="18" t="n">
        <v>773.1</v>
      </c>
      <c r="T17" s="18" t="n">
        <v>773.1</v>
      </c>
      <c r="U17" s="18" t="n">
        <v>773.1</v>
      </c>
      <c r="V17" s="18" t="n">
        <v>782.256364</v>
      </c>
      <c r="W17" s="18" t="n">
        <v>778</v>
      </c>
      <c r="X17" s="18" t="n">
        <v>787.7</v>
      </c>
      <c r="Y17" s="18" t="n">
        <v>792.5</v>
      </c>
      <c r="Z17" s="18" t="n">
        <v>807.8</v>
      </c>
      <c r="AA17" s="18" t="n">
        <v>822.6</v>
      </c>
      <c r="AB17" s="18" t="n">
        <v>838.2</v>
      </c>
      <c r="AC17" s="18" t="n">
        <v>821.7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Copper</t>
        </is>
      </c>
      <c r="B19" s="18" t="n">
        <v>1448.9</v>
      </c>
      <c r="C19" s="18" t="n">
        <v>1477.4</v>
      </c>
      <c r="D19" s="18" t="n">
        <v>1503.4</v>
      </c>
      <c r="E19" s="18" t="n">
        <v>1365.8</v>
      </c>
      <c r="F19" s="18" t="n">
        <v>1469.7</v>
      </c>
      <c r="G19" s="18" t="n">
        <v>1749.9</v>
      </c>
      <c r="H19" s="18" t="n">
        <v>1927.7</v>
      </c>
      <c r="I19" s="18" t="n">
        <v>2117.4</v>
      </c>
      <c r="J19" s="18" t="n">
        <v>2348.2</v>
      </c>
      <c r="K19" s="18" t="n">
        <v>2110.4</v>
      </c>
      <c r="L19" s="18" t="n">
        <v>2252.3</v>
      </c>
      <c r="M19" s="18" t="n">
        <v>2154.9</v>
      </c>
      <c r="N19" s="18" t="n">
        <v>1797.8</v>
      </c>
      <c r="O19" s="18" t="n">
        <v>1610</v>
      </c>
      <c r="P19" s="18" t="n">
        <v>1976.1</v>
      </c>
      <c r="Q19" s="18" t="n">
        <v>2147.9</v>
      </c>
      <c r="R19" s="18" t="n">
        <v>1782.5</v>
      </c>
      <c r="S19" s="18" t="n">
        <v>1874.6</v>
      </c>
      <c r="T19" s="18" t="n">
        <v>1786.1</v>
      </c>
      <c r="U19" s="18" t="n">
        <v>2043.7</v>
      </c>
      <c r="V19" s="18" t="n">
        <v>2366.6</v>
      </c>
      <c r="W19" s="18" t="n">
        <v>2261</v>
      </c>
      <c r="X19" s="18" t="n">
        <v>2082.4</v>
      </c>
      <c r="Y19" s="18" t="n">
        <v>2432</v>
      </c>
      <c r="Z19" s="18" t="n">
        <v>2259.5</v>
      </c>
      <c r="AA19" s="18" t="n">
        <v>2447.2</v>
      </c>
      <c r="AB19" s="18" t="n">
        <v>2895.1</v>
      </c>
      <c r="AC19" s="18" t="n">
        <v>2982.6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Silver</t>
        </is>
      </c>
      <c r="B22" s="18" t="n">
        <v>68.8</v>
      </c>
      <c r="C22" s="18" t="n">
        <v>88.59999999999999</v>
      </c>
      <c r="D22" s="18" t="n">
        <v>43.6</v>
      </c>
      <c r="E22" s="18" t="n">
        <v>88.09999999999999</v>
      </c>
      <c r="F22" s="18" t="n">
        <v>99.2</v>
      </c>
      <c r="G22" s="18" t="n">
        <v>133</v>
      </c>
      <c r="H22" s="18" t="n">
        <v>0</v>
      </c>
      <c r="I22" s="18" t="n">
        <v>139</v>
      </c>
      <c r="J22" s="18" t="n">
        <v>120.2</v>
      </c>
      <c r="K22" s="18" t="n">
        <v>104.2</v>
      </c>
      <c r="L22" s="18" t="n">
        <v>0</v>
      </c>
      <c r="M22" s="18" t="n">
        <v>105.2</v>
      </c>
      <c r="N22" s="18" t="n">
        <v>99.40000000000001</v>
      </c>
      <c r="O22" s="18" t="n">
        <v>87.59999999999999</v>
      </c>
      <c r="P22" s="18" t="n">
        <v>82</v>
      </c>
      <c r="Q22" s="18" t="n">
        <v>115.1</v>
      </c>
      <c r="R22" s="18" t="n">
        <v>98.7</v>
      </c>
      <c r="S22" s="18" t="n">
        <v>104</v>
      </c>
      <c r="T22" s="18" t="n">
        <v>99.8</v>
      </c>
      <c r="U22" s="18" t="n">
        <v>111.6</v>
      </c>
      <c r="V22" s="18" t="n">
        <v>157.2</v>
      </c>
      <c r="W22" s="18" t="n">
        <v>151.7</v>
      </c>
      <c r="X22" s="18" t="n">
        <v>167.5</v>
      </c>
      <c r="Y22" s="18" t="n">
        <v>176.6</v>
      </c>
      <c r="Z22" s="18" t="n">
        <v>201.9</v>
      </c>
      <c r="AA22" s="18" t="n">
        <v>250.2</v>
      </c>
      <c r="AB22" s="18" t="n">
        <v>345.2</v>
      </c>
      <c r="AC22" s="18" t="n">
        <v>531.5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Molybdenum</t>
        </is>
      </c>
      <c r="B25" s="18" t="n">
        <v>154.5</v>
      </c>
      <c r="C25" s="18" t="n">
        <v>156.5</v>
      </c>
      <c r="D25" s="18" t="n">
        <v>120.1</v>
      </c>
      <c r="E25" s="18" t="n">
        <v>126.1</v>
      </c>
      <c r="F25" s="18" t="n">
        <v>107</v>
      </c>
      <c r="G25" s="18" t="n">
        <v>119.8</v>
      </c>
      <c r="H25" s="18" t="n">
        <v>157.4</v>
      </c>
      <c r="I25" s="18" t="n">
        <v>169.6</v>
      </c>
      <c r="J25" s="18" t="n">
        <v>282.2</v>
      </c>
      <c r="K25" s="18" t="n">
        <v>294.5</v>
      </c>
      <c r="L25" s="18" t="n">
        <v>306.8</v>
      </c>
      <c r="M25" s="18" t="n">
        <v>275.8</v>
      </c>
      <c r="N25" s="18" t="n">
        <v>198.2</v>
      </c>
      <c r="O25" s="18" t="n">
        <v>212.6</v>
      </c>
      <c r="P25" s="18" t="n">
        <v>506.1</v>
      </c>
      <c r="Q25" s="18" t="n">
        <v>301.6</v>
      </c>
      <c r="R25" s="18" t="n">
        <v>254.4</v>
      </c>
      <c r="S25" s="18" t="n">
        <v>343.1</v>
      </c>
      <c r="T25" s="18" t="n">
        <v>230.6</v>
      </c>
      <c r="U25" s="18" t="n">
        <v>273.6</v>
      </c>
      <c r="V25" s="18" t="n">
        <v>379.2</v>
      </c>
      <c r="W25" s="18" t="n">
        <v>296.8</v>
      </c>
      <c r="X25" s="18" t="n">
        <v>296.8</v>
      </c>
      <c r="Y25" s="18" t="n">
        <v>300.5</v>
      </c>
      <c r="Z25" s="18" t="n">
        <v>354.7</v>
      </c>
      <c r="AA25" s="18" t="n">
        <v>434.9</v>
      </c>
      <c r="AB25" s="18" t="n">
        <v>315</v>
      </c>
      <c r="AC25" s="18" t="n">
        <v>445.5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Other</t>
        </is>
      </c>
      <c r="B28" s="18" t="n">
        <v>70.2</v>
      </c>
      <c r="C28" s="18" t="n">
        <v>79.8</v>
      </c>
      <c r="E28" s="18" t="n">
        <v>74.8</v>
      </c>
      <c r="F28" s="18" t="n">
        <v>61.1</v>
      </c>
      <c r="G28" s="18" t="n">
        <v>64.2</v>
      </c>
      <c r="I28" s="18" t="n">
        <v>70.8</v>
      </c>
      <c r="J28" s="18" t="n">
        <v>65.09999999999999</v>
      </c>
      <c r="K28" s="18" t="n">
        <v>73.09999999999999</v>
      </c>
      <c r="L28" s="18" t="n">
        <v>79.8</v>
      </c>
      <c r="M28" s="18" t="n">
        <v>129.6</v>
      </c>
      <c r="N28" s="18" t="n">
        <v>130.2</v>
      </c>
      <c r="O28" s="18" t="n">
        <v>145.7</v>
      </c>
      <c r="P28" s="18" t="n">
        <v>134.2</v>
      </c>
      <c r="Q28" s="18" t="n">
        <v>137.2</v>
      </c>
      <c r="R28" s="18" t="n">
        <v>102.1</v>
      </c>
      <c r="S28" s="18" t="n">
        <v>113.9</v>
      </c>
      <c r="T28" s="18" t="n">
        <v>102.8</v>
      </c>
      <c r="U28" s="18" t="n">
        <v>100.8</v>
      </c>
      <c r="V28" s="18" t="n">
        <v>100.3</v>
      </c>
      <c r="W28" s="18" t="n">
        <v>108.4</v>
      </c>
      <c r="X28" s="18" t="n">
        <v>100.9</v>
      </c>
      <c r="Y28" s="18" t="n">
        <v>101.4</v>
      </c>
      <c r="Z28" s="18" t="n">
        <v>111.9</v>
      </c>
      <c r="AA28" s="18" t="n">
        <v>118.5</v>
      </c>
      <c r="AB28" s="18" t="n">
        <v>145.4</v>
      </c>
      <c r="AC28" s="18" t="n">
        <v>146.8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4" t="inlineStr">
        <is>
          <t>Zinc</t>
        </is>
      </c>
      <c r="B31" s="18" t="n">
        <v>75.59999999999999</v>
      </c>
      <c r="C31" s="18" t="n">
        <v>57.2</v>
      </c>
      <c r="D31" s="18" t="n">
        <v>114.8</v>
      </c>
      <c r="E31" s="18" t="n">
        <v>64.90000000000001</v>
      </c>
      <c r="F31" s="18" t="n">
        <v>48.4</v>
      </c>
      <c r="G31" s="18" t="n">
        <v>62.2</v>
      </c>
      <c r="H31" s="18" t="n">
        <v>272.3</v>
      </c>
      <c r="I31" s="18" t="n">
        <v>35.7</v>
      </c>
      <c r="J31" s="18" t="n">
        <v>81.3</v>
      </c>
      <c r="K31" s="18" t="n">
        <v>98.7</v>
      </c>
      <c r="L31" s="18" t="n">
        <v>258.7</v>
      </c>
      <c r="M31" s="18" t="n">
        <v>98.3</v>
      </c>
      <c r="N31" s="18" t="n">
        <v>81.3</v>
      </c>
      <c r="O31" s="18" t="n">
        <v>101</v>
      </c>
      <c r="P31" s="18" t="n">
        <v>122</v>
      </c>
      <c r="Q31" s="18" t="n">
        <v>92.09999999999999</v>
      </c>
      <c r="R31" s="18" t="n">
        <v>63</v>
      </c>
      <c r="S31" s="18" t="n">
        <v>70</v>
      </c>
      <c r="T31" s="18" t="n">
        <v>76.3</v>
      </c>
      <c r="U31" s="18" t="n">
        <v>70.09999999999999</v>
      </c>
      <c r="V31" s="18" t="n">
        <v>114.9</v>
      </c>
      <c r="W31" s="18" t="n">
        <v>113</v>
      </c>
      <c r="X31" s="18" t="n">
        <v>136.9</v>
      </c>
      <c r="Y31" s="18" t="n">
        <v>111.4</v>
      </c>
      <c r="Z31" s="18" t="n">
        <v>123.1</v>
      </c>
      <c r="AA31" s="18" t="n">
        <v>126.5</v>
      </c>
      <c r="AB31" s="18" t="n">
        <v>168.9</v>
      </c>
      <c r="AC31" s="18" t="n">
        <v>145</v>
      </c>
    </row>
    <row r="32">
      <c r="A32" s="4" t="inlineStr">
        <is>
          <t xml:space="preserve">    % YoY</t>
        </is>
      </c>
      <c r="F32" s="25">
        <f>IFERROR(F31/B31-1,"")</f>
        <v/>
      </c>
      <c r="G32" s="25">
        <f>IFERROR(G31/C31-1,"")</f>
        <v/>
      </c>
      <c r="H32" s="25">
        <f>IFERROR(H31/D31-1,"")</f>
        <v/>
      </c>
      <c r="I32" s="25">
        <f>IFERROR(I31/E31-1,"")</f>
        <v/>
      </c>
      <c r="J32" s="25">
        <f>IFERROR(J31/F31-1,"")</f>
        <v/>
      </c>
      <c r="K32" s="25">
        <f>IFERROR(K31/G31-1,"")</f>
        <v/>
      </c>
      <c r="L32" s="25">
        <f>IFERROR(L31/H31-1,"")</f>
        <v/>
      </c>
      <c r="M32" s="25">
        <f>IFERROR(M31/I31-1,"")</f>
        <v/>
      </c>
      <c r="N32" s="25">
        <f>IFERROR(N31/J31-1,"")</f>
        <v/>
      </c>
      <c r="O32" s="25">
        <f>IFERROR(O31/K31-1,"")</f>
        <v/>
      </c>
      <c r="P32" s="25">
        <f>IFERROR(P31/L31-1,"")</f>
        <v/>
      </c>
      <c r="Q32" s="25">
        <f>IFERROR(Q31/M31-1,"")</f>
        <v/>
      </c>
      <c r="R32" s="25">
        <f>IFERROR(R31/N31-1,"")</f>
        <v/>
      </c>
      <c r="S32" s="25">
        <f>IFERROR(S31/O31-1,"")</f>
        <v/>
      </c>
      <c r="T32" s="25">
        <f>IFERROR(T31/P31-1,"")</f>
        <v/>
      </c>
      <c r="U32" s="25">
        <f>IFERROR(U31/Q31-1,"")</f>
        <v/>
      </c>
      <c r="V32" s="25">
        <f>IFERROR(V31/R31-1,"")</f>
        <v/>
      </c>
      <c r="W32" s="25">
        <f>IFERROR(W31/S31-1,"")</f>
        <v/>
      </c>
      <c r="X32" s="25">
        <f>IFERROR(X31/T31-1,"")</f>
        <v/>
      </c>
      <c r="Y32" s="25">
        <f>IFERROR(Y31/U31-1,"")</f>
        <v/>
      </c>
      <c r="Z32" s="25">
        <f>IFERROR(Z31/V31-1,"")</f>
        <v/>
      </c>
      <c r="AA32" s="25">
        <f>IFERROR(AA31/W31-1,"")</f>
        <v/>
      </c>
      <c r="AB32" s="25">
        <f>IFERROR(AB31/X31-1,"")</f>
        <v/>
      </c>
      <c r="AC32" s="25">
        <f>IFERROR(AC31/Y31-1,"")</f>
        <v/>
      </c>
    </row>
    <row r="33">
      <c r="A33" s="4" t="inlineStr">
        <is>
          <t xml:space="preserve">    % of revenue</t>
        </is>
      </c>
      <c r="B33" s="25">
        <f>IFERROR(B31/B3,"")</f>
        <v/>
      </c>
      <c r="C33" s="25">
        <f>IFERROR(C31/C3,"")</f>
        <v/>
      </c>
      <c r="D33" s="25">
        <f>IFERROR(D31/D3,"")</f>
        <v/>
      </c>
      <c r="E33" s="25">
        <f>IFERROR(E31/E3,"")</f>
        <v/>
      </c>
      <c r="F33" s="25">
        <f>IFERROR(F31/F3,"")</f>
        <v/>
      </c>
      <c r="G33" s="25">
        <f>IFERROR(G31/G3,"")</f>
        <v/>
      </c>
      <c r="H33" s="25">
        <f>IFERROR(H31/H3,"")</f>
        <v/>
      </c>
      <c r="I33" s="25">
        <f>IFERROR(I31/I3,"")</f>
        <v/>
      </c>
      <c r="J33" s="25">
        <f>IFERROR(J31/J3,"")</f>
        <v/>
      </c>
      <c r="K33" s="25">
        <f>IFERROR(K31/K3,"")</f>
        <v/>
      </c>
      <c r="L33" s="25">
        <f>IFERROR(L31/L3,"")</f>
        <v/>
      </c>
      <c r="M33" s="25">
        <f>IFERROR(M31/M3,"")</f>
        <v/>
      </c>
      <c r="N33" s="25">
        <f>IFERROR(N31/N3,"")</f>
        <v/>
      </c>
      <c r="O33" s="25">
        <f>IFERROR(O31/O3,"")</f>
        <v/>
      </c>
      <c r="P33" s="25">
        <f>IFERROR(P31/P3,"")</f>
        <v/>
      </c>
      <c r="Q33" s="25">
        <f>IFERROR(Q31/Q3,"")</f>
        <v/>
      </c>
      <c r="R33" s="25">
        <f>IFERROR(R31/R3,"")</f>
        <v/>
      </c>
      <c r="S33" s="25">
        <f>IFERROR(S31/S3,"")</f>
        <v/>
      </c>
      <c r="T33" s="25">
        <f>IFERROR(T31/T3,"")</f>
        <v/>
      </c>
      <c r="U33" s="25">
        <f>IFERROR(U31/U3,"")</f>
        <v/>
      </c>
      <c r="V33" s="25">
        <f>IFERROR(V31/V3,"")</f>
        <v/>
      </c>
      <c r="W33" s="25">
        <f>IFERROR(W31/W3,"")</f>
        <v/>
      </c>
      <c r="X33" s="25">
        <f>IFERROR(X31/X3,"")</f>
        <v/>
      </c>
      <c r="Y33" s="25">
        <f>IFERROR(Y31/Y3,"")</f>
        <v/>
      </c>
      <c r="Z33" s="25">
        <f>IFERROR(Z31/Z3,"")</f>
        <v/>
      </c>
      <c r="AA33" s="25">
        <f>IFERROR(AA31/AA3,"")</f>
        <v/>
      </c>
      <c r="AB33" s="25">
        <f>IFERROR(AB31/AB3,"")</f>
        <v/>
      </c>
      <c r="AC33" s="25">
        <f>IFERROR(AC31/AC3,"")</f>
        <v/>
      </c>
    </row>
    <row r="34">
      <c r="A34" s="5" t="inlineStr">
        <is>
          <t xml:space="preserve">  REVENUE BY SEGMENT — GEOGRAPHY (% YoY, % of revenue)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4" t="inlineStr">
        <is>
          <t>Europe</t>
        </is>
      </c>
      <c r="B35" s="18" t="n">
        <v>98.5</v>
      </c>
      <c r="C35" s="18" t="n">
        <v>67.2</v>
      </c>
      <c r="D35" s="18" t="n">
        <v>126.3</v>
      </c>
      <c r="E35" s="18" t="n">
        <v>450</v>
      </c>
      <c r="F35" s="18" t="n">
        <v>597.8</v>
      </c>
      <c r="G35" s="18" t="n">
        <v>707.9</v>
      </c>
      <c r="H35" s="18" t="n">
        <v>680.3</v>
      </c>
      <c r="I35" s="18" t="n">
        <v>759.7</v>
      </c>
      <c r="J35" s="18" t="n">
        <v>876.1</v>
      </c>
      <c r="K35" s="18" t="n">
        <v>789.8</v>
      </c>
      <c r="L35" s="18" t="n">
        <v>813.4</v>
      </c>
      <c r="M35" s="18" t="n">
        <v>719</v>
      </c>
      <c r="N35" s="18" t="n">
        <v>513.9</v>
      </c>
      <c r="O35" s="18" t="n">
        <v>565.6</v>
      </c>
      <c r="P35" s="18" t="n">
        <v>761.7</v>
      </c>
      <c r="Q35" s="18" t="n">
        <v>616.3</v>
      </c>
      <c r="R35" s="18" t="n">
        <v>625.1</v>
      </c>
      <c r="S35" s="18" t="n">
        <v>568.4</v>
      </c>
      <c r="T35" s="18" t="n">
        <v>570.6</v>
      </c>
      <c r="U35" s="18" t="n">
        <v>607.2</v>
      </c>
      <c r="V35" s="18" t="n">
        <v>812.1</v>
      </c>
      <c r="W35" s="18" t="n">
        <v>783.7</v>
      </c>
      <c r="X35" s="18" t="n">
        <v>882.1</v>
      </c>
      <c r="Y35" s="18" t="n">
        <v>848.7</v>
      </c>
      <c r="Z35" s="18" t="n">
        <v>781.8</v>
      </c>
      <c r="AA35" s="18" t="n">
        <v>932.2</v>
      </c>
      <c r="AB35" s="18" t="n">
        <v>1046.1</v>
      </c>
      <c r="AC35" s="18" t="n">
        <v>1235.9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4" t="inlineStr">
        <is>
          <t>MEXICO</t>
        </is>
      </c>
      <c r="E38" s="18" t="n">
        <v>436</v>
      </c>
      <c r="F38" s="18" t="n">
        <v>256.2</v>
      </c>
      <c r="G38" s="18" t="n">
        <v>374.3</v>
      </c>
      <c r="H38" s="18" t="n">
        <v>460.2</v>
      </c>
      <c r="I38" s="18" t="n">
        <v>493.9</v>
      </c>
      <c r="J38" s="18" t="n">
        <v>565.7</v>
      </c>
      <c r="K38" s="18" t="n">
        <v>560.5</v>
      </c>
      <c r="L38" s="18" t="n">
        <v>519.9</v>
      </c>
      <c r="M38" s="18" t="n">
        <v>624.6</v>
      </c>
      <c r="N38" s="18" t="n">
        <v>520.6</v>
      </c>
      <c r="O38" s="18" t="n">
        <v>487.6</v>
      </c>
      <c r="P38" s="18" t="n">
        <v>655.9</v>
      </c>
      <c r="Q38" s="18" t="n">
        <v>761.4</v>
      </c>
      <c r="R38" s="18" t="n">
        <v>615</v>
      </c>
      <c r="S38" s="18" t="n">
        <v>789.1</v>
      </c>
      <c r="T38" s="18" t="n">
        <v>505.6</v>
      </c>
      <c r="U38" s="18" t="n">
        <v>672.3</v>
      </c>
      <c r="V38" s="18" t="n">
        <v>743.8</v>
      </c>
      <c r="W38" s="18" t="n">
        <v>795.9</v>
      </c>
      <c r="X38" s="18" t="n">
        <v>642.9</v>
      </c>
      <c r="Y38" s="18" t="n">
        <v>813.1</v>
      </c>
      <c r="Z38" s="18" t="n">
        <v>804.7</v>
      </c>
      <c r="AA38" s="18" t="n">
        <v>907.7</v>
      </c>
      <c r="AB38" s="18" t="n">
        <v>726.4</v>
      </c>
      <c r="AC38" s="18" t="n">
        <v>1081.2</v>
      </c>
    </row>
    <row r="39">
      <c r="A39" s="4" t="inlineStr">
        <is>
          <t xml:space="preserve">    % YoY</t>
        </is>
      </c>
      <c r="F39" s="25">
        <f>IFERROR(F38/B38-1,"")</f>
        <v/>
      </c>
      <c r="G39" s="25">
        <f>IFERROR(G38/C38-1,"")</f>
        <v/>
      </c>
      <c r="H39" s="25">
        <f>IFERROR(H38/D38-1,"")</f>
        <v/>
      </c>
      <c r="I39" s="25">
        <f>IFERROR(I38/E38-1,"")</f>
        <v/>
      </c>
      <c r="J39" s="25">
        <f>IFERROR(J38/F38-1,"")</f>
        <v/>
      </c>
      <c r="K39" s="25">
        <f>IFERROR(K38/G38-1,"")</f>
        <v/>
      </c>
      <c r="L39" s="25">
        <f>IFERROR(L38/H38-1,"")</f>
        <v/>
      </c>
      <c r="M39" s="25">
        <f>IFERROR(M38/I38-1,"")</f>
        <v/>
      </c>
      <c r="N39" s="25">
        <f>IFERROR(N38/J38-1,"")</f>
        <v/>
      </c>
      <c r="O39" s="25">
        <f>IFERROR(O38/K38-1,"")</f>
        <v/>
      </c>
      <c r="P39" s="25">
        <f>IFERROR(P38/L38-1,"")</f>
        <v/>
      </c>
      <c r="Q39" s="25">
        <f>IFERROR(Q38/M38-1,"")</f>
        <v/>
      </c>
      <c r="R39" s="25">
        <f>IFERROR(R38/N38-1,"")</f>
        <v/>
      </c>
      <c r="S39" s="25">
        <f>IFERROR(S38/O38-1,"")</f>
        <v/>
      </c>
      <c r="T39" s="25">
        <f>IFERROR(T38/P38-1,"")</f>
        <v/>
      </c>
      <c r="U39" s="25">
        <f>IFERROR(U38/Q38-1,"")</f>
        <v/>
      </c>
      <c r="V39" s="25">
        <f>IFERROR(V38/R38-1,"")</f>
        <v/>
      </c>
      <c r="W39" s="25">
        <f>IFERROR(W38/S38-1,"")</f>
        <v/>
      </c>
      <c r="X39" s="25">
        <f>IFERROR(X38/T38-1,"")</f>
        <v/>
      </c>
      <c r="Y39" s="25">
        <f>IFERROR(Y38/U38-1,"")</f>
        <v/>
      </c>
      <c r="Z39" s="25">
        <f>IFERROR(Z38/V38-1,"")</f>
        <v/>
      </c>
      <c r="AA39" s="25">
        <f>IFERROR(AA38/W38-1,"")</f>
        <v/>
      </c>
      <c r="AB39" s="25">
        <f>IFERROR(AB38/X38-1,"")</f>
        <v/>
      </c>
      <c r="AC39" s="25">
        <f>IFERROR(AC38/Y38-1,"")</f>
        <v/>
      </c>
    </row>
    <row r="40">
      <c r="A40" s="4" t="inlineStr">
        <is>
          <t xml:space="preserve">    % of revenue</t>
        </is>
      </c>
      <c r="B40" s="25">
        <f>IFERROR(B38/B3,"")</f>
        <v/>
      </c>
      <c r="C40" s="25">
        <f>IFERROR(C38/C3,"")</f>
        <v/>
      </c>
      <c r="D40" s="25">
        <f>IFERROR(D38/D3,"")</f>
        <v/>
      </c>
      <c r="E40" s="25">
        <f>IFERROR(E38/E3,"")</f>
        <v/>
      </c>
      <c r="F40" s="25">
        <f>IFERROR(F38/F3,"")</f>
        <v/>
      </c>
      <c r="G40" s="25">
        <f>IFERROR(G38/G3,"")</f>
        <v/>
      </c>
      <c r="H40" s="25">
        <f>IFERROR(H38/H3,"")</f>
        <v/>
      </c>
      <c r="I40" s="25">
        <f>IFERROR(I38/I3,"")</f>
        <v/>
      </c>
      <c r="J40" s="25">
        <f>IFERROR(J38/J3,"")</f>
        <v/>
      </c>
      <c r="K40" s="25">
        <f>IFERROR(K38/K3,"")</f>
        <v/>
      </c>
      <c r="L40" s="25">
        <f>IFERROR(L38/L3,"")</f>
        <v/>
      </c>
      <c r="M40" s="25">
        <f>IFERROR(M38/M3,"")</f>
        <v/>
      </c>
      <c r="N40" s="25">
        <f>IFERROR(N38/N3,"")</f>
        <v/>
      </c>
      <c r="O40" s="25">
        <f>IFERROR(O38/O3,"")</f>
        <v/>
      </c>
      <c r="P40" s="25">
        <f>IFERROR(P38/P3,"")</f>
        <v/>
      </c>
      <c r="Q40" s="25">
        <f>IFERROR(Q38/Q3,"")</f>
        <v/>
      </c>
      <c r="R40" s="25">
        <f>IFERROR(R38/R3,"")</f>
        <v/>
      </c>
      <c r="S40" s="25">
        <f>IFERROR(S38/S3,"")</f>
        <v/>
      </c>
      <c r="T40" s="25">
        <f>IFERROR(T38/T3,"")</f>
        <v/>
      </c>
      <c r="U40" s="25">
        <f>IFERROR(U38/U3,"")</f>
        <v/>
      </c>
      <c r="V40" s="25">
        <f>IFERROR(V38/V3,"")</f>
        <v/>
      </c>
      <c r="W40" s="25">
        <f>IFERROR(W38/W3,"")</f>
        <v/>
      </c>
      <c r="X40" s="25">
        <f>IFERROR(X38/X3,"")</f>
        <v/>
      </c>
      <c r="Y40" s="25">
        <f>IFERROR(Y38/Y3,"")</f>
        <v/>
      </c>
      <c r="Z40" s="25">
        <f>IFERROR(Z38/Z3,"")</f>
        <v/>
      </c>
      <c r="AA40" s="25">
        <f>IFERROR(AA38/AA3,"")</f>
        <v/>
      </c>
      <c r="AB40" s="25">
        <f>IFERROR(AB38/AB3,"")</f>
        <v/>
      </c>
      <c r="AC40" s="25">
        <f>IFERROR(AC38/AC3,"")</f>
        <v/>
      </c>
    </row>
    <row r="41">
      <c r="A41" s="4" t="inlineStr">
        <is>
          <t>UNITED STATES</t>
        </is>
      </c>
      <c r="E41" s="18" t="n">
        <v>299.3</v>
      </c>
      <c r="F41" s="18" t="n">
        <v>322.2</v>
      </c>
      <c r="G41" s="18" t="n">
        <v>374.3</v>
      </c>
      <c r="H41" s="18" t="n">
        <v>367.6</v>
      </c>
      <c r="I41" s="18" t="n">
        <v>425.5</v>
      </c>
      <c r="J41" s="18" t="n">
        <v>469.7</v>
      </c>
      <c r="K41" s="18" t="n">
        <v>407.4</v>
      </c>
      <c r="L41" s="18" t="n">
        <v>630.9</v>
      </c>
      <c r="M41" s="18" t="n">
        <v>574</v>
      </c>
      <c r="N41" s="18" t="n">
        <v>584.8</v>
      </c>
      <c r="O41" s="18" t="n">
        <v>451.4</v>
      </c>
      <c r="P41" s="18" t="n">
        <v>300.2</v>
      </c>
      <c r="Q41" s="18" t="n">
        <v>528.1</v>
      </c>
      <c r="R41" s="18" t="n">
        <v>363.2</v>
      </c>
      <c r="S41" s="18" t="n">
        <v>420.9</v>
      </c>
      <c r="T41" s="18" t="n">
        <v>368.6</v>
      </c>
      <c r="U41" s="18" t="n">
        <v>323.9</v>
      </c>
      <c r="V41" s="18" t="n">
        <v>409.9</v>
      </c>
      <c r="W41" s="18" t="n">
        <v>434.5</v>
      </c>
      <c r="X41" s="18" t="n">
        <v>373.3</v>
      </c>
      <c r="Y41" s="18" t="n">
        <v>422.6</v>
      </c>
      <c r="Z41" s="18" t="n">
        <v>374.8</v>
      </c>
      <c r="AA41" s="18" t="n">
        <v>484.9</v>
      </c>
      <c r="AB41" s="18" t="n">
        <v>668</v>
      </c>
      <c r="AC41" s="18" t="n">
        <v>605.6</v>
      </c>
    </row>
    <row r="42">
      <c r="A42" s="4" t="inlineStr">
        <is>
          <t xml:space="preserve">    % YoY</t>
        </is>
      </c>
      <c r="F42" s="25">
        <f>IFERROR(F41/B41-1,"")</f>
        <v/>
      </c>
      <c r="G42" s="25">
        <f>IFERROR(G41/C41-1,"")</f>
        <v/>
      </c>
      <c r="H42" s="25">
        <f>IFERROR(H41/D41-1,"")</f>
        <v/>
      </c>
      <c r="I42" s="25">
        <f>IFERROR(I41/E41-1,"")</f>
        <v/>
      </c>
      <c r="J42" s="25">
        <f>IFERROR(J41/F41-1,"")</f>
        <v/>
      </c>
      <c r="K42" s="25">
        <f>IFERROR(K41/G41-1,"")</f>
        <v/>
      </c>
      <c r="L42" s="25">
        <f>IFERROR(L41/H41-1,"")</f>
        <v/>
      </c>
      <c r="M42" s="25">
        <f>IFERROR(M41/I41-1,"")</f>
        <v/>
      </c>
      <c r="N42" s="25">
        <f>IFERROR(N41/J41-1,"")</f>
        <v/>
      </c>
      <c r="O42" s="25">
        <f>IFERROR(O41/K41-1,"")</f>
        <v/>
      </c>
      <c r="P42" s="25">
        <f>IFERROR(P41/L41-1,"")</f>
        <v/>
      </c>
      <c r="Q42" s="25">
        <f>IFERROR(Q41/M41-1,"")</f>
        <v/>
      </c>
      <c r="R42" s="25">
        <f>IFERROR(R41/N41-1,"")</f>
        <v/>
      </c>
      <c r="S42" s="25">
        <f>IFERROR(S41/O41-1,"")</f>
        <v/>
      </c>
      <c r="T42" s="25">
        <f>IFERROR(T41/P41-1,"")</f>
        <v/>
      </c>
      <c r="U42" s="25">
        <f>IFERROR(U41/Q41-1,"")</f>
        <v/>
      </c>
      <c r="V42" s="25">
        <f>IFERROR(V41/R41-1,"")</f>
        <v/>
      </c>
      <c r="W42" s="25">
        <f>IFERROR(W41/S41-1,"")</f>
        <v/>
      </c>
      <c r="X42" s="25">
        <f>IFERROR(X41/T41-1,"")</f>
        <v/>
      </c>
      <c r="Y42" s="25">
        <f>IFERROR(Y41/U41-1,"")</f>
        <v/>
      </c>
      <c r="Z42" s="25">
        <f>IFERROR(Z41/V41-1,"")</f>
        <v/>
      </c>
      <c r="AA42" s="25">
        <f>IFERROR(AA41/W41-1,"")</f>
        <v/>
      </c>
      <c r="AB42" s="25">
        <f>IFERROR(AB41/X41-1,"")</f>
        <v/>
      </c>
      <c r="AC42" s="25">
        <f>IFERROR(AC41/Y41-1,"")</f>
        <v/>
      </c>
    </row>
    <row r="43">
      <c r="A43" s="4" t="inlineStr">
        <is>
          <t xml:space="preserve">    % of revenue</t>
        </is>
      </c>
      <c r="B43" s="25">
        <f>IFERROR(B41/B3,"")</f>
        <v/>
      </c>
      <c r="C43" s="25">
        <f>IFERROR(C41/C3,"")</f>
        <v/>
      </c>
      <c r="D43" s="25">
        <f>IFERROR(D41/D3,"")</f>
        <v/>
      </c>
      <c r="E43" s="25">
        <f>IFERROR(E41/E3,"")</f>
        <v/>
      </c>
      <c r="F43" s="25">
        <f>IFERROR(F41/F3,"")</f>
        <v/>
      </c>
      <c r="G43" s="25">
        <f>IFERROR(G41/G3,"")</f>
        <v/>
      </c>
      <c r="H43" s="25">
        <f>IFERROR(H41/H3,"")</f>
        <v/>
      </c>
      <c r="I43" s="25">
        <f>IFERROR(I41/I3,"")</f>
        <v/>
      </c>
      <c r="J43" s="25">
        <f>IFERROR(J41/J3,"")</f>
        <v/>
      </c>
      <c r="K43" s="25">
        <f>IFERROR(K41/K3,"")</f>
        <v/>
      </c>
      <c r="L43" s="25">
        <f>IFERROR(L41/L3,"")</f>
        <v/>
      </c>
      <c r="M43" s="25">
        <f>IFERROR(M41/M3,"")</f>
        <v/>
      </c>
      <c r="N43" s="25">
        <f>IFERROR(N41/N3,"")</f>
        <v/>
      </c>
      <c r="O43" s="25">
        <f>IFERROR(O41/O3,"")</f>
        <v/>
      </c>
      <c r="P43" s="25">
        <f>IFERROR(P41/P3,"")</f>
        <v/>
      </c>
      <c r="Q43" s="25">
        <f>IFERROR(Q41/Q3,"")</f>
        <v/>
      </c>
      <c r="R43" s="25">
        <f>IFERROR(R41/R3,"")</f>
        <v/>
      </c>
      <c r="S43" s="25">
        <f>IFERROR(S41/S3,"")</f>
        <v/>
      </c>
      <c r="T43" s="25">
        <f>IFERROR(T41/T3,"")</f>
        <v/>
      </c>
      <c r="U43" s="25">
        <f>IFERROR(U41/U3,"")</f>
        <v/>
      </c>
      <c r="V43" s="25">
        <f>IFERROR(V41/V3,"")</f>
        <v/>
      </c>
      <c r="W43" s="25">
        <f>IFERROR(W41/W3,"")</f>
        <v/>
      </c>
      <c r="X43" s="25">
        <f>IFERROR(X41/X3,"")</f>
        <v/>
      </c>
      <c r="Y43" s="25">
        <f>IFERROR(Y41/Y3,"")</f>
        <v/>
      </c>
      <c r="Z43" s="25">
        <f>IFERROR(Z41/Z3,"")</f>
        <v/>
      </c>
      <c r="AA43" s="25">
        <f>IFERROR(AA41/AA3,"")</f>
        <v/>
      </c>
      <c r="AB43" s="25">
        <f>IFERROR(AB41/AB3,"")</f>
        <v/>
      </c>
      <c r="AC43" s="25">
        <f>IFERROR(AC41/AC3,"")</f>
        <v/>
      </c>
    </row>
    <row r="44">
      <c r="A44" s="4" t="inlineStr">
        <is>
          <t>China</t>
        </is>
      </c>
      <c r="M44" s="18" t="n">
        <v>112.4</v>
      </c>
      <c r="N44" s="18" t="n">
        <v>94.5</v>
      </c>
      <c r="O44" s="18" t="n">
        <v>120</v>
      </c>
      <c r="Q44" s="18" t="n">
        <v>183</v>
      </c>
      <c r="R44" s="18" t="n">
        <v>169.2</v>
      </c>
      <c r="S44" s="18" t="n">
        <v>192.9</v>
      </c>
      <c r="T44" s="18" t="n">
        <v>204.1</v>
      </c>
      <c r="U44" s="18" t="n">
        <v>286.4</v>
      </c>
      <c r="V44" s="18" t="n">
        <v>397.3</v>
      </c>
      <c r="W44" s="18" t="n">
        <v>303</v>
      </c>
      <c r="X44" s="18" t="n">
        <v>196.4</v>
      </c>
      <c r="Y44" s="18" t="n">
        <v>283.6</v>
      </c>
      <c r="Z44" s="18" t="n">
        <v>232.8</v>
      </c>
      <c r="AA44" s="18" t="n">
        <v>297.1</v>
      </c>
      <c r="AB44" s="18" t="n">
        <v>463.4</v>
      </c>
      <c r="AC44" s="18" t="n">
        <v>330.7</v>
      </c>
    </row>
    <row r="45">
      <c r="A45" s="4" t="inlineStr">
        <is>
          <t xml:space="preserve">    % YoY</t>
        </is>
      </c>
      <c r="F45" s="25">
        <f>IFERROR(F44/B44-1,"")</f>
        <v/>
      </c>
      <c r="G45" s="25">
        <f>IFERROR(G44/C44-1,"")</f>
        <v/>
      </c>
      <c r="H45" s="25">
        <f>IFERROR(H44/D44-1,"")</f>
        <v/>
      </c>
      <c r="I45" s="25">
        <f>IFERROR(I44/E44-1,"")</f>
        <v/>
      </c>
      <c r="J45" s="25">
        <f>IFERROR(J44/F44-1,"")</f>
        <v/>
      </c>
      <c r="K45" s="25">
        <f>IFERROR(K44/G44-1,"")</f>
        <v/>
      </c>
      <c r="L45" s="25">
        <f>IFERROR(L44/H44-1,"")</f>
        <v/>
      </c>
      <c r="M45" s="25">
        <f>IFERROR(M44/I44-1,"")</f>
        <v/>
      </c>
      <c r="N45" s="25">
        <f>IFERROR(N44/J44-1,"")</f>
        <v/>
      </c>
      <c r="O45" s="25">
        <f>IFERROR(O44/K44-1,"")</f>
        <v/>
      </c>
      <c r="P45" s="25">
        <f>IFERROR(P44/L44-1,"")</f>
        <v/>
      </c>
      <c r="Q45" s="25">
        <f>IFERROR(Q44/M44-1,"")</f>
        <v/>
      </c>
      <c r="R45" s="25">
        <f>IFERROR(R44/N44-1,"")</f>
        <v/>
      </c>
      <c r="S45" s="25">
        <f>IFERROR(S44/O44-1,"")</f>
        <v/>
      </c>
      <c r="T45" s="25">
        <f>IFERROR(T44/P44-1,"")</f>
        <v/>
      </c>
      <c r="U45" s="25">
        <f>IFERROR(U44/Q44-1,"")</f>
        <v/>
      </c>
      <c r="V45" s="25">
        <f>IFERROR(V44/R44-1,"")</f>
        <v/>
      </c>
      <c r="W45" s="25">
        <f>IFERROR(W44/S44-1,"")</f>
        <v/>
      </c>
      <c r="X45" s="25">
        <f>IFERROR(X44/T44-1,"")</f>
        <v/>
      </c>
      <c r="Y45" s="25">
        <f>IFERROR(Y44/U44-1,"")</f>
        <v/>
      </c>
      <c r="Z45" s="25">
        <f>IFERROR(Z44/V44-1,"")</f>
        <v/>
      </c>
      <c r="AA45" s="25">
        <f>IFERROR(AA44/W44-1,"")</f>
        <v/>
      </c>
      <c r="AB45" s="25">
        <f>IFERROR(AB44/X44-1,"")</f>
        <v/>
      </c>
      <c r="AC45" s="25">
        <f>IFERROR(AC44/Y44-1,"")</f>
        <v/>
      </c>
    </row>
    <row r="46">
      <c r="A46" s="4" t="inlineStr">
        <is>
          <t xml:space="preserve">    % of revenue</t>
        </is>
      </c>
      <c r="B46" s="25">
        <f>IFERROR(B44/B3,"")</f>
        <v/>
      </c>
      <c r="C46" s="25">
        <f>IFERROR(C44/C3,"")</f>
        <v/>
      </c>
      <c r="D46" s="25">
        <f>IFERROR(D44/D3,"")</f>
        <v/>
      </c>
      <c r="E46" s="25">
        <f>IFERROR(E44/E3,"")</f>
        <v/>
      </c>
      <c r="F46" s="25">
        <f>IFERROR(F44/F3,"")</f>
        <v/>
      </c>
      <c r="G46" s="25">
        <f>IFERROR(G44/G3,"")</f>
        <v/>
      </c>
      <c r="H46" s="25">
        <f>IFERROR(H44/H3,"")</f>
        <v/>
      </c>
      <c r="I46" s="25">
        <f>IFERROR(I44/I3,"")</f>
        <v/>
      </c>
      <c r="J46" s="25">
        <f>IFERROR(J44/J3,"")</f>
        <v/>
      </c>
      <c r="K46" s="25">
        <f>IFERROR(K44/K3,"")</f>
        <v/>
      </c>
      <c r="L46" s="25">
        <f>IFERROR(L44/L3,"")</f>
        <v/>
      </c>
      <c r="M46" s="25">
        <f>IFERROR(M44/M3,"")</f>
        <v/>
      </c>
      <c r="N46" s="25">
        <f>IFERROR(N44/N3,"")</f>
        <v/>
      </c>
      <c r="O46" s="25">
        <f>IFERROR(O44/O3,"")</f>
        <v/>
      </c>
      <c r="P46" s="25">
        <f>IFERROR(P44/P3,"")</f>
        <v/>
      </c>
      <c r="Q46" s="25">
        <f>IFERROR(Q44/Q3,"")</f>
        <v/>
      </c>
      <c r="R46" s="25">
        <f>IFERROR(R44/R3,"")</f>
        <v/>
      </c>
      <c r="S46" s="25">
        <f>IFERROR(S44/S3,"")</f>
        <v/>
      </c>
      <c r="T46" s="25">
        <f>IFERROR(T44/T3,"")</f>
        <v/>
      </c>
      <c r="U46" s="25">
        <f>IFERROR(U44/U3,"")</f>
        <v/>
      </c>
      <c r="V46" s="25">
        <f>IFERROR(V44/V3,"")</f>
        <v/>
      </c>
      <c r="W46" s="25">
        <f>IFERROR(W44/W3,"")</f>
        <v/>
      </c>
      <c r="X46" s="25">
        <f>IFERROR(X44/X3,"")</f>
        <v/>
      </c>
      <c r="Y46" s="25">
        <f>IFERROR(Y44/Y3,"")</f>
        <v/>
      </c>
      <c r="Z46" s="25">
        <f>IFERROR(Z44/Z3,"")</f>
        <v/>
      </c>
      <c r="AA46" s="25">
        <f>IFERROR(AA44/AA3,"")</f>
        <v/>
      </c>
      <c r="AB46" s="25">
        <f>IFERROR(AB44/AB3,"")</f>
        <v/>
      </c>
      <c r="AC46" s="25">
        <f>IFERROR(AC44/AC3,"")</f>
        <v/>
      </c>
    </row>
    <row r="47">
      <c r="A47" s="4" t="inlineStr">
        <is>
          <t>Asia</t>
        </is>
      </c>
      <c r="E47" s="18" t="n">
        <v>340.8</v>
      </c>
      <c r="F47" s="18" t="n">
        <v>484.2</v>
      </c>
      <c r="G47" s="18" t="n">
        <v>452.6</v>
      </c>
      <c r="H47" s="18" t="n">
        <v>549.7</v>
      </c>
      <c r="I47" s="18" t="n">
        <v>536.2</v>
      </c>
      <c r="J47" s="18" t="n">
        <v>611.1</v>
      </c>
      <c r="K47" s="18" t="n">
        <v>544.8</v>
      </c>
      <c r="L47" s="18" t="n">
        <v>478.9</v>
      </c>
      <c r="M47" s="18" t="n">
        <v>328.2</v>
      </c>
      <c r="N47" s="18" t="n">
        <v>255.2</v>
      </c>
      <c r="O47" s="18" t="n">
        <v>191.8</v>
      </c>
      <c r="P47" s="18" t="n">
        <v>936.2</v>
      </c>
      <c r="Q47" s="18" t="n">
        <v>331.8</v>
      </c>
      <c r="R47" s="18" t="n">
        <v>275.5</v>
      </c>
      <c r="S47" s="18" t="n">
        <v>230</v>
      </c>
      <c r="T47" s="18" t="n">
        <v>392.3</v>
      </c>
      <c r="U47" s="18" t="n">
        <v>324.4</v>
      </c>
      <c r="V47" s="18" t="n">
        <v>314.4</v>
      </c>
      <c r="W47" s="18" t="n">
        <v>206.6</v>
      </c>
      <c r="X47" s="18" t="n">
        <v>296.2</v>
      </c>
      <c r="Y47" s="18" t="n">
        <v>282</v>
      </c>
      <c r="Z47" s="18" t="n">
        <v>349.8</v>
      </c>
      <c r="AA47" s="18" t="n">
        <v>289.1</v>
      </c>
      <c r="AB47" s="18" t="n">
        <v>440.3</v>
      </c>
      <c r="AC47" s="18" t="n">
        <v>302.3</v>
      </c>
    </row>
    <row r="48">
      <c r="A48" s="4" t="inlineStr">
        <is>
          <t xml:space="preserve">    % YoY</t>
        </is>
      </c>
      <c r="F48" s="25">
        <f>IFERROR(F47/B47-1,"")</f>
        <v/>
      </c>
      <c r="G48" s="25">
        <f>IFERROR(G47/C47-1,"")</f>
        <v/>
      </c>
      <c r="H48" s="25">
        <f>IFERROR(H47/D47-1,"")</f>
        <v/>
      </c>
      <c r="I48" s="25">
        <f>IFERROR(I47/E47-1,"")</f>
        <v/>
      </c>
      <c r="J48" s="25">
        <f>IFERROR(J47/F47-1,"")</f>
        <v/>
      </c>
      <c r="K48" s="25">
        <f>IFERROR(K47/G47-1,"")</f>
        <v/>
      </c>
      <c r="L48" s="25">
        <f>IFERROR(L47/H47-1,"")</f>
        <v/>
      </c>
      <c r="M48" s="25">
        <f>IFERROR(M47/I47-1,"")</f>
        <v/>
      </c>
      <c r="N48" s="25">
        <f>IFERROR(N47/J47-1,"")</f>
        <v/>
      </c>
      <c r="O48" s="25">
        <f>IFERROR(O47/K47-1,"")</f>
        <v/>
      </c>
      <c r="P48" s="25">
        <f>IFERROR(P47/L47-1,"")</f>
        <v/>
      </c>
      <c r="Q48" s="25">
        <f>IFERROR(Q47/M47-1,"")</f>
        <v/>
      </c>
      <c r="R48" s="25">
        <f>IFERROR(R47/N47-1,"")</f>
        <v/>
      </c>
      <c r="S48" s="25">
        <f>IFERROR(S47/O47-1,"")</f>
        <v/>
      </c>
      <c r="T48" s="25">
        <f>IFERROR(T47/P47-1,"")</f>
        <v/>
      </c>
      <c r="U48" s="25">
        <f>IFERROR(U47/Q47-1,"")</f>
        <v/>
      </c>
      <c r="V48" s="25">
        <f>IFERROR(V47/R47-1,"")</f>
        <v/>
      </c>
      <c r="W48" s="25">
        <f>IFERROR(W47/S47-1,"")</f>
        <v/>
      </c>
      <c r="X48" s="25">
        <f>IFERROR(X47/T47-1,"")</f>
        <v/>
      </c>
      <c r="Y48" s="25">
        <f>IFERROR(Y47/U47-1,"")</f>
        <v/>
      </c>
      <c r="Z48" s="25">
        <f>IFERROR(Z47/V47-1,"")</f>
        <v/>
      </c>
      <c r="AA48" s="25">
        <f>IFERROR(AA47/W47-1,"")</f>
        <v/>
      </c>
      <c r="AB48" s="25">
        <f>IFERROR(AB47/X47-1,"")</f>
        <v/>
      </c>
      <c r="AC48" s="25">
        <f>IFERROR(AC47/Y47-1,"")</f>
        <v/>
      </c>
    </row>
    <row r="49">
      <c r="A49" s="4" t="inlineStr">
        <is>
          <t xml:space="preserve">    % of revenue</t>
        </is>
      </c>
      <c r="B49" s="25">
        <f>IFERROR(B47/B3,"")</f>
        <v/>
      </c>
      <c r="C49" s="25">
        <f>IFERROR(C47/C3,"")</f>
        <v/>
      </c>
      <c r="D49" s="25">
        <f>IFERROR(D47/D3,"")</f>
        <v/>
      </c>
      <c r="E49" s="25">
        <f>IFERROR(E47/E3,"")</f>
        <v/>
      </c>
      <c r="F49" s="25">
        <f>IFERROR(F47/F3,"")</f>
        <v/>
      </c>
      <c r="G49" s="25">
        <f>IFERROR(G47/G3,"")</f>
        <v/>
      </c>
      <c r="H49" s="25">
        <f>IFERROR(H47/H3,"")</f>
        <v/>
      </c>
      <c r="I49" s="25">
        <f>IFERROR(I47/I3,"")</f>
        <v/>
      </c>
      <c r="J49" s="25">
        <f>IFERROR(J47/J3,"")</f>
        <v/>
      </c>
      <c r="K49" s="25">
        <f>IFERROR(K47/K3,"")</f>
        <v/>
      </c>
      <c r="L49" s="25">
        <f>IFERROR(L47/L3,"")</f>
        <v/>
      </c>
      <c r="M49" s="25">
        <f>IFERROR(M47/M3,"")</f>
        <v/>
      </c>
      <c r="N49" s="25">
        <f>IFERROR(N47/N3,"")</f>
        <v/>
      </c>
      <c r="O49" s="25">
        <f>IFERROR(O47/O3,"")</f>
        <v/>
      </c>
      <c r="P49" s="25">
        <f>IFERROR(P47/P3,"")</f>
        <v/>
      </c>
      <c r="Q49" s="25">
        <f>IFERROR(Q47/Q3,"")</f>
        <v/>
      </c>
      <c r="R49" s="25">
        <f>IFERROR(R47/R3,"")</f>
        <v/>
      </c>
      <c r="S49" s="25">
        <f>IFERROR(S47/S3,"")</f>
        <v/>
      </c>
      <c r="T49" s="25">
        <f>IFERROR(T47/T3,"")</f>
        <v/>
      </c>
      <c r="U49" s="25">
        <f>IFERROR(U47/U3,"")</f>
        <v/>
      </c>
      <c r="V49" s="25">
        <f>IFERROR(V47/V3,"")</f>
        <v/>
      </c>
      <c r="W49" s="25">
        <f>IFERROR(W47/W3,"")</f>
        <v/>
      </c>
      <c r="X49" s="25">
        <f>IFERROR(X47/X3,"")</f>
        <v/>
      </c>
      <c r="Y49" s="25">
        <f>IFERROR(Y47/Y3,"")</f>
        <v/>
      </c>
      <c r="Z49" s="25">
        <f>IFERROR(Z47/Z3,"")</f>
        <v/>
      </c>
      <c r="AA49" s="25">
        <f>IFERROR(AA47/AA3,"")</f>
        <v/>
      </c>
      <c r="AB49" s="25">
        <f>IFERROR(AB47/AB3,"")</f>
        <v/>
      </c>
      <c r="AC49" s="25">
        <f>IFERROR(AC47/AC3,"")</f>
        <v/>
      </c>
    </row>
    <row r="50">
      <c r="A50" s="4" t="inlineStr">
        <is>
          <t>PERU</t>
        </is>
      </c>
      <c r="E50" s="18" t="n">
        <v>76.09999999999999</v>
      </c>
      <c r="F50" s="18" t="n">
        <v>42.7</v>
      </c>
      <c r="G50" s="18" t="n">
        <v>99.90000000000001</v>
      </c>
      <c r="H50" s="18" t="n">
        <v>116.3</v>
      </c>
      <c r="I50" s="18" t="n">
        <v>147.4</v>
      </c>
      <c r="J50" s="18" t="n">
        <v>143.3</v>
      </c>
      <c r="K50" s="18" t="n">
        <v>147.9</v>
      </c>
      <c r="L50" s="18" t="n">
        <v>147.7</v>
      </c>
      <c r="M50" s="18" t="n">
        <v>177.8</v>
      </c>
      <c r="N50" s="18" t="n">
        <v>155.5</v>
      </c>
      <c r="O50" s="18" t="n">
        <v>118.3</v>
      </c>
      <c r="P50" s="18" t="n">
        <v>163.4</v>
      </c>
      <c r="Q50" s="18" t="n">
        <v>164.5</v>
      </c>
      <c r="R50" s="18" t="n">
        <v>108.9</v>
      </c>
      <c r="S50" s="18" t="n">
        <v>113.1</v>
      </c>
      <c r="T50" s="18" t="n">
        <v>8.4</v>
      </c>
      <c r="U50" s="18" t="n">
        <v>166.1</v>
      </c>
      <c r="V50" s="18" t="n">
        <v>167.9</v>
      </c>
      <c r="W50" s="18" t="n">
        <v>169</v>
      </c>
      <c r="X50" s="18" t="n">
        <v>158.4</v>
      </c>
      <c r="Y50" s="18" t="n">
        <v>224.8</v>
      </c>
      <c r="Z50" s="18" t="n">
        <v>212.9</v>
      </c>
      <c r="AA50" s="18" t="n">
        <v>207.8</v>
      </c>
      <c r="AB50" s="18" t="n">
        <v>218.8</v>
      </c>
      <c r="AC50" s="18" t="n">
        <v>292.5</v>
      </c>
    </row>
    <row r="51">
      <c r="A51" s="4" t="inlineStr">
        <is>
          <t xml:space="preserve">    % YoY</t>
        </is>
      </c>
      <c r="F51" s="25">
        <f>IFERROR(F50/B50-1,"")</f>
        <v/>
      </c>
      <c r="G51" s="25">
        <f>IFERROR(G50/C50-1,"")</f>
        <v/>
      </c>
      <c r="H51" s="25">
        <f>IFERROR(H50/D50-1,"")</f>
        <v/>
      </c>
      <c r="I51" s="25">
        <f>IFERROR(I50/E50-1,"")</f>
        <v/>
      </c>
      <c r="J51" s="25">
        <f>IFERROR(J50/F50-1,"")</f>
        <v/>
      </c>
      <c r="K51" s="25">
        <f>IFERROR(K50/G50-1,"")</f>
        <v/>
      </c>
      <c r="L51" s="25">
        <f>IFERROR(L50/H50-1,"")</f>
        <v/>
      </c>
      <c r="M51" s="25">
        <f>IFERROR(M50/I50-1,"")</f>
        <v/>
      </c>
      <c r="N51" s="25">
        <f>IFERROR(N50/J50-1,"")</f>
        <v/>
      </c>
      <c r="O51" s="25">
        <f>IFERROR(O50/K50-1,"")</f>
        <v/>
      </c>
      <c r="P51" s="25">
        <f>IFERROR(P50/L50-1,"")</f>
        <v/>
      </c>
      <c r="Q51" s="25">
        <f>IFERROR(Q50/M50-1,"")</f>
        <v/>
      </c>
      <c r="R51" s="25">
        <f>IFERROR(R50/N50-1,"")</f>
        <v/>
      </c>
      <c r="S51" s="25">
        <f>IFERROR(S50/O50-1,"")</f>
        <v/>
      </c>
      <c r="T51" s="25">
        <f>IFERROR(T50/P50-1,"")</f>
        <v/>
      </c>
      <c r="U51" s="25">
        <f>IFERROR(U50/Q50-1,"")</f>
        <v/>
      </c>
      <c r="V51" s="25">
        <f>IFERROR(V50/R50-1,"")</f>
        <v/>
      </c>
      <c r="W51" s="25">
        <f>IFERROR(W50/S50-1,"")</f>
        <v/>
      </c>
      <c r="X51" s="25">
        <f>IFERROR(X50/T50-1,"")</f>
        <v/>
      </c>
      <c r="Y51" s="25">
        <f>IFERROR(Y50/U50-1,"")</f>
        <v/>
      </c>
      <c r="Z51" s="25">
        <f>IFERROR(Z50/V50-1,"")</f>
        <v/>
      </c>
      <c r="AA51" s="25">
        <f>IFERROR(AA50/W50-1,"")</f>
        <v/>
      </c>
      <c r="AB51" s="25">
        <f>IFERROR(AB50/X50-1,"")</f>
        <v/>
      </c>
      <c r="AC51" s="25">
        <f>IFERROR(AC50/Y50-1,"")</f>
        <v/>
      </c>
    </row>
    <row r="52">
      <c r="A52" s="4" t="inlineStr">
        <is>
          <t xml:space="preserve">    % of revenue</t>
        </is>
      </c>
      <c r="B52" s="25">
        <f>IFERROR(B50/B3,"")</f>
        <v/>
      </c>
      <c r="C52" s="25">
        <f>IFERROR(C50/C3,"")</f>
        <v/>
      </c>
      <c r="D52" s="25">
        <f>IFERROR(D50/D3,"")</f>
        <v/>
      </c>
      <c r="E52" s="25">
        <f>IFERROR(E50/E3,"")</f>
        <v/>
      </c>
      <c r="F52" s="25">
        <f>IFERROR(F50/F3,"")</f>
        <v/>
      </c>
      <c r="G52" s="25">
        <f>IFERROR(G50/G3,"")</f>
        <v/>
      </c>
      <c r="H52" s="25">
        <f>IFERROR(H50/H3,"")</f>
        <v/>
      </c>
      <c r="I52" s="25">
        <f>IFERROR(I50/I3,"")</f>
        <v/>
      </c>
      <c r="J52" s="25">
        <f>IFERROR(J50/J3,"")</f>
        <v/>
      </c>
      <c r="K52" s="25">
        <f>IFERROR(K50/K3,"")</f>
        <v/>
      </c>
      <c r="L52" s="25">
        <f>IFERROR(L50/L3,"")</f>
        <v/>
      </c>
      <c r="M52" s="25">
        <f>IFERROR(M50/M3,"")</f>
        <v/>
      </c>
      <c r="N52" s="25">
        <f>IFERROR(N50/N3,"")</f>
        <v/>
      </c>
      <c r="O52" s="25">
        <f>IFERROR(O50/O3,"")</f>
        <v/>
      </c>
      <c r="P52" s="25">
        <f>IFERROR(P50/P3,"")</f>
        <v/>
      </c>
      <c r="Q52" s="25">
        <f>IFERROR(Q50/Q3,"")</f>
        <v/>
      </c>
      <c r="R52" s="25">
        <f>IFERROR(R50/R3,"")</f>
        <v/>
      </c>
      <c r="S52" s="25">
        <f>IFERROR(S50/S3,"")</f>
        <v/>
      </c>
      <c r="T52" s="25">
        <f>IFERROR(T50/T3,"")</f>
        <v/>
      </c>
      <c r="U52" s="25">
        <f>IFERROR(U50/U3,"")</f>
        <v/>
      </c>
      <c r="V52" s="25">
        <f>IFERROR(V50/V3,"")</f>
        <v/>
      </c>
      <c r="W52" s="25">
        <f>IFERROR(W50/W3,"")</f>
        <v/>
      </c>
      <c r="X52" s="25">
        <f>IFERROR(X50/X3,"")</f>
        <v/>
      </c>
      <c r="Y52" s="25">
        <f>IFERROR(Y50/Y3,"")</f>
        <v/>
      </c>
      <c r="Z52" s="25">
        <f>IFERROR(Z50/Z3,"")</f>
        <v/>
      </c>
      <c r="AA52" s="25">
        <f>IFERROR(AA50/AA3,"")</f>
        <v/>
      </c>
      <c r="AB52" s="25">
        <f>IFERROR(AB50/AB3,"")</f>
        <v/>
      </c>
      <c r="AC52" s="25">
        <f>IFERROR(AC50/AC3,"")</f>
        <v/>
      </c>
    </row>
    <row r="53">
      <c r="A53" s="4" t="inlineStr">
        <is>
          <t>BRAZIL</t>
        </is>
      </c>
      <c r="E53" s="18" t="n">
        <v>58</v>
      </c>
      <c r="F53" s="18" t="n">
        <v>22.2</v>
      </c>
      <c r="G53" s="18" t="n">
        <v>65.59999999999999</v>
      </c>
      <c r="H53" s="18" t="n">
        <v>87.2</v>
      </c>
      <c r="I53" s="18" t="n">
        <v>99</v>
      </c>
      <c r="J53" s="18" t="n">
        <v>126.2</v>
      </c>
      <c r="K53" s="18" t="n">
        <v>104.1</v>
      </c>
      <c r="L53" s="18" t="n">
        <v>107.8</v>
      </c>
      <c r="M53" s="18" t="n">
        <v>124.3</v>
      </c>
      <c r="N53" s="18" t="n">
        <v>100.3</v>
      </c>
      <c r="O53" s="18" t="n">
        <v>120.6</v>
      </c>
      <c r="P53" s="18" t="n">
        <v>106.8</v>
      </c>
      <c r="Q53" s="18" t="n">
        <v>108.1</v>
      </c>
      <c r="R53" s="18" t="n">
        <v>83.3</v>
      </c>
      <c r="S53" s="18" t="n">
        <v>100.3</v>
      </c>
      <c r="T53" s="18" t="n">
        <v>98.59999999999999</v>
      </c>
      <c r="U53" s="18" t="n">
        <v>124.9</v>
      </c>
      <c r="V53" s="18" t="n">
        <v>141</v>
      </c>
      <c r="W53" s="18" t="n">
        <v>121.3</v>
      </c>
      <c r="X53" s="18" t="n">
        <v>126.3</v>
      </c>
      <c r="Y53" s="18" t="n">
        <v>137.3</v>
      </c>
      <c r="Z53" s="18" t="n">
        <v>162.1</v>
      </c>
      <c r="AA53" s="18" t="n">
        <v>100.8</v>
      </c>
      <c r="AB53" s="18" t="n">
        <v>157.9</v>
      </c>
      <c r="AC53" s="18" t="n">
        <v>221.9</v>
      </c>
    </row>
    <row r="54">
      <c r="A54" s="4" t="inlineStr">
        <is>
          <t xml:space="preserve">    % YoY</t>
        </is>
      </c>
      <c r="F54" s="25">
        <f>IFERROR(F53/B53-1,"")</f>
        <v/>
      </c>
      <c r="G54" s="25">
        <f>IFERROR(G53/C53-1,"")</f>
        <v/>
      </c>
      <c r="H54" s="25">
        <f>IFERROR(H53/D53-1,"")</f>
        <v/>
      </c>
      <c r="I54" s="25">
        <f>IFERROR(I53/E53-1,"")</f>
        <v/>
      </c>
      <c r="J54" s="25">
        <f>IFERROR(J53/F53-1,"")</f>
        <v/>
      </c>
      <c r="K54" s="25">
        <f>IFERROR(K53/G53-1,"")</f>
        <v/>
      </c>
      <c r="L54" s="25">
        <f>IFERROR(L53/H53-1,"")</f>
        <v/>
      </c>
      <c r="M54" s="25">
        <f>IFERROR(M53/I53-1,"")</f>
        <v/>
      </c>
      <c r="N54" s="25">
        <f>IFERROR(N53/J53-1,"")</f>
        <v/>
      </c>
      <c r="O54" s="25">
        <f>IFERROR(O53/K53-1,"")</f>
        <v/>
      </c>
      <c r="P54" s="25">
        <f>IFERROR(P53/L53-1,"")</f>
        <v/>
      </c>
      <c r="Q54" s="25">
        <f>IFERROR(Q53/M53-1,"")</f>
        <v/>
      </c>
      <c r="R54" s="25">
        <f>IFERROR(R53/N53-1,"")</f>
        <v/>
      </c>
      <c r="S54" s="25">
        <f>IFERROR(S53/O53-1,"")</f>
        <v/>
      </c>
      <c r="T54" s="25">
        <f>IFERROR(T53/P53-1,"")</f>
        <v/>
      </c>
      <c r="U54" s="25">
        <f>IFERROR(U53/Q53-1,"")</f>
        <v/>
      </c>
      <c r="V54" s="25">
        <f>IFERROR(V53/R53-1,"")</f>
        <v/>
      </c>
      <c r="W54" s="25">
        <f>IFERROR(W53/S53-1,"")</f>
        <v/>
      </c>
      <c r="X54" s="25">
        <f>IFERROR(X53/T53-1,"")</f>
        <v/>
      </c>
      <c r="Y54" s="25">
        <f>IFERROR(Y53/U53-1,"")</f>
        <v/>
      </c>
      <c r="Z54" s="25">
        <f>IFERROR(Z53/V53-1,"")</f>
        <v/>
      </c>
      <c r="AA54" s="25">
        <f>IFERROR(AA53/W53-1,"")</f>
        <v/>
      </c>
      <c r="AB54" s="25">
        <f>IFERROR(AB53/X53-1,"")</f>
        <v/>
      </c>
      <c r="AC54" s="25">
        <f>IFERROR(AC53/Y53-1,"")</f>
        <v/>
      </c>
    </row>
    <row r="55">
      <c r="A55" s="4" t="inlineStr">
        <is>
          <t xml:space="preserve">    % of revenue</t>
        </is>
      </c>
      <c r="B55" s="25">
        <f>IFERROR(B53/B3,"")</f>
        <v/>
      </c>
      <c r="C55" s="25">
        <f>IFERROR(C53/C3,"")</f>
        <v/>
      </c>
      <c r="D55" s="25">
        <f>IFERROR(D53/D3,"")</f>
        <v/>
      </c>
      <c r="E55" s="25">
        <f>IFERROR(E53/E3,"")</f>
        <v/>
      </c>
      <c r="F55" s="25">
        <f>IFERROR(F53/F3,"")</f>
        <v/>
      </c>
      <c r="G55" s="25">
        <f>IFERROR(G53/G3,"")</f>
        <v/>
      </c>
      <c r="H55" s="25">
        <f>IFERROR(H53/H3,"")</f>
        <v/>
      </c>
      <c r="I55" s="25">
        <f>IFERROR(I53/I3,"")</f>
        <v/>
      </c>
      <c r="J55" s="25">
        <f>IFERROR(J53/J3,"")</f>
        <v/>
      </c>
      <c r="K55" s="25">
        <f>IFERROR(K53/K3,"")</f>
        <v/>
      </c>
      <c r="L55" s="25">
        <f>IFERROR(L53/L3,"")</f>
        <v/>
      </c>
      <c r="M55" s="25">
        <f>IFERROR(M53/M3,"")</f>
        <v/>
      </c>
      <c r="N55" s="25">
        <f>IFERROR(N53/N3,"")</f>
        <v/>
      </c>
      <c r="O55" s="25">
        <f>IFERROR(O53/O3,"")</f>
        <v/>
      </c>
      <c r="P55" s="25">
        <f>IFERROR(P53/P3,"")</f>
        <v/>
      </c>
      <c r="Q55" s="25">
        <f>IFERROR(Q53/Q3,"")</f>
        <v/>
      </c>
      <c r="R55" s="25">
        <f>IFERROR(R53/R3,"")</f>
        <v/>
      </c>
      <c r="S55" s="25">
        <f>IFERROR(S53/S3,"")</f>
        <v/>
      </c>
      <c r="T55" s="25">
        <f>IFERROR(T53/T3,"")</f>
        <v/>
      </c>
      <c r="U55" s="25">
        <f>IFERROR(U53/U3,"")</f>
        <v/>
      </c>
      <c r="V55" s="25">
        <f>IFERROR(V53/V3,"")</f>
        <v/>
      </c>
      <c r="W55" s="25">
        <f>IFERROR(W53/W3,"")</f>
        <v/>
      </c>
      <c r="X55" s="25">
        <f>IFERROR(X53/X3,"")</f>
        <v/>
      </c>
      <c r="Y55" s="25">
        <f>IFERROR(Y53/Y3,"")</f>
        <v/>
      </c>
      <c r="Z55" s="25">
        <f>IFERROR(Z53/Z3,"")</f>
        <v/>
      </c>
      <c r="AA55" s="25">
        <f>IFERROR(AA53/AA3,"")</f>
        <v/>
      </c>
      <c r="AB55" s="25">
        <f>IFERROR(AB53/AB3,"")</f>
        <v/>
      </c>
      <c r="AC55" s="25">
        <f>IFERROR(AC53/AC3,"")</f>
        <v/>
      </c>
    </row>
    <row r="56">
      <c r="A56" s="4" t="inlineStr">
        <is>
          <t>CHILE</t>
        </is>
      </c>
      <c r="E56" s="18" t="n">
        <v>50.1</v>
      </c>
      <c r="F56" s="18" t="n">
        <v>58.6</v>
      </c>
      <c r="G56" s="18" t="n">
        <v>55.4</v>
      </c>
      <c r="H56" s="18" t="n">
        <v>57</v>
      </c>
      <c r="I56" s="18" t="n">
        <v>58</v>
      </c>
      <c r="J56" s="18" t="n">
        <v>96.2</v>
      </c>
      <c r="K56" s="18" t="n">
        <v>113.7</v>
      </c>
      <c r="L56" s="18" t="n">
        <v>116.6</v>
      </c>
      <c r="M56" s="18" t="n">
        <v>103.5</v>
      </c>
      <c r="N56" s="18" t="n">
        <v>82.09999999999999</v>
      </c>
      <c r="O56" s="18" t="n">
        <v>101.6</v>
      </c>
      <c r="P56" s="18" t="n">
        <v>157.3</v>
      </c>
      <c r="Q56" s="18" t="n">
        <v>100.7</v>
      </c>
      <c r="R56" s="18" t="n">
        <v>60.5</v>
      </c>
      <c r="S56" s="18" t="n">
        <v>90.90000000000001</v>
      </c>
      <c r="T56" s="18" t="n">
        <v>147.4</v>
      </c>
      <c r="U56" s="18" t="n">
        <v>94.40000000000001</v>
      </c>
      <c r="V56" s="18" t="n">
        <v>131.9</v>
      </c>
      <c r="W56" s="18" t="n">
        <v>117</v>
      </c>
      <c r="X56" s="18" t="n">
        <v>109</v>
      </c>
      <c r="Y56" s="18" t="n">
        <v>109.6</v>
      </c>
      <c r="Z56" s="18" t="n">
        <v>132.1</v>
      </c>
      <c r="AA56" s="18" t="n">
        <v>157.7</v>
      </c>
      <c r="AB56" s="18" t="n">
        <v>149</v>
      </c>
      <c r="AC56" s="18" t="n">
        <v>181.3</v>
      </c>
    </row>
    <row r="57">
      <c r="A57" s="4" t="inlineStr">
        <is>
          <t xml:space="preserve">    % YoY</t>
        </is>
      </c>
      <c r="F57" s="25">
        <f>IFERROR(F56/B56-1,"")</f>
        <v/>
      </c>
      <c r="G57" s="25">
        <f>IFERROR(G56/C56-1,"")</f>
        <v/>
      </c>
      <c r="H57" s="25">
        <f>IFERROR(H56/D56-1,"")</f>
        <v/>
      </c>
      <c r="I57" s="25">
        <f>IFERROR(I56/E56-1,"")</f>
        <v/>
      </c>
      <c r="J57" s="25">
        <f>IFERROR(J56/F56-1,"")</f>
        <v/>
      </c>
      <c r="K57" s="25">
        <f>IFERROR(K56/G56-1,"")</f>
        <v/>
      </c>
      <c r="L57" s="25">
        <f>IFERROR(L56/H56-1,"")</f>
        <v/>
      </c>
      <c r="M57" s="25">
        <f>IFERROR(M56/I56-1,"")</f>
        <v/>
      </c>
      <c r="N57" s="25">
        <f>IFERROR(N56/J56-1,"")</f>
        <v/>
      </c>
      <c r="O57" s="25">
        <f>IFERROR(O56/K56-1,"")</f>
        <v/>
      </c>
      <c r="P57" s="25">
        <f>IFERROR(P56/L56-1,"")</f>
        <v/>
      </c>
      <c r="Q57" s="25">
        <f>IFERROR(Q56/M56-1,"")</f>
        <v/>
      </c>
      <c r="R57" s="25">
        <f>IFERROR(R56/N56-1,"")</f>
        <v/>
      </c>
      <c r="S57" s="25">
        <f>IFERROR(S56/O56-1,"")</f>
        <v/>
      </c>
      <c r="T57" s="25">
        <f>IFERROR(T56/P56-1,"")</f>
        <v/>
      </c>
      <c r="U57" s="25">
        <f>IFERROR(U56/Q56-1,"")</f>
        <v/>
      </c>
      <c r="V57" s="25">
        <f>IFERROR(V56/R56-1,"")</f>
        <v/>
      </c>
      <c r="W57" s="25">
        <f>IFERROR(W56/S56-1,"")</f>
        <v/>
      </c>
      <c r="X57" s="25">
        <f>IFERROR(X56/T56-1,"")</f>
        <v/>
      </c>
      <c r="Y57" s="25">
        <f>IFERROR(Y56/U56-1,"")</f>
        <v/>
      </c>
      <c r="Z57" s="25">
        <f>IFERROR(Z56/V56-1,"")</f>
        <v/>
      </c>
      <c r="AA57" s="25">
        <f>IFERROR(AA56/W56-1,"")</f>
        <v/>
      </c>
      <c r="AB57" s="25">
        <f>IFERROR(AB56/X56-1,"")</f>
        <v/>
      </c>
      <c r="AC57" s="25">
        <f>IFERROR(AC56/Y56-1,"")</f>
        <v/>
      </c>
    </row>
    <row r="58">
      <c r="A58" s="4" t="inlineStr">
        <is>
          <t xml:space="preserve">    % of revenue</t>
        </is>
      </c>
      <c r="B58" s="25">
        <f>IFERROR(B56/B3,"")</f>
        <v/>
      </c>
      <c r="C58" s="25">
        <f>IFERROR(C56/C3,"")</f>
        <v/>
      </c>
      <c r="D58" s="25">
        <f>IFERROR(D56/D3,"")</f>
        <v/>
      </c>
      <c r="E58" s="25">
        <f>IFERROR(E56/E3,"")</f>
        <v/>
      </c>
      <c r="F58" s="25">
        <f>IFERROR(F56/F3,"")</f>
        <v/>
      </c>
      <c r="G58" s="25">
        <f>IFERROR(G56/G3,"")</f>
        <v/>
      </c>
      <c r="H58" s="25">
        <f>IFERROR(H56/H3,"")</f>
        <v/>
      </c>
      <c r="I58" s="25">
        <f>IFERROR(I56/I3,"")</f>
        <v/>
      </c>
      <c r="J58" s="25">
        <f>IFERROR(J56/J3,"")</f>
        <v/>
      </c>
      <c r="K58" s="25">
        <f>IFERROR(K56/K3,"")</f>
        <v/>
      </c>
      <c r="L58" s="25">
        <f>IFERROR(L56/L3,"")</f>
        <v/>
      </c>
      <c r="M58" s="25">
        <f>IFERROR(M56/M3,"")</f>
        <v/>
      </c>
      <c r="N58" s="25">
        <f>IFERROR(N56/N3,"")</f>
        <v/>
      </c>
      <c r="O58" s="25">
        <f>IFERROR(O56/O3,"")</f>
        <v/>
      </c>
      <c r="P58" s="25">
        <f>IFERROR(P56/P3,"")</f>
        <v/>
      </c>
      <c r="Q58" s="25">
        <f>IFERROR(Q56/Q3,"")</f>
        <v/>
      </c>
      <c r="R58" s="25">
        <f>IFERROR(R56/R3,"")</f>
        <v/>
      </c>
      <c r="S58" s="25">
        <f>IFERROR(S56/S3,"")</f>
        <v/>
      </c>
      <c r="T58" s="25">
        <f>IFERROR(T56/T3,"")</f>
        <v/>
      </c>
      <c r="U58" s="25">
        <f>IFERROR(U56/U3,"")</f>
        <v/>
      </c>
      <c r="V58" s="25">
        <f>IFERROR(V56/V3,"")</f>
        <v/>
      </c>
      <c r="W58" s="25">
        <f>IFERROR(W56/W3,"")</f>
        <v/>
      </c>
      <c r="X58" s="25">
        <f>IFERROR(X56/X3,"")</f>
        <v/>
      </c>
      <c r="Y58" s="25">
        <f>IFERROR(Y56/Y3,"")</f>
        <v/>
      </c>
      <c r="Z58" s="25">
        <f>IFERROR(Z56/Z3,"")</f>
        <v/>
      </c>
      <c r="AA58" s="25">
        <f>IFERROR(AA56/AA3,"")</f>
        <v/>
      </c>
      <c r="AB58" s="25">
        <f>IFERROR(AB56/AB3,"")</f>
        <v/>
      </c>
      <c r="AC58" s="25">
        <f>IFERROR(AC56/AC3,"")</f>
        <v/>
      </c>
    </row>
    <row r="59">
      <c r="A59" s="5" t="inlineStr">
        <is>
          <t xml:space="preserve">  BALANCE SHEET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>
      <c r="A60" s="4" t="inlineStr">
        <is>
          <t>Cash &amp; ST Investments</t>
        </is>
      </c>
      <c r="B60" s="18" t="n">
        <v>871</v>
      </c>
      <c r="C60" s="18" t="n">
        <v>1936.9</v>
      </c>
      <c r="D60" s="18" t="n">
        <v>2005.8</v>
      </c>
      <c r="E60" s="18" t="n">
        <v>2092.3</v>
      </c>
      <c r="F60" s="18" t="n">
        <v>1839.5</v>
      </c>
      <c r="G60" s="18" t="n">
        <v>2176.1</v>
      </c>
      <c r="H60" s="18" t="n">
        <v>2594.4</v>
      </c>
      <c r="I60" s="18" t="n">
        <v>2683.2</v>
      </c>
      <c r="J60" s="18" t="n">
        <v>2940.1</v>
      </c>
      <c r="K60" s="18" t="n">
        <v>3210.5</v>
      </c>
      <c r="L60" s="18" t="n">
        <v>3488.9</v>
      </c>
      <c r="M60" s="18" t="n">
        <v>3253.7</v>
      </c>
      <c r="N60" s="18" t="n">
        <v>2355.7</v>
      </c>
      <c r="O60" s="18" t="n">
        <v>2184.8</v>
      </c>
      <c r="P60" s="18" t="n">
        <v>2278</v>
      </c>
      <c r="Q60" s="18" t="n">
        <v>2440.4</v>
      </c>
      <c r="R60" s="18" t="n">
        <v>2199.3</v>
      </c>
      <c r="S60" s="18" t="n">
        <v>2214.2</v>
      </c>
      <c r="T60" s="18" t="n">
        <v>1750.8</v>
      </c>
      <c r="U60" s="18" t="n">
        <v>1581.5</v>
      </c>
      <c r="V60" s="18" t="n">
        <v>2204.4</v>
      </c>
      <c r="W60" s="18" t="n">
        <v>2973.6</v>
      </c>
      <c r="X60" s="18" t="n">
        <v>3503.4</v>
      </c>
      <c r="Y60" s="18" t="n">
        <v>4334.5</v>
      </c>
      <c r="Z60" s="18" t="n">
        <v>4010.3</v>
      </c>
      <c r="AA60" s="18" t="n">
        <v>4525.5</v>
      </c>
      <c r="AB60" s="18" t="n">
        <v>4909.2</v>
      </c>
      <c r="AC60" s="18" t="n">
        <v>5349.5</v>
      </c>
    </row>
    <row r="61">
      <c r="A61" s="4" t="inlineStr">
        <is>
          <t>Total Current Assets</t>
        </is>
      </c>
      <c r="B61" s="18" t="n">
        <v>3098.1</v>
      </c>
      <c r="C61" s="18" t="n">
        <v>4177.6</v>
      </c>
      <c r="D61" s="18" t="n">
        <v>4184.7</v>
      </c>
      <c r="E61" s="18" t="n">
        <v>4139.7</v>
      </c>
      <c r="F61" s="18" t="n">
        <v>3918.3</v>
      </c>
      <c r="G61" s="18" t="n">
        <v>4337.8</v>
      </c>
      <c r="H61" s="18" t="n">
        <v>4815.2</v>
      </c>
      <c r="I61" s="18" t="n">
        <v>5036.3</v>
      </c>
      <c r="J61" s="18" t="n">
        <v>5511.5</v>
      </c>
      <c r="K61" s="18" t="n">
        <v>5890.8</v>
      </c>
      <c r="L61" s="18" t="n">
        <v>6139.6</v>
      </c>
      <c r="M61" s="18" t="n">
        <v>5768.5</v>
      </c>
      <c r="N61" s="18" t="n">
        <v>4968.8</v>
      </c>
      <c r="O61" s="18" t="n">
        <v>4959.3</v>
      </c>
      <c r="P61" s="18" t="n">
        <v>5187.7</v>
      </c>
      <c r="Q61" s="18" t="n">
        <v>5197.7</v>
      </c>
      <c r="R61" s="18" t="n">
        <v>4769.6</v>
      </c>
      <c r="S61" s="18" t="n">
        <v>4748</v>
      </c>
      <c r="T61" s="18" t="n">
        <v>4429.5</v>
      </c>
      <c r="U61" s="18" t="n">
        <v>4440.8</v>
      </c>
      <c r="V61" s="18" t="n">
        <v>5333.7</v>
      </c>
      <c r="W61" s="18" t="n">
        <v>5926.4</v>
      </c>
      <c r="X61" s="18" t="n">
        <v>6174.3</v>
      </c>
      <c r="Y61" s="18" t="n">
        <v>7220</v>
      </c>
      <c r="Z61" s="18" t="n">
        <v>7002.4</v>
      </c>
      <c r="AA61" s="18" t="n">
        <v>7669.5</v>
      </c>
      <c r="AB61" s="18" t="n">
        <v>8352.5</v>
      </c>
      <c r="AC61" s="18" t="n">
        <v>8717</v>
      </c>
    </row>
    <row r="62">
      <c r="A62" s="4" t="inlineStr">
        <is>
          <t>PP&amp;E (net)</t>
        </is>
      </c>
      <c r="B62" s="18" t="n">
        <v>10490.9</v>
      </c>
      <c r="C62" s="18" t="n">
        <v>10457</v>
      </c>
      <c r="D62" s="18" t="n">
        <v>10417.4</v>
      </c>
      <c r="E62" s="18" t="n">
        <v>10318.3</v>
      </c>
      <c r="F62" s="18" t="n">
        <v>10208.2</v>
      </c>
      <c r="G62" s="18" t="n">
        <v>10139.4</v>
      </c>
      <c r="H62" s="18" t="n">
        <v>10437.7</v>
      </c>
      <c r="I62" s="18" t="n">
        <v>10416.3</v>
      </c>
      <c r="J62" s="18" t="n">
        <v>10400.4</v>
      </c>
      <c r="K62" s="18" t="n">
        <v>10402.7</v>
      </c>
      <c r="L62" s="18" t="n">
        <v>10380.7</v>
      </c>
      <c r="M62" s="18" t="n">
        <v>10393.7</v>
      </c>
      <c r="N62" s="18" t="n">
        <v>10405.5</v>
      </c>
      <c r="O62" s="18" t="n">
        <v>10424.2</v>
      </c>
      <c r="P62" s="18" t="n">
        <v>10448</v>
      </c>
      <c r="Q62" s="18" t="n">
        <v>10446.5</v>
      </c>
      <c r="R62" s="18" t="n">
        <v>10501.7</v>
      </c>
      <c r="S62" s="18" t="n">
        <v>10517.7</v>
      </c>
      <c r="T62" s="18" t="n">
        <v>10558.3</v>
      </c>
      <c r="U62" s="18" t="n">
        <v>10540.3</v>
      </c>
      <c r="V62" s="18" t="n">
        <v>10616.9</v>
      </c>
      <c r="W62" s="18" t="n">
        <v>10652.1</v>
      </c>
      <c r="X62" s="18" t="n">
        <v>10622.8</v>
      </c>
      <c r="Y62" s="18" t="n">
        <v>10655.3</v>
      </c>
      <c r="Z62" s="18" t="n">
        <v>10615.7</v>
      </c>
      <c r="AA62" s="18" t="n">
        <v>10685.5</v>
      </c>
      <c r="AB62" s="18" t="n">
        <v>10973</v>
      </c>
      <c r="AC62" s="18" t="n">
        <v>11142.1</v>
      </c>
    </row>
    <row r="63">
      <c r="A63" s="4" t="inlineStr">
        <is>
          <t>Total Assets</t>
        </is>
      </c>
      <c r="B63" s="18" t="n">
        <v>15344.6</v>
      </c>
      <c r="C63" s="18" t="n">
        <v>16494.4</v>
      </c>
      <c r="D63" s="18" t="n">
        <v>16407.4</v>
      </c>
      <c r="E63" s="18" t="n">
        <v>16212.1</v>
      </c>
      <c r="F63" s="18" t="n">
        <v>15805</v>
      </c>
      <c r="G63" s="18" t="n">
        <v>16248.4</v>
      </c>
      <c r="H63" s="18" t="n">
        <v>16946.5</v>
      </c>
      <c r="I63" s="18" t="n">
        <v>17217.8</v>
      </c>
      <c r="J63" s="18" t="n">
        <v>17695.4</v>
      </c>
      <c r="K63" s="18" t="n">
        <v>18110.3</v>
      </c>
      <c r="L63" s="18" t="n">
        <v>18297.6</v>
      </c>
      <c r="M63" s="18" t="n">
        <v>17898.9</v>
      </c>
      <c r="N63" s="18" t="n">
        <v>17121.5</v>
      </c>
      <c r="O63" s="18" t="n">
        <v>17083.2</v>
      </c>
      <c r="P63" s="18" t="n">
        <v>17277.4</v>
      </c>
      <c r="Q63" s="18" t="n">
        <v>17323.3</v>
      </c>
      <c r="R63" s="18" t="n">
        <v>16939.5</v>
      </c>
      <c r="S63" s="18" t="n">
        <v>16965</v>
      </c>
      <c r="T63" s="18" t="n">
        <v>16725.3</v>
      </c>
      <c r="U63" s="18" t="n">
        <v>16789.3</v>
      </c>
      <c r="V63" s="18" t="n">
        <v>17777.7</v>
      </c>
      <c r="W63" s="18" t="n">
        <v>18415.5</v>
      </c>
      <c r="X63" s="18" t="n">
        <v>18713.5</v>
      </c>
      <c r="Y63" s="18" t="n">
        <v>19791.2</v>
      </c>
      <c r="Z63" s="18" t="n">
        <v>19554.7</v>
      </c>
      <c r="AA63" s="18" t="n">
        <v>20331.8</v>
      </c>
      <c r="AB63" s="18" t="n">
        <v>21381.4</v>
      </c>
      <c r="AC63" s="18" t="n">
        <v>21929.9</v>
      </c>
    </row>
    <row r="64">
      <c r="A64" s="4" t="inlineStr">
        <is>
          <t>Total Current Liabilities</t>
        </is>
      </c>
      <c r="B64" s="18" t="n">
        <v>1385.4</v>
      </c>
      <c r="C64" s="18" t="n">
        <v>1432.2</v>
      </c>
      <c r="D64" s="18" t="n">
        <v>1476.5</v>
      </c>
      <c r="E64" s="18" t="n">
        <v>1387.2</v>
      </c>
      <c r="F64" s="18" t="n">
        <v>891.8</v>
      </c>
      <c r="G64" s="18" t="n">
        <v>1161.7</v>
      </c>
      <c r="H64" s="18" t="n">
        <v>1384.8</v>
      </c>
      <c r="I64" s="18" t="n">
        <v>1374.9</v>
      </c>
      <c r="J64" s="18" t="n">
        <v>1452.1</v>
      </c>
      <c r="K64" s="18" t="n">
        <v>1789.1</v>
      </c>
      <c r="L64" s="18" t="n">
        <v>2250</v>
      </c>
      <c r="M64" s="18" t="n">
        <v>1725.8</v>
      </c>
      <c r="N64" s="18" t="n">
        <v>1508.4</v>
      </c>
      <c r="O64" s="18" t="n">
        <v>1484.8</v>
      </c>
      <c r="P64" s="18" t="n">
        <v>1235.7</v>
      </c>
      <c r="Q64" s="18" t="n">
        <v>1247.3</v>
      </c>
      <c r="R64" s="18" t="n">
        <v>1060.6</v>
      </c>
      <c r="S64" s="18" t="n">
        <v>1284.1</v>
      </c>
      <c r="T64" s="18" t="n">
        <v>1388.5</v>
      </c>
      <c r="U64" s="18" t="n">
        <v>1340</v>
      </c>
      <c r="V64" s="18" t="n">
        <v>1898.2</v>
      </c>
      <c r="W64" s="18" t="n">
        <v>2139.4</v>
      </c>
      <c r="X64" s="18" t="n">
        <v>2248.1</v>
      </c>
      <c r="Y64" s="18" t="n">
        <v>1944.4</v>
      </c>
      <c r="Z64" s="18" t="n">
        <v>1329</v>
      </c>
      <c r="AA64" s="18" t="n">
        <v>1698</v>
      </c>
      <c r="AB64" s="18" t="n">
        <v>2145.1</v>
      </c>
      <c r="AC64" s="18" t="n">
        <v>1992.4</v>
      </c>
    </row>
    <row r="65">
      <c r="A65" s="4" t="inlineStr">
        <is>
          <t>Long-term Debt</t>
        </is>
      </c>
      <c r="B65" s="18" t="n">
        <v>5562.1</v>
      </c>
      <c r="C65" s="18" t="n">
        <v>6540.4</v>
      </c>
      <c r="D65" s="18" t="n">
        <v>6541</v>
      </c>
      <c r="E65" s="18" t="n">
        <v>6541.8</v>
      </c>
      <c r="F65" s="18" t="n">
        <v>6542.6</v>
      </c>
      <c r="G65" s="18" t="n">
        <v>6543.4</v>
      </c>
      <c r="H65" s="18" t="n">
        <v>6544.2</v>
      </c>
      <c r="I65" s="18" t="n">
        <v>6545</v>
      </c>
      <c r="J65" s="18" t="n">
        <v>6545.9</v>
      </c>
      <c r="K65" s="18" t="n">
        <v>6546.7</v>
      </c>
      <c r="L65" s="18" t="n">
        <v>6247.9</v>
      </c>
      <c r="M65" s="18" t="n">
        <v>6248.7</v>
      </c>
      <c r="N65" s="18" t="n">
        <v>6249.5</v>
      </c>
      <c r="O65" s="18" t="n">
        <v>6250.3</v>
      </c>
      <c r="P65" s="18" t="n">
        <v>6251.2</v>
      </c>
      <c r="Q65" s="18" t="n">
        <v>6252</v>
      </c>
      <c r="R65" s="18" t="n">
        <v>6252.9</v>
      </c>
      <c r="S65" s="18" t="n">
        <v>6253.8</v>
      </c>
      <c r="T65" s="18" t="n">
        <v>6254.6</v>
      </c>
      <c r="U65" s="18" t="n">
        <v>6255.5</v>
      </c>
      <c r="V65" s="18" t="n">
        <v>5757</v>
      </c>
      <c r="W65" s="18" t="n">
        <v>5757.8</v>
      </c>
      <c r="X65" s="18" t="n">
        <v>5758.5</v>
      </c>
      <c r="Y65" s="18" t="n">
        <v>6747</v>
      </c>
      <c r="Z65" s="18" t="n">
        <v>6748.2</v>
      </c>
      <c r="AA65" s="18" t="n">
        <v>6749.4</v>
      </c>
      <c r="AB65" s="18" t="n">
        <v>6750.7</v>
      </c>
      <c r="AC65" s="18" t="n">
        <v>6751.9</v>
      </c>
    </row>
    <row r="66">
      <c r="A66" s="4" t="inlineStr">
        <is>
          <t>Total Equity</t>
        </is>
      </c>
      <c r="B66" s="18" t="n">
        <v>6740.3</v>
      </c>
      <c r="C66" s="18" t="n">
        <v>6821.3</v>
      </c>
      <c r="D66" s="18" t="n">
        <v>6810.3</v>
      </c>
      <c r="E66" s="18" t="n">
        <v>6716.2</v>
      </c>
      <c r="F66" s="18" t="n">
        <v>6821.5</v>
      </c>
      <c r="G66" s="18" t="n">
        <v>7019.2</v>
      </c>
      <c r="H66" s="18" t="n">
        <v>7224.8</v>
      </c>
      <c r="I66" s="18" t="n">
        <v>7525.1</v>
      </c>
      <c r="J66" s="18" t="n">
        <v>7917.5</v>
      </c>
      <c r="K66" s="18" t="n">
        <v>8096</v>
      </c>
      <c r="L66" s="18" t="n">
        <v>8149.2</v>
      </c>
      <c r="M66" s="18" t="n">
        <v>8160.7</v>
      </c>
      <c r="N66" s="18" t="n">
        <v>7627.2</v>
      </c>
      <c r="O66" s="18" t="n">
        <v>7566.8</v>
      </c>
      <c r="P66" s="18" t="n">
        <v>8084.2</v>
      </c>
      <c r="Q66" s="18" t="n">
        <v>8124.8</v>
      </c>
      <c r="R66" s="18" t="n">
        <v>7899.6</v>
      </c>
      <c r="S66" s="18" t="n">
        <v>7744.8</v>
      </c>
      <c r="T66" s="18" t="n">
        <v>7418.1</v>
      </c>
      <c r="U66" s="18" t="n">
        <v>7541.7</v>
      </c>
      <c r="V66" s="18" t="n">
        <v>8492.5</v>
      </c>
      <c r="W66" s="18" t="n">
        <v>8921</v>
      </c>
      <c r="X66" s="18" t="n">
        <v>9171.6</v>
      </c>
      <c r="Y66" s="18" t="n">
        <v>9568.299999999999</v>
      </c>
      <c r="Z66" s="18" t="n">
        <v>9984.799999999999</v>
      </c>
      <c r="AA66" s="18" t="n">
        <v>10449.9</v>
      </c>
      <c r="AB66" s="18" t="n">
        <v>11038.1</v>
      </c>
      <c r="AC66" s="18" t="n">
        <v>11787.6</v>
      </c>
    </row>
    <row r="67">
      <c r="A67" s="5" t="inlineStr">
        <is>
          <t xml:space="preserve">  CASH FLOW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</row>
    <row r="68">
      <c r="A68" s="4" t="inlineStr">
        <is>
          <t>D&amp;A</t>
        </is>
      </c>
      <c r="B68" s="18" t="n">
        <v>198.8</v>
      </c>
      <c r="C68" s="18" t="n">
        <v>200.3</v>
      </c>
      <c r="D68" s="18" t="n">
        <v>183.8</v>
      </c>
      <c r="E68" s="18" t="n">
        <v>192.9</v>
      </c>
      <c r="F68" s="18" t="n">
        <v>193.8</v>
      </c>
      <c r="G68" s="18" t="n">
        <v>196</v>
      </c>
      <c r="H68" s="18" t="n">
        <v>192.8</v>
      </c>
      <c r="I68" s="18" t="n">
        <v>200.6</v>
      </c>
      <c r="J68" s="18" t="n">
        <v>195.4</v>
      </c>
      <c r="K68" s="18" t="n">
        <v>203.4</v>
      </c>
      <c r="L68" s="18" t="n">
        <v>206.6</v>
      </c>
      <c r="M68" s="18" t="n">
        <v>196.6</v>
      </c>
      <c r="N68" s="18" t="n">
        <v>209</v>
      </c>
      <c r="O68" s="18" t="n">
        <v>192</v>
      </c>
      <c r="P68" s="18" t="n">
        <v>0</v>
      </c>
      <c r="Q68" s="18" t="n">
        <v>203.7</v>
      </c>
      <c r="R68" s="18" t="n">
        <v>209.2</v>
      </c>
      <c r="S68" s="18" t="n">
        <v>212.5</v>
      </c>
      <c r="T68" s="18" t="n">
        <v>208.2</v>
      </c>
      <c r="U68" s="18" t="n">
        <v>209</v>
      </c>
      <c r="V68" s="18" t="n">
        <v>209.6</v>
      </c>
      <c r="W68" s="18" t="n">
        <v>213.1</v>
      </c>
      <c r="X68" s="18" t="n">
        <v>214.2</v>
      </c>
      <c r="Y68" s="18" t="n">
        <v>223.8</v>
      </c>
      <c r="Z68" s="18" t="n">
        <v>206.2</v>
      </c>
      <c r="AA68" s="18" t="n">
        <v>207.8</v>
      </c>
      <c r="AB68" s="18" t="n">
        <v>230.7</v>
      </c>
      <c r="AC68" s="18" t="n">
        <v>225.7</v>
      </c>
    </row>
    <row r="69">
      <c r="A69" s="4" t="inlineStr">
        <is>
          <t>Stock-based Compensation</t>
        </is>
      </c>
      <c r="B69" s="18" t="n">
        <v>0.2</v>
      </c>
      <c r="C69" s="18" t="n">
        <v>0.4</v>
      </c>
      <c r="D69" s="18" t="n">
        <v>0.8</v>
      </c>
      <c r="E69" s="18" t="n">
        <v>0.4</v>
      </c>
      <c r="F69" s="18" t="n">
        <v>0.2</v>
      </c>
      <c r="G69" s="18" t="n">
        <v>0.4</v>
      </c>
      <c r="H69" s="18" t="n">
        <v>0.7</v>
      </c>
      <c r="I69" s="18" t="n">
        <v>0.4</v>
      </c>
      <c r="J69" s="18" t="n">
        <v>0</v>
      </c>
      <c r="K69" s="18" t="n">
        <v>0</v>
      </c>
      <c r="L69" s="18" t="n">
        <v>0.6</v>
      </c>
      <c r="M69" s="18" t="n">
        <v>0.4</v>
      </c>
      <c r="N69" s="18" t="n">
        <v>0.2</v>
      </c>
      <c r="O69" s="18" t="n">
        <v>0.4</v>
      </c>
      <c r="P69" s="18" t="n">
        <v>0</v>
      </c>
      <c r="Q69" s="18" t="n">
        <v>0.2</v>
      </c>
      <c r="R69" s="18" t="n">
        <v>0.1</v>
      </c>
      <c r="S69" s="18" t="n">
        <v>0.2</v>
      </c>
      <c r="T69" s="18" t="n">
        <v>0.7</v>
      </c>
      <c r="U69" s="18" t="n">
        <v>0.4</v>
      </c>
      <c r="V69" s="18" t="n">
        <v>0.1</v>
      </c>
      <c r="W69" s="18" t="n">
        <v>-0.3</v>
      </c>
      <c r="X69" s="18" t="n">
        <v>0</v>
      </c>
      <c r="Y69" s="18" t="n">
        <v>0</v>
      </c>
      <c r="Z69" s="18" t="n">
        <v>0</v>
      </c>
      <c r="AA69" s="18" t="n">
        <v>0</v>
      </c>
      <c r="AB69" s="18" t="n">
        <v>0</v>
      </c>
      <c r="AC69" s="18" t="n">
        <v>0</v>
      </c>
    </row>
    <row r="70">
      <c r="A70" s="4" t="inlineStr">
        <is>
          <t>Change in Working Capital</t>
        </is>
      </c>
      <c r="B70" s="18" t="n">
        <v>-213.2</v>
      </c>
      <c r="C70" s="18" t="n">
        <v>15.8</v>
      </c>
      <c r="D70" s="18" t="n">
        <v>93.40000000000001</v>
      </c>
      <c r="E70" s="18" t="n">
        <v>80.59999999999999</v>
      </c>
      <c r="F70" s="18" t="n">
        <v>-20.1</v>
      </c>
      <c r="G70" s="18" t="n">
        <v>130.1</v>
      </c>
      <c r="H70" s="18" t="n">
        <v>292.1</v>
      </c>
      <c r="I70" s="18" t="n">
        <v>-129.2</v>
      </c>
      <c r="J70" s="18" t="n">
        <v>-118.8</v>
      </c>
      <c r="K70" s="18" t="n">
        <v>278</v>
      </c>
      <c r="L70" s="18" t="n">
        <v>160.7</v>
      </c>
      <c r="M70" s="18" t="n">
        <v>-271.4</v>
      </c>
      <c r="N70" s="18" t="n">
        <v>-326.3</v>
      </c>
      <c r="O70" s="18" t="n">
        <v>-183.8</v>
      </c>
      <c r="P70" s="18" t="n">
        <v>-58.6</v>
      </c>
      <c r="Q70" s="18" t="n">
        <v>163.6</v>
      </c>
      <c r="R70" s="18" t="n">
        <v>-2.3</v>
      </c>
      <c r="S70" s="18" t="n">
        <v>265</v>
      </c>
      <c r="T70" s="18" t="n">
        <v>-116.4</v>
      </c>
      <c r="U70" s="18" t="n">
        <v>-310.8</v>
      </c>
      <c r="V70" s="18" t="n">
        <v>-202.2</v>
      </c>
      <c r="W70" s="18" t="n">
        <v>330.2</v>
      </c>
      <c r="X70" s="18" t="n">
        <v>421.5</v>
      </c>
      <c r="Y70" s="18" t="n">
        <v>-505</v>
      </c>
      <c r="Z70" s="18" t="n">
        <v>-237.8</v>
      </c>
      <c r="AA70" s="18" t="n">
        <v>263.7</v>
      </c>
      <c r="AB70" s="18" t="n">
        <v>-33.8</v>
      </c>
      <c r="AC70" s="18" t="n">
        <v>-56.1</v>
      </c>
    </row>
    <row r="71">
      <c r="A71" s="4" t="inlineStr">
        <is>
          <t>Operating Cash Flow</t>
        </is>
      </c>
      <c r="B71" s="18" t="n">
        <v>414.1</v>
      </c>
      <c r="C71" s="18" t="n">
        <v>585.2</v>
      </c>
      <c r="D71" s="18" t="n">
        <v>541.4</v>
      </c>
      <c r="E71" s="18" t="n">
        <v>475.1</v>
      </c>
      <c r="F71" s="18" t="n">
        <v>419.3</v>
      </c>
      <c r="G71" s="18" t="n">
        <v>793.5</v>
      </c>
      <c r="H71" s="18" t="n">
        <v>1095.5</v>
      </c>
      <c r="I71" s="18" t="n">
        <v>782.6</v>
      </c>
      <c r="J71" s="18" t="n">
        <v>1061.5</v>
      </c>
      <c r="K71" s="18" t="n">
        <v>1220.6</v>
      </c>
      <c r="L71" s="18" t="n">
        <v>1227.7</v>
      </c>
      <c r="M71" s="18" t="n">
        <v>820.7</v>
      </c>
      <c r="N71" s="18" t="n">
        <v>309.9</v>
      </c>
      <c r="O71" s="18" t="n">
        <v>590.1</v>
      </c>
      <c r="P71" s="18" t="n">
        <v>1081.9</v>
      </c>
      <c r="Q71" s="18" t="n">
        <v>1185.2</v>
      </c>
      <c r="R71" s="18" t="n">
        <v>797.1</v>
      </c>
      <c r="S71" s="18" t="n">
        <v>1049.8</v>
      </c>
      <c r="T71" s="18" t="n">
        <v>541</v>
      </c>
      <c r="U71" s="18" t="n">
        <v>659.7</v>
      </c>
      <c r="V71" s="18" t="n">
        <v>962.1</v>
      </c>
      <c r="W71" s="18" t="n">
        <v>1439.4</v>
      </c>
      <c r="X71" s="18" t="n">
        <v>1360.5</v>
      </c>
      <c r="Y71" s="18" t="n">
        <v>721.4</v>
      </c>
      <c r="Z71" s="18" t="n">
        <v>976.8</v>
      </c>
      <c r="AA71" s="18" t="n">
        <v>1559.6</v>
      </c>
      <c r="AB71" s="18" t="n">
        <v>1494.3</v>
      </c>
      <c r="AC71" s="18" t="n">
        <v>1694.5</v>
      </c>
    </row>
    <row r="72">
      <c r="A72" s="4" t="inlineStr">
        <is>
          <t>Capex</t>
        </is>
      </c>
      <c r="B72" s="18" t="n">
        <v>-180.4</v>
      </c>
      <c r="C72" s="18" t="n">
        <v>-182.7</v>
      </c>
      <c r="D72" s="18" t="n">
        <v>-171.4</v>
      </c>
      <c r="E72" s="18" t="n">
        <v>-101</v>
      </c>
      <c r="F72" s="18" t="n">
        <v>-113.3</v>
      </c>
      <c r="G72" s="18" t="n">
        <v>-134.5</v>
      </c>
      <c r="H72" s="18" t="n">
        <v>-243.4</v>
      </c>
      <c r="I72" s="18" t="n">
        <v>-232.6</v>
      </c>
      <c r="J72" s="18" t="n">
        <v>-219.8</v>
      </c>
      <c r="K72" s="18" t="n">
        <v>-243.1</v>
      </c>
      <c r="L72" s="18" t="n">
        <v>-196.7</v>
      </c>
      <c r="M72" s="18" t="n">
        <v>-205.2</v>
      </c>
      <c r="N72" s="18" t="n">
        <v>-224.6</v>
      </c>
      <c r="O72" s="18" t="n">
        <v>-227.9</v>
      </c>
      <c r="P72" s="18" t="n">
        <v>-290.9</v>
      </c>
      <c r="Q72" s="18" t="n">
        <v>-238.1</v>
      </c>
      <c r="R72" s="18" t="n">
        <v>-252.5</v>
      </c>
      <c r="S72" s="18" t="n">
        <v>-262.7</v>
      </c>
      <c r="T72" s="18" t="n">
        <v>-255.4</v>
      </c>
      <c r="U72" s="18" t="n">
        <v>-213.8</v>
      </c>
      <c r="V72" s="18" t="n">
        <v>-331.8</v>
      </c>
      <c r="W72" s="18" t="n">
        <v>-246.4</v>
      </c>
      <c r="X72" s="18" t="n">
        <v>-235.3</v>
      </c>
      <c r="Y72" s="18" t="n">
        <v>-317.8</v>
      </c>
      <c r="Z72" s="18" t="n">
        <v>-235.7</v>
      </c>
      <c r="AA72" s="18" t="n">
        <v>-349.2</v>
      </c>
      <c r="AB72" s="18" t="n">
        <v>-422.6</v>
      </c>
      <c r="AC72" s="18" t="n">
        <v>-441.9</v>
      </c>
    </row>
    <row r="73">
      <c r="A73" s="4" t="inlineStr">
        <is>
          <t>Free Cash Flow</t>
        </is>
      </c>
      <c r="B73" s="18" t="n">
        <v>233.7</v>
      </c>
      <c r="C73" s="18" t="n">
        <v>402.5</v>
      </c>
      <c r="D73" s="18" t="n">
        <v>370</v>
      </c>
      <c r="E73" s="18" t="n">
        <v>374.1</v>
      </c>
      <c r="F73" s="18" t="n">
        <v>306</v>
      </c>
      <c r="G73" s="18" t="n">
        <v>659</v>
      </c>
      <c r="H73" s="18" t="n">
        <v>852.1</v>
      </c>
      <c r="I73" s="18" t="n">
        <v>550</v>
      </c>
      <c r="J73" s="18" t="n">
        <v>841.7</v>
      </c>
      <c r="K73" s="18" t="n">
        <v>977.5</v>
      </c>
      <c r="L73" s="18" t="n">
        <v>1031</v>
      </c>
      <c r="M73" s="18" t="n">
        <v>615.5</v>
      </c>
      <c r="N73" s="18" t="n">
        <v>85.3</v>
      </c>
      <c r="O73" s="18" t="n">
        <v>362.2</v>
      </c>
      <c r="P73" s="18" t="n">
        <v>791</v>
      </c>
      <c r="Q73" s="18" t="n">
        <v>947.1</v>
      </c>
      <c r="R73" s="18" t="n">
        <v>544.6</v>
      </c>
      <c r="S73" s="18" t="n">
        <v>787.1</v>
      </c>
      <c r="T73" s="18" t="n">
        <v>285.6</v>
      </c>
      <c r="U73" s="18" t="n">
        <v>445.9</v>
      </c>
      <c r="V73" s="18" t="n">
        <v>630.3</v>
      </c>
      <c r="W73" s="18" t="n">
        <v>1193</v>
      </c>
      <c r="X73" s="18" t="n">
        <v>1125.2</v>
      </c>
      <c r="Y73" s="18" t="n">
        <v>403.6</v>
      </c>
      <c r="Z73" s="18" t="n">
        <v>741.1</v>
      </c>
      <c r="AA73" s="18" t="n">
        <v>1210.4</v>
      </c>
      <c r="AB73" s="18" t="n">
        <v>1071.7</v>
      </c>
      <c r="AC73" s="18" t="n">
        <v>1252.6</v>
      </c>
    </row>
    <row r="75">
      <c r="A75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16035.67155</v>
      </c>
      <c r="C4" s="18" t="n">
        <v>15411.677444</v>
      </c>
      <c r="D4" s="18" t="n">
        <v>15741.182045</v>
      </c>
      <c r="E4" s="18" t="n">
        <v>18526.449475</v>
      </c>
      <c r="F4" s="18" t="n">
        <v>17334.8422</v>
      </c>
    </row>
    <row r="5">
      <c r="A5" s="4" t="inlineStr">
        <is>
          <t xml:space="preserve">  model</t>
        </is>
      </c>
      <c r="B5" s="33">
        <f>Model!G14</f>
        <v/>
      </c>
      <c r="C5" s="33">
        <f>Model!H14</f>
        <v/>
      </c>
      <c r="D5" s="33">
        <f>Model!I14</f>
        <v/>
      </c>
      <c r="E5" s="33">
        <f>Model!J14</f>
        <v/>
      </c>
      <c r="F5" s="33">
        <f>Model!K14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9139.708546</v>
      </c>
      <c r="C8" s="18" t="n">
        <v>8784.056196</v>
      </c>
      <c r="D8" s="18" t="n">
        <v>8971.860992</v>
      </c>
      <c r="E8" s="18" t="n">
        <v>10559.355002</v>
      </c>
      <c r="F8" s="18" t="n">
        <v>9880.185242</v>
      </c>
    </row>
    <row r="9">
      <c r="A9" s="4" t="inlineStr">
        <is>
          <t xml:space="preserve">  model</t>
        </is>
      </c>
      <c r="B9" s="33">
        <f>Model!G27+Model!G32</f>
        <v/>
      </c>
      <c r="C9" s="33">
        <f>Model!H27+Model!H32</f>
        <v/>
      </c>
      <c r="D9" s="33">
        <f>Model!I27+Model!I32</f>
        <v/>
      </c>
      <c r="E9" s="33">
        <f>Model!J27+Model!J32</f>
        <v/>
      </c>
      <c r="F9" s="33">
        <f>Model!K27+Model!K32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7934.132894</v>
      </c>
      <c r="C12" s="18" t="n">
        <v>7625.392961</v>
      </c>
      <c r="D12" s="18" t="n">
        <v>7788.425315</v>
      </c>
      <c r="E12" s="18" t="n">
        <v>9166.520511999999</v>
      </c>
      <c r="F12" s="18" t="n">
        <v>8576.936817</v>
      </c>
    </row>
    <row r="13">
      <c r="A13" s="4" t="inlineStr">
        <is>
          <t xml:space="preserve">  model</t>
        </is>
      </c>
      <c r="B13" s="33">
        <f>Model!G27</f>
        <v/>
      </c>
      <c r="C13" s="33">
        <f>Model!H27</f>
        <v/>
      </c>
      <c r="D13" s="33">
        <f>Model!I27</f>
        <v/>
      </c>
      <c r="E13" s="33">
        <f>Model!J27</f>
        <v/>
      </c>
      <c r="F13" s="33">
        <f>Model!K27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187.383072</v>
      </c>
      <c r="C16" s="18" t="n">
        <v>180.091458</v>
      </c>
      <c r="D16" s="18" t="n">
        <v>183.941848</v>
      </c>
      <c r="E16" s="18" t="n">
        <v>216.488783</v>
      </c>
      <c r="F16" s="18" t="n">
        <v>202.564388</v>
      </c>
    </row>
    <row r="17">
      <c r="A17" s="4" t="inlineStr">
        <is>
          <t xml:space="preserve">  model</t>
        </is>
      </c>
      <c r="B17" s="33">
        <f>Model!G22</f>
        <v/>
      </c>
      <c r="C17" s="33">
        <f>Model!H22</f>
        <v/>
      </c>
      <c r="D17" s="33">
        <f>Model!I22</f>
        <v/>
      </c>
      <c r="E17" s="33">
        <f>Model!J22</f>
        <v/>
      </c>
      <c r="F17" s="33">
        <f>Model!K22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5883.26763</v>
      </c>
      <c r="C20" s="18" t="n">
        <v>5581.45648</v>
      </c>
      <c r="D20" s="18" t="n">
        <v>5692.59004</v>
      </c>
      <c r="E20" s="18" t="n">
        <v>6005.845501</v>
      </c>
      <c r="F20" s="18" t="n">
        <v>4118.411884</v>
      </c>
    </row>
    <row r="21">
      <c r="A21" s="4" t="inlineStr">
        <is>
          <t xml:space="preserve">  model</t>
        </is>
      </c>
      <c r="B21" s="33">
        <f>Model!G31</f>
        <v/>
      </c>
      <c r="C21" s="33">
        <f>Model!H31</f>
        <v/>
      </c>
      <c r="D21" s="33">
        <f>Model!I31</f>
        <v/>
      </c>
      <c r="E21" s="33">
        <f>Model!J31</f>
        <v/>
      </c>
      <c r="F21" s="33">
        <f>Model!K31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6.98353</v>
      </c>
      <c r="C24" s="47" t="n">
        <v>6.61934</v>
      </c>
      <c r="D24" s="47" t="n">
        <v>6.36826</v>
      </c>
      <c r="E24" s="47" t="n">
        <v>7.16517</v>
      </c>
      <c r="F24" s="47" t="n">
        <v>4.9134</v>
      </c>
    </row>
    <row r="25">
      <c r="A25" s="4" t="inlineStr">
        <is>
          <t xml:space="preserve">  model</t>
        </is>
      </c>
      <c r="B25" s="8">
        <f>Model!G31/Financials!AC17</f>
        <v/>
      </c>
      <c r="C25" s="8">
        <f>Model!H31/Financials!AC17</f>
        <v/>
      </c>
      <c r="D25" s="8">
        <f>Model!I31/Financials!AC17</f>
        <v/>
      </c>
      <c r="E25" s="8">
        <f>Model!J31/Financials!AC17</f>
        <v/>
      </c>
      <c r="F25" s="8">
        <f>Model!K31/Financials!AC17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Southern Copper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Model!G39</f>
        <v/>
      </c>
      <c r="D12" s="33">
        <f>Model!H39</f>
        <v/>
      </c>
      <c r="E12" s="33">
        <f>Model!I39</f>
        <v/>
      </c>
      <c r="F12" s="33">
        <f>Model!J39</f>
        <v/>
      </c>
      <c r="G12" s="33">
        <f>Model!K39</f>
        <v/>
      </c>
      <c r="H12" s="33">
        <f>Model!L39</f>
        <v/>
      </c>
      <c r="I12" s="33">
        <f>Model!M39</f>
        <v/>
      </c>
      <c r="J12" s="33">
        <f>Model!N39</f>
        <v/>
      </c>
      <c r="K12" s="33">
        <f>Model!O39</f>
        <v/>
      </c>
      <c r="L12" s="33">
        <f>Model!P39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Model!P14</f>
        <v/>
      </c>
    </row>
    <row r="21">
      <c r="A21" s="4" t="inlineStr">
        <is>
          <t>Terminal EBIT</t>
        </is>
      </c>
      <c r="B21" s="33">
        <f>Model!P27</f>
        <v/>
      </c>
    </row>
    <row r="22">
      <c r="A22" s="4" t="inlineStr">
        <is>
          <t>Terminal EBITDA (SBC-burdened)</t>
        </is>
      </c>
      <c r="B22" s="33">
        <f>Model!P27+Model!P32-Model!P33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Financials!AC60</f>
        <v/>
      </c>
    </row>
    <row r="33">
      <c r="A33" s="4" t="inlineStr">
        <is>
          <t>- Long-term debt</t>
        </is>
      </c>
      <c r="B33" s="33">
        <f>-Financials!AC65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0.08667605220955785</v>
      </c>
      <c r="C4" s="51" t="n">
        <v>0.09167605220955785</v>
      </c>
      <c r="D4" s="51" t="n">
        <v>0.09667605220955784</v>
      </c>
      <c r="E4" s="51" t="n">
        <v>0.1016760522095578</v>
      </c>
      <c r="F4" s="51" t="n">
        <v>0.1066760522095579</v>
      </c>
      <c r="G4" s="51" t="n">
        <v>0.1116760522095578</v>
      </c>
      <c r="H4" s="51" t="n">
        <v>0.1166760522095578</v>
      </c>
    </row>
    <row r="5">
      <c r="A5" s="52" t="n">
        <v>9</v>
      </c>
      <c r="B5" s="53" t="n">
        <v>74.27778057550641</v>
      </c>
      <c r="C5" s="53" t="n">
        <v>71.66313730174419</v>
      </c>
      <c r="D5" s="53" t="n">
        <v>69.16546471044599</v>
      </c>
      <c r="E5" s="53" t="n">
        <v>66.77880879522655</v>
      </c>
      <c r="F5" s="53" t="n">
        <v>64.49754862320231</v>
      </c>
      <c r="G5" s="53" t="n">
        <v>62.31637616909173</v>
      </c>
      <c r="H5" s="53" t="n">
        <v>60.23027745873421</v>
      </c>
    </row>
    <row r="6">
      <c r="A6" s="52" t="n">
        <v>10</v>
      </c>
      <c r="B6" s="53" t="n">
        <v>78.82520059760184</v>
      </c>
      <c r="C6" s="53" t="n">
        <v>76.00652101829959</v>
      </c>
      <c r="D6" s="53" t="n">
        <v>73.31483729183684</v>
      </c>
      <c r="E6" s="53" t="n">
        <v>70.74366045020219</v>
      </c>
      <c r="F6" s="53" t="n">
        <v>68.28686538694249</v>
      </c>
      <c r="G6" s="53" t="n">
        <v>65.93866879148948</v>
      </c>
      <c r="H6" s="53" t="n">
        <v>63.69360851795052</v>
      </c>
    </row>
    <row r="7">
      <c r="A7" s="52" t="n">
        <v>11</v>
      </c>
      <c r="B7" s="53" t="n">
        <v>83.37262061969726</v>
      </c>
      <c r="C7" s="53" t="n">
        <v>80.34990473485499</v>
      </c>
      <c r="D7" s="53" t="n">
        <v>77.46420987322767</v>
      </c>
      <c r="E7" s="53" t="n">
        <v>74.70851210517782</v>
      </c>
      <c r="F7" s="53" t="n">
        <v>72.07618215068268</v>
      </c>
      <c r="G7" s="53" t="n">
        <v>69.56096141388723</v>
      </c>
      <c r="H7" s="53" t="n">
        <v>67.15693957716682</v>
      </c>
    </row>
    <row r="8">
      <c r="A8" s="52" t="n">
        <v>12</v>
      </c>
      <c r="B8" s="53" t="n">
        <v>87.92004064179268</v>
      </c>
      <c r="C8" s="53" t="n">
        <v>84.69328845141038</v>
      </c>
      <c r="D8" s="53" t="n">
        <v>81.61358245461852</v>
      </c>
      <c r="E8" s="54" t="n">
        <v>78.67336376015344</v>
      </c>
      <c r="F8" s="53" t="n">
        <v>75.86549891442287</v>
      </c>
      <c r="G8" s="53" t="n">
        <v>73.18325403628498</v>
      </c>
      <c r="H8" s="53" t="n">
        <v>70.62027063638311</v>
      </c>
    </row>
    <row r="9">
      <c r="A9" s="52" t="n">
        <v>13</v>
      </c>
      <c r="B9" s="53" t="n">
        <v>92.4674606638881</v>
      </c>
      <c r="C9" s="53" t="n">
        <v>89.03667216796578</v>
      </c>
      <c r="D9" s="53" t="n">
        <v>85.76295503600936</v>
      </c>
      <c r="E9" s="53" t="n">
        <v>82.63821541512908</v>
      </c>
      <c r="F9" s="53" t="n">
        <v>79.65481567816308</v>
      </c>
      <c r="G9" s="53" t="n">
        <v>76.8055466586827</v>
      </c>
      <c r="H9" s="53" t="n">
        <v>74.08360169559943</v>
      </c>
    </row>
    <row r="10">
      <c r="A10" s="52" t="n">
        <v>14</v>
      </c>
      <c r="B10" s="53" t="n">
        <v>97.01488068598353</v>
      </c>
      <c r="C10" s="53" t="n">
        <v>93.38005588452118</v>
      </c>
      <c r="D10" s="53" t="n">
        <v>89.91232761740021</v>
      </c>
      <c r="E10" s="53" t="n">
        <v>86.60306707010471</v>
      </c>
      <c r="F10" s="53" t="n">
        <v>83.44413244190326</v>
      </c>
      <c r="G10" s="53" t="n">
        <v>80.42783928108048</v>
      </c>
      <c r="H10" s="53" t="n">
        <v>77.54693275481574</v>
      </c>
    </row>
    <row r="11">
      <c r="A11" s="52" t="n">
        <v>15</v>
      </c>
      <c r="B11" s="53" t="n">
        <v>101.562300708079</v>
      </c>
      <c r="C11" s="53" t="n">
        <v>97.72343960107658</v>
      </c>
      <c r="D11" s="53" t="n">
        <v>94.06170019879106</v>
      </c>
      <c r="E11" s="53" t="n">
        <v>90.56791872508035</v>
      </c>
      <c r="F11" s="53" t="n">
        <v>87.23344920564345</v>
      </c>
      <c r="G11" s="53" t="n">
        <v>84.0501319034782</v>
      </c>
      <c r="H11" s="53" t="n">
        <v>81.01026381403204</v>
      </c>
    </row>
    <row r="13">
      <c r="A13" s="3" t="inlineStr">
        <is>
          <t>Current price</t>
        </is>
      </c>
      <c r="B13" s="53" t="n">
        <v>170.8684997558594</v>
      </c>
    </row>
    <row r="14">
      <c r="A14" s="3" t="inlineStr">
        <is>
          <t>Base WACC / multiple</t>
        </is>
      </c>
      <c r="B14" s="55" t="n">
        <v>0.1016760522095578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Model!F14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Model!F28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0.06471684053651267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1.404760943063486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(Model!P14/Model!F14)^(1/10)-1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0.9393106411895232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Financials!AC60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Financials!AC65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2026-07-08T07:04:10Z</dcterms:created>
  <dcterms:modified xmlns:dcterms="http://purl.org/dc/terms/" xmlns:xsi="http://www.w3.org/2001/XMLSchema-instance" xsi:type="dcterms:W3CDTF">2026-07-08T07:04:10Z</dcterms:modified>
</cp:coreProperties>
</file>