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OTP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,&quot;B&quot;"/>
    <numFmt numFmtId="165" formatCode="0.0&quot;x&quot;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74151"/>
    </font>
    <font>
      <color rgb="006B7280"/>
    </font>
    <font>
      <color rgb="00374151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3" fontId="0" fillId="3" borderId="1" pivotButton="0" quotePrefix="0" xfId="0"/>
    <xf numFmtId="2" fontId="0" fillId="3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BRK-B — Berkshire two-column SOTP · Dashboard ($B)</t>
        </is>
      </c>
    </row>
    <row r="2">
      <c r="A2" s="2" t="inlineStr">
        <is>
          <t>① Investment portfolio (marked to market)</t>
        </is>
      </c>
    </row>
    <row r="3">
      <c r="A3" s="3" t="inlineStr">
        <is>
          <t>Equities + fixed income @ market</t>
        </is>
      </c>
      <c r="B3" s="4" t="n">
        <v>336.405</v>
      </c>
    </row>
    <row r="4">
      <c r="A4" s="3" t="inlineStr">
        <is>
          <t>Cash + Treasury bills</t>
        </is>
      </c>
      <c r="B4" s="4" t="n">
        <v>373.311</v>
      </c>
    </row>
    <row r="5">
      <c r="A5" s="2" t="inlineStr">
        <is>
          <t>② Operating businesses (ex insurance investment income)</t>
        </is>
      </c>
    </row>
    <row r="6">
      <c r="A6" s="3" t="inlineStr">
        <is>
          <t>After-tax operating earnings (ex inv. income)</t>
        </is>
      </c>
      <c r="B6" s="4" t="n">
        <v>31</v>
      </c>
    </row>
    <row r="7">
      <c r="A7" s="3" t="inlineStr">
        <is>
          <t>Operating multiple</t>
        </is>
      </c>
      <c r="B7" s="5" t="n">
        <v>13</v>
      </c>
    </row>
    <row r="8">
      <c r="A8" s="2" t="inlineStr">
        <is>
          <t>③ Deferred tax + corporate (subtract)</t>
        </is>
      </c>
    </row>
    <row r="9">
      <c r="A9" s="3" t="inlineStr">
        <is>
          <t>Deferred tax on unrealized gains</t>
        </is>
      </c>
      <c r="B9" s="4" t="n">
        <v>86.955</v>
      </c>
    </row>
    <row r="10">
      <c r="A10" s="3" t="inlineStr">
        <is>
          <t>DTL haircut (PV/probability)</t>
        </is>
      </c>
      <c r="B10" s="6" t="n">
        <v>0.5</v>
      </c>
    </row>
    <row r="12">
      <c r="A12" s="3" t="inlineStr">
        <is>
          <t>Net corporate / other</t>
        </is>
      </c>
      <c r="B12" s="4" t="n">
        <v>0</v>
      </c>
    </row>
    <row r="13">
      <c r="A13" s="2" t="inlineStr">
        <is>
          <t>Market</t>
        </is>
      </c>
    </row>
    <row r="14">
      <c r="A14" s="3" t="inlineStr">
        <is>
          <t>Shares (M, B-equivalent)</t>
        </is>
      </c>
      <c r="B14" s="7" t="n">
        <v>2157.335</v>
      </c>
    </row>
    <row r="15">
      <c r="A15" s="3" t="inlineStr">
        <is>
          <t>Current price ($)</t>
        </is>
      </c>
      <c r="B15" s="8" t="n">
        <v>488.302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</cols>
  <sheetData>
    <row r="1">
      <c r="A1" s="1" t="inlineStr">
        <is>
          <t>BRK-B — Two-column SOTP build ($B)</t>
        </is>
      </c>
    </row>
    <row r="3">
      <c r="A3" s="9" t="inlineStr">
        <is>
          <t>① Investments @ market</t>
        </is>
      </c>
      <c r="B3" s="10">
        <f>Dashboard!$B$3+Dashboard!$B$4</f>
        <v/>
      </c>
    </row>
    <row r="4">
      <c r="A4" s="9" t="inlineStr">
        <is>
          <t>② Operating businesses</t>
        </is>
      </c>
      <c r="B4" s="10">
        <f>Dashboard!$B$6*Dashboard!$B$7</f>
        <v/>
      </c>
    </row>
    <row r="5">
      <c r="A5" s="9" t="inlineStr">
        <is>
          <t>③ − Deferred tax on gains</t>
        </is>
      </c>
      <c r="B5" s="10">
        <f>-Dashboard!$B$9*Dashboard!$B$10</f>
        <v/>
      </c>
    </row>
    <row r="6">
      <c r="A6" s="9" t="inlineStr">
        <is>
          <t>④ − Corporate / other</t>
        </is>
      </c>
      <c r="B6" s="10">
        <f>-Dashboard!$B$12</f>
        <v/>
      </c>
    </row>
    <row r="7">
      <c r="A7" s="11">
        <f> SOTP equity value</f>
        <v/>
      </c>
      <c r="B7" s="12">
        <f>SUM(B3:B6)</f>
        <v/>
      </c>
    </row>
    <row r="8">
      <c r="A8" s="11" t="inlineStr">
        <is>
          <t>÷ shares → value / share ($)</t>
        </is>
      </c>
      <c r="B8" s="13">
        <f>B7*1000/Dashboard!$B$14</f>
        <v/>
      </c>
    </row>
    <row r="9">
      <c r="A9" s="9" t="inlineStr">
        <is>
          <t>Upside vs price</t>
        </is>
      </c>
      <c r="B9" s="14">
        <f>B8/Dashboard!$B$15-1</f>
        <v/>
      </c>
    </row>
    <row r="10">
      <c r="A10" s="9" t="inlineStr">
        <is>
          <t>col-1: investments / share ($)</t>
        </is>
      </c>
      <c r="B10" s="15">
        <f>(Dashboard!$B$3+Dashboard!$B$4)*1000/Dashboard!$B$14</f>
        <v/>
      </c>
    </row>
    <row r="11">
      <c r="A11" s="9" t="inlineStr">
        <is>
          <t>col-2: operating value / share ($)</t>
        </is>
      </c>
      <c r="B11" s="15">
        <f>Dashboard!$B$6*Dashboard!$B$7*1000/Dashboard!$B$14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Method — Buffett's two columns</t>
        </is>
      </c>
    </row>
    <row r="3">
      <c r="A3" s="9" t="inlineStr">
        <is>
          <t>① Investments are MARKED to market (public) — this captures the insurance</t>
        </is>
      </c>
    </row>
    <row r="4">
      <c r="A4" s="9" t="inlineStr">
        <is>
          <t xml:space="preserve">   float's value: the float funds the portfolio at ~zero cost (free leverage).</t>
        </is>
      </c>
    </row>
    <row r="5">
      <c r="A5" s="9" t="inlineStr">
        <is>
          <t>② Operating earnings EXCLUDE insurance investment income — that income is</t>
        </is>
      </c>
    </row>
    <row r="6">
      <c r="A6" s="9" t="inlineStr">
        <is>
          <t xml:space="preserve">   already counted by marking the portfolio in ①. Capitalizing it too would</t>
        </is>
      </c>
    </row>
    <row r="7">
      <c r="A7" s="9" t="inlineStr">
        <is>
          <t xml:space="preserve">   double-count. Capitalize only the controlled-business earnings (BNSF, BHE,</t>
        </is>
      </c>
    </row>
    <row r="8">
      <c r="A8" s="9" t="inlineStr">
        <is>
          <t xml:space="preserve">   MSR, Pilot + insurance UNDERWRITING).</t>
        </is>
      </c>
    </row>
    <row r="9">
      <c r="A9" s="9" t="inlineStr">
        <is>
          <t>③ Deferred tax on unrealized gains is a real but deferred/contingent claim —</t>
        </is>
      </c>
    </row>
    <row r="10">
      <c r="A10" s="9" t="inlineStr">
        <is>
          <t xml:space="preserve">   haircut it (Berkshire rarely liquidates), don't take it at full face.</t>
        </is>
      </c>
    </row>
    <row r="11">
      <c r="A11" s="9" t="inlineStr">
        <is>
          <t>No holdco discount input: Berkshire trades ~AT its two-column value, so the</t>
        </is>
      </c>
    </row>
    <row r="12">
      <c r="A12" s="9" t="inlineStr">
        <is>
          <t>price-to-SOTP gap is the output. Swing variables: the operating multiple and</t>
        </is>
      </c>
    </row>
    <row r="13">
      <c r="A13" s="9" t="inlineStr">
        <is>
          <t>the DTL haircut.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2026-06-08T02:30:07Z</dcterms:created>
  <dcterms:modified xmlns:dcterms="http://purl.org/dc/terms/" xmlns:xsi="http://www.w3.org/2001/XMLSchema-instance" xsi:type="dcterms:W3CDTF">2026-06-08T02:30:07Z</dcterms:modified>
</cp:coreProperties>
</file>