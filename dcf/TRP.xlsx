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TC Energy Corporation (TRP)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TC Energy Corporation (TRP)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0.04704776325128211</v>
      </c>
      <c r="C20" s="15" t="n">
        <v>0.05</v>
      </c>
      <c r="D20" s="16" t="n">
        <v>0.04704776325128211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0.3336899440175967</v>
      </c>
      <c r="D29" s="16" t="n">
        <v>0.3336899440175967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0.3487576633891374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5814.6</v>
      </c>
      <c r="D34" s="18" t="n">
        <v>5814.6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0.971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68.19999694824219</v>
      </c>
    </row>
    <row r="49">
      <c r="A49" s="4" t="inlineStr">
        <is>
          <t>Growth fade curvature</t>
        </is>
      </c>
      <c r="B49" s="20" t="n">
        <v>4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35.44078918762624</v>
      </c>
      <c r="C58" s="28" t="n">
        <v>62.38376599677384</v>
      </c>
      <c r="D58" s="28" t="n">
        <v>14.13100652924117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TRP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0.5015182130772828</v>
      </c>
      <c r="H11" s="15" t="n">
        <v>0.5015182130772828</v>
      </c>
      <c r="I11" s="15" t="n">
        <v>0.5015182130772828</v>
      </c>
      <c r="J11" s="15" t="n">
        <v>0.5015182130772828</v>
      </c>
      <c r="K11" s="15" t="n">
        <v>0.5015182130772828</v>
      </c>
      <c r="L11" s="15" t="n">
        <v>0.5015182130772828</v>
      </c>
      <c r="M11" s="15" t="n">
        <v>0.5015182130772828</v>
      </c>
      <c r="N11" s="15" t="n">
        <v>0.5015182130772828</v>
      </c>
      <c r="O11" s="15" t="n">
        <v>0.5015182130772828</v>
      </c>
      <c r="P11" s="15" t="n">
        <v>0.5015182130772828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SUM(Financials!I27:L27)</f>
        <v/>
      </c>
      <c r="C24" s="33">
        <f>SUM(Financials!M27:P27)</f>
        <v/>
      </c>
      <c r="D24" s="33">
        <f>SUM(Financials!Q27:T27)</f>
        <v/>
      </c>
      <c r="E24" s="33">
        <f>SUM(Financials!U27:X27)</f>
        <v/>
      </c>
      <c r="F24" s="33">
        <f>SUM(Financials!Y27:AB27)</f>
        <v/>
      </c>
      <c r="G24" s="41">
        <f>G6*0.1829</f>
        <v/>
      </c>
      <c r="H24" s="41">
        <f>H6*0.1829</f>
        <v/>
      </c>
      <c r="I24" s="41">
        <f>I6*0.1829</f>
        <v/>
      </c>
      <c r="J24" s="41">
        <f>J6*0.1829</f>
        <v/>
      </c>
      <c r="K24" s="41">
        <f>K6*0.1829</f>
        <v/>
      </c>
      <c r="L24" s="41">
        <f>L6*0.1829</f>
        <v/>
      </c>
      <c r="M24" s="41">
        <f>M6*0.1829</f>
        <v/>
      </c>
      <c r="N24" s="41">
        <f>N6*0.1829</f>
        <v/>
      </c>
      <c r="O24" s="41">
        <f>O6*0.1829</f>
        <v/>
      </c>
      <c r="P24" s="41">
        <f>P6*0.1829</f>
        <v/>
      </c>
    </row>
    <row r="25">
      <c r="A25" s="4" t="inlineStr">
        <is>
          <t>+ SBC (non-cash)</t>
        </is>
      </c>
      <c r="B25" s="33">
        <f>SUM(Financials!I28:L28)</f>
        <v/>
      </c>
      <c r="C25" s="33">
        <f>SUM(Financials!M28:P28)</f>
        <v/>
      </c>
      <c r="D25" s="33">
        <f>SUM(Financials!Q28:T28)</f>
        <v/>
      </c>
      <c r="E25" s="33">
        <f>SUM(Financials!U28:X28)</f>
        <v/>
      </c>
      <c r="F25" s="33">
        <f>SUM(Financials!Y28:AB28)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-SUM(Financials!I31:L31)</f>
        <v/>
      </c>
      <c r="C27" s="33">
        <f>-SUM(Financials!M31:P31)</f>
        <v/>
      </c>
      <c r="D27" s="33">
        <f>-SUM(Financials!Q31:T31)</f>
        <v/>
      </c>
      <c r="E27" s="33">
        <f>-SUM(Financials!U31:X31)</f>
        <v/>
      </c>
      <c r="F27" s="33">
        <f>-SUM(Financials!Y31:AB31)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Financials!L25+Financials!L24-Financials!L19</f>
        <v/>
      </c>
      <c r="C34" s="33">
        <f>Financials!P25+Financials!P24-Financials!P19</f>
        <v/>
      </c>
      <c r="D34" s="33">
        <f>Financials!T25+Financials!T24-Financials!T19</f>
        <v/>
      </c>
      <c r="E34" s="33">
        <f>Financials!X25+Financials!X24-Financials!X19</f>
        <v/>
      </c>
      <c r="F34" s="33">
        <f>Financials!AB25+Financials!AB24-Financials!AB19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Financials!L25</f>
        <v/>
      </c>
      <c r="C35" s="33">
        <f>Financials!P25</f>
        <v/>
      </c>
      <c r="D35" s="33">
        <f>Financials!T25</f>
        <v/>
      </c>
      <c r="E35" s="33">
        <f>Financials!X25</f>
        <v/>
      </c>
      <c r="F35" s="33">
        <f>Financials!AB25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3372</v>
      </c>
      <c r="C3" s="18" t="n">
        <v>3133</v>
      </c>
      <c r="D3" s="18" t="n">
        <v>3263</v>
      </c>
      <c r="E3" s="18" t="n">
        <v>3418</v>
      </c>
      <c r="F3" s="18" t="n">
        <v>3089</v>
      </c>
      <c r="G3" s="18" t="n">
        <v>3195</v>
      </c>
      <c r="H3" s="18" t="n">
        <v>3297</v>
      </c>
      <c r="I3" s="18" t="n">
        <v>3381</v>
      </c>
      <c r="J3" s="18" t="n">
        <v>3182</v>
      </c>
      <c r="K3" s="18" t="n">
        <v>3240</v>
      </c>
      <c r="L3" s="18" t="n">
        <v>3584</v>
      </c>
      <c r="M3" s="18" t="n">
        <v>3500</v>
      </c>
      <c r="N3" s="18" t="n">
        <v>3637</v>
      </c>
      <c r="O3" s="18" t="n">
        <v>3799</v>
      </c>
      <c r="P3" s="18" t="n">
        <v>4041</v>
      </c>
      <c r="Q3" s="18" t="n">
        <v>3928</v>
      </c>
      <c r="R3" s="18" t="n">
        <v>3830</v>
      </c>
      <c r="S3" s="18" t="n">
        <v>3940</v>
      </c>
      <c r="T3" s="18" t="n">
        <v>4236</v>
      </c>
      <c r="U3" s="18" t="n">
        <v>3509</v>
      </c>
      <c r="V3" s="18" t="n">
        <v>3327</v>
      </c>
      <c r="W3" s="18" t="n">
        <v>4083</v>
      </c>
      <c r="X3" s="18" t="n">
        <v>1360</v>
      </c>
      <c r="Y3" s="18" t="n">
        <v>3623</v>
      </c>
      <c r="Z3" s="18" t="n">
        <v>3744</v>
      </c>
      <c r="AA3" s="18" t="n">
        <v>3704</v>
      </c>
      <c r="AB3" s="18" t="n">
        <v>4071.679143</v>
      </c>
      <c r="AC3" s="18" t="n">
        <v>4243.939191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1642</v>
      </c>
      <c r="C5" s="18" t="n">
        <v>1592</v>
      </c>
      <c r="D5" s="18" t="n">
        <v>1719</v>
      </c>
      <c r="E5" s="18" t="n">
        <v>1550</v>
      </c>
      <c r="F5" s="18" t="n">
        <v>1568</v>
      </c>
      <c r="G5" s="18" t="n">
        <v>1649</v>
      </c>
      <c r="H5" s="18" t="n">
        <v>1701</v>
      </c>
      <c r="I5" s="18" t="n">
        <v>1531</v>
      </c>
      <c r="J5" s="18" t="n">
        <v>1592</v>
      </c>
      <c r="K5" s="18" t="n">
        <v>1770</v>
      </c>
      <c r="L5" s="18" t="n">
        <v>1814</v>
      </c>
      <c r="M5" s="18" t="n">
        <v>1760</v>
      </c>
      <c r="N5" s="18" t="n">
        <v>1981</v>
      </c>
      <c r="O5" s="18" t="n">
        <v>2123</v>
      </c>
      <c r="P5" s="18" t="n">
        <v>2186</v>
      </c>
      <c r="Q5" s="18" t="n">
        <v>1821</v>
      </c>
      <c r="R5" s="18" t="n">
        <v>2018</v>
      </c>
      <c r="S5" s="18" t="n">
        <v>2139</v>
      </c>
      <c r="T5" s="18" t="n">
        <v>2204</v>
      </c>
      <c r="U5" s="18" t="n">
        <v>1705</v>
      </c>
      <c r="V5" s="18" t="n">
        <v>1754</v>
      </c>
      <c r="W5" s="18" t="n">
        <v>2241</v>
      </c>
      <c r="X5" s="18" t="n">
        <v>585</v>
      </c>
      <c r="Y5" s="18" t="n">
        <v>1738</v>
      </c>
      <c r="Z5" s="18" t="n">
        <v>1902</v>
      </c>
      <c r="AA5" s="18" t="n">
        <v>1906</v>
      </c>
      <c r="AB5" s="18" t="n">
        <v>2048.329385</v>
      </c>
      <c r="AC5" s="18" t="n">
        <v>1837.736956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1730</v>
      </c>
      <c r="C11" s="18" t="n">
        <v>1541</v>
      </c>
      <c r="D11" s="18" t="n">
        <v>1544</v>
      </c>
      <c r="E11" s="18" t="n">
        <v>1868</v>
      </c>
      <c r="F11" s="18" t="n">
        <v>1521</v>
      </c>
      <c r="G11" s="18" t="n">
        <v>1546</v>
      </c>
      <c r="H11" s="18" t="n">
        <v>1596</v>
      </c>
      <c r="I11" s="18" t="n">
        <v>1850</v>
      </c>
      <c r="J11" s="18" t="n">
        <v>1590</v>
      </c>
      <c r="K11" s="18" t="n">
        <v>1470</v>
      </c>
      <c r="L11" s="18" t="n">
        <v>1770</v>
      </c>
      <c r="M11" s="18" t="n">
        <v>1740</v>
      </c>
      <c r="N11" s="18" t="n">
        <v>1656</v>
      </c>
      <c r="O11" s="18" t="n">
        <v>1676</v>
      </c>
      <c r="P11" s="18" t="n">
        <v>1855</v>
      </c>
      <c r="Q11" s="18" t="n">
        <v>2107</v>
      </c>
      <c r="R11" s="18" t="n">
        <v>1812</v>
      </c>
      <c r="S11" s="18" t="n">
        <v>1801</v>
      </c>
      <c r="T11" s="18" t="n">
        <v>2032</v>
      </c>
      <c r="U11" s="18" t="n">
        <v>1804</v>
      </c>
      <c r="V11" s="18" t="n">
        <v>1573</v>
      </c>
      <c r="W11" s="18" t="n">
        <v>1842</v>
      </c>
      <c r="X11" s="18" t="n">
        <v>775</v>
      </c>
      <c r="Y11" s="18" t="n">
        <v>1885</v>
      </c>
      <c r="Z11" s="18" t="n">
        <v>1842</v>
      </c>
      <c r="AA11" s="18" t="n">
        <v>1798</v>
      </c>
      <c r="AB11" s="18" t="n">
        <v>2023.349758</v>
      </c>
      <c r="AC11" s="18" t="n">
        <v>2406.202234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1549</v>
      </c>
      <c r="C13" s="18" t="n">
        <v>1363</v>
      </c>
      <c r="D13" s="18" t="n">
        <v>1363</v>
      </c>
      <c r="E13" s="18" t="n">
        <v>1692</v>
      </c>
      <c r="F13" s="18" t="n">
        <v>1322</v>
      </c>
      <c r="G13" s="18" t="n">
        <v>1372</v>
      </c>
      <c r="H13" s="18" t="n">
        <v>1418</v>
      </c>
      <c r="I13" s="18" t="n">
        <v>1654</v>
      </c>
      <c r="J13" s="18" t="n">
        <v>1394</v>
      </c>
      <c r="K13" s="18" t="n">
        <v>1279</v>
      </c>
      <c r="L13" s="18" t="n">
        <v>1579</v>
      </c>
      <c r="M13" s="18" t="n">
        <v>1533</v>
      </c>
      <c r="N13" s="18" t="n">
        <v>1443</v>
      </c>
      <c r="O13" s="18" t="n">
        <v>1462</v>
      </c>
      <c r="P13" s="18" t="n">
        <v>1641</v>
      </c>
      <c r="Q13" s="18" t="n">
        <v>1880</v>
      </c>
      <c r="R13" s="18" t="n">
        <v>1590</v>
      </c>
      <c r="S13" s="18" t="n">
        <v>1583</v>
      </c>
      <c r="T13" s="18" t="n">
        <v>1802</v>
      </c>
      <c r="U13" s="18" t="n">
        <v>1608</v>
      </c>
      <c r="V13" s="18" t="n">
        <v>1363</v>
      </c>
      <c r="W13" s="18" t="n">
        <v>1607</v>
      </c>
      <c r="X13" s="18" t="n">
        <v>652</v>
      </c>
      <c r="Y13" s="18" t="n">
        <v>1661</v>
      </c>
      <c r="Z13" s="18" t="n">
        <v>1624</v>
      </c>
      <c r="AA13" s="18" t="n">
        <v>1583</v>
      </c>
      <c r="AB13" s="18" t="n">
        <v>1799.532303</v>
      </c>
      <c r="AC13" s="18" t="n">
        <v>2211.700887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1166</v>
      </c>
      <c r="C15" s="18" t="n">
        <v>780</v>
      </c>
      <c r="D15" s="18" t="n">
        <v>1149</v>
      </c>
      <c r="E15" s="18" t="n">
        <v>1189</v>
      </c>
      <c r="F15" s="18" t="n">
        <v>1321</v>
      </c>
      <c r="G15" s="18" t="n">
        <v>943</v>
      </c>
      <c r="H15" s="18" t="n">
        <v>1163</v>
      </c>
      <c r="I15" s="18" t="n">
        <v>-1019</v>
      </c>
      <c r="J15" s="18" t="n">
        <v>1014</v>
      </c>
      <c r="K15" s="18" t="n">
        <v>810</v>
      </c>
      <c r="L15" s="18" t="n">
        <v>1150</v>
      </c>
      <c r="M15" s="18" t="n">
        <v>389</v>
      </c>
      <c r="N15" s="18" t="n">
        <v>922</v>
      </c>
      <c r="O15" s="18" t="n">
        <v>862</v>
      </c>
      <c r="P15" s="18" t="n">
        <v>-1425</v>
      </c>
      <c r="Q15" s="18" t="n">
        <v>1336</v>
      </c>
      <c r="R15" s="18" t="n">
        <v>273</v>
      </c>
      <c r="S15" s="18" t="n">
        <v>-174</v>
      </c>
      <c r="T15" s="18" t="n">
        <v>1487</v>
      </c>
      <c r="U15" s="18" t="n">
        <v>1226</v>
      </c>
      <c r="V15" s="18" t="n">
        <v>990</v>
      </c>
      <c r="W15" s="18" t="n">
        <v>1483</v>
      </c>
      <c r="X15" s="18" t="n">
        <v>999</v>
      </c>
      <c r="Y15" s="18" t="n">
        <v>1006</v>
      </c>
      <c r="Z15" s="18" t="n">
        <v>861</v>
      </c>
      <c r="AA15" s="18" t="n">
        <v>637</v>
      </c>
      <c r="AB15" s="18" t="n">
        <v>1014.172841</v>
      </c>
      <c r="AC15" s="18" t="n">
        <v>929.395613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928</v>
      </c>
      <c r="C17" s="18" t="n">
        <v>933</v>
      </c>
      <c r="D17" s="18" t="n">
        <v>938</v>
      </c>
      <c r="E17" s="18" t="n">
        <v>940</v>
      </c>
      <c r="F17" s="18" t="n">
        <v>940</v>
      </c>
      <c r="G17" s="18" t="n">
        <v>940</v>
      </c>
      <c r="H17" s="18" t="n">
        <v>940</v>
      </c>
      <c r="I17" s="18" t="n">
        <v>953</v>
      </c>
      <c r="J17" s="18" t="n">
        <v>979</v>
      </c>
      <c r="K17" s="18" t="n">
        <v>979</v>
      </c>
      <c r="L17" s="18" t="n">
        <v>981</v>
      </c>
      <c r="M17" s="18" t="n">
        <v>981</v>
      </c>
      <c r="N17" s="18" t="n">
        <v>984</v>
      </c>
      <c r="O17" s="18" t="n">
        <v>1000</v>
      </c>
      <c r="P17" s="18" t="n">
        <v>1016</v>
      </c>
      <c r="Q17" s="18" t="n">
        <v>1021</v>
      </c>
      <c r="R17" s="18" t="n">
        <v>1027</v>
      </c>
      <c r="S17" s="18" t="n">
        <v>1035</v>
      </c>
      <c r="T17" s="18" t="n">
        <v>1037</v>
      </c>
      <c r="U17" s="18" t="n">
        <v>1037</v>
      </c>
      <c r="V17" s="18" t="n">
        <v>1037</v>
      </c>
      <c r="W17" s="18" t="n">
        <v>1037</v>
      </c>
      <c r="X17" s="18" t="n">
        <v>1038</v>
      </c>
      <c r="Y17" s="18" t="n">
        <v>1040</v>
      </c>
      <c r="Z17" s="18" t="n">
        <v>1040</v>
      </c>
      <c r="AA17" s="18" t="n">
        <v>1040</v>
      </c>
      <c r="AB17" s="18" t="n">
        <v>1041</v>
      </c>
      <c r="AC17" s="18" t="n">
        <v>1042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964</v>
      </c>
      <c r="C19" s="18" t="n">
        <v>2455</v>
      </c>
      <c r="D19" s="18" t="n">
        <v>1523</v>
      </c>
      <c r="E19" s="18" t="n">
        <v>2708</v>
      </c>
      <c r="F19" s="18" t="n">
        <v>2380</v>
      </c>
      <c r="G19" s="18" t="n">
        <v>1493</v>
      </c>
      <c r="H19" s="18" t="n">
        <v>1530</v>
      </c>
      <c r="I19" s="18" t="n">
        <v>2501</v>
      </c>
      <c r="J19" s="18" t="n">
        <v>3098</v>
      </c>
      <c r="K19" s="18" t="n">
        <v>3037</v>
      </c>
      <c r="L19" s="18" t="n">
        <v>673</v>
      </c>
      <c r="M19" s="18" t="n">
        <v>1497</v>
      </c>
      <c r="N19" s="18" t="n">
        <v>2044</v>
      </c>
      <c r="O19" s="18" t="n">
        <v>2862</v>
      </c>
      <c r="P19" s="18" t="n">
        <v>620</v>
      </c>
      <c r="Q19" s="18" t="n">
        <v>4481</v>
      </c>
      <c r="R19" s="18" t="n">
        <v>1694</v>
      </c>
      <c r="S19" s="18" t="n">
        <v>3276</v>
      </c>
      <c r="T19" s="18" t="n">
        <v>3678</v>
      </c>
      <c r="U19" s="18" t="n">
        <v>3193</v>
      </c>
      <c r="V19" s="18" t="n">
        <v>2474</v>
      </c>
      <c r="W19" s="18" t="n">
        <v>3797</v>
      </c>
      <c r="X19" s="18" t="n">
        <v>801</v>
      </c>
      <c r="Y19" s="18" t="n">
        <v>1962</v>
      </c>
      <c r="Z19" s="18" t="n">
        <v>1422</v>
      </c>
      <c r="AA19" s="18" t="n">
        <v>1802</v>
      </c>
      <c r="AB19" s="18" t="n">
        <v>260.787</v>
      </c>
      <c r="AC19" s="18" t="n">
        <v>1085.799</v>
      </c>
    </row>
    <row r="20">
      <c r="A20" s="4" t="inlineStr">
        <is>
          <t>Total Current Assets</t>
        </is>
      </c>
      <c r="B20" s="18" t="n">
        <v>5676</v>
      </c>
      <c r="C20" s="18" t="n">
        <v>8274</v>
      </c>
      <c r="D20" s="18" t="n">
        <v>7651</v>
      </c>
      <c r="E20" s="18" t="n">
        <v>8970</v>
      </c>
      <c r="F20" s="18" t="n">
        <v>5704</v>
      </c>
      <c r="G20" s="18" t="n">
        <v>5124</v>
      </c>
      <c r="H20" s="18" t="n">
        <v>5201</v>
      </c>
      <c r="I20" s="18" t="n">
        <v>7266</v>
      </c>
      <c r="J20" s="18" t="n">
        <v>8345</v>
      </c>
      <c r="K20" s="18" t="n">
        <v>8721</v>
      </c>
      <c r="L20" s="18" t="n">
        <v>7423</v>
      </c>
      <c r="M20" s="18" t="n">
        <v>8470</v>
      </c>
      <c r="N20" s="18" t="n">
        <v>9259</v>
      </c>
      <c r="O20" s="18" t="n">
        <v>8900</v>
      </c>
      <c r="P20" s="18" t="n">
        <v>7332</v>
      </c>
      <c r="Q20" s="18" t="n">
        <v>10318</v>
      </c>
      <c r="R20" s="18" t="n">
        <v>7623</v>
      </c>
      <c r="S20" s="18" t="n">
        <v>9620</v>
      </c>
      <c r="T20" s="18" t="n">
        <v>11372</v>
      </c>
      <c r="U20" s="18" t="n">
        <v>11885</v>
      </c>
      <c r="V20" s="18" t="n">
        <v>10460</v>
      </c>
      <c r="W20" s="18" t="n">
        <v>17093</v>
      </c>
      <c r="X20" s="18" t="n">
        <v>5733</v>
      </c>
      <c r="Y20" s="18" t="n">
        <v>7272</v>
      </c>
      <c r="Z20" s="18" t="n">
        <v>7137</v>
      </c>
      <c r="AA20" s="18" t="n">
        <v>7778</v>
      </c>
      <c r="AB20" s="18" t="n">
        <v>6310.853</v>
      </c>
      <c r="AC20" s="18" t="n">
        <v>6845.645</v>
      </c>
    </row>
    <row r="21">
      <c r="A21" s="4" t="inlineStr">
        <is>
          <t>PP&amp;E (net)</t>
        </is>
      </c>
      <c r="B21" s="18" t="n">
        <v>66685</v>
      </c>
      <c r="C21" s="18" t="n">
        <v>64962</v>
      </c>
      <c r="D21" s="18" t="n">
        <v>67204</v>
      </c>
      <c r="E21" s="18" t="n">
        <v>72273</v>
      </c>
      <c r="F21" s="18" t="n">
        <v>69880</v>
      </c>
      <c r="G21" s="18" t="n">
        <v>70544</v>
      </c>
      <c r="H21" s="18" t="n">
        <v>70006</v>
      </c>
      <c r="I21" s="18" t="n">
        <v>67185</v>
      </c>
      <c r="J21" s="18" t="n">
        <v>67192</v>
      </c>
      <c r="K21" s="18" t="n">
        <v>69284</v>
      </c>
      <c r="L21" s="18" t="n">
        <v>70224</v>
      </c>
      <c r="M21" s="18" t="n">
        <v>70482</v>
      </c>
      <c r="N21" s="18" t="n">
        <v>72609</v>
      </c>
      <c r="O21" s="18" t="n">
        <v>77127</v>
      </c>
      <c r="P21" s="18" t="n">
        <v>77934</v>
      </c>
      <c r="Q21" s="18" t="n">
        <v>79460</v>
      </c>
      <c r="R21" s="18" t="n">
        <v>79939</v>
      </c>
      <c r="S21" s="18" t="n">
        <v>82798</v>
      </c>
      <c r="T21" s="18" t="n">
        <v>71948</v>
      </c>
      <c r="U21" s="18" t="n">
        <v>84296</v>
      </c>
      <c r="V21" s="18" t="n">
        <v>86006</v>
      </c>
      <c r="W21" s="18" t="n">
        <v>86501</v>
      </c>
      <c r="X21" s="18" t="n">
        <v>80142</v>
      </c>
      <c r="Y21" s="18" t="n">
        <v>80468</v>
      </c>
      <c r="Z21" s="18" t="n">
        <v>77575</v>
      </c>
      <c r="AA21" s="18" t="n">
        <v>79468</v>
      </c>
      <c r="AB21" s="18" t="n">
        <v>70996.09600000001</v>
      </c>
      <c r="AC21" s="18" t="n">
        <v>72207.121</v>
      </c>
    </row>
    <row r="22">
      <c r="A22" s="4" t="inlineStr">
        <is>
          <t>Total Assets</t>
        </is>
      </c>
      <c r="B22" s="18" t="n">
        <v>98429</v>
      </c>
      <c r="C22" s="18" t="n">
        <v>99611</v>
      </c>
      <c r="D22" s="18" t="n">
        <v>99279</v>
      </c>
      <c r="E22" s="18" t="n">
        <v>107811</v>
      </c>
      <c r="F22" s="18" t="n">
        <v>101797</v>
      </c>
      <c r="G22" s="18" t="n">
        <v>101862</v>
      </c>
      <c r="H22" s="18" t="n">
        <v>100300</v>
      </c>
      <c r="I22" s="18" t="n">
        <v>99949</v>
      </c>
      <c r="J22" s="18" t="n">
        <v>101201</v>
      </c>
      <c r="K22" s="18" t="n">
        <v>104523</v>
      </c>
      <c r="L22" s="18" t="n">
        <v>104218</v>
      </c>
      <c r="M22" s="18" t="n">
        <v>105182</v>
      </c>
      <c r="N22" s="18" t="n">
        <v>109133</v>
      </c>
      <c r="O22" s="18" t="n">
        <v>116802</v>
      </c>
      <c r="P22" s="18" t="n">
        <v>114348</v>
      </c>
      <c r="Q22" s="18" t="n">
        <v>119201</v>
      </c>
      <c r="R22" s="18" t="n">
        <v>117033</v>
      </c>
      <c r="S22" s="18" t="n">
        <v>122649</v>
      </c>
      <c r="T22" s="18" t="n">
        <v>125034</v>
      </c>
      <c r="U22" s="18" t="n">
        <v>128026</v>
      </c>
      <c r="V22" s="18" t="n">
        <v>127966</v>
      </c>
      <c r="W22" s="18" t="n">
        <v>135292</v>
      </c>
      <c r="X22" s="18" t="n">
        <v>118243</v>
      </c>
      <c r="Y22" s="18" t="n">
        <v>120545</v>
      </c>
      <c r="Z22" s="18" t="n">
        <v>116837</v>
      </c>
      <c r="AA22" s="18" t="n">
        <v>120234</v>
      </c>
      <c r="AB22" s="18" t="n">
        <v>118654.226</v>
      </c>
      <c r="AC22" s="18" t="n">
        <v>121140.251</v>
      </c>
    </row>
    <row r="23">
      <c r="A23" s="4" t="inlineStr">
        <is>
          <t>Total Current Liabilities</t>
        </is>
      </c>
      <c r="B23" s="18" t="n">
        <v>12966</v>
      </c>
      <c r="C23" s="18" t="n">
        <v>11027</v>
      </c>
      <c r="D23" s="18" t="n">
        <v>12899</v>
      </c>
      <c r="E23" s="18" t="n">
        <v>17513</v>
      </c>
      <c r="F23" s="18" t="n">
        <v>9780</v>
      </c>
      <c r="G23" s="18" t="n">
        <v>10068</v>
      </c>
      <c r="H23" s="18" t="n">
        <v>11987</v>
      </c>
      <c r="I23" s="18" t="n">
        <v>8979</v>
      </c>
      <c r="J23" s="18" t="n">
        <v>13721</v>
      </c>
      <c r="K23" s="18" t="n">
        <v>16979</v>
      </c>
      <c r="L23" s="18" t="n">
        <v>13041</v>
      </c>
      <c r="M23" s="18" t="n">
        <v>13923</v>
      </c>
      <c r="N23" s="18" t="n">
        <v>14482</v>
      </c>
      <c r="O23" s="18" t="n">
        <v>16765</v>
      </c>
      <c r="P23" s="18" t="n">
        <v>16907</v>
      </c>
      <c r="Q23" s="18" t="n">
        <v>13958</v>
      </c>
      <c r="R23" s="18" t="n">
        <v>12590</v>
      </c>
      <c r="S23" s="18" t="n">
        <v>11134</v>
      </c>
      <c r="T23" s="18" t="n">
        <v>11817</v>
      </c>
      <c r="U23" s="18" t="n">
        <v>12708</v>
      </c>
      <c r="V23" s="18" t="n">
        <v>13800</v>
      </c>
      <c r="W23" s="18" t="n">
        <v>13083</v>
      </c>
      <c r="X23" s="18" t="n">
        <v>10511</v>
      </c>
      <c r="Y23" s="18" t="n">
        <v>10324</v>
      </c>
      <c r="Z23" s="18" t="n">
        <v>11742</v>
      </c>
      <c r="AA23" s="18" t="n">
        <v>12299</v>
      </c>
      <c r="AB23" s="18" t="n">
        <v>9950.884</v>
      </c>
      <c r="AC23" s="18" t="n">
        <v>10529.14</v>
      </c>
    </row>
    <row r="24">
      <c r="A24" s="4" t="inlineStr">
        <is>
          <t>Long-term Debt</t>
        </is>
      </c>
      <c r="B24" s="18" t="n">
        <v>42377</v>
      </c>
      <c r="C24" s="18" t="n">
        <v>45160</v>
      </c>
      <c r="D24" s="18" t="n">
        <v>42894</v>
      </c>
      <c r="E24" s="18" t="n">
        <v>44073</v>
      </c>
      <c r="F24" s="18" t="n">
        <v>46436</v>
      </c>
      <c r="G24" s="18" t="n">
        <v>45695</v>
      </c>
      <c r="H24" s="18" t="n">
        <v>43411</v>
      </c>
      <c r="I24" s="18" t="n">
        <v>48527</v>
      </c>
      <c r="J24" s="18" t="n">
        <v>44590</v>
      </c>
      <c r="K24" s="18" t="n">
        <v>44045</v>
      </c>
      <c r="L24" s="18" t="n">
        <v>46280</v>
      </c>
      <c r="M24" s="18" t="n">
        <v>46808</v>
      </c>
      <c r="N24" s="18" t="n">
        <v>50064</v>
      </c>
      <c r="O24" s="18" t="n">
        <v>51552</v>
      </c>
      <c r="P24" s="18" t="n">
        <v>50140</v>
      </c>
      <c r="Q24" s="18" t="n">
        <v>56738</v>
      </c>
      <c r="R24" s="18" t="n">
        <v>56381</v>
      </c>
      <c r="S24" s="18" t="n">
        <v>63228</v>
      </c>
      <c r="T24" s="18" t="n">
        <v>60263</v>
      </c>
      <c r="U24" s="18" t="n">
        <v>61103</v>
      </c>
      <c r="V24" s="18" t="n">
        <v>59740</v>
      </c>
      <c r="W24" s="18" t="n">
        <v>67558</v>
      </c>
      <c r="X24" s="18" t="n">
        <v>56024</v>
      </c>
      <c r="Y24" s="18" t="n">
        <v>57990</v>
      </c>
      <c r="Z24" s="18" t="n">
        <v>53890</v>
      </c>
      <c r="AA24" s="18" t="n">
        <v>56102</v>
      </c>
      <c r="AB24" s="18" t="n">
        <v>57774.879</v>
      </c>
      <c r="AC24" s="18" t="n">
        <v>58312.306</v>
      </c>
    </row>
    <row r="25">
      <c r="A25" s="4" t="inlineStr">
        <is>
          <t>Total Equity</t>
        </is>
      </c>
      <c r="B25" s="18" t="n">
        <v>30014</v>
      </c>
      <c r="C25" s="18" t="n">
        <v>30558</v>
      </c>
      <c r="D25" s="18" t="n">
        <v>30763</v>
      </c>
      <c r="E25" s="18" t="n">
        <v>32237</v>
      </c>
      <c r="F25" s="18" t="n">
        <v>32458</v>
      </c>
      <c r="G25" s="18" t="n">
        <v>32202</v>
      </c>
      <c r="H25" s="18" t="n">
        <v>31398</v>
      </c>
      <c r="I25" s="18" t="n">
        <v>31499</v>
      </c>
      <c r="J25" s="18" t="n">
        <v>32009</v>
      </c>
      <c r="K25" s="18" t="n">
        <v>32393</v>
      </c>
      <c r="L25" s="18" t="n">
        <v>33271</v>
      </c>
      <c r="M25" s="18" t="n">
        <v>32818</v>
      </c>
      <c r="N25" s="18" t="n">
        <v>32655</v>
      </c>
      <c r="O25" s="18" t="n">
        <v>35773</v>
      </c>
      <c r="P25" s="18" t="n">
        <v>33990</v>
      </c>
      <c r="Q25" s="18" t="n">
        <v>34573</v>
      </c>
      <c r="R25" s="18" t="n">
        <v>33838</v>
      </c>
      <c r="S25" s="18" t="n">
        <v>33642</v>
      </c>
      <c r="T25" s="18" t="n">
        <v>29553</v>
      </c>
      <c r="U25" s="18" t="n">
        <v>30101</v>
      </c>
      <c r="V25" s="18" t="n">
        <v>30120</v>
      </c>
      <c r="W25" s="18" t="n">
        <v>30456</v>
      </c>
      <c r="X25" s="18" t="n">
        <v>27592</v>
      </c>
      <c r="Y25" s="18" t="n">
        <v>27693</v>
      </c>
      <c r="Z25" s="18" t="n">
        <v>27520</v>
      </c>
      <c r="AA25" s="18" t="n">
        <v>27465</v>
      </c>
      <c r="AB25" s="18" t="n">
        <v>27272.756</v>
      </c>
      <c r="AC25" s="18" t="n">
        <v>27601.145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621</v>
      </c>
      <c r="C27" s="18" t="n">
        <v>610</v>
      </c>
      <c r="D27" s="18" t="n">
        <v>625</v>
      </c>
      <c r="E27" s="18" t="n">
        <v>630</v>
      </c>
      <c r="F27" s="18" t="n">
        <v>635</v>
      </c>
      <c r="G27" s="18" t="n">
        <v>673</v>
      </c>
      <c r="H27" s="18" t="n">
        <v>652</v>
      </c>
      <c r="I27" s="18" t="n">
        <v>645</v>
      </c>
      <c r="J27" s="18" t="n">
        <v>633</v>
      </c>
      <c r="K27" s="18" t="n">
        <v>610</v>
      </c>
      <c r="L27" s="18" t="n">
        <v>634</v>
      </c>
      <c r="M27" s="18" t="n">
        <v>626</v>
      </c>
      <c r="N27" s="18" t="n">
        <v>493.05845</v>
      </c>
      <c r="O27" s="18" t="n">
        <v>471.8578</v>
      </c>
      <c r="P27" s="18" t="n">
        <v>670</v>
      </c>
      <c r="Q27" s="18" t="n">
        <v>677</v>
      </c>
      <c r="R27" s="18" t="n">
        <v>694</v>
      </c>
      <c r="S27" s="18" t="n">
        <v>690</v>
      </c>
      <c r="T27" s="18" t="n">
        <v>717</v>
      </c>
      <c r="U27" s="18" t="n">
        <v>468.757</v>
      </c>
      <c r="V27" s="18" t="n">
        <v>462.5331</v>
      </c>
      <c r="W27" s="18" t="n">
        <v>464.1234</v>
      </c>
      <c r="X27" s="18" t="n">
        <v>639</v>
      </c>
      <c r="Y27" s="18" t="n">
        <v>678</v>
      </c>
      <c r="Z27" s="18" t="n">
        <v>671</v>
      </c>
      <c r="AA27" s="18" t="n">
        <v>701</v>
      </c>
      <c r="AB27" s="18" t="n">
        <v>719</v>
      </c>
      <c r="AC27" s="18" t="n">
        <v>519.77916</v>
      </c>
    </row>
    <row r="28">
      <c r="A28" s="4" t="inlineStr">
        <is>
          <t>Stock-based Compensation</t>
        </is>
      </c>
      <c r="B28" s="18" t="n">
        <v>0</v>
      </c>
      <c r="C28" s="18" t="n">
        <v>0</v>
      </c>
      <c r="D28" s="18" t="n">
        <v>13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47</v>
      </c>
      <c r="C29" s="18" t="n">
        <v>140</v>
      </c>
      <c r="D29" s="18" t="n">
        <v>-36</v>
      </c>
      <c r="E29" s="18" t="n">
        <v>-371</v>
      </c>
      <c r="F29" s="18" t="n">
        <v>64</v>
      </c>
      <c r="G29" s="18" t="n">
        <v>120</v>
      </c>
      <c r="H29" s="18" t="n">
        <v>-140</v>
      </c>
      <c r="I29" s="18" t="n">
        <v>-232</v>
      </c>
      <c r="J29" s="18" t="n">
        <v>-27</v>
      </c>
      <c r="K29" s="18" t="n">
        <v>227</v>
      </c>
      <c r="L29" s="18" t="n">
        <v>-255</v>
      </c>
      <c r="M29" s="18" t="n">
        <v>40</v>
      </c>
      <c r="N29" s="18" t="n">
        <v>-479.85846</v>
      </c>
      <c r="O29" s="18" t="n">
        <v>48.4142</v>
      </c>
      <c r="P29" s="18" t="n">
        <v>-128</v>
      </c>
      <c r="Q29" s="18" t="n">
        <v>60</v>
      </c>
      <c r="R29" s="18" t="n">
        <v>-177</v>
      </c>
      <c r="S29" s="18" t="n">
        <v>102</v>
      </c>
      <c r="T29" s="18" t="n">
        <v>222</v>
      </c>
      <c r="U29" s="18" t="n">
        <v>-253.9408</v>
      </c>
      <c r="V29" s="18" t="n">
        <v>-125.6804</v>
      </c>
      <c r="W29" s="18" t="n">
        <v>150.02715</v>
      </c>
      <c r="X29" s="18" t="n">
        <v>512</v>
      </c>
      <c r="Y29" s="18" t="n">
        <v>-590</v>
      </c>
      <c r="Z29" s="18" t="n">
        <v>209</v>
      </c>
      <c r="AA29" s="18" t="n">
        <v>130</v>
      </c>
      <c r="AB29" s="18" t="n">
        <v>-252</v>
      </c>
      <c r="AC29" s="18" t="n">
        <v>186.20028</v>
      </c>
    </row>
    <row r="30">
      <c r="A30" s="4" t="inlineStr">
        <is>
          <t>Operating Cash Flow</t>
        </is>
      </c>
      <c r="B30" s="18" t="n">
        <v>1722</v>
      </c>
      <c r="C30" s="18" t="n">
        <v>1585</v>
      </c>
      <c r="D30" s="18" t="n">
        <v>1826</v>
      </c>
      <c r="E30" s="18" t="n">
        <v>1723</v>
      </c>
      <c r="F30" s="18" t="n">
        <v>1613</v>
      </c>
      <c r="G30" s="18" t="n">
        <v>1783</v>
      </c>
      <c r="H30" s="18" t="n">
        <v>1939</v>
      </c>
      <c r="I30" s="18" t="n">
        <v>1666</v>
      </c>
      <c r="J30" s="18" t="n">
        <v>1711</v>
      </c>
      <c r="K30" s="18" t="n">
        <v>1712</v>
      </c>
      <c r="L30" s="18" t="n">
        <v>1801</v>
      </c>
      <c r="M30" s="18" t="n">
        <v>1707</v>
      </c>
      <c r="N30" s="18" t="n">
        <v>756.28178</v>
      </c>
      <c r="O30" s="18" t="n">
        <v>2099.8756</v>
      </c>
      <c r="P30" s="18" t="n">
        <v>2025</v>
      </c>
      <c r="Q30" s="18" t="n">
        <v>2074</v>
      </c>
      <c r="R30" s="18" t="n">
        <v>1510</v>
      </c>
      <c r="S30" s="18" t="n">
        <v>1824</v>
      </c>
      <c r="T30" s="18" t="n">
        <v>1860</v>
      </c>
      <c r="U30" s="18" t="n">
        <v>1529.5504</v>
      </c>
      <c r="V30" s="18" t="n">
        <v>1209.3085</v>
      </c>
      <c r="W30" s="18" t="n">
        <v>1791.4572</v>
      </c>
      <c r="X30" s="18" t="n">
        <v>2084</v>
      </c>
      <c r="Y30" s="18" t="n">
        <v>1359</v>
      </c>
      <c r="Z30" s="18" t="n">
        <v>2173</v>
      </c>
      <c r="AA30" s="18" t="n">
        <v>1920</v>
      </c>
      <c r="AB30" s="18" t="n">
        <v>1894</v>
      </c>
      <c r="AC30" s="18" t="n">
        <v>1871.34876</v>
      </c>
    </row>
    <row r="31">
      <c r="A31" s="4" t="inlineStr">
        <is>
          <t>Capex</t>
        </is>
      </c>
      <c r="B31" s="18" t="n">
        <v>-1788</v>
      </c>
      <c r="C31" s="18" t="n">
        <v>-2002</v>
      </c>
      <c r="D31" s="18" t="n">
        <v>-2206</v>
      </c>
      <c r="E31" s="18" t="n">
        <v>-2118</v>
      </c>
      <c r="F31" s="18" t="n">
        <v>-1990</v>
      </c>
      <c r="G31" s="18" t="n">
        <v>-2063</v>
      </c>
      <c r="H31" s="18" t="n">
        <v>-1964</v>
      </c>
      <c r="I31" s="18" t="n">
        <v>-1645</v>
      </c>
      <c r="J31" s="18" t="n">
        <v>-1214</v>
      </c>
      <c r="K31" s="18" t="n">
        <v>-1446</v>
      </c>
      <c r="L31" s="18" t="n">
        <v>-1619</v>
      </c>
      <c r="M31" s="18" t="n">
        <v>-1521</v>
      </c>
      <c r="N31" s="18" t="n">
        <v>-980.68161</v>
      </c>
      <c r="O31" s="18" t="n">
        <v>-1327.4162</v>
      </c>
      <c r="P31" s="18" t="n">
        <v>-2119</v>
      </c>
      <c r="Q31" s="18" t="n">
        <v>-1963</v>
      </c>
      <c r="R31" s="18" t="n">
        <v>-2044</v>
      </c>
      <c r="S31" s="18" t="n">
        <v>-2060</v>
      </c>
      <c r="T31" s="18" t="n">
        <v>-2082</v>
      </c>
      <c r="U31" s="18" t="n">
        <v>-1165.6178</v>
      </c>
      <c r="V31" s="18" t="n">
        <v>-974.0231</v>
      </c>
      <c r="W31" s="18" t="n">
        <v>-1297.7718</v>
      </c>
      <c r="X31" s="18" t="n">
        <v>-1649</v>
      </c>
      <c r="Y31" s="18" t="n">
        <v>-1564</v>
      </c>
      <c r="Z31" s="18" t="n">
        <v>-1115</v>
      </c>
      <c r="AA31" s="18" t="n">
        <v>-1257</v>
      </c>
      <c r="AB31" s="18" t="n">
        <v>-1350</v>
      </c>
      <c r="AC31" s="18" t="n">
        <v>-769.2444</v>
      </c>
    </row>
    <row r="32">
      <c r="A32" s="4" t="inlineStr">
        <is>
          <t>Free Cash Flow</t>
        </is>
      </c>
      <c r="B32" s="18" t="n">
        <v>-66</v>
      </c>
      <c r="C32" s="18" t="n">
        <v>-417</v>
      </c>
      <c r="D32" s="18" t="n">
        <v>-380</v>
      </c>
      <c r="E32" s="18" t="n">
        <v>-395</v>
      </c>
      <c r="F32" s="18" t="n">
        <v>-377</v>
      </c>
      <c r="G32" s="18" t="n">
        <v>-280</v>
      </c>
      <c r="H32" s="18" t="n">
        <v>-25</v>
      </c>
      <c r="I32" s="18" t="n">
        <v>21</v>
      </c>
      <c r="J32" s="18" t="n">
        <v>497</v>
      </c>
      <c r="K32" s="18" t="n">
        <v>266</v>
      </c>
      <c r="L32" s="18" t="n">
        <v>182</v>
      </c>
      <c r="M32" s="18" t="n">
        <v>186</v>
      </c>
      <c r="N32" s="18" t="n">
        <v>-224.39983</v>
      </c>
      <c r="O32" s="18" t="n">
        <v>772.4594</v>
      </c>
      <c r="P32" s="18" t="n">
        <v>-94</v>
      </c>
      <c r="Q32" s="18" t="n">
        <v>111</v>
      </c>
      <c r="R32" s="18" t="n">
        <v>-534</v>
      </c>
      <c r="S32" s="18" t="n">
        <v>-236</v>
      </c>
      <c r="T32" s="18" t="n">
        <v>-222</v>
      </c>
      <c r="U32" s="18" t="n">
        <v>363.9326</v>
      </c>
      <c r="V32" s="18" t="n">
        <v>235.2854</v>
      </c>
      <c r="W32" s="18" t="n">
        <v>493.6854</v>
      </c>
      <c r="X32" s="18" t="n">
        <v>435</v>
      </c>
      <c r="Y32" s="18" t="n">
        <v>-205</v>
      </c>
      <c r="Z32" s="18" t="n">
        <v>1058</v>
      </c>
      <c r="AA32" s="18" t="n">
        <v>663</v>
      </c>
      <c r="AB32" s="18" t="n">
        <v>544</v>
      </c>
      <c r="AC32" s="18" t="n">
        <v>1102.10436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16146.870837</v>
      </c>
      <c r="C4" s="18" t="n">
        <v>16870.254337</v>
      </c>
      <c r="D4" s="18" t="n">
        <v>17537.31411</v>
      </c>
      <c r="E4" s="18" t="n">
        <v>18485.099262</v>
      </c>
      <c r="F4" s="18" t="n">
        <v>19049.611227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9746.586531999999</v>
      </c>
      <c r="C8" s="18" t="n">
        <v>10183.235834</v>
      </c>
      <c r="D8" s="18" t="n">
        <v>10585.886965</v>
      </c>
      <c r="E8" s="18" t="n">
        <v>11157.989764</v>
      </c>
      <c r="F8" s="18" t="n">
        <v>11498.740908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6541.960355</v>
      </c>
      <c r="C12" s="18" t="n">
        <v>6835.041672</v>
      </c>
      <c r="D12" s="18" t="n">
        <v>7105.303238</v>
      </c>
      <c r="E12" s="18" t="n">
        <v>7489.301658</v>
      </c>
      <c r="F12" s="18" t="n">
        <v>7718.015626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4094.9168035</v>
      </c>
      <c r="C20" s="18" t="n">
        <v>4426.349204</v>
      </c>
      <c r="D20" s="18" t="n">
        <v>4494.2820035</v>
      </c>
      <c r="E20" s="18" t="n">
        <v>4626.460804</v>
      </c>
      <c r="F20" s="18" t="n">
        <v>5049.210404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3.69553</v>
      </c>
      <c r="C24" s="47" t="n">
        <v>3.91616</v>
      </c>
      <c r="D24" s="47" t="n">
        <v>4.10959</v>
      </c>
      <c r="E24" s="47" t="n">
        <v>4.44852</v>
      </c>
      <c r="F24" s="47" t="n">
        <v>4.85501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TC Energy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B34/B35*0.73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0.04803460027774664</v>
      </c>
      <c r="C4" s="51" t="n">
        <v>0.05303460027774664</v>
      </c>
      <c r="D4" s="51" t="n">
        <v>0.05803460027774664</v>
      </c>
      <c r="E4" s="51" t="n">
        <v>0.06303460027774664</v>
      </c>
      <c r="F4" s="51" t="n">
        <v>0.06803460027774665</v>
      </c>
      <c r="G4" s="51" t="n">
        <v>0.07303460027774664</v>
      </c>
      <c r="H4" s="51" t="n">
        <v>0.07803460027774664</v>
      </c>
    </row>
    <row r="5">
      <c r="A5" s="52" t="n">
        <v>9</v>
      </c>
      <c r="B5" s="53" t="n">
        <v>28.94543613819421</v>
      </c>
      <c r="C5" s="53" t="n">
        <v>26.01753965513143</v>
      </c>
      <c r="D5" s="53" t="n">
        <v>23.23278046274361</v>
      </c>
      <c r="E5" s="53" t="n">
        <v>20.58342888544253</v>
      </c>
      <c r="F5" s="53" t="n">
        <v>18.06220898988343</v>
      </c>
      <c r="G5" s="53" t="n">
        <v>15.66226990539071</v>
      </c>
      <c r="H5" s="53" t="n">
        <v>13.3771590830146</v>
      </c>
    </row>
    <row r="6">
      <c r="A6" s="52" t="n">
        <v>10</v>
      </c>
      <c r="B6" s="53" t="n">
        <v>34.6541489598302</v>
      </c>
      <c r="C6" s="53" t="n">
        <v>31.46091136282883</v>
      </c>
      <c r="D6" s="53" t="n">
        <v>28.42431444276614</v>
      </c>
      <c r="E6" s="53" t="n">
        <v>25.53588231950377</v>
      </c>
      <c r="F6" s="53" t="n">
        <v>22.78763732165278</v>
      </c>
      <c r="G6" s="53" t="n">
        <v>20.17206846646642</v>
      </c>
      <c r="H6" s="53" t="n">
        <v>17.68210207189298</v>
      </c>
    </row>
    <row r="7">
      <c r="A7" s="52" t="n">
        <v>11</v>
      </c>
      <c r="B7" s="53" t="n">
        <v>40.3628617814662</v>
      </c>
      <c r="C7" s="53" t="n">
        <v>36.90428307052624</v>
      </c>
      <c r="D7" s="53" t="n">
        <v>33.61584842278867</v>
      </c>
      <c r="E7" s="53" t="n">
        <v>30.488335753565</v>
      </c>
      <c r="F7" s="53" t="n">
        <v>27.51306565342213</v>
      </c>
      <c r="G7" s="53" t="n">
        <v>24.68186702754213</v>
      </c>
      <c r="H7" s="53" t="n">
        <v>21.98704506077135</v>
      </c>
    </row>
    <row r="8">
      <c r="A8" s="52" t="n">
        <v>12</v>
      </c>
      <c r="B8" s="53" t="n">
        <v>46.0715746031022</v>
      </c>
      <c r="C8" s="53" t="n">
        <v>42.34765477822363</v>
      </c>
      <c r="D8" s="53" t="n">
        <v>38.80738240281121</v>
      </c>
      <c r="E8" s="54" t="n">
        <v>35.44078918762624</v>
      </c>
      <c r="F8" s="53" t="n">
        <v>32.23849398519147</v>
      </c>
      <c r="G8" s="53" t="n">
        <v>29.19166558861783</v>
      </c>
      <c r="H8" s="53" t="n">
        <v>26.29198804964973</v>
      </c>
    </row>
    <row r="9">
      <c r="A9" s="52" t="n">
        <v>13</v>
      </c>
      <c r="B9" s="53" t="n">
        <v>51.7802874247382</v>
      </c>
      <c r="C9" s="53" t="n">
        <v>47.79102648592103</v>
      </c>
      <c r="D9" s="53" t="n">
        <v>43.99891638283374</v>
      </c>
      <c r="E9" s="53" t="n">
        <v>40.39324262168747</v>
      </c>
      <c r="F9" s="53" t="n">
        <v>36.9639223169608</v>
      </c>
      <c r="G9" s="53" t="n">
        <v>33.70146414969354</v>
      </c>
      <c r="H9" s="53" t="n">
        <v>30.59693103852809</v>
      </c>
    </row>
    <row r="10">
      <c r="A10" s="52" t="n">
        <v>14</v>
      </c>
      <c r="B10" s="53" t="n">
        <v>57.48900024637419</v>
      </c>
      <c r="C10" s="53" t="n">
        <v>53.23439819361845</v>
      </c>
      <c r="D10" s="53" t="n">
        <v>49.19045036285629</v>
      </c>
      <c r="E10" s="53" t="n">
        <v>45.34569605574871</v>
      </c>
      <c r="F10" s="53" t="n">
        <v>41.68935064873016</v>
      </c>
      <c r="G10" s="53" t="n">
        <v>38.21126271076926</v>
      </c>
      <c r="H10" s="53" t="n">
        <v>34.90187402740648</v>
      </c>
    </row>
    <row r="11">
      <c r="A11" s="52" t="n">
        <v>15</v>
      </c>
      <c r="B11" s="53" t="n">
        <v>63.1977130680102</v>
      </c>
      <c r="C11" s="53" t="n">
        <v>58.67776990131586</v>
      </c>
      <c r="D11" s="53" t="n">
        <v>54.38198434287882</v>
      </c>
      <c r="E11" s="53" t="n">
        <v>50.29814948980995</v>
      </c>
      <c r="F11" s="53" t="n">
        <v>46.4147789804995</v>
      </c>
      <c r="G11" s="53" t="n">
        <v>42.72106127184497</v>
      </c>
      <c r="H11" s="53" t="n">
        <v>39.20681701628486</v>
      </c>
    </row>
    <row r="13">
      <c r="A13" s="3" t="inlineStr">
        <is>
          <t>Current price</t>
        </is>
      </c>
      <c r="B13" s="53" t="n">
        <v>68.19999694824219</v>
      </c>
    </row>
    <row r="14">
      <c r="A14" s="3" t="inlineStr">
        <is>
          <t>Base WACC / multiple</t>
        </is>
      </c>
      <c r="B14" s="55" t="n">
        <v>0.06303460027774664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0.1828606400393833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1.969297081005486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0.015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0.6509082256301336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2026-07-08T07:04:20Z</dcterms:created>
  <dcterms:modified xmlns:dcterms="http://purl.org/dc/terms/" xmlns:xsi="http://www.w3.org/2001/XMLSchema-instance" xsi:type="dcterms:W3CDTF">2026-07-08T07:04:20Z</dcterms:modified>
</cp:coreProperties>
</file>