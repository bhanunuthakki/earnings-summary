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Marvell Technology, Inc. (MRVL)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Marvell Technology, Inc. (MRVL)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0.2240215173947547</v>
      </c>
      <c r="C20" s="15" t="n">
        <v>0.05</v>
      </c>
      <c r="D20" s="16" t="n">
        <v>0.2240215173947547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0.3949432252175317</v>
      </c>
      <c r="D29" s="16" t="n">
        <v>0.3949432252175317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0.4920550661596353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391.9300000000001</v>
      </c>
      <c r="D34" s="18" t="n">
        <v>391.9300000000001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2.251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0.005011945598400358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231.4700012207031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82.73475157293635</v>
      </c>
      <c r="C58" s="28" t="n">
        <v>107.3795575152652</v>
      </c>
      <c r="D58" s="28" t="n">
        <v>63.19922383212479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0.07209625851170283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0.0432577551070217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MRVL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Financials!AC37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39" t="inlineStr">
        <is>
          <t>FY2026A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  <c r="P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SUM(Financials!J3:M3)</f>
        <v/>
      </c>
      <c r="C4" s="33">
        <f>SUM(Financials!N3:Q3)</f>
        <v/>
      </c>
      <c r="D4" s="33">
        <f>SUM(Financials!R3:U3)</f>
        <v/>
      </c>
      <c r="E4" s="33">
        <f>SUM(Financials!V3:Y3)</f>
        <v/>
      </c>
      <c r="F4" s="33">
        <f>SUM(Financials!Z3:AC3)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SUM(Financials!J5:M5)</f>
        <v/>
      </c>
      <c r="C10" s="33">
        <f>SUM(Financials!N5:Q5)</f>
        <v/>
      </c>
      <c r="D10" s="33">
        <f>SUM(Financials!R5:U5)</f>
        <v/>
      </c>
      <c r="E10" s="33">
        <f>SUM(Financials!V5:Y5)</f>
        <v/>
      </c>
      <c r="F10" s="33">
        <f>SUM(Financials!Z5:AC5)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0.4989505283967492</v>
      </c>
      <c r="H11" s="15" t="n">
        <v>0.4989505283967492</v>
      </c>
      <c r="I11" s="15" t="n">
        <v>0.4989505283967492</v>
      </c>
      <c r="J11" s="15" t="n">
        <v>0.4989505283967492</v>
      </c>
      <c r="K11" s="15" t="n">
        <v>0.4989505283967492</v>
      </c>
      <c r="L11" s="15" t="n">
        <v>0.4989505283967492</v>
      </c>
      <c r="M11" s="15" t="n">
        <v>0.4989505283967492</v>
      </c>
      <c r="N11" s="15" t="n">
        <v>0.4989505283967492</v>
      </c>
      <c r="O11" s="15" t="n">
        <v>0.4989505283967492</v>
      </c>
      <c r="P11" s="15" t="n">
        <v>0.4989505283967492</v>
      </c>
    </row>
    <row r="12">
      <c r="A12" s="4" t="inlineStr">
        <is>
          <t>R&amp;D / Technology</t>
        </is>
      </c>
      <c r="B12" s="33">
        <f>SUM(Financials!J7:M7)</f>
        <v/>
      </c>
      <c r="C12" s="33">
        <f>SUM(Financials!N7:Q7)</f>
        <v/>
      </c>
      <c r="D12" s="33">
        <f>SUM(Financials!R7:U7)</f>
        <v/>
      </c>
      <c r="E12" s="33">
        <f>SUM(Financials!V7:Y7)</f>
        <v/>
      </c>
      <c r="F12" s="33">
        <f>SUM(Financials!Z7:AC7)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0.2532399384960828</v>
      </c>
      <c r="H13" s="15" t="n">
        <v>0.2532399384960828</v>
      </c>
      <c r="I13" s="15" t="n">
        <v>0.2532399384960828</v>
      </c>
      <c r="J13" s="15" t="n">
        <v>0.2532399384960828</v>
      </c>
      <c r="K13" s="15" t="n">
        <v>0.2532399384960828</v>
      </c>
      <c r="L13" s="15" t="n">
        <v>0.2532399384960828</v>
      </c>
      <c r="M13" s="15" t="n">
        <v>0.2532399384960828</v>
      </c>
      <c r="N13" s="15" t="n">
        <v>0.2532399384960828</v>
      </c>
      <c r="O13" s="15" t="n">
        <v>0.2532399384960828</v>
      </c>
      <c r="P13" s="15" t="n">
        <v>0.2532399384960828</v>
      </c>
    </row>
    <row r="14">
      <c r="A14" s="4" t="inlineStr">
        <is>
          <t>SG&amp;A</t>
        </is>
      </c>
      <c r="B14" s="33">
        <f>SUM(Financials!J9:M9)</f>
        <v/>
      </c>
      <c r="C14" s="33">
        <f>SUM(Financials!N9:Q9)</f>
        <v/>
      </c>
      <c r="D14" s="33">
        <f>SUM(Financials!R9:U9)</f>
        <v/>
      </c>
      <c r="E14" s="33">
        <f>SUM(Financials!V9:Y9)</f>
        <v/>
      </c>
      <c r="F14" s="33">
        <f>SUM(Financials!Z9:AC9)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0.08448246406169919</v>
      </c>
      <c r="H15" s="15" t="n">
        <v>0.08448246406169919</v>
      </c>
      <c r="I15" s="15" t="n">
        <v>0.08448246406169919</v>
      </c>
      <c r="J15" s="15" t="n">
        <v>0.08448246406169919</v>
      </c>
      <c r="K15" s="15" t="n">
        <v>0.08448246406169919</v>
      </c>
      <c r="L15" s="15" t="n">
        <v>0.08448246406169919</v>
      </c>
      <c r="M15" s="15" t="n">
        <v>0.08448246406169919</v>
      </c>
      <c r="N15" s="15" t="n">
        <v>0.08448246406169919</v>
      </c>
      <c r="O15" s="15" t="n">
        <v>0.08448246406169919</v>
      </c>
      <c r="P15" s="15" t="n">
        <v>0.08448246406169919</v>
      </c>
    </row>
    <row r="16">
      <c r="A16" s="4" t="inlineStr">
        <is>
          <t>Other opex (fulfilment, etc.)</t>
        </is>
      </c>
      <c r="B16" s="33">
        <f>B6-(B10+B12+B14)-SUM(Financials!J13:M13)</f>
        <v/>
      </c>
      <c r="C16" s="33">
        <f>C6-(C10+C12+C14)-SUM(Financials!N13:Q13)</f>
        <v/>
      </c>
      <c r="D16" s="33">
        <f>D6-(D10+D12+D14)-SUM(Financials!R13:U13)</f>
        <v/>
      </c>
      <c r="E16" s="33">
        <f>E6-(E10+E12+E14)-SUM(Financials!V13:Y13)</f>
        <v/>
      </c>
      <c r="F16" s="33">
        <f>F6-(F10+F12+F14)-SUM(Financials!Z13:AC13)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SUM(Financials!J40:M40)</f>
        <v/>
      </c>
      <c r="C24" s="33">
        <f>SUM(Financials!N40:Q40)</f>
        <v/>
      </c>
      <c r="D24" s="33">
        <f>SUM(Financials!R40:U40)</f>
        <v/>
      </c>
      <c r="E24" s="33">
        <f>SUM(Financials!V40:Y40)</f>
        <v/>
      </c>
      <c r="F24" s="33">
        <f>SUM(Financials!Z40:AC40)</f>
        <v/>
      </c>
      <c r="G24" s="41">
        <f>G6*0.1575</f>
        <v/>
      </c>
      <c r="H24" s="41">
        <f>H6*0.1575</f>
        <v/>
      </c>
      <c r="I24" s="41">
        <f>I6*0.1575</f>
        <v/>
      </c>
      <c r="J24" s="41">
        <f>J6*0.1575</f>
        <v/>
      </c>
      <c r="K24" s="41">
        <f>K6*0.1575</f>
        <v/>
      </c>
      <c r="L24" s="41">
        <f>L6*0.1575</f>
        <v/>
      </c>
      <c r="M24" s="41">
        <f>M6*0.1575</f>
        <v/>
      </c>
      <c r="N24" s="41">
        <f>N6*0.1575</f>
        <v/>
      </c>
      <c r="O24" s="41">
        <f>O6*0.1575</f>
        <v/>
      </c>
      <c r="P24" s="41">
        <f>P6*0.1575</f>
        <v/>
      </c>
    </row>
    <row r="25">
      <c r="A25" s="4" t="inlineStr">
        <is>
          <t>+ SBC (non-cash)</t>
        </is>
      </c>
      <c r="B25" s="33">
        <f>SUM(Financials!J41:M41)</f>
        <v/>
      </c>
      <c r="C25" s="33">
        <f>SUM(Financials!N41:Q41)</f>
        <v/>
      </c>
      <c r="D25" s="33">
        <f>SUM(Financials!R41:U41)</f>
        <v/>
      </c>
      <c r="E25" s="33">
        <f>SUM(Financials!V41:Y41)</f>
        <v/>
      </c>
      <c r="F25" s="33">
        <f>SUM(Financials!Z41:AC41)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-SUM(Financials!J44:M44)</f>
        <v/>
      </c>
      <c r="C27" s="33">
        <f>-SUM(Financials!N44:Q44)</f>
        <v/>
      </c>
      <c r="D27" s="33">
        <f>-SUM(Financials!R44:U44)</f>
        <v/>
      </c>
      <c r="E27" s="33">
        <f>-SUM(Financials!V44:Y44)</f>
        <v/>
      </c>
      <c r="F27" s="33">
        <f>-SUM(Financials!Z44:AC44)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Financials!M38+Financials!M37-Financials!M32</f>
        <v/>
      </c>
      <c r="C34" s="33">
        <f>Financials!Q38+Financials!Q37-Financials!Q32</f>
        <v/>
      </c>
      <c r="D34" s="33">
        <f>Financials!U38+Financials!U37-Financials!U32</f>
        <v/>
      </c>
      <c r="E34" s="33">
        <f>Financials!Y38+Financials!Y37-Financials!Y32</f>
        <v/>
      </c>
      <c r="F34" s="33">
        <f>Financials!AC38+Financials!AC37-Financials!AC32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Financials!M38</f>
        <v/>
      </c>
      <c r="C35" s="33">
        <f>Financials!Q38</f>
        <v/>
      </c>
      <c r="D35" s="33">
        <f>Financials!U38</f>
        <v/>
      </c>
      <c r="E35" s="33">
        <f>Financials!Y38</f>
        <v/>
      </c>
      <c r="F35" s="33">
        <f>Financials!AC38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IFERROR(SUM(Financials!N15:Q15)/B35,"")</f>
        <v/>
      </c>
      <c r="D37" s="11">
        <f>IFERROR(SUM(Financials!R15:U15)/C35,"")</f>
        <v/>
      </c>
      <c r="E37" s="11">
        <f>IFERROR(SUM(Financials!V15:Y15)/D35,"")</f>
        <v/>
      </c>
      <c r="F37" s="11">
        <f>IFERROR(SUM(Financials!Z15:AC15)/E35,"")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Q1 2020</t>
        </is>
      </c>
      <c r="C1" s="45" t="inlineStr">
        <is>
          <t>Q2 2020</t>
        </is>
      </c>
      <c r="D1" s="45" t="inlineStr">
        <is>
          <t>Q3 2020</t>
        </is>
      </c>
      <c r="E1" s="45" t="inlineStr">
        <is>
          <t>Q4 2020</t>
        </is>
      </c>
      <c r="F1" s="45" t="inlineStr">
        <is>
          <t>Q1 2021</t>
        </is>
      </c>
      <c r="G1" s="45" t="inlineStr">
        <is>
          <t>Q2 2021</t>
        </is>
      </c>
      <c r="H1" s="45" t="inlineStr">
        <is>
          <t>Q3 2021</t>
        </is>
      </c>
      <c r="I1" s="45" t="inlineStr">
        <is>
          <t>Q4 2021</t>
        </is>
      </c>
      <c r="J1" s="45" t="inlineStr">
        <is>
          <t>Q1 2022</t>
        </is>
      </c>
      <c r="K1" s="45" t="inlineStr">
        <is>
          <t>Q2 2022</t>
        </is>
      </c>
      <c r="L1" s="45" t="inlineStr">
        <is>
          <t>Q3 2022</t>
        </is>
      </c>
      <c r="M1" s="45" t="inlineStr">
        <is>
          <t>Q4 2022</t>
        </is>
      </c>
      <c r="N1" s="45" t="inlineStr">
        <is>
          <t>Q1 2023</t>
        </is>
      </c>
      <c r="O1" s="45" t="inlineStr">
        <is>
          <t>Q2 2023</t>
        </is>
      </c>
      <c r="P1" s="45" t="inlineStr">
        <is>
          <t>Q3 2023</t>
        </is>
      </c>
      <c r="Q1" s="45" t="inlineStr">
        <is>
          <t>Q4 2023</t>
        </is>
      </c>
      <c r="R1" s="45" t="inlineStr">
        <is>
          <t>Q1 2024</t>
        </is>
      </c>
      <c r="S1" s="45" t="inlineStr">
        <is>
          <t>Q2 2024</t>
        </is>
      </c>
      <c r="T1" s="45" t="inlineStr">
        <is>
          <t>Q3 2024</t>
        </is>
      </c>
      <c r="U1" s="45" t="inlineStr">
        <is>
          <t>Q4 2024</t>
        </is>
      </c>
      <c r="V1" s="45" t="inlineStr">
        <is>
          <t>Q1 2025</t>
        </is>
      </c>
      <c r="W1" s="45" t="inlineStr">
        <is>
          <t>Q2 2025</t>
        </is>
      </c>
      <c r="X1" s="45" t="inlineStr">
        <is>
          <t>Q3 2025</t>
        </is>
      </c>
      <c r="Y1" s="45" t="inlineStr">
        <is>
          <t>Q4 2025</t>
        </is>
      </c>
      <c r="Z1" s="45" t="inlineStr">
        <is>
          <t>Q1 2026</t>
        </is>
      </c>
      <c r="AA1" s="45" t="inlineStr">
        <is>
          <t>Q2 2026</t>
        </is>
      </c>
      <c r="AB1" s="45" t="inlineStr">
        <is>
          <t>Q3 2026</t>
        </is>
      </c>
      <c r="AC1" s="45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662.452</v>
      </c>
      <c r="C3" s="18" t="n">
        <v>656.568</v>
      </c>
      <c r="D3" s="18" t="n">
        <v>662.47</v>
      </c>
      <c r="E3" s="18" t="n">
        <v>717.671</v>
      </c>
      <c r="F3" s="18" t="n">
        <v>693.641</v>
      </c>
      <c r="G3" s="18" t="n">
        <v>727.297</v>
      </c>
      <c r="H3" s="18" t="n">
        <v>750.143</v>
      </c>
      <c r="I3" s="18" t="n">
        <v>797.819</v>
      </c>
      <c r="J3" s="18" t="n">
        <v>832.3</v>
      </c>
      <c r="K3" s="18" t="n">
        <v>1075.9</v>
      </c>
      <c r="L3" s="18" t="n">
        <v>1211.2</v>
      </c>
      <c r="M3" s="18" t="n">
        <v>1342.978</v>
      </c>
      <c r="N3" s="18" t="n">
        <v>1446.9</v>
      </c>
      <c r="O3" s="18" t="n">
        <v>1516.9</v>
      </c>
      <c r="P3" s="18" t="n">
        <v>1537.3</v>
      </c>
      <c r="Q3" s="18" t="n">
        <v>1418.5</v>
      </c>
      <c r="R3" s="18" t="n">
        <v>1321.7</v>
      </c>
      <c r="S3" s="18" t="n">
        <v>1340.9</v>
      </c>
      <c r="T3" s="18" t="n">
        <v>1418.6</v>
      </c>
      <c r="U3" s="18" t="n">
        <v>1426.5</v>
      </c>
      <c r="V3" s="18" t="n">
        <v>1160.9</v>
      </c>
      <c r="W3" s="18" t="n">
        <v>1272.9</v>
      </c>
      <c r="X3" s="18" t="n">
        <v>1516.1</v>
      </c>
      <c r="Y3" s="18" t="n">
        <v>1817.4</v>
      </c>
      <c r="Z3" s="18" t="n">
        <v>1895.3</v>
      </c>
      <c r="AA3" s="18" t="n">
        <v>2006.1</v>
      </c>
      <c r="AB3" s="18" t="n">
        <v>2074.5</v>
      </c>
      <c r="AC3" s="18" t="n">
        <v>2218.7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301.024</v>
      </c>
      <c r="C5" s="18" t="n">
        <v>305.866</v>
      </c>
      <c r="D5" s="18" t="n">
        <v>322.403</v>
      </c>
      <c r="E5" s="18" t="n">
        <v>412.927</v>
      </c>
      <c r="F5" s="18" t="n">
        <v>366.739</v>
      </c>
      <c r="G5" s="18" t="n">
        <v>368.041</v>
      </c>
      <c r="H5" s="18" t="n">
        <v>369.083</v>
      </c>
      <c r="I5" s="18" t="n">
        <v>376.687</v>
      </c>
      <c r="J5" s="18" t="n">
        <v>414.1</v>
      </c>
      <c r="K5" s="18" t="n">
        <v>704.1</v>
      </c>
      <c r="L5" s="18" t="n">
        <v>623.4</v>
      </c>
      <c r="M5" s="18" t="n">
        <v>656.544</v>
      </c>
      <c r="N5" s="18" t="n">
        <v>696</v>
      </c>
      <c r="O5" s="18" t="n">
        <v>730.9</v>
      </c>
      <c r="P5" s="18" t="n">
        <v>760</v>
      </c>
      <c r="Q5" s="18" t="n">
        <v>745.2</v>
      </c>
      <c r="R5" s="18" t="n">
        <v>764.5</v>
      </c>
      <c r="S5" s="18" t="n">
        <v>819.8</v>
      </c>
      <c r="T5" s="18" t="n">
        <v>867.4</v>
      </c>
      <c r="U5" s="18" t="n">
        <v>762.4</v>
      </c>
      <c r="V5" s="18" t="n">
        <v>633.1</v>
      </c>
      <c r="W5" s="18" t="n">
        <v>685.3</v>
      </c>
      <c r="X5" s="18" t="n">
        <v>1166.7</v>
      </c>
      <c r="Y5" s="18" t="n">
        <v>900</v>
      </c>
      <c r="Z5" s="18" t="n">
        <v>942.9</v>
      </c>
      <c r="AA5" s="18" t="n">
        <v>995.5</v>
      </c>
      <c r="AB5" s="18" t="n">
        <v>1004.7</v>
      </c>
      <c r="AC5" s="18" t="n">
        <v>1145.6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266.867</v>
      </c>
      <c r="C7" s="18" t="n">
        <v>266.353999</v>
      </c>
      <c r="D7" s="18" t="n">
        <v>267.781</v>
      </c>
      <c r="E7" s="18" t="n">
        <v>279.389</v>
      </c>
      <c r="F7" s="18" t="n">
        <v>279.584</v>
      </c>
      <c r="G7" s="18" t="n">
        <v>277.139</v>
      </c>
      <c r="H7" s="18" t="n">
        <v>255.637</v>
      </c>
      <c r="I7" s="18" t="n">
        <v>260.38</v>
      </c>
      <c r="J7" s="18" t="n">
        <v>286.1</v>
      </c>
      <c r="K7" s="18" t="n">
        <v>367</v>
      </c>
      <c r="L7" s="18" t="n">
        <v>371.9</v>
      </c>
      <c r="M7" s="18" t="n">
        <v>399.269</v>
      </c>
      <c r="N7" s="18" t="n">
        <v>444.1</v>
      </c>
      <c r="O7" s="18" t="n">
        <v>449</v>
      </c>
      <c r="P7" s="18" t="n">
        <v>448.1</v>
      </c>
      <c r="Q7" s="18" t="n">
        <v>443.1</v>
      </c>
      <c r="R7" s="18" t="n">
        <v>480.7</v>
      </c>
      <c r="S7" s="18" t="n">
        <v>474.8</v>
      </c>
      <c r="T7" s="18" t="n">
        <v>481.1</v>
      </c>
      <c r="U7" s="18" t="n">
        <v>459.6</v>
      </c>
      <c r="V7" s="18" t="n">
        <v>476.1</v>
      </c>
      <c r="W7" s="18" t="n">
        <v>486.7</v>
      </c>
      <c r="X7" s="18" t="n">
        <v>488.6</v>
      </c>
      <c r="Y7" s="18" t="n">
        <v>499</v>
      </c>
      <c r="Z7" s="18" t="n">
        <v>507.7</v>
      </c>
      <c r="AA7" s="18" t="n">
        <v>519</v>
      </c>
      <c r="AB7" s="18" t="n">
        <v>512.5</v>
      </c>
      <c r="AC7" s="18" t="n">
        <v>536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110.005</v>
      </c>
      <c r="C9" s="18" t="n">
        <v>113.99</v>
      </c>
      <c r="D9" s="18" t="n">
        <v>115.193</v>
      </c>
      <c r="E9" s="18" t="n">
        <v>121.592</v>
      </c>
      <c r="F9" s="18" t="n">
        <v>122.027</v>
      </c>
      <c r="G9" s="18" t="n">
        <v>112.794</v>
      </c>
      <c r="H9" s="18" t="n">
        <v>115.501</v>
      </c>
      <c r="I9" s="18" t="n">
        <v>116.918</v>
      </c>
      <c r="J9" s="18" t="n">
        <v>201.5</v>
      </c>
      <c r="K9" s="18" t="n">
        <v>259.2</v>
      </c>
      <c r="L9" s="18" t="n">
        <v>243.4</v>
      </c>
      <c r="M9" s="18" t="n">
        <v>251.212</v>
      </c>
      <c r="N9" s="18" t="n">
        <v>235.7</v>
      </c>
      <c r="O9" s="18" t="n">
        <v>211.7</v>
      </c>
      <c r="P9" s="18" t="n">
        <v>207.8</v>
      </c>
      <c r="Q9" s="18" t="n">
        <v>203.4</v>
      </c>
      <c r="R9" s="18" t="n">
        <v>199</v>
      </c>
      <c r="S9" s="18" t="n">
        <v>210</v>
      </c>
      <c r="T9" s="18" t="n">
        <v>213</v>
      </c>
      <c r="U9" s="18" t="n">
        <v>212</v>
      </c>
      <c r="V9" s="18" t="n">
        <v>199.9</v>
      </c>
      <c r="W9" s="18" t="n">
        <v>197.3</v>
      </c>
      <c r="X9" s="18" t="n">
        <v>205.3</v>
      </c>
      <c r="Y9" s="18" t="n">
        <v>195.7</v>
      </c>
      <c r="Z9" s="18" t="n">
        <v>186.4</v>
      </c>
      <c r="AA9" s="18" t="n">
        <v>192.8</v>
      </c>
      <c r="AB9" s="18" t="n">
        <v>189.9</v>
      </c>
      <c r="AC9" s="18" t="n">
        <v>123.2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361.428</v>
      </c>
      <c r="C11" s="18" t="n">
        <v>350.702</v>
      </c>
      <c r="D11" s="18" t="n">
        <v>340.067</v>
      </c>
      <c r="E11" s="18" t="n">
        <v>304.744</v>
      </c>
      <c r="F11" s="18" t="n">
        <v>326.902</v>
      </c>
      <c r="G11" s="18" t="n">
        <v>359.256</v>
      </c>
      <c r="H11" s="18" t="n">
        <v>381.06</v>
      </c>
      <c r="I11" s="18" t="n">
        <v>421.132</v>
      </c>
      <c r="J11" s="18" t="n">
        <v>418.2</v>
      </c>
      <c r="K11" s="18" t="n">
        <v>371.8</v>
      </c>
      <c r="L11" s="18" t="n">
        <v>587.8</v>
      </c>
      <c r="M11" s="18" t="n">
        <v>686.434</v>
      </c>
      <c r="N11" s="18" t="n">
        <v>750.9</v>
      </c>
      <c r="O11" s="18" t="n">
        <v>786</v>
      </c>
      <c r="P11" s="18" t="n">
        <v>777.3</v>
      </c>
      <c r="Q11" s="18" t="n">
        <v>673.3</v>
      </c>
      <c r="R11" s="18" t="n">
        <v>557.2</v>
      </c>
      <c r="S11" s="18" t="n">
        <v>521.1</v>
      </c>
      <c r="T11" s="18" t="n">
        <v>551.2</v>
      </c>
      <c r="U11" s="18" t="n">
        <v>664.1</v>
      </c>
      <c r="V11" s="18" t="n">
        <v>527.8</v>
      </c>
      <c r="W11" s="18" t="n">
        <v>587.6</v>
      </c>
      <c r="X11" s="18" t="n">
        <v>349.4</v>
      </c>
      <c r="Y11" s="18" t="n">
        <v>917.4</v>
      </c>
      <c r="Z11" s="18" t="n">
        <v>952.4</v>
      </c>
      <c r="AA11" s="18" t="n">
        <v>1010.6</v>
      </c>
      <c r="AB11" s="18" t="n">
        <v>1069.8</v>
      </c>
      <c r="AC11" s="18" t="n">
        <v>1073.099999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-15.444</v>
      </c>
      <c r="C13" s="18" t="n">
        <v>-29.642</v>
      </c>
      <c r="D13" s="18" t="n">
        <v>-42.907</v>
      </c>
      <c r="E13" s="18" t="n">
        <v>-96.03700000000001</v>
      </c>
      <c r="F13" s="18" t="n">
        <v>-95.996</v>
      </c>
      <c r="G13" s="18" t="n">
        <v>-151.267</v>
      </c>
      <c r="H13" s="18" t="n">
        <v>-9.390000000000001</v>
      </c>
      <c r="I13" s="18" t="n">
        <v>-1.736</v>
      </c>
      <c r="J13" s="18" t="n">
        <v>-82.3</v>
      </c>
      <c r="K13" s="18" t="n">
        <v>-266.7</v>
      </c>
      <c r="L13" s="18" t="n">
        <v>-33.4</v>
      </c>
      <c r="M13" s="18" t="n">
        <v>34.652</v>
      </c>
      <c r="N13" s="18" t="n">
        <v>69.8</v>
      </c>
      <c r="O13" s="18" t="n">
        <v>39.1</v>
      </c>
      <c r="P13" s="18" t="n">
        <v>105.8</v>
      </c>
      <c r="Q13" s="18" t="n">
        <v>23.3</v>
      </c>
      <c r="R13" s="18" t="n">
        <v>-182.4</v>
      </c>
      <c r="S13" s="18" t="n">
        <v>-205.7</v>
      </c>
      <c r="T13" s="18" t="n">
        <v>-146.3</v>
      </c>
      <c r="U13" s="18" t="n">
        <v>-33.3</v>
      </c>
      <c r="V13" s="18" t="n">
        <v>-152.3</v>
      </c>
      <c r="W13" s="18" t="n">
        <v>-100.4</v>
      </c>
      <c r="X13" s="18" t="n">
        <v>-702.8</v>
      </c>
      <c r="Y13" s="18" t="n">
        <v>235.2</v>
      </c>
      <c r="Z13" s="18" t="n">
        <v>270.6</v>
      </c>
      <c r="AA13" s="18" t="n">
        <v>290.1</v>
      </c>
      <c r="AB13" s="18" t="n">
        <v>357.8</v>
      </c>
      <c r="AC13" s="18" t="n">
        <v>413.9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-48.45</v>
      </c>
      <c r="C15" s="18" t="n">
        <v>-57.331</v>
      </c>
      <c r="D15" s="18" t="n">
        <v>-82.501</v>
      </c>
      <c r="E15" s="18" t="n">
        <v>1772.673</v>
      </c>
      <c r="F15" s="18" t="n">
        <v>-113.033</v>
      </c>
      <c r="G15" s="18" t="n">
        <v>-157.893</v>
      </c>
      <c r="H15" s="18" t="n">
        <v>-22.908</v>
      </c>
      <c r="I15" s="18" t="n">
        <v>16.536</v>
      </c>
      <c r="J15" s="18" t="n">
        <v>-88.2</v>
      </c>
      <c r="K15" s="18" t="n">
        <v>-276.4</v>
      </c>
      <c r="L15" s="18" t="n">
        <v>-62.6</v>
      </c>
      <c r="M15" s="18" t="n">
        <v>6.168</v>
      </c>
      <c r="N15" s="18" t="n">
        <v>-165.7</v>
      </c>
      <c r="O15" s="18" t="n">
        <v>4.3</v>
      </c>
      <c r="P15" s="18" t="n">
        <v>13.3</v>
      </c>
      <c r="Q15" s="18" t="n">
        <v>-15.4</v>
      </c>
      <c r="R15" s="18" t="n">
        <v>-168.9</v>
      </c>
      <c r="S15" s="18" t="n">
        <v>-207.5</v>
      </c>
      <c r="T15" s="18" t="n">
        <v>-164.3</v>
      </c>
      <c r="U15" s="18" t="n">
        <v>-392.7</v>
      </c>
      <c r="V15" s="18" t="n">
        <v>-215.6</v>
      </c>
      <c r="W15" s="18" t="n">
        <v>-193.3</v>
      </c>
      <c r="X15" s="18" t="n">
        <v>-676.3</v>
      </c>
      <c r="Y15" s="18" t="n">
        <v>200.2</v>
      </c>
      <c r="Z15" s="18" t="n">
        <v>177.9</v>
      </c>
      <c r="AA15" s="18" t="n">
        <v>194.8</v>
      </c>
      <c r="AB15" s="18" t="n">
        <v>1901.3</v>
      </c>
      <c r="AC15" s="18" t="n">
        <v>396.1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658.963</v>
      </c>
      <c r="C17" s="18" t="n">
        <v>663.603</v>
      </c>
      <c r="D17" s="18" t="n">
        <v>668.178</v>
      </c>
      <c r="E17" s="18" t="n">
        <v>675.7</v>
      </c>
      <c r="F17" s="18" t="n">
        <v>663.547</v>
      </c>
      <c r="G17" s="18" t="n">
        <v>667.574</v>
      </c>
      <c r="H17" s="18" t="n">
        <v>670.487</v>
      </c>
      <c r="I17" s="18" t="n">
        <v>687.9589999999999</v>
      </c>
      <c r="J17" s="18" t="n">
        <v>693.4</v>
      </c>
      <c r="K17" s="18" t="n">
        <v>821.1</v>
      </c>
      <c r="L17" s="18" t="n">
        <v>828.6</v>
      </c>
      <c r="M17" s="18" t="n">
        <v>862.062</v>
      </c>
      <c r="N17" s="18" t="n">
        <v>848</v>
      </c>
      <c r="O17" s="18" t="n">
        <v>857.9</v>
      </c>
      <c r="P17" s="18" t="n">
        <v>858.4</v>
      </c>
      <c r="Q17" s="18" t="n">
        <v>854.1</v>
      </c>
      <c r="R17" s="18" t="n">
        <v>856.7</v>
      </c>
      <c r="S17" s="18" t="n">
        <v>860.9</v>
      </c>
      <c r="T17" s="18" t="n">
        <v>862.6</v>
      </c>
      <c r="U17" s="18" t="n">
        <v>864.7</v>
      </c>
      <c r="V17" s="18" t="n">
        <v>865</v>
      </c>
      <c r="W17" s="18" t="n">
        <v>865.7</v>
      </c>
      <c r="X17" s="18" t="n">
        <v>865.7</v>
      </c>
      <c r="Y17" s="18" t="n">
        <v>865.5</v>
      </c>
      <c r="Z17" s="18" t="n">
        <v>875.6</v>
      </c>
      <c r="AA17" s="18" t="n">
        <v>870.4</v>
      </c>
      <c r="AB17" s="18" t="n">
        <v>869.9</v>
      </c>
      <c r="AC17" s="18" t="n">
        <v>856.2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Other Countries</t>
        </is>
      </c>
      <c r="B19" s="18" t="n">
        <v>187.167</v>
      </c>
      <c r="C19" s="18" t="n">
        <v>136.771</v>
      </c>
      <c r="D19" s="18" t="n">
        <v>129.494</v>
      </c>
      <c r="F19" s="18" t="n">
        <v>148.093</v>
      </c>
      <c r="H19" s="18" t="n">
        <v>145.099</v>
      </c>
      <c r="J19" s="18" t="n">
        <v>168.288</v>
      </c>
      <c r="K19" s="18" t="n">
        <v>194.862</v>
      </c>
      <c r="L19" s="18" t="n">
        <v>244.194</v>
      </c>
      <c r="M19" s="18" t="n">
        <v>112.157</v>
      </c>
      <c r="N19" s="18" t="n">
        <v>250.3</v>
      </c>
      <c r="O19" s="18" t="n">
        <v>203.1</v>
      </c>
      <c r="P19" s="18" t="n">
        <v>212</v>
      </c>
      <c r="Q19" s="18" t="n">
        <v>50.9</v>
      </c>
      <c r="R19" s="18" t="n">
        <v>173.2</v>
      </c>
      <c r="S19" s="18" t="n">
        <v>164</v>
      </c>
      <c r="T19" s="18" t="n">
        <v>177.8</v>
      </c>
      <c r="U19" s="18" t="n">
        <v>152.1</v>
      </c>
      <c r="V19" s="18" t="n">
        <v>103.2</v>
      </c>
      <c r="W19" s="18" t="n">
        <v>91.2</v>
      </c>
      <c r="X19" s="18" t="n">
        <v>155.2</v>
      </c>
      <c r="Y19" s="18" t="n">
        <v>213.7</v>
      </c>
      <c r="Z19" s="18" t="n">
        <v>139.4</v>
      </c>
      <c r="AA19" s="18" t="n">
        <v>158.7</v>
      </c>
      <c r="AB19" s="18" t="n">
        <v>622.6</v>
      </c>
      <c r="AC19" s="18" t="n">
        <v>1472.6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CHINA</t>
        </is>
      </c>
      <c r="B22" s="18" t="n">
        <v>280.555</v>
      </c>
      <c r="C22" s="18" t="n">
        <v>280.146</v>
      </c>
      <c r="D22" s="18" t="n">
        <v>303.183</v>
      </c>
      <c r="F22" s="18" t="n">
        <v>360.565</v>
      </c>
      <c r="H22" s="18" t="n">
        <v>324.927</v>
      </c>
      <c r="J22" s="18" t="n">
        <v>341.078</v>
      </c>
      <c r="K22" s="18" t="n">
        <v>488.315</v>
      </c>
      <c r="L22" s="18" t="n">
        <v>558.899</v>
      </c>
      <c r="M22" s="18" t="n">
        <v>582.252</v>
      </c>
      <c r="N22" s="18" t="n">
        <v>644</v>
      </c>
      <c r="O22" s="18" t="n">
        <v>693.6</v>
      </c>
      <c r="P22" s="18" t="n">
        <v>604.1</v>
      </c>
      <c r="Q22" s="18" t="n">
        <v>544.6</v>
      </c>
      <c r="R22" s="18" t="n">
        <v>515.7</v>
      </c>
      <c r="S22" s="18" t="n">
        <v>569.3</v>
      </c>
      <c r="T22" s="18" t="n">
        <v>605.3</v>
      </c>
      <c r="U22" s="18" t="n">
        <v>680.7</v>
      </c>
      <c r="V22" s="18" t="n">
        <v>529.6</v>
      </c>
      <c r="W22" s="18" t="n">
        <v>586.8</v>
      </c>
      <c r="X22" s="18" t="n">
        <v>658.4</v>
      </c>
      <c r="Y22" s="18" t="n">
        <v>732.8</v>
      </c>
      <c r="Z22" s="18" t="n">
        <v>708.9</v>
      </c>
      <c r="AA22" s="18" t="n">
        <v>583.4</v>
      </c>
      <c r="AB22" s="18" t="n">
        <v>838.7</v>
      </c>
      <c r="AC22" s="18" t="n">
        <v>838.9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TAIWAN</t>
        </is>
      </c>
      <c r="N25" s="18" t="n">
        <v>53.6</v>
      </c>
      <c r="O25" s="18" t="n">
        <v>61.3</v>
      </c>
      <c r="P25" s="18" t="n">
        <v>89.40000000000001</v>
      </c>
      <c r="Q25" s="18" t="n">
        <v>84.7</v>
      </c>
      <c r="R25" s="18" t="n">
        <v>53.8</v>
      </c>
      <c r="S25" s="18" t="n">
        <v>59.1</v>
      </c>
      <c r="T25" s="18" t="n">
        <v>22.9</v>
      </c>
      <c r="U25" s="18" t="n">
        <v>26.1</v>
      </c>
      <c r="V25" s="18" t="n">
        <v>42.6</v>
      </c>
      <c r="W25" s="18" t="n">
        <v>38.5</v>
      </c>
      <c r="X25" s="18" t="n">
        <v>198.5</v>
      </c>
      <c r="Y25" s="18" t="n">
        <v>281.1</v>
      </c>
      <c r="Z25" s="18" t="n">
        <v>327.3</v>
      </c>
      <c r="AA25" s="18" t="n">
        <v>541.2</v>
      </c>
      <c r="AB25" s="18" t="n">
        <v>318.9</v>
      </c>
      <c r="AC25" s="18" t="n">
        <v>469.9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UNITED STATES</t>
        </is>
      </c>
      <c r="B28" s="18" t="n">
        <v>68.47</v>
      </c>
      <c r="C28" s="18" t="n">
        <v>81.232</v>
      </c>
      <c r="D28" s="18" t="n">
        <v>86.831</v>
      </c>
      <c r="F28" s="18" t="n">
        <v>79.634</v>
      </c>
      <c r="H28" s="18" t="n">
        <v>73.751</v>
      </c>
      <c r="J28" s="18" t="n">
        <v>87.414</v>
      </c>
      <c r="K28" s="18" t="n">
        <v>123.162</v>
      </c>
      <c r="L28" s="18" t="n">
        <v>123.969</v>
      </c>
      <c r="M28" s="18" t="n">
        <v>149.497</v>
      </c>
      <c r="N28" s="18" t="n">
        <v>149.5</v>
      </c>
      <c r="O28" s="18" t="n">
        <v>185</v>
      </c>
      <c r="P28" s="18" t="n">
        <v>184.6</v>
      </c>
      <c r="Q28" s="18" t="n">
        <v>171</v>
      </c>
      <c r="R28" s="18" t="n">
        <v>187.3</v>
      </c>
      <c r="S28" s="18" t="n">
        <v>202.8</v>
      </c>
      <c r="T28" s="18" t="n">
        <v>217.1</v>
      </c>
      <c r="U28" s="18" t="n">
        <v>188.4</v>
      </c>
      <c r="V28" s="18" t="n">
        <v>216.5</v>
      </c>
      <c r="W28" s="18" t="n">
        <v>202.9</v>
      </c>
      <c r="X28" s="18" t="n">
        <v>256</v>
      </c>
      <c r="Y28" s="18" t="n">
        <v>281.5</v>
      </c>
      <c r="Z28" s="18" t="n">
        <v>305.2</v>
      </c>
      <c r="AA28" s="18" t="n">
        <v>310.8</v>
      </c>
      <c r="AB28" s="18" t="n">
        <v>294.3</v>
      </c>
      <c r="AC28" s="18" t="n">
        <v>263.8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5" t="inlineStr">
        <is>
          <t xml:space="preserve">  BALANCE SHEET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4" t="inlineStr">
        <is>
          <t>Cash &amp; ST Investments</t>
        </is>
      </c>
      <c r="B32" s="18" t="n">
        <v>571.893</v>
      </c>
      <c r="C32" s="18" t="n">
        <v>573.496</v>
      </c>
      <c r="D32" s="18" t="n">
        <v>438.369</v>
      </c>
      <c r="E32" s="18" t="n">
        <v>647.604</v>
      </c>
      <c r="F32" s="18" t="n">
        <v>667.548</v>
      </c>
      <c r="G32" s="18" t="n">
        <v>831.534</v>
      </c>
      <c r="H32" s="18" t="n">
        <v>832.0410000000001</v>
      </c>
      <c r="I32" s="18" t="n">
        <v>748.467</v>
      </c>
      <c r="J32" s="18" t="n">
        <v>522.5119999999999</v>
      </c>
      <c r="K32" s="18" t="n">
        <v>559.617</v>
      </c>
      <c r="L32" s="18" t="n">
        <v>523.502</v>
      </c>
      <c r="M32" s="18" t="n">
        <v>613.5</v>
      </c>
      <c r="N32" s="18" t="n">
        <v>465</v>
      </c>
      <c r="O32" s="18" t="n">
        <v>617.1</v>
      </c>
      <c r="P32" s="18" t="n">
        <v>723.4</v>
      </c>
      <c r="Q32" s="18" t="n">
        <v>911</v>
      </c>
      <c r="R32" s="18" t="n">
        <v>1028.3</v>
      </c>
      <c r="S32" s="18" t="n">
        <v>423.4</v>
      </c>
      <c r="T32" s="18" t="n">
        <v>725.6</v>
      </c>
      <c r="U32" s="18" t="n">
        <v>950.8</v>
      </c>
      <c r="V32" s="18" t="n">
        <v>847.7</v>
      </c>
      <c r="W32" s="18" t="n">
        <v>808.7</v>
      </c>
      <c r="X32" s="18" t="n">
        <v>868.1</v>
      </c>
      <c r="Y32" s="18" t="n">
        <v>948.3</v>
      </c>
      <c r="Z32" s="18" t="n">
        <v>885.9</v>
      </c>
      <c r="AA32" s="18" t="n">
        <v>1224.4</v>
      </c>
      <c r="AB32" s="18" t="n">
        <v>2714.5</v>
      </c>
      <c r="AC32" s="18" t="n">
        <v>2638.8</v>
      </c>
    </row>
    <row r="33">
      <c r="A33" s="4" t="inlineStr">
        <is>
          <t>Total Current Assets</t>
        </is>
      </c>
      <c r="B33" s="18" t="n">
        <v>1342.932</v>
      </c>
      <c r="C33" s="18" t="n">
        <v>1901.407</v>
      </c>
      <c r="D33" s="18" t="n">
        <v>1886.566</v>
      </c>
      <c r="E33" s="18" t="n">
        <v>1537.497</v>
      </c>
      <c r="F33" s="18" t="n">
        <v>1478.964</v>
      </c>
      <c r="G33" s="18" t="n">
        <v>1632.087</v>
      </c>
      <c r="H33" s="18" t="n">
        <v>1659.326</v>
      </c>
      <c r="I33" s="18" t="n">
        <v>1617.145</v>
      </c>
      <c r="J33" s="18" t="n">
        <v>1887.811</v>
      </c>
      <c r="K33" s="18" t="n">
        <v>1908.477</v>
      </c>
      <c r="L33" s="18" t="n">
        <v>2244.814</v>
      </c>
      <c r="M33" s="18" t="n">
        <v>2493.4</v>
      </c>
      <c r="N33" s="18" t="n">
        <v>2598.9</v>
      </c>
      <c r="O33" s="18" t="n">
        <v>2915</v>
      </c>
      <c r="P33" s="18" t="n">
        <v>3179.3</v>
      </c>
      <c r="Q33" s="18" t="n">
        <v>3281.1</v>
      </c>
      <c r="R33" s="18" t="n">
        <v>3202.9</v>
      </c>
      <c r="S33" s="18" t="n">
        <v>2767.2</v>
      </c>
      <c r="T33" s="18" t="n">
        <v>2973.2</v>
      </c>
      <c r="U33" s="18" t="n">
        <v>3062.7</v>
      </c>
      <c r="V33" s="18" t="n">
        <v>2647.7</v>
      </c>
      <c r="W33" s="18" t="n">
        <v>2763.9</v>
      </c>
      <c r="X33" s="18" t="n">
        <v>2816.8</v>
      </c>
      <c r="Y33" s="18" t="n">
        <v>3120.3</v>
      </c>
      <c r="Z33" s="18" t="n">
        <v>3837.6</v>
      </c>
      <c r="AA33" s="18" t="n">
        <v>4512.9</v>
      </c>
      <c r="AB33" s="18" t="n">
        <v>5512.5</v>
      </c>
      <c r="AC33" s="18" t="n">
        <v>6460.6</v>
      </c>
    </row>
    <row r="34">
      <c r="A34" s="4" t="inlineStr">
        <is>
          <t>PP&amp;E (net)</t>
        </is>
      </c>
      <c r="B34" s="18" t="n">
        <v>326.599</v>
      </c>
      <c r="C34" s="18" t="n">
        <v>319.761</v>
      </c>
      <c r="D34" s="18" t="n">
        <v>316.214</v>
      </c>
      <c r="E34" s="18" t="n">
        <v>467.999</v>
      </c>
      <c r="F34" s="18" t="n">
        <v>472.818</v>
      </c>
      <c r="G34" s="18" t="n">
        <v>453.936</v>
      </c>
      <c r="H34" s="18" t="n">
        <v>440.428</v>
      </c>
      <c r="I34" s="18" t="n">
        <v>427.536</v>
      </c>
      <c r="J34" s="18" t="n">
        <v>580.636</v>
      </c>
      <c r="K34" s="18" t="n">
        <v>575.439</v>
      </c>
      <c r="L34" s="18" t="n">
        <v>597.783</v>
      </c>
      <c r="M34" s="18" t="n">
        <v>604.8</v>
      </c>
      <c r="N34" s="18" t="n">
        <v>642.7</v>
      </c>
      <c r="O34" s="18" t="n">
        <v>643.8</v>
      </c>
      <c r="P34" s="18" t="n">
        <v>722.3</v>
      </c>
      <c r="Q34" s="18" t="n">
        <v>788.7</v>
      </c>
      <c r="R34" s="18" t="n">
        <v>837.7</v>
      </c>
      <c r="S34" s="18" t="n">
        <v>898.8</v>
      </c>
      <c r="T34" s="18" t="n">
        <v>911.7</v>
      </c>
      <c r="U34" s="18" t="n">
        <v>959.6</v>
      </c>
      <c r="V34" s="18" t="n">
        <v>961.6</v>
      </c>
      <c r="W34" s="18" t="n">
        <v>998.4</v>
      </c>
      <c r="X34" s="18" t="n">
        <v>995.6</v>
      </c>
      <c r="Y34" s="18" t="n">
        <v>1036.5</v>
      </c>
      <c r="Z34" s="18" t="n">
        <v>1021</v>
      </c>
      <c r="AA34" s="18" t="n">
        <v>1068.1</v>
      </c>
      <c r="AB34" s="18" t="n">
        <v>1127.2</v>
      </c>
      <c r="AC34" s="18" t="n">
        <v>935</v>
      </c>
    </row>
    <row r="35">
      <c r="A35" s="4" t="inlineStr">
        <is>
          <t>Total Assets</t>
        </is>
      </c>
      <c r="B35" s="18" t="n">
        <v>10048.218</v>
      </c>
      <c r="C35" s="18" t="n">
        <v>9981.139999999999</v>
      </c>
      <c r="D35" s="18" t="n">
        <v>10303.262</v>
      </c>
      <c r="E35" s="18" t="n">
        <v>11133.235</v>
      </c>
      <c r="F35" s="18" t="n">
        <v>10981.529</v>
      </c>
      <c r="G35" s="18" t="n">
        <v>10926.482</v>
      </c>
      <c r="H35" s="18" t="n">
        <v>10824.772</v>
      </c>
      <c r="I35" s="18" t="n">
        <v>10764.924</v>
      </c>
      <c r="J35" s="18" t="n">
        <v>21229.937</v>
      </c>
      <c r="K35" s="18" t="n">
        <v>20838.632</v>
      </c>
      <c r="L35" s="18" t="n">
        <v>22018.842</v>
      </c>
      <c r="M35" s="18" t="n">
        <v>22108.6</v>
      </c>
      <c r="N35" s="18" t="n">
        <v>22038.7</v>
      </c>
      <c r="O35" s="18" t="n">
        <v>22162.1</v>
      </c>
      <c r="P35" s="18" t="n">
        <v>22522.1</v>
      </c>
      <c r="Q35" s="18" t="n">
        <v>22522.1</v>
      </c>
      <c r="R35" s="18" t="n">
        <v>22273.2</v>
      </c>
      <c r="S35" s="18" t="n">
        <v>21750.1</v>
      </c>
      <c r="T35" s="18" t="n">
        <v>21714.4</v>
      </c>
      <c r="U35" s="18" t="n">
        <v>21228.5</v>
      </c>
      <c r="V35" s="18" t="n">
        <v>20491</v>
      </c>
      <c r="W35" s="18" t="n">
        <v>20293.4</v>
      </c>
      <c r="X35" s="18" t="n">
        <v>19715.6</v>
      </c>
      <c r="Y35" s="18" t="n">
        <v>20204.5</v>
      </c>
      <c r="Z35" s="18" t="n">
        <v>20023.7</v>
      </c>
      <c r="AA35" s="18" t="n">
        <v>20586.3</v>
      </c>
      <c r="AB35" s="18" t="n">
        <v>21579</v>
      </c>
      <c r="AC35" s="18" t="n">
        <v>22285.3</v>
      </c>
    </row>
    <row r="36">
      <c r="A36" s="4" t="inlineStr">
        <is>
          <t>Total Current Liabilities</t>
        </is>
      </c>
      <c r="B36" s="18" t="n">
        <v>647.37</v>
      </c>
      <c r="C36" s="18" t="n">
        <v>620.672</v>
      </c>
      <c r="D36" s="18" t="n">
        <v>654.454</v>
      </c>
      <c r="E36" s="18" t="n">
        <v>710.1660000000001</v>
      </c>
      <c r="F36" s="18" t="n">
        <v>690.641</v>
      </c>
      <c r="G36" s="18" t="n">
        <v>1224.83</v>
      </c>
      <c r="H36" s="18" t="n">
        <v>1168.084</v>
      </c>
      <c r="I36" s="18" t="n">
        <v>1077.097</v>
      </c>
      <c r="J36" s="18" t="n">
        <v>1160.103</v>
      </c>
      <c r="K36" s="18" t="n">
        <v>1084.433</v>
      </c>
      <c r="L36" s="18" t="n">
        <v>1237.537</v>
      </c>
      <c r="M36" s="18" t="n">
        <v>1388.6</v>
      </c>
      <c r="N36" s="18" t="n">
        <v>1554.1</v>
      </c>
      <c r="O36" s="18" t="n">
        <v>2155.8</v>
      </c>
      <c r="P36" s="18" t="n">
        <v>2420.2</v>
      </c>
      <c r="Q36" s="18" t="n">
        <v>2386.7</v>
      </c>
      <c r="R36" s="18" t="n">
        <v>3061.4</v>
      </c>
      <c r="S36" s="18" t="n">
        <v>2685.2</v>
      </c>
      <c r="T36" s="18" t="n">
        <v>1879.6</v>
      </c>
      <c r="U36" s="18" t="n">
        <v>1814.2</v>
      </c>
      <c r="V36" s="18" t="n">
        <v>1467.7</v>
      </c>
      <c r="W36" s="18" t="n">
        <v>1546.5</v>
      </c>
      <c r="X36" s="18" t="n">
        <v>1763.6</v>
      </c>
      <c r="Y36" s="18" t="n">
        <v>2026.8</v>
      </c>
      <c r="Z36" s="18" t="n">
        <v>2941.4</v>
      </c>
      <c r="AA36" s="18" t="n">
        <v>2399.3</v>
      </c>
      <c r="AB36" s="18" t="n">
        <v>2736.7</v>
      </c>
      <c r="AC36" s="18" t="n">
        <v>3220.5</v>
      </c>
    </row>
    <row r="37">
      <c r="A37" s="4" t="inlineStr">
        <is>
          <t>Long-term Debt</t>
        </is>
      </c>
      <c r="B37" s="18" t="n">
        <v>1684.281</v>
      </c>
      <c r="C37" s="18" t="n">
        <v>1685.359</v>
      </c>
      <c r="D37" s="18" t="n">
        <v>2036.441</v>
      </c>
      <c r="E37" s="18" t="n">
        <v>1439.024</v>
      </c>
      <c r="F37" s="18" t="n">
        <v>1439.852</v>
      </c>
      <c r="G37" s="18" t="n">
        <v>992.436</v>
      </c>
      <c r="H37" s="18" t="n">
        <v>992.801</v>
      </c>
      <c r="I37" s="18" t="n">
        <v>993.17</v>
      </c>
      <c r="J37" s="18" t="n">
        <v>4674.853</v>
      </c>
      <c r="K37" s="18" t="n">
        <v>4662.844</v>
      </c>
      <c r="L37" s="18" t="n">
        <v>4504.321</v>
      </c>
      <c r="M37" s="18" t="n">
        <v>4484.8</v>
      </c>
      <c r="N37" s="18" t="n">
        <v>4465.3</v>
      </c>
      <c r="O37" s="18" t="n">
        <v>3947.4</v>
      </c>
      <c r="P37" s="18" t="n">
        <v>3927.6</v>
      </c>
      <c r="Q37" s="18" t="n">
        <v>3907.7</v>
      </c>
      <c r="R37" s="18" t="n">
        <v>3154.9</v>
      </c>
      <c r="S37" s="18" t="n">
        <v>3134.5</v>
      </c>
      <c r="T37" s="18" t="n">
        <v>4089.6</v>
      </c>
      <c r="U37" s="18" t="n">
        <v>4058.6</v>
      </c>
      <c r="V37" s="18" t="n">
        <v>4027.6</v>
      </c>
      <c r="W37" s="18" t="n">
        <v>3996.5</v>
      </c>
      <c r="X37" s="18" t="n">
        <v>3965.5</v>
      </c>
      <c r="Y37" s="18" t="n">
        <v>3934.3</v>
      </c>
      <c r="Z37" s="18" t="n">
        <v>2977.4</v>
      </c>
      <c r="AA37" s="18" t="n">
        <v>3967.9</v>
      </c>
      <c r="AB37" s="18" t="n">
        <v>4145.6</v>
      </c>
      <c r="AC37" s="18" t="n">
        <v>3970.8</v>
      </c>
    </row>
    <row r="38">
      <c r="A38" s="4" t="inlineStr">
        <is>
          <t>Total Equity</t>
        </is>
      </c>
      <c r="B38" s="18" t="n">
        <v>7230.132</v>
      </c>
      <c r="C38" s="18" t="n">
        <v>7203.812</v>
      </c>
      <c r="D38" s="18" t="n">
        <v>7165.818</v>
      </c>
      <c r="E38" s="18" t="n">
        <v>8678.58</v>
      </c>
      <c r="F38" s="18" t="n">
        <v>8535.621999999999</v>
      </c>
      <c r="G38" s="18" t="n">
        <v>8417.537</v>
      </c>
      <c r="H38" s="18" t="n">
        <v>8389.617</v>
      </c>
      <c r="I38" s="18" t="n">
        <v>8435.804</v>
      </c>
      <c r="J38" s="18" t="n">
        <v>14855.37</v>
      </c>
      <c r="K38" s="18" t="n">
        <v>14741.197</v>
      </c>
      <c r="L38" s="18" t="n">
        <v>15686.344</v>
      </c>
      <c r="M38" s="18" t="n">
        <v>15702.1</v>
      </c>
      <c r="N38" s="18" t="n">
        <v>15465</v>
      </c>
      <c r="O38" s="18" t="n">
        <v>15530.2</v>
      </c>
      <c r="P38" s="18" t="n">
        <v>15559</v>
      </c>
      <c r="Q38" s="18" t="n">
        <v>15637.2</v>
      </c>
      <c r="R38" s="18" t="n">
        <v>15493.9</v>
      </c>
      <c r="S38" s="18" t="n">
        <v>15389.5</v>
      </c>
      <c r="T38" s="18" t="n">
        <v>15233.4</v>
      </c>
      <c r="U38" s="18" t="n">
        <v>14831.4</v>
      </c>
      <c r="V38" s="18" t="n">
        <v>14478.7</v>
      </c>
      <c r="W38" s="18" t="n">
        <v>14204.9</v>
      </c>
      <c r="X38" s="18" t="n">
        <v>13372.9</v>
      </c>
      <c r="Y38" s="18" t="n">
        <v>13427</v>
      </c>
      <c r="Z38" s="18" t="n">
        <v>13312.7</v>
      </c>
      <c r="AA38" s="18" t="n">
        <v>13421.7</v>
      </c>
      <c r="AB38" s="18" t="n">
        <v>14056.6</v>
      </c>
      <c r="AC38" s="18" t="n">
        <v>14308.4</v>
      </c>
    </row>
    <row r="39">
      <c r="A39" s="5" t="inlineStr">
        <is>
          <t xml:space="preserve">  CASH FLOW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4" t="inlineStr">
        <is>
          <t>D&amp;A</t>
        </is>
      </c>
      <c r="B40" s="18" t="n">
        <v>118.394</v>
      </c>
      <c r="C40" s="18" t="n">
        <v>118.893</v>
      </c>
      <c r="D40" s="18" t="n">
        <v>128.842</v>
      </c>
      <c r="E40" s="18" t="n">
        <v>144.526</v>
      </c>
      <c r="F40" s="18" t="n">
        <v>163.405</v>
      </c>
      <c r="G40" s="18" t="n">
        <v>163.184</v>
      </c>
      <c r="H40" s="18" t="n">
        <v>157.267</v>
      </c>
      <c r="I40" s="18" t="n">
        <v>157.672</v>
      </c>
      <c r="J40" s="18" t="n">
        <v>180.4</v>
      </c>
      <c r="K40" s="18" t="n">
        <v>342.9</v>
      </c>
      <c r="L40" s="18" t="n">
        <v>350.9</v>
      </c>
      <c r="M40" s="18" t="n">
        <v>371.041</v>
      </c>
      <c r="N40" s="18" t="n">
        <v>348.2</v>
      </c>
      <c r="O40" s="18" t="n">
        <v>348.7</v>
      </c>
      <c r="P40" s="18" t="n">
        <v>344.3</v>
      </c>
      <c r="Q40" s="18" t="n">
        <v>351.1</v>
      </c>
      <c r="R40" s="18" t="n">
        <v>348.4</v>
      </c>
      <c r="S40" s="18" t="n">
        <v>347.3</v>
      </c>
      <c r="T40" s="18" t="n">
        <v>341.9</v>
      </c>
      <c r="U40" s="18" t="n">
        <v>360.1</v>
      </c>
      <c r="V40" s="18" t="n">
        <v>337.5</v>
      </c>
      <c r="W40" s="18" t="n">
        <v>352</v>
      </c>
      <c r="X40" s="18" t="n">
        <v>341.5</v>
      </c>
      <c r="Y40" s="18" t="n">
        <v>325.9</v>
      </c>
      <c r="Z40" s="18" t="n">
        <v>329.9</v>
      </c>
      <c r="AA40" s="18" t="n">
        <v>327.8</v>
      </c>
      <c r="AB40" s="18" t="n">
        <v>315.9</v>
      </c>
      <c r="AC40" s="18" t="n">
        <v>317</v>
      </c>
    </row>
    <row r="41">
      <c r="A41" s="4" t="inlineStr">
        <is>
          <t>Stock-based Compensation</t>
        </is>
      </c>
      <c r="B41" s="18" t="n">
        <v>58.598</v>
      </c>
      <c r="C41" s="18" t="n">
        <v>63.676</v>
      </c>
      <c r="D41" s="18" t="n">
        <v>66.762</v>
      </c>
      <c r="E41" s="18" t="n">
        <v>53.171</v>
      </c>
      <c r="F41" s="18" t="n">
        <v>59.687</v>
      </c>
      <c r="G41" s="18" t="n">
        <v>62.586</v>
      </c>
      <c r="H41" s="18" t="n">
        <v>59.787</v>
      </c>
      <c r="I41" s="18" t="n">
        <v>59.479</v>
      </c>
      <c r="J41" s="18" t="n">
        <v>92.7</v>
      </c>
      <c r="K41" s="18" t="n">
        <v>114.1</v>
      </c>
      <c r="L41" s="18" t="n">
        <v>119.1</v>
      </c>
      <c r="M41" s="18" t="n">
        <v>134.757</v>
      </c>
      <c r="N41" s="18" t="n">
        <v>131.1</v>
      </c>
      <c r="O41" s="18" t="n">
        <v>144.5</v>
      </c>
      <c r="P41" s="18" t="n">
        <v>146.1</v>
      </c>
      <c r="Q41" s="18" t="n">
        <v>130.7</v>
      </c>
      <c r="R41" s="18" t="n">
        <v>143.2</v>
      </c>
      <c r="S41" s="18" t="n">
        <v>152.8</v>
      </c>
      <c r="T41" s="18" t="n">
        <v>158.5</v>
      </c>
      <c r="U41" s="18" t="n">
        <v>155.3</v>
      </c>
      <c r="V41" s="18" t="n">
        <v>136.5</v>
      </c>
      <c r="W41" s="18" t="n">
        <v>154.9</v>
      </c>
      <c r="X41" s="18" t="n">
        <v>158.4</v>
      </c>
      <c r="Y41" s="18" t="n">
        <v>147.6</v>
      </c>
      <c r="Z41" s="18" t="n">
        <v>142.1</v>
      </c>
      <c r="AA41" s="18" t="n">
        <v>153.6</v>
      </c>
      <c r="AB41" s="18" t="n">
        <v>152.1</v>
      </c>
      <c r="AC41" s="18" t="n">
        <v>143</v>
      </c>
    </row>
    <row r="42">
      <c r="A42" s="4" t="inlineStr">
        <is>
          <t>Change in Working Capital</t>
        </is>
      </c>
      <c r="B42" s="18" t="n">
        <v>20.341</v>
      </c>
      <c r="C42" s="18" t="n">
        <v>-62.17</v>
      </c>
      <c r="D42" s="18" t="n">
        <v>-54.968</v>
      </c>
      <c r="E42" s="18" t="n">
        <v>-93.985</v>
      </c>
      <c r="F42" s="18" t="n">
        <v>34.462</v>
      </c>
      <c r="G42" s="18" t="n">
        <v>39.764</v>
      </c>
      <c r="H42" s="18" t="n">
        <v>48.761</v>
      </c>
      <c r="I42" s="18" t="n">
        <v>-55.114</v>
      </c>
      <c r="J42" s="18" t="n">
        <v>-221.1</v>
      </c>
      <c r="K42" s="18" t="n">
        <v>-120.1</v>
      </c>
      <c r="L42" s="18" t="n">
        <v>-166.5</v>
      </c>
      <c r="M42" s="18" t="n">
        <v>-155.193</v>
      </c>
      <c r="N42" s="18" t="n">
        <v>-299.8</v>
      </c>
      <c r="O42" s="18" t="n">
        <v>-203.2</v>
      </c>
      <c r="P42" s="18" t="n">
        <v>-12.6</v>
      </c>
      <c r="Q42" s="18" t="n">
        <v>-134.2</v>
      </c>
      <c r="R42" s="18" t="n">
        <v>1.9</v>
      </c>
      <c r="S42" s="18" t="n">
        <v>-122.7</v>
      </c>
      <c r="T42" s="18" t="n">
        <v>204.9</v>
      </c>
      <c r="U42" s="18" t="n">
        <v>-26.3</v>
      </c>
      <c r="V42" s="18" t="n">
        <v>65.8</v>
      </c>
      <c r="W42" s="18" t="n">
        <v>16</v>
      </c>
      <c r="X42" s="18" t="n">
        <v>229.8</v>
      </c>
      <c r="Y42" s="18" t="n">
        <v>-182.5</v>
      </c>
      <c r="Z42" s="18" t="n">
        <v>-342.8</v>
      </c>
      <c r="AA42" s="18" t="n">
        <v>-246.4</v>
      </c>
      <c r="AB42" s="18" t="n">
        <v>32.1</v>
      </c>
      <c r="AC42" s="18" t="n">
        <v>40.9</v>
      </c>
    </row>
    <row r="43">
      <c r="A43" s="4" t="inlineStr">
        <is>
          <t>Operating Cash Flow</t>
        </is>
      </c>
      <c r="B43" s="18" t="n">
        <v>165.816</v>
      </c>
      <c r="C43" s="18" t="n">
        <v>73.14</v>
      </c>
      <c r="D43" s="18" t="n">
        <v>65.503</v>
      </c>
      <c r="E43" s="18" t="n">
        <v>55.838</v>
      </c>
      <c r="F43" s="18" t="n">
        <v>175.628</v>
      </c>
      <c r="G43" s="18" t="n">
        <v>225.83</v>
      </c>
      <c r="H43" s="18" t="n">
        <v>257.534</v>
      </c>
      <c r="I43" s="18" t="n">
        <v>158.295</v>
      </c>
      <c r="J43" s="18" t="n">
        <v>-13.7</v>
      </c>
      <c r="K43" s="18" t="n">
        <v>222.1</v>
      </c>
      <c r="L43" s="18" t="n">
        <v>264.7</v>
      </c>
      <c r="M43" s="18" t="n">
        <v>346.323</v>
      </c>
      <c r="N43" s="18" t="n">
        <v>194.8</v>
      </c>
      <c r="O43" s="18" t="n">
        <v>331.5</v>
      </c>
      <c r="P43" s="18" t="n">
        <v>411</v>
      </c>
      <c r="Q43" s="18" t="n">
        <v>351.5</v>
      </c>
      <c r="R43" s="18" t="n">
        <v>208.4</v>
      </c>
      <c r="S43" s="18" t="n">
        <v>112.5</v>
      </c>
      <c r="T43" s="18" t="n">
        <v>503</v>
      </c>
      <c r="U43" s="18" t="n">
        <v>546.6</v>
      </c>
      <c r="V43" s="18" t="n">
        <v>324.5</v>
      </c>
      <c r="W43" s="18" t="n">
        <v>306.4</v>
      </c>
      <c r="X43" s="18" t="n">
        <v>536.3</v>
      </c>
      <c r="Y43" s="18" t="n">
        <v>514</v>
      </c>
      <c r="Z43" s="18" t="n">
        <v>332.9</v>
      </c>
      <c r="AA43" s="18" t="n">
        <v>461.6</v>
      </c>
      <c r="AB43" s="18" t="n">
        <v>582.3</v>
      </c>
      <c r="AC43" s="18" t="n">
        <v>373.7</v>
      </c>
    </row>
    <row r="44">
      <c r="A44" s="4" t="inlineStr">
        <is>
          <t>Capex</t>
        </is>
      </c>
      <c r="B44" s="18" t="n">
        <v>-20.667</v>
      </c>
      <c r="C44" s="18" t="n">
        <v>-23.048</v>
      </c>
      <c r="D44" s="18" t="n">
        <v>-21.156</v>
      </c>
      <c r="E44" s="18" t="n">
        <v>-21.762</v>
      </c>
      <c r="F44" s="18" t="n">
        <v>-39.027</v>
      </c>
      <c r="G44" s="18" t="n">
        <v>-20.62</v>
      </c>
      <c r="H44" s="18" t="n">
        <v>-37.071</v>
      </c>
      <c r="I44" s="18" t="n">
        <v>-22.788</v>
      </c>
      <c r="J44" s="18" t="n">
        <v>-24.8</v>
      </c>
      <c r="K44" s="18" t="n">
        <v>-35.4</v>
      </c>
      <c r="L44" s="18" t="n">
        <v>-79.5</v>
      </c>
      <c r="M44" s="18" t="n">
        <v>-47.267</v>
      </c>
      <c r="N44" s="18" t="n">
        <v>-38.5</v>
      </c>
      <c r="O44" s="18" t="n">
        <v>-75.2</v>
      </c>
      <c r="P44" s="18" t="n">
        <v>-47.6</v>
      </c>
      <c r="Q44" s="18" t="n">
        <v>-56</v>
      </c>
      <c r="R44" s="18" t="n">
        <v>-102.6</v>
      </c>
      <c r="S44" s="18" t="n">
        <v>-111.3</v>
      </c>
      <c r="T44" s="18" t="n">
        <v>-54.7</v>
      </c>
      <c r="U44" s="18" t="n">
        <v>-81.59999999999999</v>
      </c>
      <c r="V44" s="18" t="n">
        <v>-92</v>
      </c>
      <c r="W44" s="18" t="n">
        <v>-53.4</v>
      </c>
      <c r="X44" s="18" t="n">
        <v>-75.5</v>
      </c>
      <c r="Y44" s="18" t="n">
        <v>-70.7</v>
      </c>
      <c r="Z44" s="18" t="n">
        <v>-119.9</v>
      </c>
      <c r="AA44" s="18" t="n">
        <v>-48.6</v>
      </c>
      <c r="AB44" s="18" t="n">
        <v>-73.5</v>
      </c>
      <c r="AC44" s="18" t="n">
        <v>-114.3</v>
      </c>
    </row>
    <row r="45">
      <c r="A45" s="4" t="inlineStr">
        <is>
          <t>Free Cash Flow</t>
        </is>
      </c>
      <c r="B45" s="18" t="n">
        <v>145.149</v>
      </c>
      <c r="C45" s="18" t="n">
        <v>50.092</v>
      </c>
      <c r="D45" s="18" t="n">
        <v>44.347</v>
      </c>
      <c r="E45" s="18" t="n">
        <v>34.076</v>
      </c>
      <c r="F45" s="18" t="n">
        <v>136.601</v>
      </c>
      <c r="G45" s="18" t="n">
        <v>205.21</v>
      </c>
      <c r="H45" s="18" t="n">
        <v>220.463</v>
      </c>
      <c r="I45" s="18" t="n">
        <v>135.507</v>
      </c>
      <c r="J45" s="18" t="n">
        <v>-38.5</v>
      </c>
      <c r="K45" s="18" t="n">
        <v>186.7</v>
      </c>
      <c r="L45" s="18" t="n">
        <v>185.2</v>
      </c>
      <c r="M45" s="18" t="n">
        <v>299.056</v>
      </c>
      <c r="N45" s="18" t="n">
        <v>156.3</v>
      </c>
      <c r="O45" s="18" t="n">
        <v>256.3</v>
      </c>
      <c r="P45" s="18" t="n">
        <v>363.4</v>
      </c>
      <c r="Q45" s="18" t="n">
        <v>295.5</v>
      </c>
      <c r="R45" s="18" t="n">
        <v>105.8</v>
      </c>
      <c r="S45" s="18" t="n">
        <v>1.2</v>
      </c>
      <c r="T45" s="18" t="n">
        <v>448.3</v>
      </c>
      <c r="U45" s="18" t="n">
        <v>465</v>
      </c>
      <c r="V45" s="18" t="n">
        <v>232.5</v>
      </c>
      <c r="W45" s="18" t="n">
        <v>253</v>
      </c>
      <c r="X45" s="18" t="n">
        <v>460.8</v>
      </c>
      <c r="Y45" s="18" t="n">
        <v>443.3</v>
      </c>
      <c r="Z45" s="18" t="n">
        <v>213</v>
      </c>
      <c r="AA45" s="18" t="n">
        <v>413</v>
      </c>
      <c r="AB45" s="18" t="n">
        <v>508.8</v>
      </c>
      <c r="AC45" s="18" t="n">
        <v>259.4</v>
      </c>
    </row>
    <row r="47">
      <c r="A4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  <c r="F2" s="45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10856.746244</v>
      </c>
      <c r="C4" s="18" t="n">
        <v>14859.26714</v>
      </c>
      <c r="D4" s="18" t="n">
        <v>19191.210427</v>
      </c>
      <c r="E4" s="18" t="n">
        <v>20910.766694</v>
      </c>
      <c r="F4" s="18" t="n">
        <v>21861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2320.278213</v>
      </c>
      <c r="C8" s="18" t="n">
        <v>3175.687543</v>
      </c>
      <c r="D8" s="18" t="n">
        <v>4101.50025</v>
      </c>
      <c r="E8" s="18" t="n">
        <v>4468.999762</v>
      </c>
      <c r="F8" s="18" t="n">
        <v>4672.081384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-200.240214</v>
      </c>
      <c r="C12" s="18" t="n">
        <v>-274.062115</v>
      </c>
      <c r="D12" s="18" t="n">
        <v>-353.959833</v>
      </c>
      <c r="E12" s="18" t="n">
        <v>-385.675073</v>
      </c>
      <c r="F12" s="18" t="n">
        <v>-403.201035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1606.848463</v>
      </c>
      <c r="C16" s="18" t="n">
        <v>2199.239996</v>
      </c>
      <c r="D16" s="18" t="n">
        <v>2840.387561</v>
      </c>
      <c r="E16" s="18" t="n">
        <v>3094.889811</v>
      </c>
      <c r="F16" s="18" t="n">
        <v>3235.528718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3258.7267665</v>
      </c>
      <c r="C20" s="18" t="n">
        <v>4531.9458255</v>
      </c>
      <c r="D20" s="18" t="n">
        <v>4812.51714</v>
      </c>
      <c r="E20" s="18" t="n">
        <v>7753.471175</v>
      </c>
      <c r="F20" s="18" t="n">
        <v>8175.180009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3.82732</v>
      </c>
      <c r="C24" s="47" t="n">
        <v>5.46438</v>
      </c>
      <c r="D24" s="47" t="n">
        <v>7.595</v>
      </c>
      <c r="E24" s="47" t="n">
        <v>8.91511</v>
      </c>
      <c r="F24" s="47" t="n">
        <v>9.4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Marvell Technology,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Financials!AC32</f>
        <v/>
      </c>
    </row>
    <row r="33">
      <c r="A33" s="4" t="inlineStr">
        <is>
          <t>- Long-term debt</t>
        </is>
      </c>
      <c r="B33" s="33">
        <f>-Financials!AC37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0.1320459789085889</v>
      </c>
      <c r="C4" s="51" t="n">
        <v>0.1370459789085889</v>
      </c>
      <c r="D4" s="51" t="n">
        <v>0.1420459789085889</v>
      </c>
      <c r="E4" s="51" t="n">
        <v>0.1470459789085889</v>
      </c>
      <c r="F4" s="51" t="n">
        <v>0.1520459789085889</v>
      </c>
      <c r="G4" s="51" t="n">
        <v>0.1570459789085889</v>
      </c>
      <c r="H4" s="51" t="n">
        <v>0.1620459789085889</v>
      </c>
    </row>
    <row r="5">
      <c r="A5" s="52" t="n">
        <v>9</v>
      </c>
      <c r="B5" s="53" t="n">
        <v>77.88828058533871</v>
      </c>
      <c r="C5" s="53" t="n">
        <v>75.22155025389239</v>
      </c>
      <c r="D5" s="53" t="n">
        <v>72.66892975201409</v>
      </c>
      <c r="E5" s="53" t="n">
        <v>70.22486240579696</v>
      </c>
      <c r="F5" s="53" t="n">
        <v>67.88408937507259</v>
      </c>
      <c r="G5" s="53" t="n">
        <v>65.64163235480211</v>
      </c>
      <c r="H5" s="53" t="n">
        <v>63.49277735494521</v>
      </c>
    </row>
    <row r="6">
      <c r="A6" s="52" t="n">
        <v>10</v>
      </c>
      <c r="B6" s="53" t="n">
        <v>82.64491540863764</v>
      </c>
      <c r="C6" s="53" t="n">
        <v>79.77310958573614</v>
      </c>
      <c r="D6" s="53" t="n">
        <v>77.02509739709879</v>
      </c>
      <c r="E6" s="53" t="n">
        <v>74.39482546151008</v>
      </c>
      <c r="F6" s="53" t="n">
        <v>71.87656571416161</v>
      </c>
      <c r="G6" s="53" t="n">
        <v>69.4648964774276</v>
      </c>
      <c r="H6" s="53" t="n">
        <v>67.15468471333863</v>
      </c>
    </row>
    <row r="7">
      <c r="A7" s="52" t="n">
        <v>11</v>
      </c>
      <c r="B7" s="53" t="n">
        <v>87.40155023193661</v>
      </c>
      <c r="C7" s="53" t="n">
        <v>84.3246689175799</v>
      </c>
      <c r="D7" s="53" t="n">
        <v>81.38126504218351</v>
      </c>
      <c r="E7" s="53" t="n">
        <v>78.56478851722322</v>
      </c>
      <c r="F7" s="53" t="n">
        <v>75.86904205325064</v>
      </c>
      <c r="G7" s="53" t="n">
        <v>73.28816060005309</v>
      </c>
      <c r="H7" s="53" t="n">
        <v>70.81659207173206</v>
      </c>
    </row>
    <row r="8">
      <c r="A8" s="52" t="n">
        <v>12</v>
      </c>
      <c r="B8" s="53" t="n">
        <v>92.15818505523553</v>
      </c>
      <c r="C8" s="53" t="n">
        <v>88.87622824942366</v>
      </c>
      <c r="D8" s="53" t="n">
        <v>85.73743268726822</v>
      </c>
      <c r="E8" s="54" t="n">
        <v>82.73475157293635</v>
      </c>
      <c r="F8" s="53" t="n">
        <v>79.86151839233965</v>
      </c>
      <c r="G8" s="53" t="n">
        <v>77.11142472267861</v>
      </c>
      <c r="H8" s="53" t="n">
        <v>74.47849943012548</v>
      </c>
    </row>
    <row r="9">
      <c r="A9" s="52" t="n">
        <v>13</v>
      </c>
      <c r="B9" s="53" t="n">
        <v>96.9148198785345</v>
      </c>
      <c r="C9" s="53" t="n">
        <v>93.42778758126741</v>
      </c>
      <c r="D9" s="53" t="n">
        <v>90.09360033235295</v>
      </c>
      <c r="E9" s="53" t="n">
        <v>86.90471462864947</v>
      </c>
      <c r="F9" s="53" t="n">
        <v>83.85399473142868</v>
      </c>
      <c r="G9" s="53" t="n">
        <v>80.93468884530409</v>
      </c>
      <c r="H9" s="53" t="n">
        <v>78.14040678851892</v>
      </c>
    </row>
    <row r="10">
      <c r="A10" s="52" t="n">
        <v>14</v>
      </c>
      <c r="B10" s="53" t="n">
        <v>101.6714547018334</v>
      </c>
      <c r="C10" s="53" t="n">
        <v>97.97934691311114</v>
      </c>
      <c r="D10" s="53" t="n">
        <v>94.44976797743767</v>
      </c>
      <c r="E10" s="53" t="n">
        <v>91.07467768436261</v>
      </c>
      <c r="F10" s="53" t="n">
        <v>87.84647107051771</v>
      </c>
      <c r="G10" s="53" t="n">
        <v>84.75795296792958</v>
      </c>
      <c r="H10" s="53" t="n">
        <v>81.80231414691232</v>
      </c>
    </row>
    <row r="11">
      <c r="A11" s="52" t="n">
        <v>15</v>
      </c>
      <c r="B11" s="53" t="n">
        <v>106.4280895251324</v>
      </c>
      <c r="C11" s="53" t="n">
        <v>102.5309062449549</v>
      </c>
      <c r="D11" s="53" t="n">
        <v>98.80593562252238</v>
      </c>
      <c r="E11" s="53" t="n">
        <v>95.24464074007574</v>
      </c>
      <c r="F11" s="53" t="n">
        <v>91.83894740960673</v>
      </c>
      <c r="G11" s="53" t="n">
        <v>88.58121709055507</v>
      </c>
      <c r="H11" s="53" t="n">
        <v>85.46422150530576</v>
      </c>
    </row>
    <row r="13">
      <c r="A13" s="3" t="inlineStr">
        <is>
          <t>Current price</t>
        </is>
      </c>
      <c r="B13" s="53" t="n">
        <v>231.4700012207031</v>
      </c>
    </row>
    <row r="14">
      <c r="A14" s="3" t="inlineStr">
        <is>
          <t>Base WACC / multiple</t>
        </is>
      </c>
      <c r="B14" s="55" t="n">
        <v>0.1470459789085889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0.1574939594367022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0.2292159944559465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1.080236269866151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Financials!AC32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Financials!AC37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2026-07-08T07:03:54Z</dcterms:created>
  <dcterms:modified xmlns:dcterms="http://purl.org/dc/terms/" xmlns:xsi="http://www.w3.org/2001/XMLSchema-instance" xsi:type="dcterms:W3CDTF">2026-07-08T07:03:54Z</dcterms:modified>
</cp:coreProperties>
</file>