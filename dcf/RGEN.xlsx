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14.3%</t>
      </text>
    </comment>
    <comment ref="C20" authorId="0" shapeId="0">
      <text>
        <t>Opus: 5.0%</t>
      </text>
    </comment>
    <comment ref="B21" authorId="0" shapeId="0">
      <text>
        <t>Opus: 3.7%</t>
      </text>
    </comment>
    <comment ref="C21" authorId="0" shapeId="0">
      <text>
        <t>Opus: 5.0%</t>
      </text>
    </comment>
    <comment ref="B29" authorId="0" shapeId="0">
      <text>
        <t>Opus: 18.1%</t>
      </text>
    </comment>
    <comment ref="B30" authorId="0" shapeId="0">
      <text>
        <t>Opus: 28.2%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1.093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Repligen Corporation (RGEN)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2026-07-03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Repligen Corporation (RGEN)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</t>
        </is>
      </c>
      <c r="B20" s="15" t="n">
        <v>0.1426696940109489</v>
      </c>
      <c r="C20" s="15" t="n">
        <v>0.05</v>
      </c>
      <c r="D20" s="16" t="n">
        <v>0.1426696940109489</v>
      </c>
      <c r="E20" s="2" t="inlineStr"/>
    </row>
    <row r="21">
      <c r="A21" s="4" t="inlineStr">
        <is>
          <t>Royalty</t>
        </is>
      </c>
      <c r="B21" s="15" t="n">
        <v>0.03699280709572418</v>
      </c>
      <c r="C21" s="15" t="n">
        <v>0.05</v>
      </c>
      <c r="D21" s="16" t="n">
        <v>0.03699280709572418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0.1809921435727644</v>
      </c>
      <c r="D29" s="16" t="n">
        <v>0.1809921435727644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0.2818349972055297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28.6858</v>
      </c>
      <c r="D34" s="18" t="n">
        <v>28.6858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1.093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127.0824966430664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99.99482899851662</v>
      </c>
      <c r="C58" s="28" t="n">
        <v>132.2253000521208</v>
      </c>
      <c r="D58" s="28" t="n">
        <v>75.01840755889674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0.15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0.02215898008278971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0.01329538804967383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RGEN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2026-07-03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Product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14.3%</t>
        </is>
      </c>
      <c r="F8" s="31" t="inlineStr"/>
    </row>
    <row r="9">
      <c r="A9" t="inlineStr">
        <is>
          <t>Product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Royalty — near-term growth</t>
        </is>
      </c>
      <c r="B10" t="inlineStr">
        <is>
          <t>B21</t>
        </is>
      </c>
      <c r="C10" s="11">
        <f>Dashboard!B21</f>
        <v/>
      </c>
      <c r="D10" t="inlineStr">
        <is>
          <t>Opus</t>
        </is>
      </c>
      <c r="E10" t="inlineStr">
        <is>
          <t>3.7%</t>
        </is>
      </c>
      <c r="F10" s="31" t="inlineStr"/>
    </row>
    <row r="11">
      <c r="A11" t="inlineStr">
        <is>
          <t>Royalty — terminal growth</t>
        </is>
      </c>
      <c r="B11" t="inlineStr">
        <is>
          <t>C21</t>
        </is>
      </c>
      <c r="C11" s="11">
        <f>Dashboard!C21</f>
        <v/>
      </c>
      <c r="D11" t="inlineStr">
        <is>
          <t>Opus</t>
        </is>
      </c>
      <c r="E11" t="inlineStr">
        <is>
          <t>5.0%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Opus</t>
        </is>
      </c>
      <c r="E12" t="inlineStr">
        <is>
          <t>18.1%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Opus</t>
        </is>
      </c>
      <c r="E13" t="inlineStr">
        <is>
          <t>28.2%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Opus</t>
        </is>
      </c>
      <c r="E14" t="inlineStr">
        <is>
          <t>24.0%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Opus</t>
        </is>
      </c>
      <c r="E15" t="inlineStr">
        <is>
          <t>1.1x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Opus</t>
        </is>
      </c>
      <c r="E18" t="inlineStr">
        <is>
          <t>1.093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Opus</t>
        </is>
      </c>
      <c r="E19" t="inlineStr">
        <is>
          <t>4.5%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Opus</t>
        </is>
      </c>
      <c r="E20" t="inlineStr">
        <is>
          <t>Exit multiple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Opus</t>
        </is>
      </c>
      <c r="E21" t="inlineStr">
        <is>
          <t>EV/EBITDA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Opus</t>
        </is>
      </c>
      <c r="E22" t="inlineStr">
        <is>
          <t>12.0x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Opus</t>
        </is>
      </c>
      <c r="E23" t="inlineStr">
        <is>
          <t>4.5%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workbook (synced)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Royalty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SUM(Financials!I5:L5)</f>
        <v/>
      </c>
      <c r="C12" s="33">
        <f>SUM(Financials!M5:P5)</f>
        <v/>
      </c>
      <c r="D12" s="33">
        <f>SUM(Financials!Q5:T5)</f>
        <v/>
      </c>
      <c r="E12" s="33">
        <f>SUM(Financials!U5:X5)</f>
        <v/>
      </c>
      <c r="F12" s="33">
        <f>SUM(Financials!Y5:AB5)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0.4908852755683665</v>
      </c>
      <c r="H13" s="15" t="n">
        <v>0.4908852755683665</v>
      </c>
      <c r="I13" s="15" t="n">
        <v>0.4908852755683665</v>
      </c>
      <c r="J13" s="15" t="n">
        <v>0.4908852755683665</v>
      </c>
      <c r="K13" s="15" t="n">
        <v>0.4908852755683665</v>
      </c>
      <c r="L13" s="15" t="n">
        <v>0.4908852755683665</v>
      </c>
      <c r="M13" s="15" t="n">
        <v>0.4908852755683665</v>
      </c>
      <c r="N13" s="15" t="n">
        <v>0.4908852755683665</v>
      </c>
      <c r="O13" s="15" t="n">
        <v>0.4908852755683665</v>
      </c>
      <c r="P13" s="15" t="n">
        <v>0.4908852755683665</v>
      </c>
    </row>
    <row r="14">
      <c r="A14" s="4" t="inlineStr">
        <is>
          <t>R&amp;D / Technology</t>
        </is>
      </c>
      <c r="B14" s="33">
        <f>SUM(Financials!I7:L7)</f>
        <v/>
      </c>
      <c r="C14" s="33">
        <f>SUM(Financials!M7:P7)</f>
        <v/>
      </c>
      <c r="D14" s="33">
        <f>SUM(Financials!Q7:T7)</f>
        <v/>
      </c>
      <c r="E14" s="33">
        <f>SUM(Financials!U7:X7)</f>
        <v/>
      </c>
      <c r="F14" s="33">
        <f>SUM(Financials!Y7:AB7)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0.0721172601374049</v>
      </c>
      <c r="H15" s="15" t="n">
        <v>0.0721172601374049</v>
      </c>
      <c r="I15" s="15" t="n">
        <v>0.0721172601374049</v>
      </c>
      <c r="J15" s="15" t="n">
        <v>0.0721172601374049</v>
      </c>
      <c r="K15" s="15" t="n">
        <v>0.0721172601374049</v>
      </c>
      <c r="L15" s="15" t="n">
        <v>0.0721172601374049</v>
      </c>
      <c r="M15" s="15" t="n">
        <v>0.0721172601374049</v>
      </c>
      <c r="N15" s="15" t="n">
        <v>0.0721172601374049</v>
      </c>
      <c r="O15" s="15" t="n">
        <v>0.0721172601374049</v>
      </c>
      <c r="P15" s="15" t="n">
        <v>0.0721172601374049</v>
      </c>
    </row>
    <row r="16">
      <c r="A16" s="4" t="inlineStr">
        <is>
          <t>SG&amp;A</t>
        </is>
      </c>
      <c r="B16" s="33">
        <f>SUM(Financials!I9:L9)</f>
        <v/>
      </c>
      <c r="C16" s="33">
        <f>SUM(Financials!M9:P9)</f>
        <v/>
      </c>
      <c r="D16" s="33">
        <f>SUM(Financials!Q9:T9)</f>
        <v/>
      </c>
      <c r="E16" s="33">
        <f>SUM(Financials!U9:X9)</f>
        <v/>
      </c>
      <c r="F16" s="33">
        <f>SUM(Financials!Y9:AB9)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0.3777117964500118</v>
      </c>
      <c r="H17" s="15" t="n">
        <v>0.3777117964500118</v>
      </c>
      <c r="I17" s="15" t="n">
        <v>0.3777117964500118</v>
      </c>
      <c r="J17" s="15" t="n">
        <v>0.3777117964500118</v>
      </c>
      <c r="K17" s="15" t="n">
        <v>0.3777117964500118</v>
      </c>
      <c r="L17" s="15" t="n">
        <v>0.3777117964500118</v>
      </c>
      <c r="M17" s="15" t="n">
        <v>0.3777117964500118</v>
      </c>
      <c r="N17" s="15" t="n">
        <v>0.3777117964500118</v>
      </c>
      <c r="O17" s="15" t="n">
        <v>0.3777117964500118</v>
      </c>
      <c r="P17" s="15" t="n">
        <v>0.3777117964500118</v>
      </c>
    </row>
    <row r="18">
      <c r="A18" s="4" t="inlineStr">
        <is>
          <t>Other opex (fulfilment, etc.)</t>
        </is>
      </c>
      <c r="B18" s="33">
        <f>B8-(B12+B14+B16)-SUM(Financials!I13:L13)</f>
        <v/>
      </c>
      <c r="C18" s="33">
        <f>C8-(C12+C14+C16)-SUM(Financials!M13:P13)</f>
        <v/>
      </c>
      <c r="D18" s="33">
        <f>D8-(D12+D14+D16)-SUM(Financials!Q13:T13)</f>
        <v/>
      </c>
      <c r="E18" s="33">
        <f>E8-(E12+E14+E16)-SUM(Financials!U13:X13)</f>
        <v/>
      </c>
      <c r="F18" s="33">
        <f>F8-(F12+F14+F16)-SUM(Financials!Y13:AB13)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SUM(Financials!I34:L34)</f>
        <v/>
      </c>
      <c r="C26" s="33">
        <f>SUM(Financials!M34:P34)</f>
        <v/>
      </c>
      <c r="D26" s="33">
        <f>SUM(Financials!Q34:T34)</f>
        <v/>
      </c>
      <c r="E26" s="33">
        <f>SUM(Financials!U34:X34)</f>
        <v/>
      </c>
      <c r="F26" s="33">
        <f>SUM(Financials!Y34:AB34)</f>
        <v/>
      </c>
      <c r="G26" s="41">
        <f>G8*0.1571</f>
        <v/>
      </c>
      <c r="H26" s="41">
        <f>H8*0.1571</f>
        <v/>
      </c>
      <c r="I26" s="41">
        <f>I8*0.1571</f>
        <v/>
      </c>
      <c r="J26" s="41">
        <f>J8*0.1571</f>
        <v/>
      </c>
      <c r="K26" s="41">
        <f>K8*0.1571</f>
        <v/>
      </c>
      <c r="L26" s="41">
        <f>L8*0.1571</f>
        <v/>
      </c>
      <c r="M26" s="41">
        <f>M8*0.1571</f>
        <v/>
      </c>
      <c r="N26" s="41">
        <f>N8*0.1571</f>
        <v/>
      </c>
      <c r="O26" s="41">
        <f>O8*0.1571</f>
        <v/>
      </c>
      <c r="P26" s="41">
        <f>P8*0.1571</f>
        <v/>
      </c>
    </row>
    <row r="27">
      <c r="A27" s="4" t="inlineStr">
        <is>
          <t>+ SBC (non-cash)</t>
        </is>
      </c>
      <c r="B27" s="33">
        <f>SUM(Financials!I35:L35)</f>
        <v/>
      </c>
      <c r="C27" s="33">
        <f>SUM(Financials!M35:P35)</f>
        <v/>
      </c>
      <c r="D27" s="33">
        <f>SUM(Financials!Q35:T35)</f>
        <v/>
      </c>
      <c r="E27" s="33">
        <f>SUM(Financials!U35:X35)</f>
        <v/>
      </c>
      <c r="F27" s="33">
        <f>SUM(Financials!Y35:AB35)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-SUM(Financials!I38:L38)</f>
        <v/>
      </c>
      <c r="C29" s="33">
        <f>-SUM(Financials!M38:P38)</f>
        <v/>
      </c>
      <c r="D29" s="33">
        <f>-SUM(Financials!Q38:T38)</f>
        <v/>
      </c>
      <c r="E29" s="33">
        <f>-SUM(Financials!U38:X38)</f>
        <v/>
      </c>
      <c r="F29" s="33">
        <f>-SUM(Financials!Y38:AB38)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Financials!L32+Financials!L31-Financials!L26</f>
        <v/>
      </c>
      <c r="C36" s="33">
        <f>Financials!P32+Financials!P31-Financials!P26</f>
        <v/>
      </c>
      <c r="D36" s="33">
        <f>Financials!T32+Financials!T31-Financials!T26</f>
        <v/>
      </c>
      <c r="E36" s="33">
        <f>Financials!X32+Financials!X31-Financials!X26</f>
        <v/>
      </c>
      <c r="F36" s="33">
        <f>Financials!AB32+Financials!AB31-Financials!AB26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Financials!L32</f>
        <v/>
      </c>
      <c r="C37" s="33">
        <f>Financials!P32</f>
        <v/>
      </c>
      <c r="D37" s="33">
        <f>Financials!T32</f>
        <v/>
      </c>
      <c r="E37" s="33">
        <f>Financials!X32</f>
        <v/>
      </c>
      <c r="F37" s="33">
        <f>Financials!AB32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70.69199999999999</v>
      </c>
      <c r="C3" s="18" t="n">
        <v>69.44499999999999</v>
      </c>
      <c r="D3" s="18" t="n">
        <v>69.474</v>
      </c>
      <c r="E3" s="18" t="n">
        <v>76.09</v>
      </c>
      <c r="F3" s="18" t="n">
        <v>87.462</v>
      </c>
      <c r="G3" s="18" t="n">
        <v>94.06</v>
      </c>
      <c r="H3" s="18" t="n">
        <v>108.648</v>
      </c>
      <c r="I3" s="18" t="n">
        <v>142.837</v>
      </c>
      <c r="J3" s="18" t="n">
        <v>162.96</v>
      </c>
      <c r="K3" s="18" t="n">
        <v>178.216</v>
      </c>
      <c r="L3" s="18" t="n">
        <v>186.521</v>
      </c>
      <c r="M3" s="18" t="n">
        <v>206.4</v>
      </c>
      <c r="N3" s="18" t="n">
        <v>207.633</v>
      </c>
      <c r="O3" s="18" t="n">
        <v>200.741</v>
      </c>
      <c r="P3" s="18" t="n">
        <v>186.762</v>
      </c>
      <c r="Q3" s="18" t="n">
        <v>165.38</v>
      </c>
      <c r="R3" s="18" t="n">
        <v>159.169</v>
      </c>
      <c r="S3" s="18" t="n">
        <v>141.192</v>
      </c>
      <c r="T3" s="18" t="n">
        <v>155.743</v>
      </c>
      <c r="U3" s="18" t="n">
        <v>153.182</v>
      </c>
      <c r="V3" s="18" t="n">
        <v>158.839</v>
      </c>
      <c r="W3" s="18" t="n">
        <v>154.871</v>
      </c>
      <c r="X3" s="18" t="n">
        <v>167.547</v>
      </c>
      <c r="Y3" s="18" t="n">
        <v>169.172</v>
      </c>
      <c r="Z3" s="18" t="n">
        <v>182.366</v>
      </c>
      <c r="AA3" s="18" t="n">
        <v>188.805</v>
      </c>
      <c r="AB3" s="18" t="n">
        <v>197.913</v>
      </c>
      <c r="AC3" s="18" t="n">
        <v>194.255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30.708</v>
      </c>
      <c r="C5" s="18" t="n">
        <v>31.425</v>
      </c>
      <c r="D5" s="18" t="n">
        <v>33.872</v>
      </c>
      <c r="E5" s="18" t="n">
        <v>31.982</v>
      </c>
      <c r="F5" s="18" t="n">
        <v>36.863</v>
      </c>
      <c r="G5" s="18" t="n">
        <v>39.626</v>
      </c>
      <c r="H5" s="18" t="n">
        <v>52.477</v>
      </c>
      <c r="I5" s="18" t="n">
        <v>59.747</v>
      </c>
      <c r="J5" s="18" t="n">
        <v>61.99</v>
      </c>
      <c r="K5" s="18" t="n">
        <v>75.495</v>
      </c>
      <c r="L5" s="18" t="n">
        <v>82.048</v>
      </c>
      <c r="M5" s="18" t="n">
        <v>82.35599999999999</v>
      </c>
      <c r="N5" s="18" t="n">
        <v>86.26000000000001</v>
      </c>
      <c r="O5" s="18" t="n">
        <v>86.514</v>
      </c>
      <c r="P5" s="18" t="n">
        <v>90.7</v>
      </c>
      <c r="Q5" s="18" t="n">
        <v>81.845</v>
      </c>
      <c r="R5" s="18" t="n">
        <v>79.307</v>
      </c>
      <c r="S5" s="18" t="n">
        <v>104.634</v>
      </c>
      <c r="T5" s="18" t="n">
        <v>88.136</v>
      </c>
      <c r="U5" s="18" t="n">
        <v>76.39100000000001</v>
      </c>
      <c r="V5" s="18" t="n">
        <v>85.5</v>
      </c>
      <c r="W5" s="18" t="n">
        <v>77.383</v>
      </c>
      <c r="X5" s="18" t="n">
        <v>128.706</v>
      </c>
      <c r="Y5" s="18" t="n">
        <v>78.41500000000001</v>
      </c>
      <c r="Z5" s="18" t="n">
        <v>91.224</v>
      </c>
      <c r="AA5" s="18" t="n">
        <v>88.29000000000001</v>
      </c>
      <c r="AB5" s="18" t="n">
        <v>104.47</v>
      </c>
      <c r="AC5" s="18" t="n">
        <v>95.771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5.231</v>
      </c>
      <c r="C7" s="18" t="n">
        <v>5.427</v>
      </c>
      <c r="D7" s="18" t="n">
        <v>5.172</v>
      </c>
      <c r="E7" s="18" t="n">
        <v>4.702</v>
      </c>
      <c r="F7" s="18" t="n">
        <v>4.336</v>
      </c>
      <c r="G7" s="18" t="n">
        <v>4.422</v>
      </c>
      <c r="H7" s="18" t="n">
        <v>6.669</v>
      </c>
      <c r="I7" s="18" t="n">
        <v>7.612</v>
      </c>
      <c r="J7" s="18" t="n">
        <v>8.388999999999999</v>
      </c>
      <c r="K7" s="18" t="n">
        <v>9.154</v>
      </c>
      <c r="L7" s="18" t="n">
        <v>9.119</v>
      </c>
      <c r="M7" s="18" t="n">
        <v>12.155</v>
      </c>
      <c r="N7" s="18" t="n">
        <v>10.44</v>
      </c>
      <c r="O7" s="18" t="n">
        <v>10.228</v>
      </c>
      <c r="P7" s="18" t="n">
        <v>11.113</v>
      </c>
      <c r="Q7" s="18" t="n">
        <v>12.154</v>
      </c>
      <c r="R7" s="18" t="n">
        <v>9.706</v>
      </c>
      <c r="S7" s="18" t="n">
        <v>10.577</v>
      </c>
      <c r="T7" s="18" t="n">
        <v>10.285</v>
      </c>
      <c r="U7" s="18" t="n">
        <v>11.238</v>
      </c>
      <c r="V7" s="18" t="n">
        <v>10.291</v>
      </c>
      <c r="W7" s="18" t="n">
        <v>9.710000000000001</v>
      </c>
      <c r="X7" s="18" t="n">
        <v>11.677</v>
      </c>
      <c r="Y7" s="18" t="n">
        <v>12.924</v>
      </c>
      <c r="Z7" s="18" t="n">
        <v>13.958</v>
      </c>
      <c r="AA7" s="18" t="n">
        <v>14.175</v>
      </c>
      <c r="AB7" s="18" t="n">
        <v>12.184</v>
      </c>
      <c r="AC7" s="18" t="n">
        <v>14.458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23.699</v>
      </c>
      <c r="C9" s="18" t="n">
        <v>24.629</v>
      </c>
      <c r="D9" s="18" t="n">
        <v>24.536</v>
      </c>
      <c r="E9" s="18" t="n">
        <v>27.5</v>
      </c>
      <c r="F9" s="18" t="n">
        <v>26.726</v>
      </c>
      <c r="G9" s="18" t="n">
        <v>28.051</v>
      </c>
      <c r="H9" s="18" t="n">
        <v>27.154</v>
      </c>
      <c r="I9" s="18" t="n">
        <v>39.095</v>
      </c>
      <c r="J9" s="18" t="n">
        <v>44.341</v>
      </c>
      <c r="K9" s="18" t="n">
        <v>48.373</v>
      </c>
      <c r="L9" s="18" t="n">
        <v>52.057</v>
      </c>
      <c r="M9" s="18" t="n">
        <v>54.3</v>
      </c>
      <c r="N9" s="18" t="n">
        <v>54.649</v>
      </c>
      <c r="O9" s="18" t="n">
        <v>53.643</v>
      </c>
      <c r="P9" s="18" t="n">
        <v>53.237</v>
      </c>
      <c r="Q9" s="18" t="n">
        <v>56.288</v>
      </c>
      <c r="R9" s="18" t="n">
        <v>49.084</v>
      </c>
      <c r="S9" s="18" t="n">
        <v>55.582</v>
      </c>
      <c r="T9" s="18" t="n">
        <v>57.512</v>
      </c>
      <c r="U9" s="18" t="n">
        <v>61.803</v>
      </c>
      <c r="V9" s="18" t="n">
        <v>55.607</v>
      </c>
      <c r="W9" s="18" t="n">
        <v>75.61</v>
      </c>
      <c r="X9" s="18" t="n">
        <v>60.474</v>
      </c>
      <c r="Y9" s="18" t="n">
        <v>71.255</v>
      </c>
      <c r="Z9" s="18" t="n">
        <v>71.227</v>
      </c>
      <c r="AA9" s="18" t="n">
        <v>73.663</v>
      </c>
      <c r="AB9" s="18" t="n">
        <v>62.703</v>
      </c>
      <c r="AC9" s="18" t="n">
        <v>76.536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39.984</v>
      </c>
      <c r="C11" s="18" t="n">
        <v>38.02</v>
      </c>
      <c r="D11" s="18" t="n">
        <v>35.602</v>
      </c>
      <c r="E11" s="18" t="n">
        <v>44.108</v>
      </c>
      <c r="F11" s="18" t="n">
        <v>50.599</v>
      </c>
      <c r="G11" s="18" t="n">
        <v>54.434</v>
      </c>
      <c r="H11" s="18" t="n">
        <v>56.171</v>
      </c>
      <c r="I11" s="18" t="n">
        <v>83.09</v>
      </c>
      <c r="J11" s="18" t="n">
        <v>100.97</v>
      </c>
      <c r="K11" s="18" t="n">
        <v>102.721</v>
      </c>
      <c r="L11" s="18" t="n">
        <v>104.473</v>
      </c>
      <c r="M11" s="18" t="n">
        <v>124.044</v>
      </c>
      <c r="N11" s="18" t="n">
        <v>121.373</v>
      </c>
      <c r="O11" s="18" t="n">
        <v>114.227</v>
      </c>
      <c r="P11" s="18" t="n">
        <v>96.062</v>
      </c>
      <c r="Q11" s="18" t="n">
        <v>83.535</v>
      </c>
      <c r="R11" s="18" t="n">
        <v>79.86199999999999</v>
      </c>
      <c r="S11" s="18" t="n">
        <v>36.558</v>
      </c>
      <c r="T11" s="18" t="n">
        <v>67.607</v>
      </c>
      <c r="U11" s="18" t="n">
        <v>76.791</v>
      </c>
      <c r="V11" s="18" t="n">
        <v>73.339</v>
      </c>
      <c r="W11" s="18" t="n">
        <v>77.488</v>
      </c>
      <c r="X11" s="18" t="n">
        <v>38.841</v>
      </c>
      <c r="Y11" s="18" t="n">
        <v>90.75700000000001</v>
      </c>
      <c r="Z11" s="18" t="n">
        <v>91.142</v>
      </c>
      <c r="AA11" s="18" t="n">
        <v>100.515</v>
      </c>
      <c r="AB11" s="18" t="n">
        <v>93.443</v>
      </c>
      <c r="AC11" s="18" t="n">
        <v>98.48399999999999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11.054</v>
      </c>
      <c r="C13" s="18" t="n">
        <v>7.964</v>
      </c>
      <c r="D13" s="18" t="n">
        <v>5.894</v>
      </c>
      <c r="E13" s="18" t="n">
        <v>11.906</v>
      </c>
      <c r="F13" s="18" t="n">
        <v>19.537</v>
      </c>
      <c r="G13" s="18" t="n">
        <v>21.961</v>
      </c>
      <c r="H13" s="18" t="n">
        <v>22.348</v>
      </c>
      <c r="I13" s="18" t="n">
        <v>36.383</v>
      </c>
      <c r="J13" s="18" t="n">
        <v>48.24</v>
      </c>
      <c r="K13" s="18" t="n">
        <v>45.194</v>
      </c>
      <c r="L13" s="18" t="n">
        <v>37.432</v>
      </c>
      <c r="M13" s="18" t="n">
        <v>60</v>
      </c>
      <c r="N13" s="18" t="n">
        <v>63.168</v>
      </c>
      <c r="O13" s="18" t="n">
        <v>52.665</v>
      </c>
      <c r="P13" s="18" t="n">
        <v>48.837</v>
      </c>
      <c r="Q13" s="18" t="n">
        <v>13.858</v>
      </c>
      <c r="R13" s="18" t="n">
        <v>19.281</v>
      </c>
      <c r="S13" s="18" t="n">
        <v>4.691</v>
      </c>
      <c r="T13" s="18" t="n">
        <v>-0.887</v>
      </c>
      <c r="U13" s="18" t="n">
        <v>3.75</v>
      </c>
      <c r="V13" s="18" t="n">
        <v>7.441</v>
      </c>
      <c r="W13" s="18" t="n">
        <v>-7.832</v>
      </c>
      <c r="X13" s="18" t="n">
        <v>-36.501</v>
      </c>
      <c r="Y13" s="18" t="n">
        <v>6.578</v>
      </c>
      <c r="Z13" s="18" t="n">
        <v>13.896</v>
      </c>
      <c r="AA13" s="18" t="n">
        <v>16.825</v>
      </c>
      <c r="AB13" s="18" t="n">
        <v>18.556</v>
      </c>
      <c r="AC13" s="18" t="n">
        <v>17.99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8.095000000000001</v>
      </c>
      <c r="C15" s="18" t="n">
        <v>1.659</v>
      </c>
      <c r="D15" s="18" t="n">
        <v>3.604</v>
      </c>
      <c r="E15" s="18" t="n">
        <v>9.815</v>
      </c>
      <c r="F15" s="18" t="n">
        <v>15.861</v>
      </c>
      <c r="G15" s="18" t="n">
        <v>14.552</v>
      </c>
      <c r="H15" s="18" t="n">
        <v>19.698</v>
      </c>
      <c r="I15" s="18" t="n">
        <v>29.45</v>
      </c>
      <c r="J15" s="18" t="n">
        <v>36.233</v>
      </c>
      <c r="K15" s="18" t="n">
        <v>33.498</v>
      </c>
      <c r="L15" s="18" t="n">
        <v>29.11</v>
      </c>
      <c r="M15" s="18" t="n">
        <v>46.964</v>
      </c>
      <c r="N15" s="18" t="n">
        <v>49.861</v>
      </c>
      <c r="O15" s="18" t="n">
        <v>40.405</v>
      </c>
      <c r="P15" s="18" t="n">
        <v>48.729</v>
      </c>
      <c r="Q15" s="18" t="n">
        <v>15.337</v>
      </c>
      <c r="R15" s="18" t="n">
        <v>19.786</v>
      </c>
      <c r="S15" s="18" t="n">
        <v>16.923</v>
      </c>
      <c r="T15" s="18" t="n">
        <v>-25.488</v>
      </c>
      <c r="U15" s="18" t="n">
        <v>3.296</v>
      </c>
      <c r="V15" s="18" t="n">
        <v>5.713</v>
      </c>
      <c r="W15" s="18" t="n">
        <v>-0.654</v>
      </c>
      <c r="X15" s="18" t="n">
        <v>-33.869</v>
      </c>
      <c r="Y15" s="18" t="n">
        <v>5.83</v>
      </c>
      <c r="Z15" s="18" t="n">
        <v>14.866</v>
      </c>
      <c r="AA15" s="18" t="n">
        <v>14.911</v>
      </c>
      <c r="AB15" s="18" t="n">
        <v>13.287</v>
      </c>
      <c r="AC15" s="18" t="n">
        <v>8.333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49.056</v>
      </c>
      <c r="C17" s="18" t="n">
        <v>51.809</v>
      </c>
      <c r="D17" s="18" t="n">
        <v>52.976271</v>
      </c>
      <c r="E17" s="18" t="n">
        <v>53.109</v>
      </c>
      <c r="F17" s="18" t="n">
        <v>53.306</v>
      </c>
      <c r="G17" s="18" t="n">
        <v>53.469</v>
      </c>
      <c r="H17" s="18" t="n">
        <v>55.022355</v>
      </c>
      <c r="I17" s="18" t="n">
        <v>56.869</v>
      </c>
      <c r="J17" s="18" t="n">
        <v>56.786</v>
      </c>
      <c r="K17" s="18" t="n">
        <v>57.368</v>
      </c>
      <c r="L17" s="18" t="n">
        <v>57.715709</v>
      </c>
      <c r="M17" s="18" t="n">
        <v>58.816</v>
      </c>
      <c r="N17" s="18" t="n">
        <v>56.721</v>
      </c>
      <c r="O17" s="18" t="n">
        <v>57.304</v>
      </c>
      <c r="P17" s="18" t="n">
        <v>57.105172</v>
      </c>
      <c r="Q17" s="18" t="n">
        <v>57.049</v>
      </c>
      <c r="R17" s="18" t="n">
        <v>56.858</v>
      </c>
      <c r="S17" s="18" t="n">
        <v>56.94</v>
      </c>
      <c r="T17" s="18" t="n">
        <v>55.815666</v>
      </c>
      <c r="U17" s="18" t="n">
        <v>56.531</v>
      </c>
      <c r="V17" s="18" t="n">
        <v>56.434</v>
      </c>
      <c r="W17" s="18" t="n">
        <v>56.94</v>
      </c>
      <c r="X17" s="18" t="n">
        <v>56.056993</v>
      </c>
      <c r="Y17" s="18" t="n">
        <v>56.558072</v>
      </c>
      <c r="Z17" s="18" t="n">
        <v>56.509198</v>
      </c>
      <c r="AA17" s="18" t="n">
        <v>56.52</v>
      </c>
      <c r="AB17" s="18" t="n">
        <v>56.521739</v>
      </c>
      <c r="AC17" s="18" t="n">
        <v>56.666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</t>
        </is>
      </c>
      <c r="B19" s="18" t="n">
        <v>70.67</v>
      </c>
      <c r="C19" s="18" t="n">
        <v>69.419</v>
      </c>
      <c r="D19" s="18" t="n">
        <v>69.396</v>
      </c>
      <c r="E19" s="18" t="n">
        <v>76.06</v>
      </c>
      <c r="F19" s="18" t="n">
        <v>87.432</v>
      </c>
      <c r="G19" s="18" t="n">
        <v>94.029</v>
      </c>
      <c r="H19" s="18" t="n">
        <v>108.615</v>
      </c>
      <c r="I19" s="18" t="n">
        <v>142.737</v>
      </c>
      <c r="J19" s="18" t="n">
        <v>162.92</v>
      </c>
      <c r="K19" s="18" t="n">
        <v>178.177</v>
      </c>
      <c r="L19" s="18" t="n">
        <v>186.485</v>
      </c>
      <c r="M19" s="18" t="n">
        <v>206.363</v>
      </c>
      <c r="N19" s="18" t="n">
        <v>207.597</v>
      </c>
      <c r="O19" s="18" t="n">
        <v>200.708</v>
      </c>
      <c r="P19" s="18" t="n">
        <v>186.515</v>
      </c>
      <c r="Q19" s="18" t="n">
        <v>182.621</v>
      </c>
      <c r="R19" s="18" t="n">
        <v>159.133</v>
      </c>
      <c r="S19" s="18" t="n">
        <v>141.156</v>
      </c>
      <c r="T19" s="18" t="n">
        <v>155.471</v>
      </c>
      <c r="U19" s="18" t="n">
        <v>151.31</v>
      </c>
      <c r="V19" s="18" t="n">
        <v>154.038</v>
      </c>
      <c r="W19" s="18" t="n">
        <v>154.834</v>
      </c>
      <c r="X19" s="18" t="n">
        <v>173.996</v>
      </c>
      <c r="Y19" s="18" t="n">
        <v>169.137</v>
      </c>
      <c r="Z19" s="18" t="n">
        <v>182.329</v>
      </c>
      <c r="AA19" s="18" t="n">
        <v>188.766</v>
      </c>
      <c r="AB19" s="18" t="n">
        <v>197.728</v>
      </c>
      <c r="AC19" s="18" t="n">
        <v>194.211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Royalty</t>
        </is>
      </c>
      <c r="B22" s="18" t="n">
        <v>0.022</v>
      </c>
      <c r="C22" s="18" t="n">
        <v>0.026</v>
      </c>
      <c r="D22" s="18" t="n">
        <v>0.078</v>
      </c>
      <c r="E22" s="18" t="n">
        <v>0.03</v>
      </c>
      <c r="F22" s="18" t="n">
        <v>0.03</v>
      </c>
      <c r="G22" s="18" t="n">
        <v>0.031</v>
      </c>
      <c r="H22" s="18" t="n">
        <v>0.033</v>
      </c>
      <c r="I22" s="18" t="n">
        <v>0.1</v>
      </c>
      <c r="J22" s="18" t="n">
        <v>0.04</v>
      </c>
      <c r="K22" s="18" t="n">
        <v>0.039</v>
      </c>
      <c r="L22" s="18" t="n">
        <v>0.036</v>
      </c>
      <c r="M22" s="18" t="n">
        <v>0.037</v>
      </c>
      <c r="N22" s="18" t="n">
        <v>0.036</v>
      </c>
      <c r="O22" s="18" t="n">
        <v>0.033</v>
      </c>
      <c r="P22" s="18" t="n">
        <v>0.247</v>
      </c>
      <c r="Q22" s="18" t="n">
        <v>0.039</v>
      </c>
      <c r="R22" s="18" t="n">
        <v>0.036</v>
      </c>
      <c r="S22" s="18" t="n">
        <v>0.036</v>
      </c>
      <c r="U22" s="18" t="n">
        <v>0.036</v>
      </c>
      <c r="V22" s="18" t="n">
        <v>0.035</v>
      </c>
      <c r="W22" s="18" t="n">
        <v>0.037</v>
      </c>
      <c r="Y22" s="18" t="n">
        <v>0.035</v>
      </c>
      <c r="Z22" s="18" t="n">
        <v>0.037</v>
      </c>
      <c r="AA22" s="18" t="n">
        <v>0.039</v>
      </c>
      <c r="AC22" s="18" t="n">
        <v>0.044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208.888</v>
      </c>
      <c r="C26" s="18" t="n">
        <v>513.454</v>
      </c>
      <c r="D26" s="18" t="n">
        <v>528.3920000000001</v>
      </c>
      <c r="E26" s="18" t="n">
        <v>529.525</v>
      </c>
      <c r="F26" s="18" t="n">
        <v>560.364</v>
      </c>
      <c r="G26" s="18" t="n">
        <v>553.302</v>
      </c>
      <c r="H26" s="18" t="n">
        <v>717.292</v>
      </c>
      <c r="I26" s="18" t="n">
        <v>711.318</v>
      </c>
      <c r="J26" s="18" t="n">
        <v>734.327</v>
      </c>
      <c r="K26" s="18" t="n">
        <v>621.098</v>
      </c>
      <c r="L26" s="18" t="n">
        <v>603.814</v>
      </c>
      <c r="M26" s="18" t="n">
        <v>584.64</v>
      </c>
      <c r="N26" s="18" t="n">
        <v>596.5119999999999</v>
      </c>
      <c r="O26" s="18" t="n">
        <v>573.3630000000001</v>
      </c>
      <c r="P26" s="18" t="n">
        <v>623.7569999999999</v>
      </c>
      <c r="Q26" s="18" t="n">
        <v>618.018</v>
      </c>
      <c r="R26" s="18" t="n">
        <v>603.6559999999999</v>
      </c>
      <c r="S26" s="18" t="n">
        <v>630.779</v>
      </c>
      <c r="T26" s="18" t="n">
        <v>751.323</v>
      </c>
      <c r="U26" s="18" t="n">
        <v>780.617</v>
      </c>
      <c r="V26" s="18" t="n">
        <v>809.146</v>
      </c>
      <c r="W26" s="18" t="n">
        <v>783.9640000000001</v>
      </c>
      <c r="X26" s="18" t="n">
        <v>757.355</v>
      </c>
      <c r="Y26" s="18" t="n">
        <v>697.229</v>
      </c>
      <c r="Z26" s="18" t="n">
        <v>708.855</v>
      </c>
      <c r="AA26" s="18" t="n">
        <v>748.747</v>
      </c>
      <c r="AB26" s="18" t="n">
        <v>767.628</v>
      </c>
      <c r="AC26" s="18" t="n">
        <v>784.5309999999999</v>
      </c>
    </row>
    <row r="27">
      <c r="A27" s="4" t="inlineStr">
        <is>
          <t>Total Current Assets</t>
        </is>
      </c>
      <c r="B27" s="18" t="n">
        <v>316.494</v>
      </c>
      <c r="C27" s="18" t="n">
        <v>621.54</v>
      </c>
      <c r="D27" s="18" t="n">
        <v>641.828</v>
      </c>
      <c r="E27" s="18" t="n">
        <v>651.378</v>
      </c>
      <c r="F27" s="18" t="n">
        <v>687.157</v>
      </c>
      <c r="G27" s="18" t="n">
        <v>696.728</v>
      </c>
      <c r="H27" s="18" t="n">
        <v>902.3819999999999</v>
      </c>
      <c r="I27" s="18" t="n">
        <v>926.335</v>
      </c>
      <c r="J27" s="18" t="n">
        <v>983.83</v>
      </c>
      <c r="K27" s="18" t="n">
        <v>910.854</v>
      </c>
      <c r="L27" s="18" t="n">
        <v>931.677</v>
      </c>
      <c r="M27" s="18" t="n">
        <v>944.789</v>
      </c>
      <c r="N27" s="18" t="n">
        <v>975.995</v>
      </c>
      <c r="O27" s="18" t="n">
        <v>953.2329999999999</v>
      </c>
      <c r="P27" s="18" t="n">
        <v>998.1180000000001</v>
      </c>
      <c r="Q27" s="18" t="n">
        <v>1018.803</v>
      </c>
      <c r="R27" s="18" t="n">
        <v>998.583</v>
      </c>
      <c r="S27" s="18" t="n">
        <v>978.456</v>
      </c>
      <c r="T27" s="18" t="n">
        <v>1111.346</v>
      </c>
      <c r="U27" s="18" t="n">
        <v>1133.018</v>
      </c>
      <c r="V27" s="18" t="n">
        <v>1158.918</v>
      </c>
      <c r="W27" s="18" t="n">
        <v>1131.57</v>
      </c>
      <c r="X27" s="18" t="n">
        <v>1066.041</v>
      </c>
      <c r="Y27" s="18" t="n">
        <v>1032.465</v>
      </c>
      <c r="Z27" s="18" t="n">
        <v>1056.865</v>
      </c>
      <c r="AA27" s="18" t="n">
        <v>1096.485</v>
      </c>
      <c r="AB27" s="18" t="n">
        <v>1137.385</v>
      </c>
      <c r="AC27" s="18" t="n">
        <v>1161.36</v>
      </c>
    </row>
    <row r="28">
      <c r="A28" s="4" t="inlineStr">
        <is>
          <t>PP&amp;E (net)</t>
        </is>
      </c>
      <c r="B28" s="18" t="n">
        <v>57.626</v>
      </c>
      <c r="C28" s="18" t="n">
        <v>67.879</v>
      </c>
      <c r="D28" s="18" t="n">
        <v>74.16200000000001</v>
      </c>
      <c r="E28" s="18" t="n">
        <v>75.06100000000001</v>
      </c>
      <c r="F28" s="18" t="n">
        <v>76.28100000000001</v>
      </c>
      <c r="G28" s="18" t="n">
        <v>79.556</v>
      </c>
      <c r="H28" s="18" t="n">
        <v>92.04600000000001</v>
      </c>
      <c r="I28" s="18" t="n">
        <v>99.276</v>
      </c>
      <c r="J28" s="18" t="n">
        <v>135.669</v>
      </c>
      <c r="K28" s="18" t="n">
        <v>154.659</v>
      </c>
      <c r="L28" s="18" t="n">
        <v>226.523</v>
      </c>
      <c r="M28" s="18" t="n">
        <v>247.377</v>
      </c>
      <c r="N28" s="18" t="n">
        <v>289.709</v>
      </c>
      <c r="O28" s="18" t="n">
        <v>295.777</v>
      </c>
      <c r="P28" s="18" t="n">
        <v>315.696</v>
      </c>
      <c r="Q28" s="18" t="n">
        <v>314.502</v>
      </c>
      <c r="R28" s="18" t="n">
        <v>324.608</v>
      </c>
      <c r="S28" s="18" t="n">
        <v>319.702</v>
      </c>
      <c r="T28" s="18" t="n">
        <v>322.955</v>
      </c>
      <c r="U28" s="18" t="n">
        <v>340.32</v>
      </c>
      <c r="V28" s="18" t="n">
        <v>336.049</v>
      </c>
      <c r="W28" s="18" t="n">
        <v>329.851</v>
      </c>
      <c r="X28" s="18" t="n">
        <v>333.116</v>
      </c>
      <c r="Y28" s="18" t="n">
        <v>325.19</v>
      </c>
      <c r="Z28" s="18" t="n">
        <v>321.171</v>
      </c>
      <c r="AA28" s="18" t="n">
        <v>313.088</v>
      </c>
      <c r="AB28" s="18" t="n">
        <v>306.152</v>
      </c>
      <c r="AC28" s="18" t="n">
        <v>287.105</v>
      </c>
    </row>
    <row r="29">
      <c r="A29" s="4" t="inlineStr">
        <is>
          <t>Total Assets</t>
        </is>
      </c>
      <c r="B29" s="18" t="n">
        <v>1068.267</v>
      </c>
      <c r="C29" s="18" t="n">
        <v>1378.708</v>
      </c>
      <c r="D29" s="18" t="n">
        <v>1400.113</v>
      </c>
      <c r="E29" s="18" t="n">
        <v>1406.481</v>
      </c>
      <c r="F29" s="18" t="n">
        <v>1442.045</v>
      </c>
      <c r="G29" s="18" t="n">
        <v>1476.316</v>
      </c>
      <c r="H29" s="18" t="n">
        <v>1902.887</v>
      </c>
      <c r="I29" s="18" t="n">
        <v>1927.327</v>
      </c>
      <c r="J29" s="18" t="n">
        <v>2015.965</v>
      </c>
      <c r="K29" s="18" t="n">
        <v>2241.397</v>
      </c>
      <c r="L29" s="18" t="n">
        <v>2358.354</v>
      </c>
      <c r="M29" s="18" t="n">
        <v>2383.824</v>
      </c>
      <c r="N29" s="18" t="n">
        <v>2444.916</v>
      </c>
      <c r="O29" s="18" t="n">
        <v>2462.532</v>
      </c>
      <c r="P29" s="18" t="n">
        <v>2531.6</v>
      </c>
      <c r="Q29" s="18" t="n">
        <v>2538.234</v>
      </c>
      <c r="R29" s="18" t="n">
        <v>2549.003</v>
      </c>
      <c r="S29" s="18" t="n">
        <v>2514.129</v>
      </c>
      <c r="T29" s="18" t="n">
        <v>2831.185</v>
      </c>
      <c r="U29" s="18" t="n">
        <v>2849.269</v>
      </c>
      <c r="V29" s="18" t="n">
        <v>2861.924</v>
      </c>
      <c r="W29" s="18" t="n">
        <v>2830.644</v>
      </c>
      <c r="X29" s="18" t="n">
        <v>2829.666</v>
      </c>
      <c r="Y29" s="18" t="n">
        <v>2852.143</v>
      </c>
      <c r="Z29" s="18" t="n">
        <v>2901.627</v>
      </c>
      <c r="AA29" s="18" t="n">
        <v>2923.711</v>
      </c>
      <c r="AB29" s="18" t="n">
        <v>2949.699</v>
      </c>
      <c r="AC29" s="18" t="n">
        <v>2930.772</v>
      </c>
    </row>
    <row r="30">
      <c r="A30" s="4" t="inlineStr">
        <is>
          <t>Total Current Liabilities</t>
        </is>
      </c>
      <c r="B30" s="18" t="n">
        <v>140.913</v>
      </c>
      <c r="C30" s="18" t="n">
        <v>38.765</v>
      </c>
      <c r="D30" s="18" t="n">
        <v>48.313</v>
      </c>
      <c r="E30" s="18" t="n">
        <v>41.853</v>
      </c>
      <c r="F30" s="18" t="n">
        <v>44.401</v>
      </c>
      <c r="G30" s="18" t="n">
        <v>50.984</v>
      </c>
      <c r="H30" s="18" t="n">
        <v>318.956</v>
      </c>
      <c r="I30" s="18" t="n">
        <v>313.328</v>
      </c>
      <c r="J30" s="18" t="n">
        <v>332.342</v>
      </c>
      <c r="K30" s="18" t="n">
        <v>349.439</v>
      </c>
      <c r="L30" s="18" t="n">
        <v>375.262</v>
      </c>
      <c r="M30" s="18" t="n">
        <v>424.333</v>
      </c>
      <c r="N30" s="18" t="n">
        <v>423.522</v>
      </c>
      <c r="O30" s="18" t="n">
        <v>410.696</v>
      </c>
      <c r="P30" s="18" t="n">
        <v>404.196</v>
      </c>
      <c r="Q30" s="18" t="n">
        <v>405.321</v>
      </c>
      <c r="R30" s="18" t="n">
        <v>373.583</v>
      </c>
      <c r="S30" s="18" t="n">
        <v>363.364</v>
      </c>
      <c r="T30" s="18" t="n">
        <v>164.942</v>
      </c>
      <c r="U30" s="18" t="n">
        <v>178.315</v>
      </c>
      <c r="V30" s="18" t="n">
        <v>174.307</v>
      </c>
      <c r="W30" s="18" t="n">
        <v>108.366</v>
      </c>
      <c r="X30" s="18" t="n">
        <v>126.787</v>
      </c>
      <c r="Y30" s="18" t="n">
        <v>151.996</v>
      </c>
      <c r="Z30" s="18" t="n">
        <v>123.012</v>
      </c>
      <c r="AA30" s="18" t="n">
        <v>131.136</v>
      </c>
      <c r="AB30" s="18" t="n">
        <v>135.826</v>
      </c>
      <c r="AC30" s="18" t="n">
        <v>126.209</v>
      </c>
    </row>
    <row r="31">
      <c r="A31" s="4" t="inlineStr">
        <is>
          <t>Long-term Debt</t>
        </is>
      </c>
      <c r="B31" s="18" t="n">
        <v>0</v>
      </c>
      <c r="C31" s="18" t="n">
        <v>230.182</v>
      </c>
      <c r="D31" s="18" t="n">
        <v>232.767</v>
      </c>
      <c r="E31" s="18" t="n">
        <v>235.458</v>
      </c>
      <c r="F31" s="18" t="n">
        <v>238.183</v>
      </c>
      <c r="G31" s="18" t="n">
        <v>240.942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510.143</v>
      </c>
      <c r="U31" s="18" t="n">
        <v>513.918</v>
      </c>
      <c r="V31" s="18" t="n">
        <v>517.725</v>
      </c>
      <c r="W31" s="18" t="n">
        <v>521.607</v>
      </c>
      <c r="X31" s="18" t="n">
        <v>525.567</v>
      </c>
      <c r="Y31" s="18" t="n">
        <v>529.605</v>
      </c>
      <c r="Z31" s="18" t="n">
        <v>533.725</v>
      </c>
      <c r="AA31" s="18" t="n">
        <v>537.927</v>
      </c>
      <c r="AB31" s="18" t="n">
        <v>542.213</v>
      </c>
      <c r="AC31" s="18" t="n">
        <v>546.585</v>
      </c>
    </row>
    <row r="32">
      <c r="A32" s="4" t="inlineStr">
        <is>
          <t>Total Equity</t>
        </is>
      </c>
      <c r="B32" s="18" t="n">
        <v>878.968</v>
      </c>
      <c r="C32" s="18" t="n">
        <v>1045.118</v>
      </c>
      <c r="D32" s="18" t="n">
        <v>1059.768</v>
      </c>
      <c r="E32" s="18" t="n">
        <v>1069.758</v>
      </c>
      <c r="F32" s="18" t="n">
        <v>1100.027</v>
      </c>
      <c r="G32" s="18" t="n">
        <v>1124.87</v>
      </c>
      <c r="H32" s="18" t="n">
        <v>1529.15</v>
      </c>
      <c r="I32" s="18" t="n">
        <v>1556.216</v>
      </c>
      <c r="J32" s="18" t="n">
        <v>1603.069</v>
      </c>
      <c r="K32" s="18" t="n">
        <v>1715.265</v>
      </c>
      <c r="L32" s="18" t="n">
        <v>1750.067</v>
      </c>
      <c r="M32" s="18" t="n">
        <v>1766.401</v>
      </c>
      <c r="N32" s="18" t="n">
        <v>1805.364</v>
      </c>
      <c r="O32" s="18" t="n">
        <v>1835.109</v>
      </c>
      <c r="P32" s="18" t="n">
        <v>1910.7</v>
      </c>
      <c r="Q32" s="18" t="n">
        <v>1940.492</v>
      </c>
      <c r="R32" s="18" t="n">
        <v>1970.926</v>
      </c>
      <c r="S32" s="18" t="n">
        <v>1988.557</v>
      </c>
      <c r="T32" s="18" t="n">
        <v>1964.845</v>
      </c>
      <c r="U32" s="18" t="n">
        <v>1970.601</v>
      </c>
      <c r="V32" s="18" t="n">
        <v>1986.362</v>
      </c>
      <c r="W32" s="18" t="n">
        <v>2016.686</v>
      </c>
      <c r="X32" s="18" t="n">
        <v>1972.718</v>
      </c>
      <c r="Y32" s="18" t="n">
        <v>1985.483</v>
      </c>
      <c r="Z32" s="18" t="n">
        <v>2061.741</v>
      </c>
      <c r="AA32" s="18" t="n">
        <v>2083.087</v>
      </c>
      <c r="AB32" s="18" t="n">
        <v>2106.129</v>
      </c>
      <c r="AC32" s="18" t="n">
        <v>2105.463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4.84</v>
      </c>
      <c r="C34" s="18" t="n">
        <v>5.738</v>
      </c>
      <c r="D34" s="18" t="n">
        <v>13.613</v>
      </c>
      <c r="E34" s="18" t="n">
        <v>6.39</v>
      </c>
      <c r="F34" s="18" t="n">
        <v>6.479</v>
      </c>
      <c r="G34" s="18" t="n">
        <v>6.712</v>
      </c>
      <c r="H34" s="18" t="n">
        <v>7.486</v>
      </c>
      <c r="I34" s="18" t="n">
        <v>8.444000000000001</v>
      </c>
      <c r="J34" s="18" t="n">
        <v>8.987</v>
      </c>
      <c r="K34" s="18" t="n">
        <v>12.912</v>
      </c>
      <c r="L34" s="18" t="n">
        <v>10.977</v>
      </c>
      <c r="M34" s="18" t="n">
        <v>11.834</v>
      </c>
      <c r="N34" s="18" t="n">
        <v>12.099</v>
      </c>
      <c r="O34" s="18" t="n">
        <v>12.672</v>
      </c>
      <c r="P34" s="18" t="n">
        <v>14.353</v>
      </c>
      <c r="Q34" s="18" t="n">
        <v>18.719</v>
      </c>
      <c r="R34" s="18" t="n">
        <v>16.103</v>
      </c>
      <c r="S34" s="18" t="n">
        <v>19.822</v>
      </c>
      <c r="T34" s="18" t="n">
        <v>24.616</v>
      </c>
      <c r="U34" s="18" t="n">
        <v>21.303</v>
      </c>
      <c r="V34" s="18" t="n">
        <v>16.757</v>
      </c>
      <c r="W34" s="18" t="n">
        <v>21.455</v>
      </c>
      <c r="X34" s="18" t="n">
        <v>22.527</v>
      </c>
      <c r="Y34" s="18" t="n">
        <v>32.287999</v>
      </c>
      <c r="Z34" s="18" t="n">
        <v>24.766</v>
      </c>
      <c r="AA34" s="18" t="n">
        <v>34.31</v>
      </c>
      <c r="AB34" s="18" t="n">
        <v>24.592</v>
      </c>
      <c r="AC34" s="18" t="n">
        <v>24.537</v>
      </c>
    </row>
    <row r="35">
      <c r="A35" s="4" t="inlineStr">
        <is>
          <t>Stock-based Compensation</t>
        </is>
      </c>
      <c r="B35" s="18" t="n">
        <v>3.032</v>
      </c>
      <c r="C35" s="18" t="n">
        <v>3.176</v>
      </c>
      <c r="D35" s="18" t="n">
        <v>3.388</v>
      </c>
      <c r="E35" s="18" t="n">
        <v>4.165</v>
      </c>
      <c r="F35" s="18" t="n">
        <v>4.102</v>
      </c>
      <c r="G35" s="18" t="n">
        <v>4.225</v>
      </c>
      <c r="H35" s="18" t="n">
        <v>4.515</v>
      </c>
      <c r="I35" s="18" t="n">
        <v>6.541</v>
      </c>
      <c r="J35" s="18" t="n">
        <v>0</v>
      </c>
      <c r="K35" s="18" t="n">
        <v>6.792</v>
      </c>
      <c r="L35" s="18" t="n">
        <v>0</v>
      </c>
      <c r="M35" s="18" t="n">
        <v>7.915</v>
      </c>
      <c r="N35" s="18" t="n">
        <v>6.985</v>
      </c>
      <c r="O35" s="18" t="n">
        <v>6.154</v>
      </c>
      <c r="P35" s="18" t="n">
        <v>0</v>
      </c>
      <c r="Q35" s="18" t="n">
        <v>7.254</v>
      </c>
      <c r="R35" s="18" t="n">
        <v>5.483</v>
      </c>
      <c r="S35" s="18" t="n">
        <v>6.373</v>
      </c>
      <c r="T35" s="18" t="n">
        <v>0</v>
      </c>
      <c r="U35" s="18" t="n">
        <v>8.776</v>
      </c>
      <c r="V35" s="18" t="n">
        <v>9.214</v>
      </c>
      <c r="W35" s="18" t="n">
        <v>23.056</v>
      </c>
      <c r="X35" s="18" t="n">
        <v>0</v>
      </c>
      <c r="Y35" s="18" t="n">
        <v>0</v>
      </c>
      <c r="Z35" s="18" t="n">
        <v>8.375</v>
      </c>
      <c r="AA35" s="18" t="n">
        <v>0</v>
      </c>
      <c r="AB35" s="18" t="n">
        <v>7.984</v>
      </c>
      <c r="AC35" s="18" t="n">
        <v>0</v>
      </c>
    </row>
    <row r="36">
      <c r="A36" s="4" t="inlineStr">
        <is>
          <t>Change in Working Capital</t>
        </is>
      </c>
      <c r="B36" s="18" t="n">
        <v>0.698</v>
      </c>
      <c r="C36" s="18" t="n">
        <v>13.568</v>
      </c>
      <c r="D36" s="18" t="n">
        <v>-9.114998999999999</v>
      </c>
      <c r="E36" s="18" t="n">
        <v>-13.671</v>
      </c>
      <c r="F36" s="18" t="n">
        <v>-10.522</v>
      </c>
      <c r="G36" s="18" t="n">
        <v>-8.829000000000001</v>
      </c>
      <c r="H36" s="18" t="n">
        <v>-15.598</v>
      </c>
      <c r="I36" s="18" t="n">
        <v>-40.394</v>
      </c>
      <c r="J36" s="18" t="n">
        <v>-22.137</v>
      </c>
      <c r="K36" s="18" t="n">
        <v>-33.02</v>
      </c>
      <c r="L36" s="18" t="n">
        <v>-7.229</v>
      </c>
      <c r="M36" s="18" t="n">
        <v>-42.759</v>
      </c>
      <c r="N36" s="18" t="n">
        <v>-16.689</v>
      </c>
      <c r="O36" s="18" t="n">
        <v>-16.928</v>
      </c>
      <c r="P36" s="18" t="n">
        <v>6.538</v>
      </c>
      <c r="Q36" s="18" t="n">
        <v>-30.342</v>
      </c>
      <c r="R36" s="18" t="n">
        <v>-7.431</v>
      </c>
      <c r="S36" s="18" t="n">
        <v>36.735</v>
      </c>
      <c r="T36" s="18" t="n">
        <v>-12.203</v>
      </c>
      <c r="U36" s="18" t="n">
        <v>8.614000000000001</v>
      </c>
      <c r="V36" s="18" t="n">
        <v>10.748</v>
      </c>
      <c r="W36" s="18" t="n">
        <v>1.968</v>
      </c>
      <c r="X36" s="18" t="n">
        <v>46.396</v>
      </c>
      <c r="Y36" s="18" t="n">
        <v>-26.389</v>
      </c>
      <c r="Z36" s="18" t="n">
        <v>-12.136</v>
      </c>
      <c r="AA36" s="18" t="n">
        <v>11.999</v>
      </c>
      <c r="AB36" s="18" t="n">
        <v>-24.354</v>
      </c>
      <c r="AC36" s="18" t="n">
        <v>-21.897</v>
      </c>
    </row>
    <row r="37">
      <c r="A37" s="4" t="inlineStr">
        <is>
          <t>Operating Cash Flow</t>
        </is>
      </c>
      <c r="B37" s="18" t="n">
        <v>17.789</v>
      </c>
      <c r="C37" s="18" t="n">
        <v>21.965</v>
      </c>
      <c r="D37" s="18" t="n">
        <v>17.674</v>
      </c>
      <c r="E37" s="18" t="n">
        <v>9.529999999999999</v>
      </c>
      <c r="F37" s="18" t="n">
        <v>16.735</v>
      </c>
      <c r="G37" s="18" t="n">
        <v>21.489</v>
      </c>
      <c r="H37" s="18" t="n">
        <v>14.871</v>
      </c>
      <c r="I37" s="18" t="n">
        <v>9.262</v>
      </c>
      <c r="J37" s="18" t="n">
        <v>37.651</v>
      </c>
      <c r="K37" s="18" t="n">
        <v>22.483</v>
      </c>
      <c r="L37" s="18" t="n">
        <v>49.62</v>
      </c>
      <c r="M37" s="18" t="n">
        <v>23.113</v>
      </c>
      <c r="N37" s="18" t="n">
        <v>45.721</v>
      </c>
      <c r="O37" s="18" t="n">
        <v>41.367</v>
      </c>
      <c r="P37" s="18" t="n">
        <v>61.882</v>
      </c>
      <c r="Q37" s="18" t="n">
        <v>11.154</v>
      </c>
      <c r="R37" s="18" t="n">
        <v>34.468</v>
      </c>
      <c r="S37" s="18" t="n">
        <v>39.231</v>
      </c>
      <c r="T37" s="18" t="n">
        <v>29.065</v>
      </c>
      <c r="U37" s="18" t="n">
        <v>44.708</v>
      </c>
      <c r="V37" s="18" t="n">
        <v>42.19</v>
      </c>
      <c r="W37" s="18" t="n">
        <v>49.32</v>
      </c>
      <c r="X37" s="18" t="n">
        <v>39.176</v>
      </c>
      <c r="Y37" s="18" t="n">
        <v>15.005</v>
      </c>
      <c r="Z37" s="18" t="n">
        <v>28.609</v>
      </c>
      <c r="AA37" s="18" t="n">
        <v>48.099</v>
      </c>
      <c r="AB37" s="18" t="n">
        <v>25.704</v>
      </c>
      <c r="AC37" s="18" t="n">
        <v>28.295</v>
      </c>
    </row>
    <row r="38">
      <c r="A38" s="4" t="inlineStr">
        <is>
          <t>Capex</t>
        </is>
      </c>
      <c r="B38" s="18" t="n">
        <v>-5.301</v>
      </c>
      <c r="C38" s="18" t="n">
        <v>-6.914</v>
      </c>
      <c r="D38" s="18" t="n">
        <v>-7.091</v>
      </c>
      <c r="E38" s="18" t="n">
        <v>-5.037</v>
      </c>
      <c r="F38" s="18" t="n">
        <v>-4.48</v>
      </c>
      <c r="G38" s="18" t="n">
        <v>-5.135</v>
      </c>
      <c r="H38" s="18" t="n">
        <v>-11.692</v>
      </c>
      <c r="I38" s="18" t="n">
        <v>-9.068</v>
      </c>
      <c r="J38" s="18" t="n">
        <v>-17.201</v>
      </c>
      <c r="K38" s="18" t="n">
        <v>-10.891</v>
      </c>
      <c r="L38" s="18" t="n">
        <v>-33.362</v>
      </c>
      <c r="M38" s="18" t="n">
        <v>-28.231</v>
      </c>
      <c r="N38" s="18" t="n">
        <v>-26.22</v>
      </c>
      <c r="O38" s="18" t="n">
        <v>-57.507</v>
      </c>
      <c r="P38" s="18" t="n">
        <v>-21.388</v>
      </c>
      <c r="Q38" s="18" t="n">
        <v>-9.433</v>
      </c>
      <c r="R38" s="18" t="n">
        <v>-9.391</v>
      </c>
      <c r="S38" s="18" t="n">
        <v>-9.047000000000001</v>
      </c>
      <c r="T38" s="18" t="n">
        <v>-11.117</v>
      </c>
      <c r="U38" s="18" t="n">
        <v>-8.372999999999999</v>
      </c>
      <c r="V38" s="18" t="n">
        <v>-7.4</v>
      </c>
      <c r="W38" s="18" t="n">
        <v>-7.138</v>
      </c>
      <c r="X38" s="18" t="n">
        <v>-6.987999</v>
      </c>
      <c r="Y38" s="18" t="n">
        <v>-4.43</v>
      </c>
      <c r="Z38" s="18" t="n">
        <v>-7.605</v>
      </c>
      <c r="AA38" s="18" t="n">
        <v>-5.386</v>
      </c>
      <c r="AB38" s="18" t="n">
        <v>-8.657</v>
      </c>
      <c r="AC38" s="18" t="n">
        <v>-4.947</v>
      </c>
    </row>
    <row r="39">
      <c r="A39" s="4" t="inlineStr">
        <is>
          <t>Free Cash Flow</t>
        </is>
      </c>
      <c r="B39" s="18" t="n">
        <v>12.488</v>
      </c>
      <c r="C39" s="18" t="n">
        <v>15.051</v>
      </c>
      <c r="D39" s="18" t="n">
        <v>10.582999</v>
      </c>
      <c r="E39" s="18" t="n">
        <v>4.493</v>
      </c>
      <c r="F39" s="18" t="n">
        <v>12.255</v>
      </c>
      <c r="G39" s="18" t="n">
        <v>16.354</v>
      </c>
      <c r="H39" s="18" t="n">
        <v>3.179</v>
      </c>
      <c r="I39" s="18" t="n">
        <v>0.194</v>
      </c>
      <c r="J39" s="18" t="n">
        <v>20.45</v>
      </c>
      <c r="K39" s="18" t="n">
        <v>11.592</v>
      </c>
      <c r="L39" s="18" t="n">
        <v>16.258</v>
      </c>
      <c r="M39" s="18" t="n">
        <v>-5.118</v>
      </c>
      <c r="N39" s="18" t="n">
        <v>19.501</v>
      </c>
      <c r="O39" s="18" t="n">
        <v>-16.14</v>
      </c>
      <c r="P39" s="18" t="n">
        <v>40.494</v>
      </c>
      <c r="Q39" s="18" t="n">
        <v>1.721</v>
      </c>
      <c r="R39" s="18" t="n">
        <v>25.077</v>
      </c>
      <c r="S39" s="18" t="n">
        <v>30.184</v>
      </c>
      <c r="T39" s="18" t="n">
        <v>17.948</v>
      </c>
      <c r="U39" s="18" t="n">
        <v>36.335</v>
      </c>
      <c r="V39" s="18" t="n">
        <v>34.79</v>
      </c>
      <c r="W39" s="18" t="n">
        <v>42.182</v>
      </c>
      <c r="X39" s="18" t="n">
        <v>32.188</v>
      </c>
      <c r="Y39" s="18" t="n">
        <v>10.575</v>
      </c>
      <c r="Z39" s="18" t="n">
        <v>21.004</v>
      </c>
      <c r="AA39" s="18" t="n">
        <v>42.713</v>
      </c>
      <c r="AB39" s="18" t="n">
        <v>17.047</v>
      </c>
      <c r="AC39" s="18" t="n">
        <v>23.348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822.892199</v>
      </c>
      <c r="C4" s="18" t="n">
        <v>943.304621</v>
      </c>
      <c r="D4" s="18" t="n">
        <v>1085.704437</v>
      </c>
      <c r="E4" s="18" t="n">
        <v>1253.522507</v>
      </c>
      <c r="F4" s="18" t="n">
        <v>1437.16625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202.100618</v>
      </c>
      <c r="C8" s="18" t="n">
        <v>231.67366</v>
      </c>
      <c r="D8" s="18" t="n">
        <v>266.64676</v>
      </c>
      <c r="E8" s="18" t="n">
        <v>307.86253</v>
      </c>
      <c r="F8" s="18" t="n">
        <v>352.965053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118.536213</v>
      </c>
      <c r="C12" s="18" t="n">
        <v>135.881417</v>
      </c>
      <c r="D12" s="18" t="n">
        <v>156.393867</v>
      </c>
      <c r="E12" s="18" t="n">
        <v>180.567773</v>
      </c>
      <c r="F12" s="18" t="n">
        <v>207.02134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279.415616</v>
      </c>
      <c r="C16" s="18" t="n">
        <v>320.302029</v>
      </c>
      <c r="D16" s="18" t="n">
        <v>368.654332</v>
      </c>
      <c r="E16" s="18" t="n">
        <v>425.637481</v>
      </c>
      <c r="F16" s="18" t="n">
        <v>487.994288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113.1921375</v>
      </c>
      <c r="C20" s="18" t="n">
        <v>136.500077</v>
      </c>
      <c r="D20" s="18" t="n">
        <v>188.8110845</v>
      </c>
      <c r="E20" s="18" t="n">
        <v>243.804497</v>
      </c>
      <c r="F20" s="18" t="n">
        <v>307.833247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2.00124</v>
      </c>
      <c r="C24" s="47" t="n">
        <v>2.58836</v>
      </c>
      <c r="D24" s="47" t="n">
        <v>3.2817</v>
      </c>
      <c r="E24" s="47" t="n">
        <v>4.31047</v>
      </c>
      <c r="F24" s="47" t="n">
        <v>5.4425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Repligen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Financials!AC26</f>
        <v/>
      </c>
    </row>
    <row r="33">
      <c r="A33" s="4" t="inlineStr">
        <is>
          <t>- Long-term debt</t>
        </is>
      </c>
      <c r="B33" s="33">
        <f>-Financials!AC31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0.07309434711521913</v>
      </c>
      <c r="C4" s="51" t="n">
        <v>0.07809434711521913</v>
      </c>
      <c r="D4" s="51" t="n">
        <v>0.08309434711521912</v>
      </c>
      <c r="E4" s="51" t="n">
        <v>0.08809434711521913</v>
      </c>
      <c r="F4" s="51" t="n">
        <v>0.09309434711521913</v>
      </c>
      <c r="G4" s="51" t="n">
        <v>0.09809434711521912</v>
      </c>
      <c r="H4" s="51" t="n">
        <v>0.1030943471152191</v>
      </c>
    </row>
    <row r="5">
      <c r="A5" s="52" t="n">
        <v>9</v>
      </c>
      <c r="B5" s="53" t="n">
        <v>93.76795233955923</v>
      </c>
      <c r="C5" s="53" t="n">
        <v>90.44443536110788</v>
      </c>
      <c r="D5" s="53" t="n">
        <v>87.27370244164318</v>
      </c>
      <c r="E5" s="53" t="n">
        <v>84.24783699017648</v>
      </c>
      <c r="F5" s="53" t="n">
        <v>81.35937197125953</v>
      </c>
      <c r="G5" s="53" t="n">
        <v>78.60126230633286</v>
      </c>
      <c r="H5" s="53" t="n">
        <v>75.96685909111929</v>
      </c>
    </row>
    <row r="6">
      <c r="A6" s="52" t="n">
        <v>10</v>
      </c>
      <c r="B6" s="53" t="n">
        <v>99.79858425916308</v>
      </c>
      <c r="C6" s="53" t="n">
        <v>96.20114340270484</v>
      </c>
      <c r="D6" s="53" t="n">
        <v>92.77011092410368</v>
      </c>
      <c r="E6" s="53" t="n">
        <v>89.49683432628987</v>
      </c>
      <c r="F6" s="53" t="n">
        <v>86.37315353591957</v>
      </c>
      <c r="G6" s="53" t="n">
        <v>83.39137062750176</v>
      </c>
      <c r="H6" s="53" t="n">
        <v>80.54422154191366</v>
      </c>
    </row>
    <row r="7">
      <c r="A7" s="52" t="n">
        <v>11</v>
      </c>
      <c r="B7" s="53" t="n">
        <v>105.8292161787669</v>
      </c>
      <c r="C7" s="53" t="n">
        <v>101.9578514443018</v>
      </c>
      <c r="D7" s="53" t="n">
        <v>98.26651940656417</v>
      </c>
      <c r="E7" s="53" t="n">
        <v>94.74583166240323</v>
      </c>
      <c r="F7" s="53" t="n">
        <v>91.38693510057962</v>
      </c>
      <c r="G7" s="53" t="n">
        <v>88.18147894867069</v>
      </c>
      <c r="H7" s="53" t="n">
        <v>85.12158399270803</v>
      </c>
    </row>
    <row r="8">
      <c r="A8" s="52" t="n">
        <v>12</v>
      </c>
      <c r="B8" s="53" t="n">
        <v>111.8598480983708</v>
      </c>
      <c r="C8" s="53" t="n">
        <v>107.7145594858988</v>
      </c>
      <c r="D8" s="53" t="n">
        <v>103.7629278890247</v>
      </c>
      <c r="E8" s="54" t="n">
        <v>99.99482899851662</v>
      </c>
      <c r="F8" s="53" t="n">
        <v>96.40071666523964</v>
      </c>
      <c r="G8" s="53" t="n">
        <v>92.9715872698396</v>
      </c>
      <c r="H8" s="53" t="n">
        <v>89.69894644350242</v>
      </c>
    </row>
    <row r="9">
      <c r="A9" s="52" t="n">
        <v>13</v>
      </c>
      <c r="B9" s="53" t="n">
        <v>117.8904800179746</v>
      </c>
      <c r="C9" s="53" t="n">
        <v>113.4712675274958</v>
      </c>
      <c r="D9" s="53" t="n">
        <v>109.2593363714852</v>
      </c>
      <c r="E9" s="53" t="n">
        <v>105.24382633463</v>
      </c>
      <c r="F9" s="53" t="n">
        <v>101.4144982298997</v>
      </c>
      <c r="G9" s="53" t="n">
        <v>97.76169559100852</v>
      </c>
      <c r="H9" s="53" t="n">
        <v>94.27630889429679</v>
      </c>
    </row>
    <row r="10">
      <c r="A10" s="52" t="n">
        <v>14</v>
      </c>
      <c r="B10" s="53" t="n">
        <v>123.9211119375785</v>
      </c>
      <c r="C10" s="53" t="n">
        <v>119.2279755690927</v>
      </c>
      <c r="D10" s="53" t="n">
        <v>114.7557448539457</v>
      </c>
      <c r="E10" s="53" t="n">
        <v>110.4928236707434</v>
      </c>
      <c r="F10" s="53" t="n">
        <v>106.4282797945597</v>
      </c>
      <c r="G10" s="53" t="n">
        <v>102.5518039121774</v>
      </c>
      <c r="H10" s="53" t="n">
        <v>98.85367134509117</v>
      </c>
    </row>
    <row r="11">
      <c r="A11" s="52" t="n">
        <v>15</v>
      </c>
      <c r="B11" s="8" t="n">
        <v>129.9517438571824</v>
      </c>
      <c r="C11" s="53" t="n">
        <v>124.9846836106897</v>
      </c>
      <c r="D11" s="53" t="n">
        <v>120.2521533364062</v>
      </c>
      <c r="E11" s="53" t="n">
        <v>115.7418210068567</v>
      </c>
      <c r="F11" s="53" t="n">
        <v>111.4420613592198</v>
      </c>
      <c r="G11" s="53" t="n">
        <v>107.3419122333463</v>
      </c>
      <c r="H11" s="53" t="n">
        <v>103.4310337958855</v>
      </c>
    </row>
    <row r="13">
      <c r="A13" s="3" t="inlineStr">
        <is>
          <t>Current price</t>
        </is>
      </c>
      <c r="B13" s="53" t="n">
        <v>127.0824966430664</v>
      </c>
    </row>
    <row r="14">
      <c r="A14" s="3" t="inlineStr">
        <is>
          <t>Base WACC / multiple</t>
        </is>
      </c>
      <c r="B14" s="55" t="n">
        <v>0.08809434711521913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0.1570674657571357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0.2219411256325376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1.066965761854932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2026-07-08T07:04:08Z</dcterms:created>
  <dcterms:modified xmlns:dcterms="http://purl.org/dc/terms/" xmlns:xsi="http://www.w3.org/2001/XMLSchema-instance" xsi:type="dcterms:W3CDTF">2026-07-08T07:04:08Z</dcterms:modified>
</cp:coreProperties>
</file>