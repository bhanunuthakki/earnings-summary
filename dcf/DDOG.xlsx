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workbook (synced) — no Opus pass — value synced from this workbook</t>
      </text>
    </comment>
    <comment ref="C20" authorId="0" shapeId="0">
      <text>
        <t>workbook (synced) — no Opus pass — value synced from this workbook</t>
      </text>
    </comment>
    <comment ref="B29" authorId="0" shapeId="0">
      <text>
        <t>workbook (synced) — no Opus pass — value synced from this workbook</t>
      </text>
    </comment>
    <comment ref="B30" authorId="0" shapeId="0">
      <text>
        <t>workbook (synced) — no Opus pass — value synced from this workbook</t>
      </text>
    </comment>
    <comment ref="B31" authorId="0" shapeId="0">
      <text>
        <t>workbook (synced) — no Opus pass — value synced from this workbook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workbook (synced) — no Opus pass — value synced from this workbook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workbook (synced) — no Opus pass — value synced from this workbook</t>
      </text>
    </comment>
    <comment ref="B41" authorId="0" shapeId="0">
      <text>
        <t>workbook (synced) — no Opus pass — value synced from this workbook</t>
      </text>
    </comment>
    <comment ref="B43" authorId="0" shapeId="0">
      <text>
        <t>workbook (synced) — no Opus pass — value synced from this workbook</t>
      </text>
    </comment>
    <comment ref="B44" authorId="0" shapeId="0">
      <text>
        <t>workbook (synced) — no Opus pass — value synced from this workbook</t>
      </text>
    </comment>
    <comment ref="B45" authorId="0" shapeId="0">
      <text>
        <t>Opus: 18.6x</t>
      </text>
    </comment>
    <comment ref="B46" authorId="0" shapeId="0">
      <text>
        <t>workbook (synced) — no Opus pass — value synced from this workbook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Datadog, Inc. (DDOG)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2026-07-06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Datadog, Inc. (DDOG)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0.1941160734694184</v>
      </c>
      <c r="C20" s="15" t="n">
        <v>0.05</v>
      </c>
      <c r="D20" s="16" t="n">
        <v>0.1941160734694184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0.2765251382053894</v>
      </c>
      <c r="D29" s="16" t="n">
        <v>0.2765251382053894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0.270654939073817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54.53580000000001</v>
      </c>
      <c r="D34" s="18" t="n">
        <v>54.53580000000001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1.295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18.6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260.3599853515625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52.48806429556855</v>
      </c>
      <c r="C58" s="28" t="n">
        <v>71.792995187904</v>
      </c>
      <c r="D58" s="28" t="n">
        <v>38.33191491035898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0.2190360059267766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0.131421603556066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DDOG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2026-07-06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workbook (synced)</t>
        </is>
      </c>
      <c r="E8" t="inlineStr">
        <is>
          <t>—</t>
        </is>
      </c>
      <c r="F8" s="31" t="inlineStr">
        <is>
          <t>no Opus pass — value synced from this workbook</t>
        </is>
      </c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workbook (synced)</t>
        </is>
      </c>
      <c r="E9" t="inlineStr">
        <is>
          <t>—</t>
        </is>
      </c>
      <c r="F9" s="31" t="inlineStr">
        <is>
          <t>no Opus pass — value synced from this workbook</t>
        </is>
      </c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workbook (synced)</t>
        </is>
      </c>
      <c r="E10" t="inlineStr">
        <is>
          <t>—</t>
        </is>
      </c>
      <c r="F10" s="31" t="inlineStr">
        <is>
          <t>no Opus pass — value synced from this workbook</t>
        </is>
      </c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workbook (synced)</t>
        </is>
      </c>
      <c r="E11" t="inlineStr">
        <is>
          <t>—</t>
        </is>
      </c>
      <c r="F11" s="31" t="inlineStr">
        <is>
          <t>no Opus pass — value synced from this workbook</t>
        </is>
      </c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workbook (synced)</t>
        </is>
      </c>
      <c r="E12" t="inlineStr">
        <is>
          <t>—</t>
        </is>
      </c>
      <c r="F12" s="31" t="inlineStr">
        <is>
          <t>no Opus pass — value synced from this workbook</t>
        </is>
      </c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workbook (synced)</t>
        </is>
      </c>
      <c r="E13" t="inlineStr">
        <is>
          <t>—</t>
        </is>
      </c>
      <c r="F13" s="31" t="inlineStr">
        <is>
          <t>no Opus pass — value synced from this workbook</t>
        </is>
      </c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workbook (synced)</t>
        </is>
      </c>
      <c r="E18" t="inlineStr">
        <is>
          <t>—</t>
        </is>
      </c>
      <c r="F18" s="31" t="inlineStr">
        <is>
          <t>no Opus pass — value synced from this workbook</t>
        </is>
      </c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workbook (synced)</t>
        </is>
      </c>
      <c r="E19" t="inlineStr">
        <is>
          <t>—</t>
        </is>
      </c>
      <c r="F19" s="31" t="inlineStr">
        <is>
          <t>no Opus pass — value synced from this workbook</t>
        </is>
      </c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Opus</t>
        </is>
      </c>
      <c r="E20" t="inlineStr">
        <is>
          <t>18.6x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workbook (synced)</t>
        </is>
      </c>
      <c r="E21" t="inlineStr">
        <is>
          <t>—</t>
        </is>
      </c>
      <c r="F21" s="31" t="inlineStr">
        <is>
          <t>no Opus pass — value synced from this workbook</t>
        </is>
      </c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0.2005591805221703</v>
      </c>
      <c r="H11" s="15" t="n">
        <v>0.2005591805221703</v>
      </c>
      <c r="I11" s="15" t="n">
        <v>0.2005591805221703</v>
      </c>
      <c r="J11" s="15" t="n">
        <v>0.2005591805221703</v>
      </c>
      <c r="K11" s="15" t="n">
        <v>0.2005591805221703</v>
      </c>
      <c r="L11" s="15" t="n">
        <v>0.2005591805221703</v>
      </c>
      <c r="M11" s="15" t="n">
        <v>0.2005591805221703</v>
      </c>
      <c r="N11" s="15" t="n">
        <v>0.2005591805221703</v>
      </c>
      <c r="O11" s="15" t="n">
        <v>0.2005591805221703</v>
      </c>
      <c r="P11" s="15" t="n">
        <v>0.2005591805221703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0.4518178035561827</v>
      </c>
      <c r="H13" s="15" t="n">
        <v>0.4518178035561827</v>
      </c>
      <c r="I13" s="15" t="n">
        <v>0.4518178035561827</v>
      </c>
      <c r="J13" s="15" t="n">
        <v>0.4518178035561827</v>
      </c>
      <c r="K13" s="15" t="n">
        <v>0.4518178035561827</v>
      </c>
      <c r="L13" s="15" t="n">
        <v>0.4518178035561827</v>
      </c>
      <c r="M13" s="15" t="n">
        <v>0.4518178035561827</v>
      </c>
      <c r="N13" s="15" t="n">
        <v>0.4518178035561827</v>
      </c>
      <c r="O13" s="15" t="n">
        <v>0.4518178035561827</v>
      </c>
      <c r="P13" s="15" t="n">
        <v>0.4518178035561827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0.3605704785131004</v>
      </c>
      <c r="H15" s="15" t="n">
        <v>0.3605704785131004</v>
      </c>
      <c r="I15" s="15" t="n">
        <v>0.3605704785131004</v>
      </c>
      <c r="J15" s="15" t="n">
        <v>0.3605704785131004</v>
      </c>
      <c r="K15" s="15" t="n">
        <v>0.3605704785131004</v>
      </c>
      <c r="L15" s="15" t="n">
        <v>0.3605704785131004</v>
      </c>
      <c r="M15" s="15" t="n">
        <v>0.3605704785131004</v>
      </c>
      <c r="N15" s="15" t="n">
        <v>0.3605704785131004</v>
      </c>
      <c r="O15" s="15" t="n">
        <v>0.3605704785131004</v>
      </c>
      <c r="P15" s="15" t="n">
        <v>0.3605704785131004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SUM(Financials!I37:L37)</f>
        <v/>
      </c>
      <c r="C24" s="33">
        <f>SUM(Financials!M37:P37)</f>
        <v/>
      </c>
      <c r="D24" s="33">
        <f>SUM(Financials!Q37:T37)</f>
        <v/>
      </c>
      <c r="E24" s="33">
        <f>SUM(Financials!U37:X37)</f>
        <v/>
      </c>
      <c r="F24" s="33">
        <f>SUM(Financials!Y37:AB37)</f>
        <v/>
      </c>
      <c r="G24" s="41">
        <f>G6*0.0213</f>
        <v/>
      </c>
      <c r="H24" s="41">
        <f>H6*0.0213</f>
        <v/>
      </c>
      <c r="I24" s="41">
        <f>I6*0.0213</f>
        <v/>
      </c>
      <c r="J24" s="41">
        <f>J6*0.0213</f>
        <v/>
      </c>
      <c r="K24" s="41">
        <f>K6*0.0213</f>
        <v/>
      </c>
      <c r="L24" s="41">
        <f>L6*0.0213</f>
        <v/>
      </c>
      <c r="M24" s="41">
        <f>M6*0.0213</f>
        <v/>
      </c>
      <c r="N24" s="41">
        <f>N6*0.0213</f>
        <v/>
      </c>
      <c r="O24" s="41">
        <f>O6*0.0213</f>
        <v/>
      </c>
      <c r="P24" s="41">
        <f>P6*0.0213</f>
        <v/>
      </c>
    </row>
    <row r="25">
      <c r="A25" s="4" t="inlineStr">
        <is>
          <t>+ SBC (non-cash)</t>
        </is>
      </c>
      <c r="B25" s="33">
        <f>SUM(Financials!I38:L38)</f>
        <v/>
      </c>
      <c r="C25" s="33">
        <f>SUM(Financials!M38:P38)</f>
        <v/>
      </c>
      <c r="D25" s="33">
        <f>SUM(Financials!Q38:T38)</f>
        <v/>
      </c>
      <c r="E25" s="33">
        <f>SUM(Financials!U38:X38)</f>
        <v/>
      </c>
      <c r="F25" s="33">
        <f>SUM(Financials!Y38:AB38)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-SUM(Financials!I41:L41)</f>
        <v/>
      </c>
      <c r="C27" s="33">
        <f>-SUM(Financials!M41:P41)</f>
        <v/>
      </c>
      <c r="D27" s="33">
        <f>-SUM(Financials!Q41:T41)</f>
        <v/>
      </c>
      <c r="E27" s="33">
        <f>-SUM(Financials!U41:X41)</f>
        <v/>
      </c>
      <c r="F27" s="33">
        <f>-SUM(Financials!Y41:AB41)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Financials!L35+Financials!L34-Financials!L29</f>
        <v/>
      </c>
      <c r="C34" s="33">
        <f>Financials!P35+Financials!P34-Financials!P29</f>
        <v/>
      </c>
      <c r="D34" s="33">
        <f>Financials!T35+Financials!T34-Financials!T29</f>
        <v/>
      </c>
      <c r="E34" s="33">
        <f>Financials!X35+Financials!X34-Financials!X29</f>
        <v/>
      </c>
      <c r="F34" s="33">
        <f>Financials!AB35+Financials!AB34-Financials!AB29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Financials!L35</f>
        <v/>
      </c>
      <c r="C35" s="33">
        <f>Financials!P35</f>
        <v/>
      </c>
      <c r="D35" s="33">
        <f>Financials!T35</f>
        <v/>
      </c>
      <c r="E35" s="33">
        <f>Financials!X35</f>
        <v/>
      </c>
      <c r="F35" s="33">
        <f>Financials!AB35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83.22199999999999</v>
      </c>
      <c r="C3" s="18" t="n">
        <v>95.864</v>
      </c>
      <c r="D3" s="18" t="n">
        <v>113.644</v>
      </c>
      <c r="E3" s="18" t="n">
        <v>131.248</v>
      </c>
      <c r="F3" s="18" t="n">
        <v>140.012</v>
      </c>
      <c r="G3" s="18" t="n">
        <v>154.675</v>
      </c>
      <c r="H3" s="18" t="n">
        <v>177.531</v>
      </c>
      <c r="I3" s="18" t="n">
        <v>198.549</v>
      </c>
      <c r="J3" s="18" t="n">
        <v>233.549</v>
      </c>
      <c r="K3" s="18" t="n">
        <v>270.488</v>
      </c>
      <c r="L3" s="18" t="n">
        <v>326.198</v>
      </c>
      <c r="M3" s="18" t="n">
        <v>363.03</v>
      </c>
      <c r="N3" s="18" t="n">
        <v>406.138</v>
      </c>
      <c r="O3" s="18" t="n">
        <v>436.533</v>
      </c>
      <c r="P3" s="18" t="n">
        <v>469.399</v>
      </c>
      <c r="Q3" s="18" t="n">
        <v>481.714</v>
      </c>
      <c r="R3" s="18" t="n">
        <v>509.46</v>
      </c>
      <c r="S3" s="18" t="n">
        <v>547.5359999999999</v>
      </c>
      <c r="T3" s="18" t="n">
        <v>589.649</v>
      </c>
      <c r="U3" s="18" t="n">
        <v>611.253</v>
      </c>
      <c r="V3" s="18" t="n">
        <v>645.279</v>
      </c>
      <c r="W3" s="18" t="n">
        <v>690.016</v>
      </c>
      <c r="X3" s="18" t="n">
        <v>737.727</v>
      </c>
      <c r="Y3" s="18" t="n">
        <v>761.553</v>
      </c>
      <c r="Z3" s="18" t="n">
        <v>826.76</v>
      </c>
      <c r="AA3" s="18" t="n">
        <v>885.651</v>
      </c>
      <c r="AB3" s="18" t="n">
        <v>953.194</v>
      </c>
      <c r="AC3" s="18" t="n">
        <v>1006.426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20.978</v>
      </c>
      <c r="C5" s="18" t="n">
        <v>23.297</v>
      </c>
      <c r="D5" s="18" t="n">
        <v>25.724</v>
      </c>
      <c r="E5" s="18" t="n">
        <v>26.479</v>
      </c>
      <c r="F5" s="18" t="n">
        <v>28.878</v>
      </c>
      <c r="G5" s="18" t="n">
        <v>33.984</v>
      </c>
      <c r="H5" s="18" t="n">
        <v>40.856</v>
      </c>
      <c r="I5" s="18" t="n">
        <v>46.666</v>
      </c>
      <c r="J5" s="18" t="n">
        <v>57.098</v>
      </c>
      <c r="K5" s="18" t="n">
        <v>63.332</v>
      </c>
      <c r="L5" s="18" t="n">
        <v>67.357</v>
      </c>
      <c r="M5" s="18" t="n">
        <v>74.66500000000001</v>
      </c>
      <c r="N5" s="18" t="n">
        <v>82.131</v>
      </c>
      <c r="O5" s="18" t="n">
        <v>93.807</v>
      </c>
      <c r="P5" s="18" t="n">
        <v>96.965</v>
      </c>
      <c r="Q5" s="18" t="n">
        <v>100.117</v>
      </c>
      <c r="R5" s="18" t="n">
        <v>102.052</v>
      </c>
      <c r="S5" s="18" t="n">
        <v>103.527</v>
      </c>
      <c r="T5" s="18" t="n">
        <v>105.037</v>
      </c>
      <c r="U5" s="18" t="n">
        <v>110.303</v>
      </c>
      <c r="V5" s="18" t="n">
        <v>123.704</v>
      </c>
      <c r="W5" s="18" t="n">
        <v>137.964</v>
      </c>
      <c r="X5" s="18" t="n">
        <v>144.385</v>
      </c>
      <c r="Y5" s="18" t="n">
        <v>157.831</v>
      </c>
      <c r="Z5" s="18" t="n">
        <v>166.166</v>
      </c>
      <c r="AA5" s="18" t="n">
        <v>176.457</v>
      </c>
      <c r="AB5" s="18" t="n">
        <v>186.894</v>
      </c>
      <c r="AC5" s="18" t="n">
        <v>209.228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24.032</v>
      </c>
      <c r="C7" s="18" t="n">
        <v>28.684</v>
      </c>
      <c r="D7" s="18" t="n">
        <v>35.894</v>
      </c>
      <c r="E7" s="18" t="n">
        <v>40.824</v>
      </c>
      <c r="F7" s="18" t="n">
        <v>45.664</v>
      </c>
      <c r="G7" s="18" t="n">
        <v>56.44</v>
      </c>
      <c r="H7" s="18" t="n">
        <v>67.69799999999999</v>
      </c>
      <c r="I7" s="18" t="n">
        <v>79.26600000000001</v>
      </c>
      <c r="J7" s="18" t="n">
        <v>94.779</v>
      </c>
      <c r="K7" s="18" t="n">
        <v>112.675</v>
      </c>
      <c r="L7" s="18" t="n">
        <v>133.049</v>
      </c>
      <c r="M7" s="18" t="n">
        <v>150.608</v>
      </c>
      <c r="N7" s="18" t="n">
        <v>177.699</v>
      </c>
      <c r="O7" s="18" t="n">
        <v>205.388</v>
      </c>
      <c r="P7" s="18" t="n">
        <v>218.656</v>
      </c>
      <c r="Q7" s="18" t="n">
        <v>229.478</v>
      </c>
      <c r="R7" s="18" t="n">
        <v>239.494</v>
      </c>
      <c r="S7" s="18" t="n">
        <v>240.225</v>
      </c>
      <c r="T7" s="18" t="n">
        <v>253.25</v>
      </c>
      <c r="U7" s="18" t="n">
        <v>269.988</v>
      </c>
      <c r="V7" s="18" t="n">
        <v>274.599</v>
      </c>
      <c r="W7" s="18" t="n">
        <v>291.802</v>
      </c>
      <c r="X7" s="18" t="n">
        <v>316.314</v>
      </c>
      <c r="Y7" s="18" t="n">
        <v>341.061</v>
      </c>
      <c r="Z7" s="18" t="n">
        <v>387.482</v>
      </c>
      <c r="AA7" s="18" t="n">
        <v>401.982</v>
      </c>
      <c r="AB7" s="18" t="n">
        <v>417.926</v>
      </c>
      <c r="AC7" s="18" t="n">
        <v>435.298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42.206</v>
      </c>
      <c r="C9" s="18" t="n">
        <v>48.101</v>
      </c>
      <c r="D9" s="18" t="n">
        <v>54.292</v>
      </c>
      <c r="E9" s="18" t="n">
        <v>60.167</v>
      </c>
      <c r="F9" s="18" t="n">
        <v>64.816</v>
      </c>
      <c r="G9" s="18" t="n">
        <v>73.518</v>
      </c>
      <c r="H9" s="18" t="n">
        <v>77.91500000000001</v>
      </c>
      <c r="I9" s="18" t="n">
        <v>85.447</v>
      </c>
      <c r="J9" s="18" t="n">
        <v>91.55800000000001</v>
      </c>
      <c r="K9" s="18" t="n">
        <v>99.376</v>
      </c>
      <c r="L9" s="18" t="n">
        <v>117.337</v>
      </c>
      <c r="M9" s="18" t="n">
        <v>127.343</v>
      </c>
      <c r="N9" s="18" t="n">
        <v>149.447</v>
      </c>
      <c r="O9" s="18" t="n">
        <v>168.68</v>
      </c>
      <c r="P9" s="18" t="n">
        <v>188.406</v>
      </c>
      <c r="Q9" s="18" t="n">
        <v>187.089</v>
      </c>
      <c r="R9" s="18" t="n">
        <v>189.92</v>
      </c>
      <c r="S9" s="18" t="n">
        <v>208.014</v>
      </c>
      <c r="T9" s="18" t="n">
        <v>203.62</v>
      </c>
      <c r="U9" s="18" t="n">
        <v>218.966</v>
      </c>
      <c r="V9" s="18" t="n">
        <v>234.358</v>
      </c>
      <c r="W9" s="18" t="n">
        <v>239.972</v>
      </c>
      <c r="X9" s="18" t="n">
        <v>267.636</v>
      </c>
      <c r="Y9" s="18" t="n">
        <v>275.081</v>
      </c>
      <c r="Z9" s="18" t="n">
        <v>308.612</v>
      </c>
      <c r="AA9" s="18" t="n">
        <v>313.021</v>
      </c>
      <c r="AB9" s="18" t="n">
        <v>339.018</v>
      </c>
      <c r="AC9" s="18" t="n">
        <v>354.573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62.244</v>
      </c>
      <c r="C11" s="18" t="n">
        <v>72.56699999999999</v>
      </c>
      <c r="D11" s="18" t="n">
        <v>87.92</v>
      </c>
      <c r="E11" s="18" t="n">
        <v>104.769</v>
      </c>
      <c r="F11" s="18" t="n">
        <v>111.134</v>
      </c>
      <c r="G11" s="18" t="n">
        <v>120.691</v>
      </c>
      <c r="H11" s="18" t="n">
        <v>136.675</v>
      </c>
      <c r="I11" s="18" t="n">
        <v>151.883</v>
      </c>
      <c r="J11" s="18" t="n">
        <v>176.451</v>
      </c>
      <c r="K11" s="18" t="n">
        <v>207.156</v>
      </c>
      <c r="L11" s="18" t="n">
        <v>258.841</v>
      </c>
      <c r="M11" s="18" t="n">
        <v>288.365</v>
      </c>
      <c r="N11" s="18" t="n">
        <v>324.007</v>
      </c>
      <c r="O11" s="18" t="n">
        <v>342.726</v>
      </c>
      <c r="P11" s="18" t="n">
        <v>372.434</v>
      </c>
      <c r="Q11" s="18" t="n">
        <v>381.597</v>
      </c>
      <c r="R11" s="18" t="n">
        <v>407.408</v>
      </c>
      <c r="S11" s="18" t="n">
        <v>444.009</v>
      </c>
      <c r="T11" s="18" t="n">
        <v>484.612</v>
      </c>
      <c r="U11" s="18" t="n">
        <v>500.95</v>
      </c>
      <c r="V11" s="18" t="n">
        <v>521.575</v>
      </c>
      <c r="W11" s="18" t="n">
        <v>552.052</v>
      </c>
      <c r="X11" s="18" t="n">
        <v>593.342</v>
      </c>
      <c r="Y11" s="18" t="n">
        <v>603.722</v>
      </c>
      <c r="Z11" s="18" t="n">
        <v>660.5940000000001</v>
      </c>
      <c r="AA11" s="18" t="n">
        <v>709.194</v>
      </c>
      <c r="AB11" s="18" t="n">
        <v>766.3</v>
      </c>
      <c r="AC11" s="18" t="n">
        <v>797.198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-3.994</v>
      </c>
      <c r="C13" s="18" t="n">
        <v>-4.218</v>
      </c>
      <c r="D13" s="18" t="n">
        <v>-2.266</v>
      </c>
      <c r="E13" s="18" t="n">
        <v>3.778</v>
      </c>
      <c r="F13" s="18" t="n">
        <v>0.654</v>
      </c>
      <c r="G13" s="18" t="n">
        <v>-9.266999999999999</v>
      </c>
      <c r="H13" s="18" t="n">
        <v>-8.938000000000001</v>
      </c>
      <c r="I13" s="18" t="n">
        <v>-12.83</v>
      </c>
      <c r="J13" s="18" t="n">
        <v>-9.885999999999999</v>
      </c>
      <c r="K13" s="18" t="n">
        <v>-4.895</v>
      </c>
      <c r="L13" s="18" t="n">
        <v>8.455</v>
      </c>
      <c r="M13" s="18" t="n">
        <v>10.414</v>
      </c>
      <c r="N13" s="18" t="n">
        <v>-3.139</v>
      </c>
      <c r="O13" s="18" t="n">
        <v>-31.342</v>
      </c>
      <c r="P13" s="18" t="n">
        <v>-34.628</v>
      </c>
      <c r="Q13" s="18" t="n">
        <v>-34.97</v>
      </c>
      <c r="R13" s="18" t="n">
        <v>-22.006</v>
      </c>
      <c r="S13" s="18" t="n">
        <v>-4.23</v>
      </c>
      <c r="T13" s="18" t="n">
        <v>27.742</v>
      </c>
      <c r="U13" s="18" t="n">
        <v>11.996</v>
      </c>
      <c r="V13" s="18" t="n">
        <v>12.618</v>
      </c>
      <c r="W13" s="18" t="n">
        <v>20.278</v>
      </c>
      <c r="X13" s="18" t="n">
        <v>9.391999999999999</v>
      </c>
      <c r="Y13" s="18" t="n">
        <v>-12.42</v>
      </c>
      <c r="Z13" s="18" t="n">
        <v>-35.5</v>
      </c>
      <c r="AA13" s="18" t="n">
        <v>-5.809</v>
      </c>
      <c r="AB13" s="18" t="n">
        <v>9.356</v>
      </c>
      <c r="AC13" s="18" t="n">
        <v>7.327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-3.949</v>
      </c>
      <c r="C15" s="18" t="n">
        <v>-4.161</v>
      </c>
      <c r="D15" s="18" t="n">
        <v>0.891</v>
      </c>
      <c r="E15" s="18" t="n">
        <v>6.479</v>
      </c>
      <c r="F15" s="18" t="n">
        <v>0.284</v>
      </c>
      <c r="G15" s="18" t="n">
        <v>-15.15</v>
      </c>
      <c r="H15" s="18" t="n">
        <v>-16.16</v>
      </c>
      <c r="I15" s="18" t="n">
        <v>-13.068</v>
      </c>
      <c r="J15" s="18" t="n">
        <v>-9.362</v>
      </c>
      <c r="K15" s="18" t="n">
        <v>-5.484</v>
      </c>
      <c r="L15" s="18" t="n">
        <v>7.169</v>
      </c>
      <c r="M15" s="18" t="n">
        <v>9.738</v>
      </c>
      <c r="N15" s="18" t="n">
        <v>-4.879</v>
      </c>
      <c r="O15" s="18" t="n">
        <v>-25.985</v>
      </c>
      <c r="P15" s="18" t="n">
        <v>-29.034</v>
      </c>
      <c r="Q15" s="18" t="n">
        <v>-24.086</v>
      </c>
      <c r="R15" s="18" t="n">
        <v>-3.969</v>
      </c>
      <c r="S15" s="18" t="n">
        <v>22.63</v>
      </c>
      <c r="T15" s="18" t="n">
        <v>53.993</v>
      </c>
      <c r="U15" s="18" t="n">
        <v>42.631</v>
      </c>
      <c r="V15" s="18" t="n">
        <v>43.824</v>
      </c>
      <c r="W15" s="18" t="n">
        <v>51.697</v>
      </c>
      <c r="X15" s="18" t="n">
        <v>45.594</v>
      </c>
      <c r="Y15" s="18" t="n">
        <v>24.642</v>
      </c>
      <c r="Z15" s="18" t="n">
        <v>2.647</v>
      </c>
      <c r="AA15" s="18" t="n">
        <v>33.885</v>
      </c>
      <c r="AB15" s="18" t="n">
        <v>46.567</v>
      </c>
      <c r="AC15" s="18" t="n">
        <v>52.574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82.044</v>
      </c>
      <c r="C17" s="18" t="n">
        <v>103.876</v>
      </c>
      <c r="D17" s="18" t="n">
        <v>121.8745</v>
      </c>
      <c r="E17" s="18" t="n">
        <v>327.801</v>
      </c>
      <c r="F17" s="18" t="n">
        <v>330.847</v>
      </c>
      <c r="G17" s="18" t="n">
        <v>302.554</v>
      </c>
      <c r="H17" s="18" t="n">
        <v>304.057</v>
      </c>
      <c r="I17" s="18" t="n">
        <v>306.034</v>
      </c>
      <c r="J17" s="18" t="n">
        <v>308.019</v>
      </c>
      <c r="K17" s="18" t="n">
        <v>310.247</v>
      </c>
      <c r="L17" s="18" t="n">
        <v>345.877</v>
      </c>
      <c r="M17" s="18" t="n">
        <v>345.668</v>
      </c>
      <c r="N17" s="18" t="n">
        <v>314.795</v>
      </c>
      <c r="O17" s="18" t="n">
        <v>315.99</v>
      </c>
      <c r="P17" s="18" t="n">
        <v>317.348</v>
      </c>
      <c r="Q17" s="18" t="n">
        <v>319.286</v>
      </c>
      <c r="R17" s="18" t="n">
        <v>322.215</v>
      </c>
      <c r="S17" s="18" t="n">
        <v>351.309</v>
      </c>
      <c r="T17" s="18" t="n">
        <v>352.907</v>
      </c>
      <c r="U17" s="18" t="n">
        <v>355.979</v>
      </c>
      <c r="V17" s="18" t="n">
        <v>356.74</v>
      </c>
      <c r="W17" s="18" t="n">
        <v>357.635</v>
      </c>
      <c r="X17" s="18" t="n">
        <v>360.94</v>
      </c>
      <c r="Y17" s="18" t="n">
        <v>363.078</v>
      </c>
      <c r="Z17" s="18" t="n">
        <v>361.289</v>
      </c>
      <c r="AA17" s="18" t="n">
        <v>362.001</v>
      </c>
      <c r="AB17" s="18" t="n">
        <v>365.516</v>
      </c>
      <c r="AC17" s="18" t="n">
        <v>364.731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North America</t>
        </is>
      </c>
      <c r="C19" s="18" t="n">
        <v>70.904</v>
      </c>
      <c r="D19" s="18" t="n">
        <v>85.84999999999999</v>
      </c>
      <c r="E19" s="18" t="n">
        <v>99.38200000000001</v>
      </c>
      <c r="F19" s="18" t="n">
        <v>106.106</v>
      </c>
      <c r="G19" s="18" t="n">
        <v>114.679</v>
      </c>
      <c r="H19" s="18" t="n">
        <v>129.733</v>
      </c>
      <c r="I19" s="18" t="n">
        <v>142.89</v>
      </c>
      <c r="J19" s="18" t="n">
        <v>168.196</v>
      </c>
      <c r="K19" s="18" t="n">
        <v>192.269</v>
      </c>
      <c r="L19" s="18" t="n">
        <v>232.862</v>
      </c>
      <c r="M19" s="18" t="n">
        <v>259.862</v>
      </c>
      <c r="N19" s="18" t="n">
        <v>291.159</v>
      </c>
      <c r="O19" s="18" t="n">
        <v>312.676</v>
      </c>
      <c r="P19" s="18" t="n">
        <v>337.022</v>
      </c>
      <c r="Q19" s="18" t="n">
        <v>341.216</v>
      </c>
      <c r="R19" s="18" t="n">
        <v>355.965</v>
      </c>
      <c r="S19" s="18" t="n">
        <v>381.194</v>
      </c>
      <c r="T19" s="18" t="n">
        <v>408.944</v>
      </c>
      <c r="U19" s="18" t="n">
        <v>425.6</v>
      </c>
      <c r="V19" s="18" t="n">
        <v>448.002</v>
      </c>
      <c r="W19" s="18" t="n">
        <v>484.533</v>
      </c>
      <c r="X19" s="18" t="n">
        <v>964.188</v>
      </c>
      <c r="Y19" s="18" t="n">
        <v>533.8150000000001</v>
      </c>
      <c r="Z19" s="18" t="n">
        <v>586.689</v>
      </c>
      <c r="AA19" s="18" t="n">
        <v>633.924</v>
      </c>
      <c r="AB19" s="18" t="n">
        <v>678.655</v>
      </c>
      <c r="AC19" s="18" t="n">
        <v>723.933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UNITED STATES</t>
        </is>
      </c>
      <c r="S22" s="18" t="n">
        <v>361.3</v>
      </c>
      <c r="T22" s="18" t="n">
        <v>1049.7</v>
      </c>
      <c r="U22" s="18" t="n">
        <v>404.5</v>
      </c>
      <c r="V22" s="18" t="n">
        <v>426.6</v>
      </c>
      <c r="W22" s="18" t="n">
        <v>462.4</v>
      </c>
      <c r="X22" s="18" t="n">
        <v>918.6</v>
      </c>
      <c r="Y22" s="18" t="n">
        <v>508.5</v>
      </c>
      <c r="Z22" s="18" t="n">
        <v>559.6</v>
      </c>
      <c r="AA22" s="18" t="n">
        <v>605.3</v>
      </c>
      <c r="AB22" s="18" t="n">
        <v>646.9</v>
      </c>
      <c r="AC22" s="18" t="n">
        <v>692.7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International</t>
        </is>
      </c>
      <c r="S25" s="18" t="n">
        <v>166.342</v>
      </c>
      <c r="T25" s="18" t="n">
        <v>474.698</v>
      </c>
      <c r="U25" s="18" t="n">
        <v>185.653</v>
      </c>
      <c r="V25" s="18" t="n">
        <v>197.277</v>
      </c>
      <c r="W25" s="18" t="n">
        <v>205.483</v>
      </c>
      <c r="X25" s="18" t="n">
        <v>418.818</v>
      </c>
      <c r="Y25" s="18" t="n">
        <v>227.738</v>
      </c>
      <c r="Z25" s="18" t="n">
        <v>240.071</v>
      </c>
      <c r="AA25" s="18" t="n">
        <v>251.727</v>
      </c>
      <c r="AB25" s="18" t="n">
        <v>274.539</v>
      </c>
      <c r="AC25" s="18" t="n">
        <v>282.493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52.286</v>
      </c>
      <c r="C29" s="18" t="n">
        <v>760.9450000000001</v>
      </c>
      <c r="D29" s="18" t="n">
        <v>773.971</v>
      </c>
      <c r="E29" s="18" t="n">
        <v>794.734</v>
      </c>
      <c r="F29" s="18" t="n">
        <v>1465.799</v>
      </c>
      <c r="G29" s="18" t="n">
        <v>1494.784</v>
      </c>
      <c r="H29" s="18" t="n">
        <v>1517.459</v>
      </c>
      <c r="I29" s="18" t="n">
        <v>1547.896</v>
      </c>
      <c r="J29" s="18" t="n">
        <v>1410.159</v>
      </c>
      <c r="K29" s="18" t="n">
        <v>1467.126</v>
      </c>
      <c r="L29" s="18" t="n">
        <v>1554.446</v>
      </c>
      <c r="M29" s="18" t="n">
        <v>1671.009</v>
      </c>
      <c r="N29" s="18" t="n">
        <v>1703.54</v>
      </c>
      <c r="O29" s="18" t="n">
        <v>1766.263</v>
      </c>
      <c r="P29" s="18" t="n">
        <v>1884.326</v>
      </c>
      <c r="Q29" s="18" t="n">
        <v>2017.89</v>
      </c>
      <c r="R29" s="18" t="n">
        <v>2185.362</v>
      </c>
      <c r="S29" s="18" t="n">
        <v>2341.689</v>
      </c>
      <c r="T29" s="18" t="n">
        <v>2582.898</v>
      </c>
      <c r="U29" s="18" t="n">
        <v>2781.369</v>
      </c>
      <c r="V29" s="18" t="n">
        <v>2960.106</v>
      </c>
      <c r="W29" s="18" t="n">
        <v>3198.954</v>
      </c>
      <c r="X29" s="18" t="n">
        <v>4189.059</v>
      </c>
      <c r="Y29" s="18" t="n">
        <v>4449.674</v>
      </c>
      <c r="Z29" s="18" t="n">
        <v>3910.97</v>
      </c>
      <c r="AA29" s="18" t="n">
        <v>4140.339</v>
      </c>
      <c r="AB29" s="18" t="n">
        <v>4474.836</v>
      </c>
      <c r="AC29" s="18" t="n">
        <v>4758.617</v>
      </c>
    </row>
    <row r="30">
      <c r="A30" s="4" t="inlineStr">
        <is>
          <t>Total Current Assets</t>
        </is>
      </c>
      <c r="B30" s="18" t="n">
        <v>145.934</v>
      </c>
      <c r="C30" s="18" t="n">
        <v>872.476</v>
      </c>
      <c r="D30" s="18" t="n">
        <v>903.942</v>
      </c>
      <c r="E30" s="18" t="n">
        <v>933.0650000000001</v>
      </c>
      <c r="F30" s="18" t="n">
        <v>1626.072</v>
      </c>
      <c r="G30" s="18" t="n">
        <v>1652.975</v>
      </c>
      <c r="H30" s="18" t="n">
        <v>1718.08</v>
      </c>
      <c r="I30" s="18" t="n">
        <v>1746.857</v>
      </c>
      <c r="J30" s="18" t="n">
        <v>1642.386</v>
      </c>
      <c r="K30" s="18" t="n">
        <v>1736.336</v>
      </c>
      <c r="L30" s="18" t="n">
        <v>1870.948</v>
      </c>
      <c r="M30" s="18" t="n">
        <v>2003.671</v>
      </c>
      <c r="N30" s="18" t="n">
        <v>2069.588</v>
      </c>
      <c r="O30" s="18" t="n">
        <v>2176.569</v>
      </c>
      <c r="P30" s="18" t="n">
        <v>2344.234</v>
      </c>
      <c r="Q30" s="18" t="n">
        <v>2462.992</v>
      </c>
      <c r="R30" s="18" t="n">
        <v>2600.07</v>
      </c>
      <c r="S30" s="18" t="n">
        <v>2819.484</v>
      </c>
      <c r="T30" s="18" t="n">
        <v>3178.137</v>
      </c>
      <c r="U30" s="18" t="n">
        <v>3333.663</v>
      </c>
      <c r="V30" s="18" t="n">
        <v>3592.09</v>
      </c>
      <c r="W30" s="18" t="n">
        <v>3789.434</v>
      </c>
      <c r="X30" s="18" t="n">
        <v>4911.115</v>
      </c>
      <c r="Y30" s="18" t="n">
        <v>5076.338</v>
      </c>
      <c r="Z30" s="18" t="n">
        <v>4644.676</v>
      </c>
      <c r="AA30" s="18" t="n">
        <v>4838.105</v>
      </c>
      <c r="AB30" s="18" t="n">
        <v>5382.28</v>
      </c>
      <c r="AC30" s="18" t="n">
        <v>5625.206</v>
      </c>
    </row>
    <row r="31">
      <c r="A31" s="4" t="inlineStr">
        <is>
          <t>PP&amp;E (net)</t>
        </is>
      </c>
      <c r="B31" s="18" t="n">
        <v>73.533</v>
      </c>
      <c r="C31" s="18" t="n">
        <v>86.961</v>
      </c>
      <c r="D31" s="18" t="n">
        <v>85.751</v>
      </c>
      <c r="E31" s="18" t="n">
        <v>85.37</v>
      </c>
      <c r="F31" s="18" t="n">
        <v>95.352</v>
      </c>
      <c r="G31" s="18" t="n">
        <v>97.42400000000001</v>
      </c>
      <c r="H31" s="18" t="n">
        <v>105.026</v>
      </c>
      <c r="I31" s="18" t="n">
        <v>105.922</v>
      </c>
      <c r="J31" s="18" t="n">
        <v>109.744</v>
      </c>
      <c r="K31" s="18" t="n">
        <v>130.792</v>
      </c>
      <c r="L31" s="18" t="n">
        <v>136.507</v>
      </c>
      <c r="M31" s="18" t="n">
        <v>152.634</v>
      </c>
      <c r="N31" s="18" t="n">
        <v>161.807</v>
      </c>
      <c r="O31" s="18" t="n">
        <v>199.819</v>
      </c>
      <c r="P31" s="18" t="n">
        <v>212.975</v>
      </c>
      <c r="Q31" s="18" t="n">
        <v>233.123</v>
      </c>
      <c r="R31" s="18" t="n">
        <v>267.298</v>
      </c>
      <c r="S31" s="18" t="n">
        <v>279.602</v>
      </c>
      <c r="T31" s="18" t="n">
        <v>298.434</v>
      </c>
      <c r="U31" s="18" t="n">
        <v>355.689</v>
      </c>
      <c r="V31" s="18" t="n">
        <v>234.929</v>
      </c>
      <c r="W31" s="18" t="n">
        <v>384.42</v>
      </c>
      <c r="X31" s="18" t="n">
        <v>399.482</v>
      </c>
      <c r="Y31" s="18" t="n">
        <v>452.99</v>
      </c>
      <c r="Z31" s="18" t="n">
        <v>498.71</v>
      </c>
      <c r="AA31" s="18" t="n">
        <v>526.2910000000001</v>
      </c>
      <c r="AB31" s="18" t="n">
        <v>552.7670000000001</v>
      </c>
      <c r="AC31" s="18" t="n">
        <v>592.204</v>
      </c>
    </row>
    <row r="32">
      <c r="A32" s="4" t="inlineStr">
        <is>
          <t>Total Assets</t>
        </is>
      </c>
      <c r="B32" s="18" t="n">
        <v>261.759</v>
      </c>
      <c r="C32" s="18" t="n">
        <v>1006.753</v>
      </c>
      <c r="D32" s="18" t="n">
        <v>1038.041</v>
      </c>
      <c r="E32" s="18" t="n">
        <v>1066.656</v>
      </c>
      <c r="F32" s="18" t="n">
        <v>1783.706</v>
      </c>
      <c r="G32" s="18" t="n">
        <v>1814.284</v>
      </c>
      <c r="H32" s="18" t="n">
        <v>1890.285</v>
      </c>
      <c r="I32" s="18" t="n">
        <v>1952.074</v>
      </c>
      <c r="J32" s="18" t="n">
        <v>2076.733</v>
      </c>
      <c r="K32" s="18" t="n">
        <v>2194.173</v>
      </c>
      <c r="L32" s="18" t="n">
        <v>2380.794</v>
      </c>
      <c r="M32" s="18" t="n">
        <v>2529.015</v>
      </c>
      <c r="N32" s="18" t="n">
        <v>2654.487</v>
      </c>
      <c r="O32" s="18" t="n">
        <v>2797.603</v>
      </c>
      <c r="P32" s="18" t="n">
        <v>3004.852</v>
      </c>
      <c r="Q32" s="18" t="n">
        <v>3139.744</v>
      </c>
      <c r="R32" s="18" t="n">
        <v>3312.173</v>
      </c>
      <c r="S32" s="18" t="n">
        <v>3543.302</v>
      </c>
      <c r="T32" s="18" t="n">
        <v>3936.072</v>
      </c>
      <c r="U32" s="18" t="n">
        <v>4141.466</v>
      </c>
      <c r="V32" s="18" t="n">
        <v>4412.391</v>
      </c>
      <c r="W32" s="18" t="n">
        <v>4631.471</v>
      </c>
      <c r="X32" s="18" t="n">
        <v>5785.339</v>
      </c>
      <c r="Y32" s="18" t="n">
        <v>6010.381</v>
      </c>
      <c r="Z32" s="18" t="n">
        <v>5822.415</v>
      </c>
      <c r="AA32" s="18" t="n">
        <v>6052.47</v>
      </c>
      <c r="AB32" s="18" t="n">
        <v>6643.844</v>
      </c>
      <c r="AC32" s="18" t="n">
        <v>6952.012</v>
      </c>
    </row>
    <row r="33">
      <c r="A33" s="4" t="inlineStr">
        <is>
          <t>Total Current Liabilities</t>
        </is>
      </c>
      <c r="B33" s="18" t="n">
        <v>156.698</v>
      </c>
      <c r="C33" s="18" t="n">
        <v>176.661</v>
      </c>
      <c r="D33" s="18" t="n">
        <v>200.239</v>
      </c>
      <c r="E33" s="18" t="n">
        <v>210.638</v>
      </c>
      <c r="F33" s="18" t="n">
        <v>241.408</v>
      </c>
      <c r="G33" s="18" t="n">
        <v>254.65</v>
      </c>
      <c r="H33" s="18" t="n">
        <v>297.844</v>
      </c>
      <c r="I33" s="18" t="n">
        <v>320.814</v>
      </c>
      <c r="J33" s="18" t="n">
        <v>381.057</v>
      </c>
      <c r="K33" s="18" t="n">
        <v>440.202</v>
      </c>
      <c r="L33" s="18" t="n">
        <v>528.696</v>
      </c>
      <c r="M33" s="18" t="n">
        <v>601.972</v>
      </c>
      <c r="N33" s="18" t="n">
        <v>625.876</v>
      </c>
      <c r="O33" s="18" t="n">
        <v>674.408</v>
      </c>
      <c r="P33" s="18" t="n">
        <v>759.748</v>
      </c>
      <c r="Q33" s="18" t="n">
        <v>772.954</v>
      </c>
      <c r="R33" s="18" t="n">
        <v>761.362</v>
      </c>
      <c r="S33" s="18" t="n">
        <v>842.476</v>
      </c>
      <c r="T33" s="18" t="n">
        <v>1003.052</v>
      </c>
      <c r="U33" s="18" t="n">
        <v>972.793</v>
      </c>
      <c r="V33" s="18" t="n">
        <v>1790.879</v>
      </c>
      <c r="W33" s="18" t="n">
        <v>1780.263</v>
      </c>
      <c r="X33" s="18" t="n">
        <v>1862.713</v>
      </c>
      <c r="Y33" s="18" t="n">
        <v>1854.823</v>
      </c>
      <c r="Z33" s="18" t="n">
        <v>1353.192</v>
      </c>
      <c r="AA33" s="18" t="n">
        <v>1320.694</v>
      </c>
      <c r="AB33" s="18" t="n">
        <v>1591.401</v>
      </c>
      <c r="AC33" s="18" t="n">
        <v>1655.903</v>
      </c>
    </row>
    <row r="34">
      <c r="A34" s="4" t="inlineStr">
        <is>
          <t>Long-term Debt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559.621</v>
      </c>
      <c r="G34" s="18" t="n">
        <v>567.683</v>
      </c>
      <c r="H34" s="18" t="n">
        <v>575.864</v>
      </c>
      <c r="I34" s="18" t="n">
        <v>732.968</v>
      </c>
      <c r="J34" s="18" t="n">
        <v>733.8049999999999</v>
      </c>
      <c r="K34" s="18" t="n">
        <v>734.643</v>
      </c>
      <c r="L34" s="18" t="n">
        <v>735.482</v>
      </c>
      <c r="M34" s="18" t="n">
        <v>736.318</v>
      </c>
      <c r="N34" s="18" t="n">
        <v>737.16</v>
      </c>
      <c r="O34" s="18" t="n">
        <v>738.003</v>
      </c>
      <c r="P34" s="18" t="n">
        <v>738.847</v>
      </c>
      <c r="Q34" s="18" t="n">
        <v>739.692</v>
      </c>
      <c r="R34" s="18" t="n">
        <v>740.538</v>
      </c>
      <c r="S34" s="18" t="n">
        <v>741.386</v>
      </c>
      <c r="T34" s="18" t="n">
        <v>742.235</v>
      </c>
      <c r="U34" s="18" t="n">
        <v>743.085</v>
      </c>
      <c r="V34" s="18" t="n">
        <v>0</v>
      </c>
      <c r="W34" s="18" t="n">
        <v>0</v>
      </c>
      <c r="X34" s="18" t="n">
        <v>979.282</v>
      </c>
      <c r="Y34" s="18" t="n">
        <v>980.314</v>
      </c>
      <c r="Z34" s="18" t="n">
        <v>981.357</v>
      </c>
      <c r="AA34" s="18" t="n">
        <v>982.402</v>
      </c>
      <c r="AB34" s="18" t="n">
        <v>1239.636</v>
      </c>
      <c r="AC34" s="18" t="n">
        <v>1243.651</v>
      </c>
    </row>
    <row r="35">
      <c r="A35" s="4" t="inlineStr">
        <is>
          <t>Total Equity</t>
        </is>
      </c>
      <c r="B35" s="18" t="n">
        <v>61.529</v>
      </c>
      <c r="C35" s="18" t="n">
        <v>771.235</v>
      </c>
      <c r="D35" s="18" t="n">
        <v>782.341</v>
      </c>
      <c r="E35" s="18" t="n">
        <v>802.895</v>
      </c>
      <c r="F35" s="18" t="n">
        <v>912.871</v>
      </c>
      <c r="G35" s="18" t="n">
        <v>936.188</v>
      </c>
      <c r="H35" s="18" t="n">
        <v>957.432</v>
      </c>
      <c r="I35" s="18" t="n">
        <v>841.33</v>
      </c>
      <c r="J35" s="18" t="n">
        <v>912.879</v>
      </c>
      <c r="K35" s="18" t="n">
        <v>957.412</v>
      </c>
      <c r="L35" s="18" t="n">
        <v>1041.203</v>
      </c>
      <c r="M35" s="18" t="n">
        <v>1116.857</v>
      </c>
      <c r="N35" s="18" t="n">
        <v>1215.12</v>
      </c>
      <c r="O35" s="18" t="n">
        <v>1289.439</v>
      </c>
      <c r="P35" s="18" t="n">
        <v>1410.505</v>
      </c>
      <c r="Q35" s="18" t="n">
        <v>1512.099</v>
      </c>
      <c r="R35" s="18" t="n">
        <v>1649.359</v>
      </c>
      <c r="S35" s="18" t="n">
        <v>1806.476</v>
      </c>
      <c r="T35" s="18" t="n">
        <v>2025.354</v>
      </c>
      <c r="U35" s="18" t="n">
        <v>2202.355</v>
      </c>
      <c r="V35" s="18" t="n">
        <v>2407.308</v>
      </c>
      <c r="W35" s="18" t="n">
        <v>2629.145</v>
      </c>
      <c r="X35" s="18" t="n">
        <v>2714.363</v>
      </c>
      <c r="Y35" s="18" t="n">
        <v>2916.674</v>
      </c>
      <c r="Z35" s="18" t="n">
        <v>3195.757</v>
      </c>
      <c r="AA35" s="18" t="n">
        <v>3439.118</v>
      </c>
      <c r="AB35" s="18" t="n">
        <v>3732.206</v>
      </c>
      <c r="AC35" s="18" t="n">
        <v>3988.222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2.658</v>
      </c>
      <c r="C37" s="18" t="n">
        <v>4.007</v>
      </c>
      <c r="D37" s="18" t="n">
        <v>3.594</v>
      </c>
      <c r="E37" s="18" t="n">
        <v>3.688</v>
      </c>
      <c r="F37" s="18" t="n">
        <v>3.707</v>
      </c>
      <c r="G37" s="18" t="n">
        <v>3.972</v>
      </c>
      <c r="H37" s="18" t="n">
        <v>4.083</v>
      </c>
      <c r="I37" s="18" t="n">
        <v>4.402</v>
      </c>
      <c r="J37" s="18" t="n">
        <v>5.463</v>
      </c>
      <c r="K37" s="18" t="n">
        <v>6.197</v>
      </c>
      <c r="L37" s="18" t="n">
        <v>6.876</v>
      </c>
      <c r="M37" s="18" t="n">
        <v>7.394</v>
      </c>
      <c r="N37" s="18" t="n">
        <v>8.118</v>
      </c>
      <c r="O37" s="18" t="n">
        <v>9.313000000000001</v>
      </c>
      <c r="P37" s="18" t="n">
        <v>9.804</v>
      </c>
      <c r="Q37" s="18" t="n">
        <v>10.275</v>
      </c>
      <c r="R37" s="18" t="n">
        <v>10.55</v>
      </c>
      <c r="S37" s="18" t="n">
        <v>11.609</v>
      </c>
      <c r="T37" s="18" t="n">
        <v>12.031</v>
      </c>
      <c r="U37" s="18" t="n">
        <v>24.739</v>
      </c>
      <c r="V37" s="18" t="n">
        <v>12.44</v>
      </c>
      <c r="W37" s="18" t="n">
        <v>2.048</v>
      </c>
      <c r="X37" s="18" t="n">
        <v>15.706</v>
      </c>
      <c r="Y37" s="18" t="n">
        <v>11.255</v>
      </c>
      <c r="Z37" s="18" t="n">
        <v>12.822</v>
      </c>
      <c r="AA37" s="18" t="n">
        <v>32.279</v>
      </c>
      <c r="AB37" s="18" t="n">
        <v>16.631</v>
      </c>
      <c r="AC37" s="18" t="n">
        <v>38.248</v>
      </c>
    </row>
    <row r="38">
      <c r="A38" s="4" t="inlineStr">
        <is>
          <t>Stock-based Compensation</t>
        </is>
      </c>
      <c r="B38" s="18" t="n">
        <v>2.894</v>
      </c>
      <c r="C38" s="18" t="n">
        <v>4.677</v>
      </c>
      <c r="D38" s="18" t="n">
        <v>9.018000000000001</v>
      </c>
      <c r="E38" s="18" t="n">
        <v>12.06</v>
      </c>
      <c r="F38" s="18" t="n">
        <v>16.834</v>
      </c>
      <c r="G38" s="18" t="n">
        <v>20.716</v>
      </c>
      <c r="H38" s="18" t="n">
        <v>24.764</v>
      </c>
      <c r="I38" s="18" t="n">
        <v>28.861</v>
      </c>
      <c r="J38" s="18" t="n">
        <v>34.515</v>
      </c>
      <c r="K38" s="18" t="n">
        <v>43.995</v>
      </c>
      <c r="L38" s="18" t="n">
        <v>56.366</v>
      </c>
      <c r="M38" s="18" t="n">
        <v>66.884</v>
      </c>
      <c r="N38" s="18" t="n">
        <v>82.399</v>
      </c>
      <c r="O38" s="18" t="n">
        <v>101.362</v>
      </c>
      <c r="P38" s="18" t="n">
        <v>112.509</v>
      </c>
      <c r="Q38" s="18" t="n">
        <v>112.728</v>
      </c>
      <c r="R38" s="18" t="n">
        <v>118.337</v>
      </c>
      <c r="S38" s="18" t="n">
        <v>123.114</v>
      </c>
      <c r="T38" s="18" t="n">
        <v>128.121</v>
      </c>
      <c r="U38" s="18" t="n">
        <v>135.033</v>
      </c>
      <c r="V38" s="18" t="n">
        <v>134.652</v>
      </c>
      <c r="W38" s="18" t="n">
        <v>142.19</v>
      </c>
      <c r="X38" s="18" t="n">
        <v>158.461</v>
      </c>
      <c r="Y38" s="18" t="n">
        <v>164.265</v>
      </c>
      <c r="Z38" s="18" t="n">
        <v>180.462</v>
      </c>
      <c r="AA38" s="18" t="n">
        <v>200.558</v>
      </c>
      <c r="AB38" s="18" t="n">
        <v>205.386</v>
      </c>
      <c r="AC38" s="18" t="n">
        <v>0</v>
      </c>
    </row>
    <row r="39">
      <c r="A39" s="4" t="inlineStr">
        <is>
          <t>Change in Working Capital</t>
        </is>
      </c>
      <c r="B39" s="18" t="n">
        <v>-8.242000000000001</v>
      </c>
      <c r="C39" s="18" t="n">
        <v>-6.643</v>
      </c>
      <c r="D39" s="18" t="n">
        <v>-1.783</v>
      </c>
      <c r="E39" s="18" t="n">
        <v>-4.702</v>
      </c>
      <c r="F39" s="18" t="n">
        <v>-6.488</v>
      </c>
      <c r="G39" s="18" t="n">
        <v>7.961</v>
      </c>
      <c r="H39" s="18" t="n">
        <v>-9.237</v>
      </c>
      <c r="I39" s="18" t="n">
        <v>18.542</v>
      </c>
      <c r="J39" s="18" t="n">
        <v>7.638</v>
      </c>
      <c r="K39" s="18" t="n">
        <v>8.068</v>
      </c>
      <c r="L39" s="18" t="n">
        <v>29.13</v>
      </c>
      <c r="M39" s="18" t="n">
        <v>46.519</v>
      </c>
      <c r="N39" s="18" t="n">
        <v>-29.55</v>
      </c>
      <c r="O39" s="18" t="n">
        <v>-17.347</v>
      </c>
      <c r="P39" s="18" t="n">
        <v>6.771</v>
      </c>
      <c r="Q39" s="18" t="n">
        <v>20.808</v>
      </c>
      <c r="R39" s="18" t="n">
        <v>16.978</v>
      </c>
      <c r="S39" s="18" t="n">
        <v>-12.6</v>
      </c>
      <c r="T39" s="18" t="n">
        <v>19.44</v>
      </c>
      <c r="U39" s="18" t="n">
        <v>13.558</v>
      </c>
      <c r="V39" s="18" t="n">
        <v>-38.206</v>
      </c>
      <c r="W39" s="18" t="n">
        <v>8.881</v>
      </c>
      <c r="X39" s="18" t="n">
        <v>29.11</v>
      </c>
      <c r="Y39" s="18" t="n">
        <v>52.313</v>
      </c>
      <c r="Z39" s="18" t="n">
        <v>-16.489999</v>
      </c>
      <c r="AA39" s="18" t="n">
        <v>-19.784</v>
      </c>
      <c r="AB39" s="18" t="n">
        <v>37.453</v>
      </c>
      <c r="AC39" s="18" t="n">
        <v>42.632</v>
      </c>
    </row>
    <row r="40">
      <c r="A40" s="4" t="inlineStr">
        <is>
          <t>Operating Cash Flow</t>
        </is>
      </c>
      <c r="B40" s="18" t="n">
        <v>-0.438</v>
      </c>
      <c r="C40" s="18" t="n">
        <v>3.824</v>
      </c>
      <c r="D40" s="18" t="n">
        <v>17.43</v>
      </c>
      <c r="E40" s="18" t="n">
        <v>24.255</v>
      </c>
      <c r="F40" s="18" t="n">
        <v>24.738</v>
      </c>
      <c r="G40" s="18" t="n">
        <v>36.27</v>
      </c>
      <c r="H40" s="18" t="n">
        <v>23.828</v>
      </c>
      <c r="I40" s="18" t="n">
        <v>51.65</v>
      </c>
      <c r="J40" s="18" t="n">
        <v>51.723</v>
      </c>
      <c r="K40" s="18" t="n">
        <v>67.379</v>
      </c>
      <c r="L40" s="18" t="n">
        <v>115.793</v>
      </c>
      <c r="M40" s="18" t="n">
        <v>147.388</v>
      </c>
      <c r="N40" s="18" t="n">
        <v>72.95999999999999</v>
      </c>
      <c r="O40" s="18" t="n">
        <v>83.61799999999999</v>
      </c>
      <c r="P40" s="18" t="n">
        <v>114.441</v>
      </c>
      <c r="Q40" s="18" t="n">
        <v>133.787</v>
      </c>
      <c r="R40" s="18" t="n">
        <v>153.158</v>
      </c>
      <c r="S40" s="18" t="n">
        <v>152.783</v>
      </c>
      <c r="T40" s="18" t="n">
        <v>220.226</v>
      </c>
      <c r="U40" s="18" t="n">
        <v>212.27</v>
      </c>
      <c r="V40" s="18" t="n">
        <v>164.424</v>
      </c>
      <c r="W40" s="18" t="n">
        <v>228.681</v>
      </c>
      <c r="X40" s="18" t="n">
        <v>265.228</v>
      </c>
      <c r="Y40" s="18" t="n">
        <v>271.541</v>
      </c>
      <c r="Z40" s="18" t="n">
        <v>200.055</v>
      </c>
      <c r="AA40" s="18" t="n">
        <v>251.47</v>
      </c>
      <c r="AB40" s="18" t="n">
        <v>327.069</v>
      </c>
      <c r="AC40" s="18" t="n">
        <v>334.622</v>
      </c>
    </row>
    <row r="41">
      <c r="A41" s="4" t="inlineStr">
        <is>
          <t>Capex</t>
        </is>
      </c>
      <c r="B41" s="18" t="n">
        <v>-5.094</v>
      </c>
      <c r="C41" s="18" t="n">
        <v>-7.484</v>
      </c>
      <c r="D41" s="18" t="n">
        <v>-6.572</v>
      </c>
      <c r="E41" s="18" t="n">
        <v>-4.943</v>
      </c>
      <c r="F41" s="18" t="n">
        <v>-6.135</v>
      </c>
      <c r="G41" s="18" t="n">
        <v>-7.629</v>
      </c>
      <c r="H41" s="18" t="n">
        <v>-7.176</v>
      </c>
      <c r="I41" s="18" t="n">
        <v>-7.181</v>
      </c>
      <c r="J41" s="18" t="n">
        <v>-9.438000000000001</v>
      </c>
      <c r="K41" s="18" t="n">
        <v>-10.296</v>
      </c>
      <c r="L41" s="18" t="n">
        <v>-9.109999999999999</v>
      </c>
      <c r="M41" s="18" t="n">
        <v>-17.487</v>
      </c>
      <c r="N41" s="18" t="n">
        <v>-12.794</v>
      </c>
      <c r="O41" s="18" t="n">
        <v>-16.518</v>
      </c>
      <c r="P41" s="18" t="n">
        <v>-18.09</v>
      </c>
      <c r="Q41" s="18" t="n">
        <v>-17.45</v>
      </c>
      <c r="R41" s="18" t="n">
        <v>-11.426</v>
      </c>
      <c r="S41" s="18" t="n">
        <v>-14.594</v>
      </c>
      <c r="T41" s="18" t="n">
        <v>-18.936</v>
      </c>
      <c r="U41" s="18" t="n">
        <v>-25.523</v>
      </c>
      <c r="V41" s="18" t="n">
        <v>-20.644</v>
      </c>
      <c r="W41" s="18" t="n">
        <v>19.209</v>
      </c>
      <c r="X41" s="18" t="n">
        <v>-7.761</v>
      </c>
      <c r="Y41" s="18" t="n">
        <v>-27.15</v>
      </c>
      <c r="Z41" s="18" t="n">
        <v>3.25</v>
      </c>
      <c r="AA41" s="18" t="n">
        <v>-16.786</v>
      </c>
      <c r="AB41" s="18" t="n">
        <v>-8.891999999999999</v>
      </c>
      <c r="AC41" s="18" t="n">
        <v>-11.358</v>
      </c>
    </row>
    <row r="42">
      <c r="A42" s="4" t="inlineStr">
        <is>
          <t>Free Cash Flow</t>
        </is>
      </c>
      <c r="B42" s="18" t="n">
        <v>-5.532</v>
      </c>
      <c r="C42" s="18" t="n">
        <v>-3.66</v>
      </c>
      <c r="D42" s="18" t="n">
        <v>10.858</v>
      </c>
      <c r="E42" s="18" t="n">
        <v>19.312</v>
      </c>
      <c r="F42" s="18" t="n">
        <v>18.603</v>
      </c>
      <c r="G42" s="18" t="n">
        <v>28.641</v>
      </c>
      <c r="H42" s="18" t="n">
        <v>16.652</v>
      </c>
      <c r="I42" s="18" t="n">
        <v>44.469</v>
      </c>
      <c r="J42" s="18" t="n">
        <v>42.285</v>
      </c>
      <c r="K42" s="18" t="n">
        <v>57.083</v>
      </c>
      <c r="L42" s="18" t="n">
        <v>106.683</v>
      </c>
      <c r="M42" s="18" t="n">
        <v>129.901</v>
      </c>
      <c r="N42" s="18" t="n">
        <v>60.166</v>
      </c>
      <c r="O42" s="18" t="n">
        <v>67.09999999999999</v>
      </c>
      <c r="P42" s="18" t="n">
        <v>96.351</v>
      </c>
      <c r="Q42" s="18" t="n">
        <v>116.337</v>
      </c>
      <c r="R42" s="18" t="n">
        <v>141.732</v>
      </c>
      <c r="S42" s="18" t="n">
        <v>138.189</v>
      </c>
      <c r="T42" s="18" t="n">
        <v>201.29</v>
      </c>
      <c r="U42" s="18" t="n">
        <v>186.747</v>
      </c>
      <c r="V42" s="18" t="n">
        <v>143.78</v>
      </c>
      <c r="W42" s="18" t="n">
        <v>247.89</v>
      </c>
      <c r="X42" s="18" t="n">
        <v>257.467</v>
      </c>
      <c r="Y42" s="18" t="n">
        <v>244.391</v>
      </c>
      <c r="Z42" s="18" t="n">
        <v>203.305</v>
      </c>
      <c r="AA42" s="18" t="n">
        <v>234.684</v>
      </c>
      <c r="AB42" s="18" t="n">
        <v>318.177</v>
      </c>
      <c r="AC42" s="18" t="n">
        <v>323.264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4336.592775</v>
      </c>
      <c r="C4" s="18" t="n">
        <v>5230.788117</v>
      </c>
      <c r="D4" s="18" t="n">
        <v>6370.681291</v>
      </c>
      <c r="E4" s="18" t="n">
        <v>7281.893874</v>
      </c>
      <c r="F4" s="18" t="n">
        <v>8287.299999000001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727.51106</v>
      </c>
      <c r="C8" s="18" t="n">
        <v>877.522148</v>
      </c>
      <c r="D8" s="18" t="n">
        <v>1068.751745</v>
      </c>
      <c r="E8" s="18" t="n">
        <v>1221.617663</v>
      </c>
      <c r="F8" s="18" t="n">
        <v>1390.285581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517.250769</v>
      </c>
      <c r="C12" s="18" t="n">
        <v>623.906674</v>
      </c>
      <c r="D12" s="18" t="n">
        <v>759.868396</v>
      </c>
      <c r="E12" s="18" t="n">
        <v>868.554048</v>
      </c>
      <c r="F12" s="18" t="n">
        <v>988.474713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1604.489673</v>
      </c>
      <c r="C16" s="18" t="n">
        <v>1935.331711</v>
      </c>
      <c r="D16" s="18" t="n">
        <v>2357.079134</v>
      </c>
      <c r="E16" s="18" t="n">
        <v>2694.217357</v>
      </c>
      <c r="F16" s="18" t="n">
        <v>3066.206111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911.3744565</v>
      </c>
      <c r="C20" s="18" t="n">
        <v>1036.5284265</v>
      </c>
      <c r="D20" s="18" t="n">
        <v>1384.7681755</v>
      </c>
      <c r="E20" s="18" t="n">
        <v>1578.13293</v>
      </c>
      <c r="F20" s="18" t="n">
        <v>1704.678994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2.41866</v>
      </c>
      <c r="C24" s="47" t="n">
        <v>2.8249</v>
      </c>
      <c r="D24" s="47" t="n">
        <v>3.46435</v>
      </c>
      <c r="E24" s="47" t="n">
        <v>4.34184</v>
      </c>
      <c r="F24" s="47" t="n">
        <v>4.69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Datadog,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Financials!AC29</f>
        <v/>
      </c>
    </row>
    <row r="33">
      <c r="A33" s="4" t="inlineStr">
        <is>
          <t>- Long-term debt</t>
        </is>
      </c>
      <c r="B33" s="33">
        <f>-Financials!AC34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0.08540791530398952</v>
      </c>
      <c r="C4" s="51" t="n">
        <v>0.09040791530398952</v>
      </c>
      <c r="D4" s="51" t="n">
        <v>0.09540791530398951</v>
      </c>
      <c r="E4" s="51" t="n">
        <v>0.1004079153039895</v>
      </c>
      <c r="F4" s="51" t="n">
        <v>0.1054079153039895</v>
      </c>
      <c r="G4" s="51" t="n">
        <v>0.1104079153039895</v>
      </c>
      <c r="H4" s="51" t="n">
        <v>0.1154079153039895</v>
      </c>
    </row>
    <row r="5">
      <c r="A5" s="52" t="n">
        <v>15.6</v>
      </c>
      <c r="B5" s="53" t="n">
        <v>52.01776455614443</v>
      </c>
      <c r="C5" s="53" t="n">
        <v>50.27589484856817</v>
      </c>
      <c r="D5" s="53" t="n">
        <v>48.61657860373179</v>
      </c>
      <c r="E5" s="53" t="n">
        <v>47.03549677635156</v>
      </c>
      <c r="F5" s="53" t="n">
        <v>45.52857584741884</v>
      </c>
      <c r="G5" s="53" t="n">
        <v>44.0919727988818</v>
      </c>
      <c r="H5" s="53" t="n">
        <v>42.722061071568</v>
      </c>
    </row>
    <row r="6">
      <c r="A6" s="52" t="n">
        <v>16.6</v>
      </c>
      <c r="B6" s="53" t="n">
        <v>54.10267310673452</v>
      </c>
      <c r="C6" s="53" t="n">
        <v>52.26714994275479</v>
      </c>
      <c r="D6" s="53" t="n">
        <v>50.51878705166244</v>
      </c>
      <c r="E6" s="53" t="n">
        <v>48.85301928275723</v>
      </c>
      <c r="F6" s="53" t="n">
        <v>47.26554119136549</v>
      </c>
      <c r="G6" s="53" t="n">
        <v>45.75229113758295</v>
      </c>
      <c r="H6" s="53" t="n">
        <v>44.30943642597808</v>
      </c>
    </row>
    <row r="7">
      <c r="A7" s="52" t="n">
        <v>17.6</v>
      </c>
      <c r="B7" s="53" t="n">
        <v>56.18758165732461</v>
      </c>
      <c r="C7" s="53" t="n">
        <v>54.25840503694141</v>
      </c>
      <c r="D7" s="53" t="n">
        <v>52.4209954995931</v>
      </c>
      <c r="E7" s="53" t="n">
        <v>50.67054178916289</v>
      </c>
      <c r="F7" s="53" t="n">
        <v>49.00250653531212</v>
      </c>
      <c r="G7" s="53" t="n">
        <v>47.41260947628412</v>
      </c>
      <c r="H7" s="53" t="n">
        <v>45.89681178038814</v>
      </c>
    </row>
    <row r="8">
      <c r="A8" s="52" t="n">
        <v>18.6</v>
      </c>
      <c r="B8" s="53" t="n">
        <v>58.27249020791469</v>
      </c>
      <c r="C8" s="53" t="n">
        <v>56.24966013112802</v>
      </c>
      <c r="D8" s="53" t="n">
        <v>54.32320394752376</v>
      </c>
      <c r="E8" s="54" t="n">
        <v>52.48806429556855</v>
      </c>
      <c r="F8" s="53" t="n">
        <v>50.73947187925877</v>
      </c>
      <c r="G8" s="53" t="n">
        <v>49.07292781498529</v>
      </c>
      <c r="H8" s="53" t="n">
        <v>47.48418713479821</v>
      </c>
    </row>
    <row r="9">
      <c r="A9" s="52" t="n">
        <v>19.6</v>
      </c>
      <c r="B9" s="53" t="n">
        <v>60.3573987585048</v>
      </c>
      <c r="C9" s="53" t="n">
        <v>58.24091522531464</v>
      </c>
      <c r="D9" s="53" t="n">
        <v>56.22541239545444</v>
      </c>
      <c r="E9" s="53" t="n">
        <v>54.30558680197422</v>
      </c>
      <c r="F9" s="53" t="n">
        <v>52.47643722320542</v>
      </c>
      <c r="G9" s="53" t="n">
        <v>50.73324615368645</v>
      </c>
      <c r="H9" s="53" t="n">
        <v>49.07156248920829</v>
      </c>
    </row>
    <row r="10">
      <c r="A10" s="52" t="n">
        <v>20.6</v>
      </c>
      <c r="B10" s="53" t="n">
        <v>62.44230730909488</v>
      </c>
      <c r="C10" s="53" t="n">
        <v>60.23217031950124</v>
      </c>
      <c r="D10" s="53" t="n">
        <v>58.12762084338508</v>
      </c>
      <c r="E10" s="53" t="n">
        <v>56.12310930837987</v>
      </c>
      <c r="F10" s="53" t="n">
        <v>54.21340256715206</v>
      </c>
      <c r="G10" s="53" t="n">
        <v>52.39356449238763</v>
      </c>
      <c r="H10" s="53" t="n">
        <v>50.65893784361836</v>
      </c>
    </row>
    <row r="11">
      <c r="A11" s="52" t="n">
        <v>21.6</v>
      </c>
      <c r="B11" s="53" t="n">
        <v>64.52721585968499</v>
      </c>
      <c r="C11" s="53" t="n">
        <v>62.22342541368788</v>
      </c>
      <c r="D11" s="53" t="n">
        <v>60.02982929131574</v>
      </c>
      <c r="E11" s="53" t="n">
        <v>57.94063181478555</v>
      </c>
      <c r="F11" s="53" t="n">
        <v>55.95036791109869</v>
      </c>
      <c r="G11" s="53" t="n">
        <v>54.05388283108879</v>
      </c>
      <c r="H11" s="53" t="n">
        <v>52.24631319802843</v>
      </c>
    </row>
    <row r="13">
      <c r="A13" s="3" t="inlineStr">
        <is>
          <t>Current price</t>
        </is>
      </c>
      <c r="B13" s="53" t="n">
        <v>260.3599853515625</v>
      </c>
    </row>
    <row r="14">
      <c r="A14" s="3" t="inlineStr">
        <is>
          <t>Base WACC / multiple</t>
        </is>
      </c>
      <c r="B14" s="55" t="n">
        <v>0.1004079153039895</v>
      </c>
      <c r="C14" s="56" t="n">
        <v>18.6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0.02129665454583652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0.5905023905835312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0.01803797052424943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0.6323411555161563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2026-07-07T01:08:59Z</dcterms:created>
  <dcterms:modified xmlns:dcterms="http://purl.org/dc/terms/" xmlns:xsi="http://www.w3.org/2001/XMLSchema-instance" xsi:type="dcterms:W3CDTF">2026-07-07T01:08:59Z</dcterms:modified>
</cp:coreProperties>
</file>