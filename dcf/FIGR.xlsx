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30.0%</t>
      </text>
    </comment>
    <comment ref="C20" authorId="0" shapeId="0">
      <text>
        <t>Opus: 4.0%</t>
      </text>
    </comment>
    <comment ref="B29" authorId="0" shapeId="0">
      <text>
        <t>Opus: 34.0%</t>
      </text>
    </comment>
    <comment ref="B30" authorId="0" shapeId="0">
      <text>
        <t>Opus: 40.0%</t>
      </text>
    </comment>
    <comment ref="B31" authorId="0" shapeId="0">
      <text>
        <t>Opus: 23.0%</t>
      </text>
    </comment>
    <comment ref="B34" authorId="0" shapeId="0">
      <text>
        <t>Opus: —
set from Opus 2%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2026-06-11</t>
      </text>
    </comment>
    <comment ref="B44" authorId="0" shapeId="0">
      <text>
        <t>Opus: EV/EBITDA</t>
      </text>
    </comment>
    <comment ref="B45" authorId="0" shapeId="0">
      <text>
        <t>Opus: 15.0x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Figure Technology Solutions, Inc. Class A Common Stock (FIGR)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Figure is an asset-light, blockchain-based capital-markets and lending technology platform that originates and distributes loans through a marketplace rather than warehousing credit on its own balance sheet, so it earns high-margin fee/transaction economics best valued as an operating company via FCFF DCF rather than as a spread bank. Consensus implies very rapid scaling (revenue ~52% in 2026 fading toward the teens by 2028), which I fade to a 4% mature rate while letting operating margins expand from ~34% to ~40% on platform operating leverage and keeping capex near 2% of revenue. Converging capex toward maintenance (capex/D&amp;A ~1.1x) and applying a ~15x mature EBITDA exit produces a defensible terminal value for a profitable, capital-light fintech.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Figure Technology Solutions, Inc. Class A Common Stock (FIGR)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IF(Model!B34&lt;=0,"n/a (neg. capital)",Model!C36-WACC!B15)</f>
        <v/>
      </c>
      <c r="C15" s="10">
        <f>IF(Model!B34&lt;=0,"n/a",IF(Model!C36-WACC!B15&lt;0,"!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0.3</v>
      </c>
      <c r="C20" s="15" t="n">
        <v>0.04</v>
      </c>
      <c r="D20" s="16" t="n">
        <v>0.3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0.34</v>
      </c>
      <c r="D29" s="16" t="n">
        <v>0.34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15.54381498</v>
      </c>
      <c r="D34" s="18" t="n">
        <v>15.54381498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-0.448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27.39999961853027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71.16793978267106</v>
      </c>
      <c r="C58" s="28" t="n">
        <v>93.78879526576901</v>
      </c>
      <c r="D58" s="28" t="n">
        <v>53.79147065927275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0.15</v>
      </c>
      <c r="D62" s="30" t="n">
        <v>0.4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0.01034406145485361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0.006206436872912164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FIGR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Figure is an asset-light, blockchain-based capital-markets and lending technology platform that originates and distributes loans through a marketplace rather than warehousing credit on its own balance sheet, so it earns high-margin fee/transaction economics best valued as an operating company via FCFF DCF rather than as a spread bank. Consensus implies very rapid scaling (revenue ~52% in 2026 fading toward the teens by 2028), which I fade to a 4% mature rate while letting operating margins expand from ~34% to ~40% on platform operating leverage and keeping capex near 2% of revenue. Converging capex toward maintenance (capex/D&amp;A ~1.1x) and applying a ~15x mature EBITDA exit produces a defensible terminal value for a profitable, capital-light fintech.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Key call is archetype: despite the 'Capital Markets' tag, Figure is a technology/marketplace originator (fees, not net-interest-margin spread on a balance sheet), so fcff_dcf fits and bank_excess_return does not. I anchored near-term growth and margins to FMP consensus (which shows net margins of 36-39%, implying op margins in the high-30s/40s and a low effective tax), used a conservative 23% tax and asset-light ~2% capex, and ignored the spurious negative beta in favor of a normal positive-beta cost of equity when discounting.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30.0%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34.0%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40.0%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23.0%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2026-06-11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s="32" t="inlineStr">
        <is>
          <t>user-edited</t>
        </is>
      </c>
      <c r="E30" t="inlineStr">
        <is>
          <t>Perpetuity</t>
        </is>
      </c>
      <c r="F30" s="31" t="inlineStr">
        <is>
          <t>overridden from Opus Perpetuity on 2026-06-11</t>
        </is>
      </c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15.0x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2%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Dashboard!$B$48*Financials!H17</f>
        <v/>
      </c>
    </row>
    <row r="11">
      <c r="A11" s="4" t="inlineStr">
        <is>
          <t>Total debt (D)</t>
        </is>
      </c>
      <c r="B11" s="34">
        <f>Financials!H24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$M unless noted</t>
        </is>
      </c>
      <c r="B1" s="40" t="inlineStr">
        <is>
          <t>FY2025A</t>
        </is>
      </c>
      <c r="C1" s="41" t="inlineStr">
        <is>
          <t>FY2026E</t>
        </is>
      </c>
      <c r="D1" s="41" t="inlineStr">
        <is>
          <t>FY2027E</t>
        </is>
      </c>
      <c r="E1" s="41" t="inlineStr">
        <is>
          <t>FY2028E</t>
        </is>
      </c>
      <c r="F1" s="41" t="inlineStr">
        <is>
          <t>FY2029E</t>
        </is>
      </c>
      <c r="G1" s="41" t="inlineStr">
        <is>
          <t>FY2030E</t>
        </is>
      </c>
      <c r="H1" s="41" t="inlineStr">
        <is>
          <t>FY2031E</t>
        </is>
      </c>
      <c r="I1" s="41" t="inlineStr">
        <is>
          <t>FY2032E</t>
        </is>
      </c>
      <c r="J1" s="41" t="inlineStr">
        <is>
          <t>FY2033E</t>
        </is>
      </c>
      <c r="K1" s="41" t="inlineStr">
        <is>
          <t>FY2034E</t>
        </is>
      </c>
      <c r="L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4" t="inlineStr">
        <is>
          <t>Total company</t>
        </is>
      </c>
      <c r="B4" s="34">
        <f>SUM(Financials!D3:G3)</f>
        <v/>
      </c>
      <c r="C4" s="42">
        <f>B4*(1+C5)</f>
        <v/>
      </c>
      <c r="D4" s="42">
        <f>C4*(1+D5)</f>
        <v/>
      </c>
      <c r="E4" s="42">
        <f>D4*(1+E5)</f>
        <v/>
      </c>
      <c r="F4" s="42">
        <f>E4*(1+F5)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</row>
    <row r="5">
      <c r="A5" s="4" t="inlineStr">
        <is>
          <t xml:space="preserve">    growth % (convex fade; curvature from Dashboard)</t>
        </is>
      </c>
      <c r="C5" s="11">
        <f>Dashboard!$C$20+(Dashboard!$B$20-Dashboard!$C$20)*((9-0)/9)^Dashboard!$B$49</f>
        <v/>
      </c>
      <c r="D5" s="11">
        <f>Dashboard!$C$20+(Dashboard!$B$20-Dashboard!$C$20)*((9-1)/9)^Dashboard!$B$49</f>
        <v/>
      </c>
      <c r="E5" s="11">
        <f>Dashboard!$C$20+(Dashboard!$B$20-Dashboard!$C$20)*((9-2)/9)^Dashboard!$B$49</f>
        <v/>
      </c>
      <c r="F5" s="11">
        <f>Dashboard!$C$20+(Dashboard!$B$20-Dashboard!$C$20)*((9-3)/9)^Dashboard!$B$49</f>
        <v/>
      </c>
      <c r="G5" s="11">
        <f>Dashboard!$C$20+(Dashboard!$B$20-Dashboard!$C$20)*((9-4)/9)^Dashboard!$B$49</f>
        <v/>
      </c>
      <c r="H5" s="11">
        <f>Dashboard!$C$20+(Dashboard!$B$20-Dashboard!$C$20)*((9-5)/9)^Dashboard!$B$49</f>
        <v/>
      </c>
      <c r="I5" s="11">
        <f>Dashboard!$C$20+(Dashboard!$B$20-Dashboard!$C$20)*((9-6)/9)^Dashboard!$B$49</f>
        <v/>
      </c>
      <c r="J5" s="11">
        <f>Dashboard!$C$20+(Dashboard!$B$20-Dashboard!$C$20)*((9-7)/9)^Dashboard!$B$49</f>
        <v/>
      </c>
      <c r="K5" s="11">
        <f>Dashboard!$C$20+(Dashboard!$B$20-Dashboard!$C$20)*((9-8)/9)^Dashboard!$B$49</f>
        <v/>
      </c>
      <c r="L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4" t="inlineStr">
        <is>
          <t>Cost of revenue</t>
        </is>
      </c>
      <c r="B10" s="34">
        <f>SUM(Financials!D5:G5)</f>
        <v/>
      </c>
      <c r="C10" s="42">
        <f>C6*C11</f>
        <v/>
      </c>
      <c r="D10" s="42">
        <f>D6*D11</f>
        <v/>
      </c>
      <c r="E10" s="42">
        <f>E6*E11</f>
        <v/>
      </c>
      <c r="F10" s="42">
        <f>F6*F11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15" t="n">
        <v>0.09238479672670719</v>
      </c>
      <c r="D11" s="15" t="n">
        <v>0.09238479672670719</v>
      </c>
      <c r="E11" s="15" t="n">
        <v>0.09238479672670719</v>
      </c>
      <c r="F11" s="15" t="n">
        <v>0.09238479672670719</v>
      </c>
      <c r="G11" s="15" t="n">
        <v>0.09238479672670719</v>
      </c>
      <c r="H11" s="15" t="n">
        <v>0.09238479672670719</v>
      </c>
      <c r="I11" s="15" t="n">
        <v>0.09238479672670719</v>
      </c>
      <c r="J11" s="15" t="n">
        <v>0.09238479672670719</v>
      </c>
      <c r="K11" s="15" t="n">
        <v>0.09238479672670719</v>
      </c>
      <c r="L11" s="15" t="n">
        <v>0.09238479672670719</v>
      </c>
    </row>
    <row r="12">
      <c r="A12" s="4" t="inlineStr">
        <is>
          <t>R&amp;D / Technology</t>
        </is>
      </c>
      <c r="B12" s="34">
        <f>SUM(Financials!D7:G7)</f>
        <v/>
      </c>
      <c r="C12" s="42">
        <f>C6*C13</f>
        <v/>
      </c>
      <c r="D12" s="42">
        <f>D6*D13</f>
        <v/>
      </c>
      <c r="E12" s="42">
        <f>E6*E13</f>
        <v/>
      </c>
      <c r="F12" s="42">
        <f>F6*F13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15" t="n">
        <v>0.1276481957369333</v>
      </c>
      <c r="D13" s="15" t="n">
        <v>0.1276481957369333</v>
      </c>
      <c r="E13" s="15" t="n">
        <v>0.1276481957369333</v>
      </c>
      <c r="F13" s="15" t="n">
        <v>0.1276481957369333</v>
      </c>
      <c r="G13" s="15" t="n">
        <v>0.1276481957369333</v>
      </c>
      <c r="H13" s="15" t="n">
        <v>0.1276481957369333</v>
      </c>
      <c r="I13" s="15" t="n">
        <v>0.1276481957369333</v>
      </c>
      <c r="J13" s="15" t="n">
        <v>0.1276481957369333</v>
      </c>
      <c r="K13" s="15" t="n">
        <v>0.1276481957369333</v>
      </c>
      <c r="L13" s="15" t="n">
        <v>0.1276481957369333</v>
      </c>
    </row>
    <row r="14">
      <c r="A14" s="4" t="inlineStr">
        <is>
          <t>SG&amp;A</t>
        </is>
      </c>
      <c r="B14" s="34">
        <f>SUM(Financials!D9:G9)</f>
        <v/>
      </c>
      <c r="C14" s="42">
        <f>C6*C15</f>
        <v/>
      </c>
      <c r="D14" s="42">
        <f>D6*D15</f>
        <v/>
      </c>
      <c r="E14" s="42">
        <f>E6*E15</f>
        <v/>
      </c>
      <c r="F14" s="42">
        <f>F6*F15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15" t="n">
        <v>0.3825395545820791</v>
      </c>
      <c r="D15" s="15" t="n">
        <v>0.3825395545820791</v>
      </c>
      <c r="E15" s="15" t="n">
        <v>0.3825395545820791</v>
      </c>
      <c r="F15" s="15" t="n">
        <v>0.3825395545820791</v>
      </c>
      <c r="G15" s="15" t="n">
        <v>0.3825395545820791</v>
      </c>
      <c r="H15" s="15" t="n">
        <v>0.3825395545820791</v>
      </c>
      <c r="I15" s="15" t="n">
        <v>0.3825395545820791</v>
      </c>
      <c r="J15" s="15" t="n">
        <v>0.3825395545820791</v>
      </c>
      <c r="K15" s="15" t="n">
        <v>0.3825395545820791</v>
      </c>
      <c r="L15" s="15" t="n">
        <v>0.3825395545820791</v>
      </c>
    </row>
    <row r="16">
      <c r="A16" s="4" t="inlineStr">
        <is>
          <t>Other opex (fulfilment, etc.)</t>
        </is>
      </c>
      <c r="B16" s="34">
        <f>B6-(B10+B12+B14)-SUM(Financials!D13:G13)</f>
        <v/>
      </c>
      <c r="C16" s="34">
        <f>C6*(1-(Dashboard!$B$29+(Dashboard!$B$30-Dashboard!$B$29)*MIN(1,0/2)))-(C10+C12+C14)</f>
        <v/>
      </c>
      <c r="D16" s="34">
        <f>D6*(1-(Dashboard!$B$29+(Dashboard!$B$30-Dashboard!$B$29)*MIN(1,1/2)))-(D10+D12+D14)</f>
        <v/>
      </c>
      <c r="E16" s="34">
        <f>E6*(1-(Dashboard!$B$29+(Dashboard!$B$30-Dashboard!$B$29)*MIN(1,2/2)))-(E10+E12+E14)</f>
        <v/>
      </c>
      <c r="F16" s="34">
        <f>F6*(1-(Dashboard!$B$29+(Dashboard!$B$30-Dashboard!$B$29)*MIN(1,3/2)))-(F10+F12+F14)</f>
        <v/>
      </c>
      <c r="G16" s="34">
        <f>G6*(1-(Dashboard!$B$29+(Dashboard!$B$30-Dashboard!$B$29)*MIN(1,4/2)))-(G10+G12+G14)</f>
        <v/>
      </c>
      <c r="H16" s="34">
        <f>H6*(1-(Dashboard!$B$29+(Dashboard!$B$30-Dashboard!$B$29)*MIN(1,5/2)))-(H10+H12+H14)</f>
        <v/>
      </c>
      <c r="I16" s="34">
        <f>I6*(1-(Dashboard!$B$29+(Dashboard!$B$30-Dashboard!$B$29)*MIN(1,6/2)))-(I10+I12+I14)</f>
        <v/>
      </c>
      <c r="J16" s="34">
        <f>J6*(1-(Dashboard!$B$29+(Dashboard!$B$30-Dashboard!$B$29)*MIN(1,7/2)))-(J10+J12+J14)</f>
        <v/>
      </c>
      <c r="K16" s="34">
        <f>K6*(1-(Dashboard!$B$29+(Dashboard!$B$30-Dashboard!$B$29)*MIN(1,8/2)))-(K10+K12+K14)</f>
        <v/>
      </c>
      <c r="L16" s="34">
        <f>L6*(1-(Dashboard!$B$29+(Dashboard!$B$30-Dashboard!$B$29)*MIN(1,9/2)))-(L10+L12+L14)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</row>
    <row r="24">
      <c r="A24" s="4" t="inlineStr">
        <is>
          <t>+ D&amp;A</t>
        </is>
      </c>
      <c r="B24" s="34">
        <f>SUM(Financials!D27:G27)</f>
        <v/>
      </c>
      <c r="C24" s="42">
        <f>C6*0.0320</f>
        <v/>
      </c>
      <c r="D24" s="42">
        <f>D6*0.0320</f>
        <v/>
      </c>
      <c r="E24" s="42">
        <f>E6*0.0320</f>
        <v/>
      </c>
      <c r="F24" s="42">
        <f>F6*0.0320</f>
        <v/>
      </c>
      <c r="G24" s="42">
        <f>G6*0.0320</f>
        <v/>
      </c>
      <c r="H24" s="42">
        <f>H6*0.0320</f>
        <v/>
      </c>
      <c r="I24" s="42">
        <f>I6*0.0320</f>
        <v/>
      </c>
      <c r="J24" s="42">
        <f>J6*0.0320</f>
        <v/>
      </c>
      <c r="K24" s="42">
        <f>K6*0.0320</f>
        <v/>
      </c>
      <c r="L24" s="42">
        <f>L6*0.0320</f>
        <v/>
      </c>
    </row>
    <row r="25">
      <c r="A25" s="4" t="inlineStr">
        <is>
          <t>+ SBC (non-cash)</t>
        </is>
      </c>
      <c r="B25" s="34">
        <f>SUM(Financials!D28:G28)</f>
        <v/>
      </c>
      <c r="C25" s="34">
        <f>C6*(Dashboard!$B$65+(Dashboard!$B$66-Dashboard!$B$65)*0/9)</f>
        <v/>
      </c>
      <c r="D25" s="34">
        <f>D6*(Dashboard!$B$65+(Dashboard!$B$66-Dashboard!$B$65)*1/9)</f>
        <v/>
      </c>
      <c r="E25" s="34">
        <f>E6*(Dashboard!$B$65+(Dashboard!$B$66-Dashboard!$B$65)*2/9)</f>
        <v/>
      </c>
      <c r="F25" s="34">
        <f>F6*(Dashboard!$B$65+(Dashboard!$B$66-Dashboard!$B$65)*3/9)</f>
        <v/>
      </c>
      <c r="G25" s="34">
        <f>G6*(Dashboard!$B$65+(Dashboard!$B$66-Dashboard!$B$65)*4/9)</f>
        <v/>
      </c>
      <c r="H25" s="34">
        <f>H6*(Dashboard!$B$65+(Dashboard!$B$66-Dashboard!$B$65)*5/9)</f>
        <v/>
      </c>
      <c r="I25" s="34">
        <f>I6*(Dashboard!$B$65+(Dashboard!$B$66-Dashboard!$B$65)*6/9)</f>
        <v/>
      </c>
      <c r="J25" s="34">
        <f>J6*(Dashboard!$B$65+(Dashboard!$B$66-Dashboard!$B$65)*7/9)</f>
        <v/>
      </c>
      <c r="K25" s="34">
        <f>K6*(Dashboard!$B$65+(Dashboard!$B$66-Dashboard!$B$65)*8/9)</f>
        <v/>
      </c>
      <c r="L25" s="34">
        <f>L6*(Dashboard!$B$65+(Dashboard!$B$66-Dashboard!$B$65)*9/9)</f>
        <v/>
      </c>
    </row>
    <row r="26">
      <c r="A26" s="4" t="inlineStr">
        <is>
          <t>- dNWC</t>
        </is>
      </c>
      <c r="C26" s="42">
        <f>(C6-B6)*0.0050</f>
        <v/>
      </c>
      <c r="D26" s="42">
        <f>(D6-C6)*0.0050</f>
        <v/>
      </c>
      <c r="E26" s="42">
        <f>(E6-D6)*0.0050</f>
        <v/>
      </c>
      <c r="F26" s="42">
        <f>(F6-E6)*0.0050</f>
        <v/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</row>
    <row r="27">
      <c r="A27" s="4" t="inlineStr">
        <is>
          <t>- Capex</t>
        </is>
      </c>
      <c r="B27" s="34">
        <f>-SUM(Financials!D31:G31)</f>
        <v/>
      </c>
      <c r="C27" s="42">
        <f>C24*C28</f>
        <v/>
      </c>
      <c r="D27" s="42">
        <f>D24*D28</f>
        <v/>
      </c>
      <c r="E27" s="42">
        <f>E24*E28</f>
        <v/>
      </c>
      <c r="F27" s="42">
        <f>F24*F28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13">
        <f>(Dashboard!$B$34/C24)+(Dashboard!$B$35-(Dashboard!$B$34/C24))*0/9</f>
        <v/>
      </c>
      <c r="D28" s="13">
        <f>(Dashboard!$B$34/C24)+(Dashboard!$B$35-(Dashboard!$B$34/C24))*1/9</f>
        <v/>
      </c>
      <c r="E28" s="13">
        <f>(Dashboard!$B$34/C24)+(Dashboard!$B$35-(Dashboard!$B$34/C24))*2/9</f>
        <v/>
      </c>
      <c r="F28" s="13">
        <f>(Dashboard!$B$34/C24)+(Dashboard!$B$35-(Dashboard!$B$34/C24))*3/9</f>
        <v/>
      </c>
      <c r="G28" s="13">
        <f>(Dashboard!$B$34/C24)+(Dashboard!$B$35-(Dashboard!$B$34/C24))*4/9</f>
        <v/>
      </c>
      <c r="H28" s="13">
        <f>(Dashboard!$B$34/C24)+(Dashboard!$B$35-(Dashboard!$B$34/C24))*5/9</f>
        <v/>
      </c>
      <c r="I28" s="13">
        <f>(Dashboard!$B$34/C24)+(Dashboard!$B$35-(Dashboard!$B$34/C24))*6/9</f>
        <v/>
      </c>
      <c r="J28" s="13">
        <f>(Dashboard!$B$34/C24)+(Dashboard!$B$35-(Dashboard!$B$34/C24))*7/9</f>
        <v/>
      </c>
      <c r="K28" s="13">
        <f>(Dashboard!$B$34/C24)+(Dashboard!$B$35-(Dashboard!$B$34/C24))*8/9</f>
        <v/>
      </c>
      <c r="L28" s="13">
        <f>(Dashboard!$B$34/C24)+(Dashboard!$B$35-(Dashboard!$B$34/C24))*9/9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4" t="inlineStr">
        <is>
          <t>Invested capital (debt + equity - cash)</t>
        </is>
      </c>
      <c r="B34" s="34">
        <f>Financials!G25+Financials!G24-Financials!G19</f>
        <v/>
      </c>
      <c r="C34" s="42">
        <f>B34+C27-C24+C26</f>
        <v/>
      </c>
      <c r="D34" s="42">
        <f>C34+D27-D24+D26</f>
        <v/>
      </c>
      <c r="E34" s="42">
        <f>D34+E27-E24+E26</f>
        <v/>
      </c>
      <c r="F34" s="42">
        <f>E34+F27-F24+F26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</row>
    <row r="35">
      <c r="A35" s="4" t="inlineStr">
        <is>
          <t>Book equity (year-end)</t>
        </is>
      </c>
      <c r="B35" s="34">
        <f>Financials!G25</f>
        <v/>
      </c>
      <c r="C35" s="42">
        <f>B35+C23</f>
        <v/>
      </c>
      <c r="D35" s="42">
        <f>C35+D23</f>
        <v/>
      </c>
      <c r="E35" s="42">
        <f>D35+E23</f>
        <v/>
      </c>
      <c r="F35" s="42">
        <f>E35+F23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</row>
    <row r="37">
      <c r="A37" s="3" t="inlineStr">
        <is>
          <t xml:space="preserve">  ROE (earnings / beg. equity)</t>
        </is>
      </c>
      <c r="C37" s="25">
        <f>IFERROR(C23/B35,"")</f>
        <v/>
      </c>
      <c r="D37" s="25">
        <f>IFERROR(D23/C35,"")</f>
        <v/>
      </c>
      <c r="E37" s="25">
        <f>IFERROR(E23/D35,"")</f>
        <v/>
      </c>
      <c r="F37" s="25">
        <f>IFERROR(F23/E35,"")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Line Item ($M)</t>
        </is>
      </c>
      <c r="B1" s="46" t="inlineStr">
        <is>
          <t>Q1 2024</t>
        </is>
      </c>
      <c r="C1" s="46" t="inlineStr">
        <is>
          <t>Q2 2024</t>
        </is>
      </c>
      <c r="D1" s="46" t="inlineStr">
        <is>
          <t>Q1 2025</t>
        </is>
      </c>
      <c r="E1" s="46" t="inlineStr">
        <is>
          <t>Q2 2025</t>
        </is>
      </c>
      <c r="F1" s="46" t="inlineStr">
        <is>
          <t>Q3 2025</t>
        </is>
      </c>
      <c r="G1" s="46" t="inlineStr">
        <is>
          <t>Q4 2025</t>
        </is>
      </c>
      <c r="H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4" t="inlineStr">
        <is>
          <t>Revenue</t>
        </is>
      </c>
      <c r="B3" s="18" t="n">
        <v>61.109</v>
      </c>
      <c r="C3" s="18" t="n">
        <v>62.183</v>
      </c>
      <c r="D3" s="18" t="n">
        <v>55.41</v>
      </c>
      <c r="E3" s="18" t="n">
        <v>95.084</v>
      </c>
      <c r="F3" s="18" t="n">
        <v>134.926</v>
      </c>
      <c r="G3" s="18" t="n">
        <v>223.181</v>
      </c>
      <c r="H3" s="18" t="n">
        <v>167.007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</row>
    <row r="5">
      <c r="A5" s="4" t="inlineStr">
        <is>
          <t>Cost of Revenue</t>
        </is>
      </c>
      <c r="B5" s="18" t="n">
        <v>4.985</v>
      </c>
      <c r="C5" s="18" t="n">
        <v>4.702</v>
      </c>
      <c r="D5" s="18" t="n">
        <v>6.501</v>
      </c>
      <c r="E5" s="18" t="n">
        <v>6.558</v>
      </c>
      <c r="F5" s="18" t="n">
        <v>8.75</v>
      </c>
      <c r="G5" s="18" t="n">
        <v>25.178</v>
      </c>
      <c r="H5" s="18" t="n">
        <v>21.447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</row>
    <row r="7">
      <c r="A7" s="4" t="inlineStr">
        <is>
          <t>R&amp;D Expense</t>
        </is>
      </c>
      <c r="B7" s="18" t="n">
        <v>15.031</v>
      </c>
      <c r="C7" s="18" t="n">
        <v>15.296</v>
      </c>
      <c r="D7" s="18" t="n">
        <v>17.416</v>
      </c>
      <c r="E7" s="18" t="n">
        <v>16.018</v>
      </c>
      <c r="F7" s="18" t="n">
        <v>15.915</v>
      </c>
      <c r="G7" s="18" t="n">
        <v>15.573</v>
      </c>
      <c r="H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</row>
    <row r="9">
      <c r="A9" s="4" t="inlineStr">
        <is>
          <t>SG&amp;A Expense</t>
        </is>
      </c>
      <c r="B9" s="18" t="n">
        <v>39.539</v>
      </c>
      <c r="C9" s="18" t="n">
        <v>22.736</v>
      </c>
      <c r="D9" s="18" t="n">
        <v>22.651</v>
      </c>
      <c r="E9" s="18" t="n">
        <v>22.41</v>
      </c>
      <c r="F9" s="18" t="n">
        <v>45.005</v>
      </c>
      <c r="G9" s="18" t="n">
        <v>104.494</v>
      </c>
      <c r="H9" s="18" t="n">
        <v>71.078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</row>
    <row r="11">
      <c r="A11" s="4" t="inlineStr">
        <is>
          <t>Gross Profit</t>
        </is>
      </c>
      <c r="B11" s="18" t="n">
        <v>56.124</v>
      </c>
      <c r="C11" s="18" t="n">
        <v>57.481</v>
      </c>
      <c r="D11" s="18" t="n">
        <v>48.909</v>
      </c>
      <c r="E11" s="18" t="n">
        <v>88.526</v>
      </c>
      <c r="F11" s="18" t="n">
        <v>126.176</v>
      </c>
      <c r="G11" s="18" t="n">
        <v>198.003</v>
      </c>
      <c r="H11" s="18" t="n">
        <v>145.56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</row>
    <row r="13">
      <c r="A13" s="4" t="inlineStr">
        <is>
          <t>Operating Income</t>
        </is>
      </c>
      <c r="B13" s="18" t="n">
        <v>-23.845</v>
      </c>
      <c r="C13" s="18" t="n">
        <v>7.747</v>
      </c>
      <c r="D13" s="18" t="n">
        <v>8.071999999999999</v>
      </c>
      <c r="E13" s="18" t="n">
        <v>27.724</v>
      </c>
      <c r="F13" s="18" t="n">
        <v>52.718</v>
      </c>
      <c r="G13" s="18" t="n">
        <v>64.989</v>
      </c>
      <c r="H13" s="18" t="n">
        <v>58.83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</row>
    <row r="15">
      <c r="A15" s="4" t="inlineStr">
        <is>
          <t>Net Income</t>
        </is>
      </c>
      <c r="B15" s="18" t="n">
        <v>-29.943</v>
      </c>
      <c r="C15" s="18" t="n">
        <v>14.342</v>
      </c>
      <c r="D15" s="18" t="n">
        <v>-0.82</v>
      </c>
      <c r="E15" s="18" t="n">
        <v>29.942</v>
      </c>
      <c r="F15" s="18" t="n">
        <v>89.57599999999999</v>
      </c>
      <c r="G15" s="18" t="n">
        <v>15.16</v>
      </c>
      <c r="H15" s="18" t="n">
        <v>44.945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</row>
    <row r="17">
      <c r="A17" s="4" t="inlineStr">
        <is>
          <t>Diluted Shares (M)</t>
        </is>
      </c>
      <c r="B17" s="18" t="n">
        <v>207.14364</v>
      </c>
      <c r="C17" s="18" t="n">
        <v>207.14364</v>
      </c>
      <c r="D17" s="18" t="n">
        <v>207.14364</v>
      </c>
      <c r="E17" s="18" t="n">
        <v>207.14364</v>
      </c>
      <c r="F17" s="18" t="n">
        <v>207.14364</v>
      </c>
      <c r="G17" s="18" t="n">
        <v>247.808987</v>
      </c>
      <c r="H17" s="18" t="n">
        <v>248.829672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4" t="inlineStr">
        <is>
          <t>Cash &amp; ST Investments</t>
        </is>
      </c>
      <c r="D19" s="18" t="n">
        <v>405.685</v>
      </c>
      <c r="E19" s="18" t="n">
        <v>484.961</v>
      </c>
      <c r="F19" s="18" t="n">
        <v>1097.123</v>
      </c>
      <c r="G19" s="18" t="n">
        <v>1363.778</v>
      </c>
      <c r="H19" s="18" t="n">
        <v>1464.643</v>
      </c>
    </row>
    <row r="20">
      <c r="A20" s="4" t="inlineStr">
        <is>
          <t>Total Current Assets</t>
        </is>
      </c>
      <c r="D20" s="18" t="n">
        <v>1033.428</v>
      </c>
      <c r="E20" s="18" t="n">
        <v>920.428</v>
      </c>
      <c r="F20" s="18" t="n">
        <v>1759.724</v>
      </c>
      <c r="G20" s="18" t="n">
        <v>1415.794</v>
      </c>
      <c r="H20" s="18" t="n">
        <v>2226.138</v>
      </c>
    </row>
    <row r="21">
      <c r="A21" s="4" t="inlineStr">
        <is>
          <t>PP&amp;E (net)</t>
        </is>
      </c>
      <c r="D21" s="18" t="n">
        <v>0</v>
      </c>
      <c r="E21" s="18" t="n">
        <v>0</v>
      </c>
      <c r="F21" s="18" t="n">
        <v>0</v>
      </c>
      <c r="G21" s="18" t="n">
        <v>5.2</v>
      </c>
      <c r="H21" s="18" t="n">
        <v>0</v>
      </c>
    </row>
    <row r="22">
      <c r="A22" s="4" t="inlineStr">
        <is>
          <t>Total Assets</t>
        </is>
      </c>
      <c r="D22" s="18" t="n">
        <v>1354.181</v>
      </c>
      <c r="E22" s="18" t="n">
        <v>1273.432</v>
      </c>
      <c r="F22" s="18" t="n">
        <v>2156.789</v>
      </c>
      <c r="G22" s="18" t="n">
        <v>2354.208</v>
      </c>
      <c r="H22" s="18" t="n">
        <v>2730.893</v>
      </c>
    </row>
    <row r="23">
      <c r="A23" s="4" t="inlineStr">
        <is>
          <t>Total Current Liabilities</t>
        </is>
      </c>
      <c r="D23" s="18" t="n">
        <v>793.675</v>
      </c>
      <c r="E23" s="18" t="n">
        <v>694.197</v>
      </c>
      <c r="F23" s="18" t="n">
        <v>778.175</v>
      </c>
      <c r="G23" s="18" t="n">
        <v>846.009</v>
      </c>
      <c r="H23" s="18" t="n">
        <v>1172.756</v>
      </c>
    </row>
    <row r="24">
      <c r="A24" s="4" t="inlineStr">
        <is>
          <t>Long-term Debt</t>
        </is>
      </c>
      <c r="D24" s="18" t="n">
        <v>191.67</v>
      </c>
      <c r="E24" s="18" t="n">
        <v>173.73</v>
      </c>
      <c r="F24" s="18" t="n">
        <v>197.827</v>
      </c>
      <c r="G24" s="18" t="n">
        <v>230.143</v>
      </c>
      <c r="H24" s="18" t="n">
        <v>3.894</v>
      </c>
    </row>
    <row r="25">
      <c r="A25" s="4" t="inlineStr">
        <is>
          <t>Total Equity</t>
        </is>
      </c>
      <c r="D25" s="18" t="n">
        <v>360.127</v>
      </c>
      <c r="E25" s="18" t="n">
        <v>395.93</v>
      </c>
      <c r="F25" s="18" t="n">
        <v>1167.823999</v>
      </c>
      <c r="G25" s="18" t="n">
        <v>1228.834</v>
      </c>
      <c r="H25" s="18" t="n">
        <v>1292.021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s="4" t="inlineStr">
        <is>
          <t>D&amp;A</t>
        </is>
      </c>
      <c r="B27" s="18" t="n">
        <v>5.085</v>
      </c>
      <c r="C27" s="18" t="n">
        <v>4.349</v>
      </c>
      <c r="D27" s="18" t="n">
        <v>3.943</v>
      </c>
      <c r="E27" s="18" t="n">
        <v>4.134</v>
      </c>
      <c r="F27" s="18" t="n">
        <v>4.301</v>
      </c>
      <c r="G27" s="18" t="n">
        <v>3.873</v>
      </c>
      <c r="H27" s="18" t="n">
        <v>0</v>
      </c>
    </row>
    <row r="28">
      <c r="A28" s="4" t="inlineStr">
        <is>
          <t>Stock-based Compensation</t>
        </is>
      </c>
      <c r="B28" s="18" t="n">
        <v>23.209</v>
      </c>
      <c r="C28" s="18" t="n">
        <v>6.784</v>
      </c>
      <c r="D28" s="18" t="n">
        <v>2.414</v>
      </c>
      <c r="E28" s="18" t="n">
        <v>2.847</v>
      </c>
      <c r="F28" s="18" t="n">
        <v>0</v>
      </c>
      <c r="G28" s="18" t="n">
        <v>0</v>
      </c>
      <c r="H28" s="18" t="n">
        <v>0</v>
      </c>
    </row>
    <row r="29">
      <c r="A29" s="4" t="inlineStr">
        <is>
          <t>Change in Working Capital</t>
        </is>
      </c>
      <c r="B29" s="18" t="n">
        <v>-9.805</v>
      </c>
      <c r="C29" s="18" t="n">
        <v>-8.263999999999999</v>
      </c>
      <c r="D29" s="18" t="n">
        <v>-139.423</v>
      </c>
      <c r="E29" s="18" t="n">
        <v>216.572</v>
      </c>
      <c r="F29" s="18" t="n">
        <v>-1913.865</v>
      </c>
      <c r="G29" s="18" t="n">
        <v>-2065.57</v>
      </c>
      <c r="H29" s="18" t="n">
        <v>0</v>
      </c>
    </row>
    <row r="30">
      <c r="A30" s="4" t="inlineStr">
        <is>
          <t>Operating Cash Flow</t>
        </is>
      </c>
      <c r="B30" s="18" t="n">
        <v>-31.048</v>
      </c>
      <c r="C30" s="18" t="n">
        <v>-20.346</v>
      </c>
      <c r="D30" s="18" t="n">
        <v>-152.958</v>
      </c>
      <c r="E30" s="18" t="n">
        <v>215.168</v>
      </c>
      <c r="F30" s="18" t="n">
        <v>-1873.885</v>
      </c>
      <c r="G30" s="18" t="n">
        <v>-2085.44</v>
      </c>
      <c r="H30" s="18" t="n">
        <v>0</v>
      </c>
    </row>
    <row r="31">
      <c r="A31" s="4" t="inlineStr">
        <is>
          <t>Capex</t>
        </is>
      </c>
      <c r="B31" s="18" t="n">
        <v>-4.174</v>
      </c>
      <c r="C31" s="18" t="n">
        <v>-4.35</v>
      </c>
      <c r="D31" s="18" t="n">
        <v>-4.418</v>
      </c>
      <c r="E31" s="18" t="n">
        <v>-5.453</v>
      </c>
      <c r="F31" s="18" t="n">
        <v>0</v>
      </c>
      <c r="G31" s="18" t="n">
        <v>0</v>
      </c>
      <c r="H31" s="18" t="n">
        <v>0</v>
      </c>
    </row>
    <row r="32">
      <c r="A32" s="4" t="inlineStr">
        <is>
          <t>Free Cash Flow</t>
        </is>
      </c>
      <c r="B32" s="18" t="n">
        <v>-35.222</v>
      </c>
      <c r="C32" s="18" t="n">
        <v>-24.696</v>
      </c>
      <c r="D32" s="18" t="n">
        <v>-157.376</v>
      </c>
      <c r="E32" s="18" t="n">
        <v>209.715</v>
      </c>
      <c r="F32" s="18" t="n">
        <v>-1873.885</v>
      </c>
      <c r="G32" s="18" t="n">
        <v>-2085.44</v>
      </c>
      <c r="H32" s="18" t="n">
        <v>0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</row>
    <row r="4">
      <c r="A4" s="3" t="inlineStr">
        <is>
          <t>Revenue — consensus</t>
        </is>
      </c>
      <c r="B4" s="18" t="n">
        <v>777.190749</v>
      </c>
      <c r="C4" s="18" t="n">
        <v>954.717653</v>
      </c>
      <c r="D4" s="18" t="n">
        <v>1087.5705</v>
      </c>
    </row>
    <row r="5">
      <c r="A5" s="4" t="inlineStr">
        <is>
          <t xml:space="preserve">  model</t>
        </is>
      </c>
      <c r="B5" s="34">
        <f>Model!C6</f>
        <v/>
      </c>
      <c r="C5" s="34">
        <f>Model!D6</f>
        <v/>
      </c>
      <c r="D5" s="34">
        <f>Model!E6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</row>
    <row r="8">
      <c r="A8" s="3" t="inlineStr">
        <is>
          <t>EBITDA* — consensus</t>
        </is>
      </c>
      <c r="B8" s="18" t="n">
        <v>600.301977</v>
      </c>
      <c r="C8" s="18" t="n">
        <v>737.423722</v>
      </c>
      <c r="D8" s="18" t="n">
        <v>840.039234</v>
      </c>
    </row>
    <row r="9">
      <c r="A9" s="4" t="inlineStr">
        <is>
          <t xml:space="preserve">  model</t>
        </is>
      </c>
      <c r="B9" s="34">
        <f>Model!C19+Model!C24</f>
        <v/>
      </c>
      <c r="C9" s="34">
        <f>Model!D19+Model!D24</f>
        <v/>
      </c>
      <c r="D9" s="34">
        <f>Model!E19+Model!E24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</row>
    <row r="12">
      <c r="A12" s="3" t="inlineStr">
        <is>
          <t>EBIT* — consensus</t>
        </is>
      </c>
      <c r="B12" s="18" t="n">
        <v>617.775402</v>
      </c>
      <c r="C12" s="18" t="n">
        <v>758.888449</v>
      </c>
      <c r="D12" s="18" t="n">
        <v>864.490865</v>
      </c>
    </row>
    <row r="13">
      <c r="A13" s="4" t="inlineStr">
        <is>
          <t xml:space="preserve">  model</t>
        </is>
      </c>
      <c r="B13" s="34">
        <f>Model!C19</f>
        <v/>
      </c>
      <c r="C13" s="34">
        <f>Model!D19</f>
        <v/>
      </c>
      <c r="D13" s="34">
        <f>Model!E19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</row>
    <row r="16">
      <c r="A16" s="3" t="inlineStr">
        <is>
          <t>SG&amp;A — consensus</t>
        </is>
      </c>
      <c r="B16" s="18" t="n">
        <v>330.810955</v>
      </c>
      <c r="C16" s="18" t="n">
        <v>406.375216</v>
      </c>
      <c r="D16" s="18" t="n">
        <v>462.923981</v>
      </c>
    </row>
    <row r="17">
      <c r="A17" s="4" t="inlineStr">
        <is>
          <t xml:space="preserve">  model</t>
        </is>
      </c>
      <c r="B17" s="34">
        <f>Model!C14</f>
        <v/>
      </c>
      <c r="C17" s="34">
        <f>Model!D14</f>
        <v/>
      </c>
      <c r="D17" s="34">
        <f>Model!E14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</row>
    <row r="20">
      <c r="A20" s="3" t="inlineStr">
        <is>
          <t>Net income (NOPAT) — consensus</t>
        </is>
      </c>
      <c r="B20" s="18" t="n">
        <v>283.1119475</v>
      </c>
      <c r="C20" s="18" t="n">
        <v>361.626297</v>
      </c>
      <c r="D20" s="18" t="n">
        <v>425.519443</v>
      </c>
    </row>
    <row r="21">
      <c r="A21" s="4" t="inlineStr">
        <is>
          <t xml:space="preserve">  model</t>
        </is>
      </c>
      <c r="B21" s="34">
        <f>Model!C23</f>
        <v/>
      </c>
      <c r="C21" s="34">
        <f>Model!D23</f>
        <v/>
      </c>
      <c r="D21" s="34">
        <f>Model!E23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</row>
    <row r="24">
      <c r="A24" s="3" t="inlineStr">
        <is>
          <t>EPS — consensus</t>
        </is>
      </c>
      <c r="B24" s="48" t="n">
        <v>1.0036</v>
      </c>
      <c r="C24" s="48" t="n">
        <v>1.27511</v>
      </c>
      <c r="D24" s="48" t="n">
        <v>1.5004</v>
      </c>
    </row>
    <row r="25">
      <c r="A25" s="4" t="inlineStr">
        <is>
          <t xml:space="preserve">  model</t>
        </is>
      </c>
      <c r="B25" s="8">
        <f>Model!C23/Financials!H17</f>
        <v/>
      </c>
      <c r="C25" s="8">
        <f>Model!D23/Financials!H17</f>
        <v/>
      </c>
      <c r="D25" s="8">
        <f>Model!E23/Financials!H17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Figure Technology Solutions, Inc. Class A Common Stock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Model!C31</f>
        <v/>
      </c>
      <c r="D12" s="34">
        <f>Model!D31</f>
        <v/>
      </c>
      <c r="E12" s="34">
        <f>Model!E31</f>
        <v/>
      </c>
      <c r="F12" s="34">
        <f>Model!F31</f>
        <v/>
      </c>
      <c r="G12" s="34">
        <f>Model!G31</f>
        <v/>
      </c>
      <c r="H12" s="34">
        <f>Model!H31</f>
        <v/>
      </c>
      <c r="I12" s="34">
        <f>Model!I31</f>
        <v/>
      </c>
      <c r="J12" s="34">
        <f>Model!J31</f>
        <v/>
      </c>
      <c r="K12" s="34">
        <f>Model!K31</f>
        <v/>
      </c>
      <c r="L12" s="34">
        <f>Model!L31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Model!L6</f>
        <v/>
      </c>
    </row>
    <row r="21">
      <c r="A21" s="4" t="inlineStr">
        <is>
          <t>Terminal EBIT</t>
        </is>
      </c>
      <c r="B21" s="34">
        <f>Model!L19</f>
        <v/>
      </c>
    </row>
    <row r="22">
      <c r="A22" s="4" t="inlineStr">
        <is>
          <t>Terminal EBITDA (SBC-burdened)</t>
        </is>
      </c>
      <c r="B22" s="34">
        <f>Model!L19+Model!L24-Model!L25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Financials!H19</f>
        <v/>
      </c>
    </row>
    <row r="33">
      <c r="A33" s="4" t="inlineStr">
        <is>
          <t>- Long-term debt</t>
        </is>
      </c>
      <c r="B33" s="34">
        <f>-Financials!H24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Financials!H17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0.007846741323190045</v>
      </c>
      <c r="C4" s="52" t="n">
        <v>0.01284674132319004</v>
      </c>
      <c r="D4" s="52" t="n">
        <v>0.01784674132319004</v>
      </c>
      <c r="E4" s="52" t="n">
        <v>0.02284674132319004</v>
      </c>
      <c r="F4" s="52" t="n">
        <v>0.02784674132319005</v>
      </c>
      <c r="G4" s="52" t="n">
        <v>0.03284674132319004</v>
      </c>
      <c r="H4" s="52" t="n">
        <v>0.03784674132319005</v>
      </c>
    </row>
    <row r="5">
      <c r="A5" s="53" t="n">
        <v>12</v>
      </c>
      <c r="B5" s="8" t="n">
        <v>69.28262380533178</v>
      </c>
      <c r="C5" s="8" t="n">
        <v>66.52033506093683</v>
      </c>
      <c r="D5" s="8" t="n">
        <v>63.8974450249202</v>
      </c>
      <c r="E5" s="8" t="n">
        <v>61.40616620685056</v>
      </c>
      <c r="F5" s="8" t="n">
        <v>59.03918452205219</v>
      </c>
      <c r="G5" s="8" t="n">
        <v>56.78962828726128</v>
      </c>
      <c r="H5" s="8" t="n">
        <v>54.65103938845207</v>
      </c>
    </row>
    <row r="6">
      <c r="A6" s="53" t="n">
        <v>13</v>
      </c>
      <c r="B6" s="8" t="n">
        <v>73.05459332572292</v>
      </c>
      <c r="C6" s="8" t="n">
        <v>70.11018076561648</v>
      </c>
      <c r="D6" s="8" t="n">
        <v>67.31479319623253</v>
      </c>
      <c r="E6" s="8" t="n">
        <v>64.66009073212406</v>
      </c>
      <c r="F6" s="8" t="n">
        <v>62.13824106980121</v>
      </c>
      <c r="G6" s="8" t="n">
        <v>59.7418862171092</v>
      </c>
      <c r="H6" s="8" t="n">
        <v>57.46411155502939</v>
      </c>
    </row>
    <row r="7">
      <c r="A7" s="53" t="n">
        <v>14</v>
      </c>
      <c r="B7" s="8" t="n">
        <v>76.82656284611407</v>
      </c>
      <c r="C7" s="8" t="n">
        <v>73.70002647029617</v>
      </c>
      <c r="D7" s="8" t="n">
        <v>70.73214136754488</v>
      </c>
      <c r="E7" s="8" t="n">
        <v>67.91401525739755</v>
      </c>
      <c r="F7" s="8" t="n">
        <v>65.23729761755024</v>
      </c>
      <c r="G7" s="8" t="n">
        <v>62.69414414695713</v>
      </c>
      <c r="H7" s="8" t="n">
        <v>60.27718372160673</v>
      </c>
    </row>
    <row r="8">
      <c r="A8" s="53" t="n">
        <v>15</v>
      </c>
      <c r="B8" s="8" t="n">
        <v>80.59853236650521</v>
      </c>
      <c r="C8" s="8" t="n">
        <v>77.28987217497584</v>
      </c>
      <c r="D8" s="8" t="n">
        <v>74.1494895388572</v>
      </c>
      <c r="E8" s="54" t="n">
        <v>71.16793978267106</v>
      </c>
      <c r="F8" s="8" t="n">
        <v>68.33635416529926</v>
      </c>
      <c r="G8" s="8" t="n">
        <v>65.64640207680506</v>
      </c>
      <c r="H8" s="8" t="n">
        <v>63.09025588818405</v>
      </c>
    </row>
    <row r="9">
      <c r="A9" s="53" t="n">
        <v>16</v>
      </c>
      <c r="B9" s="8" t="n">
        <v>84.37050188689635</v>
      </c>
      <c r="C9" s="8" t="n">
        <v>80.8797178796555</v>
      </c>
      <c r="D9" s="8" t="n">
        <v>77.56683771016954</v>
      </c>
      <c r="E9" s="8" t="n">
        <v>74.42186430794456</v>
      </c>
      <c r="F9" s="8" t="n">
        <v>71.43541071304827</v>
      </c>
      <c r="G9" s="8" t="n">
        <v>68.59866000665299</v>
      </c>
      <c r="H9" s="8" t="n">
        <v>65.90332805476137</v>
      </c>
    </row>
    <row r="10">
      <c r="A10" s="53" t="n">
        <v>17</v>
      </c>
      <c r="B10" s="8" t="n">
        <v>88.14247140728749</v>
      </c>
      <c r="C10" s="8" t="n">
        <v>84.46956358433515</v>
      </c>
      <c r="D10" s="8" t="n">
        <v>80.98418588148188</v>
      </c>
      <c r="E10" s="8" t="n">
        <v>77.67578883321805</v>
      </c>
      <c r="F10" s="8" t="n">
        <v>74.53446726079729</v>
      </c>
      <c r="G10" s="8" t="n">
        <v>71.55091793650092</v>
      </c>
      <c r="H10" s="8" t="n">
        <v>68.7164002213387</v>
      </c>
    </row>
    <row r="11">
      <c r="A11" s="53" t="n">
        <v>18</v>
      </c>
      <c r="B11" s="8" t="n">
        <v>91.91444092767861</v>
      </c>
      <c r="C11" s="8" t="n">
        <v>88.05940928901482</v>
      </c>
      <c r="D11" s="8" t="n">
        <v>84.40153405279422</v>
      </c>
      <c r="E11" s="8" t="n">
        <v>80.92971335849155</v>
      </c>
      <c r="F11" s="8" t="n">
        <v>77.63352380854631</v>
      </c>
      <c r="G11" s="8" t="n">
        <v>74.50317586634884</v>
      </c>
      <c r="H11" s="8" t="n">
        <v>71.52947238791603</v>
      </c>
    </row>
    <row r="13">
      <c r="A13" s="3" t="inlineStr">
        <is>
          <t>Current price</t>
        </is>
      </c>
      <c r="B13" s="55" t="n">
        <v>27.39999961853027</v>
      </c>
    </row>
    <row r="14">
      <c r="A14" s="3" t="inlineStr">
        <is>
          <t>Base WACC / multiple</t>
        </is>
      </c>
      <c r="B14" s="56" t="n">
        <v>0.02284674132319004</v>
      </c>
      <c r="C14" s="57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Model!B6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Model!B20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0.03195235557932447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0.625931942649683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(Model!L6/Model!B6)^(1/10)-1</f>
        <v/>
      </c>
      <c r="D6" s="15" t="n">
        <v/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1.043509662895727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Financials!H19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Financials!H24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Financials!H17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2026-07-06T20:34:48Z</dcterms:created>
  <dcterms:modified xmlns:dcterms="http://purl.org/dc/terms/" xmlns:xsi="http://www.w3.org/2001/XMLSchema-instance" xsi:type="dcterms:W3CDTF">2026-07-06T20:34:48Z</dcterms:modified>
</cp:coreProperties>
</file>