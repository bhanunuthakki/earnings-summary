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workbook (synced) — no Opus pass — value synced from this workbook</t>
      </text>
    </comment>
    <comment ref="C20" authorId="0" shapeId="0">
      <text>
        <t>workbook (synced) — no Opus pass — value synced from this workbook</t>
      </text>
    </comment>
    <comment ref="B29" authorId="0" shapeId="0">
      <text>
        <t>workbook (synced) — no Opus pass — value synced from this workbook</t>
      </text>
    </comment>
    <comment ref="B30" authorId="0" shapeId="0">
      <text>
        <t>workbook (synced) — no Opus pass — value synced from this workbook</t>
      </text>
    </comment>
    <comment ref="B31" authorId="0" shapeId="0">
      <text>
        <t>workbook (synced) — no Opus pass — value synced from this workbook</t>
      </text>
    </comment>
    <comment ref="B34" authorId="0" shapeId="0">
      <text>
        <t>workbook (synced) — last-year capex +10% unless set to guidance; edits not tracked</t>
      </text>
    </comment>
    <comment ref="B35" authorId="0" shapeId="0">
      <text>
        <t>workbook (synced) — no Opus pass — value synced from this workbook</t>
      </text>
    </comment>
    <comment ref="B38" authorId="0" shapeId="0">
      <text>
        <t>workbook (synced) — no Opus pass — value synced from this workbook</t>
      </text>
    </comment>
    <comment ref="B39" authorId="0" shapeId="0">
      <text>
        <t>workbook (synced) — no Opus pass — value synced from this workbook</t>
      </text>
    </comment>
    <comment ref="B40" authorId="0" shapeId="0">
      <text>
        <t>workbook (synced) — no Opus pass — value synced from this workbook</t>
      </text>
    </comment>
    <comment ref="B41" authorId="0" shapeId="0">
      <text>
        <t>workbook (synced) — no Opus pass — value synced from this workbook</t>
      </text>
    </comment>
    <comment ref="B43" authorId="0" shapeId="0">
      <text>
        <t>workbook (synced) — no Opus pass — value synced from this workbook</t>
      </text>
    </comment>
    <comment ref="B44" authorId="0" shapeId="0">
      <text>
        <t>workbook (synced) — no Opus pass — value synced from this workbook</t>
      </text>
    </comment>
    <comment ref="B45" authorId="0" shapeId="0">
      <text>
        <t>Opus: 22.0x</t>
      </text>
    </comment>
    <comment ref="B46" authorId="0" shapeId="0">
      <text>
        <t>workbook (synced) — no Opus pass — value synced from this workbook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Zscaler, Inc. (ZS)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Q2 2026</t>
        </is>
      </c>
    </row>
    <row r="6">
      <c r="A6" s="3" t="inlineStr">
        <is>
          <t>Assumptions by</t>
        </is>
      </c>
      <c r="B6" s="4" t="inlineStr">
        <is>
          <t>Opus 4.8 — values as of 2026-07-06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Zscaler, Inc. (ZS)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0.1883069533056348</v>
      </c>
      <c r="C20" s="15" t="n">
        <v>0.05</v>
      </c>
      <c r="D20" s="16" t="n">
        <v>0.1883069533056348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0.2521064360008801</v>
      </c>
      <c r="D29" s="16" t="n">
        <v>0.2521064360008801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0.1821846165275594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270.336</v>
      </c>
      <c r="D34" s="18" t="n">
        <v>270.336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0.962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22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153.5500030517578</v>
      </c>
    </row>
    <row r="49">
      <c r="A49" s="4" t="inlineStr">
        <is>
          <t>Growth fade curvature</t>
        </is>
      </c>
      <c r="B49" s="20" t="n">
        <v>2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40.01648198880868</v>
      </c>
      <c r="C58" s="28" t="n">
        <v>62.70256029007701</v>
      </c>
      <c r="D58" s="28" t="n">
        <v>23.68486826623935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0.2474079865624935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0.1484447919374961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ZS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2026-07-06 from the synced assumptions block (pass predates provenance tracking — may already include your edits)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Total company — near-term growth</t>
        </is>
      </c>
      <c r="B8" t="inlineStr">
        <is>
          <t>B20</t>
        </is>
      </c>
      <c r="C8" s="11">
        <f>Dashboard!B20</f>
        <v/>
      </c>
      <c r="D8" t="inlineStr">
        <is>
          <t>workbook (synced)</t>
        </is>
      </c>
      <c r="E8" t="inlineStr">
        <is>
          <t>—</t>
        </is>
      </c>
      <c r="F8" s="31" t="inlineStr">
        <is>
          <t>no Opus pass — value synced from this workbook</t>
        </is>
      </c>
    </row>
    <row r="9">
      <c r="A9" t="inlineStr">
        <is>
          <t>Total company — terminal growth</t>
        </is>
      </c>
      <c r="B9" t="inlineStr">
        <is>
          <t>C20</t>
        </is>
      </c>
      <c r="C9" s="11">
        <f>Dashboard!C20</f>
        <v/>
      </c>
      <c r="D9" t="inlineStr">
        <is>
          <t>workbook (synced)</t>
        </is>
      </c>
      <c r="E9" t="inlineStr">
        <is>
          <t>—</t>
        </is>
      </c>
      <c r="F9" s="31" t="inlineStr">
        <is>
          <t>no Opus pass — value synced from this workbook</t>
        </is>
      </c>
    </row>
    <row r="10">
      <c r="A10" t="inlineStr">
        <is>
          <t>Near-term operating margin</t>
        </is>
      </c>
      <c r="B10" t="inlineStr">
        <is>
          <t>B29</t>
        </is>
      </c>
      <c r="C10" s="11">
        <f>Dashboard!B29</f>
        <v/>
      </c>
      <c r="D10" t="inlineStr">
        <is>
          <t>workbook (synced)</t>
        </is>
      </c>
      <c r="E10" t="inlineStr">
        <is>
          <t>—</t>
        </is>
      </c>
      <c r="F10" s="31" t="inlineStr">
        <is>
          <t>no Opus pass — value synced from this workbook</t>
        </is>
      </c>
    </row>
    <row r="11">
      <c r="A11" t="inlineStr">
        <is>
          <t>Terminal operating margin</t>
        </is>
      </c>
      <c r="B11" t="inlineStr">
        <is>
          <t>B30</t>
        </is>
      </c>
      <c r="C11" s="11">
        <f>Dashboard!B30</f>
        <v/>
      </c>
      <c r="D11" t="inlineStr">
        <is>
          <t>workbook (synced)</t>
        </is>
      </c>
      <c r="E11" t="inlineStr">
        <is>
          <t>—</t>
        </is>
      </c>
      <c r="F11" s="31" t="inlineStr">
        <is>
          <t>no Opus pass — value synced from this workbook</t>
        </is>
      </c>
    </row>
    <row r="12">
      <c r="A12" t="inlineStr">
        <is>
          <t>Tax rate</t>
        </is>
      </c>
      <c r="B12" t="inlineStr">
        <is>
          <t>B31</t>
        </is>
      </c>
      <c r="C12" s="11">
        <f>Dashboard!B31</f>
        <v/>
      </c>
      <c r="D12" t="inlineStr">
        <is>
          <t>workbook (synced)</t>
        </is>
      </c>
      <c r="E12" t="inlineStr">
        <is>
          <t>—</t>
        </is>
      </c>
      <c r="F12" s="31" t="inlineStr">
        <is>
          <t>no Opus pass — value synced from this workbook</t>
        </is>
      </c>
    </row>
    <row r="13">
      <c r="A13" t="inlineStr">
        <is>
          <t>Terminal capex / D&amp;A</t>
        </is>
      </c>
      <c r="B13" t="inlineStr">
        <is>
          <t>B35</t>
        </is>
      </c>
      <c r="C13" s="13">
        <f>Dashboard!B35</f>
        <v/>
      </c>
      <c r="D13" t="inlineStr">
        <is>
          <t>workbook (synced)</t>
        </is>
      </c>
      <c r="E13" t="inlineStr">
        <is>
          <t>—</t>
        </is>
      </c>
      <c r="F13" s="31" t="inlineStr">
        <is>
          <t>no Opus pass — value synced from this workbook</t>
        </is>
      </c>
    </row>
    <row r="14">
      <c r="A14" t="inlineStr">
        <is>
          <t>Risk-free rate (10Y)</t>
        </is>
      </c>
      <c r="B14" t="inlineStr">
        <is>
          <t>B38</t>
        </is>
      </c>
      <c r="C14" s="11">
        <f>Dashboard!B38</f>
        <v/>
      </c>
      <c r="D14" t="inlineStr">
        <is>
          <t>workbook (synced)</t>
        </is>
      </c>
      <c r="E14" t="inlineStr">
        <is>
          <t>—</t>
        </is>
      </c>
      <c r="F14" s="31" t="inlineStr">
        <is>
          <t>no Opus pass — value synced from this workbook</t>
        </is>
      </c>
    </row>
    <row r="15">
      <c r="A15" t="inlineStr">
        <is>
          <t>Equity risk premium</t>
        </is>
      </c>
      <c r="B15" t="inlineStr">
        <is>
          <t>B39</t>
        </is>
      </c>
      <c r="C15" s="11">
        <f>Dashboard!B39</f>
        <v/>
      </c>
      <c r="D15" t="inlineStr">
        <is>
          <t>workbook (synced)</t>
        </is>
      </c>
      <c r="E15" t="inlineStr">
        <is>
          <t>—</t>
        </is>
      </c>
      <c r="F15" s="31" t="inlineStr">
        <is>
          <t>no Opus pass — value synced from this workbook</t>
        </is>
      </c>
    </row>
    <row r="16">
      <c r="A16" t="inlineStr">
        <is>
          <t>Beta (levered)</t>
        </is>
      </c>
      <c r="B16" t="inlineStr">
        <is>
          <t>B40</t>
        </is>
      </c>
      <c r="C16" s="32">
        <f>Dashboard!B40</f>
        <v/>
      </c>
      <c r="D16" t="inlineStr">
        <is>
          <t>workbook (synced)</t>
        </is>
      </c>
      <c r="E16" t="inlineStr">
        <is>
          <t>—</t>
        </is>
      </c>
      <c r="F16" s="31" t="inlineStr">
        <is>
          <t>no Opus pass — value synced from this workbook</t>
        </is>
      </c>
    </row>
    <row r="17">
      <c r="A17" t="inlineStr">
        <is>
          <t>Pre-tax cost of debt</t>
        </is>
      </c>
      <c r="B17" t="inlineStr">
        <is>
          <t>B41</t>
        </is>
      </c>
      <c r="C17" s="11">
        <f>Dashboard!B41</f>
        <v/>
      </c>
      <c r="D17" t="inlineStr">
        <is>
          <t>workbook (synced)</t>
        </is>
      </c>
      <c r="E17" t="inlineStr">
        <is>
          <t>—</t>
        </is>
      </c>
      <c r="F17" s="31" t="inlineStr">
        <is>
          <t>no Opus pass — value synced from this workbook</t>
        </is>
      </c>
    </row>
    <row r="18">
      <c r="A18" t="inlineStr">
        <is>
          <t>Terminal method</t>
        </is>
      </c>
      <c r="B18" t="inlineStr">
        <is>
          <t>B43</t>
        </is>
      </c>
      <c r="C18" s="12">
        <f>Dashboard!B43</f>
        <v/>
      </c>
      <c r="D18" t="inlineStr">
        <is>
          <t>workbook (synced)</t>
        </is>
      </c>
      <c r="E18" t="inlineStr">
        <is>
          <t>—</t>
        </is>
      </c>
      <c r="F18" s="31" t="inlineStr">
        <is>
          <t>no Opus pass — value synced from this workbook</t>
        </is>
      </c>
    </row>
    <row r="19">
      <c r="A19" t="inlineStr">
        <is>
          <t>Exit basis</t>
        </is>
      </c>
      <c r="B19" t="inlineStr">
        <is>
          <t>B44</t>
        </is>
      </c>
      <c r="C19" s="12">
        <f>Dashboard!B44</f>
        <v/>
      </c>
      <c r="D19" t="inlineStr">
        <is>
          <t>workbook (synced)</t>
        </is>
      </c>
      <c r="E19" t="inlineStr">
        <is>
          <t>—</t>
        </is>
      </c>
      <c r="F19" s="31" t="inlineStr">
        <is>
          <t>no Opus pass — value synced from this workbook</t>
        </is>
      </c>
    </row>
    <row r="20">
      <c r="A20" t="inlineStr">
        <is>
          <t>Exit multiple</t>
        </is>
      </c>
      <c r="B20" t="inlineStr">
        <is>
          <t>B45</t>
        </is>
      </c>
      <c r="C20" s="13">
        <f>Dashboard!B45</f>
        <v/>
      </c>
      <c r="D20" t="inlineStr">
        <is>
          <t>Opus</t>
        </is>
      </c>
      <c r="E20" t="inlineStr">
        <is>
          <t>22.0x</t>
        </is>
      </c>
      <c r="F20" s="31" t="inlineStr"/>
    </row>
    <row r="21">
      <c r="A21" t="inlineStr">
        <is>
          <t>Terminal growth (g)</t>
        </is>
      </c>
      <c r="B21" t="inlineStr">
        <is>
          <t>B46</t>
        </is>
      </c>
      <c r="C21" s="11">
        <f>Dashboard!B46</f>
        <v/>
      </c>
      <c r="D21" t="inlineStr">
        <is>
          <t>workbook (synced)</t>
        </is>
      </c>
      <c r="E21" t="inlineStr">
        <is>
          <t>—</t>
        </is>
      </c>
      <c r="F21" s="31" t="inlineStr">
        <is>
          <t>no Opus pass — value synced from this workbook</t>
        </is>
      </c>
    </row>
    <row r="22">
      <c r="A22" t="inlineStr">
        <is>
          <t>2026 capex ($M)</t>
        </is>
      </c>
      <c r="B22" t="inlineStr">
        <is>
          <t>B34</t>
        </is>
      </c>
      <c r="C22" s="33">
        <f>Dashboard!B34</f>
        <v/>
      </c>
      <c r="D22" t="inlineStr">
        <is>
          <t>workbook (synced)</t>
        </is>
      </c>
      <c r="E22" t="inlineStr">
        <is>
          <t>—</t>
        </is>
      </c>
      <c r="F22" s="31" t="inlineStr">
        <is>
          <t>last-year capex +10% unless set to guidance; edits not tracked</t>
        </is>
      </c>
    </row>
    <row r="23">
      <c r="A23" t="inlineStr">
        <is>
          <t>Bull Δ — segment growth, near-term</t>
        </is>
      </c>
      <c r="B23" t="inlineStr">
        <is>
          <t>C52</t>
        </is>
      </c>
      <c r="C23" s="34">
        <f>Dashboard!C52</f>
        <v/>
      </c>
      <c r="D23" t="inlineStr">
        <is>
          <t>seed default</t>
        </is>
      </c>
      <c r="E23" t="inlineStr">
        <is>
          <t>3.0%</t>
        </is>
      </c>
      <c r="F23" s="31" t="inlineStr"/>
    </row>
    <row r="24">
      <c r="A24" t="inlineStr">
        <is>
          <t>Bear Δ — segment growth, near-term</t>
        </is>
      </c>
      <c r="B24" t="inlineStr">
        <is>
          <t>D52</t>
        </is>
      </c>
      <c r="C24" s="34">
        <f>Dashboard!D52</f>
        <v/>
      </c>
      <c r="D24" t="inlineStr">
        <is>
          <t>seed default</t>
        </is>
      </c>
      <c r="E24" t="inlineStr">
        <is>
          <t>-3.0%</t>
        </is>
      </c>
      <c r="F24" s="31" t="inlineStr"/>
    </row>
    <row r="25">
      <c r="A25" t="inlineStr">
        <is>
          <t>Bull Δ — segment growth, terminal</t>
        </is>
      </c>
      <c r="B25" t="inlineStr">
        <is>
          <t>C53</t>
        </is>
      </c>
      <c r="C25" s="34">
        <f>Dashboard!C53</f>
        <v/>
      </c>
      <c r="D25" t="inlineStr">
        <is>
          <t>seed default</t>
        </is>
      </c>
      <c r="E25" t="inlineStr">
        <is>
          <t>1.0%</t>
        </is>
      </c>
      <c r="F25" s="31" t="inlineStr"/>
    </row>
    <row r="26">
      <c r="A26" t="inlineStr">
        <is>
          <t>Bear Δ — segment growth, terminal</t>
        </is>
      </c>
      <c r="B26" t="inlineStr">
        <is>
          <t>D53</t>
        </is>
      </c>
      <c r="C26" s="34">
        <f>Dashboard!D53</f>
        <v/>
      </c>
      <c r="D26" t="inlineStr">
        <is>
          <t>seed default</t>
        </is>
      </c>
      <c r="E26" t="inlineStr">
        <is>
          <t>-1.0%</t>
        </is>
      </c>
      <c r="F26" s="31" t="inlineStr"/>
    </row>
    <row r="27">
      <c r="A27" t="inlineStr">
        <is>
          <t>Bull Δ — operating margin, near-term</t>
        </is>
      </c>
      <c r="B27" t="inlineStr">
        <is>
          <t>C54</t>
        </is>
      </c>
      <c r="C27" s="34">
        <f>Dashboard!C54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operating margin, near-term</t>
        </is>
      </c>
      <c r="B28" t="inlineStr">
        <is>
          <t>D54</t>
        </is>
      </c>
      <c r="C28" s="34">
        <f>Dashboard!D54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terminal</t>
        </is>
      </c>
      <c r="B29" t="inlineStr">
        <is>
          <t>C55</t>
        </is>
      </c>
      <c r="C29" s="34">
        <f>Dashboard!C55</f>
        <v/>
      </c>
      <c r="D29" t="inlineStr">
        <is>
          <t>seed default</t>
        </is>
      </c>
      <c r="E29" t="inlineStr">
        <is>
          <t>2.0%</t>
        </is>
      </c>
      <c r="F29" s="31" t="inlineStr"/>
    </row>
    <row r="30">
      <c r="A30" t="inlineStr">
        <is>
          <t>Bear Δ — operating margin, terminal</t>
        </is>
      </c>
      <c r="B30" t="inlineStr">
        <is>
          <t>D55</t>
        </is>
      </c>
      <c r="C30" s="34">
        <f>Dashboard!D55</f>
        <v/>
      </c>
      <c r="D30" t="inlineStr">
        <is>
          <t>seed default</t>
        </is>
      </c>
      <c r="E30" t="inlineStr">
        <is>
          <t>-2.0%</t>
        </is>
      </c>
      <c r="F30" s="31" t="inlineStr"/>
    </row>
    <row r="31">
      <c r="A31" t="inlineStr">
        <is>
          <t>Bull Δ — exit multiple</t>
        </is>
      </c>
      <c r="B31" t="inlineStr">
        <is>
          <t>C56</t>
        </is>
      </c>
      <c r="C31" s="35">
        <f>Dashboard!C56</f>
        <v/>
      </c>
      <c r="D31" t="inlineStr">
        <is>
          <t>seed default</t>
        </is>
      </c>
      <c r="E31" t="inlineStr">
        <is>
          <t>2.0x</t>
        </is>
      </c>
      <c r="F31" s="31" t="inlineStr"/>
    </row>
    <row r="32">
      <c r="A32" t="inlineStr">
        <is>
          <t>Bear Δ — exit multiple</t>
        </is>
      </c>
      <c r="B32" t="inlineStr">
        <is>
          <t>D56</t>
        </is>
      </c>
      <c r="C32" s="35">
        <f>Dashboard!D56</f>
        <v/>
      </c>
      <c r="D32" t="inlineStr">
        <is>
          <t>seed default</t>
        </is>
      </c>
      <c r="E32" t="inlineStr">
        <is>
          <t>-2.0x</t>
        </is>
      </c>
      <c r="F32" s="31" t="inlineStr"/>
    </row>
    <row r="33">
      <c r="A33" t="inlineStr">
        <is>
          <t>Bull Δ — terminal growth (g)</t>
        </is>
      </c>
      <c r="B33" t="inlineStr">
        <is>
          <t>C57</t>
        </is>
      </c>
      <c r="C33" s="34">
        <f>Dashboard!C57</f>
        <v/>
      </c>
      <c r="D33" t="inlineStr">
        <is>
          <t>seed default</t>
        </is>
      </c>
      <c r="E33" t="inlineStr">
        <is>
          <t>0.5%</t>
        </is>
      </c>
      <c r="F33" s="31" t="inlineStr"/>
    </row>
    <row r="34">
      <c r="A34" t="inlineStr">
        <is>
          <t>Bear Δ — terminal growth (g)</t>
        </is>
      </c>
      <c r="B34" t="inlineStr">
        <is>
          <t>D57</t>
        </is>
      </c>
      <c r="C34" s="34">
        <f>Dashboard!D57</f>
        <v/>
      </c>
      <c r="D34" t="inlineStr">
        <is>
          <t>seed default</t>
        </is>
      </c>
      <c r="E34" t="inlineStr">
        <is>
          <t>-0.5%</t>
        </is>
      </c>
      <c r="F34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Financials!AC24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3">
        <f>SUM(Financials!H3:K3)</f>
        <v/>
      </c>
      <c r="C4" s="33">
        <f>SUM(Financials!L3:O3)</f>
        <v/>
      </c>
      <c r="D4" s="33">
        <f>SUM(Financials!P3:S3)</f>
        <v/>
      </c>
      <c r="E4" s="33">
        <f>SUM(Financials!T3:W3)</f>
        <v/>
      </c>
      <c r="F4" s="33">
        <f>SUM(Financials!X3:AA3)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2">
        <f>B4</f>
        <v/>
      </c>
      <c r="C6" s="42">
        <f>C4</f>
        <v/>
      </c>
      <c r="D6" s="42">
        <f>D4</f>
        <v/>
      </c>
      <c r="E6" s="42">
        <f>E4</f>
        <v/>
      </c>
      <c r="F6" s="42">
        <f>F4</f>
        <v/>
      </c>
      <c r="G6" s="42">
        <f>G4</f>
        <v/>
      </c>
      <c r="H6" s="42">
        <f>H4</f>
        <v/>
      </c>
      <c r="I6" s="42">
        <f>I4</f>
        <v/>
      </c>
      <c r="J6" s="42">
        <f>J4</f>
        <v/>
      </c>
      <c r="K6" s="42">
        <f>K4</f>
        <v/>
      </c>
      <c r="L6" s="42">
        <f>L4</f>
        <v/>
      </c>
      <c r="M6" s="42">
        <f>M4</f>
        <v/>
      </c>
      <c r="N6" s="42">
        <f>N4</f>
        <v/>
      </c>
      <c r="O6" s="42">
        <f>O4</f>
        <v/>
      </c>
      <c r="P6" s="42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3">
        <f>SUM(Financials!H5:K5)</f>
        <v/>
      </c>
      <c r="C10" s="33">
        <f>SUM(Financials!L5:O5)</f>
        <v/>
      </c>
      <c r="D10" s="33">
        <f>SUM(Financials!P5:S5)</f>
        <v/>
      </c>
      <c r="E10" s="33">
        <f>SUM(Financials!T5:W5)</f>
        <v/>
      </c>
      <c r="F10" s="33">
        <f>SUM(Financials!X5:AA5)</f>
        <v/>
      </c>
      <c r="G10" s="41">
        <f>G6*G11</f>
        <v/>
      </c>
      <c r="H10" s="41">
        <f>H6*H11</f>
        <v/>
      </c>
      <c r="I10" s="41">
        <f>I6*I11</f>
        <v/>
      </c>
      <c r="J10" s="41">
        <f>J6*J11</f>
        <v/>
      </c>
      <c r="K10" s="41">
        <f>K6*K11</f>
        <v/>
      </c>
      <c r="L10" s="41">
        <f>L6*L11</f>
        <v/>
      </c>
      <c r="M10" s="41">
        <f>M6*M11</f>
        <v/>
      </c>
      <c r="N10" s="41">
        <f>N6*N11</f>
        <v/>
      </c>
      <c r="O10" s="41">
        <f>O6*O11</f>
        <v/>
      </c>
      <c r="P10" s="41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0.2314958391240182</v>
      </c>
      <c r="H11" s="15" t="n">
        <v>0.2314958391240182</v>
      </c>
      <c r="I11" s="15" t="n">
        <v>0.2314958391240182</v>
      </c>
      <c r="J11" s="15" t="n">
        <v>0.2314958391240182</v>
      </c>
      <c r="K11" s="15" t="n">
        <v>0.2314958391240182</v>
      </c>
      <c r="L11" s="15" t="n">
        <v>0.2314958391240182</v>
      </c>
      <c r="M11" s="15" t="n">
        <v>0.2314958391240182</v>
      </c>
      <c r="N11" s="15" t="n">
        <v>0.2314958391240182</v>
      </c>
      <c r="O11" s="15" t="n">
        <v>0.2314958391240182</v>
      </c>
      <c r="P11" s="15" t="n">
        <v>0.2314958391240182</v>
      </c>
    </row>
    <row r="12">
      <c r="A12" s="4" t="inlineStr">
        <is>
          <t>R&amp;D / Technology</t>
        </is>
      </c>
      <c r="B12" s="33">
        <f>SUM(Financials!H7:K7)</f>
        <v/>
      </c>
      <c r="C12" s="33">
        <f>SUM(Financials!L7:O7)</f>
        <v/>
      </c>
      <c r="D12" s="33">
        <f>SUM(Financials!P7:S7)</f>
        <v/>
      </c>
      <c r="E12" s="33">
        <f>SUM(Financials!T7:W7)</f>
        <v/>
      </c>
      <c r="F12" s="33">
        <f>SUM(Financials!X7:AA7)</f>
        <v/>
      </c>
      <c r="G12" s="41">
        <f>G6*G13</f>
        <v/>
      </c>
      <c r="H12" s="41">
        <f>H6*H13</f>
        <v/>
      </c>
      <c r="I12" s="41">
        <f>I6*I13</f>
        <v/>
      </c>
      <c r="J12" s="41">
        <f>J6*J13</f>
        <v/>
      </c>
      <c r="K12" s="41">
        <f>K6*K13</f>
        <v/>
      </c>
      <c r="L12" s="41">
        <f>L6*L13</f>
        <v/>
      </c>
      <c r="M12" s="41">
        <f>M6*M13</f>
        <v/>
      </c>
      <c r="N12" s="41">
        <f>N6*N13</f>
        <v/>
      </c>
      <c r="O12" s="41">
        <f>O6*O13</f>
        <v/>
      </c>
      <c r="P12" s="41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0.2512731401380038</v>
      </c>
      <c r="H13" s="15" t="n">
        <v>0.2512731401380038</v>
      </c>
      <c r="I13" s="15" t="n">
        <v>0.2512731401380038</v>
      </c>
      <c r="J13" s="15" t="n">
        <v>0.2512731401380038</v>
      </c>
      <c r="K13" s="15" t="n">
        <v>0.2512731401380038</v>
      </c>
      <c r="L13" s="15" t="n">
        <v>0.2512731401380038</v>
      </c>
      <c r="M13" s="15" t="n">
        <v>0.2512731401380038</v>
      </c>
      <c r="N13" s="15" t="n">
        <v>0.2512731401380038</v>
      </c>
      <c r="O13" s="15" t="n">
        <v>0.2512731401380038</v>
      </c>
      <c r="P13" s="15" t="n">
        <v>0.2512731401380038</v>
      </c>
    </row>
    <row r="14">
      <c r="A14" s="4" t="inlineStr">
        <is>
          <t>SG&amp;A</t>
        </is>
      </c>
      <c r="B14" s="33">
        <f>SUM(Financials!H9:K9)</f>
        <v/>
      </c>
      <c r="C14" s="33">
        <f>SUM(Financials!L9:O9)</f>
        <v/>
      </c>
      <c r="D14" s="33">
        <f>SUM(Financials!P9:S9)</f>
        <v/>
      </c>
      <c r="E14" s="33">
        <f>SUM(Financials!T9:W9)</f>
        <v/>
      </c>
      <c r="F14" s="33">
        <f>SUM(Financials!X9:AA9)</f>
        <v/>
      </c>
      <c r="G14" s="41">
        <f>G6*G15</f>
        <v/>
      </c>
      <c r="H14" s="41">
        <f>H6*H15</f>
        <v/>
      </c>
      <c r="I14" s="41">
        <f>I6*I15</f>
        <v/>
      </c>
      <c r="J14" s="41">
        <f>J6*J15</f>
        <v/>
      </c>
      <c r="K14" s="41">
        <f>K6*K15</f>
        <v/>
      </c>
      <c r="L14" s="41">
        <f>L6*L15</f>
        <v/>
      </c>
      <c r="M14" s="41">
        <f>M6*M15</f>
        <v/>
      </c>
      <c r="N14" s="41">
        <f>N6*N15</f>
        <v/>
      </c>
      <c r="O14" s="41">
        <f>O6*O15</f>
        <v/>
      </c>
      <c r="P14" s="41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0.5634437725275568</v>
      </c>
      <c r="H15" s="15" t="n">
        <v>0.5634437725275568</v>
      </c>
      <c r="I15" s="15" t="n">
        <v>0.5634437725275568</v>
      </c>
      <c r="J15" s="15" t="n">
        <v>0.5634437725275568</v>
      </c>
      <c r="K15" s="15" t="n">
        <v>0.5634437725275568</v>
      </c>
      <c r="L15" s="15" t="n">
        <v>0.5634437725275568</v>
      </c>
      <c r="M15" s="15" t="n">
        <v>0.5634437725275568</v>
      </c>
      <c r="N15" s="15" t="n">
        <v>0.5634437725275568</v>
      </c>
      <c r="O15" s="15" t="n">
        <v>0.5634437725275568</v>
      </c>
      <c r="P15" s="15" t="n">
        <v>0.5634437725275568</v>
      </c>
    </row>
    <row r="16">
      <c r="A16" s="4" t="inlineStr">
        <is>
          <t>Other opex (fulfilment, etc.)</t>
        </is>
      </c>
      <c r="B16" s="33">
        <f>B6-(B10+B12+B14)-SUM(Financials!H13:K13)</f>
        <v/>
      </c>
      <c r="C16" s="33">
        <f>C6-(C10+C12+C14)-SUM(Financials!L13:O13)</f>
        <v/>
      </c>
      <c r="D16" s="33">
        <f>D6-(D10+D12+D14)-SUM(Financials!P13:S13)</f>
        <v/>
      </c>
      <c r="E16" s="33">
        <f>E6-(E10+E12+E14)-SUM(Financials!T13:W13)</f>
        <v/>
      </c>
      <c r="F16" s="33">
        <f>F6-(F10+F12+F14)-SUM(Financials!X13:AA13)</f>
        <v/>
      </c>
      <c r="G16" s="33">
        <f>G6*(1-(Dashboard!$B$29+(Dashboard!$B$30-Dashboard!$B$29)*MIN(1,0/4)))-(G10+G12+G14)</f>
        <v/>
      </c>
      <c r="H16" s="33">
        <f>H6*(1-(Dashboard!$B$29+(Dashboard!$B$30-Dashboard!$B$29)*MIN(1,1/4)))-(H10+H12+H14)</f>
        <v/>
      </c>
      <c r="I16" s="33">
        <f>I6*(1-(Dashboard!$B$29+(Dashboard!$B$30-Dashboard!$B$29)*MIN(1,2/4)))-(I10+I12+I14)</f>
        <v/>
      </c>
      <c r="J16" s="33">
        <f>J6*(1-(Dashboard!$B$29+(Dashboard!$B$30-Dashboard!$B$29)*MIN(1,3/4)))-(J10+J12+J14)</f>
        <v/>
      </c>
      <c r="K16" s="33">
        <f>K6*(1-(Dashboard!$B$29+(Dashboard!$B$30-Dashboard!$B$29)*MIN(1,4/4)))-(K10+K12+K14)</f>
        <v/>
      </c>
      <c r="L16" s="33">
        <f>L6*(1-(Dashboard!$B$29+(Dashboard!$B$30-Dashboard!$B$29)*MIN(1,5/4)))-(L10+L12+L14)</f>
        <v/>
      </c>
      <c r="M16" s="33">
        <f>M6*(1-(Dashboard!$B$29+(Dashboard!$B$30-Dashboard!$B$29)*MIN(1,6/4)))-(M10+M12+M14)</f>
        <v/>
      </c>
      <c r="N16" s="33">
        <f>N6*(1-(Dashboard!$B$29+(Dashboard!$B$30-Dashboard!$B$29)*MIN(1,7/4)))-(N10+N12+N14)</f>
        <v/>
      </c>
      <c r="O16" s="33">
        <f>O6*(1-(Dashboard!$B$29+(Dashboard!$B$30-Dashboard!$B$29)*MIN(1,8/4)))-(O10+O12+O14)</f>
        <v/>
      </c>
      <c r="P16" s="33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2">
        <f>B6-(B10+B12+B14)-B16</f>
        <v/>
      </c>
      <c r="C19" s="42">
        <f>C6-(C10+C12+C14)-C16</f>
        <v/>
      </c>
      <c r="D19" s="42">
        <f>D6-(D10+D12+D14)-D16</f>
        <v/>
      </c>
      <c r="E19" s="42">
        <f>E6-(E10+E12+E14)-E16</f>
        <v/>
      </c>
      <c r="F19" s="42">
        <f>F6-(F10+F12+F14)-F16</f>
        <v/>
      </c>
      <c r="G19" s="42">
        <f>G6-(G10+G12+G14)-G16</f>
        <v/>
      </c>
      <c r="H19" s="42">
        <f>H6-(H10+H12+H14)-H16</f>
        <v/>
      </c>
      <c r="I19" s="42">
        <f>I6-(I10+I12+I14)-I16</f>
        <v/>
      </c>
      <c r="J19" s="42">
        <f>J6-(J10+J12+J14)-J16</f>
        <v/>
      </c>
      <c r="K19" s="42">
        <f>K6-(K10+K12+K14)-K16</f>
        <v/>
      </c>
      <c r="L19" s="42">
        <f>L6-(L10+L12+L14)-L16</f>
        <v/>
      </c>
      <c r="M19" s="42">
        <f>M6-(M10+M12+M14)-M16</f>
        <v/>
      </c>
      <c r="N19" s="42">
        <f>N6-(N10+N12+N14)-N16</f>
        <v/>
      </c>
      <c r="O19" s="42">
        <f>O6-(O10+O12+O14)-O16</f>
        <v/>
      </c>
      <c r="P19" s="42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3">
        <f>B19*(1-Valuation!$B$5)</f>
        <v/>
      </c>
      <c r="C23" s="33">
        <f>C19*(1-Valuation!$B$5)</f>
        <v/>
      </c>
      <c r="D23" s="33">
        <f>D19*(1-Valuation!$B$5)</f>
        <v/>
      </c>
      <c r="E23" s="33">
        <f>E19*(1-Valuation!$B$5)</f>
        <v/>
      </c>
      <c r="F23" s="33">
        <f>F19*(1-Valuation!$B$5)</f>
        <v/>
      </c>
      <c r="G23" s="33">
        <f>G19*(1-Valuation!$B$5)</f>
        <v/>
      </c>
      <c r="H23" s="33">
        <f>H19*(1-Valuation!$B$5)</f>
        <v/>
      </c>
      <c r="I23" s="33">
        <f>I19*(1-Valuation!$B$5)</f>
        <v/>
      </c>
      <c r="J23" s="33">
        <f>J19*(1-Valuation!$B$5)</f>
        <v/>
      </c>
      <c r="K23" s="33">
        <f>K19*(1-Valuation!$B$5)</f>
        <v/>
      </c>
      <c r="L23" s="33">
        <f>L19*(1-Valuation!$B$5)</f>
        <v/>
      </c>
      <c r="M23" s="33">
        <f>M19*(1-Valuation!$B$5)</f>
        <v/>
      </c>
      <c r="N23" s="33">
        <f>N19*(1-Valuation!$B$5)</f>
        <v/>
      </c>
      <c r="O23" s="33">
        <f>O19*(1-Valuation!$B$5)</f>
        <v/>
      </c>
      <c r="P23" s="33">
        <f>P19*(1-Valuation!$B$5)</f>
        <v/>
      </c>
    </row>
    <row r="24">
      <c r="A24" s="4" t="inlineStr">
        <is>
          <t>+ D&amp;A</t>
        </is>
      </c>
      <c r="B24" s="33">
        <f>SUM(Financials!H27:K27)</f>
        <v/>
      </c>
      <c r="C24" s="33">
        <f>SUM(Financials!L27:O27)</f>
        <v/>
      </c>
      <c r="D24" s="33">
        <f>SUM(Financials!P27:S27)</f>
        <v/>
      </c>
      <c r="E24" s="33">
        <f>SUM(Financials!T27:W27)</f>
        <v/>
      </c>
      <c r="F24" s="33">
        <f>SUM(Financials!X27:AA27)</f>
        <v/>
      </c>
      <c r="G24" s="41">
        <f>G6*0.0453</f>
        <v/>
      </c>
      <c r="H24" s="41">
        <f>H6*0.0453</f>
        <v/>
      </c>
      <c r="I24" s="41">
        <f>I6*0.0453</f>
        <v/>
      </c>
      <c r="J24" s="41">
        <f>J6*0.0453</f>
        <v/>
      </c>
      <c r="K24" s="41">
        <f>K6*0.0453</f>
        <v/>
      </c>
      <c r="L24" s="41">
        <f>L6*0.0453</f>
        <v/>
      </c>
      <c r="M24" s="41">
        <f>M6*0.0453</f>
        <v/>
      </c>
      <c r="N24" s="41">
        <f>N6*0.0453</f>
        <v/>
      </c>
      <c r="O24" s="41">
        <f>O6*0.0453</f>
        <v/>
      </c>
      <c r="P24" s="41">
        <f>P6*0.0453</f>
        <v/>
      </c>
    </row>
    <row r="25">
      <c r="A25" s="4" t="inlineStr">
        <is>
          <t>+ SBC (non-cash)</t>
        </is>
      </c>
      <c r="B25" s="33">
        <f>SUM(Financials!H28:K28)</f>
        <v/>
      </c>
      <c r="C25" s="33">
        <f>SUM(Financials!L28:O28)</f>
        <v/>
      </c>
      <c r="D25" s="33">
        <f>SUM(Financials!P28:S28)</f>
        <v/>
      </c>
      <c r="E25" s="33">
        <f>SUM(Financials!T28:W28)</f>
        <v/>
      </c>
      <c r="F25" s="33">
        <f>SUM(Financials!X28:AA28)</f>
        <v/>
      </c>
      <c r="G25" s="33">
        <f>G6*(Dashboard!$B$65+(Dashboard!$B$66-Dashboard!$B$65)*0/9)</f>
        <v/>
      </c>
      <c r="H25" s="33">
        <f>H6*(Dashboard!$B$65+(Dashboard!$B$66-Dashboard!$B$65)*1/9)</f>
        <v/>
      </c>
      <c r="I25" s="33">
        <f>I6*(Dashboard!$B$65+(Dashboard!$B$66-Dashboard!$B$65)*2/9)</f>
        <v/>
      </c>
      <c r="J25" s="33">
        <f>J6*(Dashboard!$B$65+(Dashboard!$B$66-Dashboard!$B$65)*3/9)</f>
        <v/>
      </c>
      <c r="K25" s="33">
        <f>K6*(Dashboard!$B$65+(Dashboard!$B$66-Dashboard!$B$65)*4/9)</f>
        <v/>
      </c>
      <c r="L25" s="33">
        <f>L6*(Dashboard!$B$65+(Dashboard!$B$66-Dashboard!$B$65)*5/9)</f>
        <v/>
      </c>
      <c r="M25" s="33">
        <f>M6*(Dashboard!$B$65+(Dashboard!$B$66-Dashboard!$B$65)*6/9)</f>
        <v/>
      </c>
      <c r="N25" s="33">
        <f>N6*(Dashboard!$B$65+(Dashboard!$B$66-Dashboard!$B$65)*7/9)</f>
        <v/>
      </c>
      <c r="O25" s="33">
        <f>O6*(Dashboard!$B$65+(Dashboard!$B$66-Dashboard!$B$65)*8/9)</f>
        <v/>
      </c>
      <c r="P25" s="33">
        <f>P6*(Dashboard!$B$65+(Dashboard!$B$66-Dashboard!$B$65)*9/9)</f>
        <v/>
      </c>
    </row>
    <row r="26">
      <c r="A26" s="4" t="inlineStr">
        <is>
          <t>- dNWC</t>
        </is>
      </c>
      <c r="G26" s="41">
        <f>(G6-F6)*0.0050</f>
        <v/>
      </c>
      <c r="H26" s="41">
        <f>(H6-G6)*0.0050</f>
        <v/>
      </c>
      <c r="I26" s="41">
        <f>(I6-H6)*0.0050</f>
        <v/>
      </c>
      <c r="J26" s="41">
        <f>(J6-I6)*0.0050</f>
        <v/>
      </c>
      <c r="K26" s="41">
        <f>(K6-J6)*0.0050</f>
        <v/>
      </c>
      <c r="L26" s="41">
        <f>(L6-K6)*0.0050</f>
        <v/>
      </c>
      <c r="M26" s="41">
        <f>(M6-L6)*0.0050</f>
        <v/>
      </c>
      <c r="N26" s="41">
        <f>(N6-M6)*0.0050</f>
        <v/>
      </c>
      <c r="O26" s="41">
        <f>(O6-N6)*0.0050</f>
        <v/>
      </c>
      <c r="P26" s="41">
        <f>(P6-O6)*0.0050</f>
        <v/>
      </c>
    </row>
    <row r="27">
      <c r="A27" s="4" t="inlineStr">
        <is>
          <t>- Capex</t>
        </is>
      </c>
      <c r="B27" s="33">
        <f>-SUM(Financials!H31:K31)</f>
        <v/>
      </c>
      <c r="C27" s="33">
        <f>-SUM(Financials!L31:O31)</f>
        <v/>
      </c>
      <c r="D27" s="33">
        <f>-SUM(Financials!P31:S31)</f>
        <v/>
      </c>
      <c r="E27" s="33">
        <f>-SUM(Financials!T31:W31)</f>
        <v/>
      </c>
      <c r="F27" s="33">
        <f>-SUM(Financials!X31:AA31)</f>
        <v/>
      </c>
      <c r="G27" s="41">
        <f>G24*G28</f>
        <v/>
      </c>
      <c r="H27" s="41">
        <f>H24*H28</f>
        <v/>
      </c>
      <c r="I27" s="41">
        <f>I24*I28</f>
        <v/>
      </c>
      <c r="J27" s="41">
        <f>J24*J28</f>
        <v/>
      </c>
      <c r="K27" s="41">
        <f>K24*K28</f>
        <v/>
      </c>
      <c r="L27" s="41">
        <f>L24*L28</f>
        <v/>
      </c>
      <c r="M27" s="41">
        <f>M24*M28</f>
        <v/>
      </c>
      <c r="N27" s="41">
        <f>N24*N28</f>
        <v/>
      </c>
      <c r="O27" s="41">
        <f>O24*O28</f>
        <v/>
      </c>
      <c r="P27" s="41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2">
        <f>B23+B24+B25-B26-B27</f>
        <v/>
      </c>
      <c r="C30" s="42">
        <f>C23+C24+C25-C26-C27</f>
        <v/>
      </c>
      <c r="D30" s="42">
        <f>D23+D24+D25-D26-D27</f>
        <v/>
      </c>
      <c r="E30" s="42">
        <f>E23+E24+E25-E26-E27</f>
        <v/>
      </c>
      <c r="F30" s="42">
        <f>F23+F24+F25-F26-F27</f>
        <v/>
      </c>
      <c r="G30" s="42">
        <f>G23+G24+G25-G26-G27</f>
        <v/>
      </c>
      <c r="H30" s="42">
        <f>H23+H24+H25-H26-H27</f>
        <v/>
      </c>
      <c r="I30" s="42">
        <f>I23+I24+I25-I26-I27</f>
        <v/>
      </c>
      <c r="J30" s="42">
        <f>J23+J24+J25-J26-J27</f>
        <v/>
      </c>
      <c r="K30" s="42">
        <f>K23+K24+K25-K26-K27</f>
        <v/>
      </c>
      <c r="L30" s="42">
        <f>L23+L24+L25-L26-L27</f>
        <v/>
      </c>
      <c r="M30" s="42">
        <f>M23+M24+M25-M26-M27</f>
        <v/>
      </c>
      <c r="N30" s="42">
        <f>N23+N24+N25-N26-N27</f>
        <v/>
      </c>
      <c r="O30" s="42">
        <f>O23+O24+O25-O26-O27</f>
        <v/>
      </c>
      <c r="P30" s="42">
        <f>P23+P24+P25-P26-P27</f>
        <v/>
      </c>
    </row>
    <row r="31">
      <c r="A31" s="3" t="inlineStr">
        <is>
          <t>Valuation FCF (NOPAT + D&amp;A - dNWC - Capex - after-tax SBC)</t>
        </is>
      </c>
      <c r="B31" s="43">
        <f>B30-B25-B25*(1-Valuation!$B$5)</f>
        <v/>
      </c>
      <c r="C31" s="43">
        <f>C30-C25-C25*(1-Valuation!$B$5)</f>
        <v/>
      </c>
      <c r="D31" s="43">
        <f>D30-D25-D25*(1-Valuation!$B$5)</f>
        <v/>
      </c>
      <c r="E31" s="43">
        <f>E30-E25-E25*(1-Valuation!$B$5)</f>
        <v/>
      </c>
      <c r="F31" s="43">
        <f>F30-F25-F25*(1-Valuation!$B$5)</f>
        <v/>
      </c>
      <c r="G31" s="43">
        <f>G30-G25-G25*(1-Valuation!$B$5)</f>
        <v/>
      </c>
      <c r="H31" s="43">
        <f>H30-H25-H25*(1-Valuation!$B$5)</f>
        <v/>
      </c>
      <c r="I31" s="43">
        <f>I30-I25-I25*(1-Valuation!$B$5)</f>
        <v/>
      </c>
      <c r="J31" s="43">
        <f>J30-J25-J25*(1-Valuation!$B$5)</f>
        <v/>
      </c>
      <c r="K31" s="43">
        <f>K30-K25-K25*(1-Valuation!$B$5)</f>
        <v/>
      </c>
      <c r="L31" s="43">
        <f>L30-L25-L25*(1-Valuation!$B$5)</f>
        <v/>
      </c>
      <c r="M31" s="43">
        <f>M30-M25-M25*(1-Valuation!$B$5)</f>
        <v/>
      </c>
      <c r="N31" s="43">
        <f>N30-N25-N25*(1-Valuation!$B$5)</f>
        <v/>
      </c>
      <c r="O31" s="43">
        <f>O30-O25-O25*(1-Valuation!$B$5)</f>
        <v/>
      </c>
      <c r="P31" s="43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3">
        <f>Financials!K25+Financials!K24-Financials!K19</f>
        <v/>
      </c>
      <c r="C34" s="33">
        <f>Financials!O25+Financials!O24-Financials!O19</f>
        <v/>
      </c>
      <c r="D34" s="33">
        <f>Financials!S25+Financials!S24-Financials!S19</f>
        <v/>
      </c>
      <c r="E34" s="33">
        <f>Financials!W25+Financials!W24-Financials!W19</f>
        <v/>
      </c>
      <c r="F34" s="33">
        <f>Financials!AA25+Financials!AA24-Financials!AA19</f>
        <v/>
      </c>
      <c r="G34" s="41">
        <f>F34+G27-G24+G26</f>
        <v/>
      </c>
      <c r="H34" s="41">
        <f>G34+H27-H24+H26</f>
        <v/>
      </c>
      <c r="I34" s="41">
        <f>H34+I27-I24+I26</f>
        <v/>
      </c>
      <c r="J34" s="41">
        <f>I34+J27-J24+J26</f>
        <v/>
      </c>
      <c r="K34" s="41">
        <f>J34+K27-K24+K26</f>
        <v/>
      </c>
      <c r="L34" s="41">
        <f>K34+L27-L24+L26</f>
        <v/>
      </c>
      <c r="M34" s="41">
        <f>L34+M27-M24+M26</f>
        <v/>
      </c>
      <c r="N34" s="41">
        <f>M34+N27-N24+N26</f>
        <v/>
      </c>
      <c r="O34" s="41">
        <f>N34+O27-O24+O26</f>
        <v/>
      </c>
      <c r="P34" s="41">
        <f>O34+P27-P24+P26</f>
        <v/>
      </c>
    </row>
    <row r="35">
      <c r="A35" s="4" t="inlineStr">
        <is>
          <t>Book equity (year-end)</t>
        </is>
      </c>
      <c r="B35" s="33">
        <f>Financials!K25</f>
        <v/>
      </c>
      <c r="C35" s="33">
        <f>Financials!O25</f>
        <v/>
      </c>
      <c r="D35" s="33">
        <f>Financials!S25</f>
        <v/>
      </c>
      <c r="E35" s="33">
        <f>Financials!W25</f>
        <v/>
      </c>
      <c r="F35" s="33">
        <f>Financials!AA25</f>
        <v/>
      </c>
      <c r="G35" s="41">
        <f>F35+G23</f>
        <v/>
      </c>
      <c r="H35" s="41">
        <f>G35+H23</f>
        <v/>
      </c>
      <c r="I35" s="41">
        <f>H35+I23</f>
        <v/>
      </c>
      <c r="J35" s="41">
        <f>I35+J23</f>
        <v/>
      </c>
      <c r="K35" s="41">
        <f>J35+K23</f>
        <v/>
      </c>
      <c r="L35" s="41">
        <f>K35+L23</f>
        <v/>
      </c>
      <c r="M35" s="41">
        <f>L35+M23</f>
        <v/>
      </c>
      <c r="N35" s="41">
        <f>M35+N23</f>
        <v/>
      </c>
      <c r="O35" s="41">
        <f>N35+O23</f>
        <v/>
      </c>
      <c r="P35" s="41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IFERROR(SUM(Financials!L15:O15)/B35,"")</f>
        <v/>
      </c>
      <c r="D37" s="11">
        <f>IFERROR(SUM(Financials!P15:S15)/C35,"")</f>
        <v/>
      </c>
      <c r="E37" s="11">
        <f>IFERROR(SUM(Financials!T15:W15)/D35,"")</f>
        <v/>
      </c>
      <c r="F37" s="11">
        <f>IFERROR(SUM(Financials!X15:AA15)/E35,"")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4">
        <f>IFERROR((C6-B6)/(C34-B34),"")</f>
        <v/>
      </c>
      <c r="D41" s="44">
        <f>IFERROR((D6-C6)/(D34-C34),"")</f>
        <v/>
      </c>
      <c r="E41" s="44">
        <f>IFERROR((E6-D6)/(E34-D34),"")</f>
        <v/>
      </c>
      <c r="F41" s="44">
        <f>IFERROR((F6-E6)/(F34-E34),"")</f>
        <v/>
      </c>
      <c r="G41" s="44">
        <f>IFERROR((G6-F6)/(G34-F34),"")</f>
        <v/>
      </c>
      <c r="H41" s="44">
        <f>IFERROR((H6-G6)/(H34-G34),"")</f>
        <v/>
      </c>
      <c r="I41" s="44">
        <f>IFERROR((I6-H6)/(I34-H34),"")</f>
        <v/>
      </c>
      <c r="J41" s="44">
        <f>IFERROR((J6-I6)/(J34-I34),"")</f>
        <v/>
      </c>
      <c r="K41" s="44">
        <f>IFERROR((K6-J6)/(K34-J34),"")</f>
        <v/>
      </c>
      <c r="L41" s="44">
        <f>IFERROR((L6-K6)/(L34-K34),"")</f>
        <v/>
      </c>
      <c r="M41" s="44">
        <f>IFERROR((M6-L6)/(M34-L34),"")</f>
        <v/>
      </c>
      <c r="N41" s="44">
        <f>IFERROR((N6-M6)/(N34-M34),"")</f>
        <v/>
      </c>
      <c r="O41" s="44">
        <f>IFERROR((O6-N6)/(O34-N34),"")</f>
        <v/>
      </c>
      <c r="P41" s="44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Q3 2019</t>
        </is>
      </c>
      <c r="C1" s="45" t="inlineStr">
        <is>
          <t>Q4 2019</t>
        </is>
      </c>
      <c r="D1" s="45" t="inlineStr">
        <is>
          <t>Q1 2020</t>
        </is>
      </c>
      <c r="E1" s="45" t="inlineStr">
        <is>
          <t>Q2 2020</t>
        </is>
      </c>
      <c r="F1" s="45" t="inlineStr">
        <is>
          <t>Q3 2020</t>
        </is>
      </c>
      <c r="G1" s="45" t="inlineStr">
        <is>
          <t>Q4 2020</t>
        </is>
      </c>
      <c r="H1" s="45" t="inlineStr">
        <is>
          <t>Q1 2021</t>
        </is>
      </c>
      <c r="I1" s="45" t="inlineStr">
        <is>
          <t>Q2 2021</t>
        </is>
      </c>
      <c r="J1" s="45" t="inlineStr">
        <is>
          <t>Q3 2021</t>
        </is>
      </c>
      <c r="K1" s="45" t="inlineStr">
        <is>
          <t>Q4 2021</t>
        </is>
      </c>
      <c r="L1" s="45" t="inlineStr">
        <is>
          <t>Q1 2022</t>
        </is>
      </c>
      <c r="M1" s="45" t="inlineStr">
        <is>
          <t>Q2 2022</t>
        </is>
      </c>
      <c r="N1" s="45" t="inlineStr">
        <is>
          <t>Q3 2022</t>
        </is>
      </c>
      <c r="O1" s="45" t="inlineStr">
        <is>
          <t>Q4 2022</t>
        </is>
      </c>
      <c r="P1" s="45" t="inlineStr">
        <is>
          <t>Q1 2023</t>
        </is>
      </c>
      <c r="Q1" s="45" t="inlineStr">
        <is>
          <t>Q2 2023</t>
        </is>
      </c>
      <c r="R1" s="45" t="inlineStr">
        <is>
          <t>Q3 2023</t>
        </is>
      </c>
      <c r="S1" s="45" t="inlineStr">
        <is>
          <t>Q4 2023</t>
        </is>
      </c>
      <c r="T1" s="45" t="inlineStr">
        <is>
          <t>Q1 2024</t>
        </is>
      </c>
      <c r="U1" s="45" t="inlineStr">
        <is>
          <t>Q2 2024</t>
        </is>
      </c>
      <c r="V1" s="45" t="inlineStr">
        <is>
          <t>Q3 2024</t>
        </is>
      </c>
      <c r="W1" s="45" t="inlineStr">
        <is>
          <t>Q4 2024</t>
        </is>
      </c>
      <c r="X1" s="45" t="inlineStr">
        <is>
          <t>Q1 2025</t>
        </is>
      </c>
      <c r="Y1" s="45" t="inlineStr">
        <is>
          <t>Q2 2025</t>
        </is>
      </c>
      <c r="Z1" s="45" t="inlineStr">
        <is>
          <t>Q3 2025</t>
        </is>
      </c>
      <c r="AA1" s="45" t="inlineStr">
        <is>
          <t>Q4 2025</t>
        </is>
      </c>
      <c r="AB1" s="45" t="inlineStr">
        <is>
          <t>Q1 2026</t>
        </is>
      </c>
      <c r="AC1" s="45" t="inlineStr">
        <is>
          <t>Q2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79.128</v>
      </c>
      <c r="C3" s="18" t="n">
        <v>86.108</v>
      </c>
      <c r="D3" s="18" t="n">
        <v>93.59</v>
      </c>
      <c r="E3" s="18" t="n">
        <v>101.268</v>
      </c>
      <c r="F3" s="18" t="n">
        <v>110.524</v>
      </c>
      <c r="G3" s="18" t="n">
        <v>125.887</v>
      </c>
      <c r="H3" s="18" t="n">
        <v>142.578</v>
      </c>
      <c r="I3" s="18" t="n">
        <v>157.044</v>
      </c>
      <c r="J3" s="18" t="n">
        <v>176.404</v>
      </c>
      <c r="K3" s="18" t="n">
        <v>197.074</v>
      </c>
      <c r="L3" s="18" t="n">
        <v>230.517</v>
      </c>
      <c r="M3" s="18" t="n">
        <v>255.563</v>
      </c>
      <c r="N3" s="18" t="n">
        <v>286.807</v>
      </c>
      <c r="O3" s="18" t="n">
        <v>318.059</v>
      </c>
      <c r="P3" s="18" t="n">
        <v>355.548</v>
      </c>
      <c r="Q3" s="18" t="n">
        <v>387.598</v>
      </c>
      <c r="R3" s="18" t="n">
        <v>418.8</v>
      </c>
      <c r="S3" s="18" t="n">
        <v>455.006</v>
      </c>
      <c r="T3" s="18" t="n">
        <v>496.703</v>
      </c>
      <c r="U3" s="18" t="n">
        <v>524.999</v>
      </c>
      <c r="V3" s="18" t="n">
        <v>553.201</v>
      </c>
      <c r="W3" s="18" t="n">
        <v>592.8680000000001</v>
      </c>
      <c r="X3" s="18" t="n">
        <v>627.955</v>
      </c>
      <c r="Y3" s="18" t="n">
        <v>647.9</v>
      </c>
      <c r="Z3" s="18" t="n">
        <v>678.034</v>
      </c>
      <c r="AA3" s="18" t="n">
        <v>719.226</v>
      </c>
      <c r="AB3" s="18" t="n">
        <v>788.112</v>
      </c>
      <c r="AC3" s="18" t="n">
        <v>815.751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14.963</v>
      </c>
      <c r="C5" s="18" t="n">
        <v>17.637</v>
      </c>
      <c r="D5" s="18" t="n">
        <v>20.132</v>
      </c>
      <c r="E5" s="18" t="n">
        <v>20.675</v>
      </c>
      <c r="F5" s="18" t="n">
        <v>24.872</v>
      </c>
      <c r="G5" s="18" t="n">
        <v>31.408</v>
      </c>
      <c r="H5" s="18" t="n">
        <v>31.8</v>
      </c>
      <c r="I5" s="18" t="n">
        <v>34.208</v>
      </c>
      <c r="J5" s="18" t="n">
        <v>39.05</v>
      </c>
      <c r="K5" s="18" t="n">
        <v>45.586</v>
      </c>
      <c r="L5" s="18" t="n">
        <v>52.339</v>
      </c>
      <c r="M5" s="18" t="n">
        <v>58.014</v>
      </c>
      <c r="N5" s="18" t="n">
        <v>64.28</v>
      </c>
      <c r="O5" s="18" t="n">
        <v>68.684</v>
      </c>
      <c r="P5" s="18" t="n">
        <v>76.602</v>
      </c>
      <c r="Q5" s="18" t="n">
        <v>87.274</v>
      </c>
      <c r="R5" s="18" t="n">
        <v>95.88200000000001</v>
      </c>
      <c r="S5" s="18" t="n">
        <v>102.724</v>
      </c>
      <c r="T5" s="18" t="n">
        <v>111.889</v>
      </c>
      <c r="U5" s="18" t="n">
        <v>117.886</v>
      </c>
      <c r="V5" s="18" t="n">
        <v>119.102</v>
      </c>
      <c r="W5" s="18" t="n">
        <v>130.782</v>
      </c>
      <c r="X5" s="18" t="n">
        <v>142.304</v>
      </c>
      <c r="Y5" s="18" t="n">
        <v>148.415</v>
      </c>
      <c r="Z5" s="18" t="n">
        <v>155.856</v>
      </c>
      <c r="AA5" s="18" t="n">
        <v>172.24</v>
      </c>
      <c r="AB5" s="18" t="n">
        <v>184.753</v>
      </c>
      <c r="AC5" s="18" t="n">
        <v>191.26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16.498999</v>
      </c>
      <c r="C7" s="18" t="n">
        <v>16.922</v>
      </c>
      <c r="D7" s="18" t="n">
        <v>19.705</v>
      </c>
      <c r="E7" s="18" t="n">
        <v>20.277</v>
      </c>
      <c r="F7" s="18" t="n">
        <v>23.832</v>
      </c>
      <c r="G7" s="18" t="n">
        <v>32.784999</v>
      </c>
      <c r="H7" s="18" t="n">
        <v>35.77</v>
      </c>
      <c r="I7" s="18" t="n">
        <v>41.751</v>
      </c>
      <c r="J7" s="18" t="n">
        <v>40.952</v>
      </c>
      <c r="K7" s="18" t="n">
        <v>56.18</v>
      </c>
      <c r="L7" s="18" t="n">
        <v>65.215999</v>
      </c>
      <c r="M7" s="18" t="n">
        <v>69.142</v>
      </c>
      <c r="N7" s="18" t="n">
        <v>76.498</v>
      </c>
      <c r="O7" s="18" t="n">
        <v>77.952</v>
      </c>
      <c r="P7" s="18" t="n">
        <v>74.047</v>
      </c>
      <c r="Q7" s="18" t="n">
        <v>84.98399999999999</v>
      </c>
      <c r="R7" s="18" t="n">
        <v>92.285</v>
      </c>
      <c r="S7" s="18" t="n">
        <v>96.2</v>
      </c>
      <c r="T7" s="18" t="n">
        <v>113.538</v>
      </c>
      <c r="U7" s="18" t="n">
        <v>122.164</v>
      </c>
      <c r="V7" s="18" t="n">
        <v>125.015</v>
      </c>
      <c r="W7" s="18" t="n">
        <v>139.031</v>
      </c>
      <c r="X7" s="18" t="n">
        <v>154.275</v>
      </c>
      <c r="Y7" s="18" t="n">
        <v>170.508</v>
      </c>
      <c r="Z7" s="18" t="n">
        <v>169.293</v>
      </c>
      <c r="AA7" s="18" t="n">
        <v>177.606</v>
      </c>
      <c r="AB7" s="18" t="n">
        <v>200.498</v>
      </c>
      <c r="AC7" s="18" t="n">
        <v>229.137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55.039</v>
      </c>
      <c r="C9" s="18" t="n">
        <v>56.507</v>
      </c>
      <c r="D9" s="18" t="n">
        <v>70.021</v>
      </c>
      <c r="E9" s="18" t="n">
        <v>73.946</v>
      </c>
      <c r="F9" s="18" t="n">
        <v>81.892</v>
      </c>
      <c r="G9" s="18" t="n">
        <v>106.578</v>
      </c>
      <c r="H9" s="18" t="n">
        <v>117.259</v>
      </c>
      <c r="I9" s="18" t="n">
        <v>134.983</v>
      </c>
      <c r="J9" s="18" t="n">
        <v>140.252</v>
      </c>
      <c r="K9" s="18" t="n">
        <v>162.705</v>
      </c>
      <c r="L9" s="18" t="n">
        <v>187.333</v>
      </c>
      <c r="M9" s="18" t="n">
        <v>212.339</v>
      </c>
      <c r="N9" s="18" t="n">
        <v>232.626</v>
      </c>
      <c r="O9" s="18" t="n">
        <v>253.952</v>
      </c>
      <c r="P9" s="18" t="n">
        <v>269.273</v>
      </c>
      <c r="Q9" s="18" t="n">
        <v>276.311</v>
      </c>
      <c r="R9" s="18" t="n">
        <v>278.777</v>
      </c>
      <c r="S9" s="18" t="n">
        <v>298.037</v>
      </c>
      <c r="T9" s="18" t="n">
        <v>317.987</v>
      </c>
      <c r="U9" s="18" t="n">
        <v>332.017</v>
      </c>
      <c r="V9" s="18" t="n">
        <v>313.507</v>
      </c>
      <c r="W9" s="18" t="n">
        <v>348.73</v>
      </c>
      <c r="X9" s="18" t="n">
        <v>363.251</v>
      </c>
      <c r="Y9" s="18" t="n">
        <v>365.963</v>
      </c>
      <c r="Z9" s="18" t="n">
        <v>375.314</v>
      </c>
      <c r="AA9" s="18" t="n">
        <v>401.622</v>
      </c>
      <c r="AB9" s="18" t="n">
        <v>439.223</v>
      </c>
      <c r="AC9" s="18" t="n">
        <v>447.127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64.16500000000001</v>
      </c>
      <c r="C11" s="18" t="n">
        <v>68.471</v>
      </c>
      <c r="D11" s="18" t="n">
        <v>73.458</v>
      </c>
      <c r="E11" s="18" t="n">
        <v>80.593</v>
      </c>
      <c r="F11" s="18" t="n">
        <v>85.652</v>
      </c>
      <c r="G11" s="18" t="n">
        <v>94.479</v>
      </c>
      <c r="H11" s="18" t="n">
        <v>110.778</v>
      </c>
      <c r="I11" s="18" t="n">
        <v>122.836</v>
      </c>
      <c r="J11" s="18" t="n">
        <v>137.354</v>
      </c>
      <c r="K11" s="18" t="n">
        <v>151.488</v>
      </c>
      <c r="L11" s="18" t="n">
        <v>178.178</v>
      </c>
      <c r="M11" s="18" t="n">
        <v>197.549</v>
      </c>
      <c r="N11" s="18" t="n">
        <v>222.527</v>
      </c>
      <c r="O11" s="18" t="n">
        <v>249.375</v>
      </c>
      <c r="P11" s="18" t="n">
        <v>278.946</v>
      </c>
      <c r="Q11" s="18" t="n">
        <v>300.324</v>
      </c>
      <c r="R11" s="18" t="n">
        <v>322.918</v>
      </c>
      <c r="S11" s="18" t="n">
        <v>352.282</v>
      </c>
      <c r="T11" s="18" t="n">
        <v>384.814</v>
      </c>
      <c r="U11" s="18" t="n">
        <v>407.113</v>
      </c>
      <c r="V11" s="18" t="n">
        <v>434.099</v>
      </c>
      <c r="W11" s="18" t="n">
        <v>462.086</v>
      </c>
      <c r="X11" s="18" t="n">
        <v>485.651</v>
      </c>
      <c r="Y11" s="18" t="n">
        <v>499.485</v>
      </c>
      <c r="Z11" s="18" t="n">
        <v>522.178</v>
      </c>
      <c r="AA11" s="18" t="n">
        <v>547.623</v>
      </c>
      <c r="AB11" s="18" t="n">
        <v>603.359</v>
      </c>
      <c r="AC11" s="18" t="n">
        <v>624.491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-7.373</v>
      </c>
      <c r="C13" s="18" t="n">
        <v>-4.958</v>
      </c>
      <c r="D13" s="18" t="n">
        <v>-16.268</v>
      </c>
      <c r="E13" s="18" t="n">
        <v>-13.63</v>
      </c>
      <c r="F13" s="18" t="n">
        <v>-20.072</v>
      </c>
      <c r="G13" s="18" t="n">
        <v>-44.884</v>
      </c>
      <c r="H13" s="18" t="n">
        <v>-42.251</v>
      </c>
      <c r="I13" s="18" t="n">
        <v>-53.898</v>
      </c>
      <c r="J13" s="18" t="n">
        <v>-43.85</v>
      </c>
      <c r="K13" s="18" t="n">
        <v>-67.39700000000001</v>
      </c>
      <c r="L13" s="18" t="n">
        <v>-74.371</v>
      </c>
      <c r="M13" s="18" t="n">
        <v>-83.932</v>
      </c>
      <c r="N13" s="18" t="n">
        <v>-86.59699999999999</v>
      </c>
      <c r="O13" s="18" t="n">
        <v>-82.529</v>
      </c>
      <c r="P13" s="18" t="n">
        <v>-64.373999</v>
      </c>
      <c r="Q13" s="18" t="n">
        <v>-60.971</v>
      </c>
      <c r="R13" s="18" t="n">
        <v>-48.144</v>
      </c>
      <c r="S13" s="18" t="n">
        <v>-41.955</v>
      </c>
      <c r="T13" s="18" t="n">
        <v>-46.711</v>
      </c>
      <c r="U13" s="18" t="n">
        <v>-47.068</v>
      </c>
      <c r="V13" s="18" t="n">
        <v>-4.423</v>
      </c>
      <c r="W13" s="18" t="n">
        <v>-25.675</v>
      </c>
      <c r="X13" s="18" t="n">
        <v>-31.875</v>
      </c>
      <c r="Y13" s="18" t="n">
        <v>-36.986</v>
      </c>
      <c r="Z13" s="18" t="n">
        <v>-22.429</v>
      </c>
      <c r="AA13" s="18" t="n">
        <v>-32.242</v>
      </c>
      <c r="AB13" s="18" t="n">
        <v>-36.362</v>
      </c>
      <c r="AC13" s="18" t="n">
        <v>-51.773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-12.236</v>
      </c>
      <c r="C15" s="18" t="n">
        <v>-5.276</v>
      </c>
      <c r="D15" s="18" t="n">
        <v>-17.076</v>
      </c>
      <c r="E15" s="18" t="n">
        <v>-29.154</v>
      </c>
      <c r="F15" s="18" t="n">
        <v>-19.337</v>
      </c>
      <c r="G15" s="18" t="n">
        <v>-49.549</v>
      </c>
      <c r="H15" s="18" t="n">
        <v>-55.006</v>
      </c>
      <c r="I15" s="18" t="n">
        <v>-67.541</v>
      </c>
      <c r="J15" s="18" t="n">
        <v>-58.459</v>
      </c>
      <c r="K15" s="18" t="n">
        <v>-81.023</v>
      </c>
      <c r="L15" s="18" t="n">
        <v>-90.801</v>
      </c>
      <c r="M15" s="18" t="n">
        <v>-100.42</v>
      </c>
      <c r="N15" s="18" t="n">
        <v>-101.405</v>
      </c>
      <c r="O15" s="18" t="n">
        <v>-97.652</v>
      </c>
      <c r="P15" s="18" t="n">
        <v>-68.16200000000001</v>
      </c>
      <c r="Q15" s="18" t="n">
        <v>-57.453</v>
      </c>
      <c r="R15" s="18" t="n">
        <v>-46.046</v>
      </c>
      <c r="S15" s="18" t="n">
        <v>-30.674</v>
      </c>
      <c r="T15" s="18" t="n">
        <v>-33.483</v>
      </c>
      <c r="U15" s="18" t="n">
        <v>-28.469</v>
      </c>
      <c r="V15" s="18" t="n">
        <v>19.124</v>
      </c>
      <c r="W15" s="18" t="n">
        <v>-14.878</v>
      </c>
      <c r="X15" s="18" t="n">
        <v>-12.051</v>
      </c>
      <c r="Y15" s="18" t="n">
        <v>-7.724</v>
      </c>
      <c r="Z15" s="18" t="n">
        <v>-4.125</v>
      </c>
      <c r="AA15" s="18" t="n">
        <v>-17.578</v>
      </c>
      <c r="AB15" s="18" t="n">
        <v>-11.615</v>
      </c>
      <c r="AC15" s="18" t="n">
        <v>-34.312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124.672</v>
      </c>
      <c r="C17" s="18" t="n">
        <v>126.302</v>
      </c>
      <c r="D17" s="18" t="n">
        <v>127.548</v>
      </c>
      <c r="E17" s="18" t="n">
        <v>128.408</v>
      </c>
      <c r="F17" s="18" t="n">
        <v>129.682</v>
      </c>
      <c r="G17" s="18" t="n">
        <v>131.66</v>
      </c>
      <c r="H17" s="18" t="n">
        <v>133.452</v>
      </c>
      <c r="I17" s="18" t="n">
        <v>135.024</v>
      </c>
      <c r="J17" s="18" t="n">
        <v>136.385</v>
      </c>
      <c r="K17" s="18" t="n">
        <v>137.778</v>
      </c>
      <c r="L17" s="18" t="n">
        <v>139.296</v>
      </c>
      <c r="M17" s="18" t="n">
        <v>140.515</v>
      </c>
      <c r="N17" s="18" t="n">
        <v>141.422</v>
      </c>
      <c r="O17" s="18" t="n">
        <v>142.355</v>
      </c>
      <c r="P17" s="18" t="n">
        <v>143.476</v>
      </c>
      <c r="Q17" s="18" t="n">
        <v>144.511</v>
      </c>
      <c r="R17" s="18" t="n">
        <v>145.354</v>
      </c>
      <c r="S17" s="18" t="n">
        <v>146.424</v>
      </c>
      <c r="T17" s="18" t="n">
        <v>147.625</v>
      </c>
      <c r="U17" s="18" t="n">
        <v>148.951</v>
      </c>
      <c r="V17" s="18" t="n">
        <v>154.081</v>
      </c>
      <c r="W17" s="18" t="n">
        <v>151.497</v>
      </c>
      <c r="X17" s="18" t="n">
        <v>152.557</v>
      </c>
      <c r="Y17" s="18" t="n">
        <v>153.672</v>
      </c>
      <c r="Z17" s="18" t="n">
        <v>154.909</v>
      </c>
      <c r="AA17" s="18" t="n">
        <v>156.496</v>
      </c>
      <c r="AB17" s="18" t="n">
        <v>158.596</v>
      </c>
      <c r="AC17" s="18" t="n">
        <v>159.683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352.736</v>
      </c>
      <c r="C19" s="18" t="n">
        <v>364.646</v>
      </c>
      <c r="D19" s="18" t="n">
        <v>377.631</v>
      </c>
      <c r="E19" s="18" t="n">
        <v>384.914</v>
      </c>
      <c r="F19" s="18" t="n">
        <v>391.314</v>
      </c>
      <c r="G19" s="18" t="n">
        <v>1370.573</v>
      </c>
      <c r="H19" s="18" t="n">
        <v>1415.954</v>
      </c>
      <c r="I19" s="18" t="n">
        <v>1444.749</v>
      </c>
      <c r="J19" s="18" t="n">
        <v>1467.609</v>
      </c>
      <c r="K19" s="18" t="n">
        <v>1502.552</v>
      </c>
      <c r="L19" s="18" t="n">
        <v>1584.642</v>
      </c>
      <c r="M19" s="18" t="n">
        <v>1621.209</v>
      </c>
      <c r="N19" s="18" t="n">
        <v>1657.874</v>
      </c>
      <c r="O19" s="18" t="n">
        <v>1731.339</v>
      </c>
      <c r="P19" s="18" t="n">
        <v>1824.79</v>
      </c>
      <c r="Q19" s="18" t="n">
        <v>1905.344</v>
      </c>
      <c r="R19" s="18" t="n">
        <v>1968.407</v>
      </c>
      <c r="S19" s="18" t="n">
        <v>2100.232</v>
      </c>
      <c r="T19" s="18" t="n">
        <v>2324.404</v>
      </c>
      <c r="U19" s="18" t="n">
        <v>2459.804</v>
      </c>
      <c r="V19" s="18" t="n">
        <v>2239.999</v>
      </c>
      <c r="W19" s="18" t="n">
        <v>2409.654</v>
      </c>
      <c r="X19" s="18" t="n">
        <v>2707.897</v>
      </c>
      <c r="Y19" s="18" t="n">
        <v>2880.24</v>
      </c>
      <c r="Z19" s="18" t="n">
        <v>3005.591</v>
      </c>
      <c r="AA19" s="18" t="n">
        <v>3572.409</v>
      </c>
      <c r="AB19" s="18" t="n">
        <v>3321.272</v>
      </c>
      <c r="AC19" s="18" t="n">
        <v>3512.751</v>
      </c>
    </row>
    <row r="20">
      <c r="A20" s="4" t="inlineStr">
        <is>
          <t>Total Current Assets</t>
        </is>
      </c>
      <c r="B20" s="18" t="n">
        <v>456.043</v>
      </c>
      <c r="C20" s="18" t="n">
        <v>496.086</v>
      </c>
      <c r="D20" s="18" t="n">
        <v>488.886</v>
      </c>
      <c r="E20" s="18" t="n">
        <v>523.1420000000001</v>
      </c>
      <c r="F20" s="18" t="n">
        <v>552.116</v>
      </c>
      <c r="G20" s="18" t="n">
        <v>1581.793</v>
      </c>
      <c r="H20" s="18" t="n">
        <v>1579.525</v>
      </c>
      <c r="I20" s="18" t="n">
        <v>1678.649</v>
      </c>
      <c r="J20" s="18" t="n">
        <v>1705.501</v>
      </c>
      <c r="K20" s="18" t="n">
        <v>1848.303</v>
      </c>
      <c r="L20" s="18" t="n">
        <v>1855.436</v>
      </c>
      <c r="M20" s="18" t="n">
        <v>1989.165</v>
      </c>
      <c r="N20" s="18" t="n">
        <v>2047.045</v>
      </c>
      <c r="O20" s="18" t="n">
        <v>2256.647</v>
      </c>
      <c r="P20" s="18" t="n">
        <v>2233.361</v>
      </c>
      <c r="Q20" s="18" t="n">
        <v>2416.109</v>
      </c>
      <c r="R20" s="18" t="n">
        <v>2527.25</v>
      </c>
      <c r="S20" s="18" t="n">
        <v>2890.314</v>
      </c>
      <c r="T20" s="18" t="n">
        <v>2891.59</v>
      </c>
      <c r="U20" s="18" t="n">
        <v>3142.708</v>
      </c>
      <c r="V20" s="18" t="n">
        <v>2970.014</v>
      </c>
      <c r="W20" s="18" t="n">
        <v>3396.617</v>
      </c>
      <c r="X20" s="18" t="n">
        <v>3393.78</v>
      </c>
      <c r="Y20" s="18" t="n">
        <v>3665.206</v>
      </c>
      <c r="Z20" s="18" t="n">
        <v>3915.401</v>
      </c>
      <c r="AA20" s="18" t="n">
        <v>4894.29</v>
      </c>
      <c r="AB20" s="18" t="n">
        <v>4205.961</v>
      </c>
      <c r="AC20" s="18" t="n">
        <v>4450.763</v>
      </c>
    </row>
    <row r="21">
      <c r="A21" s="4" t="inlineStr">
        <is>
          <t>PP&amp;E (net)</t>
        </is>
      </c>
      <c r="B21" s="18" t="n">
        <v>31.976</v>
      </c>
      <c r="C21" s="18" t="n">
        <v>41.046</v>
      </c>
      <c r="D21" s="18" t="n">
        <v>80.946</v>
      </c>
      <c r="E21" s="18" t="n">
        <v>84.497</v>
      </c>
      <c r="F21" s="18" t="n">
        <v>98.425</v>
      </c>
      <c r="G21" s="18" t="n">
        <v>111.853</v>
      </c>
      <c r="H21" s="18" t="n">
        <v>129.562</v>
      </c>
      <c r="I21" s="18" t="n">
        <v>136.469</v>
      </c>
      <c r="J21" s="18" t="n">
        <v>156.539</v>
      </c>
      <c r="K21" s="18" t="n">
        <v>152.915</v>
      </c>
      <c r="L21" s="18" t="n">
        <v>157.152</v>
      </c>
      <c r="M21" s="18" t="n">
        <v>164.032</v>
      </c>
      <c r="N21" s="18" t="n">
        <v>186.877</v>
      </c>
      <c r="O21" s="18" t="n">
        <v>232.99</v>
      </c>
      <c r="P21" s="18" t="n">
        <v>259.624</v>
      </c>
      <c r="Q21" s="18" t="n">
        <v>270.316</v>
      </c>
      <c r="R21" s="18" t="n">
        <v>291.327</v>
      </c>
      <c r="S21" s="18" t="n">
        <v>313.026</v>
      </c>
      <c r="T21" s="18" t="n">
        <v>342.729</v>
      </c>
      <c r="U21" s="18" t="n">
        <v>382.299</v>
      </c>
      <c r="V21" s="18" t="n">
        <v>423.119</v>
      </c>
      <c r="W21" s="18" t="n">
        <v>472.879</v>
      </c>
      <c r="X21" s="18" t="n">
        <v>493.096</v>
      </c>
      <c r="Y21" s="18" t="n">
        <v>506.018</v>
      </c>
      <c r="Z21" s="18" t="n">
        <v>570.247</v>
      </c>
      <c r="AA21" s="18" t="n">
        <v>633.149</v>
      </c>
      <c r="AB21" s="18" t="n">
        <v>669.712</v>
      </c>
      <c r="AC21" s="18" t="n">
        <v>682.956</v>
      </c>
    </row>
    <row r="22">
      <c r="A22" s="4" t="inlineStr">
        <is>
          <t>Total Assets</t>
        </is>
      </c>
      <c r="B22" s="18" t="n">
        <v>537.5359999999999</v>
      </c>
      <c r="C22" s="18" t="n">
        <v>604.162</v>
      </c>
      <c r="D22" s="18" t="n">
        <v>636.228</v>
      </c>
      <c r="E22" s="18" t="n">
        <v>676.425</v>
      </c>
      <c r="F22" s="18" t="n">
        <v>735.9640000000001</v>
      </c>
      <c r="G22" s="18" t="n">
        <v>1833.458</v>
      </c>
      <c r="H22" s="18" t="n">
        <v>1852.947</v>
      </c>
      <c r="I22" s="18" t="n">
        <v>1969.417</v>
      </c>
      <c r="J22" s="18" t="n">
        <v>2062.276</v>
      </c>
      <c r="K22" s="18" t="n">
        <v>2257.631</v>
      </c>
      <c r="L22" s="18" t="n">
        <v>2271.118</v>
      </c>
      <c r="M22" s="18" t="n">
        <v>2422.021</v>
      </c>
      <c r="N22" s="18" t="n">
        <v>2524.544</v>
      </c>
      <c r="O22" s="18" t="n">
        <v>2832.665</v>
      </c>
      <c r="P22" s="18" t="n">
        <v>2835.732</v>
      </c>
      <c r="Q22" s="18" t="n">
        <v>3039.956</v>
      </c>
      <c r="R22" s="18" t="n">
        <v>3200.712</v>
      </c>
      <c r="S22" s="18" t="n">
        <v>3608.317</v>
      </c>
      <c r="T22" s="18" t="n">
        <v>3635.584</v>
      </c>
      <c r="U22" s="18" t="n">
        <v>3934.226</v>
      </c>
      <c r="V22" s="18" t="n">
        <v>4198.751</v>
      </c>
      <c r="W22" s="18" t="n">
        <v>4704.968</v>
      </c>
      <c r="X22" s="18" t="n">
        <v>4709.002</v>
      </c>
      <c r="Y22" s="18" t="n">
        <v>5005.968</v>
      </c>
      <c r="Z22" s="18" t="n">
        <v>5339.628</v>
      </c>
      <c r="AA22" s="18" t="n">
        <v>6419.888</v>
      </c>
      <c r="AB22" s="18" t="n">
        <v>6503.087</v>
      </c>
      <c r="AC22" s="18" t="n">
        <v>6753.828</v>
      </c>
    </row>
    <row r="23">
      <c r="A23" s="4" t="inlineStr">
        <is>
          <t>Total Current Liabilities</t>
        </is>
      </c>
      <c r="B23" s="18" t="n">
        <v>221.562</v>
      </c>
      <c r="C23" s="18" t="n">
        <v>261.949</v>
      </c>
      <c r="D23" s="18" t="n">
        <v>266.317</v>
      </c>
      <c r="E23" s="18" t="n">
        <v>303.663</v>
      </c>
      <c r="F23" s="18" t="n">
        <v>345.638</v>
      </c>
      <c r="G23" s="18" t="n">
        <v>423.901</v>
      </c>
      <c r="H23" s="18" t="n">
        <v>416.462</v>
      </c>
      <c r="I23" s="18" t="n">
        <v>501.575</v>
      </c>
      <c r="J23" s="18" t="n">
        <v>564.879</v>
      </c>
      <c r="K23" s="18" t="n">
        <v>720.205</v>
      </c>
      <c r="L23" s="18" t="n">
        <v>715.3</v>
      </c>
      <c r="M23" s="18" t="n">
        <v>836.042</v>
      </c>
      <c r="N23" s="18" t="n">
        <v>912.576</v>
      </c>
      <c r="O23" s="18" t="n">
        <v>1134.447</v>
      </c>
      <c r="P23" s="18" t="n">
        <v>1111.283</v>
      </c>
      <c r="Q23" s="18" t="n">
        <v>1204.004</v>
      </c>
      <c r="R23" s="18" t="n">
        <v>1289.142</v>
      </c>
      <c r="S23" s="18" t="n">
        <v>1535.868</v>
      </c>
      <c r="T23" s="18" t="n">
        <v>1474.418</v>
      </c>
      <c r="U23" s="18" t="n">
        <v>1583.905</v>
      </c>
      <c r="V23" s="18" t="n">
        <v>1701.321</v>
      </c>
      <c r="W23" s="18" t="n">
        <v>3112.887</v>
      </c>
      <c r="X23" s="18" t="n">
        <v>2963.61</v>
      </c>
      <c r="Y23" s="18" t="n">
        <v>3048.866</v>
      </c>
      <c r="Z23" s="18" t="n">
        <v>3168.399</v>
      </c>
      <c r="AA23" s="18" t="n">
        <v>2429.611</v>
      </c>
      <c r="AB23" s="18" t="n">
        <v>2305.734</v>
      </c>
      <c r="AC23" s="18" t="n">
        <v>2340.966</v>
      </c>
    </row>
    <row r="24">
      <c r="A24" s="4" t="inlineStr">
        <is>
          <t>Long-term Debt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861.615</v>
      </c>
      <c r="H24" s="18" t="n">
        <v>874.359</v>
      </c>
      <c r="I24" s="18" t="n">
        <v>887.186</v>
      </c>
      <c r="J24" s="18" t="n">
        <v>900.263</v>
      </c>
      <c r="K24" s="18" t="n">
        <v>913.538</v>
      </c>
      <c r="L24" s="18" t="n">
        <v>927.014</v>
      </c>
      <c r="M24" s="18" t="n">
        <v>940.692</v>
      </c>
      <c r="N24" s="18" t="n">
        <v>954.578</v>
      </c>
      <c r="O24" s="18" t="n">
        <v>968.674</v>
      </c>
      <c r="P24" s="18" t="n">
        <v>1139.542</v>
      </c>
      <c r="Q24" s="18" t="n">
        <v>1140.516</v>
      </c>
      <c r="R24" s="18" t="n">
        <v>1140.84</v>
      </c>
      <c r="S24" s="18" t="n">
        <v>1134.159</v>
      </c>
      <c r="T24" s="18" t="n">
        <v>1134.026</v>
      </c>
      <c r="U24" s="18" t="n">
        <v>1141.011</v>
      </c>
      <c r="V24" s="18" t="n">
        <v>1137.687</v>
      </c>
      <c r="W24" s="18" t="n">
        <v>0</v>
      </c>
      <c r="X24" s="18" t="n">
        <v>0</v>
      </c>
      <c r="Y24" s="18" t="n">
        <v>0</v>
      </c>
      <c r="Z24" s="18" t="n">
        <v>0</v>
      </c>
      <c r="AA24" s="18" t="n">
        <v>1700.727</v>
      </c>
      <c r="AB24" s="18" t="n">
        <v>1699.871</v>
      </c>
      <c r="AC24" s="18" t="n">
        <v>1796.801</v>
      </c>
    </row>
    <row r="25">
      <c r="A25" s="4" t="inlineStr">
        <is>
          <t>Total Equity</t>
        </is>
      </c>
      <c r="B25" s="18" t="n">
        <v>286.579</v>
      </c>
      <c r="C25" s="18" t="n">
        <v>308.558</v>
      </c>
      <c r="D25" s="18" t="n">
        <v>314.052</v>
      </c>
      <c r="E25" s="18" t="n">
        <v>319.164</v>
      </c>
      <c r="F25" s="18" t="n">
        <v>334.794</v>
      </c>
      <c r="G25" s="18" t="n">
        <v>484.829</v>
      </c>
      <c r="H25" s="18" t="n">
        <v>492.105</v>
      </c>
      <c r="I25" s="18" t="n">
        <v>502.704</v>
      </c>
      <c r="J25" s="18" t="n">
        <v>508.107</v>
      </c>
      <c r="K25" s="18" t="n">
        <v>528.895</v>
      </c>
      <c r="L25" s="18" t="n">
        <v>530.199</v>
      </c>
      <c r="M25" s="18" t="n">
        <v>539.367</v>
      </c>
      <c r="N25" s="18" t="n">
        <v>531.577</v>
      </c>
      <c r="O25" s="18" t="n">
        <v>573.3</v>
      </c>
      <c r="P25" s="18" t="n">
        <v>431.275</v>
      </c>
      <c r="Q25" s="18" t="n">
        <v>528.657</v>
      </c>
      <c r="R25" s="18" t="n">
        <v>601.274</v>
      </c>
      <c r="S25" s="18" t="n">
        <v>725.112</v>
      </c>
      <c r="T25" s="18" t="n">
        <v>807.525</v>
      </c>
      <c r="U25" s="18" t="n">
        <v>958.856</v>
      </c>
      <c r="V25" s="18" t="n">
        <v>1093.139</v>
      </c>
      <c r="W25" s="18" t="n">
        <v>1274.102</v>
      </c>
      <c r="X25" s="18" t="n">
        <v>1428.545</v>
      </c>
      <c r="Y25" s="18" t="n">
        <v>1607.346</v>
      </c>
      <c r="Z25" s="18" t="n">
        <v>1804.939</v>
      </c>
      <c r="AA25" s="18" t="n">
        <v>1799.273</v>
      </c>
      <c r="AB25" s="18" t="n">
        <v>1982.328</v>
      </c>
      <c r="AC25" s="18" t="n">
        <v>2195.948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2.835</v>
      </c>
      <c r="C27" s="18" t="n">
        <v>3.57</v>
      </c>
      <c r="D27" s="18" t="n">
        <v>4.361</v>
      </c>
      <c r="E27" s="18" t="n">
        <v>4.568</v>
      </c>
      <c r="F27" s="18" t="n">
        <v>5.411</v>
      </c>
      <c r="G27" s="18" t="n">
        <v>6.778</v>
      </c>
      <c r="H27" s="18" t="n">
        <v>7.669</v>
      </c>
      <c r="I27" s="18" t="n">
        <v>8.811</v>
      </c>
      <c r="J27" s="18" t="n">
        <v>9.65</v>
      </c>
      <c r="K27" s="18" t="n">
        <v>10.328</v>
      </c>
      <c r="L27" s="18" t="n">
        <v>11.243</v>
      </c>
      <c r="M27" s="18" t="n">
        <v>12.219</v>
      </c>
      <c r="N27" s="18" t="n">
        <v>12.67</v>
      </c>
      <c r="O27" s="18" t="n">
        <v>13.334</v>
      </c>
      <c r="P27" s="18" t="n">
        <v>14.428</v>
      </c>
      <c r="Q27" s="18" t="n">
        <v>15.916</v>
      </c>
      <c r="R27" s="18" t="n">
        <v>17.503</v>
      </c>
      <c r="S27" s="18" t="n">
        <v>18.969</v>
      </c>
      <c r="T27" s="18" t="n">
        <v>16.998</v>
      </c>
      <c r="U27" s="18" t="n">
        <v>18.482</v>
      </c>
      <c r="V27" s="18" t="n">
        <v>21.053</v>
      </c>
      <c r="W27" s="18" t="n">
        <v>24.399</v>
      </c>
      <c r="X27" s="18" t="n">
        <v>25.663</v>
      </c>
      <c r="Y27" s="18" t="n">
        <v>28.733</v>
      </c>
      <c r="Z27" s="18" t="n">
        <v>32.445</v>
      </c>
      <c r="AA27" s="18" t="n">
        <v>34.34</v>
      </c>
      <c r="AB27" s="18" t="n">
        <v>41.284</v>
      </c>
      <c r="AC27" s="18" t="n">
        <v>46.058</v>
      </c>
    </row>
    <row r="28">
      <c r="A28" s="4" t="inlineStr">
        <is>
          <t>Stock-based Compensation</t>
        </is>
      </c>
      <c r="B28" s="18" t="n">
        <v>13.275</v>
      </c>
      <c r="C28" s="18" t="n">
        <v>12.335</v>
      </c>
      <c r="D28" s="18" t="n">
        <v>18.376</v>
      </c>
      <c r="E28" s="18" t="n">
        <v>23.866</v>
      </c>
      <c r="F28" s="18" t="n">
        <v>27.77</v>
      </c>
      <c r="G28" s="18" t="n">
        <v>51.383</v>
      </c>
      <c r="H28" s="18" t="n">
        <v>57.185</v>
      </c>
      <c r="I28" s="18" t="n">
        <v>61.38</v>
      </c>
      <c r="J28" s="18" t="n">
        <v>59.973</v>
      </c>
      <c r="K28" s="18" t="n">
        <v>79.997</v>
      </c>
      <c r="L28" s="18" t="n">
        <v>89.90300000000001</v>
      </c>
      <c r="M28" s="18" t="n">
        <v>98.988</v>
      </c>
      <c r="N28" s="18" t="n">
        <v>105.854</v>
      </c>
      <c r="O28" s="18" t="n">
        <v>114.817</v>
      </c>
      <c r="P28" s="18" t="n">
        <v>105.173</v>
      </c>
      <c r="Q28" s="18" t="n">
        <v>109.738</v>
      </c>
      <c r="R28" s="18" t="n">
        <v>107.819</v>
      </c>
      <c r="S28" s="18" t="n">
        <v>122.104</v>
      </c>
      <c r="T28" s="18" t="n">
        <v>129.138</v>
      </c>
      <c r="U28" s="18" t="n">
        <v>140.432</v>
      </c>
      <c r="V28" s="18" t="n">
        <v>113.236</v>
      </c>
      <c r="W28" s="18" t="n">
        <v>144.87</v>
      </c>
      <c r="X28" s="18" t="n">
        <v>157.178</v>
      </c>
      <c r="Y28" s="18" t="n">
        <v>172.117</v>
      </c>
      <c r="Z28" s="18" t="n">
        <v>159.401</v>
      </c>
      <c r="AA28" s="18" t="n">
        <v>172.654</v>
      </c>
      <c r="AB28" s="18" t="n">
        <v>188.593</v>
      </c>
      <c r="AC28" s="18" t="n">
        <v>216.553</v>
      </c>
    </row>
    <row r="29">
      <c r="A29" s="4" t="inlineStr">
        <is>
          <t>Change in Working Capital</t>
        </is>
      </c>
      <c r="B29" s="18" t="n">
        <v>5.42</v>
      </c>
      <c r="C29" s="18" t="n">
        <v>3.879</v>
      </c>
      <c r="D29" s="18" t="n">
        <v>7.763</v>
      </c>
      <c r="E29" s="18" t="n">
        <v>-3.606</v>
      </c>
      <c r="F29" s="18" t="n">
        <v>-2.615</v>
      </c>
      <c r="G29" s="18" t="n">
        <v>7.071</v>
      </c>
      <c r="H29" s="18" t="n">
        <v>15.273</v>
      </c>
      <c r="I29" s="18" t="n">
        <v>-1.97</v>
      </c>
      <c r="J29" s="18" t="n">
        <v>30.441</v>
      </c>
      <c r="K29" s="18" t="n">
        <v>1.824</v>
      </c>
      <c r="L29" s="18" t="n">
        <v>46.072</v>
      </c>
      <c r="M29" s="18" t="n">
        <v>-0.574</v>
      </c>
      <c r="N29" s="18" t="n">
        <v>20.131</v>
      </c>
      <c r="O29" s="18" t="n">
        <v>31.822</v>
      </c>
      <c r="P29" s="18" t="n">
        <v>46.465</v>
      </c>
      <c r="Q29" s="18" t="n">
        <v>-8.249000000000001</v>
      </c>
      <c r="R29" s="18" t="n">
        <v>-3.014</v>
      </c>
      <c r="S29" s="18" t="n">
        <v>-6.629</v>
      </c>
      <c r="T29" s="18" t="n">
        <v>107.809</v>
      </c>
      <c r="U29" s="18" t="n">
        <v>-26.349</v>
      </c>
      <c r="V29" s="18" t="n">
        <v>-17.178</v>
      </c>
      <c r="W29" s="18" t="n">
        <v>1.786</v>
      </c>
      <c r="X29" s="18" t="n">
        <v>105.323</v>
      </c>
      <c r="Y29" s="18" t="n">
        <v>-48.06</v>
      </c>
      <c r="Z29" s="18" t="n">
        <v>-27.887</v>
      </c>
      <c r="AA29" s="18" t="n">
        <v>-2.659</v>
      </c>
      <c r="AB29" s="18" t="n">
        <v>162.789</v>
      </c>
      <c r="AC29" s="18" t="n">
        <v>-93.65300000000001</v>
      </c>
    </row>
    <row r="30">
      <c r="A30" s="4" t="inlineStr">
        <is>
          <t>Operating Cash Flow</t>
        </is>
      </c>
      <c r="B30" s="18" t="n">
        <v>13.483</v>
      </c>
      <c r="C30" s="18" t="n">
        <v>17.823</v>
      </c>
      <c r="D30" s="18" t="n">
        <v>21.429</v>
      </c>
      <c r="E30" s="18" t="n">
        <v>5.431</v>
      </c>
      <c r="F30" s="18" t="n">
        <v>20.822</v>
      </c>
      <c r="G30" s="18" t="n">
        <v>31.635</v>
      </c>
      <c r="H30" s="18" t="n">
        <v>53.532</v>
      </c>
      <c r="I30" s="18" t="n">
        <v>30.404</v>
      </c>
      <c r="J30" s="18" t="n">
        <v>73.36799999999999</v>
      </c>
      <c r="K30" s="18" t="n">
        <v>44.736</v>
      </c>
      <c r="L30" s="18" t="n">
        <v>93.271</v>
      </c>
      <c r="M30" s="18" t="n">
        <v>48.262</v>
      </c>
      <c r="N30" s="18" t="n">
        <v>77.241</v>
      </c>
      <c r="O30" s="18" t="n">
        <v>103.138</v>
      </c>
      <c r="P30" s="18" t="n">
        <v>128.457</v>
      </c>
      <c r="Q30" s="18" t="n">
        <v>89.48099999999999</v>
      </c>
      <c r="R30" s="18" t="n">
        <v>108.469</v>
      </c>
      <c r="S30" s="18" t="n">
        <v>135.936</v>
      </c>
      <c r="T30" s="18" t="n">
        <v>260.806</v>
      </c>
      <c r="U30" s="18" t="n">
        <v>142.069</v>
      </c>
      <c r="V30" s="18" t="n">
        <v>173.414</v>
      </c>
      <c r="W30" s="18" t="n">
        <v>203.557</v>
      </c>
      <c r="X30" s="18" t="n">
        <v>331.335</v>
      </c>
      <c r="Y30" s="18" t="n">
        <v>179.433</v>
      </c>
      <c r="Z30" s="18" t="n">
        <v>211.081</v>
      </c>
      <c r="AA30" s="18" t="n">
        <v>250.604</v>
      </c>
      <c r="AB30" s="18" t="n">
        <v>448.28</v>
      </c>
      <c r="AC30" s="18" t="n">
        <v>204.073</v>
      </c>
    </row>
    <row r="31">
      <c r="A31" s="4" t="inlineStr">
        <is>
          <t>Capex</t>
        </is>
      </c>
      <c r="B31" s="18" t="n">
        <v>-8.901</v>
      </c>
      <c r="C31" s="18" t="n">
        <v>-10.271</v>
      </c>
      <c r="D31" s="18" t="n">
        <v>-12.012</v>
      </c>
      <c r="E31" s="18" t="n">
        <v>-7.36</v>
      </c>
      <c r="F31" s="18" t="n">
        <v>-11.717</v>
      </c>
      <c r="G31" s="18" t="n">
        <v>-20.72</v>
      </c>
      <c r="H31" s="18" t="n">
        <v>-11.305</v>
      </c>
      <c r="I31" s="18" t="n">
        <v>-12.37</v>
      </c>
      <c r="J31" s="18" t="n">
        <v>-17.587</v>
      </c>
      <c r="K31" s="18" t="n">
        <v>-17.035</v>
      </c>
      <c r="L31" s="18" t="n">
        <v>-9.904</v>
      </c>
      <c r="M31" s="18" t="n">
        <v>-18.813</v>
      </c>
      <c r="N31" s="18" t="n">
        <v>-33.496</v>
      </c>
      <c r="O31" s="18" t="n">
        <v>-28.367</v>
      </c>
      <c r="P31" s="18" t="n">
        <v>-32.843</v>
      </c>
      <c r="Q31" s="18" t="n">
        <v>-26.663</v>
      </c>
      <c r="R31" s="18" t="n">
        <v>-34.583</v>
      </c>
      <c r="S31" s="18" t="n">
        <v>-34.635</v>
      </c>
      <c r="T31" s="18" t="n">
        <v>-36.088</v>
      </c>
      <c r="U31" s="18" t="n">
        <v>-41.281</v>
      </c>
      <c r="V31" s="18" t="n">
        <v>-50.288</v>
      </c>
      <c r="W31" s="18" t="n">
        <v>-67.239</v>
      </c>
      <c r="X31" s="18" t="n">
        <v>-39.454</v>
      </c>
      <c r="Y31" s="18" t="n">
        <v>-36.005</v>
      </c>
      <c r="Z31" s="18" t="n">
        <v>-91.61799999999999</v>
      </c>
      <c r="AA31" s="18" t="n">
        <v>-78.68300000000001</v>
      </c>
      <c r="AB31" s="18" t="n">
        <v>-34.984</v>
      </c>
      <c r="AC31" s="18" t="n">
        <v>34.984</v>
      </c>
    </row>
    <row r="32">
      <c r="A32" s="4" t="inlineStr">
        <is>
          <t>Free Cash Flow</t>
        </is>
      </c>
      <c r="B32" s="18" t="n">
        <v>4.582</v>
      </c>
      <c r="C32" s="18" t="n">
        <v>7.552</v>
      </c>
      <c r="D32" s="18" t="n">
        <v>9.417</v>
      </c>
      <c r="E32" s="18" t="n">
        <v>-1.929</v>
      </c>
      <c r="F32" s="18" t="n">
        <v>9.105</v>
      </c>
      <c r="G32" s="18" t="n">
        <v>10.915</v>
      </c>
      <c r="H32" s="18" t="n">
        <v>42.227</v>
      </c>
      <c r="I32" s="18" t="n">
        <v>18.034</v>
      </c>
      <c r="J32" s="18" t="n">
        <v>55.781</v>
      </c>
      <c r="K32" s="18" t="n">
        <v>27.701</v>
      </c>
      <c r="L32" s="18" t="n">
        <v>83.367</v>
      </c>
      <c r="M32" s="18" t="n">
        <v>29.449</v>
      </c>
      <c r="N32" s="18" t="n">
        <v>43.745</v>
      </c>
      <c r="O32" s="18" t="n">
        <v>74.771</v>
      </c>
      <c r="P32" s="18" t="n">
        <v>95.614</v>
      </c>
      <c r="Q32" s="18" t="n">
        <v>62.818</v>
      </c>
      <c r="R32" s="18" t="n">
        <v>73.886</v>
      </c>
      <c r="S32" s="18" t="n">
        <v>101.301</v>
      </c>
      <c r="T32" s="18" t="n">
        <v>224.718</v>
      </c>
      <c r="U32" s="18" t="n">
        <v>100.788</v>
      </c>
      <c r="V32" s="18" t="n">
        <v>123.126</v>
      </c>
      <c r="W32" s="18" t="n">
        <v>136.318</v>
      </c>
      <c r="X32" s="18" t="n">
        <v>291.881</v>
      </c>
      <c r="Y32" s="18" t="n">
        <v>143.428</v>
      </c>
      <c r="Z32" s="18" t="n">
        <v>119.463</v>
      </c>
      <c r="AA32" s="18" t="n">
        <v>171.921</v>
      </c>
      <c r="AB32" s="18" t="n">
        <v>413.296</v>
      </c>
      <c r="AC32" s="18" t="n">
        <v>239.057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3317.65592</v>
      </c>
      <c r="C4" s="18" t="n">
        <v>3971.469839</v>
      </c>
      <c r="D4" s="18" t="n">
        <v>4718.156165</v>
      </c>
      <c r="E4" s="18" t="n">
        <v>5422.9</v>
      </c>
      <c r="F4" s="18" t="n">
        <v>6322.9</v>
      </c>
    </row>
    <row r="5">
      <c r="A5" s="4" t="inlineStr">
        <is>
          <t xml:space="preserve">  model</t>
        </is>
      </c>
      <c r="B5" s="33">
        <f>Model!G6</f>
        <v/>
      </c>
      <c r="C5" s="33">
        <f>Model!H6</f>
        <v/>
      </c>
      <c r="D5" s="33">
        <f>Model!I6</f>
        <v/>
      </c>
      <c r="E5" s="33">
        <f>Model!J6</f>
        <v/>
      </c>
      <c r="F5" s="33">
        <f>Model!K6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920.06749</v>
      </c>
      <c r="C8" s="18" t="n">
        <v>1101.386151</v>
      </c>
      <c r="D8" s="18" t="n">
        <v>1308.460613</v>
      </c>
      <c r="E8" s="18" t="n">
        <v>1503.903392</v>
      </c>
      <c r="F8" s="18" t="n">
        <v>1753.495502</v>
      </c>
    </row>
    <row r="9">
      <c r="A9" s="4" t="inlineStr">
        <is>
          <t xml:space="preserve">  model</t>
        </is>
      </c>
      <c r="B9" s="33">
        <f>Model!G19+Model!G24</f>
        <v/>
      </c>
      <c r="C9" s="33">
        <f>Model!H19+Model!H24</f>
        <v/>
      </c>
      <c r="D9" s="33">
        <f>Model!I19+Model!I24</f>
        <v/>
      </c>
      <c r="E9" s="33">
        <f>Model!J19+Model!J24</f>
        <v/>
      </c>
      <c r="F9" s="33">
        <f>Model!K19+Model!K24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1060.958355</v>
      </c>
      <c r="C12" s="18" t="n">
        <v>1270.042527</v>
      </c>
      <c r="D12" s="18" t="n">
        <v>1508.826511</v>
      </c>
      <c r="E12" s="18" t="n">
        <v>1734.19764</v>
      </c>
      <c r="F12" s="18" t="n">
        <v>2022.010042</v>
      </c>
    </row>
    <row r="13">
      <c r="A13" s="4" t="inlineStr">
        <is>
          <t xml:space="preserve">  model</t>
        </is>
      </c>
      <c r="B13" s="33">
        <f>Model!G19</f>
        <v/>
      </c>
      <c r="C13" s="33">
        <f>Model!H19</f>
        <v/>
      </c>
      <c r="D13" s="33">
        <f>Model!I19</f>
        <v/>
      </c>
      <c r="E13" s="33">
        <f>Model!J19</f>
        <v/>
      </c>
      <c r="F13" s="33">
        <f>Model!K19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2323.631263</v>
      </c>
      <c r="C16" s="18" t="n">
        <v>2781.551704</v>
      </c>
      <c r="D16" s="18" t="n">
        <v>3304.518441</v>
      </c>
      <c r="E16" s="18" t="n">
        <v>3798.109352</v>
      </c>
      <c r="F16" s="18" t="n">
        <v>4428.454447</v>
      </c>
    </row>
    <row r="17">
      <c r="A17" s="4" t="inlineStr">
        <is>
          <t xml:space="preserve">  model</t>
        </is>
      </c>
      <c r="B17" s="33">
        <f>Model!G14</f>
        <v/>
      </c>
      <c r="C17" s="33">
        <f>Model!H14</f>
        <v/>
      </c>
      <c r="D17" s="33">
        <f>Model!I14</f>
        <v/>
      </c>
      <c r="E17" s="33">
        <f>Model!J14</f>
        <v/>
      </c>
      <c r="F17" s="33">
        <f>Model!K14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635.6658315</v>
      </c>
      <c r="C20" s="18" t="n">
        <v>700.3564755</v>
      </c>
      <c r="D20" s="18" t="n">
        <v>55.80245</v>
      </c>
      <c r="E20" s="18" t="n">
        <v>742.6832439999999</v>
      </c>
      <c r="F20" s="18" t="n">
        <v>875.470685</v>
      </c>
    </row>
    <row r="21">
      <c r="A21" s="4" t="inlineStr">
        <is>
          <t xml:space="preserve">  model</t>
        </is>
      </c>
      <c r="B21" s="33">
        <f>Model!G23</f>
        <v/>
      </c>
      <c r="C21" s="33">
        <f>Model!H23</f>
        <v/>
      </c>
      <c r="D21" s="33">
        <f>Model!I23</f>
        <v/>
      </c>
      <c r="E21" s="33">
        <f>Model!J23</f>
        <v/>
      </c>
      <c r="F21" s="33">
        <f>Model!K23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4.01236</v>
      </c>
      <c r="C24" s="47" t="n">
        <v>4.57103</v>
      </c>
      <c r="D24" s="47" t="n">
        <v>5.56457</v>
      </c>
      <c r="E24" s="47" t="n">
        <v>4.81</v>
      </c>
      <c r="F24" s="47" t="n">
        <v>5.67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  <c r="F25" s="8">
        <f>Model!K23/Financials!AC17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Zscaler,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Model!G31</f>
        <v/>
      </c>
      <c r="D12" s="33">
        <f>Model!H31</f>
        <v/>
      </c>
      <c r="E12" s="33">
        <f>Model!I31</f>
        <v/>
      </c>
      <c r="F12" s="33">
        <f>Model!J31</f>
        <v/>
      </c>
      <c r="G12" s="33">
        <f>Model!K31</f>
        <v/>
      </c>
      <c r="H12" s="33">
        <f>Model!L31</f>
        <v/>
      </c>
      <c r="I12" s="33">
        <f>Model!M31</f>
        <v/>
      </c>
      <c r="J12" s="33">
        <f>Model!N31</f>
        <v/>
      </c>
      <c r="K12" s="33">
        <f>Model!O31</f>
        <v/>
      </c>
      <c r="L12" s="33">
        <f>Model!P31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Model!P6</f>
        <v/>
      </c>
    </row>
    <row r="21">
      <c r="A21" s="4" t="inlineStr">
        <is>
          <t>Terminal EBIT</t>
        </is>
      </c>
      <c r="B21" s="33">
        <f>Model!P19</f>
        <v/>
      </c>
    </row>
    <row r="22">
      <c r="A22" s="4" t="inlineStr">
        <is>
          <t>Terminal EBITDA (SBC-burdened)</t>
        </is>
      </c>
      <c r="B22" s="33">
        <f>Model!P19+Model!P24-Model!P25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Financials!AC19</f>
        <v/>
      </c>
    </row>
    <row r="33">
      <c r="A33" s="4" t="inlineStr">
        <is>
          <t>- Long-term debt</t>
        </is>
      </c>
      <c r="B33" s="33">
        <f>-Financials!AC24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0.0677334216646617</v>
      </c>
      <c r="C4" s="51" t="n">
        <v>0.07273342166466171</v>
      </c>
      <c r="D4" s="51" t="n">
        <v>0.0777334216646617</v>
      </c>
      <c r="E4" s="51" t="n">
        <v>0.0827334216646617</v>
      </c>
      <c r="F4" s="51" t="n">
        <v>0.08773342166466171</v>
      </c>
      <c r="G4" s="51" t="n">
        <v>0.0927334216646617</v>
      </c>
      <c r="H4" s="51" t="n">
        <v>0.0977334216646617</v>
      </c>
    </row>
    <row r="5">
      <c r="A5" s="52" t="n">
        <v>19</v>
      </c>
      <c r="B5" s="53" t="n">
        <v>39.61619248133672</v>
      </c>
      <c r="C5" s="53" t="n">
        <v>38.15719594915357</v>
      </c>
      <c r="D5" s="53" t="n">
        <v>36.77319497484943</v>
      </c>
      <c r="E5" s="53" t="n">
        <v>35.46007124328508</v>
      </c>
      <c r="F5" s="53" t="n">
        <v>34.21394891057415</v>
      </c>
      <c r="G5" s="53" t="n">
        <v>33.03117933892243</v>
      </c>
      <c r="H5" s="53" t="n">
        <v>31.90832685520274</v>
      </c>
    </row>
    <row r="6">
      <c r="A6" s="52" t="n">
        <v>20</v>
      </c>
      <c r="B6" s="53" t="n">
        <v>41.3623711150507</v>
      </c>
      <c r="C6" s="53" t="n">
        <v>39.82367141594253</v>
      </c>
      <c r="D6" s="53" t="n">
        <v>38.36395082818635</v>
      </c>
      <c r="E6" s="53" t="n">
        <v>36.97887482512628</v>
      </c>
      <c r="F6" s="53" t="n">
        <v>35.66436400695571</v>
      </c>
      <c r="G6" s="53" t="n">
        <v>34.41657804138643</v>
      </c>
      <c r="H6" s="53" t="n">
        <v>33.23190068121039</v>
      </c>
    </row>
    <row r="7">
      <c r="A7" s="52" t="n">
        <v>21</v>
      </c>
      <c r="B7" s="53" t="n">
        <v>43.10854974876467</v>
      </c>
      <c r="C7" s="53" t="n">
        <v>41.49014688273149</v>
      </c>
      <c r="D7" s="53" t="n">
        <v>39.95470668152326</v>
      </c>
      <c r="E7" s="53" t="n">
        <v>38.49767840696748</v>
      </c>
      <c r="F7" s="53" t="n">
        <v>37.11477910333725</v>
      </c>
      <c r="G7" s="53" t="n">
        <v>35.80197674385042</v>
      </c>
      <c r="H7" s="53" t="n">
        <v>34.55547450721803</v>
      </c>
    </row>
    <row r="8">
      <c r="A8" s="52" t="n">
        <v>22</v>
      </c>
      <c r="B8" s="53" t="n">
        <v>44.85472838247865</v>
      </c>
      <c r="C8" s="53" t="n">
        <v>43.15662234952048</v>
      </c>
      <c r="D8" s="53" t="n">
        <v>41.54546253486017</v>
      </c>
      <c r="E8" s="54" t="n">
        <v>40.01648198880868</v>
      </c>
      <c r="F8" s="53" t="n">
        <v>38.5651941997188</v>
      </c>
      <c r="G8" s="53" t="n">
        <v>37.18737544631442</v>
      </c>
      <c r="H8" s="53" t="n">
        <v>35.8790483332257</v>
      </c>
    </row>
    <row r="9">
      <c r="A9" s="52" t="n">
        <v>23</v>
      </c>
      <c r="B9" s="53" t="n">
        <v>46.60090701619263</v>
      </c>
      <c r="C9" s="53" t="n">
        <v>44.82309781630944</v>
      </c>
      <c r="D9" s="53" t="n">
        <v>43.1362183881971</v>
      </c>
      <c r="E9" s="53" t="n">
        <v>41.53528557064988</v>
      </c>
      <c r="F9" s="53" t="n">
        <v>40.01560929610036</v>
      </c>
      <c r="G9" s="53" t="n">
        <v>38.57277414877841</v>
      </c>
      <c r="H9" s="53" t="n">
        <v>37.20262215923335</v>
      </c>
    </row>
    <row r="10">
      <c r="A10" s="52" t="n">
        <v>24</v>
      </c>
      <c r="B10" s="53" t="n">
        <v>48.3470856499066</v>
      </c>
      <c r="C10" s="53" t="n">
        <v>46.4895732830984</v>
      </c>
      <c r="D10" s="53" t="n">
        <v>44.726974241534</v>
      </c>
      <c r="E10" s="53" t="n">
        <v>43.05408915249109</v>
      </c>
      <c r="F10" s="53" t="n">
        <v>41.46602439248191</v>
      </c>
      <c r="G10" s="53" t="n">
        <v>39.95817285124242</v>
      </c>
      <c r="H10" s="53" t="n">
        <v>38.526195985241</v>
      </c>
    </row>
    <row r="11">
      <c r="A11" s="52" t="n">
        <v>25</v>
      </c>
      <c r="B11" s="53" t="n">
        <v>50.09326428362058</v>
      </c>
      <c r="C11" s="53" t="n">
        <v>48.15604874988737</v>
      </c>
      <c r="D11" s="53" t="n">
        <v>46.31773009487093</v>
      </c>
      <c r="E11" s="53" t="n">
        <v>44.57289273433229</v>
      </c>
      <c r="F11" s="53" t="n">
        <v>42.91643948886347</v>
      </c>
      <c r="G11" s="53" t="n">
        <v>41.34357155370643</v>
      </c>
      <c r="H11" s="53" t="n">
        <v>39.84976981124866</v>
      </c>
    </row>
    <row r="13">
      <c r="A13" s="3" t="inlineStr">
        <is>
          <t>Current price</t>
        </is>
      </c>
      <c r="B13" s="53" t="n">
        <v>153.5500030517578</v>
      </c>
    </row>
    <row r="14">
      <c r="A14" s="3" t="inlineStr">
        <is>
          <t>Base WACC / multiple</t>
        </is>
      </c>
      <c r="B14" s="55" t="n">
        <v>0.0827334216646617</v>
      </c>
      <c r="C14" s="56" t="n">
        <v>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0.04533325352631667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1.797445171993632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0.3512342845222662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Financials!AC19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2026-07-08T07:04:30Z</dcterms:created>
  <dcterms:modified xmlns:dcterms="http://purl.org/dc/terms/" xmlns:xsi="http://www.w3.org/2001/XMLSchema-instance" xsi:type="dcterms:W3CDTF">2026-07-08T07:04:30Z</dcterms:modified>
</cp:coreProperties>
</file>