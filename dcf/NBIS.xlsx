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60.0%</t>
      </text>
    </comment>
    <comment ref="C20" authorId="0" shapeId="0">
      <text>
        <t>Opus: 3.5%</t>
      </text>
    </comment>
    <comment ref="B29" authorId="0" shapeId="0">
      <text>
        <t>Opus: -5.0%</t>
      </text>
    </comment>
    <comment ref="B30" authorId="0" shapeId="0">
      <text>
        <t>Opus: 22.0%</t>
      </text>
    </comment>
    <comment ref="B31" authorId="0" shapeId="0">
      <text>
        <t>Opus: 25.0%</t>
      </text>
    </comment>
    <comment ref="B34" authorId="0" shapeId="0">
      <text>
        <t>Opus: —
set from Opus 80% of FY1E revenue; edits not tracked (unit differs from the JSON)</t>
      </text>
    </comment>
    <comment ref="B35" authorId="0" shapeId="0">
      <text>
        <t>Opus: 1.1x</t>
      </text>
    </comment>
    <comment ref="B38" authorId="0" shapeId="0">
      <text>
        <t>Opus: 4.3%</t>
      </text>
    </comment>
    <comment ref="B39" authorId="0" shapeId="0">
      <text>
        <t>Opus: 4.5%</t>
      </text>
    </comment>
    <comment ref="B40" authorId="0" shapeId="0">
      <text>
        <t>Opus: 1.238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12.0x</t>
      </text>
    </comment>
    <comment ref="B46" authorId="0" shapeId="0">
      <text>
        <t>Opus: 3.5%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Nebius Group N.V. (NBIS)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NBIS is an AI-cloud 'neocloud' scaling GPU data-center capacity from a $534M base toward consensus ~$39B by 2030, funded largely by its Yandex-sale net cash rather than debt. Revenue compounds at triple-digit then fading rates while heavy capex suppresses near-term GAAP profitability; as utilization and contracted ARR ramp, operating leverage drives margins from deeply negative toward a mature ~25% operating margin. Value rests on disciplined capacity deployment converting to durable cloud-infra cash flows, with optionality from minority stakes (ClickHouse, Toloka, Avride) treated as upside outside the base DCF.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Nebius Group N.V. (NBIS)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0.6</v>
      </c>
      <c r="C20" s="15" t="n">
        <v>0.035</v>
      </c>
      <c r="D20" s="16" t="n">
        <v>0.6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-0.05</v>
      </c>
      <c r="D29" s="16" t="n">
        <v>-0.05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0.22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0.25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2710.3867552</v>
      </c>
      <c r="D34" s="18" t="n">
        <v>2710.3867552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1.238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0.035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286.6900024414062</v>
      </c>
    </row>
    <row r="49">
      <c r="A49" s="4" t="inlineStr">
        <is>
          <t>Growth fade curvature</t>
        </is>
      </c>
      <c r="B49" s="20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13.18724943941436</v>
      </c>
      <c r="C58" s="28" t="n">
        <v>33.67697807801991</v>
      </c>
      <c r="D58" s="28" t="n">
        <v>-2.836053350402056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0.45</v>
      </c>
      <c r="C62" s="30" t="n">
        <v>0.2</v>
      </c>
      <c r="D62" s="30" t="n">
        <v>0.35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0.144327967053538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0.08659678023212279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NBIS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NBIS is an AI-cloud 'neocloud' scaling GPU data-center capacity from a $534M base toward consensus ~$39B by 2030, funded largely by its Yandex-sale net cash rather than debt. Revenue compounds at triple-digit then fading rates while heavy capex suppresses near-term GAAP profitability; as utilization and contracted ARR ramp, operating leverage drives margins from deeply negative toward a mature ~25% operating margin. Value rests on disciplined capacity deployment converting to durable cloud-infra cash flows, with optionality from minority stakes (ClickHouse, Toloka, Avride) treated as upside outside the base DCF.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Growth is anchored to FMP consensus (534%→239%→80%→35% path) blended to a high but fading 60% near-term rate decaying to a 4% terminal tied to the risk-free rate. Near-term operating margin held near breakeven (consensus shows losses through 2027, profit by 2028) and faded to 25%, reflecting capital-intensive but operationally-levered infra economics; capex stays heavy at ~80% of 2026 revenue during buildout then converges to ~1.1x D&amp;A maintenance, and a 12x mature EV/EBITDA reflects normalized data-center/cloud-infra trading levels.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Total company — near-term growth</t>
        </is>
      </c>
      <c r="B20" t="inlineStr">
        <is>
          <t>B20</t>
        </is>
      </c>
      <c r="C20" s="11">
        <f>Dashboard!B20</f>
        <v/>
      </c>
      <c r="D20" t="inlineStr">
        <is>
          <t>Opus</t>
        </is>
      </c>
      <c r="E20" t="inlineStr">
        <is>
          <t>60.0%</t>
        </is>
      </c>
      <c r="F20" s="31" t="inlineStr"/>
    </row>
    <row r="21">
      <c r="A21" t="inlineStr">
        <is>
          <t>Total company — terminal growth</t>
        </is>
      </c>
      <c r="B21" t="inlineStr">
        <is>
          <t>C20</t>
        </is>
      </c>
      <c r="C21" s="11">
        <f>Dashboard!C20</f>
        <v/>
      </c>
      <c r="D21" t="inlineStr">
        <is>
          <t>Opus</t>
        </is>
      </c>
      <c r="E21" t="inlineStr">
        <is>
          <t>3.5%</t>
        </is>
      </c>
      <c r="F21" s="31" t="inlineStr"/>
    </row>
    <row r="22">
      <c r="A22" t="inlineStr">
        <is>
          <t>Near-term operating margin</t>
        </is>
      </c>
      <c r="B22" t="inlineStr">
        <is>
          <t>B29</t>
        </is>
      </c>
      <c r="C22" s="11">
        <f>Dashboard!B29</f>
        <v/>
      </c>
      <c r="D22" t="inlineStr">
        <is>
          <t>Opus</t>
        </is>
      </c>
      <c r="E22" t="inlineStr">
        <is>
          <t>-5.0%</t>
        </is>
      </c>
      <c r="F22" s="31" t="inlineStr"/>
    </row>
    <row r="23">
      <c r="A23" t="inlineStr">
        <is>
          <t>Terminal operating margin</t>
        </is>
      </c>
      <c r="B23" t="inlineStr">
        <is>
          <t>B30</t>
        </is>
      </c>
      <c r="C23" s="11">
        <f>Dashboard!B30</f>
        <v/>
      </c>
      <c r="D23" t="inlineStr">
        <is>
          <t>Opus</t>
        </is>
      </c>
      <c r="E23" t="inlineStr">
        <is>
          <t>22.0%</t>
        </is>
      </c>
      <c r="F23" s="31" t="inlineStr"/>
    </row>
    <row r="24">
      <c r="A24" t="inlineStr">
        <is>
          <t>Tax rate</t>
        </is>
      </c>
      <c r="B24" t="inlineStr">
        <is>
          <t>B31</t>
        </is>
      </c>
      <c r="C24" s="11">
        <f>Dashboard!B31</f>
        <v/>
      </c>
      <c r="D24" t="inlineStr">
        <is>
          <t>Opus</t>
        </is>
      </c>
      <c r="E24" t="inlineStr">
        <is>
          <t>25.0%</t>
        </is>
      </c>
      <c r="F24" s="31" t="inlineStr"/>
    </row>
    <row r="25">
      <c r="A25" t="inlineStr">
        <is>
          <t>Terminal capex / D&amp;A</t>
        </is>
      </c>
      <c r="B25" t="inlineStr">
        <is>
          <t>B35</t>
        </is>
      </c>
      <c r="C25" s="13">
        <f>Dashboard!B35</f>
        <v/>
      </c>
      <c r="D25" t="inlineStr">
        <is>
          <t>Opus</t>
        </is>
      </c>
      <c r="E25" t="inlineStr">
        <is>
          <t>1.1x</t>
        </is>
      </c>
      <c r="F25" s="31" t="inlineStr"/>
    </row>
    <row r="26">
      <c r="A26" t="inlineStr">
        <is>
          <t>Risk-free rate (10Y)</t>
        </is>
      </c>
      <c r="B26" t="inlineStr">
        <is>
          <t>B38</t>
        </is>
      </c>
      <c r="C26" s="11">
        <f>Dashboard!B38</f>
        <v/>
      </c>
      <c r="D26" t="inlineStr">
        <is>
          <t>Opus</t>
        </is>
      </c>
      <c r="E26" t="inlineStr">
        <is>
          <t>4.3%</t>
        </is>
      </c>
      <c r="F26" s="31" t="inlineStr"/>
    </row>
    <row r="27">
      <c r="A27" t="inlineStr">
        <is>
          <t>Equity risk premium</t>
        </is>
      </c>
      <c r="B27" t="inlineStr">
        <is>
          <t>B39</t>
        </is>
      </c>
      <c r="C27" s="11">
        <f>Dashboard!B39</f>
        <v/>
      </c>
      <c r="D27" t="inlineStr">
        <is>
          <t>Opus</t>
        </is>
      </c>
      <c r="E27" t="inlineStr">
        <is>
          <t>4.5%</t>
        </is>
      </c>
      <c r="F27" s="31" t="inlineStr"/>
    </row>
    <row r="28">
      <c r="A28" t="inlineStr">
        <is>
          <t>Beta (levered)</t>
        </is>
      </c>
      <c r="B28" t="inlineStr">
        <is>
          <t>B40</t>
        </is>
      </c>
      <c r="C28" s="32">
        <f>Dashboard!B40</f>
        <v/>
      </c>
      <c r="D28" t="inlineStr">
        <is>
          <t>Opus</t>
        </is>
      </c>
      <c r="E28" t="inlineStr">
        <is>
          <t>1.238</t>
        </is>
      </c>
      <c r="F28" s="31" t="inlineStr"/>
    </row>
    <row r="29">
      <c r="A29" t="inlineStr">
        <is>
          <t>Pre-tax cost of debt</t>
        </is>
      </c>
      <c r="B29" t="inlineStr">
        <is>
          <t>B41</t>
        </is>
      </c>
      <c r="C29" s="11">
        <f>Dashboard!B41</f>
        <v/>
      </c>
      <c r="D29" t="inlineStr">
        <is>
          <t>Opus</t>
        </is>
      </c>
      <c r="E29" t="inlineStr">
        <is>
          <t>4.5%</t>
        </is>
      </c>
      <c r="F29" s="31" t="inlineStr"/>
    </row>
    <row r="30">
      <c r="A30" t="inlineStr">
        <is>
          <t>Terminal method</t>
        </is>
      </c>
      <c r="B30" t="inlineStr">
        <is>
          <t>B43</t>
        </is>
      </c>
      <c r="C30" s="12">
        <f>Dashboard!B43</f>
        <v/>
      </c>
      <c r="D30" t="inlineStr">
        <is>
          <t>Opus</t>
        </is>
      </c>
      <c r="E30" t="inlineStr">
        <is>
          <t>Exit multiple</t>
        </is>
      </c>
      <c r="F30" s="31" t="inlineStr"/>
    </row>
    <row r="31">
      <c r="A31" t="inlineStr">
        <is>
          <t>Exit basis</t>
        </is>
      </c>
      <c r="B31" t="inlineStr">
        <is>
          <t>B44</t>
        </is>
      </c>
      <c r="C31" s="12">
        <f>Dashboard!B44</f>
        <v/>
      </c>
      <c r="D31" t="inlineStr">
        <is>
          <t>Opus</t>
        </is>
      </c>
      <c r="E31" t="inlineStr">
        <is>
          <t>EV/EBITDA</t>
        </is>
      </c>
      <c r="F31" s="31" t="inlineStr"/>
    </row>
    <row r="32">
      <c r="A32" t="inlineStr">
        <is>
          <t>Exit multiple</t>
        </is>
      </c>
      <c r="B32" t="inlineStr">
        <is>
          <t>B45</t>
        </is>
      </c>
      <c r="C32" s="13">
        <f>Dashboard!B45</f>
        <v/>
      </c>
      <c r="D32" t="inlineStr">
        <is>
          <t>Opus</t>
        </is>
      </c>
      <c r="E32" t="inlineStr">
        <is>
          <t>12.0x</t>
        </is>
      </c>
      <c r="F32" s="31" t="inlineStr"/>
    </row>
    <row r="33">
      <c r="A33" t="inlineStr">
        <is>
          <t>Terminal growth (g)</t>
        </is>
      </c>
      <c r="B33" t="inlineStr">
        <is>
          <t>B46</t>
        </is>
      </c>
      <c r="C33" s="11">
        <f>Dashboard!B46</f>
        <v/>
      </c>
      <c r="D33" t="inlineStr">
        <is>
          <t>Opus</t>
        </is>
      </c>
      <c r="E33" t="inlineStr">
        <is>
          <t>3.5%</t>
        </is>
      </c>
      <c r="F33" s="31" t="inlineStr"/>
    </row>
    <row r="34">
      <c r="A34" t="inlineStr">
        <is>
          <t>2026 capex ($M)</t>
        </is>
      </c>
      <c r="B34" t="inlineStr">
        <is>
          <t>B34</t>
        </is>
      </c>
      <c r="C34" s="33">
        <f>Dashboard!B34</f>
        <v/>
      </c>
      <c r="D34" t="inlineStr">
        <is>
          <t>Opus</t>
        </is>
      </c>
      <c r="E34" t="inlineStr">
        <is>
          <t>—</t>
        </is>
      </c>
      <c r="F34" s="31" t="inlineStr">
        <is>
          <t>set from Opus 80% of FY1E revenue; edits not tracked (unit differs from the JSON)</t>
        </is>
      </c>
    </row>
    <row r="35">
      <c r="A35" t="inlineStr">
        <is>
          <t>Bull Δ — segment growth, near-term</t>
        </is>
      </c>
      <c r="B35" t="inlineStr">
        <is>
          <t>C52</t>
        </is>
      </c>
      <c r="C35" s="34">
        <f>Dashboard!C52</f>
        <v/>
      </c>
      <c r="D35" t="inlineStr">
        <is>
          <t>seed default</t>
        </is>
      </c>
      <c r="E35" t="inlineStr">
        <is>
          <t>3.0%</t>
        </is>
      </c>
      <c r="F35" s="31" t="inlineStr"/>
    </row>
    <row r="36">
      <c r="A36" t="inlineStr">
        <is>
          <t>Bear Δ — segment growth, near-term</t>
        </is>
      </c>
      <c r="B36" t="inlineStr">
        <is>
          <t>D52</t>
        </is>
      </c>
      <c r="C36" s="34">
        <f>Dashboard!D52</f>
        <v/>
      </c>
      <c r="D36" t="inlineStr">
        <is>
          <t>seed default</t>
        </is>
      </c>
      <c r="E36" t="inlineStr">
        <is>
          <t>-3.0%</t>
        </is>
      </c>
      <c r="F36" s="31" t="inlineStr"/>
    </row>
    <row r="37">
      <c r="A37" t="inlineStr">
        <is>
          <t>Bull Δ — segment growth, terminal</t>
        </is>
      </c>
      <c r="B37" t="inlineStr">
        <is>
          <t>C53</t>
        </is>
      </c>
      <c r="C37" s="34">
        <f>Dashboard!C53</f>
        <v/>
      </c>
      <c r="D37" t="inlineStr">
        <is>
          <t>seed default</t>
        </is>
      </c>
      <c r="E37" t="inlineStr">
        <is>
          <t>1.0%</t>
        </is>
      </c>
      <c r="F37" s="31" t="inlineStr"/>
    </row>
    <row r="38">
      <c r="A38" t="inlineStr">
        <is>
          <t>Bear Δ — segment growth, terminal</t>
        </is>
      </c>
      <c r="B38" t="inlineStr">
        <is>
          <t>D53</t>
        </is>
      </c>
      <c r="C38" s="34">
        <f>Dashboard!D53</f>
        <v/>
      </c>
      <c r="D38" t="inlineStr">
        <is>
          <t>seed default</t>
        </is>
      </c>
      <c r="E38" t="inlineStr">
        <is>
          <t>-1.0%</t>
        </is>
      </c>
      <c r="F38" s="31" t="inlineStr"/>
    </row>
    <row r="39">
      <c r="A39" t="inlineStr">
        <is>
          <t>Bull Δ — operating margin, near-term</t>
        </is>
      </c>
      <c r="B39" t="inlineStr">
        <is>
          <t>C54</t>
        </is>
      </c>
      <c r="C39" s="34">
        <f>Dashboard!C54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operating margin, near-term</t>
        </is>
      </c>
      <c r="B40" t="inlineStr">
        <is>
          <t>D54</t>
        </is>
      </c>
      <c r="C40" s="34">
        <f>Dashboard!D54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terminal</t>
        </is>
      </c>
      <c r="B41" t="inlineStr">
        <is>
          <t>C55</t>
        </is>
      </c>
      <c r="C41" s="34">
        <f>Dashboard!C55</f>
        <v/>
      </c>
      <c r="D41" t="inlineStr">
        <is>
          <t>seed default</t>
        </is>
      </c>
      <c r="E41" t="inlineStr">
        <is>
          <t>2.0%</t>
        </is>
      </c>
      <c r="F41" s="31" t="inlineStr"/>
    </row>
    <row r="42">
      <c r="A42" t="inlineStr">
        <is>
          <t>Bear Δ — operating margin, terminal</t>
        </is>
      </c>
      <c r="B42" t="inlineStr">
        <is>
          <t>D55</t>
        </is>
      </c>
      <c r="C42" s="34">
        <f>Dashboard!D55</f>
        <v/>
      </c>
      <c r="D42" t="inlineStr">
        <is>
          <t>seed default</t>
        </is>
      </c>
      <c r="E42" t="inlineStr">
        <is>
          <t>-2.0%</t>
        </is>
      </c>
      <c r="F42" s="31" t="inlineStr"/>
    </row>
    <row r="43">
      <c r="A43" t="inlineStr">
        <is>
          <t>Bull Δ — exit multiple</t>
        </is>
      </c>
      <c r="B43" t="inlineStr">
        <is>
          <t>C56</t>
        </is>
      </c>
      <c r="C43" s="35">
        <f>Dashboard!C56</f>
        <v/>
      </c>
      <c r="D43" t="inlineStr">
        <is>
          <t>seed default</t>
        </is>
      </c>
      <c r="E43" t="inlineStr">
        <is>
          <t>2.0x</t>
        </is>
      </c>
      <c r="F43" s="31" t="inlineStr"/>
    </row>
    <row r="44">
      <c r="A44" t="inlineStr">
        <is>
          <t>Bear Δ — exit multiple</t>
        </is>
      </c>
      <c r="B44" t="inlineStr">
        <is>
          <t>D56</t>
        </is>
      </c>
      <c r="C44" s="35">
        <f>Dashboard!D56</f>
        <v/>
      </c>
      <c r="D44" t="inlineStr">
        <is>
          <t>seed default</t>
        </is>
      </c>
      <c r="E44" t="inlineStr">
        <is>
          <t>-2.0x</t>
        </is>
      </c>
      <c r="F44" s="31" t="inlineStr"/>
    </row>
    <row r="45">
      <c r="A45" t="inlineStr">
        <is>
          <t>Bull Δ — terminal growth (g)</t>
        </is>
      </c>
      <c r="B45" t="inlineStr">
        <is>
          <t>C57</t>
        </is>
      </c>
      <c r="C45" s="34">
        <f>Dashboard!C57</f>
        <v/>
      </c>
      <c r="D45" t="inlineStr">
        <is>
          <t>seed default</t>
        </is>
      </c>
      <c r="E45" t="inlineStr">
        <is>
          <t>0.5%</t>
        </is>
      </c>
      <c r="F45" s="31" t="inlineStr"/>
    </row>
    <row r="46">
      <c r="A46" t="inlineStr">
        <is>
          <t>Bear Δ — terminal growth (g)</t>
        </is>
      </c>
      <c r="B46" t="inlineStr">
        <is>
          <t>D57</t>
        </is>
      </c>
      <c r="C46" s="34">
        <f>Dashboard!D57</f>
        <v/>
      </c>
      <c r="D46" t="inlineStr">
        <is>
          <t>seed default</t>
        </is>
      </c>
      <c r="E46" t="inlineStr">
        <is>
          <t>-0.5%</t>
        </is>
      </c>
      <c r="F46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SUM(Financials!I3:L3)</f>
        <v/>
      </c>
      <c r="C4" s="33">
        <f>SUM(Financials!M3:P3)</f>
        <v/>
      </c>
      <c r="D4" s="33">
        <f>SUM(Financials!Q3:T3)</f>
        <v/>
      </c>
      <c r="E4" s="33">
        <f>SUM(Financials!U3:X3)</f>
        <v/>
      </c>
      <c r="F4" s="33">
        <f>SUM(Financials!Y3:AB3)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SUM(Financials!I5:L5)</f>
        <v/>
      </c>
      <c r="C10" s="33">
        <f>SUM(Financials!M5:P5)</f>
        <v/>
      </c>
      <c r="D10" s="33">
        <f>SUM(Financials!Q5:T5)</f>
        <v/>
      </c>
      <c r="E10" s="33">
        <f>SUM(Financials!U5:X5)</f>
        <v/>
      </c>
      <c r="F10" s="33">
        <f>SUM(Financials!Y5:AB5)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0.3201048296518157</v>
      </c>
      <c r="H11" s="15" t="n">
        <v>0.3201048296518157</v>
      </c>
      <c r="I11" s="15" t="n">
        <v>0.3201048296518157</v>
      </c>
      <c r="J11" s="15" t="n">
        <v>0.3201048296518157</v>
      </c>
      <c r="K11" s="15" t="n">
        <v>0.3201048296518157</v>
      </c>
      <c r="L11" s="15" t="n">
        <v>0.3201048296518157</v>
      </c>
      <c r="M11" s="15" t="n">
        <v>0.3201048296518157</v>
      </c>
      <c r="N11" s="15" t="n">
        <v>0.3201048296518157</v>
      </c>
      <c r="O11" s="15" t="n">
        <v>0.3201048296518157</v>
      </c>
      <c r="P11" s="15" t="n">
        <v>0.3201048296518157</v>
      </c>
    </row>
    <row r="12">
      <c r="A12" s="4" t="inlineStr">
        <is>
          <t>R&amp;D / Technology</t>
        </is>
      </c>
      <c r="B12" s="33">
        <f>SUM(Financials!I7:L7)</f>
        <v/>
      </c>
      <c r="C12" s="33">
        <f>SUM(Financials!M7:P7)</f>
        <v/>
      </c>
      <c r="D12" s="33">
        <f>SUM(Financials!Q7:T7)</f>
        <v/>
      </c>
      <c r="E12" s="33">
        <f>SUM(Financials!U7:X7)</f>
        <v/>
      </c>
      <c r="F12" s="33">
        <f>SUM(Financials!Y7:AB7)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0.3384500187195806</v>
      </c>
      <c r="H13" s="15" t="n">
        <v>0.3384500187195806</v>
      </c>
      <c r="I13" s="15" t="n">
        <v>0.3384500187195806</v>
      </c>
      <c r="J13" s="15" t="n">
        <v>0.3384500187195806</v>
      </c>
      <c r="K13" s="15" t="n">
        <v>0.3384500187195806</v>
      </c>
      <c r="L13" s="15" t="n">
        <v>0.3384500187195806</v>
      </c>
      <c r="M13" s="15" t="n">
        <v>0.3384500187195806</v>
      </c>
      <c r="N13" s="15" t="n">
        <v>0.3384500187195806</v>
      </c>
      <c r="O13" s="15" t="n">
        <v>0.3384500187195806</v>
      </c>
      <c r="P13" s="15" t="n">
        <v>0.3384500187195806</v>
      </c>
    </row>
    <row r="14">
      <c r="A14" s="4" t="inlineStr">
        <is>
          <t>SG&amp;A</t>
        </is>
      </c>
      <c r="B14" s="33">
        <f>SUM(Financials!I9:L9)</f>
        <v/>
      </c>
      <c r="C14" s="33">
        <f>SUM(Financials!M9:P9)</f>
        <v/>
      </c>
      <c r="D14" s="33">
        <f>SUM(Financials!Q9:T9)</f>
        <v/>
      </c>
      <c r="E14" s="33">
        <f>SUM(Financials!U9:X9)</f>
        <v/>
      </c>
      <c r="F14" s="33">
        <f>SUM(Financials!Y9:AB9)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0.2993260950954699</v>
      </c>
      <c r="H15" s="15" t="n">
        <v>0.2993260950954699</v>
      </c>
      <c r="I15" s="15" t="n">
        <v>0.2993260950954699</v>
      </c>
      <c r="J15" s="15" t="n">
        <v>0.2993260950954699</v>
      </c>
      <c r="K15" s="15" t="n">
        <v>0.2993260950954699</v>
      </c>
      <c r="L15" s="15" t="n">
        <v>0.2993260950954699</v>
      </c>
      <c r="M15" s="15" t="n">
        <v>0.2993260950954699</v>
      </c>
      <c r="N15" s="15" t="n">
        <v>0.2993260950954699</v>
      </c>
      <c r="O15" s="15" t="n">
        <v>0.2993260950954699</v>
      </c>
      <c r="P15" s="15" t="n">
        <v>0.2993260950954699</v>
      </c>
    </row>
    <row r="16">
      <c r="A16" s="4" t="inlineStr">
        <is>
          <t>Other opex (fulfilment, etc.)</t>
        </is>
      </c>
      <c r="B16" s="33">
        <f>B6-(B10+B12+B14)-SUM(Financials!I13:L13)</f>
        <v/>
      </c>
      <c r="C16" s="33">
        <f>C6-(C10+C12+C14)-SUM(Financials!M13:P13)</f>
        <v/>
      </c>
      <c r="D16" s="33">
        <f>D6-(D10+D12+D14)-SUM(Financials!Q13:T13)</f>
        <v/>
      </c>
      <c r="E16" s="33">
        <f>E6-(E10+E12+E14)-SUM(Financials!U13:X13)</f>
        <v/>
      </c>
      <c r="F16" s="33">
        <f>F6-(F10+F12+F14)-SUM(Financials!Y13:AB13)</f>
        <v/>
      </c>
      <c r="G16" s="33">
        <f>G6*(1-(Dashboard!$B$29+(Dashboard!$B$30-Dashboard!$B$29)*MIN(1,0/4)))-(G10+G12+G14)</f>
        <v/>
      </c>
      <c r="H16" s="33">
        <f>H6*(1-(Dashboard!$B$29+(Dashboard!$B$30-Dashboard!$B$29)*MIN(1,1/4)))-(H10+H12+H14)</f>
        <v/>
      </c>
      <c r="I16" s="33">
        <f>I6*(1-(Dashboard!$B$29+(Dashboard!$B$30-Dashboard!$B$29)*MIN(1,2/4)))-(I10+I12+I14)</f>
        <v/>
      </c>
      <c r="J16" s="33">
        <f>J6*(1-(Dashboard!$B$29+(Dashboard!$B$30-Dashboard!$B$29)*MIN(1,3/4)))-(J10+J12+J14)</f>
        <v/>
      </c>
      <c r="K16" s="33">
        <f>K6*(1-(Dashboard!$B$29+(Dashboard!$B$30-Dashboard!$B$29)*MIN(1,4/4)))-(K10+K12+K14)</f>
        <v/>
      </c>
      <c r="L16" s="33">
        <f>L6*(1-(Dashboard!$B$29+(Dashboard!$B$30-Dashboard!$B$29)*MIN(1,5/4)))-(L10+L12+L14)</f>
        <v/>
      </c>
      <c r="M16" s="33">
        <f>M6*(1-(Dashboard!$B$29+(Dashboard!$B$30-Dashboard!$B$29)*MIN(1,6/4)))-(M10+M12+M14)</f>
        <v/>
      </c>
      <c r="N16" s="33">
        <f>N6*(1-(Dashboard!$B$29+(Dashboard!$B$30-Dashboard!$B$29)*MIN(1,7/4)))-(N10+N12+N14)</f>
        <v/>
      </c>
      <c r="O16" s="33">
        <f>O6*(1-(Dashboard!$B$29+(Dashboard!$B$30-Dashboard!$B$29)*MIN(1,8/4)))-(O10+O12+O14)</f>
        <v/>
      </c>
      <c r="P16" s="33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SUM(Financials!I27:L27)</f>
        <v/>
      </c>
      <c r="C24" s="33">
        <f>SUM(Financials!M27:P27)</f>
        <v/>
      </c>
      <c r="D24" s="33">
        <f>SUM(Financials!Q27:T27)</f>
        <v/>
      </c>
      <c r="E24" s="33">
        <f>SUM(Financials!U27:X27)</f>
        <v/>
      </c>
      <c r="F24" s="33">
        <f>SUM(Financials!Y27:AB27)</f>
        <v/>
      </c>
      <c r="G24" s="41">
        <f>G6*0.8366</f>
        <v/>
      </c>
      <c r="H24" s="41">
        <f>H6*0.8366</f>
        <v/>
      </c>
      <c r="I24" s="41">
        <f>I6*0.8366</f>
        <v/>
      </c>
      <c r="J24" s="41">
        <f>J6*0.8366</f>
        <v/>
      </c>
      <c r="K24" s="41">
        <f>K6*0.8366</f>
        <v/>
      </c>
      <c r="L24" s="41">
        <f>L6*0.8366</f>
        <v/>
      </c>
      <c r="M24" s="41">
        <f>M6*0.8366</f>
        <v/>
      </c>
      <c r="N24" s="41">
        <f>N6*0.8366</f>
        <v/>
      </c>
      <c r="O24" s="41">
        <f>O6*0.8366</f>
        <v/>
      </c>
      <c r="P24" s="41">
        <f>P6*0.8366</f>
        <v/>
      </c>
    </row>
    <row r="25">
      <c r="A25" s="4" t="inlineStr">
        <is>
          <t>+ SBC (non-cash)</t>
        </is>
      </c>
      <c r="B25" s="33">
        <f>SUM(Financials!I28:L28)</f>
        <v/>
      </c>
      <c r="C25" s="33">
        <f>SUM(Financials!M28:P28)</f>
        <v/>
      </c>
      <c r="D25" s="33">
        <f>SUM(Financials!Q28:T28)</f>
        <v/>
      </c>
      <c r="E25" s="33">
        <f>SUM(Financials!U28:X28)</f>
        <v/>
      </c>
      <c r="F25" s="33">
        <f>SUM(Financials!Y28:AB28)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-SUM(Financials!I31:L31)</f>
        <v/>
      </c>
      <c r="C27" s="33">
        <f>-SUM(Financials!M31:P31)</f>
        <v/>
      </c>
      <c r="D27" s="33">
        <f>-SUM(Financials!Q31:T31)</f>
        <v/>
      </c>
      <c r="E27" s="33">
        <f>-SUM(Financials!U31:X31)</f>
        <v/>
      </c>
      <c r="F27" s="33">
        <f>-SUM(Financials!Y31:AB31)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Financials!L25+Financials!L24-Financials!L19</f>
        <v/>
      </c>
      <c r="C34" s="33">
        <f>Financials!P25+Financials!P24-Financials!P19</f>
        <v/>
      </c>
      <c r="D34" s="33">
        <f>Financials!T25+Financials!T24-Financials!T19</f>
        <v/>
      </c>
      <c r="E34" s="33">
        <f>Financials!X25+Financials!X24-Financials!X19</f>
        <v/>
      </c>
      <c r="F34" s="33">
        <f>Financials!AB25+Financials!AB24-Financials!AB19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Financials!L25</f>
        <v/>
      </c>
      <c r="C35" s="33">
        <f>Financials!P25</f>
        <v/>
      </c>
      <c r="D35" s="33">
        <f>Financials!T25</f>
        <v/>
      </c>
      <c r="E35" s="33">
        <f>Financials!X25</f>
        <v/>
      </c>
      <c r="F35" s="33">
        <f>Financials!AB25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654.869719</v>
      </c>
      <c r="C3" s="18" t="n">
        <v>694.172003</v>
      </c>
      <c r="D3" s="18" t="n">
        <v>832.872829</v>
      </c>
      <c r="E3" s="18" t="n">
        <v>598.354248</v>
      </c>
      <c r="F3" s="18" t="n">
        <v>581.796365</v>
      </c>
      <c r="G3" s="18" t="n">
        <v>750.702638</v>
      </c>
      <c r="H3" s="18" t="n">
        <v>966.203982</v>
      </c>
      <c r="I3" s="18" t="n">
        <v>967.278181</v>
      </c>
      <c r="J3" s="18" t="n">
        <v>1113.188223</v>
      </c>
      <c r="K3" s="18" t="n">
        <v>1254.106871</v>
      </c>
      <c r="L3" s="18" t="n">
        <v>1474.186892</v>
      </c>
      <c r="M3" s="18" t="n">
        <v>1303.100966</v>
      </c>
      <c r="N3" s="18" t="n">
        <v>2161.298969</v>
      </c>
      <c r="O3" s="18" t="n">
        <v>2212.013644</v>
      </c>
      <c r="P3" s="18" t="n">
        <v>2238.074346</v>
      </c>
      <c r="Q3" s="18" t="n">
        <v>5.124114</v>
      </c>
      <c r="R3" s="18" t="n">
        <v>4.7</v>
      </c>
      <c r="S3" s="18" t="n">
        <v>5</v>
      </c>
      <c r="T3" s="18" t="n">
        <v>6.7</v>
      </c>
      <c r="U3" s="18" t="n">
        <v>11.297297</v>
      </c>
      <c r="V3" s="18" t="n">
        <v>12.08427</v>
      </c>
      <c r="W3" s="18" t="n">
        <v>43.3</v>
      </c>
      <c r="X3" s="18" t="n">
        <v>37.9</v>
      </c>
      <c r="Y3" s="18" t="n">
        <v>55.3</v>
      </c>
      <c r="Z3" s="18" t="n">
        <v>105.1</v>
      </c>
      <c r="AA3" s="18" t="n">
        <v>146.1</v>
      </c>
      <c r="AB3" s="18" t="n">
        <v>227.7</v>
      </c>
      <c r="AC3" s="18" t="n">
        <v>399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198.958776</v>
      </c>
      <c r="C5" s="18" t="n">
        <v>215.296026</v>
      </c>
      <c r="D5" s="18" t="n">
        <v>284.600327</v>
      </c>
      <c r="E5" s="18" t="n">
        <v>206.673642</v>
      </c>
      <c r="F5" s="18" t="n">
        <v>223.574366</v>
      </c>
      <c r="G5" s="18" t="n">
        <v>284.928552</v>
      </c>
      <c r="H5" s="18" t="n">
        <v>424.352999</v>
      </c>
      <c r="I5" s="18" t="n">
        <v>450.230855</v>
      </c>
      <c r="J5" s="18" t="n">
        <v>571.267595</v>
      </c>
      <c r="K5" s="18" t="n">
        <v>627.307539</v>
      </c>
      <c r="L5" s="18" t="n">
        <v>701.029796</v>
      </c>
      <c r="M5" s="18" t="n">
        <v>627.039745</v>
      </c>
      <c r="N5" s="18" t="n">
        <v>894.288201</v>
      </c>
      <c r="O5" s="18" t="n">
        <v>924.486586</v>
      </c>
      <c r="P5" s="18" t="n">
        <v>1057.155934</v>
      </c>
      <c r="Q5" s="18" t="n">
        <v>8.599245</v>
      </c>
      <c r="R5" s="18" t="n">
        <v>5.9</v>
      </c>
      <c r="S5" s="18" t="n">
        <v>7.5</v>
      </c>
      <c r="T5" s="18" t="n">
        <v>9.800000000000001</v>
      </c>
      <c r="U5" s="18" t="n">
        <v>8.756755999999999</v>
      </c>
      <c r="V5" s="18" t="n">
        <v>3.30886</v>
      </c>
      <c r="W5" s="18" t="n">
        <v>18.9</v>
      </c>
      <c r="X5" s="18" t="n">
        <v>27.5</v>
      </c>
      <c r="Y5" s="18" t="n">
        <v>29.5</v>
      </c>
      <c r="Z5" s="18" t="n">
        <v>30.1</v>
      </c>
      <c r="AA5" s="18" t="n">
        <v>42.9</v>
      </c>
      <c r="AB5" s="18" t="n">
        <v>68.5</v>
      </c>
      <c r="AC5" s="18" t="n">
        <v>315.8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110.655692</v>
      </c>
      <c r="C7" s="18" t="n">
        <v>114.225175</v>
      </c>
      <c r="D7" s="18" t="n">
        <v>130.514987</v>
      </c>
      <c r="E7" s="18" t="n">
        <v>100.924461</v>
      </c>
      <c r="F7" s="18" t="n">
        <v>126.034569</v>
      </c>
      <c r="G7" s="18" t="n">
        <v>121.147075</v>
      </c>
      <c r="H7" s="18" t="n">
        <v>135.31093</v>
      </c>
      <c r="I7" s="18" t="n">
        <v>145.602241</v>
      </c>
      <c r="J7" s="18" t="n">
        <v>153.62714</v>
      </c>
      <c r="K7" s="18" t="n">
        <v>167.873546</v>
      </c>
      <c r="L7" s="18" t="n">
        <v>187.012542</v>
      </c>
      <c r="M7" s="18" t="n">
        <v>235.531719</v>
      </c>
      <c r="N7" s="18" t="n">
        <v>308.846149</v>
      </c>
      <c r="O7" s="18" t="n">
        <v>283.355952</v>
      </c>
      <c r="P7" s="18" t="n">
        <v>261.229556</v>
      </c>
      <c r="Q7" s="18" t="n">
        <v>29.763472</v>
      </c>
      <c r="R7" s="18" t="n">
        <v>28.7</v>
      </c>
      <c r="S7" s="18" t="n">
        <v>25.5</v>
      </c>
      <c r="T7" s="18" t="n">
        <v>27.4</v>
      </c>
      <c r="U7" s="18" t="n">
        <v>24.659459</v>
      </c>
      <c r="V7" s="18" t="n">
        <v>25.054086</v>
      </c>
      <c r="W7" s="18" t="n">
        <v>34.4</v>
      </c>
      <c r="X7" s="18" t="n">
        <v>35.7</v>
      </c>
      <c r="Y7" s="18" t="n">
        <v>40</v>
      </c>
      <c r="Z7" s="18" t="n">
        <v>42.8</v>
      </c>
      <c r="AA7" s="18" t="n">
        <v>44.9</v>
      </c>
      <c r="AB7" s="18" t="n">
        <v>53.1</v>
      </c>
      <c r="AC7" s="18" t="n">
        <v>67.40000000000001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175.308989</v>
      </c>
      <c r="C9" s="18" t="n">
        <v>191.547306</v>
      </c>
      <c r="D9" s="18" t="n">
        <v>262.624961</v>
      </c>
      <c r="E9" s="18" t="n">
        <v>173.651688</v>
      </c>
      <c r="F9" s="18" t="n">
        <v>167.891534</v>
      </c>
      <c r="G9" s="18" t="n">
        <v>202.58097</v>
      </c>
      <c r="H9" s="18" t="n">
        <v>285.722383</v>
      </c>
      <c r="I9" s="18" t="n">
        <v>305.44861</v>
      </c>
      <c r="J9" s="18" t="n">
        <v>375.739657</v>
      </c>
      <c r="K9" s="18" t="n">
        <v>452.731138</v>
      </c>
      <c r="L9" s="18" t="n">
        <v>0</v>
      </c>
      <c r="M9" s="18" t="n">
        <v>501.585085</v>
      </c>
      <c r="N9" s="18" t="n">
        <v>0</v>
      </c>
      <c r="O9" s="18" t="n">
        <v>700.765284</v>
      </c>
      <c r="P9" s="18" t="n">
        <v>687.525551</v>
      </c>
      <c r="Q9" s="18" t="n">
        <v>34.301584</v>
      </c>
      <c r="R9" s="18" t="n">
        <v>42</v>
      </c>
      <c r="S9" s="18" t="n">
        <v>43.5</v>
      </c>
      <c r="T9" s="18" t="n">
        <v>54.7</v>
      </c>
      <c r="U9" s="18" t="n">
        <v>49.956756</v>
      </c>
      <c r="V9" s="18" t="n">
        <v>0</v>
      </c>
      <c r="W9" s="18" t="n">
        <v>0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159.9</v>
      </c>
      <c r="AC9" s="18" t="n">
        <v>143.8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455.910943</v>
      </c>
      <c r="C11" s="18" t="n">
        <v>478.875976</v>
      </c>
      <c r="D11" s="18" t="n">
        <v>548.272501</v>
      </c>
      <c r="E11" s="18" t="n">
        <v>391.680605</v>
      </c>
      <c r="F11" s="18" t="n">
        <v>358.221999</v>
      </c>
      <c r="G11" s="18" t="n">
        <v>465.774085</v>
      </c>
      <c r="H11" s="18" t="n">
        <v>541.850982</v>
      </c>
      <c r="I11" s="18" t="n">
        <v>517.047325</v>
      </c>
      <c r="J11" s="18" t="n">
        <v>541.920627</v>
      </c>
      <c r="K11" s="18" t="n">
        <v>626.7993310000001</v>
      </c>
      <c r="L11" s="18" t="n">
        <v>773.157096</v>
      </c>
      <c r="M11" s="18" t="n">
        <v>676.061221</v>
      </c>
      <c r="N11" s="18" t="n">
        <v>1267.010768</v>
      </c>
      <c r="O11" s="18" t="n">
        <v>1287.527057</v>
      </c>
      <c r="P11" s="18" t="n">
        <v>1180.918411</v>
      </c>
      <c r="Q11" s="18" t="n">
        <v>-3.475131</v>
      </c>
      <c r="R11" s="18" t="n">
        <v>-1.2</v>
      </c>
      <c r="S11" s="18" t="n">
        <v>-2.5</v>
      </c>
      <c r="T11" s="18" t="n">
        <v>-3.1</v>
      </c>
      <c r="U11" s="18" t="n">
        <v>2.54054</v>
      </c>
      <c r="V11" s="18" t="n">
        <v>8.775410000000001</v>
      </c>
      <c r="W11" s="18" t="n">
        <v>24.4</v>
      </c>
      <c r="X11" s="18" t="n">
        <v>10.4</v>
      </c>
      <c r="Y11" s="18" t="n">
        <v>25.8</v>
      </c>
      <c r="Z11" s="18" t="n">
        <v>75</v>
      </c>
      <c r="AA11" s="18" t="n">
        <v>103.2</v>
      </c>
      <c r="AB11" s="18" t="n">
        <v>159.2</v>
      </c>
      <c r="AC11" s="18" t="n">
        <v>83.2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110.529138</v>
      </c>
      <c r="C13" s="18" t="n">
        <v>114.687812</v>
      </c>
      <c r="D13" s="18" t="n">
        <v>78.798766</v>
      </c>
      <c r="E13" s="18" t="n">
        <v>66.05663800000001</v>
      </c>
      <c r="F13" s="18" t="n">
        <v>1.629878</v>
      </c>
      <c r="G13" s="18" t="n">
        <v>80.533078</v>
      </c>
      <c r="H13" s="18" t="n">
        <v>55.436053</v>
      </c>
      <c r="I13" s="18" t="n">
        <v>-3.531274</v>
      </c>
      <c r="J13" s="18" t="n">
        <v>-64.587945</v>
      </c>
      <c r="K13" s="18" t="n">
        <v>-78.071775</v>
      </c>
      <c r="L13" s="18" t="n">
        <v>-34.780912</v>
      </c>
      <c r="M13" s="18" t="n">
        <v>-152.841783</v>
      </c>
      <c r="N13" s="18" t="n">
        <v>160.535387</v>
      </c>
      <c r="O13" s="18" t="n">
        <v>179.352457</v>
      </c>
      <c r="P13" s="18" t="n">
        <v>83.219128</v>
      </c>
      <c r="Q13" s="18" t="n">
        <v>-74.39505200000001</v>
      </c>
      <c r="R13" s="18" t="n">
        <v>-78.40000000000001</v>
      </c>
      <c r="S13" s="18" t="n">
        <v>-77.59999999999999</v>
      </c>
      <c r="T13" s="18" t="n">
        <v>-93.5</v>
      </c>
      <c r="U13" s="18" t="n">
        <v>-80.843243</v>
      </c>
      <c r="V13" s="18" t="n">
        <v>-95.800068</v>
      </c>
      <c r="W13" s="18" t="n">
        <v>-87</v>
      </c>
      <c r="X13" s="18" t="n">
        <v>-149.3</v>
      </c>
      <c r="Y13" s="18" t="n">
        <v>-129.5</v>
      </c>
      <c r="Z13" s="18" t="n">
        <v>-111.2</v>
      </c>
      <c r="AA13" s="18" t="n">
        <v>-130.199999</v>
      </c>
      <c r="AB13" s="18" t="n">
        <v>-234.5</v>
      </c>
      <c r="AC13" s="18" t="n">
        <v>-128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58.610341</v>
      </c>
      <c r="C15" s="18" t="n">
        <v>71.677955</v>
      </c>
      <c r="D15" s="18" t="n">
        <v>15.321534</v>
      </c>
      <c r="E15" s="18" t="n">
        <v>73.758366</v>
      </c>
      <c r="F15" s="18" t="n">
        <v>-47.730148</v>
      </c>
      <c r="G15" s="18" t="n">
        <v>283.114048</v>
      </c>
      <c r="H15" s="18" t="n">
        <v>4.264311</v>
      </c>
      <c r="I15" s="18" t="n">
        <v>-39.373046</v>
      </c>
      <c r="J15" s="18" t="n">
        <v>-53.046081</v>
      </c>
      <c r="K15" s="18" t="n">
        <v>-46.494187</v>
      </c>
      <c r="L15" s="18" t="n">
        <v>-59.1663</v>
      </c>
      <c r="M15" s="18" t="n">
        <v>-177.291059</v>
      </c>
      <c r="N15" s="18" t="n">
        <v>105.836615</v>
      </c>
      <c r="O15" s="18" t="n">
        <v>717.077604</v>
      </c>
      <c r="P15" s="18" t="n">
        <v>67.287018</v>
      </c>
      <c r="Q15" s="18" t="n">
        <v>58.354939</v>
      </c>
      <c r="R15" s="18" t="n">
        <v>176.3</v>
      </c>
      <c r="S15" s="18" t="n">
        <v>84.3</v>
      </c>
      <c r="T15" s="18" t="n">
        <v>-72.90000000000001</v>
      </c>
      <c r="U15" s="18" t="n">
        <v>130.983783</v>
      </c>
      <c r="V15" s="18" t="n">
        <v>-554.472904</v>
      </c>
      <c r="W15" s="18" t="n">
        <v>-94.2</v>
      </c>
      <c r="X15" s="18" t="n">
        <v>-133.199999</v>
      </c>
      <c r="Y15" s="18" t="n">
        <v>-113.6</v>
      </c>
      <c r="Z15" s="18" t="n">
        <v>584.4</v>
      </c>
      <c r="AA15" s="18" t="n">
        <v>-119.6</v>
      </c>
      <c r="AB15" s="18" t="n">
        <v>-249.6</v>
      </c>
      <c r="AC15" s="18" t="n">
        <v>621.2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335</v>
      </c>
      <c r="C17" s="18" t="n">
        <v>335</v>
      </c>
      <c r="D17" s="18" t="n">
        <v>336</v>
      </c>
      <c r="E17" s="18" t="n">
        <v>338</v>
      </c>
      <c r="F17" s="18" t="n">
        <v>328</v>
      </c>
      <c r="G17" s="18" t="n">
        <v>362</v>
      </c>
      <c r="H17" s="18" t="n">
        <v>366</v>
      </c>
      <c r="I17" s="18" t="n">
        <v>355</v>
      </c>
      <c r="J17" s="18" t="n">
        <v>357</v>
      </c>
      <c r="K17" s="18" t="n">
        <v>363</v>
      </c>
      <c r="L17" s="18" t="n">
        <v>363</v>
      </c>
      <c r="M17" s="18" t="n">
        <v>365</v>
      </c>
      <c r="N17" s="18" t="n">
        <v>376</v>
      </c>
      <c r="O17" s="18" t="n">
        <v>371</v>
      </c>
      <c r="P17" s="18" t="n">
        <v>372</v>
      </c>
      <c r="Q17" s="18" t="n">
        <v>372</v>
      </c>
      <c r="R17" s="18" t="n">
        <v>372</v>
      </c>
      <c r="S17" s="18" t="n">
        <v>361</v>
      </c>
      <c r="T17" s="18" t="n">
        <v>371</v>
      </c>
      <c r="U17" s="18" t="n">
        <v>361</v>
      </c>
      <c r="V17" s="18" t="n">
        <v>294</v>
      </c>
      <c r="W17" s="18" t="n">
        <v>287</v>
      </c>
      <c r="X17" s="18" t="n">
        <v>236</v>
      </c>
      <c r="Y17" s="18" t="n">
        <v>238</v>
      </c>
      <c r="Z17" s="18" t="n">
        <v>240</v>
      </c>
      <c r="AA17" s="18" t="n">
        <v>251.807222</v>
      </c>
      <c r="AB17" s="18" t="n">
        <v>253.016971</v>
      </c>
      <c r="AC17" s="18" t="n">
        <v>308.971701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1259.742202</v>
      </c>
      <c r="C19" s="18" t="n">
        <v>1367.267004</v>
      </c>
      <c r="D19" s="18" t="n">
        <v>1424.375785</v>
      </c>
      <c r="E19" s="18" t="n">
        <v>2476.731656</v>
      </c>
      <c r="F19" s="18" t="n">
        <v>3446.704431</v>
      </c>
      <c r="G19" s="18" t="n">
        <v>3241.591514</v>
      </c>
      <c r="H19" s="18" t="n">
        <v>3201.206481</v>
      </c>
      <c r="I19" s="18" t="n">
        <v>3043.047201</v>
      </c>
      <c r="J19" s="18" t="n">
        <v>2936.073272</v>
      </c>
      <c r="K19" s="18" t="n">
        <v>1907.944291</v>
      </c>
      <c r="L19" s="18" t="n">
        <v>1437.431223</v>
      </c>
      <c r="M19" s="18" t="n">
        <v>1055.844855</v>
      </c>
      <c r="N19" s="18" t="n">
        <v>1438.885621</v>
      </c>
      <c r="O19" s="18" t="n">
        <v>1730.836724</v>
      </c>
      <c r="P19" s="18" t="n">
        <v>1126.536912</v>
      </c>
      <c r="Q19" s="18" t="n">
        <v>1578.201275</v>
      </c>
      <c r="R19" s="18" t="n">
        <v>866.97927</v>
      </c>
      <c r="S19" s="18" t="n">
        <v>924.879764</v>
      </c>
      <c r="T19" s="18" t="n">
        <v>121.2</v>
      </c>
      <c r="U19" s="18" t="n">
        <v>157.539604</v>
      </c>
      <c r="V19" s="18" t="n">
        <v>3894.7</v>
      </c>
      <c r="W19" s="18" t="n">
        <v>2288.2</v>
      </c>
      <c r="X19" s="18" t="n">
        <v>2449.6</v>
      </c>
      <c r="Y19" s="18" t="n">
        <v>1447</v>
      </c>
      <c r="Z19" s="18" t="n">
        <v>1679.3</v>
      </c>
      <c r="AA19" s="18" t="n">
        <v>4794.8</v>
      </c>
      <c r="AB19" s="18" t="n">
        <v>3678.1</v>
      </c>
      <c r="AC19" s="18" t="n">
        <v>9298.200000000001</v>
      </c>
    </row>
    <row r="20">
      <c r="A20" s="4" t="inlineStr">
        <is>
          <t>Total Current Assets</t>
        </is>
      </c>
      <c r="B20" s="18" t="n">
        <v>1702.258371</v>
      </c>
      <c r="C20" s="18" t="n">
        <v>1817.926025</v>
      </c>
      <c r="D20" s="18" t="n">
        <v>1940.180926</v>
      </c>
      <c r="E20" s="18" t="n">
        <v>2865.049198</v>
      </c>
      <c r="F20" s="18" t="n">
        <v>3926.729921</v>
      </c>
      <c r="G20" s="18" t="n">
        <v>3763.628083</v>
      </c>
      <c r="H20" s="18" t="n">
        <v>3902.989539</v>
      </c>
      <c r="I20" s="18" t="n">
        <v>3841.228265</v>
      </c>
      <c r="J20" s="18" t="n">
        <v>3890.604862</v>
      </c>
      <c r="K20" s="18" t="n">
        <v>2923.279134</v>
      </c>
      <c r="L20" s="18" t="n">
        <v>2681.664588</v>
      </c>
      <c r="M20" s="18" t="n">
        <v>2152.343329</v>
      </c>
      <c r="N20" s="18" t="n">
        <v>3166.149869</v>
      </c>
      <c r="O20" s="18" t="n">
        <v>3572.082814</v>
      </c>
      <c r="P20" s="18" t="n">
        <v>3220.590604</v>
      </c>
      <c r="Q20" s="18" t="n">
        <v>3563.689064</v>
      </c>
      <c r="R20" s="18" t="n">
        <v>2740.853376</v>
      </c>
      <c r="S20" s="18" t="n">
        <v>2758.504421</v>
      </c>
      <c r="T20" s="18" t="n">
        <v>3453.5</v>
      </c>
      <c r="U20" s="18" t="n">
        <v>3211.650089</v>
      </c>
      <c r="V20" s="18" t="n">
        <v>3965.8</v>
      </c>
      <c r="W20" s="18" t="n">
        <v>2381.9</v>
      </c>
      <c r="X20" s="18" t="n">
        <v>2533.3</v>
      </c>
      <c r="Y20" s="18" t="n">
        <v>1683.3</v>
      </c>
      <c r="Z20" s="18" t="n">
        <v>2029.6</v>
      </c>
      <c r="AA20" s="18" t="n">
        <v>5217</v>
      </c>
      <c r="AB20" s="18" t="n">
        <v>4711.4</v>
      </c>
      <c r="AC20" s="18" t="n">
        <v>11238.3</v>
      </c>
    </row>
    <row r="21">
      <c r="A21" s="4" t="inlineStr">
        <is>
          <t>PP&amp;E (net)</t>
        </is>
      </c>
      <c r="B21" s="18" t="n">
        <v>946.514489</v>
      </c>
      <c r="C21" s="18" t="n">
        <v>982.065626</v>
      </c>
      <c r="D21" s="18" t="n">
        <v>1114.163624</v>
      </c>
      <c r="E21" s="18" t="n">
        <v>771.271962</v>
      </c>
      <c r="F21" s="18" t="n">
        <v>987.86698</v>
      </c>
      <c r="G21" s="18" t="n">
        <v>1028.643421</v>
      </c>
      <c r="H21" s="18" t="n">
        <v>1109.767708</v>
      </c>
      <c r="I21" s="18" t="n">
        <v>1212.693668</v>
      </c>
      <c r="J21" s="18" t="n">
        <v>1478.121796</v>
      </c>
      <c r="K21" s="18" t="n">
        <v>1727.142137</v>
      </c>
      <c r="L21" s="18" t="n">
        <v>1804.583591</v>
      </c>
      <c r="M21" s="18" t="n">
        <v>1742.239779</v>
      </c>
      <c r="N21" s="18" t="n">
        <v>2642.70935</v>
      </c>
      <c r="O21" s="18" t="n">
        <v>2380.709434</v>
      </c>
      <c r="P21" s="18" t="n">
        <v>2098.684563</v>
      </c>
      <c r="Q21" s="18" t="n">
        <v>2100.278533</v>
      </c>
      <c r="R21" s="18" t="n">
        <v>2028.775691</v>
      </c>
      <c r="S21" s="18" t="n">
        <v>2068.666287</v>
      </c>
      <c r="T21" s="18" t="n">
        <v>146.9</v>
      </c>
      <c r="U21" s="18" t="n">
        <v>194.194805</v>
      </c>
      <c r="V21" s="18" t="n">
        <v>338.2</v>
      </c>
      <c r="W21" s="18" t="n">
        <v>507</v>
      </c>
      <c r="X21" s="18" t="n">
        <v>892</v>
      </c>
      <c r="Y21" s="18" t="n">
        <v>1584.4</v>
      </c>
      <c r="Z21" s="18" t="n">
        <v>2066.7</v>
      </c>
      <c r="AA21" s="18" t="n">
        <v>3815.4</v>
      </c>
      <c r="AB21" s="18" t="n">
        <v>6491.3</v>
      </c>
      <c r="AC21" s="18" t="n">
        <v>8397.700000000001</v>
      </c>
    </row>
    <row r="22">
      <c r="A22" s="4" t="inlineStr">
        <is>
          <t>Total Assets</t>
        </is>
      </c>
      <c r="B22" s="18" t="n">
        <v>4287.72633</v>
      </c>
      <c r="C22" s="18" t="n">
        <v>4382.894745</v>
      </c>
      <c r="D22" s="18" t="n">
        <v>4695.862396</v>
      </c>
      <c r="E22" s="18" t="n">
        <v>4910.307151</v>
      </c>
      <c r="F22" s="18" t="n">
        <v>6339.340373</v>
      </c>
      <c r="G22" s="18" t="n">
        <v>6653.591949</v>
      </c>
      <c r="H22" s="18" t="n">
        <v>6929.825457</v>
      </c>
      <c r="I22" s="18" t="n">
        <v>7288.607659</v>
      </c>
      <c r="J22" s="18" t="n">
        <v>7659.390878</v>
      </c>
      <c r="K22" s="18" t="n">
        <v>7032.775706</v>
      </c>
      <c r="L22" s="18" t="n">
        <v>6912.800943</v>
      </c>
      <c r="M22" s="18" t="n">
        <v>6119.231459</v>
      </c>
      <c r="N22" s="18" t="n">
        <v>9182.832049000001</v>
      </c>
      <c r="O22" s="18" t="n">
        <v>9640.369183000001</v>
      </c>
      <c r="P22" s="18" t="n">
        <v>8278.107382</v>
      </c>
      <c r="Q22" s="18" t="n">
        <v>8581.006020000001</v>
      </c>
      <c r="R22" s="18" t="n">
        <v>7504.232514</v>
      </c>
      <c r="S22" s="18" t="n">
        <v>7364.813569</v>
      </c>
      <c r="T22" s="18" t="n">
        <v>8755.1</v>
      </c>
      <c r="U22" s="18" t="n">
        <v>8646.026642000001</v>
      </c>
      <c r="V22" s="18" t="n">
        <v>4414.1</v>
      </c>
      <c r="W22" s="18" t="n">
        <v>3005.2</v>
      </c>
      <c r="X22" s="18" t="n">
        <v>3548.6</v>
      </c>
      <c r="Y22" s="18" t="n">
        <v>3436.5</v>
      </c>
      <c r="Z22" s="18" t="n">
        <v>5096.6</v>
      </c>
      <c r="AA22" s="18" t="n">
        <v>10102.2</v>
      </c>
      <c r="AB22" s="18" t="n">
        <v>12449.8</v>
      </c>
      <c r="AC22" s="18" t="n">
        <v>22303.3</v>
      </c>
    </row>
    <row r="23">
      <c r="A23" s="4" t="inlineStr">
        <is>
          <t>Total Current Liabilities</t>
        </is>
      </c>
      <c r="B23" s="18" t="n">
        <v>561.375323</v>
      </c>
      <c r="C23" s="18" t="n">
        <v>656.29249</v>
      </c>
      <c r="D23" s="18" t="n">
        <v>750.690202</v>
      </c>
      <c r="E23" s="18" t="n">
        <v>599.099473</v>
      </c>
      <c r="F23" s="18" t="n">
        <v>588.0832380000001</v>
      </c>
      <c r="G23" s="18" t="n">
        <v>750.818457</v>
      </c>
      <c r="H23" s="18" t="n">
        <v>844.730901</v>
      </c>
      <c r="I23" s="18" t="n">
        <v>1106.661992</v>
      </c>
      <c r="J23" s="18" t="n">
        <v>1179.840121</v>
      </c>
      <c r="K23" s="18" t="n">
        <v>1479.619626</v>
      </c>
      <c r="L23" s="18" t="n">
        <v>1489.93137</v>
      </c>
      <c r="M23" s="18" t="n">
        <v>2575.303764</v>
      </c>
      <c r="N23" s="18" t="n">
        <v>2515.917929</v>
      </c>
      <c r="O23" s="18" t="n">
        <v>2672.766089</v>
      </c>
      <c r="P23" s="18" t="n">
        <v>2521.395973</v>
      </c>
      <c r="Q23" s="18" t="n">
        <v>2901.626881</v>
      </c>
      <c r="R23" s="18" t="n">
        <v>2973.493504</v>
      </c>
      <c r="S23" s="18" t="n">
        <v>3088.462532</v>
      </c>
      <c r="T23" s="18" t="n">
        <v>3870.4</v>
      </c>
      <c r="U23" s="18" t="n">
        <v>3731.832104</v>
      </c>
      <c r="V23" s="18" t="n">
        <v>76.59999999999999</v>
      </c>
      <c r="W23" s="18" t="n">
        <v>107.1</v>
      </c>
      <c r="X23" s="18" t="n">
        <v>264</v>
      </c>
      <c r="Y23" s="18" t="n">
        <v>93.5</v>
      </c>
      <c r="Z23" s="18" t="n">
        <v>138.1</v>
      </c>
      <c r="AA23" s="18" t="n">
        <v>794.6</v>
      </c>
      <c r="AB23" s="18" t="n">
        <v>1527.8</v>
      </c>
      <c r="AC23" s="18" t="n">
        <v>1349</v>
      </c>
    </row>
    <row r="24">
      <c r="A24" s="4" t="inlineStr">
        <is>
          <t>Long-term Debt</t>
        </is>
      </c>
      <c r="B24" s="18" t="n">
        <v>0</v>
      </c>
      <c r="C24" s="18" t="n">
        <v>0</v>
      </c>
      <c r="D24" s="18" t="n">
        <v>0</v>
      </c>
      <c r="E24" s="18" t="n">
        <v>1080.524299</v>
      </c>
      <c r="F24" s="18" t="n">
        <v>1109.975227</v>
      </c>
      <c r="G24" s="18" t="n">
        <v>1148.863941</v>
      </c>
      <c r="H24" s="18" t="n">
        <v>1119.242908</v>
      </c>
      <c r="I24" s="18" t="n">
        <v>1130.815773</v>
      </c>
      <c r="J24" s="18" t="n">
        <v>1134.827879</v>
      </c>
      <c r="K24" s="18" t="n">
        <v>1146.292238</v>
      </c>
      <c r="L24" s="18" t="n">
        <v>1151.04728</v>
      </c>
      <c r="M24" s="18" t="n">
        <v>0</v>
      </c>
      <c r="N24" s="18" t="n">
        <v>503.244497</v>
      </c>
      <c r="O24" s="18" t="n">
        <v>511.642718</v>
      </c>
      <c r="P24" s="18" t="n">
        <v>401.140939</v>
      </c>
      <c r="Q24" s="18" t="n">
        <v>386.686033</v>
      </c>
      <c r="R24" s="18" t="n">
        <v>274.893339</v>
      </c>
      <c r="S24" s="18" t="n">
        <v>276.185551</v>
      </c>
      <c r="T24" s="18" t="n">
        <v>558.558354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978.2</v>
      </c>
      <c r="AA24" s="18" t="n">
        <v>4090.8</v>
      </c>
      <c r="AB24" s="18" t="n">
        <v>4103.2</v>
      </c>
      <c r="AC24" s="18" t="n">
        <v>8432</v>
      </c>
    </row>
    <row r="25">
      <c r="A25" s="4" t="inlineStr">
        <is>
          <t>Total Equity</t>
        </is>
      </c>
      <c r="B25" s="18" t="n">
        <v>2967.960174</v>
      </c>
      <c r="C25" s="18" t="n">
        <v>3012.412061</v>
      </c>
      <c r="D25" s="18" t="n">
        <v>3144.188651</v>
      </c>
      <c r="E25" s="18" t="n">
        <v>2630.792625</v>
      </c>
      <c r="F25" s="18" t="n">
        <v>3954.68842</v>
      </c>
      <c r="G25" s="18" t="n">
        <v>4133.954127</v>
      </c>
      <c r="H25" s="18" t="n">
        <v>4365.863151</v>
      </c>
      <c r="I25" s="18" t="n">
        <v>4342.412644</v>
      </c>
      <c r="J25" s="18" t="n">
        <v>4520.693815</v>
      </c>
      <c r="K25" s="18" t="n">
        <v>3542.695952</v>
      </c>
      <c r="L25" s="18" t="n">
        <v>3462.139951</v>
      </c>
      <c r="M25" s="18" t="n">
        <v>2805.853833</v>
      </c>
      <c r="N25" s="18" t="n">
        <v>5027.476867</v>
      </c>
      <c r="O25" s="18" t="n">
        <v>5255.650155</v>
      </c>
      <c r="P25" s="18" t="n">
        <v>4245.744966</v>
      </c>
      <c r="Q25" s="18" t="n">
        <v>4142.663504</v>
      </c>
      <c r="R25" s="18" t="n">
        <v>3397.176619</v>
      </c>
      <c r="S25" s="18" t="n">
        <v>3123.255934</v>
      </c>
      <c r="T25" s="18" t="n">
        <v>3293.7</v>
      </c>
      <c r="U25" s="18" t="n">
        <v>3333.906093</v>
      </c>
      <c r="V25" s="18" t="n">
        <v>4333.4</v>
      </c>
      <c r="W25" s="18" t="n">
        <v>2873.7</v>
      </c>
      <c r="X25" s="18" t="n">
        <v>3253.7</v>
      </c>
      <c r="Y25" s="18" t="n">
        <v>3161.3</v>
      </c>
      <c r="Z25" s="18" t="n">
        <v>3775.5</v>
      </c>
      <c r="AA25" s="18" t="n">
        <v>4810.8</v>
      </c>
      <c r="AB25" s="18" t="n">
        <v>4613.2</v>
      </c>
      <c r="AC25" s="18" t="n">
        <v>7240.9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96.304604</v>
      </c>
      <c r="C27" s="18" t="n">
        <v>100.366324</v>
      </c>
      <c r="D27" s="18" t="n">
        <v>106.779534</v>
      </c>
      <c r="E27" s="18" t="n">
        <v>90.921845</v>
      </c>
      <c r="F27" s="18" t="n">
        <v>92.867248</v>
      </c>
      <c r="G27" s="18" t="n">
        <v>106.318682</v>
      </c>
      <c r="H27" s="18" t="n">
        <v>107.534888</v>
      </c>
      <c r="I27" s="18" t="n">
        <v>119.135826</v>
      </c>
      <c r="J27" s="18" t="n">
        <v>134.236066</v>
      </c>
      <c r="K27" s="18" t="n">
        <v>156.691503</v>
      </c>
      <c r="L27" s="18" t="n">
        <v>153.978249</v>
      </c>
      <c r="M27" s="18" t="n">
        <v>167.534566</v>
      </c>
      <c r="N27" s="18" t="n">
        <v>257.389821</v>
      </c>
      <c r="O27" s="18" t="n">
        <v>220.767369</v>
      </c>
      <c r="P27" s="18" t="n">
        <v>218.236955</v>
      </c>
      <c r="Q27" s="18" t="n">
        <v>6.854865</v>
      </c>
      <c r="R27" s="18" t="n">
        <v>6.5</v>
      </c>
      <c r="S27" s="18" t="n">
        <v>6.1</v>
      </c>
      <c r="T27" s="18" t="n">
        <v>8.300000000000001</v>
      </c>
      <c r="U27" s="18" t="n">
        <v>8.912152000000001</v>
      </c>
      <c r="V27" s="18" t="n">
        <v>11.5</v>
      </c>
      <c r="W27" s="18" t="n">
        <v>25.3</v>
      </c>
      <c r="X27" s="18" t="n">
        <v>37.3</v>
      </c>
      <c r="Y27" s="18" t="n">
        <v>49.2</v>
      </c>
      <c r="Z27" s="18" t="n">
        <v>75.2</v>
      </c>
      <c r="AA27" s="18" t="n">
        <v>111.8</v>
      </c>
      <c r="AB27" s="18" t="n">
        <v>210.7</v>
      </c>
      <c r="AC27" s="18" t="n">
        <v>241.8</v>
      </c>
    </row>
    <row r="28">
      <c r="A28" s="4" t="inlineStr">
        <is>
          <t>Stock-based Compensation</t>
        </is>
      </c>
      <c r="B28" s="18" t="n">
        <v>34.87</v>
      </c>
      <c r="C28" s="18" t="n">
        <v>34.738621</v>
      </c>
      <c r="D28" s="18" t="n">
        <v>0</v>
      </c>
      <c r="E28" s="18" t="n">
        <v>34.552561</v>
      </c>
      <c r="F28" s="18" t="n">
        <v>59.978248</v>
      </c>
      <c r="G28" s="18" t="n">
        <v>50.04498</v>
      </c>
      <c r="H28" s="18" t="n">
        <v>0</v>
      </c>
      <c r="I28" s="18" t="n">
        <v>76.43868399999999</v>
      </c>
      <c r="J28" s="18" t="n">
        <v>0</v>
      </c>
      <c r="K28" s="18" t="n">
        <v>0</v>
      </c>
      <c r="L28" s="18" t="n">
        <v>0</v>
      </c>
      <c r="M28" s="18" t="n">
        <v>74.998503</v>
      </c>
      <c r="N28" s="18" t="n">
        <v>-51.641664</v>
      </c>
      <c r="O28" s="18" t="n">
        <v>12.292436</v>
      </c>
      <c r="P28" s="18" t="n">
        <v>0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6.9</v>
      </c>
      <c r="X28" s="18" t="n">
        <v>42.6</v>
      </c>
      <c r="Y28" s="18" t="n">
        <v>0</v>
      </c>
      <c r="Z28" s="18" t="n">
        <v>0</v>
      </c>
      <c r="AA28" s="18" t="n">
        <v>26.2</v>
      </c>
      <c r="AB28" s="18" t="n">
        <v>50.9</v>
      </c>
      <c r="AC28" s="18" t="n">
        <v>0</v>
      </c>
    </row>
    <row r="29">
      <c r="A29" s="4" t="inlineStr">
        <is>
          <t>Change in Working Capital</t>
        </is>
      </c>
      <c r="B29" s="18" t="n">
        <v>-54.936102</v>
      </c>
      <c r="C29" s="18" t="n">
        <v>4.4834</v>
      </c>
      <c r="D29" s="18" t="n">
        <v>-88.15936600000001</v>
      </c>
      <c r="E29" s="18" t="n">
        <v>-52.362642</v>
      </c>
      <c r="F29" s="18" t="n">
        <v>-157.562246</v>
      </c>
      <c r="G29" s="18" t="n">
        <v>45.91782</v>
      </c>
      <c r="H29" s="18" t="n">
        <v>-112.132508</v>
      </c>
      <c r="I29" s="18" t="n">
        <v>-41.498672</v>
      </c>
      <c r="J29" s="18" t="n">
        <v>-183.771699</v>
      </c>
      <c r="K29" s="18" t="n">
        <v>-95.35466700000001</v>
      </c>
      <c r="L29" s="18" t="n">
        <v>-86.113923</v>
      </c>
      <c r="M29" s="18" t="n">
        <v>-140.803256</v>
      </c>
      <c r="N29" s="18" t="n">
        <v>20.196021</v>
      </c>
      <c r="O29" s="18" t="n">
        <v>112.549413</v>
      </c>
      <c r="P29" s="18" t="n">
        <v>-292.48297</v>
      </c>
      <c r="Q29" s="18" t="n">
        <v>99.061666</v>
      </c>
      <c r="R29" s="18" t="n">
        <v>-167.009769</v>
      </c>
      <c r="S29" s="18" t="n">
        <v>-28.844077</v>
      </c>
      <c r="T29" s="18" t="n">
        <v>92.739475</v>
      </c>
      <c r="U29" s="18" t="n">
        <v>0</v>
      </c>
      <c r="V29" s="18" t="n">
        <v>0</v>
      </c>
      <c r="W29" s="18" t="n">
        <v>-13.2</v>
      </c>
      <c r="X29" s="18" t="n">
        <v>-34.9</v>
      </c>
      <c r="Y29" s="18" t="n">
        <v>0</v>
      </c>
      <c r="Z29" s="18" t="n">
        <v>0</v>
      </c>
      <c r="AA29" s="18" t="n">
        <v>-98.5</v>
      </c>
      <c r="AB29" s="18" t="n">
        <v>-804.4</v>
      </c>
      <c r="AC29" s="18" t="n">
        <v>2121.699999</v>
      </c>
    </row>
    <row r="30">
      <c r="A30" s="4" t="inlineStr">
        <is>
          <t>Operating Cash Flow</t>
        </is>
      </c>
      <c r="B30" s="18" t="n">
        <v>167.106557</v>
      </c>
      <c r="C30" s="18" t="n">
        <v>227.01465</v>
      </c>
      <c r="D30" s="18" t="n">
        <v>143.328905</v>
      </c>
      <c r="E30" s="18" t="n">
        <v>96.636645</v>
      </c>
      <c r="F30" s="18" t="n">
        <v>-1.852499</v>
      </c>
      <c r="G30" s="18" t="n">
        <v>239.299324</v>
      </c>
      <c r="H30" s="18" t="n">
        <v>69.489161</v>
      </c>
      <c r="I30" s="18" t="n">
        <v>112.748376</v>
      </c>
      <c r="J30" s="18" t="n">
        <v>-65.282245</v>
      </c>
      <c r="K30" s="18" t="n">
        <v>30.39284</v>
      </c>
      <c r="L30" s="18" t="n">
        <v>47.610009</v>
      </c>
      <c r="M30" s="18" t="n">
        <v>-48.4707</v>
      </c>
      <c r="N30" s="18" t="n">
        <v>397.372423</v>
      </c>
      <c r="O30" s="18" t="n">
        <v>453.005398</v>
      </c>
      <c r="P30" s="18" t="n">
        <v>-58.33249</v>
      </c>
      <c r="Q30" s="18" t="n">
        <v>306.88811</v>
      </c>
      <c r="R30" s="18" t="n">
        <v>135.657959</v>
      </c>
      <c r="S30" s="18" t="n">
        <v>176.224949</v>
      </c>
      <c r="T30" s="18" t="n">
        <v>145.532343</v>
      </c>
      <c r="U30" s="18" t="n">
        <v>0</v>
      </c>
      <c r="V30" s="18" t="n">
        <v>0</v>
      </c>
      <c r="W30" s="18" t="n">
        <v>-55.8</v>
      </c>
      <c r="X30" s="18" t="n">
        <v>-74.59999999999999</v>
      </c>
      <c r="Y30" s="18" t="n">
        <v>0</v>
      </c>
      <c r="Z30" s="18" t="n">
        <v>0</v>
      </c>
      <c r="AA30" s="18" t="n">
        <v>-80.40000000000001</v>
      </c>
      <c r="AB30" s="18" t="n">
        <v>834.3</v>
      </c>
      <c r="AC30" s="18" t="n">
        <v>2258</v>
      </c>
    </row>
    <row r="31">
      <c r="A31" s="4" t="inlineStr">
        <is>
          <t>Capex</t>
        </is>
      </c>
      <c r="B31" s="18" t="n">
        <v>-122.425405</v>
      </c>
      <c r="C31" s="18" t="n">
        <v>-82.015303</v>
      </c>
      <c r="D31" s="18" t="n">
        <v>-90.179355</v>
      </c>
      <c r="E31" s="18" t="n">
        <v>-30.206801</v>
      </c>
      <c r="F31" s="18" t="n">
        <v>-146.432997</v>
      </c>
      <c r="G31" s="18" t="n">
        <v>-59.426041</v>
      </c>
      <c r="H31" s="18" t="n">
        <v>-86.93699100000001</v>
      </c>
      <c r="I31" s="18" t="n">
        <v>-46.872032</v>
      </c>
      <c r="J31" s="18" t="n">
        <v>-184.731114</v>
      </c>
      <c r="K31" s="18" t="n">
        <v>-117.64919</v>
      </c>
      <c r="L31" s="18" t="n">
        <v>-263.146989</v>
      </c>
      <c r="M31" s="18" t="n">
        <v>-215.275034</v>
      </c>
      <c r="N31" s="18" t="n">
        <v>-146.644814</v>
      </c>
      <c r="O31" s="18" t="n">
        <v>-78.907856</v>
      </c>
      <c r="P31" s="18" t="n">
        <v>-319.424109</v>
      </c>
      <c r="Q31" s="18" t="n">
        <v>-130.20156</v>
      </c>
      <c r="R31" s="18" t="n">
        <v>-283.989849</v>
      </c>
      <c r="S31" s="18" t="n">
        <v>-272.429439</v>
      </c>
      <c r="T31" s="18" t="n">
        <v>609.803666</v>
      </c>
      <c r="U31" s="18" t="n">
        <v>0</v>
      </c>
      <c r="V31" s="18" t="n">
        <v>0</v>
      </c>
      <c r="W31" s="18" t="n">
        <v>-172.1</v>
      </c>
      <c r="X31" s="18" t="n">
        <v>-417.7</v>
      </c>
      <c r="Y31" s="18" t="n">
        <v>0</v>
      </c>
      <c r="Z31" s="18" t="n">
        <v>0</v>
      </c>
      <c r="AA31" s="18" t="n">
        <v>-955.5</v>
      </c>
      <c r="AB31" s="18" t="n">
        <v>-2056</v>
      </c>
      <c r="AC31" s="18" t="n">
        <v>-2472.9</v>
      </c>
    </row>
    <row r="32">
      <c r="A32" s="4" t="inlineStr">
        <is>
          <t>Free Cash Flow</t>
        </is>
      </c>
      <c r="B32" s="18" t="n">
        <v>44.681151</v>
      </c>
      <c r="C32" s="18" t="n">
        <v>144.999346</v>
      </c>
      <c r="D32" s="18" t="n">
        <v>53.14955</v>
      </c>
      <c r="E32" s="18" t="n">
        <v>66.42984300000001</v>
      </c>
      <c r="F32" s="18" t="n">
        <v>-148.285497</v>
      </c>
      <c r="G32" s="18" t="n">
        <v>179.873283</v>
      </c>
      <c r="H32" s="18" t="n">
        <v>-17.44783</v>
      </c>
      <c r="I32" s="18" t="n">
        <v>65.87634300000001</v>
      </c>
      <c r="J32" s="18" t="n">
        <v>-250.01336</v>
      </c>
      <c r="K32" s="18" t="n">
        <v>-87.25635</v>
      </c>
      <c r="L32" s="18" t="n">
        <v>-215.53698</v>
      </c>
      <c r="M32" s="18" t="n">
        <v>-263.745735</v>
      </c>
      <c r="N32" s="18" t="n">
        <v>250.727608</v>
      </c>
      <c r="O32" s="18" t="n">
        <v>374.097541</v>
      </c>
      <c r="P32" s="18" t="n">
        <v>-377.7566</v>
      </c>
      <c r="Q32" s="18" t="n">
        <v>176.68655</v>
      </c>
      <c r="R32" s="18" t="n">
        <v>-148.33189</v>
      </c>
      <c r="S32" s="18" t="n">
        <v>-96.20449000000001</v>
      </c>
      <c r="T32" s="18" t="n">
        <v>755.33601</v>
      </c>
      <c r="U32" s="18" t="n">
        <v>0</v>
      </c>
      <c r="V32" s="18" t="n">
        <v>0</v>
      </c>
      <c r="W32" s="18" t="n">
        <v>-227.9</v>
      </c>
      <c r="X32" s="18" t="n">
        <v>-492.3</v>
      </c>
      <c r="Y32" s="18" t="n">
        <v>0</v>
      </c>
      <c r="Z32" s="18" t="n">
        <v>0</v>
      </c>
      <c r="AA32" s="18" t="n">
        <v>-1035.9</v>
      </c>
      <c r="AB32" s="18" t="n">
        <v>-1221.7</v>
      </c>
      <c r="AC32" s="18" t="n">
        <v>-214.9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3387.983444</v>
      </c>
      <c r="C4" s="18" t="n">
        <v>11476.233501</v>
      </c>
      <c r="D4" s="18" t="n">
        <v>20674.207377</v>
      </c>
      <c r="E4" s="18" t="n">
        <v>27980.2</v>
      </c>
      <c r="F4" s="18" t="n">
        <v>38855.7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  <c r="F5" s="33">
        <f>Model!K6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-2262.963687</v>
      </c>
      <c r="C8" s="18" t="n">
        <v>-7665.415166</v>
      </c>
      <c r="D8" s="18" t="n">
        <v>-13809.093617</v>
      </c>
      <c r="E8" s="18" t="n">
        <v>-18689.045446</v>
      </c>
      <c r="F8" s="18" t="n">
        <v>-25953.207737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  <c r="F9" s="33">
        <f>Model!K19+Model!K24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-2735.645552</v>
      </c>
      <c r="C12" s="18" t="n">
        <v>-9266.546799</v>
      </c>
      <c r="D12" s="18" t="n">
        <v>-16693.500545</v>
      </c>
      <c r="E12" s="18" t="n">
        <v>-22592.763796</v>
      </c>
      <c r="F12" s="18" t="n">
        <v>-31374.245082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  <c r="F13" s="33">
        <f>Model!K19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3360.110491</v>
      </c>
      <c r="C16" s="18" t="n">
        <v>11381.818486</v>
      </c>
      <c r="D16" s="18" t="n">
        <v>20504.120597</v>
      </c>
      <c r="E16" s="18" t="n">
        <v>27750.006792</v>
      </c>
      <c r="F16" s="18" t="n">
        <v>38536.034015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  <c r="F17" s="33">
        <f>Model!K14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-520.5728779999999</v>
      </c>
      <c r="C20" s="18" t="n">
        <v>-239.089873</v>
      </c>
      <c r="D20" s="18" t="n">
        <v>341.214985</v>
      </c>
      <c r="E20" s="18" t="n">
        <v>-561.766562</v>
      </c>
      <c r="F20" s="18" t="n">
        <v>-20.24384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  <c r="F21" s="33">
        <f>Model!K23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-2.05721</v>
      </c>
      <c r="C24" s="47" t="n">
        <v>-0.94484</v>
      </c>
      <c r="D24" s="47" t="n">
        <v>1.34842</v>
      </c>
      <c r="E24" s="47" t="n">
        <v>-2.22</v>
      </c>
      <c r="F24" s="47" t="n">
        <v>-0.08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Nebius Group N.V.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Financials!AC19</f>
        <v/>
      </c>
    </row>
    <row r="33">
      <c r="A33" s="4" t="inlineStr">
        <is>
          <t>- Long-term debt</t>
        </is>
      </c>
      <c r="B33" s="33">
        <f>-Financials!AC24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0.07806381381195455</v>
      </c>
      <c r="C4" s="51" t="n">
        <v>0.08306381381195456</v>
      </c>
      <c r="D4" s="51" t="n">
        <v>0.08806381381195455</v>
      </c>
      <c r="E4" s="51" t="n">
        <v>0.09306381381195455</v>
      </c>
      <c r="F4" s="51" t="n">
        <v>0.09806381381195456</v>
      </c>
      <c r="G4" s="51" t="n">
        <v>0.1030638138119545</v>
      </c>
      <c r="H4" s="51" t="n">
        <v>0.1080638138119546</v>
      </c>
    </row>
    <row r="5">
      <c r="A5" s="52" t="n">
        <v>9</v>
      </c>
      <c r="B5" s="53" t="n">
        <v>1.851393571213226</v>
      </c>
      <c r="C5" s="53" t="n">
        <v>0.4988721911021091</v>
      </c>
      <c r="D5" s="53" t="n">
        <v>-0.7652773200813359</v>
      </c>
      <c r="E5" s="53" t="n">
        <v>-1.94632969864901</v>
      </c>
      <c r="F5" s="53" t="n">
        <v>-3.049237213612757</v>
      </c>
      <c r="G5" s="53" t="n">
        <v>-4.078650347159492</v>
      </c>
      <c r="H5" s="53" t="n">
        <v>-5.038937075875255</v>
      </c>
    </row>
    <row r="6">
      <c r="A6" s="52" t="n">
        <v>10</v>
      </c>
      <c r="B6" s="53" t="n">
        <v>7.643424608925435</v>
      </c>
      <c r="C6" s="53" t="n">
        <v>6.028999248516689</v>
      </c>
      <c r="D6" s="53" t="n">
        <v>4.515913967163913</v>
      </c>
      <c r="E6" s="53" t="n">
        <v>3.098196680705452</v>
      </c>
      <c r="F6" s="53" t="n">
        <v>1.770238214289956</v>
      </c>
      <c r="G6" s="53" t="n">
        <v>0.5267691073461342</v>
      </c>
      <c r="H6" s="53" t="n">
        <v>-0.637162015424784</v>
      </c>
    </row>
    <row r="7">
      <c r="A7" s="52" t="n">
        <v>11</v>
      </c>
      <c r="B7" s="53" t="n">
        <v>13.43545564663764</v>
      </c>
      <c r="C7" s="53" t="n">
        <v>11.55912630593126</v>
      </c>
      <c r="D7" s="53" t="n">
        <v>9.797105254409162</v>
      </c>
      <c r="E7" s="53" t="n">
        <v>8.142723060059904</v>
      </c>
      <c r="F7" s="53" t="n">
        <v>6.589713642192664</v>
      </c>
      <c r="G7" s="53" t="n">
        <v>5.132188561851761</v>
      </c>
      <c r="H7" s="53" t="n">
        <v>3.764613045025693</v>
      </c>
    </row>
    <row r="8">
      <c r="A8" s="52" t="n">
        <v>12</v>
      </c>
      <c r="B8" s="53" t="n">
        <v>19.22748668434985</v>
      </c>
      <c r="C8" s="53" t="n">
        <v>17.08925336334582</v>
      </c>
      <c r="D8" s="53" t="n">
        <v>15.07829654165439</v>
      </c>
      <c r="E8" s="54" t="n">
        <v>13.18724943941436</v>
      </c>
      <c r="F8" s="53" t="n">
        <v>11.40918907009537</v>
      </c>
      <c r="G8" s="53" t="n">
        <v>9.737608016357376</v>
      </c>
      <c r="H8" s="53" t="n">
        <v>8.166388105476157</v>
      </c>
    </row>
    <row r="9">
      <c r="A9" s="52" t="n">
        <v>13</v>
      </c>
      <c r="B9" s="53" t="n">
        <v>25.01951772206205</v>
      </c>
      <c r="C9" s="53" t="n">
        <v>22.61938042076039</v>
      </c>
      <c r="D9" s="53" t="n">
        <v>20.35948782889964</v>
      </c>
      <c r="E9" s="53" t="n">
        <v>18.23177581876881</v>
      </c>
      <c r="F9" s="53" t="n">
        <v>16.22866449799806</v>
      </c>
      <c r="G9" s="53" t="n">
        <v>14.343027470863</v>
      </c>
      <c r="H9" s="53" t="n">
        <v>12.56816316592662</v>
      </c>
    </row>
    <row r="10">
      <c r="A10" s="52" t="n">
        <v>14</v>
      </c>
      <c r="B10" s="53" t="n">
        <v>30.81154875977426</v>
      </c>
      <c r="C10" s="53" t="n">
        <v>28.14950747817497</v>
      </c>
      <c r="D10" s="53" t="n">
        <v>25.64067911614488</v>
      </c>
      <c r="E10" s="53" t="n">
        <v>23.27630219812326</v>
      </c>
      <c r="F10" s="53" t="n">
        <v>21.04813992590078</v>
      </c>
      <c r="G10" s="53" t="n">
        <v>18.94844692536862</v>
      </c>
      <c r="H10" s="53" t="n">
        <v>16.9699382263771</v>
      </c>
    </row>
    <row r="11">
      <c r="A11" s="52" t="n">
        <v>15</v>
      </c>
      <c r="B11" s="53" t="n">
        <v>36.60357979748648</v>
      </c>
      <c r="C11" s="53" t="n">
        <v>33.67963453558954</v>
      </c>
      <c r="D11" s="53" t="n">
        <v>30.92187040339013</v>
      </c>
      <c r="E11" s="53" t="n">
        <v>28.32082857747772</v>
      </c>
      <c r="F11" s="53" t="n">
        <v>25.86761535380349</v>
      </c>
      <c r="G11" s="53" t="n">
        <v>23.55386637987425</v>
      </c>
      <c r="H11" s="53" t="n">
        <v>21.37171328682757</v>
      </c>
    </row>
    <row r="13">
      <c r="A13" s="3" t="inlineStr">
        <is>
          <t>Current price</t>
        </is>
      </c>
      <c r="B13" s="53" t="n">
        <v>286.6900024414062</v>
      </c>
    </row>
    <row r="14">
      <c r="A14" s="3" t="inlineStr">
        <is>
          <t>Base WACC / multiple</t>
        </is>
      </c>
      <c r="B14" s="55" t="n">
        <v>0.09306381381195455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0.8365780606514412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0.9562765719400316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1.059379288306961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2026-07-08T07:03:56Z</dcterms:created>
  <dcterms:modified xmlns:dcterms="http://purl.org/dc/terms/" xmlns:xsi="http://www.w3.org/2001/XMLSchema-instance" xsi:type="dcterms:W3CDTF">2026-07-08T07:03:56Z</dcterms:modified>
</cp:coreProperties>
</file>