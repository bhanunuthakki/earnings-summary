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Texas Instruments Incorporated (TXN)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2026-06-05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2026-06-05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Texas Instruments Incorporated (TXN)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Model!G36-WACC!B14</f>
        <v/>
      </c>
      <c r="C15" s="10">
        <f>IF(Model!G36-WACC!B14&lt;0,"!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50" t="n">
        <v>0.1241773099233909</v>
      </c>
      <c r="C20" s="50" t="n">
        <v>0.05</v>
      </c>
      <c r="D20" s="51" t="n">
        <v>0.1241773099233909</v>
      </c>
      <c r="E20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0.4424721294659521</v>
      </c>
      <c r="D29" s="51" t="n">
        <v>0.4424721294659521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0.4617718963047569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5005</v>
      </c>
      <c r="D34" s="18" t="n">
        <v>5005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1.298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0.045</v>
      </c>
    </row>
    <row r="48">
      <c r="A48" s="4" t="inlineStr">
        <is>
          <t>Current price</t>
        </is>
      </c>
      <c r="B48" s="55" t="n">
        <v>294.6400146484375</v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Financials!AC43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28">
        <f>SUM(Financials!I3:L3)</f>
        <v/>
      </c>
      <c r="C4" s="28">
        <f>SUM(Financials!M3:P3)</f>
        <v/>
      </c>
      <c r="D4" s="28">
        <f>SUM(Financials!Q3:T3)</f>
        <v/>
      </c>
      <c r="E4" s="28">
        <f>SUM(Financials!U3:X3)</f>
        <v/>
      </c>
      <c r="F4" s="28">
        <f>SUM(Financials!Y3:AB3)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3" t="inlineStr">
        <is>
          <t>Total revenue</t>
        </is>
      </c>
      <c r="B6" s="33">
        <f>B4</f>
        <v/>
      </c>
      <c r="C6" s="33">
        <f>C4</f>
        <v/>
      </c>
      <c r="D6" s="33">
        <f>D4</f>
        <v/>
      </c>
      <c r="E6" s="33">
        <f>E4</f>
        <v/>
      </c>
      <c r="F6" s="33">
        <f>F4</f>
        <v/>
      </c>
      <c r="G6" s="33">
        <f>G4</f>
        <v/>
      </c>
      <c r="H6" s="33">
        <f>H4</f>
        <v/>
      </c>
      <c r="I6" s="33">
        <f>I4</f>
        <v/>
      </c>
      <c r="J6" s="33">
        <f>J4</f>
        <v/>
      </c>
      <c r="K6" s="33">
        <f>K4</f>
        <v/>
      </c>
      <c r="L6" s="33">
        <f>L4</f>
        <v/>
      </c>
      <c r="M6" s="33">
        <f>M4</f>
        <v/>
      </c>
      <c r="N6" s="33">
        <f>N4</f>
        <v/>
      </c>
      <c r="O6" s="33">
        <f>O4</f>
        <v/>
      </c>
      <c r="P6" s="33">
        <f>P4</f>
        <v/>
      </c>
    </row>
    <row r="7">
      <c r="A7" s="4" t="inlineStr">
        <is>
          <t xml:space="preserve">    growth %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57">
        <f>IFERROR(G6/F6-1,"")</f>
        <v/>
      </c>
      <c r="H7" s="57">
        <f>IFERROR(H6/G6-1,"")</f>
        <v/>
      </c>
      <c r="I7" s="57">
        <f>IFERROR(I6/H6-1,"")</f>
        <v/>
      </c>
      <c r="J7" s="57">
        <f>IFERROR(J6/I6-1,"")</f>
        <v/>
      </c>
      <c r="K7" s="57">
        <f>IFERROR(K6/J6-1,"")</f>
        <v/>
      </c>
      <c r="L7" s="57">
        <f>IFERROR(L6/K6-1,"")</f>
        <v/>
      </c>
      <c r="M7" s="57">
        <f>IFERROR(M6/L6-1,"")</f>
        <v/>
      </c>
      <c r="N7" s="57">
        <f>IFERROR(N6/M6-1,"")</f>
        <v/>
      </c>
      <c r="O7" s="57">
        <f>IFERROR(O6/N6-1,"")</f>
        <v/>
      </c>
      <c r="P7" s="57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28">
        <f>SUM(Financials!I5:L5)</f>
        <v/>
      </c>
      <c r="C10" s="28">
        <f>SUM(Financials!M5:P5)</f>
        <v/>
      </c>
      <c r="D10" s="28">
        <f>SUM(Financials!Q5:T5)</f>
        <v/>
      </c>
      <c r="E10" s="28">
        <f>SUM(Financials!U5:X5)</f>
        <v/>
      </c>
      <c r="F10" s="28">
        <f>SUM(Financials!Y5:AB5)</f>
        <v/>
      </c>
      <c r="G10" s="32">
        <f>G6*G11</f>
        <v/>
      </c>
      <c r="H10" s="32">
        <f>H6*H11</f>
        <v/>
      </c>
      <c r="I10" s="32">
        <f>I6*I11</f>
        <v/>
      </c>
      <c r="J10" s="32">
        <f>J6*J11</f>
        <v/>
      </c>
      <c r="K10" s="32">
        <f>K6*K11</f>
        <v/>
      </c>
      <c r="L10" s="32">
        <f>L6*L11</f>
        <v/>
      </c>
      <c r="M10" s="32">
        <f>M6*M11</f>
        <v/>
      </c>
      <c r="N10" s="32">
        <f>N6*N11</f>
        <v/>
      </c>
      <c r="O10" s="32">
        <f>O6*O11</f>
        <v/>
      </c>
      <c r="P10" s="32">
        <f>P6*P11</f>
        <v/>
      </c>
    </row>
    <row r="11">
      <c r="A11" s="4" t="inlineStr">
        <is>
          <t xml:space="preserve">    % of revenue</t>
        </is>
      </c>
      <c r="B11" s="57">
        <f>IFERROR(B10/B6,"")</f>
        <v/>
      </c>
      <c r="C11" s="57">
        <f>IFERROR(C10/C6,"")</f>
        <v/>
      </c>
      <c r="D11" s="57">
        <f>IFERROR(D10/D6,"")</f>
        <v/>
      </c>
      <c r="E11" s="57">
        <f>IFERROR(E10/E6,"")</f>
        <v/>
      </c>
      <c r="F11" s="57">
        <f>IFERROR(F10/F6,"")</f>
        <v/>
      </c>
      <c r="G11" s="50" t="n">
        <v>0.4297590770274856</v>
      </c>
      <c r="H11" s="50" t="n">
        <v>0.4297590770274856</v>
      </c>
      <c r="I11" s="50" t="n">
        <v>0.4297590770274856</v>
      </c>
      <c r="J11" s="50" t="n">
        <v>0.4297590770274856</v>
      </c>
      <c r="K11" s="50" t="n">
        <v>0.4297590770274856</v>
      </c>
      <c r="L11" s="50" t="n">
        <v>0.4297590770274856</v>
      </c>
      <c r="M11" s="50" t="n">
        <v>0.4297590770274856</v>
      </c>
      <c r="N11" s="50" t="n">
        <v>0.4297590770274856</v>
      </c>
      <c r="O11" s="50" t="n">
        <v>0.4297590770274856</v>
      </c>
      <c r="P11" s="50" t="n">
        <v>0.4297590770274856</v>
      </c>
    </row>
    <row r="12">
      <c r="A12" s="4" t="inlineStr">
        <is>
          <t>R&amp;D / Technology</t>
        </is>
      </c>
      <c r="B12" s="28">
        <f>SUM(Financials!I7:L7)</f>
        <v/>
      </c>
      <c r="C12" s="28">
        <f>SUM(Financials!M7:P7)</f>
        <v/>
      </c>
      <c r="D12" s="28">
        <f>SUM(Financials!Q7:T7)</f>
        <v/>
      </c>
      <c r="E12" s="28">
        <f>SUM(Financials!U7:X7)</f>
        <v/>
      </c>
      <c r="F12" s="28">
        <f>SUM(Financials!Y7:AB7)</f>
        <v/>
      </c>
      <c r="G12" s="32">
        <f>G6*G13</f>
        <v/>
      </c>
      <c r="H12" s="32">
        <f>H6*H13</f>
        <v/>
      </c>
      <c r="I12" s="32">
        <f>I6*I13</f>
        <v/>
      </c>
      <c r="J12" s="32">
        <f>J6*J13</f>
        <v/>
      </c>
      <c r="K12" s="32">
        <f>K6*K13</f>
        <v/>
      </c>
      <c r="L12" s="32">
        <f>L6*L13</f>
        <v/>
      </c>
      <c r="M12" s="32">
        <f>M6*M13</f>
        <v/>
      </c>
      <c r="N12" s="32">
        <f>N6*N13</f>
        <v/>
      </c>
      <c r="O12" s="32">
        <f>O6*O13</f>
        <v/>
      </c>
      <c r="P12" s="32">
        <f>P6*P13</f>
        <v/>
      </c>
    </row>
    <row r="13">
      <c r="A13" s="4" t="inlineStr">
        <is>
          <t xml:space="preserve">    % of revenue</t>
        </is>
      </c>
      <c r="B13" s="57">
        <f>IFERROR(B12/B6,"")</f>
        <v/>
      </c>
      <c r="C13" s="57">
        <f>IFERROR(C12/C6,"")</f>
        <v/>
      </c>
      <c r="D13" s="57">
        <f>IFERROR(D12/D6,"")</f>
        <v/>
      </c>
      <c r="E13" s="57">
        <f>IFERROR(E12/E6,"")</f>
        <v/>
      </c>
      <c r="F13" s="57">
        <f>IFERROR(F12/F6,"")</f>
        <v/>
      </c>
      <c r="G13" s="50" t="n">
        <v>0.1178034159031784</v>
      </c>
      <c r="H13" s="50" t="n">
        <v>0.1178034159031784</v>
      </c>
      <c r="I13" s="50" t="n">
        <v>0.1178034159031784</v>
      </c>
      <c r="J13" s="50" t="n">
        <v>0.1178034159031784</v>
      </c>
      <c r="K13" s="50" t="n">
        <v>0.1178034159031784</v>
      </c>
      <c r="L13" s="50" t="n">
        <v>0.1178034159031784</v>
      </c>
      <c r="M13" s="50" t="n">
        <v>0.1178034159031784</v>
      </c>
      <c r="N13" s="50" t="n">
        <v>0.1178034159031784</v>
      </c>
      <c r="O13" s="50" t="n">
        <v>0.1178034159031784</v>
      </c>
      <c r="P13" s="50" t="n">
        <v>0.1178034159031784</v>
      </c>
    </row>
    <row r="14">
      <c r="A14" s="4" t="inlineStr">
        <is>
          <t>SG&amp;A</t>
        </is>
      </c>
      <c r="B14" s="28">
        <f>SUM(Financials!I9:L9)</f>
        <v/>
      </c>
      <c r="C14" s="28">
        <f>SUM(Financials!M9:P9)</f>
        <v/>
      </c>
      <c r="D14" s="28">
        <f>SUM(Financials!Q9:T9)</f>
        <v/>
      </c>
      <c r="E14" s="28">
        <f>SUM(Financials!U9:X9)</f>
        <v/>
      </c>
      <c r="F14" s="28">
        <f>SUM(Financials!Y9:AB9)</f>
        <v/>
      </c>
      <c r="G14" s="32">
        <f>G6*G15</f>
        <v/>
      </c>
      <c r="H14" s="32">
        <f>H6*H15</f>
        <v/>
      </c>
      <c r="I14" s="32">
        <f>I6*I15</f>
        <v/>
      </c>
      <c r="J14" s="32">
        <f>J6*J15</f>
        <v/>
      </c>
      <c r="K14" s="32">
        <f>K6*K15</f>
        <v/>
      </c>
      <c r="L14" s="32">
        <f>L6*L15</f>
        <v/>
      </c>
      <c r="M14" s="32">
        <f>M6*M15</f>
        <v/>
      </c>
      <c r="N14" s="32">
        <f>N6*N15</f>
        <v/>
      </c>
      <c r="O14" s="32">
        <f>O6*O15</f>
        <v/>
      </c>
      <c r="P14" s="32">
        <f>P6*P15</f>
        <v/>
      </c>
    </row>
    <row r="15">
      <c r="A15" s="4" t="inlineStr">
        <is>
          <t xml:space="preserve">    % of revenue</t>
        </is>
      </c>
      <c r="B15" s="57">
        <f>IFERROR(B14/B6,"")</f>
        <v/>
      </c>
      <c r="C15" s="57">
        <f>IFERROR(C14/C6,"")</f>
        <v/>
      </c>
      <c r="D15" s="57">
        <f>IFERROR(D14/D6,"")</f>
        <v/>
      </c>
      <c r="E15" s="57">
        <f>IFERROR(E14/E6,"")</f>
        <v/>
      </c>
      <c r="F15" s="57">
        <f>IFERROR(F14/F6,"")</f>
        <v/>
      </c>
      <c r="G15" s="50" t="n">
        <v>0.1051917203936206</v>
      </c>
      <c r="H15" s="50" t="n">
        <v>0.1051917203936206</v>
      </c>
      <c r="I15" s="50" t="n">
        <v>0.1051917203936206</v>
      </c>
      <c r="J15" s="50" t="n">
        <v>0.1051917203936206</v>
      </c>
      <c r="K15" s="50" t="n">
        <v>0.1051917203936206</v>
      </c>
      <c r="L15" s="50" t="n">
        <v>0.1051917203936206</v>
      </c>
      <c r="M15" s="50" t="n">
        <v>0.1051917203936206</v>
      </c>
      <c r="N15" s="50" t="n">
        <v>0.1051917203936206</v>
      </c>
      <c r="O15" s="50" t="n">
        <v>0.1051917203936206</v>
      </c>
      <c r="P15" s="50" t="n">
        <v>0.1051917203936206</v>
      </c>
    </row>
    <row r="16">
      <c r="A16" s="4" t="inlineStr">
        <is>
          <t>Other opex (fulfilment, etc.)</t>
        </is>
      </c>
      <c r="B16" s="28">
        <f>B6-(B10+B12+B14)-SUM(Financials!I13:L13)</f>
        <v/>
      </c>
      <c r="C16" s="28">
        <f>C6-(C10+C12+C14)-SUM(Financials!M13:P13)</f>
        <v/>
      </c>
      <c r="D16" s="28">
        <f>D6-(D10+D12+D14)-SUM(Financials!Q13:T13)</f>
        <v/>
      </c>
      <c r="E16" s="28">
        <f>E6-(E10+E12+E14)-SUM(Financials!U13:X13)</f>
        <v/>
      </c>
      <c r="F16" s="28">
        <f>F6-(F10+F12+F14)-SUM(Financials!Y13:AB13)</f>
        <v/>
      </c>
      <c r="G16" s="28">
        <f>G6*(1-(Dashboard!$B$29+(Dashboard!$B$30-Dashboard!$B$29)*MIN(1,0/4)))-(G10+G12+G14)</f>
        <v/>
      </c>
      <c r="H16" s="28">
        <f>H6*(1-(Dashboard!$B$29+(Dashboard!$B$30-Dashboard!$B$29)*MIN(1,1/4)))-(H10+H12+H14)</f>
        <v/>
      </c>
      <c r="I16" s="28">
        <f>I6*(1-(Dashboard!$B$29+(Dashboard!$B$30-Dashboard!$B$29)*MIN(1,2/4)))-(I10+I12+I14)</f>
        <v/>
      </c>
      <c r="J16" s="28">
        <f>J6*(1-(Dashboard!$B$29+(Dashboard!$B$30-Dashboard!$B$29)*MIN(1,3/4)))-(J10+J12+J14)</f>
        <v/>
      </c>
      <c r="K16" s="28">
        <f>K6*(1-(Dashboard!$B$29+(Dashboard!$B$30-Dashboard!$B$29)*MIN(1,4/4)))-(K10+K12+K14)</f>
        <v/>
      </c>
      <c r="L16" s="28">
        <f>L6*(1-(Dashboard!$B$29+(Dashboard!$B$30-Dashboard!$B$29)*MIN(1,5/4)))-(L10+L12+L14)</f>
        <v/>
      </c>
      <c r="M16" s="28">
        <f>M6*(1-(Dashboard!$B$29+(Dashboard!$B$30-Dashboard!$B$29)*MIN(1,6/4)))-(M10+M12+M14)</f>
        <v/>
      </c>
      <c r="N16" s="28">
        <f>N6*(1-(Dashboard!$B$29+(Dashboard!$B$30-Dashboard!$B$29)*MIN(1,7/4)))-(N10+N12+N14)</f>
        <v/>
      </c>
      <c r="O16" s="28">
        <f>O6*(1-(Dashboard!$B$29+(Dashboard!$B$30-Dashboard!$B$29)*MIN(1,8/4)))-(O10+O12+O14)</f>
        <v/>
      </c>
      <c r="P16" s="28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57">
        <f>IFERROR(B16/B6,"")</f>
        <v/>
      </c>
      <c r="C17" s="57">
        <f>IFERROR(C16/C6,"")</f>
        <v/>
      </c>
      <c r="D17" s="57">
        <f>IFERROR(D16/D6,"")</f>
        <v/>
      </c>
      <c r="E17" s="57">
        <f>IFERROR(E16/E6,"")</f>
        <v/>
      </c>
      <c r="F17" s="57">
        <f>IFERROR(F16/F6,"")</f>
        <v/>
      </c>
      <c r="G17" s="57">
        <f>IFERROR(G16/G6,"")</f>
        <v/>
      </c>
      <c r="H17" s="57">
        <f>IFERROR(H16/H6,"")</f>
        <v/>
      </c>
      <c r="I17" s="57">
        <f>IFERROR(I16/I6,"")</f>
        <v/>
      </c>
      <c r="J17" s="57">
        <f>IFERROR(J16/J6,"")</f>
        <v/>
      </c>
      <c r="K17" s="57">
        <f>IFERROR(K16/K6,"")</f>
        <v/>
      </c>
      <c r="L17" s="57">
        <f>IFERROR(L16/L6,"")</f>
        <v/>
      </c>
      <c r="M17" s="57">
        <f>IFERROR(M16/M6,"")</f>
        <v/>
      </c>
      <c r="N17" s="57">
        <f>IFERROR(N16/N6,"")</f>
        <v/>
      </c>
      <c r="O17" s="57">
        <f>IFERROR(O16/O6,"")</f>
        <v/>
      </c>
      <c r="P17" s="57">
        <f>IFERROR(P16/P6,"")</f>
        <v/>
      </c>
    </row>
    <row r="19">
      <c r="A19" s="3" t="inlineStr">
        <is>
          <t>Operating income (EBIT)</t>
        </is>
      </c>
      <c r="B19" s="33">
        <f>B6-(B10+B12+B14)-B16</f>
        <v/>
      </c>
      <c r="C19" s="33">
        <f>C6-(C10+C12+C14)-C16</f>
        <v/>
      </c>
      <c r="D19" s="33">
        <f>D6-(D10+D12+D14)-D16</f>
        <v/>
      </c>
      <c r="E19" s="33">
        <f>E6-(E10+E12+E14)-E16</f>
        <v/>
      </c>
      <c r="F19" s="33">
        <f>F6-(F10+F12+F14)-F16</f>
        <v/>
      </c>
      <c r="G19" s="33">
        <f>G6-(G10+G12+G14)-G16</f>
        <v/>
      </c>
      <c r="H19" s="33">
        <f>H6-(H10+H12+H14)-H16</f>
        <v/>
      </c>
      <c r="I19" s="33">
        <f>I6-(I10+I12+I14)-I16</f>
        <v/>
      </c>
      <c r="J19" s="33">
        <f>J6-(J10+J12+J14)-J16</f>
        <v/>
      </c>
      <c r="K19" s="33">
        <f>K6-(K10+K12+K14)-K16</f>
        <v/>
      </c>
      <c r="L19" s="33">
        <f>L6-(L10+L12+L14)-L16</f>
        <v/>
      </c>
      <c r="M19" s="33">
        <f>M6-(M10+M12+M14)-M16</f>
        <v/>
      </c>
      <c r="N19" s="33">
        <f>N6-(N10+N12+N14)-N16</f>
        <v/>
      </c>
      <c r="O19" s="33">
        <f>O6-(O10+O12+O14)-O16</f>
        <v/>
      </c>
      <c r="P19" s="33">
        <f>P6-(P10+P12+P14)-P16</f>
        <v/>
      </c>
    </row>
    <row r="20">
      <c r="A20" s="4" t="inlineStr">
        <is>
          <t xml:space="preserve">    operating margin</t>
        </is>
      </c>
      <c r="B20" s="57">
        <f>IFERROR(B19/B6,"")</f>
        <v/>
      </c>
      <c r="C20" s="57">
        <f>IFERROR(C19/C6,"")</f>
        <v/>
      </c>
      <c r="D20" s="57">
        <f>IFERROR(D19/D6,"")</f>
        <v/>
      </c>
      <c r="E20" s="57">
        <f>IFERROR(E19/E6,"")</f>
        <v/>
      </c>
      <c r="F20" s="57">
        <f>IFERROR(F19/F6,"")</f>
        <v/>
      </c>
      <c r="G20" s="57">
        <f>IFERROR(G19/G6,"")</f>
        <v/>
      </c>
      <c r="H20" s="57">
        <f>IFERROR(H19/H6,"")</f>
        <v/>
      </c>
      <c r="I20" s="57">
        <f>IFERROR(I19/I6,"")</f>
        <v/>
      </c>
      <c r="J20" s="57">
        <f>IFERROR(J19/J6,"")</f>
        <v/>
      </c>
      <c r="K20" s="57">
        <f>IFERROR(K19/K6,"")</f>
        <v/>
      </c>
      <c r="L20" s="57">
        <f>IFERROR(L19/L6,"")</f>
        <v/>
      </c>
      <c r="M20" s="57">
        <f>IFERROR(M19/M6,"")</f>
        <v/>
      </c>
      <c r="N20" s="57">
        <f>IFERROR(N19/N6,"")</f>
        <v/>
      </c>
      <c r="O20" s="57">
        <f>IFERROR(O19/O6,"")</f>
        <v/>
      </c>
      <c r="P20" s="57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28">
        <f>B19*(1-Valuation!$B$5)</f>
        <v/>
      </c>
      <c r="C23" s="28">
        <f>C19*(1-Valuation!$B$5)</f>
        <v/>
      </c>
      <c r="D23" s="28">
        <f>D19*(1-Valuation!$B$5)</f>
        <v/>
      </c>
      <c r="E23" s="28">
        <f>E19*(1-Valuation!$B$5)</f>
        <v/>
      </c>
      <c r="F23" s="28">
        <f>F19*(1-Valuation!$B$5)</f>
        <v/>
      </c>
      <c r="G23" s="28">
        <f>G19*(1-Valuation!$B$5)</f>
        <v/>
      </c>
      <c r="H23" s="28">
        <f>H19*(1-Valuation!$B$5)</f>
        <v/>
      </c>
      <c r="I23" s="28">
        <f>I19*(1-Valuation!$B$5)</f>
        <v/>
      </c>
      <c r="J23" s="28">
        <f>J19*(1-Valuation!$B$5)</f>
        <v/>
      </c>
      <c r="K23" s="28">
        <f>K19*(1-Valuation!$B$5)</f>
        <v/>
      </c>
      <c r="L23" s="28">
        <f>L19*(1-Valuation!$B$5)</f>
        <v/>
      </c>
      <c r="M23" s="28">
        <f>M19*(1-Valuation!$B$5)</f>
        <v/>
      </c>
      <c r="N23" s="28">
        <f>N19*(1-Valuation!$B$5)</f>
        <v/>
      </c>
      <c r="O23" s="28">
        <f>O19*(1-Valuation!$B$5)</f>
        <v/>
      </c>
      <c r="P23" s="28">
        <f>P19*(1-Valuation!$B$5)</f>
        <v/>
      </c>
    </row>
    <row r="24">
      <c r="A24" s="4" t="inlineStr">
        <is>
          <t>+ D&amp;A</t>
        </is>
      </c>
      <c r="B24" s="28">
        <f>SUM(Financials!I46:L46)</f>
        <v/>
      </c>
      <c r="C24" s="28">
        <f>SUM(Financials!M46:P46)</f>
        <v/>
      </c>
      <c r="D24" s="28">
        <f>SUM(Financials!Q46:T46)</f>
        <v/>
      </c>
      <c r="E24" s="28">
        <f>SUM(Financials!U46:X46)</f>
        <v/>
      </c>
      <c r="F24" s="28">
        <f>SUM(Financials!Y46:AB46)</f>
        <v/>
      </c>
      <c r="G24" s="32">
        <f>G6*0.1131</f>
        <v/>
      </c>
      <c r="H24" s="32">
        <f>H6*0.1131</f>
        <v/>
      </c>
      <c r="I24" s="32">
        <f>I6*0.1131</f>
        <v/>
      </c>
      <c r="J24" s="32">
        <f>J6*0.1131</f>
        <v/>
      </c>
      <c r="K24" s="32">
        <f>K6*0.1131</f>
        <v/>
      </c>
      <c r="L24" s="32">
        <f>L6*0.1131</f>
        <v/>
      </c>
      <c r="M24" s="32">
        <f>M6*0.1131</f>
        <v/>
      </c>
      <c r="N24" s="32">
        <f>N6*0.1131</f>
        <v/>
      </c>
      <c r="O24" s="32">
        <f>O6*0.1131</f>
        <v/>
      </c>
      <c r="P24" s="32">
        <f>P6*0.1131</f>
        <v/>
      </c>
    </row>
    <row r="25">
      <c r="A25" s="4" t="inlineStr">
        <is>
          <t>+ SBC (non-cash)</t>
        </is>
      </c>
      <c r="B25" s="28">
        <f>SUM(Financials!I47:L47)</f>
        <v/>
      </c>
      <c r="C25" s="28">
        <f>SUM(Financials!M47:P47)</f>
        <v/>
      </c>
      <c r="D25" s="28">
        <f>SUM(Financials!Q47:T47)</f>
        <v/>
      </c>
      <c r="E25" s="28">
        <f>SUM(Financials!U47:X47)</f>
        <v/>
      </c>
      <c r="F25" s="28">
        <f>SUM(Financials!Y47:AB47)</f>
        <v/>
      </c>
      <c r="G25" s="32">
        <f>G6*0.0237</f>
        <v/>
      </c>
      <c r="H25" s="32">
        <f>H6*0.0226</f>
        <v/>
      </c>
      <c r="I25" s="32">
        <f>I6*0.0216</f>
        <v/>
      </c>
      <c r="J25" s="32">
        <f>J6*0.0205</f>
        <v/>
      </c>
      <c r="K25" s="32">
        <f>K6*0.0195</f>
        <v/>
      </c>
      <c r="L25" s="32">
        <f>L6*0.0184</f>
        <v/>
      </c>
      <c r="M25" s="32">
        <f>M6*0.0174</f>
        <v/>
      </c>
      <c r="N25" s="32">
        <f>N6*0.0163</f>
        <v/>
      </c>
      <c r="O25" s="32">
        <f>O6*0.0153</f>
        <v/>
      </c>
      <c r="P25" s="32">
        <f>P6*0.0142</f>
        <v/>
      </c>
    </row>
    <row r="26">
      <c r="A26" s="4" t="inlineStr">
        <is>
          <t>- dNWC</t>
        </is>
      </c>
      <c r="G26" s="32">
        <f>(G6-F6)*0.0050</f>
        <v/>
      </c>
      <c r="H26" s="32">
        <f>(H6-G6)*0.0050</f>
        <v/>
      </c>
      <c r="I26" s="32">
        <f>(I6-H6)*0.0050</f>
        <v/>
      </c>
      <c r="J26" s="32">
        <f>(J6-I6)*0.0050</f>
        <v/>
      </c>
      <c r="K26" s="32">
        <f>(K6-J6)*0.0050</f>
        <v/>
      </c>
      <c r="L26" s="32">
        <f>(L6-K6)*0.0050</f>
        <v/>
      </c>
      <c r="M26" s="32">
        <f>(M6-L6)*0.0050</f>
        <v/>
      </c>
      <c r="N26" s="32">
        <f>(N6-M6)*0.0050</f>
        <v/>
      </c>
      <c r="O26" s="32">
        <f>(O6-N6)*0.0050</f>
        <v/>
      </c>
      <c r="P26" s="32">
        <f>(P6-O6)*0.0050</f>
        <v/>
      </c>
    </row>
    <row r="27">
      <c r="A27" s="4" t="inlineStr">
        <is>
          <t>- Capex</t>
        </is>
      </c>
      <c r="B27" s="28">
        <f>-SUM(Financials!I50:L50)</f>
        <v/>
      </c>
      <c r="C27" s="28">
        <f>-SUM(Financials!M50:P50)</f>
        <v/>
      </c>
      <c r="D27" s="28">
        <f>-SUM(Financials!Q50:T50)</f>
        <v/>
      </c>
      <c r="E27" s="28">
        <f>-SUM(Financials!U50:X50)</f>
        <v/>
      </c>
      <c r="F27" s="28">
        <f>-SUM(Financials!Y50:AB50)</f>
        <v/>
      </c>
      <c r="G27" s="32">
        <f>G24*G28</f>
        <v/>
      </c>
      <c r="H27" s="32">
        <f>H24*H28</f>
        <v/>
      </c>
      <c r="I27" s="32">
        <f>I24*I28</f>
        <v/>
      </c>
      <c r="J27" s="32">
        <f>J24*J28</f>
        <v/>
      </c>
      <c r="K27" s="32">
        <f>K24*K28</f>
        <v/>
      </c>
      <c r="L27" s="32">
        <f>L24*L28</f>
        <v/>
      </c>
      <c r="M27" s="32">
        <f>M24*M28</f>
        <v/>
      </c>
      <c r="N27" s="32">
        <f>N24*N28</f>
        <v/>
      </c>
      <c r="O27" s="32">
        <f>O24*O28</f>
        <v/>
      </c>
      <c r="P27" s="32">
        <f>P24*P28</f>
        <v/>
      </c>
    </row>
    <row r="28">
      <c r="A28" s="4" t="inlineStr">
        <is>
          <t xml:space="preserve">    Capex / D&amp;A  (from Dashboard: $cap'26 -&gt; terminal)</t>
        </is>
      </c>
      <c r="B28" s="59">
        <f>IFERROR(B27/B24,"")</f>
        <v/>
      </c>
      <c r="C28" s="59">
        <f>IFERROR(C27/C24,"")</f>
        <v/>
      </c>
      <c r="D28" s="59">
        <f>IFERROR(D27/D24,"")</f>
        <v/>
      </c>
      <c r="E28" s="59">
        <f>IFERROR(E27/E24,"")</f>
        <v/>
      </c>
      <c r="F28" s="59">
        <f>IFERROR(F27/F24,"")</f>
        <v/>
      </c>
      <c r="G28" s="49">
        <f>(Dashboard!$B$34/G24)+(Dashboard!$B$35-(Dashboard!$B$34/G24))*0/9</f>
        <v/>
      </c>
      <c r="H28" s="49">
        <f>(Dashboard!$B$34/G24)+(Dashboard!$B$35-(Dashboard!$B$34/G24))*1/9</f>
        <v/>
      </c>
      <c r="I28" s="49">
        <f>(Dashboard!$B$34/G24)+(Dashboard!$B$35-(Dashboard!$B$34/G24))*2/9</f>
        <v/>
      </c>
      <c r="J28" s="49">
        <f>(Dashboard!$B$34/G24)+(Dashboard!$B$35-(Dashboard!$B$34/G24))*3/9</f>
        <v/>
      </c>
      <c r="K28" s="49">
        <f>(Dashboard!$B$34/G24)+(Dashboard!$B$35-(Dashboard!$B$34/G24))*4/9</f>
        <v/>
      </c>
      <c r="L28" s="49">
        <f>(Dashboard!$B$34/G24)+(Dashboard!$B$35-(Dashboard!$B$34/G24))*5/9</f>
        <v/>
      </c>
      <c r="M28" s="49">
        <f>(Dashboard!$B$34/G24)+(Dashboard!$B$35-(Dashboard!$B$34/G24))*6/9</f>
        <v/>
      </c>
      <c r="N28" s="49">
        <f>(Dashboard!$B$34/G24)+(Dashboard!$B$35-(Dashboard!$B$34/G24))*7/9</f>
        <v/>
      </c>
      <c r="O28" s="49">
        <f>(Dashboard!$B$34/G24)+(Dashboard!$B$35-(Dashboard!$B$34/G24))*8/9</f>
        <v/>
      </c>
      <c r="P28" s="49">
        <f>(Dashboard!$B$34/G24)+(Dashboard!$B$35-(Dashboard!$B$34/G24))*9/9</f>
        <v/>
      </c>
    </row>
    <row r="30">
      <c r="A30" s="3" t="inlineStr">
        <is>
          <t>FCFF (firm)</t>
        </is>
      </c>
      <c r="B30" s="33">
        <f>B23+B24+B25-B26-B27</f>
        <v/>
      </c>
      <c r="C30" s="33">
        <f>C23+C24+C25-C26-C27</f>
        <v/>
      </c>
      <c r="D30" s="33">
        <f>D23+D24+D25-D26-D27</f>
        <v/>
      </c>
      <c r="E30" s="33">
        <f>E23+E24+E25-E26-E27</f>
        <v/>
      </c>
      <c r="F30" s="33">
        <f>F23+F24+F25-F26-F27</f>
        <v/>
      </c>
      <c r="G30" s="33">
        <f>G23+G24+G25-G26-G27</f>
        <v/>
      </c>
      <c r="H30" s="33">
        <f>H23+H24+H25-H26-H27</f>
        <v/>
      </c>
      <c r="I30" s="33">
        <f>I23+I24+I25-I26-I27</f>
        <v/>
      </c>
      <c r="J30" s="33">
        <f>J23+J24+J25-J26-J27</f>
        <v/>
      </c>
      <c r="K30" s="33">
        <f>K23+K24+K25-K26-K27</f>
        <v/>
      </c>
      <c r="L30" s="33">
        <f>L23+L24+L25-L26-L27</f>
        <v/>
      </c>
      <c r="M30" s="33">
        <f>M23+M24+M25-M26-M27</f>
        <v/>
      </c>
      <c r="N30" s="33">
        <f>N23+N24+N25-N26-N27</f>
        <v/>
      </c>
      <c r="O30" s="33">
        <f>O23+O24+O25-O26-O27</f>
        <v/>
      </c>
      <c r="P30" s="33">
        <f>P23+P24+P25-P26-P27</f>
        <v/>
      </c>
    </row>
    <row r="31">
      <c r="A31" s="3" t="inlineStr">
        <is>
          <t>Valuation FCF (FCFF - SBC)</t>
        </is>
      </c>
      <c r="B31" s="33">
        <f>B30-B25</f>
        <v/>
      </c>
      <c r="C31" s="33">
        <f>C30-C25</f>
        <v/>
      </c>
      <c r="D31" s="33">
        <f>D30-D25</f>
        <v/>
      </c>
      <c r="E31" s="33">
        <f>E30-E25</f>
        <v/>
      </c>
      <c r="F31" s="33">
        <f>F30-F25</f>
        <v/>
      </c>
      <c r="G31" s="33">
        <f>G30-G25</f>
        <v/>
      </c>
      <c r="H31" s="33">
        <f>H30-H25</f>
        <v/>
      </c>
      <c r="I31" s="33">
        <f>I30-I25</f>
        <v/>
      </c>
      <c r="J31" s="33">
        <f>J30-J25</f>
        <v/>
      </c>
      <c r="K31" s="33">
        <f>K30-K25</f>
        <v/>
      </c>
      <c r="L31" s="33">
        <f>L30-L25</f>
        <v/>
      </c>
      <c r="M31" s="33">
        <f>M30-M25</f>
        <v/>
      </c>
      <c r="N31" s="33">
        <f>N30-N25</f>
        <v/>
      </c>
      <c r="O31" s="33">
        <f>O30-O25</f>
        <v/>
      </c>
      <c r="P31" s="33">
        <f>P30-P25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28">
        <f>Financials!L44+Financials!L43-Financials!L38</f>
        <v/>
      </c>
      <c r="C34" s="28">
        <f>Financials!P44+Financials!P43-Financials!P38</f>
        <v/>
      </c>
      <c r="D34" s="28">
        <f>Financials!T44+Financials!T43-Financials!T38</f>
        <v/>
      </c>
      <c r="E34" s="28">
        <f>Financials!X44+Financials!X43-Financials!X38</f>
        <v/>
      </c>
      <c r="F34" s="28">
        <f>Financials!AB44+Financials!AB43-Financials!AB38</f>
        <v/>
      </c>
      <c r="G34" s="32">
        <f>F34+G27-G24+G26</f>
        <v/>
      </c>
      <c r="H34" s="32">
        <f>G34+H27-H24+H26</f>
        <v/>
      </c>
      <c r="I34" s="32">
        <f>H34+I27-I24+I26</f>
        <v/>
      </c>
      <c r="J34" s="32">
        <f>I34+J27-J24+J26</f>
        <v/>
      </c>
      <c r="K34" s="32">
        <f>J34+K27-K24+K26</f>
        <v/>
      </c>
      <c r="L34" s="32">
        <f>K34+L27-L24+L26</f>
        <v/>
      </c>
      <c r="M34" s="32">
        <f>L34+M27-M24+M26</f>
        <v/>
      </c>
      <c r="N34" s="32">
        <f>M34+N27-N24+N26</f>
        <v/>
      </c>
      <c r="O34" s="32">
        <f>N34+O27-O24+O26</f>
        <v/>
      </c>
      <c r="P34" s="32">
        <f>O34+P27-P24+P26</f>
        <v/>
      </c>
    </row>
    <row r="35">
      <c r="A35" s="4" t="inlineStr">
        <is>
          <t>Book equity (year-end)</t>
        </is>
      </c>
      <c r="B35" s="28">
        <f>Financials!L44</f>
        <v/>
      </c>
      <c r="C35" s="28">
        <f>Financials!P44</f>
        <v/>
      </c>
      <c r="D35" s="28">
        <f>Financials!T44</f>
        <v/>
      </c>
      <c r="E35" s="28">
        <f>Financials!X44</f>
        <v/>
      </c>
      <c r="F35" s="28">
        <f>Financials!AB44</f>
        <v/>
      </c>
      <c r="G35" s="32">
        <f>F35+G23</f>
        <v/>
      </c>
      <c r="H35" s="32">
        <f>G35+H23</f>
        <v/>
      </c>
      <c r="I35" s="32">
        <f>H35+I23</f>
        <v/>
      </c>
      <c r="J35" s="32">
        <f>I35+J23</f>
        <v/>
      </c>
      <c r="K35" s="32">
        <f>J35+K23</f>
        <v/>
      </c>
      <c r="L35" s="32">
        <f>K35+L23</f>
        <v/>
      </c>
      <c r="M35" s="32">
        <f>L35+M23</f>
        <v/>
      </c>
      <c r="N35" s="32">
        <f>M35+N23</f>
        <v/>
      </c>
      <c r="O35" s="32">
        <f>N35+O23</f>
        <v/>
      </c>
      <c r="P35" s="32">
        <f>O35+P23</f>
        <v/>
      </c>
    </row>
    <row r="36">
      <c r="A36" s="3" t="inlineStr">
        <is>
          <t xml:space="preserve">  ROIC (NOPAT / beg. invested capital)</t>
        </is>
      </c>
      <c r="C36" s="57">
        <f>IFERROR(C23/B34,"")</f>
        <v/>
      </c>
      <c r="D36" s="57">
        <f>IFERROR(D23/C34,"")</f>
        <v/>
      </c>
      <c r="E36" s="57">
        <f>IFERROR(E23/D34,"")</f>
        <v/>
      </c>
      <c r="F36" s="57">
        <f>IFERROR(F23/E34,"")</f>
        <v/>
      </c>
      <c r="G36" s="57">
        <f>IFERROR(G23/F34,"")</f>
        <v/>
      </c>
      <c r="H36" s="57">
        <f>IFERROR(H23/G34,"")</f>
        <v/>
      </c>
      <c r="I36" s="57">
        <f>IFERROR(I23/H34,"")</f>
        <v/>
      </c>
      <c r="J36" s="57">
        <f>IFERROR(J23/I34,"")</f>
        <v/>
      </c>
      <c r="K36" s="57">
        <f>IFERROR(K23/J34,"")</f>
        <v/>
      </c>
      <c r="L36" s="57">
        <f>IFERROR(L23/K34,"")</f>
        <v/>
      </c>
      <c r="M36" s="57">
        <f>IFERROR(M23/L34,"")</f>
        <v/>
      </c>
      <c r="N36" s="57">
        <f>IFERROR(N23/M34,"")</f>
        <v/>
      </c>
      <c r="O36" s="57">
        <f>IFERROR(O23/N34,"")</f>
        <v/>
      </c>
      <c r="P36" s="57">
        <f>IFERROR(P23/O34,"")</f>
        <v/>
      </c>
    </row>
    <row r="37">
      <c r="A37" s="3" t="inlineStr">
        <is>
          <t xml:space="preserve">  ROE (earnings / beg. equity)</t>
        </is>
      </c>
      <c r="C37" s="48">
        <f>IFERROR(SUM(Financials!M15:P15)/B35,"")</f>
        <v/>
      </c>
      <c r="D37" s="48">
        <f>IFERROR(SUM(Financials!Q15:T15)/C35,"")</f>
        <v/>
      </c>
      <c r="E37" s="48">
        <f>IFERROR(SUM(Financials!U15:X15)/D35,"")</f>
        <v/>
      </c>
      <c r="F37" s="48">
        <f>IFERROR(SUM(Financials!Y15:AB15)/E35,"")</f>
        <v/>
      </c>
      <c r="G37" s="57">
        <f>IFERROR(G23/F35,"")</f>
        <v/>
      </c>
      <c r="H37" s="57">
        <f>IFERROR(H23/G35,"")</f>
        <v/>
      </c>
      <c r="I37" s="57">
        <f>IFERROR(I23/H35,"")</f>
        <v/>
      </c>
      <c r="J37" s="57">
        <f>IFERROR(J23/I35,"")</f>
        <v/>
      </c>
      <c r="K37" s="57">
        <f>IFERROR(K23/J35,"")</f>
        <v/>
      </c>
      <c r="L37" s="57">
        <f>IFERROR(L23/K35,"")</f>
        <v/>
      </c>
      <c r="M37" s="57">
        <f>IFERROR(M23/L35,"")</f>
        <v/>
      </c>
      <c r="N37" s="57">
        <f>IFERROR(N23/M35,"")</f>
        <v/>
      </c>
      <c r="O37" s="57">
        <f>IFERROR(O23/N35,"")</f>
        <v/>
      </c>
      <c r="P37" s="57">
        <f>IFERROR(P23/O35,"")</f>
        <v/>
      </c>
    </row>
    <row r="38">
      <c r="A38" s="4" t="inlineStr">
        <is>
          <t xml:space="preserve">  ROIC - WACC spread (value created)</t>
        </is>
      </c>
      <c r="C38" s="48">
        <f>IFERROR(C36-WACC!$B$14,"")</f>
        <v/>
      </c>
      <c r="D38" s="48">
        <f>IFERROR(D36-WACC!$B$14,"")</f>
        <v/>
      </c>
      <c r="E38" s="48">
        <f>IFERROR(E36-WACC!$B$14,"")</f>
        <v/>
      </c>
      <c r="F38" s="48">
        <f>IFERROR(F36-WACC!$B$14,"")</f>
        <v/>
      </c>
      <c r="G38" s="48">
        <f>IFERROR(G36-WACC!$B$14,"")</f>
        <v/>
      </c>
      <c r="H38" s="48">
        <f>IFERROR(H36-WACC!$B$14,"")</f>
        <v/>
      </c>
      <c r="I38" s="48">
        <f>IFERROR(I36-WACC!$B$14,"")</f>
        <v/>
      </c>
      <c r="J38" s="48">
        <f>IFERROR(J36-WACC!$B$14,"")</f>
        <v/>
      </c>
      <c r="K38" s="48">
        <f>IFERROR(K36-WACC!$B$14,"")</f>
        <v/>
      </c>
      <c r="L38" s="48">
        <f>IFERROR(L36-WACC!$B$14,"")</f>
        <v/>
      </c>
      <c r="M38" s="48">
        <f>IFERROR(M36-WACC!$B$14,"")</f>
        <v/>
      </c>
      <c r="N38" s="48">
        <f>IFERROR(N36-WACC!$B$14,"")</f>
        <v/>
      </c>
      <c r="O38" s="48">
        <f>IFERROR(O36-WACC!$B$14,"")</f>
        <v/>
      </c>
      <c r="P38" s="48">
        <f>IFERROR(P36-WACC!$B$14,"")</f>
        <v/>
      </c>
    </row>
    <row r="39">
      <c r="A39" s="4" t="inlineStr">
        <is>
          <t xml:space="preserve">  Incremental op margin (ΔEBIT / ΔRev)</t>
        </is>
      </c>
      <c r="C39" s="57">
        <f>IFERROR((C19-B19)/(C6-B6),"")</f>
        <v/>
      </c>
      <c r="D39" s="57">
        <f>IFERROR((D19-C19)/(D6-C6),"")</f>
        <v/>
      </c>
      <c r="E39" s="57">
        <f>IFERROR((E19-D19)/(E6-D6),"")</f>
        <v/>
      </c>
      <c r="F39" s="57">
        <f>IFERROR((F19-E19)/(F6-E6),"")</f>
        <v/>
      </c>
      <c r="G39" s="57">
        <f>IFERROR((G19-F19)/(G6-F6),"")</f>
        <v/>
      </c>
      <c r="H39" s="57">
        <f>IFERROR((H19-G19)/(H6-G6),"")</f>
        <v/>
      </c>
      <c r="I39" s="57">
        <f>IFERROR((I19-H19)/(I6-H6),"")</f>
        <v/>
      </c>
      <c r="J39" s="57">
        <f>IFERROR((J19-I19)/(J6-I6),"")</f>
        <v/>
      </c>
      <c r="K39" s="57">
        <f>IFERROR((K19-J19)/(K6-J6),"")</f>
        <v/>
      </c>
      <c r="L39" s="57">
        <f>IFERROR((L19-K19)/(L6-K6),"")</f>
        <v/>
      </c>
      <c r="M39" s="57">
        <f>IFERROR((M19-L19)/(M6-L6),"")</f>
        <v/>
      </c>
      <c r="N39" s="57">
        <f>IFERROR((N19-M19)/(N6-M6),"")</f>
        <v/>
      </c>
      <c r="O39" s="57">
        <f>IFERROR((O19-N19)/(O6-N6),"")</f>
        <v/>
      </c>
      <c r="P39" s="57">
        <f>IFERROR((P19-O19)/(P6-O6),"")</f>
        <v/>
      </c>
    </row>
    <row r="40">
      <c r="A40" s="3" t="inlineStr">
        <is>
          <t xml:space="preserve">  ROIIC (ΔNOPAT / ΔInvested capital)</t>
        </is>
      </c>
      <c r="C40" s="57">
        <f>IFERROR((C23-B23)/(C34-B34),"")</f>
        <v/>
      </c>
      <c r="D40" s="57">
        <f>IFERROR((D23-C23)/(D34-C34),"")</f>
        <v/>
      </c>
      <c r="E40" s="57">
        <f>IFERROR((E23-D23)/(E34-D34),"")</f>
        <v/>
      </c>
      <c r="F40" s="57">
        <f>IFERROR((F23-E23)/(F34-E34),"")</f>
        <v/>
      </c>
      <c r="G40" s="57">
        <f>IFERROR((G23-F23)/(G34-F34),"")</f>
        <v/>
      </c>
      <c r="H40" s="57">
        <f>IFERROR((H23-G23)/(H34-G34),"")</f>
        <v/>
      </c>
      <c r="I40" s="57">
        <f>IFERROR((I23-H23)/(I34-H34),"")</f>
        <v/>
      </c>
      <c r="J40" s="57">
        <f>IFERROR((J23-I23)/(J34-I34),"")</f>
        <v/>
      </c>
      <c r="K40" s="57">
        <f>IFERROR((K23-J23)/(K34-J34),"")</f>
        <v/>
      </c>
      <c r="L40" s="57">
        <f>IFERROR((L23-K23)/(L34-K34),"")</f>
        <v/>
      </c>
      <c r="M40" s="57">
        <f>IFERROR((M23-L23)/(M34-L34),"")</f>
        <v/>
      </c>
      <c r="N40" s="57">
        <f>IFERROR((N23-M23)/(N34-M34),"")</f>
        <v/>
      </c>
      <c r="O40" s="57">
        <f>IFERROR((O23-N23)/(O34-N34),"")</f>
        <v/>
      </c>
      <c r="P40" s="57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60">
        <f>IFERROR((C6-B6)/(C34-B34),"")</f>
        <v/>
      </c>
      <c r="D41" s="60">
        <f>IFERROR((D6-C6)/(D34-C34),"")</f>
        <v/>
      </c>
      <c r="E41" s="60">
        <f>IFERROR((E6-D6)/(E34-D34),"")</f>
        <v/>
      </c>
      <c r="F41" s="60">
        <f>IFERROR((F6-E6)/(F34-E34),"")</f>
        <v/>
      </c>
      <c r="G41" s="60">
        <f>IFERROR((G6-F6)/(G34-F34),"")</f>
        <v/>
      </c>
      <c r="H41" s="60">
        <f>IFERROR((H6-G6)/(H34-G34),"")</f>
        <v/>
      </c>
      <c r="I41" s="60">
        <f>IFERROR((I6-H6)/(I34-H34),"")</f>
        <v/>
      </c>
      <c r="J41" s="60">
        <f>IFERROR((J6-I6)/(J34-I34),"")</f>
        <v/>
      </c>
      <c r="K41" s="60">
        <f>IFERROR((K6-J6)/(K34-J34),"")</f>
        <v/>
      </c>
      <c r="L41" s="60">
        <f>IFERROR((L6-K6)/(L34-K34),"")</f>
        <v/>
      </c>
      <c r="M41" s="60">
        <f>IFERROR((M6-L6)/(M34-L34),"")</f>
        <v/>
      </c>
      <c r="N41" s="60">
        <f>IFERROR((N6-M6)/(N34-M34),"")</f>
        <v/>
      </c>
      <c r="O41" s="60">
        <f>IFERROR((O6-N6)/(O34-N34),"")</f>
        <v/>
      </c>
      <c r="P41" s="60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57">
        <f>IFERROR((C34-B34)/C23,"")</f>
        <v/>
      </c>
      <c r="D42" s="57">
        <f>IFERROR((D34-C34)/D23,"")</f>
        <v/>
      </c>
      <c r="E42" s="57">
        <f>IFERROR((E34-D34)/E23,"")</f>
        <v/>
      </c>
      <c r="F42" s="57">
        <f>IFERROR((F34-E34)/F23,"")</f>
        <v/>
      </c>
      <c r="G42" s="57">
        <f>IFERROR((G34-F34)/G23,"")</f>
        <v/>
      </c>
      <c r="H42" s="57">
        <f>IFERROR((H34-G34)/H23,"")</f>
        <v/>
      </c>
      <c r="I42" s="57">
        <f>IFERROR((I34-H34)/I23,"")</f>
        <v/>
      </c>
      <c r="J42" s="57">
        <f>IFERROR((J34-I34)/J23,"")</f>
        <v/>
      </c>
      <c r="K42" s="57">
        <f>IFERROR((K34-J34)/K23,"")</f>
        <v/>
      </c>
      <c r="L42" s="57">
        <f>IFERROR((L34-K34)/L23,"")</f>
        <v/>
      </c>
      <c r="M42" s="57">
        <f>IFERROR((M34-L34)/M23,"")</f>
        <v/>
      </c>
      <c r="N42" s="57">
        <f>IFERROR((N34-M34)/N23,"")</f>
        <v/>
      </c>
      <c r="O42" s="57">
        <f>IFERROR((O34-N34)/O23,"")</f>
        <v/>
      </c>
      <c r="P42" s="57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3668</v>
      </c>
      <c r="C3" s="18" t="n">
        <v>3771</v>
      </c>
      <c r="D3" s="18" t="n">
        <v>3350</v>
      </c>
      <c r="E3" s="18" t="n">
        <v>3329</v>
      </c>
      <c r="F3" s="18" t="n">
        <v>3239</v>
      </c>
      <c r="G3" s="18" t="n">
        <v>3817</v>
      </c>
      <c r="H3" s="18" t="n">
        <v>4076</v>
      </c>
      <c r="I3" s="18" t="n">
        <v>4289</v>
      </c>
      <c r="J3" s="18" t="n">
        <v>4580</v>
      </c>
      <c r="K3" s="18" t="n">
        <v>4643</v>
      </c>
      <c r="L3" s="18" t="n">
        <v>4832</v>
      </c>
      <c r="M3" s="18" t="n">
        <v>4905</v>
      </c>
      <c r="N3" s="18" t="n">
        <v>5212</v>
      </c>
      <c r="O3" s="18" t="n">
        <v>5241</v>
      </c>
      <c r="P3" s="18" t="n">
        <v>4670</v>
      </c>
      <c r="Q3" s="18" t="n">
        <v>4379</v>
      </c>
      <c r="R3" s="18" t="n">
        <v>4531</v>
      </c>
      <c r="S3" s="18" t="n">
        <v>4532</v>
      </c>
      <c r="T3" s="18" t="n">
        <v>4077</v>
      </c>
      <c r="U3" s="18" t="n">
        <v>3661</v>
      </c>
      <c r="V3" s="18" t="n">
        <v>3822</v>
      </c>
      <c r="W3" s="18" t="n">
        <v>4151</v>
      </c>
      <c r="X3" s="18" t="n">
        <v>4007</v>
      </c>
      <c r="Y3" s="18" t="n">
        <v>4069</v>
      </c>
      <c r="Z3" s="18" t="n">
        <v>4448</v>
      </c>
      <c r="AA3" s="18" t="n">
        <v>4742</v>
      </c>
      <c r="AB3" s="18" t="n">
        <v>4423</v>
      </c>
      <c r="AC3" s="18" t="n">
        <v>4825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1308</v>
      </c>
      <c r="C5" s="18" t="n">
        <v>1325</v>
      </c>
      <c r="D5" s="18" t="n">
        <v>1253</v>
      </c>
      <c r="E5" s="18" t="n">
        <v>1241</v>
      </c>
      <c r="F5" s="18" t="n">
        <v>1157</v>
      </c>
      <c r="G5" s="18" t="n">
        <v>1364</v>
      </c>
      <c r="H5" s="18" t="n">
        <v>1430</v>
      </c>
      <c r="I5" s="18" t="n">
        <v>1492</v>
      </c>
      <c r="J5" s="18" t="n">
        <v>1503</v>
      </c>
      <c r="K5" s="18" t="n">
        <v>1491</v>
      </c>
      <c r="L5" s="18" t="n">
        <v>1482</v>
      </c>
      <c r="M5" s="18" t="n">
        <v>1463</v>
      </c>
      <c r="N5" s="18" t="n">
        <v>1587</v>
      </c>
      <c r="O5" s="18" t="n">
        <v>1624</v>
      </c>
      <c r="P5" s="18" t="n">
        <v>1583</v>
      </c>
      <c r="Q5" s="18" t="n">
        <v>1516</v>
      </c>
      <c r="R5" s="18" t="n">
        <v>1621</v>
      </c>
      <c r="S5" s="18" t="n">
        <v>1717</v>
      </c>
      <c r="T5" s="18" t="n">
        <v>1646</v>
      </c>
      <c r="U5" s="18" t="n">
        <v>1566</v>
      </c>
      <c r="V5" s="18" t="n">
        <v>1611</v>
      </c>
      <c r="W5" s="18" t="n">
        <v>1677</v>
      </c>
      <c r="X5" s="18" t="n">
        <v>1693</v>
      </c>
      <c r="Y5" s="18" t="n">
        <v>1756</v>
      </c>
      <c r="Z5" s="18" t="n">
        <v>1873</v>
      </c>
      <c r="AA5" s="18" t="n">
        <v>2019</v>
      </c>
      <c r="AB5" s="18" t="n">
        <v>1951</v>
      </c>
      <c r="AC5" s="18" t="n">
        <v>2026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390</v>
      </c>
      <c r="C7" s="18" t="n">
        <v>379</v>
      </c>
      <c r="D7" s="18" t="n">
        <v>386</v>
      </c>
      <c r="E7" s="18" t="n">
        <v>377</v>
      </c>
      <c r="F7" s="18" t="n">
        <v>379</v>
      </c>
      <c r="G7" s="18" t="n">
        <v>386</v>
      </c>
      <c r="H7" s="18" t="n">
        <v>388</v>
      </c>
      <c r="I7" s="18" t="n">
        <v>386</v>
      </c>
      <c r="J7" s="18" t="n">
        <v>391</v>
      </c>
      <c r="K7" s="18" t="n">
        <v>388</v>
      </c>
      <c r="L7" s="18" t="n">
        <v>389</v>
      </c>
      <c r="M7" s="18" t="n">
        <v>391</v>
      </c>
      <c r="N7" s="18" t="n">
        <v>414</v>
      </c>
      <c r="O7" s="18" t="n">
        <v>431</v>
      </c>
      <c r="P7" s="18" t="n">
        <v>434</v>
      </c>
      <c r="Q7" s="18" t="n">
        <v>455</v>
      </c>
      <c r="R7" s="18" t="n">
        <v>477</v>
      </c>
      <c r="S7" s="18" t="n">
        <v>471</v>
      </c>
      <c r="T7" s="18" t="n">
        <v>460</v>
      </c>
      <c r="U7" s="18" t="n">
        <v>478</v>
      </c>
      <c r="V7" s="18" t="n">
        <v>498</v>
      </c>
      <c r="W7" s="18" t="n">
        <v>492</v>
      </c>
      <c r="X7" s="18" t="n">
        <v>491</v>
      </c>
      <c r="Y7" s="18" t="n">
        <v>517</v>
      </c>
      <c r="Z7" s="18" t="n">
        <v>527</v>
      </c>
      <c r="AA7" s="18" t="n">
        <v>518</v>
      </c>
      <c r="AB7" s="18" t="n">
        <v>521</v>
      </c>
      <c r="AC7" s="18" t="n">
        <v>510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420</v>
      </c>
      <c r="C9" s="18" t="n">
        <v>399</v>
      </c>
      <c r="D9" s="18" t="n">
        <v>412</v>
      </c>
      <c r="E9" s="18" t="n">
        <v>417</v>
      </c>
      <c r="F9" s="18" t="n">
        <v>401</v>
      </c>
      <c r="G9" s="18" t="n">
        <v>407</v>
      </c>
      <c r="H9" s="18" t="n">
        <v>398</v>
      </c>
      <c r="I9" s="18" t="n">
        <v>425</v>
      </c>
      <c r="J9" s="18" t="n">
        <v>425</v>
      </c>
      <c r="K9" s="18" t="n">
        <v>412</v>
      </c>
      <c r="L9" s="18" t="n">
        <v>404</v>
      </c>
      <c r="M9" s="18" t="n">
        <v>422</v>
      </c>
      <c r="N9" s="18" t="n">
        <v>422</v>
      </c>
      <c r="O9" s="18" t="n">
        <v>431</v>
      </c>
      <c r="P9" s="18" t="n">
        <v>429</v>
      </c>
      <c r="Q9" s="18" t="n">
        <v>474</v>
      </c>
      <c r="R9" s="18" t="n">
        <v>461</v>
      </c>
      <c r="S9" s="18" t="n">
        <v>452</v>
      </c>
      <c r="T9" s="18" t="n">
        <v>438</v>
      </c>
      <c r="U9" s="18" t="n">
        <v>455</v>
      </c>
      <c r="V9" s="18" t="n">
        <v>465</v>
      </c>
      <c r="W9" s="18" t="n">
        <v>428</v>
      </c>
      <c r="X9" s="18" t="n">
        <v>446</v>
      </c>
      <c r="Y9" s="18" t="n">
        <v>472</v>
      </c>
      <c r="Z9" s="18" t="n">
        <v>485</v>
      </c>
      <c r="AA9" s="18" t="n">
        <v>457</v>
      </c>
      <c r="AB9" s="18" t="n">
        <v>446</v>
      </c>
      <c r="AC9" s="18" t="n">
        <v>464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2360</v>
      </c>
      <c r="C11" s="18" t="n">
        <v>2446</v>
      </c>
      <c r="D11" s="18" t="n">
        <v>2097</v>
      </c>
      <c r="E11" s="18" t="n">
        <v>2088</v>
      </c>
      <c r="F11" s="18" t="n">
        <v>2082</v>
      </c>
      <c r="G11" s="18" t="n">
        <v>2453</v>
      </c>
      <c r="H11" s="18" t="n">
        <v>2646</v>
      </c>
      <c r="I11" s="18" t="n">
        <v>2797</v>
      </c>
      <c r="J11" s="18" t="n">
        <v>3077</v>
      </c>
      <c r="K11" s="18" t="n">
        <v>3152</v>
      </c>
      <c r="L11" s="18" t="n">
        <v>3350</v>
      </c>
      <c r="M11" s="18" t="n">
        <v>3442</v>
      </c>
      <c r="N11" s="18" t="n">
        <v>3625</v>
      </c>
      <c r="O11" s="18" t="n">
        <v>3617</v>
      </c>
      <c r="P11" s="18" t="n">
        <v>3087</v>
      </c>
      <c r="Q11" s="18" t="n">
        <v>2863</v>
      </c>
      <c r="R11" s="18" t="n">
        <v>2910</v>
      </c>
      <c r="S11" s="18" t="n">
        <v>2815</v>
      </c>
      <c r="T11" s="18" t="n">
        <v>2431</v>
      </c>
      <c r="U11" s="18" t="n">
        <v>2095</v>
      </c>
      <c r="V11" s="18" t="n">
        <v>2211</v>
      </c>
      <c r="W11" s="18" t="n">
        <v>2474</v>
      </c>
      <c r="X11" s="18" t="n">
        <v>2314</v>
      </c>
      <c r="Y11" s="18" t="n">
        <v>2313</v>
      </c>
      <c r="Z11" s="18" t="n">
        <v>2575</v>
      </c>
      <c r="AA11" s="18" t="n">
        <v>2723</v>
      </c>
      <c r="AB11" s="18" t="n">
        <v>2472</v>
      </c>
      <c r="AC11" s="18" t="n">
        <v>2799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1506</v>
      </c>
      <c r="C13" s="18" t="n">
        <v>1589</v>
      </c>
      <c r="D13" s="18" t="n">
        <v>1249</v>
      </c>
      <c r="E13" s="18" t="n">
        <v>1244</v>
      </c>
      <c r="F13" s="18" t="n">
        <v>1228</v>
      </c>
      <c r="G13" s="18" t="n">
        <v>1609</v>
      </c>
      <c r="H13" s="18" t="n">
        <v>1813</v>
      </c>
      <c r="I13" s="18" t="n">
        <v>1939</v>
      </c>
      <c r="J13" s="18" t="n">
        <v>2213</v>
      </c>
      <c r="K13" s="18" t="n">
        <v>2305</v>
      </c>
      <c r="L13" s="18" t="n">
        <v>2503</v>
      </c>
      <c r="M13" s="18" t="n">
        <v>2563</v>
      </c>
      <c r="N13" s="18" t="n">
        <v>2723</v>
      </c>
      <c r="O13" s="18" t="n">
        <v>2678</v>
      </c>
      <c r="P13" s="18" t="n">
        <v>2176</v>
      </c>
      <c r="Q13" s="18" t="n">
        <v>1934</v>
      </c>
      <c r="R13" s="18" t="n">
        <v>1972</v>
      </c>
      <c r="S13" s="18" t="n">
        <v>1892</v>
      </c>
      <c r="T13" s="18" t="n">
        <v>1533</v>
      </c>
      <c r="U13" s="18" t="n">
        <v>1286</v>
      </c>
      <c r="V13" s="18" t="n">
        <v>1248</v>
      </c>
      <c r="W13" s="18" t="n">
        <v>1554</v>
      </c>
      <c r="X13" s="18" t="n">
        <v>1377</v>
      </c>
      <c r="Y13" s="18" t="n">
        <v>1324</v>
      </c>
      <c r="Z13" s="18" t="n">
        <v>1563</v>
      </c>
      <c r="AA13" s="18" t="n">
        <v>1663</v>
      </c>
      <c r="AB13" s="18" t="n">
        <v>1473</v>
      </c>
      <c r="AC13" s="18" t="n">
        <v>1808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1305</v>
      </c>
      <c r="C15" s="18" t="n">
        <v>1425</v>
      </c>
      <c r="D15" s="18" t="n">
        <v>1070</v>
      </c>
      <c r="E15" s="18" t="n">
        <v>1174</v>
      </c>
      <c r="F15" s="18" t="n">
        <v>1380</v>
      </c>
      <c r="G15" s="18" t="n">
        <v>1353</v>
      </c>
      <c r="H15" s="18" t="n">
        <v>1688</v>
      </c>
      <c r="I15" s="18" t="n">
        <v>1753</v>
      </c>
      <c r="J15" s="18" t="n">
        <v>1931</v>
      </c>
      <c r="K15" s="18" t="n">
        <v>1947</v>
      </c>
      <c r="L15" s="18" t="n">
        <v>2138</v>
      </c>
      <c r="M15" s="18" t="n">
        <v>2201</v>
      </c>
      <c r="N15" s="18" t="n">
        <v>2291</v>
      </c>
      <c r="O15" s="18" t="n">
        <v>2295</v>
      </c>
      <c r="P15" s="18" t="n">
        <v>1962</v>
      </c>
      <c r="Q15" s="18" t="n">
        <v>1708</v>
      </c>
      <c r="R15" s="18" t="n">
        <v>1722</v>
      </c>
      <c r="S15" s="18" t="n">
        <v>1709</v>
      </c>
      <c r="T15" s="18" t="n">
        <v>1371</v>
      </c>
      <c r="U15" s="18" t="n">
        <v>1105</v>
      </c>
      <c r="V15" s="18" t="n">
        <v>1127</v>
      </c>
      <c r="W15" s="18" t="n">
        <v>1362</v>
      </c>
      <c r="X15" s="18" t="n">
        <v>1205</v>
      </c>
      <c r="Y15" s="18" t="n">
        <v>1179</v>
      </c>
      <c r="Z15" s="18" t="n">
        <v>1295</v>
      </c>
      <c r="AA15" s="18" t="n">
        <v>1364</v>
      </c>
      <c r="AB15" s="18" t="n">
        <v>1163</v>
      </c>
      <c r="AC15" s="18" t="n">
        <v>1545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953</v>
      </c>
      <c r="C17" s="18" t="n">
        <v>950</v>
      </c>
      <c r="D17" s="18" t="n">
        <v>948</v>
      </c>
      <c r="E17" s="18" t="n">
        <v>943</v>
      </c>
      <c r="F17" s="18" t="n">
        <v>927</v>
      </c>
      <c r="G17" s="18" t="n">
        <v>929</v>
      </c>
      <c r="H17" s="18" t="n">
        <v>932</v>
      </c>
      <c r="I17" s="18" t="n">
        <v>935</v>
      </c>
      <c r="J17" s="18" t="n">
        <v>937</v>
      </c>
      <c r="K17" s="18" t="n">
        <v>936</v>
      </c>
      <c r="L17" s="18" t="n">
        <v>936</v>
      </c>
      <c r="M17" s="18" t="n">
        <v>934</v>
      </c>
      <c r="N17" s="18" t="n">
        <v>930</v>
      </c>
      <c r="O17" s="18" t="n">
        <v>923</v>
      </c>
      <c r="P17" s="18" t="n">
        <v>916</v>
      </c>
      <c r="Q17" s="18" t="n">
        <v>916</v>
      </c>
      <c r="R17" s="18" t="n">
        <v>916</v>
      </c>
      <c r="S17" s="18" t="n">
        <v>916</v>
      </c>
      <c r="T17" s="18" t="n">
        <v>915</v>
      </c>
      <c r="U17" s="18" t="n">
        <v>917</v>
      </c>
      <c r="V17" s="18" t="n">
        <v>919</v>
      </c>
      <c r="W17" s="18" t="n">
        <v>920</v>
      </c>
      <c r="X17" s="18" t="n">
        <v>919</v>
      </c>
      <c r="Y17" s="18" t="n">
        <v>916</v>
      </c>
      <c r="Z17" s="18" t="n">
        <v>912</v>
      </c>
      <c r="AA17" s="18" t="n">
        <v>914</v>
      </c>
      <c r="AB17" s="18" t="n">
        <v>913</v>
      </c>
      <c r="AC17" s="18" t="n">
        <v>914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UNITED STATES</t>
        </is>
      </c>
      <c r="B19" s="18" t="n">
        <v>487</v>
      </c>
      <c r="C19" s="18" t="n">
        <v>504</v>
      </c>
      <c r="D19" s="18" t="n">
        <v>359</v>
      </c>
      <c r="E19" s="18" t="n">
        <v>390</v>
      </c>
      <c r="F19" s="18" t="n">
        <v>349</v>
      </c>
      <c r="G19" s="18" t="n">
        <v>440</v>
      </c>
      <c r="H19" s="18" t="n">
        <v>368</v>
      </c>
      <c r="I19" s="18" t="n">
        <v>393</v>
      </c>
      <c r="J19" s="18" t="n">
        <v>529</v>
      </c>
      <c r="K19" s="18" t="n">
        <v>515</v>
      </c>
      <c r="L19" s="18" t="n">
        <v>469</v>
      </c>
      <c r="M19" s="18" t="n">
        <v>494</v>
      </c>
      <c r="N19" s="18" t="n">
        <v>577</v>
      </c>
      <c r="O19" s="18" t="n">
        <v>694</v>
      </c>
      <c r="Q19" s="18" t="n">
        <v>1357</v>
      </c>
      <c r="R19" s="18" t="n">
        <v>1493</v>
      </c>
      <c r="S19" s="18" t="n">
        <v>1541</v>
      </c>
      <c r="U19" s="18" t="n">
        <v>1288</v>
      </c>
      <c r="V19" s="18" t="n">
        <v>1408</v>
      </c>
      <c r="W19" s="18" t="n">
        <v>1639</v>
      </c>
      <c r="Y19" s="18" t="n">
        <v>1518</v>
      </c>
      <c r="Z19" s="18" t="n">
        <v>1707</v>
      </c>
      <c r="AA19" s="18" t="n">
        <v>1859</v>
      </c>
      <c r="AB19" s="18" t="n">
        <v>1679</v>
      </c>
      <c r="AC19" s="18" t="n">
        <v>1796</v>
      </c>
    </row>
    <row r="20">
      <c r="A20" s="4" t="inlineStr">
        <is>
          <t xml:space="preserve">    % YoY</t>
        </is>
      </c>
      <c r="F20" s="57">
        <f>IFERROR(F19/B19-1,"")</f>
        <v/>
      </c>
      <c r="G20" s="57">
        <f>IFERROR(G19/C19-1,"")</f>
        <v/>
      </c>
      <c r="H20" s="57">
        <f>IFERROR(H19/D19-1,"")</f>
        <v/>
      </c>
      <c r="I20" s="57">
        <f>IFERROR(I19/E19-1,"")</f>
        <v/>
      </c>
      <c r="J20" s="57">
        <f>IFERROR(J19/F19-1,"")</f>
        <v/>
      </c>
      <c r="K20" s="57">
        <f>IFERROR(K19/G19-1,"")</f>
        <v/>
      </c>
      <c r="L20" s="57">
        <f>IFERROR(L19/H19-1,"")</f>
        <v/>
      </c>
      <c r="M20" s="57">
        <f>IFERROR(M19/I19-1,"")</f>
        <v/>
      </c>
      <c r="N20" s="57">
        <f>IFERROR(N19/J19-1,"")</f>
        <v/>
      </c>
      <c r="O20" s="57">
        <f>IFERROR(O19/K19-1,"")</f>
        <v/>
      </c>
      <c r="P20" s="57">
        <f>IFERROR(P19/L19-1,"")</f>
        <v/>
      </c>
      <c r="Q20" s="57">
        <f>IFERROR(Q19/M19-1,"")</f>
        <v/>
      </c>
      <c r="R20" s="57">
        <f>IFERROR(R19/N19-1,"")</f>
        <v/>
      </c>
      <c r="S20" s="57">
        <f>IFERROR(S19/O19-1,"")</f>
        <v/>
      </c>
      <c r="T20" s="57">
        <f>IFERROR(T19/P19-1,"")</f>
        <v/>
      </c>
      <c r="U20" s="57">
        <f>IFERROR(U19/Q19-1,"")</f>
        <v/>
      </c>
      <c r="V20" s="57">
        <f>IFERROR(V19/R19-1,"")</f>
        <v/>
      </c>
      <c r="W20" s="57">
        <f>IFERROR(W19/S19-1,"")</f>
        <v/>
      </c>
      <c r="X20" s="57">
        <f>IFERROR(X19/T19-1,"")</f>
        <v/>
      </c>
      <c r="Y20" s="57">
        <f>IFERROR(Y19/U19-1,"")</f>
        <v/>
      </c>
      <c r="Z20" s="57">
        <f>IFERROR(Z19/V19-1,"")</f>
        <v/>
      </c>
      <c r="AA20" s="57">
        <f>IFERROR(AA19/W19-1,"")</f>
        <v/>
      </c>
      <c r="AB20" s="57">
        <f>IFERROR(AB19/X19-1,"")</f>
        <v/>
      </c>
      <c r="AC20" s="57">
        <f>IFERROR(AC19/Y19-1,"")</f>
        <v/>
      </c>
    </row>
    <row r="21">
      <c r="A21" s="4" t="inlineStr">
        <is>
          <t xml:space="preserve">    % of revenue</t>
        </is>
      </c>
      <c r="B21" s="57">
        <f>IFERROR(B19/B3,"")</f>
        <v/>
      </c>
      <c r="C21" s="57">
        <f>IFERROR(C19/C3,"")</f>
        <v/>
      </c>
      <c r="D21" s="57">
        <f>IFERROR(D19/D3,"")</f>
        <v/>
      </c>
      <c r="E21" s="57">
        <f>IFERROR(E19/E3,"")</f>
        <v/>
      </c>
      <c r="F21" s="57">
        <f>IFERROR(F19/F3,"")</f>
        <v/>
      </c>
      <c r="G21" s="57">
        <f>IFERROR(G19/G3,"")</f>
        <v/>
      </c>
      <c r="H21" s="57">
        <f>IFERROR(H19/H3,"")</f>
        <v/>
      </c>
      <c r="I21" s="57">
        <f>IFERROR(I19/I3,"")</f>
        <v/>
      </c>
      <c r="J21" s="57">
        <f>IFERROR(J19/J3,"")</f>
        <v/>
      </c>
      <c r="K21" s="57">
        <f>IFERROR(K19/K3,"")</f>
        <v/>
      </c>
      <c r="L21" s="57">
        <f>IFERROR(L19/L3,"")</f>
        <v/>
      </c>
      <c r="M21" s="57">
        <f>IFERROR(M19/M3,"")</f>
        <v/>
      </c>
      <c r="N21" s="57">
        <f>IFERROR(N19/N3,"")</f>
        <v/>
      </c>
      <c r="O21" s="57">
        <f>IFERROR(O19/O3,"")</f>
        <v/>
      </c>
      <c r="P21" s="57">
        <f>IFERROR(P19/P3,"")</f>
        <v/>
      </c>
      <c r="Q21" s="57">
        <f>IFERROR(Q19/Q3,"")</f>
        <v/>
      </c>
      <c r="R21" s="57">
        <f>IFERROR(R19/R3,"")</f>
        <v/>
      </c>
      <c r="S21" s="57">
        <f>IFERROR(S19/S3,"")</f>
        <v/>
      </c>
      <c r="T21" s="57">
        <f>IFERROR(T19/T3,"")</f>
        <v/>
      </c>
      <c r="U21" s="57">
        <f>IFERROR(U19/U3,"")</f>
        <v/>
      </c>
      <c r="V21" s="57">
        <f>IFERROR(V19/V3,"")</f>
        <v/>
      </c>
      <c r="W21" s="57">
        <f>IFERROR(W19/W3,"")</f>
        <v/>
      </c>
      <c r="X21" s="57">
        <f>IFERROR(X19/X3,"")</f>
        <v/>
      </c>
      <c r="Y21" s="57">
        <f>IFERROR(Y19/Y3,"")</f>
        <v/>
      </c>
      <c r="Z21" s="57">
        <f>IFERROR(Z19/Z3,"")</f>
        <v/>
      </c>
      <c r="AA21" s="57">
        <f>IFERROR(AA19/AA3,"")</f>
        <v/>
      </c>
      <c r="AB21" s="57">
        <f>IFERROR(AB19/AB3,"")</f>
        <v/>
      </c>
      <c r="AC21" s="57">
        <f>IFERROR(AC19/AC3,"")</f>
        <v/>
      </c>
    </row>
    <row r="22">
      <c r="A22" s="4" t="inlineStr">
        <is>
          <t>EMEA</t>
        </is>
      </c>
      <c r="B22" s="18" t="n">
        <v>709</v>
      </c>
      <c r="C22" s="18" t="n">
        <v>699</v>
      </c>
      <c r="D22" s="18" t="n">
        <v>556</v>
      </c>
      <c r="E22" s="18" t="n">
        <v>619</v>
      </c>
      <c r="F22" s="18" t="n">
        <v>451</v>
      </c>
      <c r="G22" s="18" t="n">
        <v>578</v>
      </c>
      <c r="H22" s="18" t="n">
        <v>601</v>
      </c>
      <c r="I22" s="18" t="n">
        <v>682</v>
      </c>
      <c r="J22" s="18" t="n">
        <v>696</v>
      </c>
      <c r="K22" s="18" t="n">
        <v>683</v>
      </c>
      <c r="L22" s="18" t="n">
        <v>741</v>
      </c>
      <c r="M22" s="18" t="n">
        <v>814</v>
      </c>
      <c r="N22" s="18" t="n">
        <v>822</v>
      </c>
      <c r="O22" s="18" t="n">
        <v>942</v>
      </c>
      <c r="Q22" s="18" t="n">
        <v>1270</v>
      </c>
      <c r="R22" s="18" t="n">
        <v>1194</v>
      </c>
      <c r="S22" s="18" t="n">
        <v>1193</v>
      </c>
      <c r="U22" s="18" t="n">
        <v>955</v>
      </c>
      <c r="V22" s="18" t="n">
        <v>898</v>
      </c>
      <c r="W22" s="18" t="n">
        <v>880</v>
      </c>
      <c r="Y22" s="18" t="n">
        <v>936</v>
      </c>
      <c r="Z22" s="18" t="n">
        <v>891</v>
      </c>
      <c r="AA22" s="18" t="n">
        <v>972</v>
      </c>
      <c r="AB22" s="18" t="n">
        <v>948</v>
      </c>
      <c r="AC22" s="18" t="n">
        <v>1070</v>
      </c>
    </row>
    <row r="23">
      <c r="A23" s="4" t="inlineStr">
        <is>
          <t xml:space="preserve">    % YoY</t>
        </is>
      </c>
      <c r="F23" s="57">
        <f>IFERROR(F22/B22-1,"")</f>
        <v/>
      </c>
      <c r="G23" s="57">
        <f>IFERROR(G22/C22-1,"")</f>
        <v/>
      </c>
      <c r="H23" s="57">
        <f>IFERROR(H22/D22-1,"")</f>
        <v/>
      </c>
      <c r="I23" s="57">
        <f>IFERROR(I22/E22-1,"")</f>
        <v/>
      </c>
      <c r="J23" s="57">
        <f>IFERROR(J22/F22-1,"")</f>
        <v/>
      </c>
      <c r="K23" s="57">
        <f>IFERROR(K22/G22-1,"")</f>
        <v/>
      </c>
      <c r="L23" s="57">
        <f>IFERROR(L22/H22-1,"")</f>
        <v/>
      </c>
      <c r="M23" s="57">
        <f>IFERROR(M22/I22-1,"")</f>
        <v/>
      </c>
      <c r="N23" s="57">
        <f>IFERROR(N22/J22-1,"")</f>
        <v/>
      </c>
      <c r="O23" s="57">
        <f>IFERROR(O22/K22-1,"")</f>
        <v/>
      </c>
      <c r="P23" s="57">
        <f>IFERROR(P22/L22-1,"")</f>
        <v/>
      </c>
      <c r="Q23" s="57">
        <f>IFERROR(Q22/M22-1,"")</f>
        <v/>
      </c>
      <c r="R23" s="57">
        <f>IFERROR(R22/N22-1,"")</f>
        <v/>
      </c>
      <c r="S23" s="57">
        <f>IFERROR(S22/O22-1,"")</f>
        <v/>
      </c>
      <c r="T23" s="57">
        <f>IFERROR(T22/P22-1,"")</f>
        <v/>
      </c>
      <c r="U23" s="57">
        <f>IFERROR(U22/Q22-1,"")</f>
        <v/>
      </c>
      <c r="V23" s="57">
        <f>IFERROR(V22/R22-1,"")</f>
        <v/>
      </c>
      <c r="W23" s="57">
        <f>IFERROR(W22/S22-1,"")</f>
        <v/>
      </c>
      <c r="X23" s="57">
        <f>IFERROR(X22/T22-1,"")</f>
        <v/>
      </c>
      <c r="Y23" s="57">
        <f>IFERROR(Y22/U22-1,"")</f>
        <v/>
      </c>
      <c r="Z23" s="57">
        <f>IFERROR(Z22/V22-1,"")</f>
        <v/>
      </c>
      <c r="AA23" s="57">
        <f>IFERROR(AA22/W22-1,"")</f>
        <v/>
      </c>
      <c r="AB23" s="57">
        <f>IFERROR(AB22/X22-1,"")</f>
        <v/>
      </c>
      <c r="AC23" s="57">
        <f>IFERROR(AC22/Y22-1,"")</f>
        <v/>
      </c>
    </row>
    <row r="24">
      <c r="A24" s="4" t="inlineStr">
        <is>
          <t xml:space="preserve">    % of revenue</t>
        </is>
      </c>
      <c r="B24" s="57">
        <f>IFERROR(B22/B3,"")</f>
        <v/>
      </c>
      <c r="C24" s="57">
        <f>IFERROR(C22/C3,"")</f>
        <v/>
      </c>
      <c r="D24" s="57">
        <f>IFERROR(D22/D3,"")</f>
        <v/>
      </c>
      <c r="E24" s="57">
        <f>IFERROR(E22/E3,"")</f>
        <v/>
      </c>
      <c r="F24" s="57">
        <f>IFERROR(F22/F3,"")</f>
        <v/>
      </c>
      <c r="G24" s="57">
        <f>IFERROR(G22/G3,"")</f>
        <v/>
      </c>
      <c r="H24" s="57">
        <f>IFERROR(H22/H3,"")</f>
        <v/>
      </c>
      <c r="I24" s="57">
        <f>IFERROR(I22/I3,"")</f>
        <v/>
      </c>
      <c r="J24" s="57">
        <f>IFERROR(J22/J3,"")</f>
        <v/>
      </c>
      <c r="K24" s="57">
        <f>IFERROR(K22/K3,"")</f>
        <v/>
      </c>
      <c r="L24" s="57">
        <f>IFERROR(L22/L3,"")</f>
        <v/>
      </c>
      <c r="M24" s="57">
        <f>IFERROR(M22/M3,"")</f>
        <v/>
      </c>
      <c r="N24" s="57">
        <f>IFERROR(N22/N3,"")</f>
        <v/>
      </c>
      <c r="O24" s="57">
        <f>IFERROR(O22/O3,"")</f>
        <v/>
      </c>
      <c r="P24" s="57">
        <f>IFERROR(P22/P3,"")</f>
        <v/>
      </c>
      <c r="Q24" s="57">
        <f>IFERROR(Q22/Q3,"")</f>
        <v/>
      </c>
      <c r="R24" s="57">
        <f>IFERROR(R22/R3,"")</f>
        <v/>
      </c>
      <c r="S24" s="57">
        <f>IFERROR(S22/S3,"")</f>
        <v/>
      </c>
      <c r="T24" s="57">
        <f>IFERROR(T22/T3,"")</f>
        <v/>
      </c>
      <c r="U24" s="57">
        <f>IFERROR(U22/U3,"")</f>
        <v/>
      </c>
      <c r="V24" s="57">
        <f>IFERROR(V22/V3,"")</f>
        <v/>
      </c>
      <c r="W24" s="57">
        <f>IFERROR(W22/W3,"")</f>
        <v/>
      </c>
      <c r="X24" s="57">
        <f>IFERROR(X22/X3,"")</f>
        <v/>
      </c>
      <c r="Y24" s="57">
        <f>IFERROR(Y22/Y3,"")</f>
        <v/>
      </c>
      <c r="Z24" s="57">
        <f>IFERROR(Z22/Z3,"")</f>
        <v/>
      </c>
      <c r="AA24" s="57">
        <f>IFERROR(AA22/AA3,"")</f>
        <v/>
      </c>
      <c r="AB24" s="57">
        <f>IFERROR(AB22/AB3,"")</f>
        <v/>
      </c>
      <c r="AC24" s="57">
        <f>IFERROR(AC22/AC3,"")</f>
        <v/>
      </c>
    </row>
    <row r="25">
      <c r="A25" s="4" t="inlineStr">
        <is>
          <t>CHINA</t>
        </is>
      </c>
      <c r="Q25" s="18" t="n">
        <v>876</v>
      </c>
      <c r="R25" s="18" t="n">
        <v>872</v>
      </c>
      <c r="S25" s="18" t="n">
        <v>813</v>
      </c>
      <c r="U25" s="18" t="n">
        <v>623</v>
      </c>
      <c r="V25" s="18" t="n">
        <v>745</v>
      </c>
      <c r="W25" s="18" t="n">
        <v>823</v>
      </c>
      <c r="Y25" s="18" t="n">
        <v>826</v>
      </c>
      <c r="Z25" s="18" t="n">
        <v>985</v>
      </c>
      <c r="AA25" s="18" t="n">
        <v>1019</v>
      </c>
      <c r="AB25" s="18" t="n">
        <v>951</v>
      </c>
      <c r="AC25" s="18" t="n">
        <v>1024</v>
      </c>
    </row>
    <row r="26">
      <c r="A26" s="4" t="inlineStr">
        <is>
          <t xml:space="preserve">    % YoY</t>
        </is>
      </c>
      <c r="F26" s="57">
        <f>IFERROR(F25/B25-1,"")</f>
        <v/>
      </c>
      <c r="G26" s="57">
        <f>IFERROR(G25/C25-1,"")</f>
        <v/>
      </c>
      <c r="H26" s="57">
        <f>IFERROR(H25/D25-1,"")</f>
        <v/>
      </c>
      <c r="I26" s="57">
        <f>IFERROR(I25/E25-1,"")</f>
        <v/>
      </c>
      <c r="J26" s="57">
        <f>IFERROR(J25/F25-1,"")</f>
        <v/>
      </c>
      <c r="K26" s="57">
        <f>IFERROR(K25/G25-1,"")</f>
        <v/>
      </c>
      <c r="L26" s="57">
        <f>IFERROR(L25/H25-1,"")</f>
        <v/>
      </c>
      <c r="M26" s="57">
        <f>IFERROR(M25/I25-1,"")</f>
        <v/>
      </c>
      <c r="N26" s="57">
        <f>IFERROR(N25/J25-1,"")</f>
        <v/>
      </c>
      <c r="O26" s="57">
        <f>IFERROR(O25/K25-1,"")</f>
        <v/>
      </c>
      <c r="P26" s="57">
        <f>IFERROR(P25/L25-1,"")</f>
        <v/>
      </c>
      <c r="Q26" s="57">
        <f>IFERROR(Q25/M25-1,"")</f>
        <v/>
      </c>
      <c r="R26" s="57">
        <f>IFERROR(R25/N25-1,"")</f>
        <v/>
      </c>
      <c r="S26" s="57">
        <f>IFERROR(S25/O25-1,"")</f>
        <v/>
      </c>
      <c r="T26" s="57">
        <f>IFERROR(T25/P25-1,"")</f>
        <v/>
      </c>
      <c r="U26" s="57">
        <f>IFERROR(U25/Q25-1,"")</f>
        <v/>
      </c>
      <c r="V26" s="57">
        <f>IFERROR(V25/R25-1,"")</f>
        <v/>
      </c>
      <c r="W26" s="57">
        <f>IFERROR(W25/S25-1,"")</f>
        <v/>
      </c>
      <c r="X26" s="57">
        <f>IFERROR(X25/T25-1,"")</f>
        <v/>
      </c>
      <c r="Y26" s="57">
        <f>IFERROR(Y25/U25-1,"")</f>
        <v/>
      </c>
      <c r="Z26" s="57">
        <f>IFERROR(Z25/V25-1,"")</f>
        <v/>
      </c>
      <c r="AA26" s="57">
        <f>IFERROR(AA25/W25-1,"")</f>
        <v/>
      </c>
      <c r="AB26" s="57">
        <f>IFERROR(AB25/X25-1,"")</f>
        <v/>
      </c>
      <c r="AC26" s="57">
        <f>IFERROR(AC25/Y25-1,"")</f>
        <v/>
      </c>
    </row>
    <row r="27">
      <c r="A27" s="4" t="inlineStr">
        <is>
          <t xml:space="preserve">    % of revenue</t>
        </is>
      </c>
      <c r="B27" s="57">
        <f>IFERROR(B25/B3,"")</f>
        <v/>
      </c>
      <c r="C27" s="57">
        <f>IFERROR(C25/C3,"")</f>
        <v/>
      </c>
      <c r="D27" s="57">
        <f>IFERROR(D25/D3,"")</f>
        <v/>
      </c>
      <c r="E27" s="57">
        <f>IFERROR(E25/E3,"")</f>
        <v/>
      </c>
      <c r="F27" s="57">
        <f>IFERROR(F25/F3,"")</f>
        <v/>
      </c>
      <c r="G27" s="57">
        <f>IFERROR(G25/G3,"")</f>
        <v/>
      </c>
      <c r="H27" s="57">
        <f>IFERROR(H25/H3,"")</f>
        <v/>
      </c>
      <c r="I27" s="57">
        <f>IFERROR(I25/I3,"")</f>
        <v/>
      </c>
      <c r="J27" s="57">
        <f>IFERROR(J25/J3,"")</f>
        <v/>
      </c>
      <c r="K27" s="57">
        <f>IFERROR(K25/K3,"")</f>
        <v/>
      </c>
      <c r="L27" s="57">
        <f>IFERROR(L25/L3,"")</f>
        <v/>
      </c>
      <c r="M27" s="57">
        <f>IFERROR(M25/M3,"")</f>
        <v/>
      </c>
      <c r="N27" s="57">
        <f>IFERROR(N25/N3,"")</f>
        <v/>
      </c>
      <c r="O27" s="57">
        <f>IFERROR(O25/O3,"")</f>
        <v/>
      </c>
      <c r="P27" s="57">
        <f>IFERROR(P25/P3,"")</f>
        <v/>
      </c>
      <c r="Q27" s="57">
        <f>IFERROR(Q25/Q3,"")</f>
        <v/>
      </c>
      <c r="R27" s="57">
        <f>IFERROR(R25/R3,"")</f>
        <v/>
      </c>
      <c r="S27" s="57">
        <f>IFERROR(S25/S3,"")</f>
        <v/>
      </c>
      <c r="T27" s="57">
        <f>IFERROR(T25/T3,"")</f>
        <v/>
      </c>
      <c r="U27" s="57">
        <f>IFERROR(U25/U3,"")</f>
        <v/>
      </c>
      <c r="V27" s="57">
        <f>IFERROR(V25/V3,"")</f>
        <v/>
      </c>
      <c r="W27" s="57">
        <f>IFERROR(W25/W3,"")</f>
        <v/>
      </c>
      <c r="X27" s="57">
        <f>IFERROR(X25/X3,"")</f>
        <v/>
      </c>
      <c r="Y27" s="57">
        <f>IFERROR(Y25/Y3,"")</f>
        <v/>
      </c>
      <c r="Z27" s="57">
        <f>IFERROR(Z25/Z3,"")</f>
        <v/>
      </c>
      <c r="AA27" s="57">
        <f>IFERROR(AA25/AA3,"")</f>
        <v/>
      </c>
      <c r="AB27" s="57">
        <f>IFERROR(AB25/AB3,"")</f>
        <v/>
      </c>
      <c r="AC27" s="57">
        <f>IFERROR(AC25/AC3,"")</f>
        <v/>
      </c>
    </row>
    <row r="28">
      <c r="A28" s="4" t="inlineStr">
        <is>
          <t>Rest of Asia</t>
        </is>
      </c>
      <c r="Q28" s="18" t="n">
        <v>394</v>
      </c>
      <c r="R28" s="18" t="n">
        <v>435</v>
      </c>
      <c r="S28" s="18" t="n">
        <v>434</v>
      </c>
      <c r="U28" s="18" t="n">
        <v>401</v>
      </c>
      <c r="V28" s="18" t="n">
        <v>417</v>
      </c>
      <c r="W28" s="18" t="n">
        <v>431</v>
      </c>
      <c r="Y28" s="18" t="n">
        <v>438</v>
      </c>
      <c r="Z28" s="18" t="n">
        <v>487</v>
      </c>
      <c r="AA28" s="18" t="n">
        <v>505</v>
      </c>
      <c r="AB28" s="18" t="n">
        <v>457</v>
      </c>
      <c r="AC28" s="18" t="n">
        <v>555</v>
      </c>
    </row>
    <row r="29">
      <c r="A29" s="4" t="inlineStr">
        <is>
          <t xml:space="preserve">    % YoY</t>
        </is>
      </c>
      <c r="F29" s="57">
        <f>IFERROR(F28/B28-1,"")</f>
        <v/>
      </c>
      <c r="G29" s="57">
        <f>IFERROR(G28/C28-1,"")</f>
        <v/>
      </c>
      <c r="H29" s="57">
        <f>IFERROR(H28/D28-1,"")</f>
        <v/>
      </c>
      <c r="I29" s="57">
        <f>IFERROR(I28/E28-1,"")</f>
        <v/>
      </c>
      <c r="J29" s="57">
        <f>IFERROR(J28/F28-1,"")</f>
        <v/>
      </c>
      <c r="K29" s="57">
        <f>IFERROR(K28/G28-1,"")</f>
        <v/>
      </c>
      <c r="L29" s="57">
        <f>IFERROR(L28/H28-1,"")</f>
        <v/>
      </c>
      <c r="M29" s="57">
        <f>IFERROR(M28/I28-1,"")</f>
        <v/>
      </c>
      <c r="N29" s="57">
        <f>IFERROR(N28/J28-1,"")</f>
        <v/>
      </c>
      <c r="O29" s="57">
        <f>IFERROR(O28/K28-1,"")</f>
        <v/>
      </c>
      <c r="P29" s="57">
        <f>IFERROR(P28/L28-1,"")</f>
        <v/>
      </c>
      <c r="Q29" s="57">
        <f>IFERROR(Q28/M28-1,"")</f>
        <v/>
      </c>
      <c r="R29" s="57">
        <f>IFERROR(R28/N28-1,"")</f>
        <v/>
      </c>
      <c r="S29" s="57">
        <f>IFERROR(S28/O28-1,"")</f>
        <v/>
      </c>
      <c r="T29" s="57">
        <f>IFERROR(T28/P28-1,"")</f>
        <v/>
      </c>
      <c r="U29" s="57">
        <f>IFERROR(U28/Q28-1,"")</f>
        <v/>
      </c>
      <c r="V29" s="57">
        <f>IFERROR(V28/R28-1,"")</f>
        <v/>
      </c>
      <c r="W29" s="57">
        <f>IFERROR(W28/S28-1,"")</f>
        <v/>
      </c>
      <c r="X29" s="57">
        <f>IFERROR(X28/T28-1,"")</f>
        <v/>
      </c>
      <c r="Y29" s="57">
        <f>IFERROR(Y28/U28-1,"")</f>
        <v/>
      </c>
      <c r="Z29" s="57">
        <f>IFERROR(Z28/V28-1,"")</f>
        <v/>
      </c>
      <c r="AA29" s="57">
        <f>IFERROR(AA28/W28-1,"")</f>
        <v/>
      </c>
      <c r="AB29" s="57">
        <f>IFERROR(AB28/X28-1,"")</f>
        <v/>
      </c>
      <c r="AC29" s="57">
        <f>IFERROR(AC28/Y28-1,"")</f>
        <v/>
      </c>
    </row>
    <row r="30">
      <c r="A30" s="4" t="inlineStr">
        <is>
          <t xml:space="preserve">    % of revenue</t>
        </is>
      </c>
      <c r="B30" s="57">
        <f>IFERROR(B28/B3,"")</f>
        <v/>
      </c>
      <c r="C30" s="57">
        <f>IFERROR(C28/C3,"")</f>
        <v/>
      </c>
      <c r="D30" s="57">
        <f>IFERROR(D28/D3,"")</f>
        <v/>
      </c>
      <c r="E30" s="57">
        <f>IFERROR(E28/E3,"")</f>
        <v/>
      </c>
      <c r="F30" s="57">
        <f>IFERROR(F28/F3,"")</f>
        <v/>
      </c>
      <c r="G30" s="57">
        <f>IFERROR(G28/G3,"")</f>
        <v/>
      </c>
      <c r="H30" s="57">
        <f>IFERROR(H28/H3,"")</f>
        <v/>
      </c>
      <c r="I30" s="57">
        <f>IFERROR(I28/I3,"")</f>
        <v/>
      </c>
      <c r="J30" s="57">
        <f>IFERROR(J28/J3,"")</f>
        <v/>
      </c>
      <c r="K30" s="57">
        <f>IFERROR(K28/K3,"")</f>
        <v/>
      </c>
      <c r="L30" s="57">
        <f>IFERROR(L28/L3,"")</f>
        <v/>
      </c>
      <c r="M30" s="57">
        <f>IFERROR(M28/M3,"")</f>
        <v/>
      </c>
      <c r="N30" s="57">
        <f>IFERROR(N28/N3,"")</f>
        <v/>
      </c>
      <c r="O30" s="57">
        <f>IFERROR(O28/O3,"")</f>
        <v/>
      </c>
      <c r="P30" s="57">
        <f>IFERROR(P28/P3,"")</f>
        <v/>
      </c>
      <c r="Q30" s="57">
        <f>IFERROR(Q28/Q3,"")</f>
        <v/>
      </c>
      <c r="R30" s="57">
        <f>IFERROR(R28/R3,"")</f>
        <v/>
      </c>
      <c r="S30" s="57">
        <f>IFERROR(S28/S3,"")</f>
        <v/>
      </c>
      <c r="T30" s="57">
        <f>IFERROR(T28/T3,"")</f>
        <v/>
      </c>
      <c r="U30" s="57">
        <f>IFERROR(U28/U3,"")</f>
        <v/>
      </c>
      <c r="V30" s="57">
        <f>IFERROR(V28/V3,"")</f>
        <v/>
      </c>
      <c r="W30" s="57">
        <f>IFERROR(W28/W3,"")</f>
        <v/>
      </c>
      <c r="X30" s="57">
        <f>IFERROR(X28/X3,"")</f>
        <v/>
      </c>
      <c r="Y30" s="57">
        <f>IFERROR(Y28/Y3,"")</f>
        <v/>
      </c>
      <c r="Z30" s="57">
        <f>IFERROR(Z28/Z3,"")</f>
        <v/>
      </c>
      <c r="AA30" s="57">
        <f>IFERROR(AA28/AA3,"")</f>
        <v/>
      </c>
      <c r="AB30" s="57">
        <f>IFERROR(AB28/AB3,"")</f>
        <v/>
      </c>
      <c r="AC30" s="57">
        <f>IFERROR(AC28/AC3,"")</f>
        <v/>
      </c>
    </row>
    <row r="31">
      <c r="A31" s="4" t="inlineStr">
        <is>
          <t>JAPAN</t>
        </is>
      </c>
      <c r="B31" s="18" t="n">
        <v>218</v>
      </c>
      <c r="C31" s="18" t="n">
        <v>198</v>
      </c>
      <c r="D31" s="18" t="n">
        <v>189</v>
      </c>
      <c r="E31" s="18" t="n">
        <v>190</v>
      </c>
      <c r="F31" s="18" t="n">
        <v>193</v>
      </c>
      <c r="G31" s="18" t="n">
        <v>140</v>
      </c>
      <c r="H31" s="18" t="n">
        <v>211</v>
      </c>
      <c r="I31" s="18" t="n">
        <v>239</v>
      </c>
      <c r="J31" s="18" t="n">
        <v>235</v>
      </c>
      <c r="K31" s="18" t="n">
        <v>242</v>
      </c>
      <c r="L31" s="18" t="n">
        <v>243</v>
      </c>
      <c r="M31" s="18" t="n">
        <v>263</v>
      </c>
      <c r="N31" s="18" t="n">
        <v>276</v>
      </c>
      <c r="O31" s="18" t="n">
        <v>310</v>
      </c>
      <c r="Q31" s="18" t="n">
        <v>438</v>
      </c>
      <c r="R31" s="18" t="n">
        <v>480</v>
      </c>
      <c r="S31" s="18" t="n">
        <v>455</v>
      </c>
      <c r="U31" s="18" t="n">
        <v>330</v>
      </c>
      <c r="V31" s="18" t="n">
        <v>292</v>
      </c>
      <c r="W31" s="18" t="n">
        <v>313</v>
      </c>
      <c r="Y31" s="18" t="n">
        <v>275</v>
      </c>
      <c r="Z31" s="18" t="n">
        <v>295</v>
      </c>
      <c r="AA31" s="18" t="n">
        <v>313</v>
      </c>
      <c r="AB31" s="18" t="n">
        <v>290</v>
      </c>
      <c r="AC31" s="18" t="n">
        <v>289</v>
      </c>
    </row>
    <row r="32">
      <c r="A32" s="4" t="inlineStr">
        <is>
          <t xml:space="preserve">    % YoY</t>
        </is>
      </c>
      <c r="F32" s="57">
        <f>IFERROR(F31/B31-1,"")</f>
        <v/>
      </c>
      <c r="G32" s="57">
        <f>IFERROR(G31/C31-1,"")</f>
        <v/>
      </c>
      <c r="H32" s="57">
        <f>IFERROR(H31/D31-1,"")</f>
        <v/>
      </c>
      <c r="I32" s="57">
        <f>IFERROR(I31/E31-1,"")</f>
        <v/>
      </c>
      <c r="J32" s="57">
        <f>IFERROR(J31/F31-1,"")</f>
        <v/>
      </c>
      <c r="K32" s="57">
        <f>IFERROR(K31/G31-1,"")</f>
        <v/>
      </c>
      <c r="L32" s="57">
        <f>IFERROR(L31/H31-1,"")</f>
        <v/>
      </c>
      <c r="M32" s="57">
        <f>IFERROR(M31/I31-1,"")</f>
        <v/>
      </c>
      <c r="N32" s="57">
        <f>IFERROR(N31/J31-1,"")</f>
        <v/>
      </c>
      <c r="O32" s="57">
        <f>IFERROR(O31/K31-1,"")</f>
        <v/>
      </c>
      <c r="P32" s="57">
        <f>IFERROR(P31/L31-1,"")</f>
        <v/>
      </c>
      <c r="Q32" s="57">
        <f>IFERROR(Q31/M31-1,"")</f>
        <v/>
      </c>
      <c r="R32" s="57">
        <f>IFERROR(R31/N31-1,"")</f>
        <v/>
      </c>
      <c r="S32" s="57">
        <f>IFERROR(S31/O31-1,"")</f>
        <v/>
      </c>
      <c r="T32" s="57">
        <f>IFERROR(T31/P31-1,"")</f>
        <v/>
      </c>
      <c r="U32" s="57">
        <f>IFERROR(U31/Q31-1,"")</f>
        <v/>
      </c>
      <c r="V32" s="57">
        <f>IFERROR(V31/R31-1,"")</f>
        <v/>
      </c>
      <c r="W32" s="57">
        <f>IFERROR(W31/S31-1,"")</f>
        <v/>
      </c>
      <c r="X32" s="57">
        <f>IFERROR(X31/T31-1,"")</f>
        <v/>
      </c>
      <c r="Y32" s="57">
        <f>IFERROR(Y31/U31-1,"")</f>
        <v/>
      </c>
      <c r="Z32" s="57">
        <f>IFERROR(Z31/V31-1,"")</f>
        <v/>
      </c>
      <c r="AA32" s="57">
        <f>IFERROR(AA31/W31-1,"")</f>
        <v/>
      </c>
      <c r="AB32" s="57">
        <f>IFERROR(AB31/X31-1,"")</f>
        <v/>
      </c>
      <c r="AC32" s="57">
        <f>IFERROR(AC31/Y31-1,"")</f>
        <v/>
      </c>
    </row>
    <row r="33">
      <c r="A33" s="4" t="inlineStr">
        <is>
          <t xml:space="preserve">    % of revenue</t>
        </is>
      </c>
      <c r="B33" s="57">
        <f>IFERROR(B31/B3,"")</f>
        <v/>
      </c>
      <c r="C33" s="57">
        <f>IFERROR(C31/C3,"")</f>
        <v/>
      </c>
      <c r="D33" s="57">
        <f>IFERROR(D31/D3,"")</f>
        <v/>
      </c>
      <c r="E33" s="57">
        <f>IFERROR(E31/E3,"")</f>
        <v/>
      </c>
      <c r="F33" s="57">
        <f>IFERROR(F31/F3,"")</f>
        <v/>
      </c>
      <c r="G33" s="57">
        <f>IFERROR(G31/G3,"")</f>
        <v/>
      </c>
      <c r="H33" s="57">
        <f>IFERROR(H31/H3,"")</f>
        <v/>
      </c>
      <c r="I33" s="57">
        <f>IFERROR(I31/I3,"")</f>
        <v/>
      </c>
      <c r="J33" s="57">
        <f>IFERROR(J31/J3,"")</f>
        <v/>
      </c>
      <c r="K33" s="57">
        <f>IFERROR(K31/K3,"")</f>
        <v/>
      </c>
      <c r="L33" s="57">
        <f>IFERROR(L31/L3,"")</f>
        <v/>
      </c>
      <c r="M33" s="57">
        <f>IFERROR(M31/M3,"")</f>
        <v/>
      </c>
      <c r="N33" s="57">
        <f>IFERROR(N31/N3,"")</f>
        <v/>
      </c>
      <c r="O33" s="57">
        <f>IFERROR(O31/O3,"")</f>
        <v/>
      </c>
      <c r="P33" s="57">
        <f>IFERROR(P31/P3,"")</f>
        <v/>
      </c>
      <c r="Q33" s="57">
        <f>IFERROR(Q31/Q3,"")</f>
        <v/>
      </c>
      <c r="R33" s="57">
        <f>IFERROR(R31/R3,"")</f>
        <v/>
      </c>
      <c r="S33" s="57">
        <f>IFERROR(S31/S3,"")</f>
        <v/>
      </c>
      <c r="T33" s="57">
        <f>IFERROR(T31/T3,"")</f>
        <v/>
      </c>
      <c r="U33" s="57">
        <f>IFERROR(U31/U3,"")</f>
        <v/>
      </c>
      <c r="V33" s="57">
        <f>IFERROR(V31/V3,"")</f>
        <v/>
      </c>
      <c r="W33" s="57">
        <f>IFERROR(W31/W3,"")</f>
        <v/>
      </c>
      <c r="X33" s="57">
        <f>IFERROR(X31/X3,"")</f>
        <v/>
      </c>
      <c r="Y33" s="57">
        <f>IFERROR(Y31/Y3,"")</f>
        <v/>
      </c>
      <c r="Z33" s="57">
        <f>IFERROR(Z31/Z3,"")</f>
        <v/>
      </c>
      <c r="AA33" s="57">
        <f>IFERROR(AA31/AA3,"")</f>
        <v/>
      </c>
      <c r="AB33" s="57">
        <f>IFERROR(AB31/AB3,"")</f>
        <v/>
      </c>
      <c r="AC33" s="57">
        <f>IFERROR(AC31/AC3,"")</f>
        <v/>
      </c>
    </row>
    <row r="34">
      <c r="A34" s="4" t="inlineStr">
        <is>
          <t>Rest Of World</t>
        </is>
      </c>
      <c r="B34" s="18" t="n">
        <v>97</v>
      </c>
      <c r="C34" s="18" t="n">
        <v>107</v>
      </c>
      <c r="D34" s="18" t="n">
        <v>108</v>
      </c>
      <c r="E34" s="18" t="n">
        <v>103</v>
      </c>
      <c r="F34" s="18" t="n">
        <v>72</v>
      </c>
      <c r="G34" s="18" t="n">
        <v>104</v>
      </c>
      <c r="H34" s="18" t="n">
        <v>111</v>
      </c>
      <c r="I34" s="18" t="n">
        <v>117</v>
      </c>
      <c r="J34" s="18" t="n">
        <v>127</v>
      </c>
      <c r="K34" s="18" t="n">
        <v>121</v>
      </c>
      <c r="L34" s="18" t="n">
        <v>127</v>
      </c>
      <c r="M34" s="18" t="n">
        <v>131</v>
      </c>
      <c r="N34" s="18" t="n">
        <v>142</v>
      </c>
      <c r="O34" s="18" t="n">
        <v>160</v>
      </c>
      <c r="Q34" s="18" t="n">
        <v>44</v>
      </c>
      <c r="R34" s="18" t="n">
        <v>57</v>
      </c>
      <c r="S34" s="18" t="n">
        <v>96</v>
      </c>
      <c r="U34" s="18" t="n">
        <v>64</v>
      </c>
      <c r="V34" s="18" t="n">
        <v>62</v>
      </c>
      <c r="W34" s="18" t="n">
        <v>65</v>
      </c>
      <c r="Y34" s="18" t="n">
        <v>76</v>
      </c>
      <c r="Z34" s="18" t="n">
        <v>83</v>
      </c>
      <c r="AA34" s="18" t="n">
        <v>74</v>
      </c>
      <c r="AB34" s="18" t="n">
        <v>98</v>
      </c>
      <c r="AC34" s="18" t="n">
        <v>91</v>
      </c>
    </row>
    <row r="35">
      <c r="A35" s="4" t="inlineStr">
        <is>
          <t xml:space="preserve">    % YoY</t>
        </is>
      </c>
      <c r="F35" s="57">
        <f>IFERROR(F34/B34-1,"")</f>
        <v/>
      </c>
      <c r="G35" s="57">
        <f>IFERROR(G34/C34-1,"")</f>
        <v/>
      </c>
      <c r="H35" s="57">
        <f>IFERROR(H34/D34-1,"")</f>
        <v/>
      </c>
      <c r="I35" s="57">
        <f>IFERROR(I34/E34-1,"")</f>
        <v/>
      </c>
      <c r="J35" s="57">
        <f>IFERROR(J34/F34-1,"")</f>
        <v/>
      </c>
      <c r="K35" s="57">
        <f>IFERROR(K34/G34-1,"")</f>
        <v/>
      </c>
      <c r="L35" s="57">
        <f>IFERROR(L34/H34-1,"")</f>
        <v/>
      </c>
      <c r="M35" s="57">
        <f>IFERROR(M34/I34-1,"")</f>
        <v/>
      </c>
      <c r="N35" s="57">
        <f>IFERROR(N34/J34-1,"")</f>
        <v/>
      </c>
      <c r="O35" s="57">
        <f>IFERROR(O34/K34-1,"")</f>
        <v/>
      </c>
      <c r="P35" s="57">
        <f>IFERROR(P34/L34-1,"")</f>
        <v/>
      </c>
      <c r="Q35" s="57">
        <f>IFERROR(Q34/M34-1,"")</f>
        <v/>
      </c>
      <c r="R35" s="57">
        <f>IFERROR(R34/N34-1,"")</f>
        <v/>
      </c>
      <c r="S35" s="57">
        <f>IFERROR(S34/O34-1,"")</f>
        <v/>
      </c>
      <c r="T35" s="57">
        <f>IFERROR(T34/P34-1,"")</f>
        <v/>
      </c>
      <c r="U35" s="57">
        <f>IFERROR(U34/Q34-1,"")</f>
        <v/>
      </c>
      <c r="V35" s="57">
        <f>IFERROR(V34/R34-1,"")</f>
        <v/>
      </c>
      <c r="W35" s="57">
        <f>IFERROR(W34/S34-1,"")</f>
        <v/>
      </c>
      <c r="X35" s="57">
        <f>IFERROR(X34/T34-1,"")</f>
        <v/>
      </c>
      <c r="Y35" s="57">
        <f>IFERROR(Y34/U34-1,"")</f>
        <v/>
      </c>
      <c r="Z35" s="57">
        <f>IFERROR(Z34/V34-1,"")</f>
        <v/>
      </c>
      <c r="AA35" s="57">
        <f>IFERROR(AA34/W34-1,"")</f>
        <v/>
      </c>
      <c r="AB35" s="57">
        <f>IFERROR(AB34/X34-1,"")</f>
        <v/>
      </c>
      <c r="AC35" s="57">
        <f>IFERROR(AC34/Y34-1,"")</f>
        <v/>
      </c>
    </row>
    <row r="36">
      <c r="A36" s="4" t="inlineStr">
        <is>
          <t xml:space="preserve">    % of revenue</t>
        </is>
      </c>
      <c r="B36" s="57">
        <f>IFERROR(B34/B3,"")</f>
        <v/>
      </c>
      <c r="C36" s="57">
        <f>IFERROR(C34/C3,"")</f>
        <v/>
      </c>
      <c r="D36" s="57">
        <f>IFERROR(D34/D3,"")</f>
        <v/>
      </c>
      <c r="E36" s="57">
        <f>IFERROR(E34/E3,"")</f>
        <v/>
      </c>
      <c r="F36" s="57">
        <f>IFERROR(F34/F3,"")</f>
        <v/>
      </c>
      <c r="G36" s="57">
        <f>IFERROR(G34/G3,"")</f>
        <v/>
      </c>
      <c r="H36" s="57">
        <f>IFERROR(H34/H3,"")</f>
        <v/>
      </c>
      <c r="I36" s="57">
        <f>IFERROR(I34/I3,"")</f>
        <v/>
      </c>
      <c r="J36" s="57">
        <f>IFERROR(J34/J3,"")</f>
        <v/>
      </c>
      <c r="K36" s="57">
        <f>IFERROR(K34/K3,"")</f>
        <v/>
      </c>
      <c r="L36" s="57">
        <f>IFERROR(L34/L3,"")</f>
        <v/>
      </c>
      <c r="M36" s="57">
        <f>IFERROR(M34/M3,"")</f>
        <v/>
      </c>
      <c r="N36" s="57">
        <f>IFERROR(N34/N3,"")</f>
        <v/>
      </c>
      <c r="O36" s="57">
        <f>IFERROR(O34/O3,"")</f>
        <v/>
      </c>
      <c r="P36" s="57">
        <f>IFERROR(P34/P3,"")</f>
        <v/>
      </c>
      <c r="Q36" s="57">
        <f>IFERROR(Q34/Q3,"")</f>
        <v/>
      </c>
      <c r="R36" s="57">
        <f>IFERROR(R34/R3,"")</f>
        <v/>
      </c>
      <c r="S36" s="57">
        <f>IFERROR(S34/S3,"")</f>
        <v/>
      </c>
      <c r="T36" s="57">
        <f>IFERROR(T34/T3,"")</f>
        <v/>
      </c>
      <c r="U36" s="57">
        <f>IFERROR(U34/U3,"")</f>
        <v/>
      </c>
      <c r="V36" s="57">
        <f>IFERROR(V34/V3,"")</f>
        <v/>
      </c>
      <c r="W36" s="57">
        <f>IFERROR(W34/W3,"")</f>
        <v/>
      </c>
      <c r="X36" s="57">
        <f>IFERROR(X34/X3,"")</f>
        <v/>
      </c>
      <c r="Y36" s="57">
        <f>IFERROR(Y34/Y3,"")</f>
        <v/>
      </c>
      <c r="Z36" s="57">
        <f>IFERROR(Z34/Z3,"")</f>
        <v/>
      </c>
      <c r="AA36" s="57">
        <f>IFERROR(AA34/AA3,"")</f>
        <v/>
      </c>
      <c r="AB36" s="57">
        <f>IFERROR(AB34/AB3,"")</f>
        <v/>
      </c>
      <c r="AC36" s="57">
        <f>IFERROR(AC34/AC3,"")</f>
        <v/>
      </c>
    </row>
    <row r="37">
      <c r="A37" s="5" t="inlineStr">
        <is>
          <t xml:space="preserve">  BALANCE SHEET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</row>
    <row r="38">
      <c r="A38" s="4" t="inlineStr">
        <is>
          <t>Cash &amp; ST Investments</t>
        </is>
      </c>
      <c r="B38" s="18" t="n">
        <v>4218</v>
      </c>
      <c r="C38" s="18" t="n">
        <v>5067</v>
      </c>
      <c r="D38" s="18" t="n">
        <v>5387</v>
      </c>
      <c r="E38" s="18" t="n">
        <v>4742</v>
      </c>
      <c r="F38" s="18" t="n">
        <v>4960</v>
      </c>
      <c r="G38" s="18" t="n">
        <v>5518</v>
      </c>
      <c r="H38" s="18" t="n">
        <v>6568</v>
      </c>
      <c r="I38" s="18" t="n">
        <v>6686</v>
      </c>
      <c r="J38" s="18" t="n">
        <v>7390</v>
      </c>
      <c r="K38" s="18" t="n">
        <v>9782</v>
      </c>
      <c r="L38" s="18" t="n">
        <v>9739</v>
      </c>
      <c r="M38" s="18" t="n">
        <v>9825</v>
      </c>
      <c r="N38" s="18" t="n">
        <v>8387</v>
      </c>
      <c r="O38" s="18" t="n">
        <v>9090</v>
      </c>
      <c r="P38" s="18" t="n">
        <v>9067</v>
      </c>
      <c r="Q38" s="18" t="n">
        <v>9545</v>
      </c>
      <c r="R38" s="18" t="n">
        <v>9552</v>
      </c>
      <c r="S38" s="18" t="n">
        <v>8948</v>
      </c>
      <c r="T38" s="18" t="n">
        <v>8575</v>
      </c>
      <c r="U38" s="18" t="n">
        <v>10393</v>
      </c>
      <c r="V38" s="18" t="n">
        <v>9688</v>
      </c>
      <c r="W38" s="18" t="n">
        <v>8752</v>
      </c>
      <c r="X38" s="18" t="n">
        <v>7580</v>
      </c>
      <c r="Y38" s="18" t="n">
        <v>5005</v>
      </c>
      <c r="Z38" s="18" t="n">
        <v>5359</v>
      </c>
      <c r="AA38" s="18" t="n">
        <v>5186</v>
      </c>
      <c r="AB38" s="18" t="n">
        <v>4881</v>
      </c>
      <c r="AC38" s="18" t="n">
        <v>5103</v>
      </c>
    </row>
    <row r="39">
      <c r="A39" s="4" t="inlineStr">
        <is>
          <t>Total Current Assets</t>
        </is>
      </c>
      <c r="B39" s="18" t="n">
        <v>7956</v>
      </c>
      <c r="C39" s="18" t="n">
        <v>8713</v>
      </c>
      <c r="D39" s="18" t="n">
        <v>8761</v>
      </c>
      <c r="E39" s="18" t="n">
        <v>8310</v>
      </c>
      <c r="F39" s="18" t="n">
        <v>8488</v>
      </c>
      <c r="G39" s="18" t="n">
        <v>9259</v>
      </c>
      <c r="H39" s="18" t="n">
        <v>10239</v>
      </c>
      <c r="I39" s="18" t="n">
        <v>10405</v>
      </c>
      <c r="J39" s="18" t="n">
        <v>11177</v>
      </c>
      <c r="K39" s="18" t="n">
        <v>13585</v>
      </c>
      <c r="L39" s="18" t="n">
        <v>13685</v>
      </c>
      <c r="M39" s="18" t="n">
        <v>14010</v>
      </c>
      <c r="N39" s="18" t="n">
        <v>13043</v>
      </c>
      <c r="O39" s="18" t="n">
        <v>13772</v>
      </c>
      <c r="P39" s="18" t="n">
        <v>14021</v>
      </c>
      <c r="Q39" s="18" t="n">
        <v>15023</v>
      </c>
      <c r="R39" s="18" t="n">
        <v>15514</v>
      </c>
      <c r="S39" s="18" t="n">
        <v>15097</v>
      </c>
      <c r="T39" s="18" t="n">
        <v>15122</v>
      </c>
      <c r="U39" s="18" t="n">
        <v>17448</v>
      </c>
      <c r="V39" s="18" t="n">
        <v>16789</v>
      </c>
      <c r="W39" s="18" t="n">
        <v>15872</v>
      </c>
      <c r="X39" s="18" t="n">
        <v>15026</v>
      </c>
      <c r="Y39" s="18" t="n">
        <v>13086</v>
      </c>
      <c r="Z39" s="18" t="n">
        <v>14484</v>
      </c>
      <c r="AA39" s="18" t="n">
        <v>13876</v>
      </c>
      <c r="AB39" s="18" t="n">
        <v>13750</v>
      </c>
      <c r="AC39" s="18" t="n">
        <v>13796</v>
      </c>
    </row>
    <row r="40">
      <c r="A40" s="4" t="inlineStr">
        <is>
          <t>PP&amp;E (net)</t>
        </is>
      </c>
      <c r="B40" s="18" t="n">
        <v>3365</v>
      </c>
      <c r="C40" s="18" t="n">
        <v>3318</v>
      </c>
      <c r="D40" s="18" t="n">
        <v>3303</v>
      </c>
      <c r="E40" s="18" t="n">
        <v>3233</v>
      </c>
      <c r="F40" s="18" t="n">
        <v>3201</v>
      </c>
      <c r="G40" s="18" t="n">
        <v>3190</v>
      </c>
      <c r="H40" s="18" t="n">
        <v>3269</v>
      </c>
      <c r="I40" s="18" t="n">
        <v>3431</v>
      </c>
      <c r="J40" s="18" t="n">
        <v>3678</v>
      </c>
      <c r="K40" s="18" t="n">
        <v>4021</v>
      </c>
      <c r="L40" s="18" t="n">
        <v>5141</v>
      </c>
      <c r="M40" s="18" t="n">
        <v>5439</v>
      </c>
      <c r="N40" s="18" t="n">
        <v>5931</v>
      </c>
      <c r="O40" s="18" t="n">
        <v>6485</v>
      </c>
      <c r="P40" s="18" t="n">
        <v>6876</v>
      </c>
      <c r="Q40" s="18" t="n">
        <v>7665</v>
      </c>
      <c r="R40" s="18" t="n">
        <v>8525</v>
      </c>
      <c r="S40" s="18" t="n">
        <v>9320</v>
      </c>
      <c r="T40" s="18" t="n">
        <v>9999</v>
      </c>
      <c r="U40" s="18" t="n">
        <v>10442</v>
      </c>
      <c r="V40" s="18" t="n">
        <v>11174</v>
      </c>
      <c r="W40" s="18" t="n">
        <v>12602</v>
      </c>
      <c r="X40" s="18" t="n">
        <v>11347</v>
      </c>
      <c r="Y40" s="18" t="n">
        <v>11811</v>
      </c>
      <c r="Z40" s="18" t="n">
        <v>12321</v>
      </c>
      <c r="AA40" s="18" t="n">
        <v>12348</v>
      </c>
      <c r="AB40" s="18" t="n">
        <v>12320</v>
      </c>
      <c r="AC40" s="18" t="n">
        <v>12145</v>
      </c>
    </row>
    <row r="41">
      <c r="A41" s="4" t="inlineStr">
        <is>
          <t>Total Assets</t>
        </is>
      </c>
      <c r="B41" s="18" t="n">
        <v>17384</v>
      </c>
      <c r="C41" s="18" t="n">
        <v>17992</v>
      </c>
      <c r="D41" s="18" t="n">
        <v>18018</v>
      </c>
      <c r="E41" s="18" t="n">
        <v>17283</v>
      </c>
      <c r="F41" s="18" t="n">
        <v>17445</v>
      </c>
      <c r="G41" s="18" t="n">
        <v>18207</v>
      </c>
      <c r="H41" s="18" t="n">
        <v>19351</v>
      </c>
      <c r="I41" s="18" t="n">
        <v>19639</v>
      </c>
      <c r="J41" s="18" t="n">
        <v>20603</v>
      </c>
      <c r="K41" s="18" t="n">
        <v>23273</v>
      </c>
      <c r="L41" s="18" t="n">
        <v>24676</v>
      </c>
      <c r="M41" s="18" t="n">
        <v>25276</v>
      </c>
      <c r="N41" s="18" t="n">
        <v>24723</v>
      </c>
      <c r="O41" s="18" t="n">
        <v>26057</v>
      </c>
      <c r="P41" s="18" t="n">
        <v>27207</v>
      </c>
      <c r="Q41" s="18" t="n">
        <v>29220</v>
      </c>
      <c r="R41" s="18" t="n">
        <v>30939</v>
      </c>
      <c r="S41" s="18" t="n">
        <v>31638</v>
      </c>
      <c r="T41" s="18" t="n">
        <v>32348</v>
      </c>
      <c r="U41" s="18" t="n">
        <v>34885</v>
      </c>
      <c r="V41" s="18" t="n">
        <v>35048</v>
      </c>
      <c r="W41" s="18" t="n">
        <v>35321</v>
      </c>
      <c r="X41" s="18" t="n">
        <v>35509</v>
      </c>
      <c r="Y41" s="18" t="n">
        <v>33757</v>
      </c>
      <c r="Z41" s="18" t="n">
        <v>34933</v>
      </c>
      <c r="AA41" s="18" t="n">
        <v>35004</v>
      </c>
      <c r="AB41" s="18" t="n">
        <v>34585</v>
      </c>
      <c r="AC41" s="18" t="n">
        <v>34393</v>
      </c>
    </row>
    <row r="42">
      <c r="A42" s="4" t="inlineStr">
        <is>
          <t>Total Current Liabilities</t>
        </is>
      </c>
      <c r="B42" s="18" t="n">
        <v>2646</v>
      </c>
      <c r="C42" s="18" t="n">
        <v>2007</v>
      </c>
      <c r="D42" s="18" t="n">
        <v>2123</v>
      </c>
      <c r="E42" s="18" t="n">
        <v>2381</v>
      </c>
      <c r="F42" s="18" t="n">
        <v>2163</v>
      </c>
      <c r="G42" s="18" t="n">
        <v>2185</v>
      </c>
      <c r="H42" s="18" t="n">
        <v>2390</v>
      </c>
      <c r="I42" s="18" t="n">
        <v>1700</v>
      </c>
      <c r="J42" s="18" t="n">
        <v>2201</v>
      </c>
      <c r="K42" s="18" t="n">
        <v>2413</v>
      </c>
      <c r="L42" s="18" t="n">
        <v>2569</v>
      </c>
      <c r="M42" s="18" t="n">
        <v>2528</v>
      </c>
      <c r="N42" s="18" t="n">
        <v>2560</v>
      </c>
      <c r="O42" s="18" t="n">
        <v>2798</v>
      </c>
      <c r="P42" s="18" t="n">
        <v>2985</v>
      </c>
      <c r="Q42" s="18" t="n">
        <v>2904</v>
      </c>
      <c r="R42" s="18" t="n">
        <v>2711</v>
      </c>
      <c r="S42" s="18" t="n">
        <v>2652</v>
      </c>
      <c r="T42" s="18" t="n">
        <v>3320</v>
      </c>
      <c r="U42" s="18" t="n">
        <v>3553</v>
      </c>
      <c r="V42" s="18" t="n">
        <v>3637</v>
      </c>
      <c r="W42" s="18" t="n">
        <v>3686</v>
      </c>
      <c r="X42" s="18" t="n">
        <v>3643</v>
      </c>
      <c r="Y42" s="18" t="n">
        <v>2489</v>
      </c>
      <c r="Z42" s="18" t="n">
        <v>2492</v>
      </c>
      <c r="AA42" s="18" t="n">
        <v>3118</v>
      </c>
      <c r="AB42" s="18" t="n">
        <v>3159</v>
      </c>
      <c r="AC42" s="18" t="n">
        <v>3096</v>
      </c>
    </row>
    <row r="43">
      <c r="A43" s="4" t="inlineStr">
        <is>
          <t>Long-term Debt</t>
        </is>
      </c>
      <c r="B43" s="18" t="n">
        <v>4558</v>
      </c>
      <c r="C43" s="18" t="n">
        <v>5302</v>
      </c>
      <c r="D43" s="18" t="n">
        <v>5303</v>
      </c>
      <c r="E43" s="18" t="n">
        <v>5499</v>
      </c>
      <c r="F43" s="18" t="n">
        <v>6245</v>
      </c>
      <c r="G43" s="18" t="n">
        <v>6247</v>
      </c>
      <c r="H43" s="18" t="n">
        <v>6248</v>
      </c>
      <c r="I43" s="18" t="n">
        <v>6250</v>
      </c>
      <c r="J43" s="18" t="n">
        <v>5752</v>
      </c>
      <c r="K43" s="18" t="n">
        <v>7239</v>
      </c>
      <c r="L43" s="18" t="n">
        <v>7241</v>
      </c>
      <c r="M43" s="18" t="n">
        <v>7242</v>
      </c>
      <c r="N43" s="18" t="n">
        <v>6745</v>
      </c>
      <c r="O43" s="18" t="n">
        <v>7438</v>
      </c>
      <c r="P43" s="18" t="n">
        <v>8235</v>
      </c>
      <c r="Q43" s="18" t="n">
        <v>9626</v>
      </c>
      <c r="R43" s="18" t="n">
        <v>10920</v>
      </c>
      <c r="S43" s="18" t="n">
        <v>10922</v>
      </c>
      <c r="T43" s="18" t="n">
        <v>11102</v>
      </c>
      <c r="U43" s="18" t="n">
        <v>12840</v>
      </c>
      <c r="V43" s="18" t="n">
        <v>12842</v>
      </c>
      <c r="W43" s="18" t="n">
        <v>12844</v>
      </c>
      <c r="X43" s="18" t="n">
        <v>13509</v>
      </c>
      <c r="Y43" s="18" t="n">
        <v>12848</v>
      </c>
      <c r="Z43" s="18" t="n">
        <v>14043</v>
      </c>
      <c r="AA43" s="18" t="n">
        <v>13546</v>
      </c>
      <c r="AB43" s="18" t="n">
        <v>14160</v>
      </c>
      <c r="AC43" s="18" t="n">
        <v>12901</v>
      </c>
    </row>
    <row r="44">
      <c r="A44" s="4" t="inlineStr">
        <is>
          <t>Total Equity</t>
        </is>
      </c>
      <c r="B44" s="18" t="n">
        <v>8486</v>
      </c>
      <c r="C44" s="18" t="n">
        <v>8985</v>
      </c>
      <c r="D44" s="18" t="n">
        <v>8907</v>
      </c>
      <c r="E44" s="18" t="n">
        <v>7734</v>
      </c>
      <c r="F44" s="18" t="n">
        <v>7644</v>
      </c>
      <c r="G44" s="18" t="n">
        <v>8325</v>
      </c>
      <c r="H44" s="18" t="n">
        <v>9187</v>
      </c>
      <c r="I44" s="18" t="n">
        <v>10166</v>
      </c>
      <c r="J44" s="18" t="n">
        <v>11153</v>
      </c>
      <c r="K44" s="18" t="n">
        <v>12151</v>
      </c>
      <c r="L44" s="18" t="n">
        <v>13333</v>
      </c>
      <c r="M44" s="18" t="n">
        <v>14017</v>
      </c>
      <c r="N44" s="18" t="n">
        <v>14092</v>
      </c>
      <c r="O44" s="18" t="n">
        <v>14507</v>
      </c>
      <c r="P44" s="18" t="n">
        <v>14577</v>
      </c>
      <c r="Q44" s="18" t="n">
        <v>15243</v>
      </c>
      <c r="R44" s="18" t="n">
        <v>15940</v>
      </c>
      <c r="S44" s="18" t="n">
        <v>16631</v>
      </c>
      <c r="T44" s="18" t="n">
        <v>16897</v>
      </c>
      <c r="U44" s="18" t="n">
        <v>16983</v>
      </c>
      <c r="V44" s="18" t="n">
        <v>17214</v>
      </c>
      <c r="W44" s="18" t="n">
        <v>17268</v>
      </c>
      <c r="X44" s="18" t="n">
        <v>16903</v>
      </c>
      <c r="Y44" s="18" t="n">
        <v>16406</v>
      </c>
      <c r="Z44" s="18" t="n">
        <v>16403</v>
      </c>
      <c r="AA44" s="18" t="n">
        <v>16627</v>
      </c>
      <c r="AB44" s="18" t="n">
        <v>16273</v>
      </c>
      <c r="AC44" s="18" t="n">
        <v>16778</v>
      </c>
    </row>
    <row r="45">
      <c r="A45" s="5" t="inlineStr">
        <is>
          <t xml:space="preserve">  CASH FLOW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  <c r="AB45" s="6" t="n"/>
      <c r="AC45" s="6" t="n"/>
    </row>
    <row r="46">
      <c r="A46" s="4" t="inlineStr">
        <is>
          <t>D&amp;A</t>
        </is>
      </c>
      <c r="B46" s="18" t="n">
        <v>267</v>
      </c>
      <c r="C46" s="18" t="n">
        <v>275</v>
      </c>
      <c r="D46" s="18" t="n">
        <v>250</v>
      </c>
      <c r="E46" s="18" t="n">
        <v>250</v>
      </c>
      <c r="F46" s="18" t="n">
        <v>249</v>
      </c>
      <c r="G46" s="18" t="n">
        <v>250</v>
      </c>
      <c r="H46" s="18" t="n">
        <v>243</v>
      </c>
      <c r="I46" s="18" t="n">
        <v>241</v>
      </c>
      <c r="J46" s="18" t="n">
        <v>247</v>
      </c>
      <c r="K46" s="18" t="n">
        <v>253</v>
      </c>
      <c r="L46" s="18" t="n">
        <v>213</v>
      </c>
      <c r="M46" s="18" t="n">
        <v>214</v>
      </c>
      <c r="N46" s="18" t="n">
        <v>240</v>
      </c>
      <c r="O46" s="18" t="n">
        <v>262</v>
      </c>
      <c r="P46" s="18" t="n">
        <v>263</v>
      </c>
      <c r="Q46" s="18" t="n">
        <v>281</v>
      </c>
      <c r="R46" s="18" t="n">
        <v>300</v>
      </c>
      <c r="S46" s="18" t="n">
        <v>320</v>
      </c>
      <c r="T46" s="18" t="n">
        <v>337</v>
      </c>
      <c r="U46" s="18" t="n">
        <v>362</v>
      </c>
      <c r="V46" s="18" t="n">
        <v>381</v>
      </c>
      <c r="W46" s="18" t="n">
        <v>402</v>
      </c>
      <c r="X46" s="18" t="n">
        <v>435</v>
      </c>
      <c r="Y46" s="18" t="n">
        <v>424</v>
      </c>
      <c r="Z46" s="18" t="n">
        <v>481</v>
      </c>
      <c r="AA46" s="18" t="n">
        <v>497</v>
      </c>
      <c r="AB46" s="18" t="n">
        <v>597</v>
      </c>
      <c r="AC46" s="18" t="n">
        <v>562</v>
      </c>
    </row>
    <row r="47">
      <c r="A47" s="4" t="inlineStr">
        <is>
          <t>Stock-based Compensation</t>
        </is>
      </c>
      <c r="B47" s="18" t="n">
        <v>67</v>
      </c>
      <c r="C47" s="18" t="n">
        <v>48</v>
      </c>
      <c r="D47" s="18" t="n">
        <v>41</v>
      </c>
      <c r="E47" s="18" t="n">
        <v>63</v>
      </c>
      <c r="F47" s="18" t="n">
        <v>69</v>
      </c>
      <c r="G47" s="18" t="n">
        <v>50</v>
      </c>
      <c r="H47" s="18" t="n">
        <v>42</v>
      </c>
      <c r="I47" s="18" t="n">
        <v>61</v>
      </c>
      <c r="J47" s="18" t="n">
        <v>69</v>
      </c>
      <c r="K47" s="18" t="n">
        <v>50</v>
      </c>
      <c r="L47" s="18" t="n">
        <v>50</v>
      </c>
      <c r="M47" s="18" t="n">
        <v>74</v>
      </c>
      <c r="N47" s="18" t="n">
        <v>85</v>
      </c>
      <c r="O47" s="18" t="n">
        <v>68</v>
      </c>
      <c r="P47" s="18" t="n">
        <v>62</v>
      </c>
      <c r="Q47" s="18" t="n">
        <v>104</v>
      </c>
      <c r="R47" s="18" t="n">
        <v>111</v>
      </c>
      <c r="S47" s="18" t="n">
        <v>79</v>
      </c>
      <c r="T47" s="18" t="n">
        <v>68</v>
      </c>
      <c r="U47" s="18" t="n">
        <v>106</v>
      </c>
      <c r="V47" s="18" t="n">
        <v>116</v>
      </c>
      <c r="W47" s="18" t="n">
        <v>87</v>
      </c>
      <c r="X47" s="18" t="n">
        <v>78</v>
      </c>
      <c r="Y47" s="18" t="n">
        <v>116</v>
      </c>
      <c r="Z47" s="18" t="n">
        <v>0</v>
      </c>
      <c r="AA47" s="18" t="n">
        <v>93</v>
      </c>
      <c r="AB47" s="18" t="n">
        <v>210</v>
      </c>
      <c r="AC47" s="18" t="n">
        <v>109</v>
      </c>
    </row>
    <row r="48">
      <c r="A48" s="4" t="inlineStr">
        <is>
          <t>Change in Working Capital</t>
        </is>
      </c>
      <c r="B48" s="18" t="n">
        <v>181</v>
      </c>
      <c r="C48" s="18" t="n">
        <v>225</v>
      </c>
      <c r="D48" s="18" t="n">
        <v>365</v>
      </c>
      <c r="E48" s="18" t="n">
        <v>-538</v>
      </c>
      <c r="F48" s="18" t="n">
        <v>36</v>
      </c>
      <c r="G48" s="18" t="n">
        <v>-191</v>
      </c>
      <c r="H48" s="18" t="n">
        <v>265</v>
      </c>
      <c r="I48" s="18" t="n">
        <v>-211</v>
      </c>
      <c r="J48" s="18" t="n">
        <v>-68</v>
      </c>
      <c r="K48" s="18" t="n">
        <v>161</v>
      </c>
      <c r="L48" s="18" t="n">
        <v>-47</v>
      </c>
      <c r="M48" s="18" t="n">
        <v>-316</v>
      </c>
      <c r="N48" s="18" t="n">
        <v>-661</v>
      </c>
      <c r="O48" s="18" t="n">
        <v>173</v>
      </c>
      <c r="P48" s="18" t="n">
        <v>-9</v>
      </c>
      <c r="Q48" s="18" t="n">
        <v>-863</v>
      </c>
      <c r="R48" s="18" t="n">
        <v>-510</v>
      </c>
      <c r="S48" s="18" t="n">
        <v>-6</v>
      </c>
      <c r="T48" s="18" t="n">
        <v>280</v>
      </c>
      <c r="U48" s="18" t="n">
        <v>-356</v>
      </c>
      <c r="V48" s="18" t="n">
        <v>29</v>
      </c>
      <c r="W48" s="18" t="n">
        <v>-47</v>
      </c>
      <c r="X48" s="18" t="n">
        <v>300</v>
      </c>
      <c r="Y48" s="18" t="n">
        <v>-724</v>
      </c>
      <c r="Z48" s="18" t="n">
        <v>5</v>
      </c>
      <c r="AA48" s="18" t="n">
        <v>213</v>
      </c>
      <c r="AB48" s="18" t="n">
        <v>235</v>
      </c>
      <c r="AC48" s="18" t="n">
        <v>-691</v>
      </c>
    </row>
    <row r="49">
      <c r="A49" s="4" t="inlineStr">
        <is>
          <t>Operating Cash Flow</t>
        </is>
      </c>
      <c r="B49" s="18" t="n">
        <v>1796</v>
      </c>
      <c r="C49" s="18" t="n">
        <v>1992</v>
      </c>
      <c r="D49" s="18" t="n">
        <v>1754</v>
      </c>
      <c r="E49" s="18" t="n">
        <v>851</v>
      </c>
      <c r="F49" s="18" t="n">
        <v>1720</v>
      </c>
      <c r="G49" s="18" t="n">
        <v>1443</v>
      </c>
      <c r="H49" s="18" t="n">
        <v>2125</v>
      </c>
      <c r="I49" s="18" t="n">
        <v>1850</v>
      </c>
      <c r="J49" s="18" t="n">
        <v>2121</v>
      </c>
      <c r="K49" s="18" t="n">
        <v>2428</v>
      </c>
      <c r="L49" s="18" t="n">
        <v>2357</v>
      </c>
      <c r="M49" s="18" t="n">
        <v>2144</v>
      </c>
      <c r="N49" s="18" t="n">
        <v>1768</v>
      </c>
      <c r="O49" s="18" t="n">
        <v>2766</v>
      </c>
      <c r="P49" s="18" t="n">
        <v>2042</v>
      </c>
      <c r="Q49" s="18" t="n">
        <v>1160</v>
      </c>
      <c r="R49" s="18" t="n">
        <v>1399</v>
      </c>
      <c r="S49" s="18" t="n">
        <v>1937</v>
      </c>
      <c r="T49" s="18" t="n">
        <v>1924</v>
      </c>
      <c r="U49" s="18" t="n">
        <v>1017</v>
      </c>
      <c r="V49" s="18" t="n">
        <v>1571</v>
      </c>
      <c r="W49" s="18" t="n">
        <v>1732</v>
      </c>
      <c r="X49" s="18" t="n">
        <v>1998</v>
      </c>
      <c r="Y49" s="18" t="n">
        <v>849</v>
      </c>
      <c r="Z49" s="18" t="n">
        <v>1860</v>
      </c>
      <c r="AA49" s="18" t="n">
        <v>2190</v>
      </c>
      <c r="AB49" s="18" t="n">
        <v>2254</v>
      </c>
      <c r="AC49" s="18" t="n">
        <v>1520</v>
      </c>
    </row>
    <row r="50">
      <c r="A50" s="4" t="inlineStr">
        <is>
          <t>Capex</t>
        </is>
      </c>
      <c r="B50" s="18" t="n">
        <v>-284</v>
      </c>
      <c r="C50" s="18" t="n">
        <v>-149</v>
      </c>
      <c r="D50" s="18" t="n">
        <v>-163</v>
      </c>
      <c r="E50" s="18" t="n">
        <v>-161</v>
      </c>
      <c r="F50" s="18" t="n">
        <v>-130</v>
      </c>
      <c r="G50" s="18" t="n">
        <v>-146</v>
      </c>
      <c r="H50" s="18" t="n">
        <v>-212</v>
      </c>
      <c r="I50" s="18" t="n">
        <v>-308</v>
      </c>
      <c r="J50" s="18" t="n">
        <v>-386</v>
      </c>
      <c r="K50" s="18" t="n">
        <v>-486</v>
      </c>
      <c r="L50" s="18" t="n">
        <v>-1282</v>
      </c>
      <c r="M50" s="18" t="n">
        <v>-443</v>
      </c>
      <c r="N50" s="18" t="n">
        <v>-597</v>
      </c>
      <c r="O50" s="18" t="n">
        <v>-790</v>
      </c>
      <c r="P50" s="18" t="n">
        <v>-967</v>
      </c>
      <c r="Q50" s="18" t="n">
        <v>-982</v>
      </c>
      <c r="R50" s="18" t="n">
        <v>-1446</v>
      </c>
      <c r="S50" s="18" t="n">
        <v>-1495</v>
      </c>
      <c r="T50" s="18" t="n">
        <v>-1148</v>
      </c>
      <c r="U50" s="18" t="n">
        <v>-1248</v>
      </c>
      <c r="V50" s="18" t="n">
        <v>-1064</v>
      </c>
      <c r="W50" s="18" t="n">
        <v>-1316</v>
      </c>
      <c r="X50" s="18" t="n">
        <v>-1192</v>
      </c>
      <c r="Y50" s="18" t="n">
        <v>-1123</v>
      </c>
      <c r="Z50" s="18" t="n">
        <v>-1305</v>
      </c>
      <c r="AA50" s="18" t="n">
        <v>-1197</v>
      </c>
      <c r="AB50" s="18" t="n">
        <v>-925</v>
      </c>
      <c r="AC50" s="18" t="n">
        <v>-676</v>
      </c>
    </row>
    <row r="51">
      <c r="A51" s="4" t="inlineStr">
        <is>
          <t>Free Cash Flow</t>
        </is>
      </c>
      <c r="B51" s="18" t="n">
        <v>1512</v>
      </c>
      <c r="C51" s="18" t="n">
        <v>1843</v>
      </c>
      <c r="D51" s="18" t="n">
        <v>1591</v>
      </c>
      <c r="E51" s="18" t="n">
        <v>690</v>
      </c>
      <c r="F51" s="18" t="n">
        <v>1590</v>
      </c>
      <c r="G51" s="18" t="n">
        <v>1297</v>
      </c>
      <c r="H51" s="18" t="n">
        <v>1913</v>
      </c>
      <c r="I51" s="18" t="n">
        <v>1542</v>
      </c>
      <c r="J51" s="18" t="n">
        <v>1735</v>
      </c>
      <c r="K51" s="18" t="n">
        <v>1942</v>
      </c>
      <c r="L51" s="18" t="n">
        <v>1075</v>
      </c>
      <c r="M51" s="18" t="n">
        <v>1701</v>
      </c>
      <c r="N51" s="18" t="n">
        <v>1171</v>
      </c>
      <c r="O51" s="18" t="n">
        <v>1976</v>
      </c>
      <c r="P51" s="18" t="n">
        <v>1075</v>
      </c>
      <c r="Q51" s="18" t="n">
        <v>178</v>
      </c>
      <c r="R51" s="18" t="n">
        <v>-47</v>
      </c>
      <c r="S51" s="18" t="n">
        <v>442</v>
      </c>
      <c r="T51" s="18" t="n">
        <v>776</v>
      </c>
      <c r="U51" s="18" t="n">
        <v>-231</v>
      </c>
      <c r="V51" s="18" t="n">
        <v>507</v>
      </c>
      <c r="W51" s="18" t="n">
        <v>416</v>
      </c>
      <c r="X51" s="18" t="n">
        <v>806</v>
      </c>
      <c r="Y51" s="18" t="n">
        <v>-274</v>
      </c>
      <c r="Z51" s="18" t="n">
        <v>555</v>
      </c>
      <c r="AA51" s="18" t="n">
        <v>993</v>
      </c>
      <c r="AB51" s="18" t="n">
        <v>1329</v>
      </c>
      <c r="AC51" s="18" t="n">
        <v>844</v>
      </c>
    </row>
    <row r="53">
      <c r="A53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20925.112184</v>
      </c>
      <c r="C4" s="18" t="n">
        <v>23285.689849</v>
      </c>
      <c r="D4" s="18" t="n">
        <v>25481.190848</v>
      </c>
      <c r="E4" s="18" t="n">
        <v>29599.134535</v>
      </c>
      <c r="F4" s="18" t="n">
        <v>31634.666667</v>
      </c>
    </row>
    <row r="5">
      <c r="A5" s="4" t="inlineStr">
        <is>
          <t xml:space="preserve">  model</t>
        </is>
      </c>
      <c r="B5" s="28">
        <f>Model!G6</f>
        <v/>
      </c>
      <c r="C5" s="28">
        <f>Model!H6</f>
        <v/>
      </c>
      <c r="D5" s="28">
        <f>Model!I6</f>
        <v/>
      </c>
      <c r="E5" s="28">
        <f>Model!J6</f>
        <v/>
      </c>
      <c r="F5" s="28">
        <f>Model!K6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10762.920482</v>
      </c>
      <c r="C8" s="18" t="n">
        <v>11977.093648</v>
      </c>
      <c r="D8" s="18" t="n">
        <v>13106.358928</v>
      </c>
      <c r="E8" s="18" t="n">
        <v>15224.440784</v>
      </c>
      <c r="F8" s="18" t="n">
        <v>16271.425397</v>
      </c>
    </row>
    <row r="9">
      <c r="A9" s="4" t="inlineStr">
        <is>
          <t xml:space="preserve">  model</t>
        </is>
      </c>
      <c r="B9" s="28">
        <f>Model!G19+Model!G24</f>
        <v/>
      </c>
      <c r="C9" s="28">
        <f>Model!H19+Model!H24</f>
        <v/>
      </c>
      <c r="D9" s="28">
        <f>Model!I19+Model!I24</f>
        <v/>
      </c>
      <c r="E9" s="28">
        <f>Model!J19+Model!J24</f>
        <v/>
      </c>
      <c r="F9" s="28">
        <f>Model!K19+Model!K24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9149.078794999999</v>
      </c>
      <c r="C12" s="18" t="n">
        <v>10181.193265</v>
      </c>
      <c r="D12" s="18" t="n">
        <v>11141.131327</v>
      </c>
      <c r="E12" s="18" t="n">
        <v>12941.61827</v>
      </c>
      <c r="F12" s="18" t="n">
        <v>13831.613205</v>
      </c>
    </row>
    <row r="13">
      <c r="A13" s="4" t="inlineStr">
        <is>
          <t xml:space="preserve">  model</t>
        </is>
      </c>
      <c r="B13" s="28">
        <f>Model!G19</f>
        <v/>
      </c>
      <c r="C13" s="28">
        <f>Model!H19</f>
        <v/>
      </c>
      <c r="D13" s="28">
        <f>Model!I19</f>
        <v/>
      </c>
      <c r="E13" s="28">
        <f>Model!J19</f>
        <v/>
      </c>
      <c r="F13" s="28">
        <f>Model!K19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2092.359113</v>
      </c>
      <c r="C16" s="18" t="n">
        <v>2328.399721</v>
      </c>
      <c r="D16" s="18" t="n">
        <v>2547.933862</v>
      </c>
      <c r="E16" s="18" t="n">
        <v>2959.698297</v>
      </c>
      <c r="F16" s="18" t="n">
        <v>3163.236714</v>
      </c>
    </row>
    <row r="17">
      <c r="A17" s="4" t="inlineStr">
        <is>
          <t xml:space="preserve">  model</t>
        </is>
      </c>
      <c r="B17" s="28">
        <f>Model!G14</f>
        <v/>
      </c>
      <c r="C17" s="28">
        <f>Model!H14</f>
        <v/>
      </c>
      <c r="D17" s="28">
        <f>Model!I14</f>
        <v/>
      </c>
      <c r="E17" s="28">
        <f>Model!J14</f>
        <v/>
      </c>
      <c r="F17" s="28">
        <f>Model!K14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7036.672</v>
      </c>
      <c r="C20" s="18" t="n">
        <v>8091.11484</v>
      </c>
      <c r="D20" s="18" t="n">
        <v>9107.214970000001</v>
      </c>
      <c r="E20" s="18" t="n">
        <v>10627.320011</v>
      </c>
      <c r="F20" s="18" t="n">
        <v>11102.080012</v>
      </c>
    </row>
    <row r="21">
      <c r="A21" s="4" t="inlineStr">
        <is>
          <t xml:space="preserve">  model</t>
        </is>
      </c>
      <c r="B21" s="28">
        <f>Model!G23</f>
        <v/>
      </c>
      <c r="C21" s="28">
        <f>Model!H23</f>
        <v/>
      </c>
      <c r="D21" s="28">
        <f>Model!I23</f>
        <v/>
      </c>
      <c r="E21" s="28">
        <f>Model!J23</f>
        <v/>
      </c>
      <c r="F21" s="28">
        <f>Model!K23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7.59819</v>
      </c>
      <c r="C24" s="62" t="n">
        <v>8.87166</v>
      </c>
      <c r="D24" s="62" t="n">
        <v>9.948</v>
      </c>
      <c r="E24" s="62" t="n">
        <v>11.64</v>
      </c>
      <c r="F24" s="62" t="n">
        <v>12.16</v>
      </c>
    </row>
    <row r="25">
      <c r="A25" s="4" t="inlineStr">
        <is>
          <t xml:space="preserve">  model</t>
        </is>
      </c>
      <c r="B25" s="46">
        <f>Model!G23/Financials!AC17</f>
        <v/>
      </c>
      <c r="C25" s="46">
        <f>Model!H23/Financials!AC17</f>
        <v/>
      </c>
      <c r="D25" s="46">
        <f>Model!I23/Financials!AC17</f>
        <v/>
      </c>
      <c r="E25" s="46">
        <f>Model!J23/Financials!AC17</f>
        <v/>
      </c>
      <c r="F25" s="46">
        <f>Model!K23/Financials!AC17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Texas Instruments Incorporated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Model!G31</f>
        <v/>
      </c>
      <c r="D12" s="28">
        <f>Model!H31</f>
        <v/>
      </c>
      <c r="E12" s="28">
        <f>Model!I31</f>
        <v/>
      </c>
      <c r="F12" s="28">
        <f>Model!J31</f>
        <v/>
      </c>
      <c r="G12" s="28">
        <f>Model!K31</f>
        <v/>
      </c>
      <c r="H12" s="28">
        <f>Model!L31</f>
        <v/>
      </c>
      <c r="I12" s="28">
        <f>Model!M31</f>
        <v/>
      </c>
      <c r="J12" s="28">
        <f>Model!N31</f>
        <v/>
      </c>
      <c r="K12" s="28">
        <f>Model!O31</f>
        <v/>
      </c>
      <c r="L12" s="28">
        <f>Model!P31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Model!P6</f>
        <v/>
      </c>
    </row>
    <row r="21">
      <c r="A21" s="4" t="inlineStr">
        <is>
          <t>Terminal EBIT</t>
        </is>
      </c>
      <c r="B21" s="28">
        <f>Model!P19</f>
        <v/>
      </c>
    </row>
    <row r="22">
      <c r="A22" s="4" t="inlineStr">
        <is>
          <t>Terminal EBITDA</t>
        </is>
      </c>
      <c r="B22" s="28">
        <f>Model!P19+Model!P24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Financials!AC38</f>
        <v/>
      </c>
    </row>
    <row r="33">
      <c r="A33" s="4" t="inlineStr">
        <is>
          <t>- Long-term debt</t>
        </is>
      </c>
      <c r="B33" s="28">
        <f>-Financials!AC43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0.1130528220789503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2.115703862471353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(Model!P6/Model!F6)^(1/10)-1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1.058622080478158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Financials!AC38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Financials!AC43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2026-06-05T14:22:05Z</dcterms:created>
  <dcterms:modified xmlns:dcterms="http://purl.org/dc/terms/" xmlns:xsi="http://www.w3.org/2001/XMLSchema-instance" xsi:type="dcterms:W3CDTF">2026-06-05T14:22:06Z</dcterms:modified>
</cp:coreProperties>
</file>