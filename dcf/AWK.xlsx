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Opus: 36.6%</t>
      </text>
    </comment>
    <comment ref="B30" authorId="0" shapeId="0">
      <text>
        <t>Opus: 37.5%</t>
      </text>
    </comment>
    <comment ref="B31" authorId="0" shapeId="0">
      <text>
        <t>Opus: 21.0%</t>
      </text>
    </comment>
    <comment ref="B34" authorId="0" shapeId="0">
      <text>
        <t>Opus: —
set from Opus 58% of FY1E revenue; edits not tracked (unit differs from the JSON)</t>
      </text>
    </comment>
    <comment ref="B35" authorId="0" shapeId="0">
      <text>
        <t>User-edited — overridden from Opus 1.1x on 2026-06-12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User-edited — overridden from Opus Perpetuity on 2026-06-12</t>
      </text>
    </comment>
    <comment ref="B44" authorId="0" shapeId="0">
      <text>
        <t>Opus: EV/EBITDA</t>
      </text>
    </comment>
    <comment ref="B45" authorId="0" shapeId="0">
      <text>
        <t>Opus: 13.0x</t>
      </text>
    </comment>
    <comment ref="B46" authorId="0" shapeId="0">
      <text>
        <t>Opus: 2.5%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American Water Works Company, Inc. (AWK)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2026-06-12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AWK is a high-quality regulated water utility whose value is driven by sustained rate-base growth funded by heavy infrastructure capex earning an allowed regulatory return. Near-term revenue growth of ~6-7% (anchored to consensus) fades toward a mature ~2.5% as the rate base matures, while stable allowed returns hold operating margins near 37% with modest operating leverage. The persistent capex program keeps free cash flow constrained but underpins durable, low-beta earnings growth.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American Water Works Company, Inc. (AWK)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0.07936055711938791</v>
      </c>
      <c r="C20" s="15" t="n">
        <v>0.05</v>
      </c>
      <c r="D20" s="16" t="n">
        <v>0.07936055711938791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0.366</v>
      </c>
      <c r="D29" s="16" t="n">
        <v>0.366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0.375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0.21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3104.60992572</v>
      </c>
      <c r="D34" s="18" t="n">
        <v>3104.60992572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0.634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13</v>
      </c>
    </row>
    <row r="46">
      <c r="A46" s="4" t="inlineStr">
        <is>
          <t>Terminal growth (g)</t>
        </is>
      </c>
      <c r="B46" s="15" t="n">
        <v>0.025</v>
      </c>
    </row>
    <row r="47">
      <c r="A47" s="4" t="inlineStr">
        <is>
          <t>Country risk premium</t>
        </is>
      </c>
      <c r="B47" s="15" t="n">
        <v>0.025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136.8600006103516</v>
      </c>
    </row>
    <row r="49">
      <c r="A49" s="4" t="inlineStr">
        <is>
          <t>Growth fade curvature</t>
        </is>
      </c>
      <c r="B49" s="20" t="n">
        <v>2.1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118.4693389534985</v>
      </c>
      <c r="C58" s="28" t="n">
        <v>192.2372122314825</v>
      </c>
      <c r="D58" s="28" t="n">
        <v>61.19377802701045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AWK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2026-06-12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AWK is a high-quality regulated water utility whose value is driven by sustained rate-base growth funded by heavy infrastructure capex earning an allowed regulatory return. Near-term revenue growth of ~6-7% (anchored to consensus) fades toward a mature ~2.5% as the rate base matures, while stable allowed returns hold operating margins near 37% with modest operating leverage. The persistent capex program keeps free cash flow constrained but underpins durable, low-beta earnings growth.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drivers are anchored to FMP consensus (revenue fading from ~7% toward a terminal ~2.5% risk-free-anchored rate) and the historical ~36-37% operating margin, with capex/revenue declining from the recent ~61% toward maintenance as the build-out normalizes. I used a perpetuity terminal with an EV/EBITDA cross-check at 13x, the basis the market typically applies to regulated water utilities, reflecting AWK's premium quality and low beta (0.634).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36.6%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37.5%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21.0%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s="32" t="inlineStr">
        <is>
          <t>user-edited</t>
        </is>
      </c>
      <c r="E25" t="inlineStr">
        <is>
          <t>1.1x</t>
        </is>
      </c>
      <c r="F25" s="31" t="inlineStr">
        <is>
          <t>overridden from Opus 1.1x on 2026-06-12</t>
        </is>
      </c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3">
        <f>Dashboard!B40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s="32" t="inlineStr">
        <is>
          <t>user-edited</t>
        </is>
      </c>
      <c r="E30" t="inlineStr">
        <is>
          <t>Perpetuity</t>
        </is>
      </c>
      <c r="F30" s="31" t="inlineStr">
        <is>
          <t>overridden from Opus Perpetuity on 2026-06-12</t>
        </is>
      </c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13.0x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2.5%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4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58%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5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5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5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5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5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5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5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5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6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6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5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5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Financials!AC31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4">
        <f>SUM(Financials!I3:L3)</f>
        <v/>
      </c>
      <c r="C4" s="34">
        <f>SUM(Financials!M3:P3)</f>
        <v/>
      </c>
      <c r="D4" s="34">
        <f>SUM(Financials!Q3:T3)</f>
        <v/>
      </c>
      <c r="E4" s="34">
        <f>SUM(Financials!U3:X3)</f>
        <v/>
      </c>
      <c r="F4" s="34">
        <f>SUM(Financials!Y3:AB3)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  <c r="M6" s="43">
        <f>M4</f>
        <v/>
      </c>
      <c r="N6" s="43">
        <f>N4</f>
        <v/>
      </c>
      <c r="O6" s="43">
        <f>O4</f>
        <v/>
      </c>
      <c r="P6" s="43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4">
        <f>SUM(Financials!I5:L5)</f>
        <v/>
      </c>
      <c r="C10" s="34">
        <f>SUM(Financials!M5:P5)</f>
        <v/>
      </c>
      <c r="D10" s="34">
        <f>SUM(Financials!Q5:T5)</f>
        <v/>
      </c>
      <c r="E10" s="34">
        <f>SUM(Financials!U5:X5)</f>
        <v/>
      </c>
      <c r="F10" s="34">
        <f>SUM(Financials!Y5:AB5)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  <c r="M10" s="42">
        <f>M6*M11</f>
        <v/>
      </c>
      <c r="N10" s="42">
        <f>N6*N11</f>
        <v/>
      </c>
      <c r="O10" s="42">
        <f>O6*O11</f>
        <v/>
      </c>
      <c r="P10" s="42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0.5667315175097276</v>
      </c>
      <c r="H11" s="15" t="n">
        <v>0.5667315175097276</v>
      </c>
      <c r="I11" s="15" t="n">
        <v>0.5667315175097276</v>
      </c>
      <c r="J11" s="15" t="n">
        <v>0.5667315175097276</v>
      </c>
      <c r="K11" s="15" t="n">
        <v>0.5667315175097276</v>
      </c>
      <c r="L11" s="15" t="n">
        <v>0.5667315175097276</v>
      </c>
      <c r="M11" s="15" t="n">
        <v>0.5667315175097276</v>
      </c>
      <c r="N11" s="15" t="n">
        <v>0.5667315175097276</v>
      </c>
      <c r="O11" s="15" t="n">
        <v>0.5667315175097276</v>
      </c>
      <c r="P11" s="15" t="n">
        <v>0.5667315175097276</v>
      </c>
    </row>
    <row r="12">
      <c r="A12" s="4" t="inlineStr">
        <is>
          <t>R&amp;D / Technology</t>
        </is>
      </c>
      <c r="B12" s="34">
        <f>SUM(Financials!I7:L7)</f>
        <v/>
      </c>
      <c r="C12" s="34">
        <f>SUM(Financials!M7:P7)</f>
        <v/>
      </c>
      <c r="D12" s="34">
        <f>SUM(Financials!Q7:T7)</f>
        <v/>
      </c>
      <c r="E12" s="34">
        <f>SUM(Financials!U7:X7)</f>
        <v/>
      </c>
      <c r="F12" s="34">
        <f>SUM(Financials!Y7:AB7)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  <c r="M12" s="42">
        <f>M6*M13</f>
        <v/>
      </c>
      <c r="N12" s="42">
        <f>N6*N13</f>
        <v/>
      </c>
      <c r="O12" s="42">
        <f>O6*O13</f>
        <v/>
      </c>
      <c r="P12" s="42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4">
        <f>SUM(Financials!I9:L9)</f>
        <v/>
      </c>
      <c r="C14" s="34">
        <f>SUM(Financials!M9:P9)</f>
        <v/>
      </c>
      <c r="D14" s="34">
        <f>SUM(Financials!Q9:T9)</f>
        <v/>
      </c>
      <c r="E14" s="34">
        <f>SUM(Financials!U9:X9)</f>
        <v/>
      </c>
      <c r="F14" s="34">
        <f>SUM(Financials!Y9:AB9)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  <c r="M14" s="42">
        <f>M6*M15</f>
        <v/>
      </c>
      <c r="N14" s="42">
        <f>N6*N15</f>
        <v/>
      </c>
      <c r="O14" s="42">
        <f>O6*O15</f>
        <v/>
      </c>
      <c r="P14" s="42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0.001556420233463035</v>
      </c>
      <c r="H15" s="15" t="n">
        <v>0.001556420233463035</v>
      </c>
      <c r="I15" s="15" t="n">
        <v>0.001556420233463035</v>
      </c>
      <c r="J15" s="15" t="n">
        <v>0.001556420233463035</v>
      </c>
      <c r="K15" s="15" t="n">
        <v>0.001556420233463035</v>
      </c>
      <c r="L15" s="15" t="n">
        <v>0.001556420233463035</v>
      </c>
      <c r="M15" s="15" t="n">
        <v>0.001556420233463035</v>
      </c>
      <c r="N15" s="15" t="n">
        <v>0.001556420233463035</v>
      </c>
      <c r="O15" s="15" t="n">
        <v>0.001556420233463035</v>
      </c>
      <c r="P15" s="15" t="n">
        <v>0.001556420233463035</v>
      </c>
    </row>
    <row r="16">
      <c r="A16" s="4" t="inlineStr">
        <is>
          <t>Other opex (fulfilment, etc.)</t>
        </is>
      </c>
      <c r="B16" s="34">
        <f>B6-(B10+B12+B14)-SUM(Financials!I13:L13)</f>
        <v/>
      </c>
      <c r="C16" s="34">
        <f>C6-(C10+C12+C14)-SUM(Financials!M13:P13)</f>
        <v/>
      </c>
      <c r="D16" s="34">
        <f>D6-(D10+D12+D14)-SUM(Financials!Q13:T13)</f>
        <v/>
      </c>
      <c r="E16" s="34">
        <f>E6-(E10+E12+E14)-SUM(Financials!U13:X13)</f>
        <v/>
      </c>
      <c r="F16" s="34">
        <f>F6-(F10+F12+F14)-SUM(Financials!Y13:AB13)</f>
        <v/>
      </c>
      <c r="G16" s="34">
        <f>G6*(1-(Dashboard!$B$29+(Dashboard!$B$30-Dashboard!$B$29)*MIN(1,0/4)))-(G10+G12+G14)</f>
        <v/>
      </c>
      <c r="H16" s="34">
        <f>H6*(1-(Dashboard!$B$29+(Dashboard!$B$30-Dashboard!$B$29)*MIN(1,1/4)))-(H10+H12+H14)</f>
        <v/>
      </c>
      <c r="I16" s="34">
        <f>I6*(1-(Dashboard!$B$29+(Dashboard!$B$30-Dashboard!$B$29)*MIN(1,2/4)))-(I10+I12+I14)</f>
        <v/>
      </c>
      <c r="J16" s="34">
        <f>J6*(1-(Dashboard!$B$29+(Dashboard!$B$30-Dashboard!$B$29)*MIN(1,3/4)))-(J10+J12+J14)</f>
        <v/>
      </c>
      <c r="K16" s="34">
        <f>K6*(1-(Dashboard!$B$29+(Dashboard!$B$30-Dashboard!$B$29)*MIN(1,4/4)))-(K10+K12+K14)</f>
        <v/>
      </c>
      <c r="L16" s="34">
        <f>L6*(1-(Dashboard!$B$29+(Dashboard!$B$30-Dashboard!$B$29)*MIN(1,5/4)))-(L10+L12+L14)</f>
        <v/>
      </c>
      <c r="M16" s="34">
        <f>M6*(1-(Dashboard!$B$29+(Dashboard!$B$30-Dashboard!$B$29)*MIN(1,6/4)))-(M10+M12+M14)</f>
        <v/>
      </c>
      <c r="N16" s="34">
        <f>N6*(1-(Dashboard!$B$29+(Dashboard!$B$30-Dashboard!$B$29)*MIN(1,7/4)))-(N10+N12+N14)</f>
        <v/>
      </c>
      <c r="O16" s="34">
        <f>O6*(1-(Dashboard!$B$29+(Dashboard!$B$30-Dashboard!$B$29)*MIN(1,8/4)))-(O10+O12+O14)</f>
        <v/>
      </c>
      <c r="P16" s="34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  <c r="M19" s="43">
        <f>M6-(M10+M12+M14)-M16</f>
        <v/>
      </c>
      <c r="N19" s="43">
        <f>N6-(N10+N12+N14)-N16</f>
        <v/>
      </c>
      <c r="O19" s="43">
        <f>O6-(O10+O12+O14)-O16</f>
        <v/>
      </c>
      <c r="P19" s="43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  <c r="M23" s="34">
        <f>M19*(1-Valuation!$B$5)</f>
        <v/>
      </c>
      <c r="N23" s="34">
        <f>N19*(1-Valuation!$B$5)</f>
        <v/>
      </c>
      <c r="O23" s="34">
        <f>O19*(1-Valuation!$B$5)</f>
        <v/>
      </c>
      <c r="P23" s="34">
        <f>P19*(1-Valuation!$B$5)</f>
        <v/>
      </c>
    </row>
    <row r="24">
      <c r="A24" s="4" t="inlineStr">
        <is>
          <t>+ D&amp;A</t>
        </is>
      </c>
      <c r="B24" s="34">
        <f>SUM(Financials!I34:L34)</f>
        <v/>
      </c>
      <c r="C24" s="34">
        <f>SUM(Financials!M34:P34)</f>
        <v/>
      </c>
      <c r="D24" s="34">
        <f>SUM(Financials!Q34:T34)</f>
        <v/>
      </c>
      <c r="E24" s="34">
        <f>SUM(Financials!U34:X34)</f>
        <v/>
      </c>
      <c r="F24" s="34">
        <f>SUM(Financials!Y34:AB34)</f>
        <v/>
      </c>
      <c r="G24" s="42">
        <f>G6*0.1739</f>
        <v/>
      </c>
      <c r="H24" s="42">
        <f>H6*0.1739</f>
        <v/>
      </c>
      <c r="I24" s="42">
        <f>I6*0.1739</f>
        <v/>
      </c>
      <c r="J24" s="42">
        <f>J6*0.1739</f>
        <v/>
      </c>
      <c r="K24" s="42">
        <f>K6*0.1739</f>
        <v/>
      </c>
      <c r="L24" s="42">
        <f>L6*0.1739</f>
        <v/>
      </c>
      <c r="M24" s="42">
        <f>M6*0.1739</f>
        <v/>
      </c>
      <c r="N24" s="42">
        <f>N6*0.1739</f>
        <v/>
      </c>
      <c r="O24" s="42">
        <f>O6*0.1739</f>
        <v/>
      </c>
      <c r="P24" s="42">
        <f>P6*0.1739</f>
        <v/>
      </c>
    </row>
    <row r="25">
      <c r="A25" s="4" t="inlineStr">
        <is>
          <t>+ SBC (non-cash)</t>
        </is>
      </c>
      <c r="B25" s="34">
        <f>SUM(Financials!I35:L35)</f>
        <v/>
      </c>
      <c r="C25" s="34">
        <f>SUM(Financials!M35:P35)</f>
        <v/>
      </c>
      <c r="D25" s="34">
        <f>SUM(Financials!Q35:T35)</f>
        <v/>
      </c>
      <c r="E25" s="34">
        <f>SUM(Financials!U35:X35)</f>
        <v/>
      </c>
      <c r="F25" s="34">
        <f>SUM(Financials!Y35:AB35)</f>
        <v/>
      </c>
      <c r="G25" s="34">
        <f>G6*(Dashboard!$B$65+(Dashboard!$B$66-Dashboard!$B$65)*0/9)</f>
        <v/>
      </c>
      <c r="H25" s="34">
        <f>H6*(Dashboard!$B$65+(Dashboard!$B$66-Dashboard!$B$65)*1/9)</f>
        <v/>
      </c>
      <c r="I25" s="34">
        <f>I6*(Dashboard!$B$65+(Dashboard!$B$66-Dashboard!$B$65)*2/9)</f>
        <v/>
      </c>
      <c r="J25" s="34">
        <f>J6*(Dashboard!$B$65+(Dashboard!$B$66-Dashboard!$B$65)*3/9)</f>
        <v/>
      </c>
      <c r="K25" s="34">
        <f>K6*(Dashboard!$B$65+(Dashboard!$B$66-Dashboard!$B$65)*4/9)</f>
        <v/>
      </c>
      <c r="L25" s="34">
        <f>L6*(Dashboard!$B$65+(Dashboard!$B$66-Dashboard!$B$65)*5/9)</f>
        <v/>
      </c>
      <c r="M25" s="34">
        <f>M6*(Dashboard!$B$65+(Dashboard!$B$66-Dashboard!$B$65)*6/9)</f>
        <v/>
      </c>
      <c r="N25" s="34">
        <f>N6*(Dashboard!$B$65+(Dashboard!$B$66-Dashboard!$B$65)*7/9)</f>
        <v/>
      </c>
      <c r="O25" s="34">
        <f>O6*(Dashboard!$B$65+(Dashboard!$B$66-Dashboard!$B$65)*8/9)</f>
        <v/>
      </c>
      <c r="P25" s="34">
        <f>P6*(Dashboard!$B$65+(Dashboard!$B$66-Dashboard!$B$65)*9/9)</f>
        <v/>
      </c>
    </row>
    <row r="26">
      <c r="A26" s="4" t="inlineStr">
        <is>
          <t>- dNWC</t>
        </is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  <c r="M26" s="42">
        <f>(M6-L6)*0.0050</f>
        <v/>
      </c>
      <c r="N26" s="42">
        <f>(N6-M6)*0.0050</f>
        <v/>
      </c>
      <c r="O26" s="42">
        <f>(O6-N6)*0.0050</f>
        <v/>
      </c>
      <c r="P26" s="42">
        <f>(P6-O6)*0.0050</f>
        <v/>
      </c>
    </row>
    <row r="27">
      <c r="A27" s="4" t="inlineStr">
        <is>
          <t>- Capex</t>
        </is>
      </c>
      <c r="B27" s="34">
        <f>-SUM(Financials!I38:L38)</f>
        <v/>
      </c>
      <c r="C27" s="34">
        <f>-SUM(Financials!M38:P38)</f>
        <v/>
      </c>
      <c r="D27" s="34">
        <f>-SUM(Financials!Q38:T38)</f>
        <v/>
      </c>
      <c r="E27" s="34">
        <f>-SUM(Financials!U38:X38)</f>
        <v/>
      </c>
      <c r="F27" s="34">
        <f>-SUM(Financials!Y38:AB38)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  <c r="M27" s="42">
        <f>M24*M28</f>
        <v/>
      </c>
      <c r="N27" s="42">
        <f>N24*N28</f>
        <v/>
      </c>
      <c r="O27" s="42">
        <f>O24*O28</f>
        <v/>
      </c>
      <c r="P27" s="42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  <c r="M30" s="43">
        <f>M23+M24+M25-M26-M27</f>
        <v/>
      </c>
      <c r="N30" s="43">
        <f>N23+N24+N25-N26-N27</f>
        <v/>
      </c>
      <c r="O30" s="43">
        <f>O23+O24+O25-O26-O27</f>
        <v/>
      </c>
      <c r="P30" s="43">
        <f>P23+P24+P25-P26-P27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  <c r="M31" s="44">
        <f>M30-M25-M25*(1-Valuation!$B$5)</f>
        <v/>
      </c>
      <c r="N31" s="44">
        <f>N30-N25-N25*(1-Valuation!$B$5)</f>
        <v/>
      </c>
      <c r="O31" s="44">
        <f>O30-O25-O25*(1-Valuation!$B$5)</f>
        <v/>
      </c>
      <c r="P31" s="44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4">
        <f>Financials!L32+Financials!L31-Financials!L26</f>
        <v/>
      </c>
      <c r="C34" s="34">
        <f>Financials!P32+Financials!P31-Financials!P26</f>
        <v/>
      </c>
      <c r="D34" s="34">
        <f>Financials!T32+Financials!T31-Financials!T26</f>
        <v/>
      </c>
      <c r="E34" s="34">
        <f>Financials!X32+Financials!X31-Financials!X26</f>
        <v/>
      </c>
      <c r="F34" s="34">
        <f>Financials!AB32+Financials!AB31-Financials!AB26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  <c r="M34" s="42">
        <f>L34+M27-M24+M26</f>
        <v/>
      </c>
      <c r="N34" s="42">
        <f>M34+N27-N24+N26</f>
        <v/>
      </c>
      <c r="O34" s="42">
        <f>N34+O27-O24+O26</f>
        <v/>
      </c>
      <c r="P34" s="42">
        <f>O34+P27-P24+P26</f>
        <v/>
      </c>
    </row>
    <row r="35">
      <c r="A35" s="4" t="inlineStr">
        <is>
          <t>Book equity (year-end)</t>
        </is>
      </c>
      <c r="B35" s="34">
        <f>Financials!L32</f>
        <v/>
      </c>
      <c r="C35" s="34">
        <f>Financials!P32</f>
        <v/>
      </c>
      <c r="D35" s="34">
        <f>Financials!T32</f>
        <v/>
      </c>
      <c r="E35" s="34">
        <f>Financials!X32</f>
        <v/>
      </c>
      <c r="F35" s="34">
        <f>Financials!AB32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  <c r="M35" s="42">
        <f>L35+M23</f>
        <v/>
      </c>
      <c r="N35" s="42">
        <f>M35+N23</f>
        <v/>
      </c>
      <c r="O35" s="42">
        <f>N35+O23</f>
        <v/>
      </c>
      <c r="P35" s="42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  <c r="M41" s="45">
        <f>IFERROR((M6-L6)/(M34-L34),"")</f>
        <v/>
      </c>
      <c r="N41" s="45">
        <f>IFERROR((N6-M6)/(N34-M34),"")</f>
        <v/>
      </c>
      <c r="O41" s="45">
        <f>IFERROR((O6-N6)/(O34-N34),"")</f>
        <v/>
      </c>
      <c r="P41" s="4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Q2 2019</t>
        </is>
      </c>
      <c r="C1" s="46" t="inlineStr">
        <is>
          <t>Q3 2019</t>
        </is>
      </c>
      <c r="D1" s="46" t="inlineStr">
        <is>
          <t>Q4 2019</t>
        </is>
      </c>
      <c r="E1" s="46" t="inlineStr">
        <is>
          <t>Q1 2020</t>
        </is>
      </c>
      <c r="F1" s="46" t="inlineStr">
        <is>
          <t>Q2 2020</t>
        </is>
      </c>
      <c r="G1" s="46" t="inlineStr">
        <is>
          <t>Q3 2020</t>
        </is>
      </c>
      <c r="H1" s="46" t="inlineStr">
        <is>
          <t>Q4 2020</t>
        </is>
      </c>
      <c r="I1" s="46" t="inlineStr">
        <is>
          <t>Q1 2021</t>
        </is>
      </c>
      <c r="J1" s="46" t="inlineStr">
        <is>
          <t>Q2 2021</t>
        </is>
      </c>
      <c r="K1" s="46" t="inlineStr">
        <is>
          <t>Q3 2021</t>
        </is>
      </c>
      <c r="L1" s="46" t="inlineStr">
        <is>
          <t>Q4 2021</t>
        </is>
      </c>
      <c r="M1" s="46" t="inlineStr">
        <is>
          <t>Q1 2022</t>
        </is>
      </c>
      <c r="N1" s="46" t="inlineStr">
        <is>
          <t>Q2 2022</t>
        </is>
      </c>
      <c r="O1" s="46" t="inlineStr">
        <is>
          <t>Q3 2022</t>
        </is>
      </c>
      <c r="P1" s="46" t="inlineStr">
        <is>
          <t>Q4 2022</t>
        </is>
      </c>
      <c r="Q1" s="46" t="inlineStr">
        <is>
          <t>Q1 2023</t>
        </is>
      </c>
      <c r="R1" s="46" t="inlineStr">
        <is>
          <t>Q2 2023</t>
        </is>
      </c>
      <c r="S1" s="46" t="inlineStr">
        <is>
          <t>Q3 2023</t>
        </is>
      </c>
      <c r="T1" s="46" t="inlineStr">
        <is>
          <t>Q4 2023</t>
        </is>
      </c>
      <c r="U1" s="46" t="inlineStr">
        <is>
          <t>Q1 2024</t>
        </is>
      </c>
      <c r="V1" s="46" t="inlineStr">
        <is>
          <t>Q2 2024</t>
        </is>
      </c>
      <c r="W1" s="46" t="inlineStr">
        <is>
          <t>Q3 2024</t>
        </is>
      </c>
      <c r="X1" s="46" t="inlineStr">
        <is>
          <t>Q4 2024</t>
        </is>
      </c>
      <c r="Y1" s="46" t="inlineStr">
        <is>
          <t>Q1 2025</t>
        </is>
      </c>
      <c r="Z1" s="46" t="inlineStr">
        <is>
          <t>Q2 2025</t>
        </is>
      </c>
      <c r="AA1" s="46" t="inlineStr">
        <is>
          <t>Q3 2025</t>
        </is>
      </c>
      <c r="AB1" s="46" t="inlineStr">
        <is>
          <t>Q4 2025</t>
        </is>
      </c>
      <c r="AC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882</v>
      </c>
      <c r="C3" s="18" t="n">
        <v>1013</v>
      </c>
      <c r="D3" s="18" t="n">
        <v>902</v>
      </c>
      <c r="E3" s="18" t="n">
        <v>844</v>
      </c>
      <c r="F3" s="18" t="n">
        <v>931</v>
      </c>
      <c r="G3" s="18" t="n">
        <v>1079</v>
      </c>
      <c r="H3" s="18" t="n">
        <v>923</v>
      </c>
      <c r="I3" s="18" t="n">
        <v>888</v>
      </c>
      <c r="J3" s="18" t="n">
        <v>999</v>
      </c>
      <c r="K3" s="18" t="n">
        <v>1092</v>
      </c>
      <c r="L3" s="18" t="n">
        <v>951</v>
      </c>
      <c r="M3" s="18" t="n">
        <v>842</v>
      </c>
      <c r="N3" s="18" t="n">
        <v>937</v>
      </c>
      <c r="O3" s="18" t="n">
        <v>1082</v>
      </c>
      <c r="P3" s="18" t="n">
        <v>931</v>
      </c>
      <c r="Q3" s="18" t="n">
        <v>938</v>
      </c>
      <c r="R3" s="18" t="n">
        <v>1097</v>
      </c>
      <c r="S3" s="18" t="n">
        <v>1167</v>
      </c>
      <c r="T3" s="18" t="n">
        <v>1032</v>
      </c>
      <c r="U3" s="18" t="n">
        <v>1011</v>
      </c>
      <c r="V3" s="18" t="n">
        <v>1149</v>
      </c>
      <c r="W3" s="18" t="n">
        <v>1323</v>
      </c>
      <c r="X3" s="18" t="n">
        <v>1201</v>
      </c>
      <c r="Y3" s="18" t="n">
        <v>1142</v>
      </c>
      <c r="Z3" s="18" t="n">
        <v>1276</v>
      </c>
      <c r="AA3" s="18" t="n">
        <v>1451</v>
      </c>
      <c r="AB3" s="18" t="n">
        <v>1271</v>
      </c>
      <c r="AC3" s="18" t="n">
        <v>1207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372</v>
      </c>
      <c r="C5" s="18" t="n">
        <v>395</v>
      </c>
      <c r="D5" s="18" t="n">
        <v>412</v>
      </c>
      <c r="E5" s="18" t="n">
        <v>383</v>
      </c>
      <c r="F5" s="18" t="n">
        <v>391</v>
      </c>
      <c r="G5" s="18" t="n">
        <v>419</v>
      </c>
      <c r="H5" s="18" t="n">
        <v>429</v>
      </c>
      <c r="I5" s="18" t="n">
        <v>419</v>
      </c>
      <c r="J5" s="18" t="n">
        <v>431</v>
      </c>
      <c r="K5" s="18" t="n">
        <v>436</v>
      </c>
      <c r="L5" s="18" t="n">
        <v>491</v>
      </c>
      <c r="M5" s="18" t="n">
        <v>364</v>
      </c>
      <c r="N5" s="18" t="n">
        <v>376</v>
      </c>
      <c r="O5" s="18" t="n">
        <v>416</v>
      </c>
      <c r="P5" s="18" t="n">
        <v>433</v>
      </c>
      <c r="Q5" s="18" t="n">
        <v>393</v>
      </c>
      <c r="R5" s="18" t="n">
        <v>419</v>
      </c>
      <c r="S5" s="18" t="n">
        <v>436</v>
      </c>
      <c r="T5" s="18" t="n">
        <v>472</v>
      </c>
      <c r="U5" s="18" t="n">
        <v>416</v>
      </c>
      <c r="V5" s="18" t="n">
        <v>427</v>
      </c>
      <c r="W5" s="18" t="n">
        <v>496</v>
      </c>
      <c r="X5" s="18" t="n">
        <v>519</v>
      </c>
      <c r="Y5" s="18" t="n">
        <v>468</v>
      </c>
      <c r="Z5" s="18" t="n">
        <v>480</v>
      </c>
      <c r="AA5" s="18" t="n">
        <v>523</v>
      </c>
      <c r="AB5" s="18" t="n">
        <v>1442</v>
      </c>
      <c r="AC5" s="18" t="n">
        <v>493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4</v>
      </c>
      <c r="C9" s="18" t="n">
        <v>4</v>
      </c>
      <c r="D9" s="18" t="n">
        <v>4</v>
      </c>
      <c r="E9" s="18" t="n">
        <v>13</v>
      </c>
      <c r="F9" s="18" t="n">
        <v>12</v>
      </c>
      <c r="G9" s="18" t="n">
        <v>12</v>
      </c>
      <c r="H9" s="18" t="n">
        <v>12</v>
      </c>
      <c r="I9" s="18" t="n">
        <v>20</v>
      </c>
      <c r="J9" s="18" t="n">
        <v>19</v>
      </c>
      <c r="K9" s="18" t="n">
        <v>20</v>
      </c>
      <c r="L9" s="18" t="n">
        <v>19</v>
      </c>
      <c r="M9" s="18" t="n">
        <v>19</v>
      </c>
      <c r="N9" s="18" t="n">
        <v>20</v>
      </c>
      <c r="O9" s="18" t="n">
        <v>19</v>
      </c>
      <c r="P9" s="18" t="n">
        <v>19</v>
      </c>
      <c r="Q9" s="18" t="n">
        <v>9</v>
      </c>
      <c r="R9" s="18" t="n">
        <v>8</v>
      </c>
      <c r="S9" s="18" t="n">
        <v>9</v>
      </c>
      <c r="T9" s="18" t="n">
        <v>6</v>
      </c>
      <c r="U9" s="18" t="n">
        <v>9</v>
      </c>
      <c r="V9" s="18" t="n">
        <v>7</v>
      </c>
      <c r="W9" s="18" t="n">
        <v>7</v>
      </c>
      <c r="X9" s="18" t="n">
        <v>5</v>
      </c>
      <c r="Y9" s="18" t="n">
        <v>4</v>
      </c>
      <c r="Z9" s="18" t="n">
        <v>0</v>
      </c>
      <c r="AA9" s="18" t="n">
        <v>0</v>
      </c>
      <c r="AB9" s="18" t="n">
        <v>4</v>
      </c>
      <c r="AC9" s="18" t="n">
        <v>0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510</v>
      </c>
      <c r="C11" s="18" t="n">
        <v>618</v>
      </c>
      <c r="D11" s="18" t="n">
        <v>490</v>
      </c>
      <c r="E11" s="18" t="n">
        <v>461</v>
      </c>
      <c r="F11" s="18" t="n">
        <v>540</v>
      </c>
      <c r="G11" s="18" t="n">
        <v>660</v>
      </c>
      <c r="H11" s="18" t="n">
        <v>494</v>
      </c>
      <c r="I11" s="18" t="n">
        <v>469</v>
      </c>
      <c r="J11" s="18" t="n">
        <v>568</v>
      </c>
      <c r="K11" s="18" t="n">
        <v>656</v>
      </c>
      <c r="L11" s="18" t="n">
        <v>460</v>
      </c>
      <c r="M11" s="18" t="n">
        <v>478</v>
      </c>
      <c r="N11" s="18" t="n">
        <v>561</v>
      </c>
      <c r="O11" s="18" t="n">
        <v>666</v>
      </c>
      <c r="P11" s="18" t="n">
        <v>498</v>
      </c>
      <c r="Q11" s="18" t="n">
        <v>545</v>
      </c>
      <c r="R11" s="18" t="n">
        <v>678</v>
      </c>
      <c r="S11" s="18" t="n">
        <v>731</v>
      </c>
      <c r="T11" s="18" t="n">
        <v>560</v>
      </c>
      <c r="U11" s="18" t="n">
        <v>595</v>
      </c>
      <c r="V11" s="18" t="n">
        <v>722</v>
      </c>
      <c r="W11" s="18" t="n">
        <v>827</v>
      </c>
      <c r="X11" s="18" t="n">
        <v>682</v>
      </c>
      <c r="Y11" s="18" t="n">
        <v>674</v>
      </c>
      <c r="Z11" s="18" t="n">
        <v>796</v>
      </c>
      <c r="AA11" s="18" t="n">
        <v>928</v>
      </c>
      <c r="AB11" s="18" t="n">
        <v>-171</v>
      </c>
      <c r="AC11" s="18" t="n">
        <v>714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302</v>
      </c>
      <c r="C13" s="18" t="n">
        <v>406</v>
      </c>
      <c r="D13" s="18" t="n">
        <v>224</v>
      </c>
      <c r="E13" s="18" t="n">
        <v>239</v>
      </c>
      <c r="F13" s="18" t="n">
        <v>313</v>
      </c>
      <c r="G13" s="18" t="n">
        <v>433</v>
      </c>
      <c r="H13" s="18" t="n">
        <v>263</v>
      </c>
      <c r="I13" s="18" t="n">
        <v>229</v>
      </c>
      <c r="J13" s="18" t="n">
        <v>330</v>
      </c>
      <c r="K13" s="18" t="n">
        <v>417</v>
      </c>
      <c r="L13" s="18" t="n">
        <v>220</v>
      </c>
      <c r="M13" s="18" t="n">
        <v>246</v>
      </c>
      <c r="N13" s="18" t="n">
        <v>327</v>
      </c>
      <c r="O13" s="18" t="n">
        <v>439</v>
      </c>
      <c r="P13" s="18" t="n">
        <v>261</v>
      </c>
      <c r="Q13" s="18" t="n">
        <v>295</v>
      </c>
      <c r="R13" s="18" t="n">
        <v>432</v>
      </c>
      <c r="S13" s="18" t="n">
        <v>478</v>
      </c>
      <c r="T13" s="18" t="n">
        <v>299</v>
      </c>
      <c r="U13" s="18" t="n">
        <v>326</v>
      </c>
      <c r="V13" s="18" t="n">
        <v>449</v>
      </c>
      <c r="W13" s="18" t="n">
        <v>543</v>
      </c>
      <c r="X13" s="18" t="n">
        <v>400</v>
      </c>
      <c r="Y13" s="18" t="n">
        <v>371</v>
      </c>
      <c r="Z13" s="18" t="n">
        <v>489</v>
      </c>
      <c r="AA13" s="18" t="n">
        <v>614</v>
      </c>
      <c r="AB13" s="18" t="n">
        <v>405</v>
      </c>
      <c r="AC13" s="18" t="n">
        <v>391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170</v>
      </c>
      <c r="C15" s="18" t="n">
        <v>240</v>
      </c>
      <c r="D15" s="18" t="n">
        <v>98</v>
      </c>
      <c r="E15" s="18" t="n">
        <v>124</v>
      </c>
      <c r="F15" s="18" t="n">
        <v>176</v>
      </c>
      <c r="G15" s="18" t="n">
        <v>264</v>
      </c>
      <c r="H15" s="18" t="n">
        <v>145</v>
      </c>
      <c r="I15" s="18" t="n">
        <v>133</v>
      </c>
      <c r="J15" s="18" t="n">
        <v>207</v>
      </c>
      <c r="K15" s="18" t="n">
        <v>278</v>
      </c>
      <c r="L15" s="18" t="n">
        <v>645</v>
      </c>
      <c r="M15" s="18" t="n">
        <v>158</v>
      </c>
      <c r="N15" s="18" t="n">
        <v>218</v>
      </c>
      <c r="O15" s="18" t="n">
        <v>297</v>
      </c>
      <c r="P15" s="18" t="n">
        <v>147</v>
      </c>
      <c r="Q15" s="18" t="n">
        <v>170</v>
      </c>
      <c r="R15" s="18" t="n">
        <v>280</v>
      </c>
      <c r="S15" s="18" t="n">
        <v>323</v>
      </c>
      <c r="T15" s="18" t="n">
        <v>171</v>
      </c>
      <c r="U15" s="18" t="n">
        <v>185</v>
      </c>
      <c r="V15" s="18" t="n">
        <v>277</v>
      </c>
      <c r="W15" s="18" t="n">
        <v>350</v>
      </c>
      <c r="X15" s="18" t="n">
        <v>239</v>
      </c>
      <c r="Y15" s="18" t="n">
        <v>205</v>
      </c>
      <c r="Z15" s="18" t="n">
        <v>289</v>
      </c>
      <c r="AA15" s="18" t="n">
        <v>379</v>
      </c>
      <c r="AB15" s="18" t="n">
        <v>238</v>
      </c>
      <c r="AC15" s="18" t="n">
        <v>196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181</v>
      </c>
      <c r="C17" s="18" t="n">
        <v>181</v>
      </c>
      <c r="D17" s="18" t="n">
        <v>181</v>
      </c>
      <c r="E17" s="18" t="n">
        <v>181</v>
      </c>
      <c r="F17" s="18" t="n">
        <v>181</v>
      </c>
      <c r="G17" s="18" t="n">
        <v>182</v>
      </c>
      <c r="H17" s="18" t="n">
        <v>181</v>
      </c>
      <c r="I17" s="18" t="n">
        <v>182</v>
      </c>
      <c r="J17" s="18" t="n">
        <v>182</v>
      </c>
      <c r="K17" s="18" t="n">
        <v>182</v>
      </c>
      <c r="L17" s="18" t="n">
        <v>182</v>
      </c>
      <c r="M17" s="18" t="n">
        <v>182</v>
      </c>
      <c r="N17" s="18" t="n">
        <v>182</v>
      </c>
      <c r="O17" s="18" t="n">
        <v>182</v>
      </c>
      <c r="P17" s="18" t="n">
        <v>182</v>
      </c>
      <c r="Q17" s="18" t="n">
        <v>186</v>
      </c>
      <c r="R17" s="18" t="n">
        <v>195</v>
      </c>
      <c r="S17" s="18" t="n">
        <v>195</v>
      </c>
      <c r="T17" s="18" t="n">
        <v>195</v>
      </c>
      <c r="U17" s="18" t="n">
        <v>195</v>
      </c>
      <c r="V17" s="18" t="n">
        <v>195</v>
      </c>
      <c r="W17" s="18" t="n">
        <v>195</v>
      </c>
      <c r="X17" s="18" t="n">
        <v>195</v>
      </c>
      <c r="Y17" s="18" t="n">
        <v>195</v>
      </c>
      <c r="Z17" s="18" t="n">
        <v>195</v>
      </c>
      <c r="AA17" s="18" t="n">
        <v>195</v>
      </c>
      <c r="AB17" s="18" t="n">
        <v>195</v>
      </c>
      <c r="AC17" s="18" t="n">
        <v>195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WEST VIRGINIA</t>
        </is>
      </c>
      <c r="AC19" s="18" t="n">
        <v>20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CALIFORNIA</t>
        </is>
      </c>
      <c r="Z22" s="18" t="n">
        <v>17</v>
      </c>
      <c r="AA22" s="18" t="n">
        <v>17</v>
      </c>
      <c r="AB22" s="18" t="n">
        <v>0</v>
      </c>
      <c r="AC22" s="18" t="n">
        <v>14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Cash &amp; ST Investments</t>
        </is>
      </c>
      <c r="B26" s="18" t="n">
        <v>64</v>
      </c>
      <c r="C26" s="18" t="n">
        <v>94</v>
      </c>
      <c r="D26" s="18" t="n">
        <v>60</v>
      </c>
      <c r="E26" s="18" t="n">
        <v>556</v>
      </c>
      <c r="F26" s="18" t="n">
        <v>569</v>
      </c>
      <c r="G26" s="18" t="n">
        <v>560</v>
      </c>
      <c r="H26" s="18" t="n">
        <v>547</v>
      </c>
      <c r="I26" s="18" t="n">
        <v>69</v>
      </c>
      <c r="J26" s="18" t="n">
        <v>70</v>
      </c>
      <c r="K26" s="18" t="n">
        <v>70</v>
      </c>
      <c r="L26" s="18" t="n">
        <v>116</v>
      </c>
      <c r="M26" s="18" t="n">
        <v>75</v>
      </c>
      <c r="N26" s="18" t="n">
        <v>71</v>
      </c>
      <c r="O26" s="18" t="n">
        <v>77</v>
      </c>
      <c r="P26" s="18" t="n">
        <v>85</v>
      </c>
      <c r="Q26" s="18" t="n">
        <v>213</v>
      </c>
      <c r="R26" s="18" t="n">
        <v>794</v>
      </c>
      <c r="S26" s="18" t="n">
        <v>628</v>
      </c>
      <c r="T26" s="18" t="n">
        <v>330</v>
      </c>
      <c r="U26" s="18" t="n">
        <v>584</v>
      </c>
      <c r="V26" s="18" t="n">
        <v>48</v>
      </c>
      <c r="W26" s="18" t="n">
        <v>127</v>
      </c>
      <c r="X26" s="18" t="n">
        <v>96</v>
      </c>
      <c r="Y26" s="18" t="n">
        <v>114</v>
      </c>
      <c r="Z26" s="18" t="n">
        <v>192</v>
      </c>
      <c r="AA26" s="18" t="n">
        <v>256</v>
      </c>
      <c r="AB26" s="18" t="n">
        <v>174</v>
      </c>
      <c r="AC26" s="18" t="n">
        <v>137</v>
      </c>
    </row>
    <row r="27">
      <c r="A27" s="4" t="inlineStr">
        <is>
          <t>Total Current Assets</t>
        </is>
      </c>
      <c r="B27" s="18" t="n">
        <v>741</v>
      </c>
      <c r="C27" s="18" t="n">
        <v>799</v>
      </c>
      <c r="D27" s="18" t="n">
        <v>1285</v>
      </c>
      <c r="E27" s="18" t="n">
        <v>1801</v>
      </c>
      <c r="F27" s="18" t="n">
        <v>1896</v>
      </c>
      <c r="G27" s="18" t="n">
        <v>1967</v>
      </c>
      <c r="H27" s="18" t="n">
        <v>1906</v>
      </c>
      <c r="I27" s="18" t="n">
        <v>1466</v>
      </c>
      <c r="J27" s="18" t="n">
        <v>1570</v>
      </c>
      <c r="K27" s="18" t="n">
        <v>1590</v>
      </c>
      <c r="L27" s="18" t="n">
        <v>1554</v>
      </c>
      <c r="M27" s="18" t="n">
        <v>853</v>
      </c>
      <c r="N27" s="18" t="n">
        <v>1018</v>
      </c>
      <c r="O27" s="18" t="n">
        <v>1017</v>
      </c>
      <c r="P27" s="18" t="n">
        <v>1250</v>
      </c>
      <c r="Q27" s="18" t="n">
        <v>1338</v>
      </c>
      <c r="R27" s="18" t="n">
        <v>1989</v>
      </c>
      <c r="S27" s="18" t="n">
        <v>1804</v>
      </c>
      <c r="T27" s="18" t="n">
        <v>1389</v>
      </c>
      <c r="U27" s="18" t="n">
        <v>1587</v>
      </c>
      <c r="V27" s="18" t="n">
        <v>1165</v>
      </c>
      <c r="W27" s="18" t="n">
        <v>1237</v>
      </c>
      <c r="X27" s="18" t="n">
        <v>1215</v>
      </c>
      <c r="Y27" s="18" t="n">
        <v>1194</v>
      </c>
      <c r="Z27" s="18" t="n">
        <v>1399</v>
      </c>
      <c r="AA27" s="18" t="n">
        <v>1552</v>
      </c>
      <c r="AB27" s="18" t="n">
        <v>2191</v>
      </c>
      <c r="AC27" s="18" t="n">
        <v>1524</v>
      </c>
    </row>
    <row r="28">
      <c r="A28" s="4" t="inlineStr">
        <is>
          <t>PP&amp;E (net)</t>
        </is>
      </c>
      <c r="B28" s="18" t="n">
        <v>17910</v>
      </c>
      <c r="C28" s="18" t="n">
        <v>18260</v>
      </c>
      <c r="D28" s="18" t="n">
        <v>18335</v>
      </c>
      <c r="E28" s="18" t="n">
        <v>18689</v>
      </c>
      <c r="F28" s="18" t="n">
        <v>19043</v>
      </c>
      <c r="G28" s="18" t="n">
        <v>19364</v>
      </c>
      <c r="H28" s="18" t="n">
        <v>19805</v>
      </c>
      <c r="I28" s="18" t="n">
        <v>20003</v>
      </c>
      <c r="J28" s="18" t="n">
        <v>20308</v>
      </c>
      <c r="K28" s="18" t="n">
        <v>20680</v>
      </c>
      <c r="L28" s="18" t="n">
        <v>21176</v>
      </c>
      <c r="M28" s="18" t="n">
        <v>21489</v>
      </c>
      <c r="N28" s="18" t="n">
        <v>22193</v>
      </c>
      <c r="O28" s="18" t="n">
        <v>22726</v>
      </c>
      <c r="P28" s="18" t="n">
        <v>23305</v>
      </c>
      <c r="Q28" s="18" t="n">
        <v>23715</v>
      </c>
      <c r="R28" s="18" t="n">
        <v>24271</v>
      </c>
      <c r="S28" s="18" t="n">
        <v>24774</v>
      </c>
      <c r="T28" s="18" t="n">
        <v>25524</v>
      </c>
      <c r="U28" s="18" t="n">
        <v>26113</v>
      </c>
      <c r="V28" s="18" t="n">
        <v>26622</v>
      </c>
      <c r="W28" s="18" t="n">
        <v>27096</v>
      </c>
      <c r="X28" s="18" t="n">
        <v>28127</v>
      </c>
      <c r="Y28" s="18" t="n">
        <v>28464</v>
      </c>
      <c r="Z28" s="18" t="n">
        <v>29021</v>
      </c>
      <c r="AA28" s="18" t="n">
        <v>29699</v>
      </c>
      <c r="AB28" s="18" t="n">
        <v>0</v>
      </c>
      <c r="AC28" s="18" t="n">
        <v>31155</v>
      </c>
    </row>
    <row r="29">
      <c r="A29" s="4" t="inlineStr">
        <is>
          <t>Total Assets</t>
        </is>
      </c>
      <c r="B29" s="18" t="n">
        <v>21854</v>
      </c>
      <c r="C29" s="18" t="n">
        <v>22238</v>
      </c>
      <c r="D29" s="18" t="n">
        <v>22682</v>
      </c>
      <c r="E29" s="18" t="n">
        <v>23546</v>
      </c>
      <c r="F29" s="18" t="n">
        <v>24009</v>
      </c>
      <c r="G29" s="18" t="n">
        <v>24394</v>
      </c>
      <c r="H29" s="18" t="n">
        <v>24766</v>
      </c>
      <c r="I29" s="18" t="n">
        <v>24525</v>
      </c>
      <c r="J29" s="18" t="n">
        <v>24952</v>
      </c>
      <c r="K29" s="18" t="n">
        <v>25333</v>
      </c>
      <c r="L29" s="18" t="n">
        <v>26075</v>
      </c>
      <c r="M29" s="18" t="n">
        <v>25694</v>
      </c>
      <c r="N29" s="18" t="n">
        <v>26574</v>
      </c>
      <c r="O29" s="18" t="n">
        <v>27126</v>
      </c>
      <c r="P29" s="18" t="n">
        <v>27787</v>
      </c>
      <c r="Q29" s="18" t="n">
        <v>28286</v>
      </c>
      <c r="R29" s="18" t="n">
        <v>29496</v>
      </c>
      <c r="S29" s="18" t="n">
        <v>29818</v>
      </c>
      <c r="T29" s="18" t="n">
        <v>30298</v>
      </c>
      <c r="U29" s="18" t="n">
        <v>31086</v>
      </c>
      <c r="V29" s="18" t="n">
        <v>31215</v>
      </c>
      <c r="W29" s="18" t="n">
        <v>31790</v>
      </c>
      <c r="X29" s="18" t="n">
        <v>32830</v>
      </c>
      <c r="Y29" s="18" t="n">
        <v>33156</v>
      </c>
      <c r="Z29" s="18" t="n">
        <v>33913</v>
      </c>
      <c r="AA29" s="18" t="n">
        <v>34748</v>
      </c>
      <c r="AB29" s="18" t="n">
        <v>36525</v>
      </c>
      <c r="AC29" s="18" t="n">
        <v>35264</v>
      </c>
    </row>
    <row r="30">
      <c r="A30" s="4" t="inlineStr">
        <is>
          <t>Total Current Liabilities</t>
        </is>
      </c>
      <c r="B30" s="18" t="n">
        <v>1317</v>
      </c>
      <c r="C30" s="18" t="n">
        <v>1488</v>
      </c>
      <c r="D30" s="18" t="n">
        <v>2045</v>
      </c>
      <c r="E30" s="18" t="n">
        <v>2767</v>
      </c>
      <c r="F30" s="18" t="n">
        <v>2113</v>
      </c>
      <c r="G30" s="18" t="n">
        <v>2260</v>
      </c>
      <c r="H30" s="18" t="n">
        <v>2881</v>
      </c>
      <c r="I30" s="18" t="n">
        <v>2451</v>
      </c>
      <c r="J30" s="18" t="n">
        <v>1710</v>
      </c>
      <c r="K30" s="18" t="n">
        <v>1844</v>
      </c>
      <c r="L30" s="18" t="n">
        <v>2141</v>
      </c>
      <c r="M30" s="18" t="n">
        <v>1648</v>
      </c>
      <c r="N30" s="18" t="n">
        <v>1728</v>
      </c>
      <c r="O30" s="18" t="n">
        <v>2130</v>
      </c>
      <c r="P30" s="18" t="n">
        <v>2811</v>
      </c>
      <c r="Q30" s="18" t="n">
        <v>1892</v>
      </c>
      <c r="R30" s="18" t="n">
        <v>1764</v>
      </c>
      <c r="S30" s="18" t="n">
        <v>1743</v>
      </c>
      <c r="T30" s="18" t="n">
        <v>2151</v>
      </c>
      <c r="U30" s="18" t="n">
        <v>1857</v>
      </c>
      <c r="V30" s="18" t="n">
        <v>1825</v>
      </c>
      <c r="W30" s="18" t="n">
        <v>2132</v>
      </c>
      <c r="X30" s="18" t="n">
        <v>3150</v>
      </c>
      <c r="Y30" s="18" t="n">
        <v>2447</v>
      </c>
      <c r="Z30" s="18" t="n">
        <v>3991</v>
      </c>
      <c r="AA30" s="18" t="n">
        <v>3687</v>
      </c>
      <c r="AB30" s="18" t="n">
        <v>4747</v>
      </c>
      <c r="AC30" s="18" t="n">
        <v>4118</v>
      </c>
    </row>
    <row r="31">
      <c r="A31" s="4" t="inlineStr">
        <is>
          <t>Long-term Debt</t>
        </is>
      </c>
      <c r="B31" s="18" t="n">
        <v>8642</v>
      </c>
      <c r="C31" s="18" t="n">
        <v>8640</v>
      </c>
      <c r="D31" s="18" t="n">
        <v>8639</v>
      </c>
      <c r="E31" s="18" t="n">
        <v>8621</v>
      </c>
      <c r="F31" s="18" t="n">
        <v>9589</v>
      </c>
      <c r="G31" s="18" t="n">
        <v>9580</v>
      </c>
      <c r="H31" s="18" t="n">
        <v>9329</v>
      </c>
      <c r="I31" s="18" t="n">
        <v>9325</v>
      </c>
      <c r="J31" s="18" t="n">
        <v>10343</v>
      </c>
      <c r="K31" s="18" t="n">
        <v>10349</v>
      </c>
      <c r="L31" s="18" t="n">
        <v>10341</v>
      </c>
      <c r="M31" s="18" t="n">
        <v>10347</v>
      </c>
      <c r="N31" s="18" t="n">
        <v>11023</v>
      </c>
      <c r="O31" s="18" t="n">
        <v>10940</v>
      </c>
      <c r="P31" s="18" t="n">
        <v>10926</v>
      </c>
      <c r="Q31" s="18" t="n">
        <v>10485</v>
      </c>
      <c r="R31" s="18" t="n">
        <v>11607</v>
      </c>
      <c r="S31" s="18" t="n">
        <v>11698</v>
      </c>
      <c r="T31" s="18" t="n">
        <v>11715</v>
      </c>
      <c r="U31" s="18" t="n">
        <v>12566</v>
      </c>
      <c r="V31" s="18" t="n">
        <v>12553</v>
      </c>
      <c r="W31" s="18" t="n">
        <v>12550</v>
      </c>
      <c r="X31" s="18" t="n">
        <v>12518</v>
      </c>
      <c r="Y31" s="18" t="n">
        <v>13318</v>
      </c>
      <c r="Z31" s="18" t="n">
        <v>12278</v>
      </c>
      <c r="AA31" s="18" t="n">
        <v>13025</v>
      </c>
      <c r="AB31" s="18" t="n">
        <v>12851</v>
      </c>
      <c r="AC31" s="18" t="n">
        <v>12766</v>
      </c>
    </row>
    <row r="32">
      <c r="A32" s="4" t="inlineStr">
        <is>
          <t>Total Equity</t>
        </is>
      </c>
      <c r="B32" s="18" t="n">
        <v>6027</v>
      </c>
      <c r="C32" s="18" t="n">
        <v>6190</v>
      </c>
      <c r="D32" s="18" t="n">
        <v>6121</v>
      </c>
      <c r="E32" s="18" t="n">
        <v>6243</v>
      </c>
      <c r="F32" s="18" t="n">
        <v>6338</v>
      </c>
      <c r="G32" s="18" t="n">
        <v>6512</v>
      </c>
      <c r="H32" s="18" t="n">
        <v>6454</v>
      </c>
      <c r="I32" s="18" t="n">
        <v>6583</v>
      </c>
      <c r="J32" s="18" t="n">
        <v>6690</v>
      </c>
      <c r="K32" s="18" t="n">
        <v>6866</v>
      </c>
      <c r="L32" s="18" t="n">
        <v>7298</v>
      </c>
      <c r="M32" s="18" t="n">
        <v>7460</v>
      </c>
      <c r="N32" s="18" t="n">
        <v>7570</v>
      </c>
      <c r="O32" s="18" t="n">
        <v>7758</v>
      </c>
      <c r="P32" s="18" t="n">
        <v>7693</v>
      </c>
      <c r="Q32" s="18" t="n">
        <v>9547</v>
      </c>
      <c r="R32" s="18" t="n">
        <v>9701</v>
      </c>
      <c r="S32" s="18" t="n">
        <v>9897</v>
      </c>
      <c r="T32" s="18" t="n">
        <v>9797</v>
      </c>
      <c r="U32" s="18" t="n">
        <v>10007</v>
      </c>
      <c r="V32" s="18" t="n">
        <v>10152</v>
      </c>
      <c r="W32" s="18" t="n">
        <v>10362</v>
      </c>
      <c r="X32" s="18" t="n">
        <v>10332</v>
      </c>
      <c r="Y32" s="18" t="n">
        <v>10534</v>
      </c>
      <c r="Z32" s="18" t="n">
        <v>10682</v>
      </c>
      <c r="AA32" s="18" t="n">
        <v>10907</v>
      </c>
      <c r="AB32" s="18" t="n">
        <v>10837</v>
      </c>
      <c r="AC32" s="18" t="n">
        <v>11037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4" t="inlineStr">
        <is>
          <t>D&amp;A</t>
        </is>
      </c>
      <c r="B34" s="18" t="n">
        <v>142</v>
      </c>
      <c r="C34" s="18" t="n">
        <v>144</v>
      </c>
      <c r="D34" s="18" t="n">
        <v>152</v>
      </c>
      <c r="E34" s="18" t="n">
        <v>145</v>
      </c>
      <c r="F34" s="18" t="n">
        <v>152</v>
      </c>
      <c r="G34" s="18" t="n">
        <v>154</v>
      </c>
      <c r="H34" s="18" t="n">
        <v>153</v>
      </c>
      <c r="I34" s="18" t="n">
        <v>157</v>
      </c>
      <c r="J34" s="18" t="n">
        <v>158</v>
      </c>
      <c r="K34" s="18" t="n">
        <v>161</v>
      </c>
      <c r="L34" s="18" t="n">
        <v>160</v>
      </c>
      <c r="M34" s="18" t="n">
        <v>158</v>
      </c>
      <c r="N34" s="18" t="n">
        <v>163</v>
      </c>
      <c r="O34" s="18" t="n">
        <v>164</v>
      </c>
      <c r="P34" s="18" t="n">
        <v>164</v>
      </c>
      <c r="Q34" s="18" t="n">
        <v>172</v>
      </c>
      <c r="R34" s="18" t="n">
        <v>174</v>
      </c>
      <c r="S34" s="18" t="n">
        <v>177</v>
      </c>
      <c r="T34" s="18" t="n">
        <v>181</v>
      </c>
      <c r="U34" s="18" t="n">
        <v>188</v>
      </c>
      <c r="V34" s="18" t="n">
        <v>193</v>
      </c>
      <c r="W34" s="18" t="n">
        <v>200</v>
      </c>
      <c r="X34" s="18" t="n">
        <v>207</v>
      </c>
      <c r="Y34" s="18" t="n">
        <v>216</v>
      </c>
      <c r="Z34" s="18" t="n">
        <v>221</v>
      </c>
      <c r="AA34" s="18" t="n">
        <v>226</v>
      </c>
      <c r="AB34" s="18" t="n">
        <v>231</v>
      </c>
      <c r="AC34" s="18" t="n">
        <v>237</v>
      </c>
    </row>
    <row r="35">
      <c r="A35" s="4" t="inlineStr">
        <is>
          <t>Stock-based Compensation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  <c r="G35" s="18" t="n">
        <v>0</v>
      </c>
      <c r="H35" s="18" t="n">
        <v>0</v>
      </c>
      <c r="I35" s="18" t="n">
        <v>0</v>
      </c>
      <c r="J35" s="18" t="n">
        <v>0</v>
      </c>
      <c r="K35" s="18" t="n">
        <v>0</v>
      </c>
      <c r="L35" s="18" t="n">
        <v>0</v>
      </c>
      <c r="M35" s="18" t="n">
        <v>0</v>
      </c>
      <c r="N35" s="18" t="n">
        <v>0</v>
      </c>
      <c r="O35" s="18" t="n">
        <v>0</v>
      </c>
      <c r="P35" s="18" t="n">
        <v>0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0</v>
      </c>
      <c r="Z35" s="18" t="n">
        <v>0</v>
      </c>
      <c r="AA35" s="18" t="n">
        <v>0</v>
      </c>
      <c r="AB35" s="18" t="n">
        <v>0</v>
      </c>
      <c r="AC35" s="18" t="n">
        <v>0</v>
      </c>
    </row>
    <row r="36">
      <c r="A36" s="4" t="inlineStr">
        <is>
          <t>Change in Working Capital</t>
        </is>
      </c>
      <c r="B36" s="18" t="n">
        <v>-36</v>
      </c>
      <c r="C36" s="18" t="n">
        <v>-4</v>
      </c>
      <c r="D36" s="18" t="n">
        <v>76</v>
      </c>
      <c r="E36" s="18" t="n">
        <v>-114</v>
      </c>
      <c r="F36" s="18" t="n">
        <v>-18</v>
      </c>
      <c r="G36" s="18" t="n">
        <v>-44</v>
      </c>
      <c r="H36" s="18" t="n">
        <v>82</v>
      </c>
      <c r="I36" s="18" t="n">
        <v>-97</v>
      </c>
      <c r="J36" s="18" t="n">
        <v>-57</v>
      </c>
      <c r="K36" s="18" t="n">
        <v>5</v>
      </c>
      <c r="L36" s="18" t="n">
        <v>235</v>
      </c>
      <c r="M36" s="18" t="n">
        <v>-90</v>
      </c>
      <c r="N36" s="18" t="n">
        <v>-361</v>
      </c>
      <c r="O36" s="18" t="n">
        <v>95</v>
      </c>
      <c r="P36" s="18" t="n">
        <v>-50</v>
      </c>
      <c r="Q36" s="18" t="n">
        <v>-51</v>
      </c>
      <c r="R36" s="18" t="n">
        <v>-71</v>
      </c>
      <c r="S36" s="18" t="n">
        <v>57</v>
      </c>
      <c r="T36" s="18" t="n">
        <v>92</v>
      </c>
      <c r="U36" s="18" t="n">
        <v>-8</v>
      </c>
      <c r="V36" s="18" t="n">
        <v>-125</v>
      </c>
      <c r="W36" s="18" t="n">
        <v>34</v>
      </c>
      <c r="X36" s="18" t="n">
        <v>87</v>
      </c>
      <c r="Y36" s="18" t="n">
        <v>-93</v>
      </c>
      <c r="Z36" s="18" t="n">
        <v>-238</v>
      </c>
      <c r="AA36" s="18" t="n">
        <v>56</v>
      </c>
      <c r="AB36" s="18" t="n">
        <v>175</v>
      </c>
      <c r="AC36" s="18" t="n">
        <v>-22</v>
      </c>
    </row>
    <row r="37">
      <c r="A37" s="4" t="inlineStr">
        <is>
          <t>Operating Cash Flow</t>
        </is>
      </c>
      <c r="B37" s="18" t="n">
        <v>312</v>
      </c>
      <c r="C37" s="18" t="n">
        <v>465</v>
      </c>
      <c r="D37" s="18" t="n">
        <v>438</v>
      </c>
      <c r="E37" s="18" t="n">
        <v>180</v>
      </c>
      <c r="F37" s="18" t="n">
        <v>351</v>
      </c>
      <c r="G37" s="18" t="n">
        <v>457</v>
      </c>
      <c r="H37" s="18" t="n">
        <v>438</v>
      </c>
      <c r="I37" s="18" t="n">
        <v>179</v>
      </c>
      <c r="J37" s="18" t="n">
        <v>341</v>
      </c>
      <c r="K37" s="18" t="n">
        <v>509</v>
      </c>
      <c r="L37" s="18" t="n">
        <v>412</v>
      </c>
      <c r="M37" s="18" t="n">
        <v>154</v>
      </c>
      <c r="N37" s="18" t="n">
        <v>42</v>
      </c>
      <c r="O37" s="18" t="n">
        <v>568</v>
      </c>
      <c r="P37" s="18" t="n">
        <v>344</v>
      </c>
      <c r="Q37" s="18" t="n">
        <v>285</v>
      </c>
      <c r="R37" s="18" t="n">
        <v>429</v>
      </c>
      <c r="S37" s="18" t="n">
        <v>633</v>
      </c>
      <c r="T37" s="18" t="n">
        <v>527</v>
      </c>
      <c r="U37" s="18" t="n">
        <v>382</v>
      </c>
      <c r="V37" s="18" t="n">
        <v>345</v>
      </c>
      <c r="W37" s="18" t="n">
        <v>679</v>
      </c>
      <c r="X37" s="18" t="n">
        <v>639</v>
      </c>
      <c r="Y37" s="18" t="n">
        <v>331</v>
      </c>
      <c r="Z37" s="18" t="n">
        <v>301</v>
      </c>
      <c r="AA37" s="18" t="n">
        <v>764</v>
      </c>
      <c r="AB37" s="18" t="n">
        <v>663</v>
      </c>
      <c r="AC37" s="18" t="n">
        <v>305</v>
      </c>
    </row>
    <row r="38">
      <c r="A38" s="4" t="inlineStr">
        <is>
          <t>Capex</t>
        </is>
      </c>
      <c r="B38" s="18" t="n">
        <v>-409</v>
      </c>
      <c r="C38" s="18" t="n">
        <v>-433</v>
      </c>
      <c r="D38" s="18" t="n">
        <v>-572</v>
      </c>
      <c r="E38" s="18" t="n">
        <v>-431</v>
      </c>
      <c r="F38" s="18" t="n">
        <v>-489</v>
      </c>
      <c r="G38" s="18" t="n">
        <v>-469</v>
      </c>
      <c r="H38" s="18" t="n">
        <v>-539</v>
      </c>
      <c r="I38" s="18" t="n">
        <v>-360</v>
      </c>
      <c r="J38" s="18" t="n">
        <v>-435</v>
      </c>
      <c r="K38" s="18" t="n">
        <v>-480</v>
      </c>
      <c r="L38" s="18" t="n">
        <v>-598</v>
      </c>
      <c r="M38" s="18" t="n">
        <v>-444</v>
      </c>
      <c r="N38" s="18" t="n">
        <v>-600</v>
      </c>
      <c r="O38" s="18" t="n">
        <v>-638</v>
      </c>
      <c r="P38" s="18" t="n">
        <v>-738</v>
      </c>
      <c r="Q38" s="18" t="n">
        <v>-557</v>
      </c>
      <c r="R38" s="18" t="n">
        <v>-674</v>
      </c>
      <c r="S38" s="18" t="n">
        <v>-661</v>
      </c>
      <c r="T38" s="18" t="n">
        <v>-842</v>
      </c>
      <c r="U38" s="18" t="n">
        <v>-609</v>
      </c>
      <c r="V38" s="18" t="n">
        <v>-670</v>
      </c>
      <c r="W38" s="18" t="n">
        <v>-722</v>
      </c>
      <c r="X38" s="18" t="n">
        <v>-934</v>
      </c>
      <c r="Y38" s="18" t="n">
        <v>-548</v>
      </c>
      <c r="Z38" s="18" t="n">
        <v>-733</v>
      </c>
      <c r="AA38" s="18" t="n">
        <v>-797</v>
      </c>
      <c r="AB38" s="18" t="n">
        <v>-1048</v>
      </c>
      <c r="AC38" s="18" t="n">
        <v>-659</v>
      </c>
    </row>
    <row r="39">
      <c r="A39" s="4" t="inlineStr">
        <is>
          <t>Free Cash Flow</t>
        </is>
      </c>
      <c r="B39" s="18" t="n">
        <v>-97</v>
      </c>
      <c r="C39" s="18" t="n">
        <v>32</v>
      </c>
      <c r="D39" s="18" t="n">
        <v>-134</v>
      </c>
      <c r="E39" s="18" t="n">
        <v>-251</v>
      </c>
      <c r="F39" s="18" t="n">
        <v>-138</v>
      </c>
      <c r="G39" s="18" t="n">
        <v>-12</v>
      </c>
      <c r="H39" s="18" t="n">
        <v>-101</v>
      </c>
      <c r="I39" s="18" t="n">
        <v>-181</v>
      </c>
      <c r="J39" s="18" t="n">
        <v>-94</v>
      </c>
      <c r="K39" s="18" t="n">
        <v>29</v>
      </c>
      <c r="L39" s="18" t="n">
        <v>-186</v>
      </c>
      <c r="M39" s="18" t="n">
        <v>-290</v>
      </c>
      <c r="N39" s="18" t="n">
        <v>-558</v>
      </c>
      <c r="O39" s="18" t="n">
        <v>-70</v>
      </c>
      <c r="P39" s="18" t="n">
        <v>-394</v>
      </c>
      <c r="Q39" s="18" t="n">
        <v>-272</v>
      </c>
      <c r="R39" s="18" t="n">
        <v>-245</v>
      </c>
      <c r="S39" s="18" t="n">
        <v>-28</v>
      </c>
      <c r="T39" s="18" t="n">
        <v>-315</v>
      </c>
      <c r="U39" s="18" t="n">
        <v>-227</v>
      </c>
      <c r="V39" s="18" t="n">
        <v>-325</v>
      </c>
      <c r="W39" s="18" t="n">
        <v>-43</v>
      </c>
      <c r="X39" s="18" t="n">
        <v>-295</v>
      </c>
      <c r="Y39" s="18" t="n">
        <v>-217</v>
      </c>
      <c r="Z39" s="18" t="n">
        <v>-432</v>
      </c>
      <c r="AA39" s="18" t="n">
        <v>-33</v>
      </c>
      <c r="AB39" s="18" t="n">
        <v>-385</v>
      </c>
      <c r="AC39" s="18" t="n">
        <v>-354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  <c r="F2" s="4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5352.775734</v>
      </c>
      <c r="C4" s="18" t="n">
        <v>5722.921335</v>
      </c>
      <c r="D4" s="18" t="n">
        <v>6070.950839</v>
      </c>
      <c r="E4" s="18" t="n">
        <v>6998.5</v>
      </c>
      <c r="F4" s="18" t="n">
        <v>7507</v>
      </c>
    </row>
    <row r="5">
      <c r="A5" s="4" t="inlineStr">
        <is>
          <t xml:space="preserve">  model</t>
        </is>
      </c>
      <c r="B5" s="34">
        <f>Model!G6</f>
        <v/>
      </c>
      <c r="C5" s="34">
        <f>Model!H6</f>
        <v/>
      </c>
      <c r="D5" s="34">
        <f>Model!I6</f>
        <v/>
      </c>
      <c r="E5" s="34">
        <f>Model!J6</f>
        <v/>
      </c>
      <c r="F5" s="34">
        <f>Model!K6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  <c r="F6" s="47">
        <f>IFERROR(F5/F4-1,"")</f>
        <v/>
      </c>
    </row>
    <row r="8">
      <c r="A8" s="3" t="inlineStr">
        <is>
          <t>EBITDA* — consensus</t>
        </is>
      </c>
      <c r="B8" s="18" t="n">
        <v>2869.173283</v>
      </c>
      <c r="C8" s="18" t="n">
        <v>3067.577236</v>
      </c>
      <c r="D8" s="18" t="n">
        <v>3254.126609</v>
      </c>
      <c r="E8" s="18" t="n">
        <v>3751.307773</v>
      </c>
      <c r="F8" s="18" t="n">
        <v>4023.871895</v>
      </c>
    </row>
    <row r="9">
      <c r="A9" s="4" t="inlineStr">
        <is>
          <t xml:space="preserve">  model</t>
        </is>
      </c>
      <c r="B9" s="34">
        <f>Model!G19+Model!G24</f>
        <v/>
      </c>
      <c r="C9" s="34">
        <f>Model!H19+Model!H24</f>
        <v/>
      </c>
      <c r="D9" s="34">
        <f>Model!I19+Model!I24</f>
        <v/>
      </c>
      <c r="E9" s="34">
        <f>Model!J19+Model!J24</f>
        <v/>
      </c>
      <c r="F9" s="34">
        <f>Model!K19+Model!K24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  <c r="F10" s="47">
        <f>IFERROR(F9/F8-1,"")</f>
        <v/>
      </c>
    </row>
    <row r="12">
      <c r="A12" s="3" t="inlineStr">
        <is>
          <t>EBIT* — consensus</t>
        </is>
      </c>
      <c r="B12" s="18" t="n">
        <v>1968.389855</v>
      </c>
      <c r="C12" s="18" t="n">
        <v>2104.50444</v>
      </c>
      <c r="D12" s="18" t="n">
        <v>2232.486216</v>
      </c>
      <c r="E12" s="18" t="n">
        <v>2573.576232</v>
      </c>
      <c r="F12" s="18" t="n">
        <v>2760.568232</v>
      </c>
    </row>
    <row r="13">
      <c r="A13" s="4" t="inlineStr">
        <is>
          <t xml:space="preserve">  model</t>
        </is>
      </c>
      <c r="B13" s="34">
        <f>Model!G19</f>
        <v/>
      </c>
      <c r="C13" s="34">
        <f>Model!H19</f>
        <v/>
      </c>
      <c r="D13" s="34">
        <f>Model!I19</f>
        <v/>
      </c>
      <c r="E13" s="34">
        <f>Model!J19</f>
        <v/>
      </c>
      <c r="F13" s="34">
        <f>Model!K19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  <c r="F14" s="47">
        <f>IFERROR(F13/F12-1,"")</f>
        <v/>
      </c>
    </row>
    <row r="16">
      <c r="A16" s="3" t="inlineStr">
        <is>
          <t>SG&amp;A — consensus</t>
        </is>
      </c>
      <c r="B16" s="18" t="n">
        <v>57.476925</v>
      </c>
      <c r="C16" s="18" t="n">
        <v>61.451466</v>
      </c>
      <c r="D16" s="18" t="n">
        <v>65.18853</v>
      </c>
      <c r="E16" s="18" t="n">
        <v>75.148349</v>
      </c>
      <c r="F16" s="18" t="n">
        <v>80.60851</v>
      </c>
    </row>
    <row r="17">
      <c r="A17" s="4" t="inlineStr">
        <is>
          <t xml:space="preserve">  model</t>
        </is>
      </c>
      <c r="B17" s="34">
        <f>Model!G14</f>
        <v/>
      </c>
      <c r="C17" s="34">
        <f>Model!H14</f>
        <v/>
      </c>
      <c r="D17" s="34">
        <f>Model!I14</f>
        <v/>
      </c>
      <c r="E17" s="34">
        <f>Model!J14</f>
        <v/>
      </c>
      <c r="F17" s="34">
        <f>Model!K14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  <c r="F18" s="47">
        <f>IFERROR(F17/F16-1,"")</f>
        <v/>
      </c>
    </row>
    <row r="20">
      <c r="A20" s="3" t="inlineStr">
        <is>
          <t>Net income (NOPAT) — consensus</t>
        </is>
      </c>
      <c r="B20" s="18" t="n">
        <v>1188.101856</v>
      </c>
      <c r="C20" s="18" t="n">
        <v>1328.00826</v>
      </c>
      <c r="D20" s="18" t="n">
        <v>1404.754657</v>
      </c>
      <c r="E20" s="18" t="n">
        <v>1524.120007</v>
      </c>
      <c r="F20" s="18" t="n">
        <v>1611.349358</v>
      </c>
    </row>
    <row r="21">
      <c r="A21" s="4" t="inlineStr">
        <is>
          <t xml:space="preserve">  model</t>
        </is>
      </c>
      <c r="B21" s="34">
        <f>Model!G23</f>
        <v/>
      </c>
      <c r="C21" s="34">
        <f>Model!H23</f>
        <v/>
      </c>
      <c r="D21" s="34">
        <f>Model!I23</f>
        <v/>
      </c>
      <c r="E21" s="34">
        <f>Model!J23</f>
        <v/>
      </c>
      <c r="F21" s="34">
        <f>Model!K23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  <c r="F22" s="47">
        <f>IFERROR(F21/F20-1,"")</f>
        <v/>
      </c>
    </row>
    <row r="24">
      <c r="A24" s="3" t="inlineStr">
        <is>
          <t>EPS — consensus</t>
        </is>
      </c>
      <c r="B24" s="48" t="n">
        <v>6.09283</v>
      </c>
      <c r="C24" s="48" t="n">
        <v>6.6002</v>
      </c>
      <c r="D24" s="48" t="n">
        <v>7.15832</v>
      </c>
      <c r="E24" s="48" t="n">
        <v>7.816</v>
      </c>
      <c r="F24" s="48" t="n">
        <v>8.26333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  <c r="F26" s="4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American Water Works Company,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Model!G31</f>
        <v/>
      </c>
      <c r="D12" s="34">
        <f>Model!H31</f>
        <v/>
      </c>
      <c r="E12" s="34">
        <f>Model!I31</f>
        <v/>
      </c>
      <c r="F12" s="34">
        <f>Model!J31</f>
        <v/>
      </c>
      <c r="G12" s="34">
        <f>Model!K31</f>
        <v/>
      </c>
      <c r="H12" s="34">
        <f>Model!L31</f>
        <v/>
      </c>
      <c r="I12" s="34">
        <f>Model!M31</f>
        <v/>
      </c>
      <c r="J12" s="34">
        <f>Model!N31</f>
        <v/>
      </c>
      <c r="K12" s="34">
        <f>Model!O31</f>
        <v/>
      </c>
      <c r="L12" s="34">
        <f>Model!P31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Model!P6</f>
        <v/>
      </c>
    </row>
    <row r="21">
      <c r="A21" s="4" t="inlineStr">
        <is>
          <t>Terminal EBIT</t>
        </is>
      </c>
      <c r="B21" s="34">
        <f>Model!P19</f>
        <v/>
      </c>
    </row>
    <row r="22">
      <c r="A22" s="4" t="inlineStr">
        <is>
          <t>Terminal EBITDA (SBC-burdened)</t>
        </is>
      </c>
      <c r="B22" s="34">
        <f>Model!P19+Model!P24-Model!P25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Financials!AC26</f>
        <v/>
      </c>
    </row>
    <row r="33">
      <c r="A33" s="4" t="inlineStr">
        <is>
          <t>- Long-term debt</t>
        </is>
      </c>
      <c r="B33" s="34">
        <f>-Financials!AC31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0.06179875356046162</v>
      </c>
      <c r="C4" s="52" t="n">
        <v>0.06679875356046162</v>
      </c>
      <c r="D4" s="52" t="n">
        <v>0.07179875356046161</v>
      </c>
      <c r="E4" s="52" t="n">
        <v>0.07679875356046162</v>
      </c>
      <c r="F4" s="52" t="n">
        <v>0.08179875356046162</v>
      </c>
      <c r="G4" s="52" t="n">
        <v>0.08679875356046161</v>
      </c>
      <c r="H4" s="52" t="n">
        <v>0.09179875356046162</v>
      </c>
    </row>
    <row r="5">
      <c r="A5" s="53" t="n">
        <v>10</v>
      </c>
      <c r="B5" s="54" t="n">
        <v>103.0791030133416</v>
      </c>
      <c r="C5" s="54" t="n">
        <v>95.47625352856583</v>
      </c>
      <c r="D5" s="54" t="n">
        <v>88.24851662636026</v>
      </c>
      <c r="E5" s="54" t="n">
        <v>81.37569810250666</v>
      </c>
      <c r="F5" s="54" t="n">
        <v>74.83878039938271</v>
      </c>
      <c r="G5" s="54" t="n">
        <v>68.61984892777473</v>
      </c>
      <c r="H5" s="54" t="n">
        <v>62.70202331769755</v>
      </c>
    </row>
    <row r="6">
      <c r="A6" s="53" t="n">
        <v>11</v>
      </c>
      <c r="B6" s="54" t="n">
        <v>117.3057166685437</v>
      </c>
      <c r="C6" s="54" t="n">
        <v>109.0499662605706</v>
      </c>
      <c r="D6" s="54" t="n">
        <v>101.202137237189</v>
      </c>
      <c r="E6" s="54" t="n">
        <v>93.74024505283728</v>
      </c>
      <c r="F6" s="54" t="n">
        <v>86.64358716625529</v>
      </c>
      <c r="G6" s="54" t="n">
        <v>79.89266271548605</v>
      </c>
      <c r="H6" s="54" t="n">
        <v>73.46909756914926</v>
      </c>
    </row>
    <row r="7">
      <c r="A7" s="53" t="n">
        <v>12</v>
      </c>
      <c r="B7" s="54" t="n">
        <v>131.5323303237458</v>
      </c>
      <c r="C7" s="54" t="n">
        <v>122.6236789925753</v>
      </c>
      <c r="D7" s="54" t="n">
        <v>114.1557578480177</v>
      </c>
      <c r="E7" s="54" t="n">
        <v>106.1047920031679</v>
      </c>
      <c r="F7" s="54" t="n">
        <v>98.44839393312786</v>
      </c>
      <c r="G7" s="54" t="n">
        <v>91.16547650319738</v>
      </c>
      <c r="H7" s="54" t="n">
        <v>84.23617182060096</v>
      </c>
    </row>
    <row r="8">
      <c r="A8" s="53" t="n">
        <v>13</v>
      </c>
      <c r="B8" s="8" t="n">
        <v>145.7589439789479</v>
      </c>
      <c r="C8" s="54" t="n">
        <v>136.19739172458</v>
      </c>
      <c r="D8" s="54" t="n">
        <v>127.1093784588465</v>
      </c>
      <c r="E8" s="55" t="n">
        <v>118.4693389534985</v>
      </c>
      <c r="F8" s="54" t="n">
        <v>110.2532007000004</v>
      </c>
      <c r="G8" s="54" t="n">
        <v>102.4382902909087</v>
      </c>
      <c r="H8" s="54" t="n">
        <v>95.00324607205266</v>
      </c>
    </row>
    <row r="9">
      <c r="A9" s="53" t="n">
        <v>14</v>
      </c>
      <c r="B9" s="8" t="n">
        <v>159.9855576341499</v>
      </c>
      <c r="C9" s="8" t="n">
        <v>149.7711044565847</v>
      </c>
      <c r="D9" s="8" t="n">
        <v>140.0629990696752</v>
      </c>
      <c r="E9" s="54" t="n">
        <v>130.8338859038291</v>
      </c>
      <c r="F9" s="54" t="n">
        <v>122.058007466873</v>
      </c>
      <c r="G9" s="54" t="n">
        <v>113.71110407862</v>
      </c>
      <c r="H9" s="54" t="n">
        <v>105.7703203235043</v>
      </c>
    </row>
    <row r="10">
      <c r="A10" s="53" t="n">
        <v>15</v>
      </c>
      <c r="B10" s="8" t="n">
        <v>174.212171289352</v>
      </c>
      <c r="C10" s="8" t="n">
        <v>163.3448171885893</v>
      </c>
      <c r="D10" s="8" t="n">
        <v>153.016619680504</v>
      </c>
      <c r="E10" s="8" t="n">
        <v>143.1984328541598</v>
      </c>
      <c r="F10" s="54" t="n">
        <v>133.8628142337455</v>
      </c>
      <c r="G10" s="54" t="n">
        <v>124.9839178663313</v>
      </c>
      <c r="H10" s="54" t="n">
        <v>116.537394574956</v>
      </c>
    </row>
    <row r="11">
      <c r="A11" s="53" t="n">
        <v>16</v>
      </c>
      <c r="B11" s="8" t="n">
        <v>188.438784944554</v>
      </c>
      <c r="C11" s="8" t="n">
        <v>176.918529920594</v>
      </c>
      <c r="D11" s="8" t="n">
        <v>165.9702402913327</v>
      </c>
      <c r="E11" s="8" t="n">
        <v>155.5629798044904</v>
      </c>
      <c r="F11" s="8" t="n">
        <v>145.6676210006181</v>
      </c>
      <c r="G11" s="54" t="n">
        <v>136.2567316540426</v>
      </c>
      <c r="H11" s="54" t="n">
        <v>127.3044688264077</v>
      </c>
    </row>
    <row r="13">
      <c r="A13" s="3" t="inlineStr">
        <is>
          <t>Current price</t>
        </is>
      </c>
      <c r="B13" s="54" t="n">
        <v>136.8600006103516</v>
      </c>
    </row>
    <row r="14">
      <c r="A14" s="3" t="inlineStr">
        <is>
          <t>Base WACC / multiple</t>
        </is>
      </c>
      <c r="B14" s="56" t="n">
        <v>0.07679875356046162</v>
      </c>
      <c r="C14" s="57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0.1739299610894942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3.334675615212528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0.02341424184282524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0.9644901745651647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2026-07-06T20:34:18Z</dcterms:created>
  <dcterms:modified xmlns:dcterms="http://purl.org/dc/terms/" xmlns:xsi="http://www.w3.org/2001/XMLSchema-instance" xsi:type="dcterms:W3CDTF">2026-07-06T20:34:18Z</dcterms:modified>
</cp:coreProperties>
</file>