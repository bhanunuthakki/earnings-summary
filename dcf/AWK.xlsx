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36.6%</t>
      </text>
    </comment>
    <comment ref="B30" authorId="0" shapeId="0">
      <text>
        <t>Opus: 37.5%</t>
      </text>
    </comment>
    <comment ref="B31" authorId="0" shapeId="0">
      <text>
        <t>Opus: 21.0%</t>
      </text>
    </comment>
    <comment ref="B34" authorId="0" shapeId="0">
      <text>
        <t>Opus: —
set from Opus 58%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2026-06-12</t>
      </text>
    </comment>
    <comment ref="B44" authorId="0" shapeId="0">
      <text>
        <t>Opus: EV/EBITDA</t>
      </text>
    </comment>
    <comment ref="B45" authorId="0" shapeId="0">
      <text>
        <t>Opus: 13.0x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American Water Works Company, Inc. (AWK)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AWK is a high-quality regulated water utility whose value is driven by sustained rate-base growth funded by heavy infrastructure capex earning an allowed regulatory return. Near-term revenue growth of ~6-7% (anchored to consensus) fades toward a mature ~2.5% as the rate base matures, while stable allowed returns hold operating margins near 37% with modest operating leverage. The persistent capex program keeps free cash flow constrained but underpins durable, low-beta earnings growth.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American Water Works Company, Inc. (AWK)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0.07936055711938791</v>
      </c>
      <c r="C20" s="15" t="n">
        <v>0.05</v>
      </c>
      <c r="D20" s="16" t="n">
        <v>0.07936055711938791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0.366</v>
      </c>
      <c r="D29" s="16" t="n">
        <v>0.366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0.375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3104.60992572</v>
      </c>
      <c r="D34" s="18" t="n">
        <v>3104.60992572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0.634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0.025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135.8300018310547</v>
      </c>
    </row>
    <row r="49">
      <c r="A49" s="4" t="inlineStr">
        <is>
          <t>Growth fade curvature</t>
        </is>
      </c>
      <c r="B49" s="20" t="n">
        <v>2.1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118.6395288299811</v>
      </c>
      <c r="C58" s="28" t="n">
        <v>192.4734039648237</v>
      </c>
      <c r="D58" s="28" t="n">
        <v>61.31306034261458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AWK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AWK is a high-quality regulated water utility whose value is driven by sustained rate-base growth funded by heavy infrastructure capex earning an allowed regulatory return. Near-term revenue growth of ~6-7% (anchored to consensus) fades toward a mature ~2.5% as the rate base matures, while stable allowed returns hold operating margins near 37% with modest operating leverage. The persistent capex program keeps free cash flow constrained but underpins durable, low-beta earnings growth.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drivers are anchored to FMP consensus (revenue fading from ~7% toward a terminal ~2.5% risk-free-anchored rate) and the historical ~36-37% operating margin, with capex/revenue declining from the recent ~61% toward maintenance as the build-out normalizes. I used a perpetuity terminal with an EV/EBITDA cross-check at 13x, the basis the market typically applies to regulated water utilities, reflecting AWK's premium quality and low beta (0.634).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36.6%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37.5%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2026-06-12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s="32" t="inlineStr">
        <is>
          <t>user-edited</t>
        </is>
      </c>
      <c r="E30" t="inlineStr">
        <is>
          <t>Perpetuity</t>
        </is>
      </c>
      <c r="F30" s="31" t="inlineStr">
        <is>
          <t>overridden from Opus Perpetuity on 2026-06-12</t>
        </is>
      </c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13.0x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58%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0.5667315175097276</v>
      </c>
      <c r="H11" s="15" t="n">
        <v>0.5667315175097276</v>
      </c>
      <c r="I11" s="15" t="n">
        <v>0.5667315175097276</v>
      </c>
      <c r="J11" s="15" t="n">
        <v>0.5667315175097276</v>
      </c>
      <c r="K11" s="15" t="n">
        <v>0.5667315175097276</v>
      </c>
      <c r="L11" s="15" t="n">
        <v>0.5667315175097276</v>
      </c>
      <c r="M11" s="15" t="n">
        <v>0.5667315175097276</v>
      </c>
      <c r="N11" s="15" t="n">
        <v>0.5667315175097276</v>
      </c>
      <c r="O11" s="15" t="n">
        <v>0.5667315175097276</v>
      </c>
      <c r="P11" s="15" t="n">
        <v>0.5667315175097276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0.001556420233463035</v>
      </c>
      <c r="H15" s="15" t="n">
        <v>0.001556420233463035</v>
      </c>
      <c r="I15" s="15" t="n">
        <v>0.001556420233463035</v>
      </c>
      <c r="J15" s="15" t="n">
        <v>0.001556420233463035</v>
      </c>
      <c r="K15" s="15" t="n">
        <v>0.001556420233463035</v>
      </c>
      <c r="L15" s="15" t="n">
        <v>0.001556420233463035</v>
      </c>
      <c r="M15" s="15" t="n">
        <v>0.001556420233463035</v>
      </c>
      <c r="N15" s="15" t="n">
        <v>0.001556420233463035</v>
      </c>
      <c r="O15" s="15" t="n">
        <v>0.001556420233463035</v>
      </c>
      <c r="P15" s="15" t="n">
        <v>0.001556420233463035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SUM(Financials!I34:L34)</f>
        <v/>
      </c>
      <c r="C24" s="34">
        <f>SUM(Financials!M34:P34)</f>
        <v/>
      </c>
      <c r="D24" s="34">
        <f>SUM(Financials!Q34:T34)</f>
        <v/>
      </c>
      <c r="E24" s="34">
        <f>SUM(Financials!U34:X34)</f>
        <v/>
      </c>
      <c r="F24" s="34">
        <f>SUM(Financials!Y34:AB34)</f>
        <v/>
      </c>
      <c r="G24" s="42">
        <f>G6*0.1739</f>
        <v/>
      </c>
      <c r="H24" s="42">
        <f>H6*0.1739</f>
        <v/>
      </c>
      <c r="I24" s="42">
        <f>I6*0.1739</f>
        <v/>
      </c>
      <c r="J24" s="42">
        <f>J6*0.1739</f>
        <v/>
      </c>
      <c r="K24" s="42">
        <f>K6*0.1739</f>
        <v/>
      </c>
      <c r="L24" s="42">
        <f>L6*0.1739</f>
        <v/>
      </c>
      <c r="M24" s="42">
        <f>M6*0.1739</f>
        <v/>
      </c>
      <c r="N24" s="42">
        <f>N6*0.1739</f>
        <v/>
      </c>
      <c r="O24" s="42">
        <f>O6*0.1739</f>
        <v/>
      </c>
      <c r="P24" s="42">
        <f>P6*0.1739</f>
        <v/>
      </c>
    </row>
    <row r="25">
      <c r="A25" s="4" t="inlineStr">
        <is>
          <t>+ SBC (non-cash)</t>
        </is>
      </c>
      <c r="B25" s="34">
        <f>SUM(Financials!I35:L35)</f>
        <v/>
      </c>
      <c r="C25" s="34">
        <f>SUM(Financials!M35:P35)</f>
        <v/>
      </c>
      <c r="D25" s="34">
        <f>SUM(Financials!Q35:T35)</f>
        <v/>
      </c>
      <c r="E25" s="34">
        <f>SUM(Financials!U35:X35)</f>
        <v/>
      </c>
      <c r="F25" s="34">
        <f>SUM(Financials!Y35:AB35)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-SUM(Financials!I38:L38)</f>
        <v/>
      </c>
      <c r="C27" s="34">
        <f>-SUM(Financials!M38:P38)</f>
        <v/>
      </c>
      <c r="D27" s="34">
        <f>-SUM(Financials!Q38:T38)</f>
        <v/>
      </c>
      <c r="E27" s="34">
        <f>-SUM(Financials!U38:X38)</f>
        <v/>
      </c>
      <c r="F27" s="34">
        <f>-SUM(Financials!Y38:AB38)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Financials!L32+Financials!L31-Financials!L26</f>
        <v/>
      </c>
      <c r="C34" s="34">
        <f>Financials!P32+Financials!P31-Financials!P26</f>
        <v/>
      </c>
      <c r="D34" s="34">
        <f>Financials!T32+Financials!T31-Financials!T26</f>
        <v/>
      </c>
      <c r="E34" s="34">
        <f>Financials!X32+Financials!X31-Financials!X26</f>
        <v/>
      </c>
      <c r="F34" s="34">
        <f>Financials!AB32+Financials!AB31-Financials!AB26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Financials!L32</f>
        <v/>
      </c>
      <c r="C35" s="34">
        <f>Financials!P32</f>
        <v/>
      </c>
      <c r="D35" s="34">
        <f>Financials!T32</f>
        <v/>
      </c>
      <c r="E35" s="34">
        <f>Financials!X32</f>
        <v/>
      </c>
      <c r="F35" s="34">
        <f>Financials!AB32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882</v>
      </c>
      <c r="C3" s="18" t="n">
        <v>1013</v>
      </c>
      <c r="D3" s="18" t="n">
        <v>902</v>
      </c>
      <c r="E3" s="18" t="n">
        <v>844</v>
      </c>
      <c r="F3" s="18" t="n">
        <v>931</v>
      </c>
      <c r="G3" s="18" t="n">
        <v>1079</v>
      </c>
      <c r="H3" s="18" t="n">
        <v>923</v>
      </c>
      <c r="I3" s="18" t="n">
        <v>888</v>
      </c>
      <c r="J3" s="18" t="n">
        <v>999</v>
      </c>
      <c r="K3" s="18" t="n">
        <v>1092</v>
      </c>
      <c r="L3" s="18" t="n">
        <v>951</v>
      </c>
      <c r="M3" s="18" t="n">
        <v>842</v>
      </c>
      <c r="N3" s="18" t="n">
        <v>937</v>
      </c>
      <c r="O3" s="18" t="n">
        <v>1082</v>
      </c>
      <c r="P3" s="18" t="n">
        <v>931</v>
      </c>
      <c r="Q3" s="18" t="n">
        <v>938</v>
      </c>
      <c r="R3" s="18" t="n">
        <v>1097</v>
      </c>
      <c r="S3" s="18" t="n">
        <v>1167</v>
      </c>
      <c r="T3" s="18" t="n">
        <v>1032</v>
      </c>
      <c r="U3" s="18" t="n">
        <v>1011</v>
      </c>
      <c r="V3" s="18" t="n">
        <v>1149</v>
      </c>
      <c r="W3" s="18" t="n">
        <v>1323</v>
      </c>
      <c r="X3" s="18" t="n">
        <v>1201</v>
      </c>
      <c r="Y3" s="18" t="n">
        <v>1142</v>
      </c>
      <c r="Z3" s="18" t="n">
        <v>1276</v>
      </c>
      <c r="AA3" s="18" t="n">
        <v>1451</v>
      </c>
      <c r="AB3" s="18" t="n">
        <v>1271</v>
      </c>
      <c r="AC3" s="18" t="n">
        <v>1207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372</v>
      </c>
      <c r="C5" s="18" t="n">
        <v>395</v>
      </c>
      <c r="D5" s="18" t="n">
        <v>412</v>
      </c>
      <c r="E5" s="18" t="n">
        <v>383</v>
      </c>
      <c r="F5" s="18" t="n">
        <v>391</v>
      </c>
      <c r="G5" s="18" t="n">
        <v>419</v>
      </c>
      <c r="H5" s="18" t="n">
        <v>429</v>
      </c>
      <c r="I5" s="18" t="n">
        <v>419</v>
      </c>
      <c r="J5" s="18" t="n">
        <v>431</v>
      </c>
      <c r="K5" s="18" t="n">
        <v>436</v>
      </c>
      <c r="L5" s="18" t="n">
        <v>491</v>
      </c>
      <c r="M5" s="18" t="n">
        <v>364</v>
      </c>
      <c r="N5" s="18" t="n">
        <v>376</v>
      </c>
      <c r="O5" s="18" t="n">
        <v>416</v>
      </c>
      <c r="P5" s="18" t="n">
        <v>433</v>
      </c>
      <c r="Q5" s="18" t="n">
        <v>393</v>
      </c>
      <c r="R5" s="18" t="n">
        <v>419</v>
      </c>
      <c r="S5" s="18" t="n">
        <v>436</v>
      </c>
      <c r="T5" s="18" t="n">
        <v>472</v>
      </c>
      <c r="U5" s="18" t="n">
        <v>416</v>
      </c>
      <c r="V5" s="18" t="n">
        <v>427</v>
      </c>
      <c r="W5" s="18" t="n">
        <v>496</v>
      </c>
      <c r="X5" s="18" t="n">
        <v>519</v>
      </c>
      <c r="Y5" s="18" t="n">
        <v>468</v>
      </c>
      <c r="Z5" s="18" t="n">
        <v>480</v>
      </c>
      <c r="AA5" s="18" t="n">
        <v>523</v>
      </c>
      <c r="AB5" s="18" t="n">
        <v>1442</v>
      </c>
      <c r="AC5" s="18" t="n">
        <v>493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</v>
      </c>
      <c r="C9" s="18" t="n">
        <v>4</v>
      </c>
      <c r="D9" s="18" t="n">
        <v>4</v>
      </c>
      <c r="E9" s="18" t="n">
        <v>13</v>
      </c>
      <c r="F9" s="18" t="n">
        <v>12</v>
      </c>
      <c r="G9" s="18" t="n">
        <v>12</v>
      </c>
      <c r="H9" s="18" t="n">
        <v>12</v>
      </c>
      <c r="I9" s="18" t="n">
        <v>20</v>
      </c>
      <c r="J9" s="18" t="n">
        <v>19</v>
      </c>
      <c r="K9" s="18" t="n">
        <v>20</v>
      </c>
      <c r="L9" s="18" t="n">
        <v>19</v>
      </c>
      <c r="M9" s="18" t="n">
        <v>19</v>
      </c>
      <c r="N9" s="18" t="n">
        <v>20</v>
      </c>
      <c r="O9" s="18" t="n">
        <v>19</v>
      </c>
      <c r="P9" s="18" t="n">
        <v>19</v>
      </c>
      <c r="Q9" s="18" t="n">
        <v>9</v>
      </c>
      <c r="R9" s="18" t="n">
        <v>8</v>
      </c>
      <c r="S9" s="18" t="n">
        <v>9</v>
      </c>
      <c r="T9" s="18" t="n">
        <v>6</v>
      </c>
      <c r="U9" s="18" t="n">
        <v>9</v>
      </c>
      <c r="V9" s="18" t="n">
        <v>7</v>
      </c>
      <c r="W9" s="18" t="n">
        <v>7</v>
      </c>
      <c r="X9" s="18" t="n">
        <v>5</v>
      </c>
      <c r="Y9" s="18" t="n">
        <v>4</v>
      </c>
      <c r="Z9" s="18" t="n">
        <v>0</v>
      </c>
      <c r="AA9" s="18" t="n">
        <v>0</v>
      </c>
      <c r="AB9" s="18" t="n">
        <v>4</v>
      </c>
      <c r="AC9" s="18" t="n">
        <v>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510</v>
      </c>
      <c r="C11" s="18" t="n">
        <v>618</v>
      </c>
      <c r="D11" s="18" t="n">
        <v>490</v>
      </c>
      <c r="E11" s="18" t="n">
        <v>461</v>
      </c>
      <c r="F11" s="18" t="n">
        <v>540</v>
      </c>
      <c r="G11" s="18" t="n">
        <v>660</v>
      </c>
      <c r="H11" s="18" t="n">
        <v>494</v>
      </c>
      <c r="I11" s="18" t="n">
        <v>469</v>
      </c>
      <c r="J11" s="18" t="n">
        <v>568</v>
      </c>
      <c r="K11" s="18" t="n">
        <v>656</v>
      </c>
      <c r="L11" s="18" t="n">
        <v>460</v>
      </c>
      <c r="M11" s="18" t="n">
        <v>478</v>
      </c>
      <c r="N11" s="18" t="n">
        <v>561</v>
      </c>
      <c r="O11" s="18" t="n">
        <v>666</v>
      </c>
      <c r="P11" s="18" t="n">
        <v>498</v>
      </c>
      <c r="Q11" s="18" t="n">
        <v>545</v>
      </c>
      <c r="R11" s="18" t="n">
        <v>678</v>
      </c>
      <c r="S11" s="18" t="n">
        <v>731</v>
      </c>
      <c r="T11" s="18" t="n">
        <v>560</v>
      </c>
      <c r="U11" s="18" t="n">
        <v>595</v>
      </c>
      <c r="V11" s="18" t="n">
        <v>722</v>
      </c>
      <c r="W11" s="18" t="n">
        <v>827</v>
      </c>
      <c r="X11" s="18" t="n">
        <v>682</v>
      </c>
      <c r="Y11" s="18" t="n">
        <v>674</v>
      </c>
      <c r="Z11" s="18" t="n">
        <v>796</v>
      </c>
      <c r="AA11" s="18" t="n">
        <v>928</v>
      </c>
      <c r="AB11" s="18" t="n">
        <v>-171</v>
      </c>
      <c r="AC11" s="18" t="n">
        <v>714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302</v>
      </c>
      <c r="C13" s="18" t="n">
        <v>406</v>
      </c>
      <c r="D13" s="18" t="n">
        <v>224</v>
      </c>
      <c r="E13" s="18" t="n">
        <v>239</v>
      </c>
      <c r="F13" s="18" t="n">
        <v>313</v>
      </c>
      <c r="G13" s="18" t="n">
        <v>433</v>
      </c>
      <c r="H13" s="18" t="n">
        <v>263</v>
      </c>
      <c r="I13" s="18" t="n">
        <v>229</v>
      </c>
      <c r="J13" s="18" t="n">
        <v>330</v>
      </c>
      <c r="K13" s="18" t="n">
        <v>417</v>
      </c>
      <c r="L13" s="18" t="n">
        <v>220</v>
      </c>
      <c r="M13" s="18" t="n">
        <v>246</v>
      </c>
      <c r="N13" s="18" t="n">
        <v>327</v>
      </c>
      <c r="O13" s="18" t="n">
        <v>439</v>
      </c>
      <c r="P13" s="18" t="n">
        <v>261</v>
      </c>
      <c r="Q13" s="18" t="n">
        <v>295</v>
      </c>
      <c r="R13" s="18" t="n">
        <v>432</v>
      </c>
      <c r="S13" s="18" t="n">
        <v>478</v>
      </c>
      <c r="T13" s="18" t="n">
        <v>299</v>
      </c>
      <c r="U13" s="18" t="n">
        <v>326</v>
      </c>
      <c r="V13" s="18" t="n">
        <v>449</v>
      </c>
      <c r="W13" s="18" t="n">
        <v>543</v>
      </c>
      <c r="X13" s="18" t="n">
        <v>400</v>
      </c>
      <c r="Y13" s="18" t="n">
        <v>371</v>
      </c>
      <c r="Z13" s="18" t="n">
        <v>489</v>
      </c>
      <c r="AA13" s="18" t="n">
        <v>614</v>
      </c>
      <c r="AB13" s="18" t="n">
        <v>405</v>
      </c>
      <c r="AC13" s="18" t="n">
        <v>391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170</v>
      </c>
      <c r="C15" s="18" t="n">
        <v>240</v>
      </c>
      <c r="D15" s="18" t="n">
        <v>98</v>
      </c>
      <c r="E15" s="18" t="n">
        <v>124</v>
      </c>
      <c r="F15" s="18" t="n">
        <v>176</v>
      </c>
      <c r="G15" s="18" t="n">
        <v>264</v>
      </c>
      <c r="H15" s="18" t="n">
        <v>145</v>
      </c>
      <c r="I15" s="18" t="n">
        <v>133</v>
      </c>
      <c r="J15" s="18" t="n">
        <v>207</v>
      </c>
      <c r="K15" s="18" t="n">
        <v>278</v>
      </c>
      <c r="L15" s="18" t="n">
        <v>645</v>
      </c>
      <c r="M15" s="18" t="n">
        <v>158</v>
      </c>
      <c r="N15" s="18" t="n">
        <v>218</v>
      </c>
      <c r="O15" s="18" t="n">
        <v>297</v>
      </c>
      <c r="P15" s="18" t="n">
        <v>147</v>
      </c>
      <c r="Q15" s="18" t="n">
        <v>170</v>
      </c>
      <c r="R15" s="18" t="n">
        <v>280</v>
      </c>
      <c r="S15" s="18" t="n">
        <v>323</v>
      </c>
      <c r="T15" s="18" t="n">
        <v>171</v>
      </c>
      <c r="U15" s="18" t="n">
        <v>185</v>
      </c>
      <c r="V15" s="18" t="n">
        <v>277</v>
      </c>
      <c r="W15" s="18" t="n">
        <v>350</v>
      </c>
      <c r="X15" s="18" t="n">
        <v>239</v>
      </c>
      <c r="Y15" s="18" t="n">
        <v>205</v>
      </c>
      <c r="Z15" s="18" t="n">
        <v>289</v>
      </c>
      <c r="AA15" s="18" t="n">
        <v>379</v>
      </c>
      <c r="AB15" s="18" t="n">
        <v>238</v>
      </c>
      <c r="AC15" s="18" t="n">
        <v>196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181</v>
      </c>
      <c r="C17" s="18" t="n">
        <v>181</v>
      </c>
      <c r="D17" s="18" t="n">
        <v>181</v>
      </c>
      <c r="E17" s="18" t="n">
        <v>181</v>
      </c>
      <c r="F17" s="18" t="n">
        <v>181</v>
      </c>
      <c r="G17" s="18" t="n">
        <v>182</v>
      </c>
      <c r="H17" s="18" t="n">
        <v>181</v>
      </c>
      <c r="I17" s="18" t="n">
        <v>182</v>
      </c>
      <c r="J17" s="18" t="n">
        <v>182</v>
      </c>
      <c r="K17" s="18" t="n">
        <v>182</v>
      </c>
      <c r="L17" s="18" t="n">
        <v>182</v>
      </c>
      <c r="M17" s="18" t="n">
        <v>182</v>
      </c>
      <c r="N17" s="18" t="n">
        <v>182</v>
      </c>
      <c r="O17" s="18" t="n">
        <v>182</v>
      </c>
      <c r="P17" s="18" t="n">
        <v>182</v>
      </c>
      <c r="Q17" s="18" t="n">
        <v>186</v>
      </c>
      <c r="R17" s="18" t="n">
        <v>195</v>
      </c>
      <c r="S17" s="18" t="n">
        <v>195</v>
      </c>
      <c r="T17" s="18" t="n">
        <v>195</v>
      </c>
      <c r="U17" s="18" t="n">
        <v>195</v>
      </c>
      <c r="V17" s="18" t="n">
        <v>195</v>
      </c>
      <c r="W17" s="18" t="n">
        <v>195</v>
      </c>
      <c r="X17" s="18" t="n">
        <v>195</v>
      </c>
      <c r="Y17" s="18" t="n">
        <v>195</v>
      </c>
      <c r="Z17" s="18" t="n">
        <v>195</v>
      </c>
      <c r="AA17" s="18" t="n">
        <v>195</v>
      </c>
      <c r="AB17" s="18" t="n">
        <v>195</v>
      </c>
      <c r="AC17" s="18" t="n">
        <v>195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WEST VIRGINIA</t>
        </is>
      </c>
      <c r="AC19" s="18" t="n">
        <v>20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CALIFORNIA</t>
        </is>
      </c>
      <c r="Z22" s="18" t="n">
        <v>17</v>
      </c>
      <c r="AA22" s="18" t="n">
        <v>17</v>
      </c>
      <c r="AB22" s="18" t="n">
        <v>0</v>
      </c>
      <c r="AC22" s="18" t="n">
        <v>14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64</v>
      </c>
      <c r="C26" s="18" t="n">
        <v>94</v>
      </c>
      <c r="D26" s="18" t="n">
        <v>60</v>
      </c>
      <c r="E26" s="18" t="n">
        <v>556</v>
      </c>
      <c r="F26" s="18" t="n">
        <v>569</v>
      </c>
      <c r="G26" s="18" t="n">
        <v>560</v>
      </c>
      <c r="H26" s="18" t="n">
        <v>547</v>
      </c>
      <c r="I26" s="18" t="n">
        <v>69</v>
      </c>
      <c r="J26" s="18" t="n">
        <v>70</v>
      </c>
      <c r="K26" s="18" t="n">
        <v>70</v>
      </c>
      <c r="L26" s="18" t="n">
        <v>116</v>
      </c>
      <c r="M26" s="18" t="n">
        <v>75</v>
      </c>
      <c r="N26" s="18" t="n">
        <v>71</v>
      </c>
      <c r="O26" s="18" t="n">
        <v>77</v>
      </c>
      <c r="P26" s="18" t="n">
        <v>85</v>
      </c>
      <c r="Q26" s="18" t="n">
        <v>213</v>
      </c>
      <c r="R26" s="18" t="n">
        <v>794</v>
      </c>
      <c r="S26" s="18" t="n">
        <v>628</v>
      </c>
      <c r="T26" s="18" t="n">
        <v>330</v>
      </c>
      <c r="U26" s="18" t="n">
        <v>584</v>
      </c>
      <c r="V26" s="18" t="n">
        <v>48</v>
      </c>
      <c r="W26" s="18" t="n">
        <v>127</v>
      </c>
      <c r="X26" s="18" t="n">
        <v>96</v>
      </c>
      <c r="Y26" s="18" t="n">
        <v>114</v>
      </c>
      <c r="Z26" s="18" t="n">
        <v>192</v>
      </c>
      <c r="AA26" s="18" t="n">
        <v>256</v>
      </c>
      <c r="AB26" s="18" t="n">
        <v>174</v>
      </c>
      <c r="AC26" s="18" t="n">
        <v>137</v>
      </c>
    </row>
    <row r="27">
      <c r="A27" s="4" t="inlineStr">
        <is>
          <t>Total Current Assets</t>
        </is>
      </c>
      <c r="B27" s="18" t="n">
        <v>741</v>
      </c>
      <c r="C27" s="18" t="n">
        <v>799</v>
      </c>
      <c r="D27" s="18" t="n">
        <v>1285</v>
      </c>
      <c r="E27" s="18" t="n">
        <v>1801</v>
      </c>
      <c r="F27" s="18" t="n">
        <v>1896</v>
      </c>
      <c r="G27" s="18" t="n">
        <v>1967</v>
      </c>
      <c r="H27" s="18" t="n">
        <v>1906</v>
      </c>
      <c r="I27" s="18" t="n">
        <v>1466</v>
      </c>
      <c r="J27" s="18" t="n">
        <v>1570</v>
      </c>
      <c r="K27" s="18" t="n">
        <v>1590</v>
      </c>
      <c r="L27" s="18" t="n">
        <v>1554</v>
      </c>
      <c r="M27" s="18" t="n">
        <v>853</v>
      </c>
      <c r="N27" s="18" t="n">
        <v>1018</v>
      </c>
      <c r="O27" s="18" t="n">
        <v>1017</v>
      </c>
      <c r="P27" s="18" t="n">
        <v>1250</v>
      </c>
      <c r="Q27" s="18" t="n">
        <v>1338</v>
      </c>
      <c r="R27" s="18" t="n">
        <v>1989</v>
      </c>
      <c r="S27" s="18" t="n">
        <v>1804</v>
      </c>
      <c r="T27" s="18" t="n">
        <v>1389</v>
      </c>
      <c r="U27" s="18" t="n">
        <v>1587</v>
      </c>
      <c r="V27" s="18" t="n">
        <v>1165</v>
      </c>
      <c r="W27" s="18" t="n">
        <v>1237</v>
      </c>
      <c r="X27" s="18" t="n">
        <v>1215</v>
      </c>
      <c r="Y27" s="18" t="n">
        <v>1194</v>
      </c>
      <c r="Z27" s="18" t="n">
        <v>1399</v>
      </c>
      <c r="AA27" s="18" t="n">
        <v>1552</v>
      </c>
      <c r="AB27" s="18" t="n">
        <v>2191</v>
      </c>
      <c r="AC27" s="18" t="n">
        <v>1524</v>
      </c>
    </row>
    <row r="28">
      <c r="A28" s="4" t="inlineStr">
        <is>
          <t>PP&amp;E (net)</t>
        </is>
      </c>
      <c r="B28" s="18" t="n">
        <v>17910</v>
      </c>
      <c r="C28" s="18" t="n">
        <v>18260</v>
      </c>
      <c r="D28" s="18" t="n">
        <v>18335</v>
      </c>
      <c r="E28" s="18" t="n">
        <v>18689</v>
      </c>
      <c r="F28" s="18" t="n">
        <v>19043</v>
      </c>
      <c r="G28" s="18" t="n">
        <v>19364</v>
      </c>
      <c r="H28" s="18" t="n">
        <v>19805</v>
      </c>
      <c r="I28" s="18" t="n">
        <v>20003</v>
      </c>
      <c r="J28" s="18" t="n">
        <v>20308</v>
      </c>
      <c r="K28" s="18" t="n">
        <v>20680</v>
      </c>
      <c r="L28" s="18" t="n">
        <v>21176</v>
      </c>
      <c r="M28" s="18" t="n">
        <v>21489</v>
      </c>
      <c r="N28" s="18" t="n">
        <v>22193</v>
      </c>
      <c r="O28" s="18" t="n">
        <v>22726</v>
      </c>
      <c r="P28" s="18" t="n">
        <v>23305</v>
      </c>
      <c r="Q28" s="18" t="n">
        <v>23715</v>
      </c>
      <c r="R28" s="18" t="n">
        <v>24271</v>
      </c>
      <c r="S28" s="18" t="n">
        <v>24774</v>
      </c>
      <c r="T28" s="18" t="n">
        <v>25524</v>
      </c>
      <c r="U28" s="18" t="n">
        <v>26113</v>
      </c>
      <c r="V28" s="18" t="n">
        <v>26622</v>
      </c>
      <c r="W28" s="18" t="n">
        <v>27096</v>
      </c>
      <c r="X28" s="18" t="n">
        <v>28127</v>
      </c>
      <c r="Y28" s="18" t="n">
        <v>28464</v>
      </c>
      <c r="Z28" s="18" t="n">
        <v>29021</v>
      </c>
      <c r="AA28" s="18" t="n">
        <v>29699</v>
      </c>
      <c r="AB28" s="18" t="n">
        <v>0</v>
      </c>
      <c r="AC28" s="18" t="n">
        <v>31155</v>
      </c>
    </row>
    <row r="29">
      <c r="A29" s="4" t="inlineStr">
        <is>
          <t>Total Assets</t>
        </is>
      </c>
      <c r="B29" s="18" t="n">
        <v>21854</v>
      </c>
      <c r="C29" s="18" t="n">
        <v>22238</v>
      </c>
      <c r="D29" s="18" t="n">
        <v>22682</v>
      </c>
      <c r="E29" s="18" t="n">
        <v>23546</v>
      </c>
      <c r="F29" s="18" t="n">
        <v>24009</v>
      </c>
      <c r="G29" s="18" t="n">
        <v>24394</v>
      </c>
      <c r="H29" s="18" t="n">
        <v>24766</v>
      </c>
      <c r="I29" s="18" t="n">
        <v>24525</v>
      </c>
      <c r="J29" s="18" t="n">
        <v>24952</v>
      </c>
      <c r="K29" s="18" t="n">
        <v>25333</v>
      </c>
      <c r="L29" s="18" t="n">
        <v>26075</v>
      </c>
      <c r="M29" s="18" t="n">
        <v>25694</v>
      </c>
      <c r="N29" s="18" t="n">
        <v>26574</v>
      </c>
      <c r="O29" s="18" t="n">
        <v>27126</v>
      </c>
      <c r="P29" s="18" t="n">
        <v>27787</v>
      </c>
      <c r="Q29" s="18" t="n">
        <v>28286</v>
      </c>
      <c r="R29" s="18" t="n">
        <v>29496</v>
      </c>
      <c r="S29" s="18" t="n">
        <v>29818</v>
      </c>
      <c r="T29" s="18" t="n">
        <v>30298</v>
      </c>
      <c r="U29" s="18" t="n">
        <v>31086</v>
      </c>
      <c r="V29" s="18" t="n">
        <v>31215</v>
      </c>
      <c r="W29" s="18" t="n">
        <v>31790</v>
      </c>
      <c r="X29" s="18" t="n">
        <v>32830</v>
      </c>
      <c r="Y29" s="18" t="n">
        <v>33156</v>
      </c>
      <c r="Z29" s="18" t="n">
        <v>33913</v>
      </c>
      <c r="AA29" s="18" t="n">
        <v>34748</v>
      </c>
      <c r="AB29" s="18" t="n">
        <v>36525</v>
      </c>
      <c r="AC29" s="18" t="n">
        <v>35264</v>
      </c>
    </row>
    <row r="30">
      <c r="A30" s="4" t="inlineStr">
        <is>
          <t>Total Current Liabilities</t>
        </is>
      </c>
      <c r="B30" s="18" t="n">
        <v>1317</v>
      </c>
      <c r="C30" s="18" t="n">
        <v>1488</v>
      </c>
      <c r="D30" s="18" t="n">
        <v>2045</v>
      </c>
      <c r="E30" s="18" t="n">
        <v>2767</v>
      </c>
      <c r="F30" s="18" t="n">
        <v>2113</v>
      </c>
      <c r="G30" s="18" t="n">
        <v>2260</v>
      </c>
      <c r="H30" s="18" t="n">
        <v>2881</v>
      </c>
      <c r="I30" s="18" t="n">
        <v>2451</v>
      </c>
      <c r="J30" s="18" t="n">
        <v>1710</v>
      </c>
      <c r="K30" s="18" t="n">
        <v>1844</v>
      </c>
      <c r="L30" s="18" t="n">
        <v>2141</v>
      </c>
      <c r="M30" s="18" t="n">
        <v>1648</v>
      </c>
      <c r="N30" s="18" t="n">
        <v>1728</v>
      </c>
      <c r="O30" s="18" t="n">
        <v>2130</v>
      </c>
      <c r="P30" s="18" t="n">
        <v>2811</v>
      </c>
      <c r="Q30" s="18" t="n">
        <v>1892</v>
      </c>
      <c r="R30" s="18" t="n">
        <v>1764</v>
      </c>
      <c r="S30" s="18" t="n">
        <v>1743</v>
      </c>
      <c r="T30" s="18" t="n">
        <v>2151</v>
      </c>
      <c r="U30" s="18" t="n">
        <v>1857</v>
      </c>
      <c r="V30" s="18" t="n">
        <v>1825</v>
      </c>
      <c r="W30" s="18" t="n">
        <v>2132</v>
      </c>
      <c r="X30" s="18" t="n">
        <v>3150</v>
      </c>
      <c r="Y30" s="18" t="n">
        <v>2447</v>
      </c>
      <c r="Z30" s="18" t="n">
        <v>3991</v>
      </c>
      <c r="AA30" s="18" t="n">
        <v>3687</v>
      </c>
      <c r="AB30" s="18" t="n">
        <v>4747</v>
      </c>
      <c r="AC30" s="18" t="n">
        <v>4118</v>
      </c>
    </row>
    <row r="31">
      <c r="A31" s="4" t="inlineStr">
        <is>
          <t>Long-term Debt</t>
        </is>
      </c>
      <c r="B31" s="18" t="n">
        <v>8642</v>
      </c>
      <c r="C31" s="18" t="n">
        <v>8640</v>
      </c>
      <c r="D31" s="18" t="n">
        <v>8639</v>
      </c>
      <c r="E31" s="18" t="n">
        <v>8621</v>
      </c>
      <c r="F31" s="18" t="n">
        <v>9589</v>
      </c>
      <c r="G31" s="18" t="n">
        <v>9580</v>
      </c>
      <c r="H31" s="18" t="n">
        <v>9329</v>
      </c>
      <c r="I31" s="18" t="n">
        <v>9325</v>
      </c>
      <c r="J31" s="18" t="n">
        <v>10343</v>
      </c>
      <c r="K31" s="18" t="n">
        <v>10349</v>
      </c>
      <c r="L31" s="18" t="n">
        <v>10341</v>
      </c>
      <c r="M31" s="18" t="n">
        <v>10347</v>
      </c>
      <c r="N31" s="18" t="n">
        <v>11023</v>
      </c>
      <c r="O31" s="18" t="n">
        <v>10940</v>
      </c>
      <c r="P31" s="18" t="n">
        <v>10926</v>
      </c>
      <c r="Q31" s="18" t="n">
        <v>10485</v>
      </c>
      <c r="R31" s="18" t="n">
        <v>11607</v>
      </c>
      <c r="S31" s="18" t="n">
        <v>11698</v>
      </c>
      <c r="T31" s="18" t="n">
        <v>11715</v>
      </c>
      <c r="U31" s="18" t="n">
        <v>12566</v>
      </c>
      <c r="V31" s="18" t="n">
        <v>12553</v>
      </c>
      <c r="W31" s="18" t="n">
        <v>12550</v>
      </c>
      <c r="X31" s="18" t="n">
        <v>12518</v>
      </c>
      <c r="Y31" s="18" t="n">
        <v>13318</v>
      </c>
      <c r="Z31" s="18" t="n">
        <v>12278</v>
      </c>
      <c r="AA31" s="18" t="n">
        <v>13025</v>
      </c>
      <c r="AB31" s="18" t="n">
        <v>12851</v>
      </c>
      <c r="AC31" s="18" t="n">
        <v>12766</v>
      </c>
    </row>
    <row r="32">
      <c r="A32" s="4" t="inlineStr">
        <is>
          <t>Total Equity</t>
        </is>
      </c>
      <c r="B32" s="18" t="n">
        <v>6027</v>
      </c>
      <c r="C32" s="18" t="n">
        <v>6190</v>
      </c>
      <c r="D32" s="18" t="n">
        <v>6121</v>
      </c>
      <c r="E32" s="18" t="n">
        <v>6243</v>
      </c>
      <c r="F32" s="18" t="n">
        <v>6338</v>
      </c>
      <c r="G32" s="18" t="n">
        <v>6512</v>
      </c>
      <c r="H32" s="18" t="n">
        <v>6454</v>
      </c>
      <c r="I32" s="18" t="n">
        <v>6583</v>
      </c>
      <c r="J32" s="18" t="n">
        <v>6690</v>
      </c>
      <c r="K32" s="18" t="n">
        <v>6866</v>
      </c>
      <c r="L32" s="18" t="n">
        <v>7298</v>
      </c>
      <c r="M32" s="18" t="n">
        <v>7460</v>
      </c>
      <c r="N32" s="18" t="n">
        <v>7570</v>
      </c>
      <c r="O32" s="18" t="n">
        <v>7758</v>
      </c>
      <c r="P32" s="18" t="n">
        <v>7693</v>
      </c>
      <c r="Q32" s="18" t="n">
        <v>9547</v>
      </c>
      <c r="R32" s="18" t="n">
        <v>9701</v>
      </c>
      <c r="S32" s="18" t="n">
        <v>9897</v>
      </c>
      <c r="T32" s="18" t="n">
        <v>9797</v>
      </c>
      <c r="U32" s="18" t="n">
        <v>10007</v>
      </c>
      <c r="V32" s="18" t="n">
        <v>10152</v>
      </c>
      <c r="W32" s="18" t="n">
        <v>10362</v>
      </c>
      <c r="X32" s="18" t="n">
        <v>10332</v>
      </c>
      <c r="Y32" s="18" t="n">
        <v>10534</v>
      </c>
      <c r="Z32" s="18" t="n">
        <v>10682</v>
      </c>
      <c r="AA32" s="18" t="n">
        <v>10907</v>
      </c>
      <c r="AB32" s="18" t="n">
        <v>10837</v>
      </c>
      <c r="AC32" s="18" t="n">
        <v>11037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142</v>
      </c>
      <c r="C34" s="18" t="n">
        <v>144</v>
      </c>
      <c r="D34" s="18" t="n">
        <v>152</v>
      </c>
      <c r="E34" s="18" t="n">
        <v>145</v>
      </c>
      <c r="F34" s="18" t="n">
        <v>152</v>
      </c>
      <c r="G34" s="18" t="n">
        <v>154</v>
      </c>
      <c r="H34" s="18" t="n">
        <v>153</v>
      </c>
      <c r="I34" s="18" t="n">
        <v>157</v>
      </c>
      <c r="J34" s="18" t="n">
        <v>158</v>
      </c>
      <c r="K34" s="18" t="n">
        <v>161</v>
      </c>
      <c r="L34" s="18" t="n">
        <v>160</v>
      </c>
      <c r="M34" s="18" t="n">
        <v>158</v>
      </c>
      <c r="N34" s="18" t="n">
        <v>163</v>
      </c>
      <c r="O34" s="18" t="n">
        <v>164</v>
      </c>
      <c r="P34" s="18" t="n">
        <v>164</v>
      </c>
      <c r="Q34" s="18" t="n">
        <v>172</v>
      </c>
      <c r="R34" s="18" t="n">
        <v>174</v>
      </c>
      <c r="S34" s="18" t="n">
        <v>177</v>
      </c>
      <c r="T34" s="18" t="n">
        <v>181</v>
      </c>
      <c r="U34" s="18" t="n">
        <v>188</v>
      </c>
      <c r="V34" s="18" t="n">
        <v>193</v>
      </c>
      <c r="W34" s="18" t="n">
        <v>200</v>
      </c>
      <c r="X34" s="18" t="n">
        <v>207</v>
      </c>
      <c r="Y34" s="18" t="n">
        <v>216</v>
      </c>
      <c r="Z34" s="18" t="n">
        <v>221</v>
      </c>
      <c r="AA34" s="18" t="n">
        <v>226</v>
      </c>
      <c r="AB34" s="18" t="n">
        <v>231</v>
      </c>
      <c r="AC34" s="18" t="n">
        <v>237</v>
      </c>
    </row>
    <row r="35">
      <c r="A35" s="4" t="inlineStr">
        <is>
          <t>Stock-based Compensation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18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18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18" t="n">
        <v>0</v>
      </c>
      <c r="V35" s="18" t="n">
        <v>0</v>
      </c>
      <c r="W35" s="18" t="n">
        <v>0</v>
      </c>
      <c r="X35" s="18" t="n">
        <v>0</v>
      </c>
      <c r="Y35" s="18" t="n">
        <v>0</v>
      </c>
      <c r="Z35" s="18" t="n">
        <v>0</v>
      </c>
      <c r="AA35" s="18" t="n">
        <v>0</v>
      </c>
      <c r="AB35" s="18" t="n">
        <v>0</v>
      </c>
      <c r="AC35" s="18" t="n">
        <v>0</v>
      </c>
    </row>
    <row r="36">
      <c r="A36" s="4" t="inlineStr">
        <is>
          <t>Change in Working Capital</t>
        </is>
      </c>
      <c r="B36" s="18" t="n">
        <v>-36</v>
      </c>
      <c r="C36" s="18" t="n">
        <v>-4</v>
      </c>
      <c r="D36" s="18" t="n">
        <v>76</v>
      </c>
      <c r="E36" s="18" t="n">
        <v>-114</v>
      </c>
      <c r="F36" s="18" t="n">
        <v>-18</v>
      </c>
      <c r="G36" s="18" t="n">
        <v>-44</v>
      </c>
      <c r="H36" s="18" t="n">
        <v>82</v>
      </c>
      <c r="I36" s="18" t="n">
        <v>-97</v>
      </c>
      <c r="J36" s="18" t="n">
        <v>-57</v>
      </c>
      <c r="K36" s="18" t="n">
        <v>5</v>
      </c>
      <c r="L36" s="18" t="n">
        <v>235</v>
      </c>
      <c r="M36" s="18" t="n">
        <v>-90</v>
      </c>
      <c r="N36" s="18" t="n">
        <v>-361</v>
      </c>
      <c r="O36" s="18" t="n">
        <v>95</v>
      </c>
      <c r="P36" s="18" t="n">
        <v>-50</v>
      </c>
      <c r="Q36" s="18" t="n">
        <v>-51</v>
      </c>
      <c r="R36" s="18" t="n">
        <v>-71</v>
      </c>
      <c r="S36" s="18" t="n">
        <v>57</v>
      </c>
      <c r="T36" s="18" t="n">
        <v>92</v>
      </c>
      <c r="U36" s="18" t="n">
        <v>-8</v>
      </c>
      <c r="V36" s="18" t="n">
        <v>-125</v>
      </c>
      <c r="W36" s="18" t="n">
        <v>34</v>
      </c>
      <c r="X36" s="18" t="n">
        <v>87</v>
      </c>
      <c r="Y36" s="18" t="n">
        <v>-93</v>
      </c>
      <c r="Z36" s="18" t="n">
        <v>-238</v>
      </c>
      <c r="AA36" s="18" t="n">
        <v>56</v>
      </c>
      <c r="AB36" s="18" t="n">
        <v>175</v>
      </c>
      <c r="AC36" s="18" t="n">
        <v>-22</v>
      </c>
    </row>
    <row r="37">
      <c r="A37" s="4" t="inlineStr">
        <is>
          <t>Operating Cash Flow</t>
        </is>
      </c>
      <c r="B37" s="18" t="n">
        <v>312</v>
      </c>
      <c r="C37" s="18" t="n">
        <v>465</v>
      </c>
      <c r="D37" s="18" t="n">
        <v>438</v>
      </c>
      <c r="E37" s="18" t="n">
        <v>180</v>
      </c>
      <c r="F37" s="18" t="n">
        <v>351</v>
      </c>
      <c r="G37" s="18" t="n">
        <v>457</v>
      </c>
      <c r="H37" s="18" t="n">
        <v>438</v>
      </c>
      <c r="I37" s="18" t="n">
        <v>179</v>
      </c>
      <c r="J37" s="18" t="n">
        <v>341</v>
      </c>
      <c r="K37" s="18" t="n">
        <v>509</v>
      </c>
      <c r="L37" s="18" t="n">
        <v>412</v>
      </c>
      <c r="M37" s="18" t="n">
        <v>154</v>
      </c>
      <c r="N37" s="18" t="n">
        <v>42</v>
      </c>
      <c r="O37" s="18" t="n">
        <v>568</v>
      </c>
      <c r="P37" s="18" t="n">
        <v>344</v>
      </c>
      <c r="Q37" s="18" t="n">
        <v>285</v>
      </c>
      <c r="R37" s="18" t="n">
        <v>429</v>
      </c>
      <c r="S37" s="18" t="n">
        <v>633</v>
      </c>
      <c r="T37" s="18" t="n">
        <v>527</v>
      </c>
      <c r="U37" s="18" t="n">
        <v>382</v>
      </c>
      <c r="V37" s="18" t="n">
        <v>345</v>
      </c>
      <c r="W37" s="18" t="n">
        <v>679</v>
      </c>
      <c r="X37" s="18" t="n">
        <v>639</v>
      </c>
      <c r="Y37" s="18" t="n">
        <v>331</v>
      </c>
      <c r="Z37" s="18" t="n">
        <v>301</v>
      </c>
      <c r="AA37" s="18" t="n">
        <v>764</v>
      </c>
      <c r="AB37" s="18" t="n">
        <v>663</v>
      </c>
      <c r="AC37" s="18" t="n">
        <v>305</v>
      </c>
    </row>
    <row r="38">
      <c r="A38" s="4" t="inlineStr">
        <is>
          <t>Capex</t>
        </is>
      </c>
      <c r="B38" s="18" t="n">
        <v>-409</v>
      </c>
      <c r="C38" s="18" t="n">
        <v>-433</v>
      </c>
      <c r="D38" s="18" t="n">
        <v>-572</v>
      </c>
      <c r="E38" s="18" t="n">
        <v>-431</v>
      </c>
      <c r="F38" s="18" t="n">
        <v>-489</v>
      </c>
      <c r="G38" s="18" t="n">
        <v>-469</v>
      </c>
      <c r="H38" s="18" t="n">
        <v>-539</v>
      </c>
      <c r="I38" s="18" t="n">
        <v>-360</v>
      </c>
      <c r="J38" s="18" t="n">
        <v>-435</v>
      </c>
      <c r="K38" s="18" t="n">
        <v>-480</v>
      </c>
      <c r="L38" s="18" t="n">
        <v>-598</v>
      </c>
      <c r="M38" s="18" t="n">
        <v>-444</v>
      </c>
      <c r="N38" s="18" t="n">
        <v>-600</v>
      </c>
      <c r="O38" s="18" t="n">
        <v>-638</v>
      </c>
      <c r="P38" s="18" t="n">
        <v>-738</v>
      </c>
      <c r="Q38" s="18" t="n">
        <v>-557</v>
      </c>
      <c r="R38" s="18" t="n">
        <v>-674</v>
      </c>
      <c r="S38" s="18" t="n">
        <v>-661</v>
      </c>
      <c r="T38" s="18" t="n">
        <v>-842</v>
      </c>
      <c r="U38" s="18" t="n">
        <v>-609</v>
      </c>
      <c r="V38" s="18" t="n">
        <v>-670</v>
      </c>
      <c r="W38" s="18" t="n">
        <v>-722</v>
      </c>
      <c r="X38" s="18" t="n">
        <v>-934</v>
      </c>
      <c r="Y38" s="18" t="n">
        <v>-548</v>
      </c>
      <c r="Z38" s="18" t="n">
        <v>-733</v>
      </c>
      <c r="AA38" s="18" t="n">
        <v>-797</v>
      </c>
      <c r="AB38" s="18" t="n">
        <v>-1048</v>
      </c>
      <c r="AC38" s="18" t="n">
        <v>-659</v>
      </c>
    </row>
    <row r="39">
      <c r="A39" s="4" t="inlineStr">
        <is>
          <t>Free Cash Flow</t>
        </is>
      </c>
      <c r="B39" s="18" t="n">
        <v>-97</v>
      </c>
      <c r="C39" s="18" t="n">
        <v>32</v>
      </c>
      <c r="D39" s="18" t="n">
        <v>-134</v>
      </c>
      <c r="E39" s="18" t="n">
        <v>-251</v>
      </c>
      <c r="F39" s="18" t="n">
        <v>-138</v>
      </c>
      <c r="G39" s="18" t="n">
        <v>-12</v>
      </c>
      <c r="H39" s="18" t="n">
        <v>-101</v>
      </c>
      <c r="I39" s="18" t="n">
        <v>-181</v>
      </c>
      <c r="J39" s="18" t="n">
        <v>-94</v>
      </c>
      <c r="K39" s="18" t="n">
        <v>29</v>
      </c>
      <c r="L39" s="18" t="n">
        <v>-186</v>
      </c>
      <c r="M39" s="18" t="n">
        <v>-290</v>
      </c>
      <c r="N39" s="18" t="n">
        <v>-558</v>
      </c>
      <c r="O39" s="18" t="n">
        <v>-70</v>
      </c>
      <c r="P39" s="18" t="n">
        <v>-394</v>
      </c>
      <c r="Q39" s="18" t="n">
        <v>-272</v>
      </c>
      <c r="R39" s="18" t="n">
        <v>-245</v>
      </c>
      <c r="S39" s="18" t="n">
        <v>-28</v>
      </c>
      <c r="T39" s="18" t="n">
        <v>-315</v>
      </c>
      <c r="U39" s="18" t="n">
        <v>-227</v>
      </c>
      <c r="V39" s="18" t="n">
        <v>-325</v>
      </c>
      <c r="W39" s="18" t="n">
        <v>-43</v>
      </c>
      <c r="X39" s="18" t="n">
        <v>-295</v>
      </c>
      <c r="Y39" s="18" t="n">
        <v>-217</v>
      </c>
      <c r="Z39" s="18" t="n">
        <v>-432</v>
      </c>
      <c r="AA39" s="18" t="n">
        <v>-33</v>
      </c>
      <c r="AB39" s="18" t="n">
        <v>-385</v>
      </c>
      <c r="AC39" s="18" t="n">
        <v>-354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5352.775734</v>
      </c>
      <c r="C4" s="18" t="n">
        <v>5722.921335</v>
      </c>
      <c r="D4" s="18" t="n">
        <v>6070.950839</v>
      </c>
      <c r="E4" s="18" t="n">
        <v>6998.5</v>
      </c>
      <c r="F4" s="18" t="n">
        <v>7507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2869.173283</v>
      </c>
      <c r="C8" s="18" t="n">
        <v>3067.577236</v>
      </c>
      <c r="D8" s="18" t="n">
        <v>3254.126609</v>
      </c>
      <c r="E8" s="18" t="n">
        <v>3751.307773</v>
      </c>
      <c r="F8" s="18" t="n">
        <v>4023.871895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1968.389855</v>
      </c>
      <c r="C12" s="18" t="n">
        <v>2104.50444</v>
      </c>
      <c r="D12" s="18" t="n">
        <v>2232.486216</v>
      </c>
      <c r="E12" s="18" t="n">
        <v>2573.576232</v>
      </c>
      <c r="F12" s="18" t="n">
        <v>2760.568232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57.476925</v>
      </c>
      <c r="C16" s="18" t="n">
        <v>61.451466</v>
      </c>
      <c r="D16" s="18" t="n">
        <v>65.18853</v>
      </c>
      <c r="E16" s="18" t="n">
        <v>75.148349</v>
      </c>
      <c r="F16" s="18" t="n">
        <v>80.60851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1188.101856</v>
      </c>
      <c r="C20" s="18" t="n">
        <v>1328.00826</v>
      </c>
      <c r="D20" s="18" t="n">
        <v>1404.754657</v>
      </c>
      <c r="E20" s="18" t="n">
        <v>1524.120007</v>
      </c>
      <c r="F20" s="18" t="n">
        <v>1611.349358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6.09283</v>
      </c>
      <c r="C24" s="48" t="n">
        <v>6.6002</v>
      </c>
      <c r="D24" s="48" t="n">
        <v>7.15832</v>
      </c>
      <c r="E24" s="48" t="n">
        <v>7.816</v>
      </c>
      <c r="F24" s="48" t="n">
        <v>8.26333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American Water Works Company,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Financials!AC26</f>
        <v/>
      </c>
    </row>
    <row r="33">
      <c r="A33" s="4" t="inlineStr">
        <is>
          <t>- Long-term debt</t>
        </is>
      </c>
      <c r="B33" s="34">
        <f>-Financials!AC31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0.06169779232797624</v>
      </c>
      <c r="C4" s="52" t="n">
        <v>0.06669779232797625</v>
      </c>
      <c r="D4" s="52" t="n">
        <v>0.07169779232797624</v>
      </c>
      <c r="E4" s="52" t="n">
        <v>0.07669779232797624</v>
      </c>
      <c r="F4" s="52" t="n">
        <v>0.08169779232797625</v>
      </c>
      <c r="G4" s="52" t="n">
        <v>0.08669779232797624</v>
      </c>
      <c r="H4" s="52" t="n">
        <v>0.09169779232797624</v>
      </c>
    </row>
    <row r="5">
      <c r="A5" s="53" t="n">
        <v>10</v>
      </c>
      <c r="B5" s="54" t="n">
        <v>103.2366318363432</v>
      </c>
      <c r="C5" s="54" t="n">
        <v>95.6259914166709</v>
      </c>
      <c r="D5" s="54" t="n">
        <v>88.39088400378238</v>
      </c>
      <c r="E5" s="54" t="n">
        <v>81.51109083929438</v>
      </c>
      <c r="F5" s="54" t="n">
        <v>74.96757135249585</v>
      </c>
      <c r="G5" s="54" t="n">
        <v>68.74238937882667</v>
      </c>
      <c r="H5" s="54" t="n">
        <v>62.81864431473087</v>
      </c>
    </row>
    <row r="6">
      <c r="A6" s="53" t="n">
        <v>11</v>
      </c>
      <c r="B6" s="54" t="n">
        <v>117.4767799573534</v>
      </c>
      <c r="C6" s="54" t="n">
        <v>109.2125569230016</v>
      </c>
      <c r="D6" s="54" t="n">
        <v>101.3567129822398</v>
      </c>
      <c r="E6" s="54" t="n">
        <v>93.88723683618996</v>
      </c>
      <c r="F6" s="54" t="n">
        <v>86.78340087040796</v>
      </c>
      <c r="G6" s="54" t="n">
        <v>80.02568071717292</v>
      </c>
      <c r="H6" s="54" t="n">
        <v>73.59568020208738</v>
      </c>
    </row>
    <row r="7">
      <c r="A7" s="53" t="n">
        <v>12</v>
      </c>
      <c r="B7" s="54" t="n">
        <v>131.7169280783636</v>
      </c>
      <c r="C7" s="54" t="n">
        <v>122.7991224293322</v>
      </c>
      <c r="D7" s="54" t="n">
        <v>114.3225419606971</v>
      </c>
      <c r="E7" s="54" t="n">
        <v>106.2633828330855</v>
      </c>
      <c r="F7" s="54" t="n">
        <v>98.59923038832005</v>
      </c>
      <c r="G7" s="54" t="n">
        <v>91.30897205551919</v>
      </c>
      <c r="H7" s="54" t="n">
        <v>84.37271608944388</v>
      </c>
    </row>
    <row r="8">
      <c r="A8" s="53" t="n">
        <v>13</v>
      </c>
      <c r="B8" s="8" t="n">
        <v>145.9570761993738</v>
      </c>
      <c r="C8" s="8" t="n">
        <v>136.3856879356628</v>
      </c>
      <c r="D8" s="54" t="n">
        <v>127.2883709391545</v>
      </c>
      <c r="E8" s="55" t="n">
        <v>118.6395288299811</v>
      </c>
      <c r="F8" s="54" t="n">
        <v>110.4150599062321</v>
      </c>
      <c r="G8" s="54" t="n">
        <v>102.5922633938655</v>
      </c>
      <c r="H8" s="54" t="n">
        <v>95.14975197680039</v>
      </c>
    </row>
    <row r="9">
      <c r="A9" s="53" t="n">
        <v>14</v>
      </c>
      <c r="B9" s="8" t="n">
        <v>160.197224320384</v>
      </c>
      <c r="C9" s="8" t="n">
        <v>149.9722534419934</v>
      </c>
      <c r="D9" s="8" t="n">
        <v>140.2541999176119</v>
      </c>
      <c r="E9" s="54" t="n">
        <v>131.0156748268766</v>
      </c>
      <c r="F9" s="54" t="n">
        <v>122.2308894241443</v>
      </c>
      <c r="G9" s="54" t="n">
        <v>113.8755547322117</v>
      </c>
      <c r="H9" s="54" t="n">
        <v>105.9267878641569</v>
      </c>
    </row>
    <row r="10">
      <c r="A10" s="53" t="n">
        <v>15</v>
      </c>
      <c r="B10" s="8" t="n">
        <v>174.4373724413942</v>
      </c>
      <c r="C10" s="8" t="n">
        <v>163.5588189483241</v>
      </c>
      <c r="D10" s="8" t="n">
        <v>153.2200288960693</v>
      </c>
      <c r="E10" s="8" t="n">
        <v>143.3918208237722</v>
      </c>
      <c r="F10" s="54" t="n">
        <v>134.0467189420563</v>
      </c>
      <c r="G10" s="54" t="n">
        <v>125.158846070558</v>
      </c>
      <c r="H10" s="54" t="n">
        <v>116.7038237515134</v>
      </c>
    </row>
    <row r="11">
      <c r="A11" s="53" t="n">
        <v>16</v>
      </c>
      <c r="B11" s="8" t="n">
        <v>188.6775205624044</v>
      </c>
      <c r="C11" s="8" t="n">
        <v>177.1453844546547</v>
      </c>
      <c r="D11" s="8" t="n">
        <v>166.1858578745266</v>
      </c>
      <c r="E11" s="8" t="n">
        <v>155.7679668206677</v>
      </c>
      <c r="F11" s="8" t="n">
        <v>145.8625484599685</v>
      </c>
      <c r="G11" s="8" t="n">
        <v>136.4421374089042</v>
      </c>
      <c r="H11" s="54" t="n">
        <v>127.4808596388699</v>
      </c>
    </row>
    <row r="13">
      <c r="A13" s="3" t="inlineStr">
        <is>
          <t>Current price</t>
        </is>
      </c>
      <c r="B13" s="54" t="n">
        <v>135.8300018310547</v>
      </c>
    </row>
    <row r="14">
      <c r="A14" s="3" t="inlineStr">
        <is>
          <t>Base WACC / multiple</t>
        </is>
      </c>
      <c r="B14" s="56" t="n">
        <v>0.07669779232797624</v>
      </c>
      <c r="C14" s="57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0.1739299610894942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3.334675615212528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0.02341424184282524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0.9645311679761804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2026-07-08T07:03:18Z</dcterms:created>
  <dcterms:modified xmlns:dcterms="http://purl.org/dc/terms/" xmlns:xsi="http://www.w3.org/2001/XMLSchema-instance" xsi:type="dcterms:W3CDTF">2026-07-08T07:03:18Z</dcterms:modified>
</cp:coreProperties>
</file>