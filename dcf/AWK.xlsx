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lor Code" sheetId="3" state="visible" r:id="rId3"/>
    <sheet xmlns:r="http://schemas.openxmlformats.org/officeDocument/2006/relationships" name="WACC" sheetId="4" state="visible" r:id="rId4"/>
    <sheet xmlns:r="http://schemas.openxmlformats.org/officeDocument/2006/relationships" name="Model" sheetId="5" state="visible" r:id="rId5"/>
    <sheet xmlns:r="http://schemas.openxmlformats.org/officeDocument/2006/relationships" name="Financials" sheetId="6" state="visible" r:id="rId6"/>
    <sheet xmlns:r="http://schemas.openxmlformats.org/officeDocument/2006/relationships" name="Consensus" sheetId="7" state="visible" r:id="rId7"/>
    <sheet xmlns:r="http://schemas.openxmlformats.org/officeDocument/2006/relationships" name="Valuation" sheetId="8" state="visible" r:id="rId8"/>
    <sheet xmlns:r="http://schemas.openxmlformats.org/officeDocument/2006/relationships" name="Monte Carlo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&quot;$&quot;#,##0.00"/>
    <numFmt numFmtId="165" formatCode="+0%;(0%)"/>
    <numFmt numFmtId="166" formatCode="0.0%"/>
    <numFmt numFmtId="167" formatCode="0.0&quot;x&quot;"/>
    <numFmt numFmtId="168" formatCode="0.000"/>
    <numFmt numFmtId="169" formatCode="0.00&quot;x&quot;"/>
    <numFmt numFmtId="170" formatCode="+0.0%;(0.0%)"/>
    <numFmt numFmtId="171" formatCode="&quot;$&quot;#,##0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1F4E78"/>
      <sz val="16"/>
    </font>
    <font>
      <b val="1"/>
      <color rgb="0000800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4" fontId="8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0" fontId="9" fillId="0" borderId="0" pivotButton="0" quotePrefix="0" xfId="0"/>
    <xf numFmtId="166" fontId="7" fillId="0" borderId="0" pivotButton="0" quotePrefix="0" xfId="0"/>
    <xf numFmtId="0" fontId="7" fillId="0" borderId="0" pivotButton="0" quotePrefix="0" xfId="0"/>
    <xf numFmtId="167" fontId="7" fillId="0" borderId="0" pivotButton="0" quotePrefix="0" xfId="0"/>
    <xf numFmtId="0" fontId="3" fillId="0" borderId="0" applyAlignment="1" pivotButton="0" quotePrefix="0" xfId="0">
      <alignment vertical="top" wrapText="1"/>
    </xf>
    <xf numFmtId="166" fontId="4" fillId="5" borderId="0" pivotButton="0" quotePrefix="0" xfId="0"/>
    <xf numFmtId="166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7" fontId="4" fillId="5" borderId="0" pivotButton="0" quotePrefix="0" xfId="0"/>
    <xf numFmtId="168" fontId="4" fillId="5" borderId="0" pivotButton="0" quotePrefix="0" xfId="0"/>
    <xf numFmtId="166" fontId="9" fillId="0" borderId="0" pivotButton="0" quotePrefix="0" xfId="0"/>
    <xf numFmtId="0" fontId="4" fillId="5" borderId="0" pivotButton="0" quotePrefix="0" xfId="0"/>
    <xf numFmtId="164" fontId="4" fillId="5" borderId="0" pivotButton="0" quotePrefix="0" xfId="0"/>
    <xf numFmtId="0" fontId="4" fillId="0" borderId="0" pivotButton="0" quotePrefix="0" xfId="0"/>
    <xf numFmtId="0" fontId="3" fillId="6" borderId="0" pivotButton="0" quotePrefix="0" xfId="0"/>
    <xf numFmtId="168" fontId="7" fillId="0" borderId="0" pivotButton="0" quotePrefix="0" xfId="0"/>
    <xf numFmtId="166" fontId="3" fillId="0" borderId="0" pivotButton="0" quotePrefix="0" xfId="0"/>
    <xf numFmtId="3" fontId="7" fillId="0" borderId="0" pivotButton="0" quotePrefix="0" xfId="0"/>
    <xf numFmtId="166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0" fontId="1" fillId="0" borderId="0" applyAlignment="1" pivotButton="0" quotePrefix="0" xfId="0">
      <alignment horizontal="right"/>
    </xf>
    <xf numFmtId="170" fontId="3" fillId="0" borderId="0" pivotButton="0" quotePrefix="0" xfId="0"/>
    <xf numFmtId="164" fontId="4" fillId="0" borderId="0" pivotButton="0" quotePrefix="0" xfId="0"/>
    <xf numFmtId="168" fontId="3" fillId="0" borderId="0" pivotButton="0" quotePrefix="0" xfId="0"/>
    <xf numFmtId="165" fontId="3" fillId="0" borderId="0" pivotButton="0" quotePrefix="0" xfId="0"/>
    <xf numFmtId="164" fontId="3" fillId="0" borderId="0" pivotButton="0" quotePrefix="0" xfId="0"/>
    <xf numFmtId="2" fontId="3" fillId="0" borderId="0" pivotButton="0" quotePrefix="0" xfId="0"/>
    <xf numFmtId="164" fontId="1" fillId="0" borderId="0" pivotButton="0" quotePrefix="0" xfId="0"/>
    <xf numFmtId="171" fontId="3" fillId="0" borderId="0" pivotButton="0" quotePrefix="0" xfId="0"/>
    <xf numFmtId="164" fontId="8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66" fontId="4" fillId="5" borderId="0" pivotButton="0" quotePrefix="0" xfId="0"/>
    <xf numFmtId="166" fontId="4" fillId="0" borderId="0" pivotButton="0" quotePrefix="0" xfId="0"/>
    <xf numFmtId="167" fontId="4" fillId="5" borderId="0" pivotButton="0" quotePrefix="0" xfId="0"/>
    <xf numFmtId="168" fontId="4" fillId="5" borderId="0" pivotButton="0" quotePrefix="0" xfId="0"/>
    <xf numFmtId="166" fontId="9" fillId="0" borderId="0" pivotButton="0" quotePrefix="0" xfId="0"/>
    <xf numFmtId="164" fontId="4" fillId="5" borderId="0" pivotButton="0" quotePrefix="0" xfId="0"/>
    <xf numFmtId="168" fontId="7" fillId="0" borderId="0" pivotButton="0" quotePrefix="0" xfId="0"/>
    <xf numFmtId="166" fontId="3" fillId="0" borderId="0" pivotButton="0" quotePrefix="0" xfId="0"/>
    <xf numFmtId="166" fontId="1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64" fontId="4" fillId="0" borderId="0" pivotButton="0" quotePrefix="0" xfId="0"/>
    <xf numFmtId="168" fontId="3" fillId="0" borderId="0" pivotButton="0" quotePrefix="0" xfId="0"/>
    <xf numFmtId="165" fontId="3" fillId="0" borderId="0" pivotButton="0" quotePrefix="0" xfId="0"/>
    <xf numFmtId="164" fontId="3" fillId="0" borderId="0" pivotButton="0" quotePrefix="0" xfId="0"/>
    <xf numFmtId="164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American Water Works Company, Inc. (AWK)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2026-06-07</t>
        </is>
      </c>
    </row>
    <row r="5">
      <c r="A5" s="3" t="inlineStr">
        <is>
          <t>Data pulled (FMP)</t>
        </is>
      </c>
      <c r="B5" s="4" t="inlineStr">
        <is>
          <t>Q1 2026</t>
        </is>
      </c>
    </row>
    <row r="6">
      <c r="A6" s="3" t="inlineStr">
        <is>
          <t>Assumptions by</t>
        </is>
      </c>
      <c r="B6" s="4" t="inlineStr">
        <is>
          <t>Opus 4.8 — 2026-06-07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45">
        <f>Valuation!B36</f>
        <v/>
      </c>
    </row>
    <row r="11">
      <c r="A11" s="4" t="inlineStr">
        <is>
          <t>Current price</t>
        </is>
      </c>
      <c r="B11" s="46">
        <f>Valuation!$B$2</f>
        <v/>
      </c>
    </row>
    <row r="12">
      <c r="A12" s="4" t="inlineStr">
        <is>
          <t>Upside / (downside)</t>
        </is>
      </c>
      <c r="B12" s="47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48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48">
        <f>WACC!B14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49">
        <f>Valuation!$B$8</f>
        <v/>
      </c>
    </row>
    <row r="21">
      <c r="A21" s="4" t="inlineStr">
        <is>
          <t>Terminal growth (g)</t>
        </is>
      </c>
      <c r="B21" s="48">
        <f>Valuation!$B$4</f>
        <v/>
      </c>
    </row>
    <row r="22">
      <c r="A22" s="4" t="inlineStr">
        <is>
          <t>Terminal weight</t>
        </is>
      </c>
      <c r="B22" s="48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AWK is a high-quality regulated water utility whose value is driven by sustained rate-base growth funded by heavy infrastructure capex earning an allowed regulatory return. Near-term revenue growth of ~6-7% (anchored to consensus) fades toward a mature ~2.5% as the rate base matures, while stable allowed returns hold operating margins near 37% with modest operating leverage. The persistent capex program keeps free cash flow constrained but underpins durable, low-beta earnings growth.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American Water Works Company, Inc. (AWK)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45">
        <f>Valuation!B36</f>
        <v/>
      </c>
    </row>
    <row r="6">
      <c r="A6" s="4" t="inlineStr">
        <is>
          <t>Current price</t>
        </is>
      </c>
      <c r="B6" s="46">
        <f>Dashboard!$B$48</f>
        <v/>
      </c>
    </row>
    <row r="7">
      <c r="A7" s="4" t="inlineStr">
        <is>
          <t>Upside / (downside)</t>
        </is>
      </c>
      <c r="B7" s="47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48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48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48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48">
        <f>Model!G36-WACC!B14</f>
        <v/>
      </c>
      <c r="C15" s="10">
        <f>IF(Model!G36-WACC!B14&lt;0,"! destroys","creates")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48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48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Total company</t>
        </is>
      </c>
      <c r="B20" s="50" t="n">
        <v>0.07936055711938791</v>
      </c>
      <c r="C20" s="50" t="n">
        <v>0.05</v>
      </c>
      <c r="D20" s="51" t="n">
        <v>0.07936055711938791</v>
      </c>
      <c r="E20" s="2" t="inlineStr"/>
    </row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50" t="n">
        <v>0.366</v>
      </c>
      <c r="D29" s="51" t="n">
        <v>0.366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50" t="n">
        <v>0.375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50" t="n">
        <v>0.21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3104.60992572</v>
      </c>
      <c r="D34" s="18" t="n">
        <v>3104.60992572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52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50" t="n">
        <v>0.043</v>
      </c>
    </row>
    <row r="39">
      <c r="A39" s="4" t="inlineStr">
        <is>
          <t>Equity risk premium</t>
        </is>
      </c>
      <c r="B39" s="50" t="n">
        <v>0.045</v>
      </c>
    </row>
    <row r="40">
      <c r="A40" s="4" t="inlineStr">
        <is>
          <t>Beta (levered)</t>
        </is>
      </c>
      <c r="B40" s="53" t="n">
        <v>0.634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50" t="n">
        <v>0.045</v>
      </c>
    </row>
    <row r="42">
      <c r="A42" s="3" t="inlineStr">
        <is>
          <t>WACC (computed)</t>
        </is>
      </c>
      <c r="B42" s="54">
        <f>WACC!B14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52" t="n">
        <v>13</v>
      </c>
    </row>
    <row r="46">
      <c r="A46" s="4" t="inlineStr">
        <is>
          <t>Terminal growth (g)</t>
        </is>
      </c>
      <c r="B46" s="50" t="n">
        <v>0.025</v>
      </c>
    </row>
    <row r="48">
      <c r="A48" s="4" t="inlineStr">
        <is>
          <t>Current price</t>
        </is>
      </c>
      <c r="B48" s="55" t="n">
        <v>124.4700012207031</v>
      </c>
    </row>
  </sheetData>
  <conditionalFormatting sqref="B20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24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25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48">
        <f>Dashboard!$B$38</f>
        <v/>
      </c>
    </row>
    <row r="3">
      <c r="A3" s="4" t="inlineStr">
        <is>
          <t>Equity risk premium</t>
        </is>
      </c>
      <c r="B3" s="48">
        <f>Dashboard!$B$39</f>
        <v/>
      </c>
    </row>
    <row r="4">
      <c r="A4" s="4" t="inlineStr">
        <is>
          <t>Beta (levered)</t>
        </is>
      </c>
      <c r="B4" s="56">
        <f>Dashboard!$B$40</f>
        <v/>
      </c>
    </row>
    <row r="5">
      <c r="A5" s="4" t="inlineStr">
        <is>
          <t>Cost of equity (CAPM)</t>
        </is>
      </c>
      <c r="B5" s="57">
        <f>B2+B4*B3</f>
        <v/>
      </c>
    </row>
    <row r="6">
      <c r="A6" s="4" t="inlineStr">
        <is>
          <t>Pre-tax cost of debt</t>
        </is>
      </c>
      <c r="B6" s="48">
        <f>Dashboard!$B$41</f>
        <v/>
      </c>
    </row>
    <row r="7">
      <c r="A7" s="4" t="inlineStr">
        <is>
          <t>Tax rate</t>
        </is>
      </c>
      <c r="B7" s="48">
        <f>Dashboard!$B$31</f>
        <v/>
      </c>
    </row>
    <row r="8">
      <c r="A8" s="4" t="inlineStr">
        <is>
          <t>After-tax cost of debt</t>
        </is>
      </c>
      <c r="B8" s="57">
        <f>B6*(1-B7)</f>
        <v/>
      </c>
    </row>
    <row r="9">
      <c r="A9" s="4" t="inlineStr">
        <is>
          <t>Market cap (E)</t>
        </is>
      </c>
      <c r="B9" s="28">
        <f>Dashboard!$B$48*Financials!AC17</f>
        <v/>
      </c>
    </row>
    <row r="10">
      <c r="A10" s="4" t="inlineStr">
        <is>
          <t>Total debt (D)</t>
        </is>
      </c>
      <c r="B10" s="28">
        <f>Financials!AC31</f>
        <v/>
      </c>
    </row>
    <row r="11">
      <c r="A11" s="4" t="inlineStr">
        <is>
          <t>Equity weight</t>
        </is>
      </c>
      <c r="B11" s="57">
        <f>B9/(B9+B10)</f>
        <v/>
      </c>
    </row>
    <row r="12">
      <c r="A12" s="4" t="inlineStr">
        <is>
          <t>Debt weight</t>
        </is>
      </c>
      <c r="B12" s="57">
        <f>B10/(B9+B10)</f>
        <v/>
      </c>
    </row>
    <row r="14">
      <c r="A14" s="3" t="inlineStr">
        <is>
          <t>WACC</t>
        </is>
      </c>
      <c r="B14" s="58">
        <f>B11*B5+B12*B8</f>
        <v/>
      </c>
    </row>
    <row r="16">
      <c r="A16" s="2" t="inlineStr">
        <is>
          <t>Yellow = edit. CAPM cost of equity; market-value weights. Feeds Valuation!WACC.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4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0" t="inlineStr">
        <is>
          <t>FY2021A</t>
        </is>
      </c>
      <c r="C1" s="30" t="inlineStr">
        <is>
          <t>FY2022A</t>
        </is>
      </c>
      <c r="D1" s="30" t="inlineStr">
        <is>
          <t>FY2023A</t>
        </is>
      </c>
      <c r="E1" s="30" t="inlineStr">
        <is>
          <t>FY2024A</t>
        </is>
      </c>
      <c r="F1" s="30" t="inlineStr">
        <is>
          <t>FY2025A</t>
        </is>
      </c>
      <c r="G1" s="31" t="inlineStr">
        <is>
          <t>FY2026E</t>
        </is>
      </c>
      <c r="H1" s="31" t="inlineStr">
        <is>
          <t>FY2027E</t>
        </is>
      </c>
      <c r="I1" s="31" t="inlineStr">
        <is>
          <t>FY2028E</t>
        </is>
      </c>
      <c r="J1" s="31" t="inlineStr">
        <is>
          <t>FY2029E</t>
        </is>
      </c>
      <c r="K1" s="31" t="inlineStr">
        <is>
          <t>FY2030E</t>
        </is>
      </c>
      <c r="L1" s="31" t="inlineStr">
        <is>
          <t>FY2031E</t>
        </is>
      </c>
      <c r="M1" s="31" t="inlineStr">
        <is>
          <t>FY2032E</t>
        </is>
      </c>
      <c r="N1" s="31" t="inlineStr">
        <is>
          <t>FY2033E</t>
        </is>
      </c>
      <c r="O1" s="31" t="inlineStr">
        <is>
          <t>FY2034E</t>
        </is>
      </c>
      <c r="P1" s="31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Total company</t>
        </is>
      </c>
      <c r="B4" s="28">
        <f>SUM(Financials!I3:L3)</f>
        <v/>
      </c>
      <c r="C4" s="28">
        <f>SUM(Financials!M3:P3)</f>
        <v/>
      </c>
      <c r="D4" s="28">
        <f>SUM(Financials!Q3:T3)</f>
        <v/>
      </c>
      <c r="E4" s="28">
        <f>SUM(Financials!U3:X3)</f>
        <v/>
      </c>
      <c r="F4" s="28">
        <f>SUM(Financials!Y3:AB3)</f>
        <v/>
      </c>
      <c r="G4" s="32">
        <f>F4*(1+G5)</f>
        <v/>
      </c>
      <c r="H4" s="32">
        <f>G4*(1+H5)</f>
        <v/>
      </c>
      <c r="I4" s="32">
        <f>H4*(1+I5)</f>
        <v/>
      </c>
      <c r="J4" s="32">
        <f>I4*(1+J5)</f>
        <v/>
      </c>
      <c r="K4" s="32">
        <f>J4*(1+K5)</f>
        <v/>
      </c>
      <c r="L4" s="32">
        <f>K4*(1+L5)</f>
        <v/>
      </c>
      <c r="M4" s="32">
        <f>L4*(1+M5)</f>
        <v/>
      </c>
      <c r="N4" s="32">
        <f>M4*(1+N5)</f>
        <v/>
      </c>
      <c r="O4" s="32">
        <f>N4*(1+O5)</f>
        <v/>
      </c>
      <c r="P4" s="32">
        <f>O4*(1+P5)</f>
        <v/>
      </c>
    </row>
    <row r="5">
      <c r="A5" s="4" t="inlineStr">
        <is>
          <t xml:space="preserve">    growth % (interpolated from Dashboard)</t>
        </is>
      </c>
      <c r="C5" s="57">
        <f>IFERROR(C4/B4-1,"")</f>
        <v/>
      </c>
      <c r="D5" s="57">
        <f>IFERROR(D4/C4-1,"")</f>
        <v/>
      </c>
      <c r="E5" s="57">
        <f>IFERROR(E4/D4-1,"")</f>
        <v/>
      </c>
      <c r="F5" s="57">
        <f>IFERROR(F4/E4-1,"")</f>
        <v/>
      </c>
      <c r="G5" s="48">
        <f>Dashboard!$B$20+(Dashboard!$C$20-Dashboard!$B$20)*MAX(0,0-2)/7</f>
        <v/>
      </c>
      <c r="H5" s="48">
        <f>Dashboard!$B$20+(Dashboard!$C$20-Dashboard!$B$20)*MAX(0,1-2)/7</f>
        <v/>
      </c>
      <c r="I5" s="48">
        <f>Dashboard!$B$20+(Dashboard!$C$20-Dashboard!$B$20)*MAX(0,2-2)/7</f>
        <v/>
      </c>
      <c r="J5" s="48">
        <f>Dashboard!$B$20+(Dashboard!$C$20-Dashboard!$B$20)*MAX(0,3-2)/7</f>
        <v/>
      </c>
      <c r="K5" s="48">
        <f>Dashboard!$B$20+(Dashboard!$C$20-Dashboard!$B$20)*MAX(0,4-2)/7</f>
        <v/>
      </c>
      <c r="L5" s="48">
        <f>Dashboard!$B$20+(Dashboard!$C$20-Dashboard!$B$20)*MAX(0,5-2)/7</f>
        <v/>
      </c>
      <c r="M5" s="48">
        <f>Dashboard!$B$20+(Dashboard!$C$20-Dashboard!$B$20)*MAX(0,6-2)/7</f>
        <v/>
      </c>
      <c r="N5" s="48">
        <f>Dashboard!$B$20+(Dashboard!$C$20-Dashboard!$B$20)*MAX(0,7-2)/7</f>
        <v/>
      </c>
      <c r="O5" s="48">
        <f>Dashboard!$B$20+(Dashboard!$C$20-Dashboard!$B$20)*MAX(0,8-2)/7</f>
        <v/>
      </c>
      <c r="P5" s="48">
        <f>Dashboard!$B$20+(Dashboard!$C$20-Dashboard!$B$20)*MAX(0,9-2)/7</f>
        <v/>
      </c>
    </row>
    <row r="6">
      <c r="A6" s="3" t="inlineStr">
        <is>
          <t>Total revenue</t>
        </is>
      </c>
      <c r="B6" s="33">
        <f>B4</f>
        <v/>
      </c>
      <c r="C6" s="33">
        <f>C4</f>
        <v/>
      </c>
      <c r="D6" s="33">
        <f>D4</f>
        <v/>
      </c>
      <c r="E6" s="33">
        <f>E4</f>
        <v/>
      </c>
      <c r="F6" s="33">
        <f>F4</f>
        <v/>
      </c>
      <c r="G6" s="33">
        <f>G4</f>
        <v/>
      </c>
      <c r="H6" s="33">
        <f>H4</f>
        <v/>
      </c>
      <c r="I6" s="33">
        <f>I4</f>
        <v/>
      </c>
      <c r="J6" s="33">
        <f>J4</f>
        <v/>
      </c>
      <c r="K6" s="33">
        <f>K4</f>
        <v/>
      </c>
      <c r="L6" s="33">
        <f>L4</f>
        <v/>
      </c>
      <c r="M6" s="33">
        <f>M4</f>
        <v/>
      </c>
      <c r="N6" s="33">
        <f>N4</f>
        <v/>
      </c>
      <c r="O6" s="33">
        <f>O4</f>
        <v/>
      </c>
      <c r="P6" s="33">
        <f>P4</f>
        <v/>
      </c>
    </row>
    <row r="7">
      <c r="A7" s="4" t="inlineStr">
        <is>
          <t xml:space="preserve">    growth %</t>
        </is>
      </c>
      <c r="C7" s="57">
        <f>IFERROR(C6/B6-1,"")</f>
        <v/>
      </c>
      <c r="D7" s="57">
        <f>IFERROR(D6/C6-1,"")</f>
        <v/>
      </c>
      <c r="E7" s="57">
        <f>IFERROR(E6/D6-1,"")</f>
        <v/>
      </c>
      <c r="F7" s="57">
        <f>IFERROR(F6/E6-1,"")</f>
        <v/>
      </c>
      <c r="G7" s="57">
        <f>IFERROR(G6/F6-1,"")</f>
        <v/>
      </c>
      <c r="H7" s="57">
        <f>IFERROR(H6/G6-1,"")</f>
        <v/>
      </c>
      <c r="I7" s="57">
        <f>IFERROR(I6/H6-1,"")</f>
        <v/>
      </c>
      <c r="J7" s="57">
        <f>IFERROR(J6/I6-1,"")</f>
        <v/>
      </c>
      <c r="K7" s="57">
        <f>IFERROR(K6/J6-1,"")</f>
        <v/>
      </c>
      <c r="L7" s="57">
        <f>IFERROR(L6/K6-1,"")</f>
        <v/>
      </c>
      <c r="M7" s="57">
        <f>IFERROR(M6/L6-1,"")</f>
        <v/>
      </c>
      <c r="N7" s="57">
        <f>IFERROR(N6/M6-1,"")</f>
        <v/>
      </c>
      <c r="O7" s="57">
        <f>IFERROR(O6/N6-1,"")</f>
        <v/>
      </c>
      <c r="P7" s="57">
        <f>IFERROR(P6/O6-1,"")</f>
        <v/>
      </c>
    </row>
    <row r="9">
      <c r="A9" s="5" t="inlineStr">
        <is>
          <t xml:space="preserve">  COST STRUCTURE (yellow = % of revenue)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</row>
    <row r="10">
      <c r="A10" s="4" t="inlineStr">
        <is>
          <t>Cost of revenue</t>
        </is>
      </c>
      <c r="B10" s="28">
        <f>SUM(Financials!I5:L5)</f>
        <v/>
      </c>
      <c r="C10" s="28">
        <f>SUM(Financials!M5:P5)</f>
        <v/>
      </c>
      <c r="D10" s="28">
        <f>SUM(Financials!Q5:T5)</f>
        <v/>
      </c>
      <c r="E10" s="28">
        <f>SUM(Financials!U5:X5)</f>
        <v/>
      </c>
      <c r="F10" s="28">
        <f>SUM(Financials!Y5:AB5)</f>
        <v/>
      </c>
      <c r="G10" s="32">
        <f>G6*G11</f>
        <v/>
      </c>
      <c r="H10" s="32">
        <f>H6*H11</f>
        <v/>
      </c>
      <c r="I10" s="32">
        <f>I6*I11</f>
        <v/>
      </c>
      <c r="J10" s="32">
        <f>J6*J11</f>
        <v/>
      </c>
      <c r="K10" s="32">
        <f>K6*K11</f>
        <v/>
      </c>
      <c r="L10" s="32">
        <f>L6*L11</f>
        <v/>
      </c>
      <c r="M10" s="32">
        <f>M6*M11</f>
        <v/>
      </c>
      <c r="N10" s="32">
        <f>N6*N11</f>
        <v/>
      </c>
      <c r="O10" s="32">
        <f>O6*O11</f>
        <v/>
      </c>
      <c r="P10" s="32">
        <f>P6*P11</f>
        <v/>
      </c>
    </row>
    <row r="11">
      <c r="A11" s="4" t="inlineStr">
        <is>
          <t xml:space="preserve">    % of revenue</t>
        </is>
      </c>
      <c r="B11" s="57">
        <f>IFERROR(B10/B6,"")</f>
        <v/>
      </c>
      <c r="C11" s="57">
        <f>IFERROR(C10/C6,"")</f>
        <v/>
      </c>
      <c r="D11" s="57">
        <f>IFERROR(D10/D6,"")</f>
        <v/>
      </c>
      <c r="E11" s="57">
        <f>IFERROR(E10/E6,"")</f>
        <v/>
      </c>
      <c r="F11" s="57">
        <f>IFERROR(F10/F6,"")</f>
        <v/>
      </c>
      <c r="G11" s="50" t="n">
        <v>0.5667315175097276</v>
      </c>
      <c r="H11" s="50" t="n">
        <v>0.5667315175097276</v>
      </c>
      <c r="I11" s="50" t="n">
        <v>0.5667315175097276</v>
      </c>
      <c r="J11" s="50" t="n">
        <v>0.5667315175097276</v>
      </c>
      <c r="K11" s="50" t="n">
        <v>0.5667315175097276</v>
      </c>
      <c r="L11" s="50" t="n">
        <v>0.5667315175097276</v>
      </c>
      <c r="M11" s="50" t="n">
        <v>0.5667315175097276</v>
      </c>
      <c r="N11" s="50" t="n">
        <v>0.5667315175097276</v>
      </c>
      <c r="O11" s="50" t="n">
        <v>0.5667315175097276</v>
      </c>
      <c r="P11" s="50" t="n">
        <v>0.5667315175097276</v>
      </c>
    </row>
    <row r="12">
      <c r="A12" s="4" t="inlineStr">
        <is>
          <t>R&amp;D / Technology</t>
        </is>
      </c>
      <c r="B12" s="28">
        <f>SUM(Financials!I7:L7)</f>
        <v/>
      </c>
      <c r="C12" s="28">
        <f>SUM(Financials!M7:P7)</f>
        <v/>
      </c>
      <c r="D12" s="28">
        <f>SUM(Financials!Q7:T7)</f>
        <v/>
      </c>
      <c r="E12" s="28">
        <f>SUM(Financials!U7:X7)</f>
        <v/>
      </c>
      <c r="F12" s="28">
        <f>SUM(Financials!Y7:AB7)</f>
        <v/>
      </c>
      <c r="G12" s="32">
        <f>G6*G13</f>
        <v/>
      </c>
      <c r="H12" s="32">
        <f>H6*H13</f>
        <v/>
      </c>
      <c r="I12" s="32">
        <f>I6*I13</f>
        <v/>
      </c>
      <c r="J12" s="32">
        <f>J6*J13</f>
        <v/>
      </c>
      <c r="K12" s="32">
        <f>K6*K13</f>
        <v/>
      </c>
      <c r="L12" s="32">
        <f>L6*L13</f>
        <v/>
      </c>
      <c r="M12" s="32">
        <f>M6*M13</f>
        <v/>
      </c>
      <c r="N12" s="32">
        <f>N6*N13</f>
        <v/>
      </c>
      <c r="O12" s="32">
        <f>O6*O13</f>
        <v/>
      </c>
      <c r="P12" s="32">
        <f>P6*P13</f>
        <v/>
      </c>
    </row>
    <row r="13">
      <c r="A13" s="4" t="inlineStr">
        <is>
          <t xml:space="preserve">    % of revenue</t>
        </is>
      </c>
      <c r="B13" s="57">
        <f>IFERROR(B12/B6,"")</f>
        <v/>
      </c>
      <c r="C13" s="57">
        <f>IFERROR(C12/C6,"")</f>
        <v/>
      </c>
      <c r="D13" s="57">
        <f>IFERROR(D12/D6,"")</f>
        <v/>
      </c>
      <c r="E13" s="57">
        <f>IFERROR(E12/E6,"")</f>
        <v/>
      </c>
      <c r="F13" s="57">
        <f>IFERROR(F12/F6,"")</f>
        <v/>
      </c>
      <c r="G13" s="50" t="n">
        <v>0</v>
      </c>
      <c r="H13" s="50" t="n">
        <v>0</v>
      </c>
      <c r="I13" s="50" t="n">
        <v>0</v>
      </c>
      <c r="J13" s="50" t="n">
        <v>0</v>
      </c>
      <c r="K13" s="50" t="n">
        <v>0</v>
      </c>
      <c r="L13" s="50" t="n">
        <v>0</v>
      </c>
      <c r="M13" s="50" t="n">
        <v>0</v>
      </c>
      <c r="N13" s="50" t="n">
        <v>0</v>
      </c>
      <c r="O13" s="50" t="n">
        <v>0</v>
      </c>
      <c r="P13" s="50" t="n">
        <v>0</v>
      </c>
    </row>
    <row r="14">
      <c r="A14" s="4" t="inlineStr">
        <is>
          <t>SG&amp;A</t>
        </is>
      </c>
      <c r="B14" s="28">
        <f>SUM(Financials!I9:L9)</f>
        <v/>
      </c>
      <c r="C14" s="28">
        <f>SUM(Financials!M9:P9)</f>
        <v/>
      </c>
      <c r="D14" s="28">
        <f>SUM(Financials!Q9:T9)</f>
        <v/>
      </c>
      <c r="E14" s="28">
        <f>SUM(Financials!U9:X9)</f>
        <v/>
      </c>
      <c r="F14" s="28">
        <f>SUM(Financials!Y9:AB9)</f>
        <v/>
      </c>
      <c r="G14" s="32">
        <f>G6*G15</f>
        <v/>
      </c>
      <c r="H14" s="32">
        <f>H6*H15</f>
        <v/>
      </c>
      <c r="I14" s="32">
        <f>I6*I15</f>
        <v/>
      </c>
      <c r="J14" s="32">
        <f>J6*J15</f>
        <v/>
      </c>
      <c r="K14" s="32">
        <f>K6*K15</f>
        <v/>
      </c>
      <c r="L14" s="32">
        <f>L6*L15</f>
        <v/>
      </c>
      <c r="M14" s="32">
        <f>M6*M15</f>
        <v/>
      </c>
      <c r="N14" s="32">
        <f>N6*N15</f>
        <v/>
      </c>
      <c r="O14" s="32">
        <f>O6*O15</f>
        <v/>
      </c>
      <c r="P14" s="32">
        <f>P6*P15</f>
        <v/>
      </c>
    </row>
    <row r="15">
      <c r="A15" s="4" t="inlineStr">
        <is>
          <t xml:space="preserve">    % of revenue</t>
        </is>
      </c>
      <c r="B15" s="57">
        <f>IFERROR(B14/B6,"")</f>
        <v/>
      </c>
      <c r="C15" s="57">
        <f>IFERROR(C14/C6,"")</f>
        <v/>
      </c>
      <c r="D15" s="57">
        <f>IFERROR(D14/D6,"")</f>
        <v/>
      </c>
      <c r="E15" s="57">
        <f>IFERROR(E14/E6,"")</f>
        <v/>
      </c>
      <c r="F15" s="57">
        <f>IFERROR(F14/F6,"")</f>
        <v/>
      </c>
      <c r="G15" s="50" t="n">
        <v>0.001556420233463035</v>
      </c>
      <c r="H15" s="50" t="n">
        <v>0.001556420233463035</v>
      </c>
      <c r="I15" s="50" t="n">
        <v>0.001556420233463035</v>
      </c>
      <c r="J15" s="50" t="n">
        <v>0.001556420233463035</v>
      </c>
      <c r="K15" s="50" t="n">
        <v>0.001556420233463035</v>
      </c>
      <c r="L15" s="50" t="n">
        <v>0.001556420233463035</v>
      </c>
      <c r="M15" s="50" t="n">
        <v>0.001556420233463035</v>
      </c>
      <c r="N15" s="50" t="n">
        <v>0.001556420233463035</v>
      </c>
      <c r="O15" s="50" t="n">
        <v>0.001556420233463035</v>
      </c>
      <c r="P15" s="50" t="n">
        <v>0.001556420233463035</v>
      </c>
    </row>
    <row r="16">
      <c r="A16" s="4" t="inlineStr">
        <is>
          <t>Other opex (fulfilment, etc.)</t>
        </is>
      </c>
      <c r="B16" s="28">
        <f>B6-(B10+B12+B14)-SUM(Financials!I13:L13)</f>
        <v/>
      </c>
      <c r="C16" s="28">
        <f>C6-(C10+C12+C14)-SUM(Financials!M13:P13)</f>
        <v/>
      </c>
      <c r="D16" s="28">
        <f>D6-(D10+D12+D14)-SUM(Financials!Q13:T13)</f>
        <v/>
      </c>
      <c r="E16" s="28">
        <f>E6-(E10+E12+E14)-SUM(Financials!U13:X13)</f>
        <v/>
      </c>
      <c r="F16" s="28">
        <f>F6-(F10+F12+F14)-SUM(Financials!Y13:AB13)</f>
        <v/>
      </c>
      <c r="G16" s="28">
        <f>G6*(1-(Dashboard!$B$29+(Dashboard!$B$30-Dashboard!$B$29)*MIN(1,0/4)))-(G10+G12+G14)</f>
        <v/>
      </c>
      <c r="H16" s="28">
        <f>H6*(1-(Dashboard!$B$29+(Dashboard!$B$30-Dashboard!$B$29)*MIN(1,1/4)))-(H10+H12+H14)</f>
        <v/>
      </c>
      <c r="I16" s="28">
        <f>I6*(1-(Dashboard!$B$29+(Dashboard!$B$30-Dashboard!$B$29)*MIN(1,2/4)))-(I10+I12+I14)</f>
        <v/>
      </c>
      <c r="J16" s="28">
        <f>J6*(1-(Dashboard!$B$29+(Dashboard!$B$30-Dashboard!$B$29)*MIN(1,3/4)))-(J10+J12+J14)</f>
        <v/>
      </c>
      <c r="K16" s="28">
        <f>K6*(1-(Dashboard!$B$29+(Dashboard!$B$30-Dashboard!$B$29)*MIN(1,4/4)))-(K10+K12+K14)</f>
        <v/>
      </c>
      <c r="L16" s="28">
        <f>L6*(1-(Dashboard!$B$29+(Dashboard!$B$30-Dashboard!$B$29)*MIN(1,5/4)))-(L10+L12+L14)</f>
        <v/>
      </c>
      <c r="M16" s="28">
        <f>M6*(1-(Dashboard!$B$29+(Dashboard!$B$30-Dashboard!$B$29)*MIN(1,6/4)))-(M10+M12+M14)</f>
        <v/>
      </c>
      <c r="N16" s="28">
        <f>N6*(1-(Dashboard!$B$29+(Dashboard!$B$30-Dashboard!$B$29)*MIN(1,7/4)))-(N10+N12+N14)</f>
        <v/>
      </c>
      <c r="O16" s="28">
        <f>O6*(1-(Dashboard!$B$29+(Dashboard!$B$30-Dashboard!$B$29)*MIN(1,8/4)))-(O10+O12+O14)</f>
        <v/>
      </c>
      <c r="P16" s="28">
        <f>P6*(1-(Dashboard!$B$29+(Dashboard!$B$30-Dashboard!$B$29)*MIN(1,9/4)))-(P10+P12+P14)</f>
        <v/>
      </c>
    </row>
    <row r="17">
      <c r="A17" s="4" t="inlineStr">
        <is>
          <t xml:space="preserve">    % of revenue</t>
        </is>
      </c>
      <c r="B17" s="57">
        <f>IFERROR(B16/B6,"")</f>
        <v/>
      </c>
      <c r="C17" s="57">
        <f>IFERROR(C16/C6,"")</f>
        <v/>
      </c>
      <c r="D17" s="57">
        <f>IFERROR(D16/D6,"")</f>
        <v/>
      </c>
      <c r="E17" s="57">
        <f>IFERROR(E16/E6,"")</f>
        <v/>
      </c>
      <c r="F17" s="57">
        <f>IFERROR(F16/F6,"")</f>
        <v/>
      </c>
      <c r="G17" s="57">
        <f>IFERROR(G16/G6,"")</f>
        <v/>
      </c>
      <c r="H17" s="57">
        <f>IFERROR(H16/H6,"")</f>
        <v/>
      </c>
      <c r="I17" s="57">
        <f>IFERROR(I16/I6,"")</f>
        <v/>
      </c>
      <c r="J17" s="57">
        <f>IFERROR(J16/J6,"")</f>
        <v/>
      </c>
      <c r="K17" s="57">
        <f>IFERROR(K16/K6,"")</f>
        <v/>
      </c>
      <c r="L17" s="57">
        <f>IFERROR(L16/L6,"")</f>
        <v/>
      </c>
      <c r="M17" s="57">
        <f>IFERROR(M16/M6,"")</f>
        <v/>
      </c>
      <c r="N17" s="57">
        <f>IFERROR(N16/N6,"")</f>
        <v/>
      </c>
      <c r="O17" s="57">
        <f>IFERROR(O16/O6,"")</f>
        <v/>
      </c>
      <c r="P17" s="57">
        <f>IFERROR(P16/P6,"")</f>
        <v/>
      </c>
    </row>
    <row r="19">
      <c r="A19" s="3" t="inlineStr">
        <is>
          <t>Operating income (EBIT)</t>
        </is>
      </c>
      <c r="B19" s="33">
        <f>B6-(B10+B12+B14)-B16</f>
        <v/>
      </c>
      <c r="C19" s="33">
        <f>C6-(C10+C12+C14)-C16</f>
        <v/>
      </c>
      <c r="D19" s="33">
        <f>D6-(D10+D12+D14)-D16</f>
        <v/>
      </c>
      <c r="E19" s="33">
        <f>E6-(E10+E12+E14)-E16</f>
        <v/>
      </c>
      <c r="F19" s="33">
        <f>F6-(F10+F12+F14)-F16</f>
        <v/>
      </c>
      <c r="G19" s="33">
        <f>G6-(G10+G12+G14)-G16</f>
        <v/>
      </c>
      <c r="H19" s="33">
        <f>H6-(H10+H12+H14)-H16</f>
        <v/>
      </c>
      <c r="I19" s="33">
        <f>I6-(I10+I12+I14)-I16</f>
        <v/>
      </c>
      <c r="J19" s="33">
        <f>J6-(J10+J12+J14)-J16</f>
        <v/>
      </c>
      <c r="K19" s="33">
        <f>K6-(K10+K12+K14)-K16</f>
        <v/>
      </c>
      <c r="L19" s="33">
        <f>L6-(L10+L12+L14)-L16</f>
        <v/>
      </c>
      <c r="M19" s="33">
        <f>M6-(M10+M12+M14)-M16</f>
        <v/>
      </c>
      <c r="N19" s="33">
        <f>N6-(N10+N12+N14)-N16</f>
        <v/>
      </c>
      <c r="O19" s="33">
        <f>O6-(O10+O12+O14)-O16</f>
        <v/>
      </c>
      <c r="P19" s="33">
        <f>P6-(P10+P12+P14)-P16</f>
        <v/>
      </c>
    </row>
    <row r="20">
      <c r="A20" s="4" t="inlineStr">
        <is>
          <t xml:space="preserve">    operating margin</t>
        </is>
      </c>
      <c r="B20" s="57">
        <f>IFERROR(B19/B6,"")</f>
        <v/>
      </c>
      <c r="C20" s="57">
        <f>IFERROR(C19/C6,"")</f>
        <v/>
      </c>
      <c r="D20" s="57">
        <f>IFERROR(D19/D6,"")</f>
        <v/>
      </c>
      <c r="E20" s="57">
        <f>IFERROR(E19/E6,"")</f>
        <v/>
      </c>
      <c r="F20" s="57">
        <f>IFERROR(F19/F6,"")</f>
        <v/>
      </c>
      <c r="G20" s="57">
        <f>IFERROR(G19/G6,"")</f>
        <v/>
      </c>
      <c r="H20" s="57">
        <f>IFERROR(H19/H6,"")</f>
        <v/>
      </c>
      <c r="I20" s="57">
        <f>IFERROR(I19/I6,"")</f>
        <v/>
      </c>
      <c r="J20" s="57">
        <f>IFERROR(J19/J6,"")</f>
        <v/>
      </c>
      <c r="K20" s="57">
        <f>IFERROR(K19/K6,"")</f>
        <v/>
      </c>
      <c r="L20" s="57">
        <f>IFERROR(L19/L6,"")</f>
        <v/>
      </c>
      <c r="M20" s="57">
        <f>IFERROR(M19/M6,"")</f>
        <v/>
      </c>
      <c r="N20" s="57">
        <f>IFERROR(N19/N6,"")</f>
        <v/>
      </c>
      <c r="O20" s="57">
        <f>IFERROR(O19/O6,"")</f>
        <v/>
      </c>
      <c r="P20" s="57">
        <f>IFERROR(P19/P6,"")</f>
        <v/>
      </c>
    </row>
    <row r="22">
      <c r="A22" s="5" t="inlineStr">
        <is>
          <t xml:space="preserve">  FCF BRIDGE (NOPAT + D&amp;A + SBC - dNWC - Capex)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  <row r="23">
      <c r="A23" s="4" t="inlineStr">
        <is>
          <t>NOPAT = EBIT x (1 - tax)</t>
        </is>
      </c>
      <c r="B23" s="28">
        <f>B19*(1-Valuation!$B$5)</f>
        <v/>
      </c>
      <c r="C23" s="28">
        <f>C19*(1-Valuation!$B$5)</f>
        <v/>
      </c>
      <c r="D23" s="28">
        <f>D19*(1-Valuation!$B$5)</f>
        <v/>
      </c>
      <c r="E23" s="28">
        <f>E19*(1-Valuation!$B$5)</f>
        <v/>
      </c>
      <c r="F23" s="28">
        <f>F19*(1-Valuation!$B$5)</f>
        <v/>
      </c>
      <c r="G23" s="28">
        <f>G19*(1-Valuation!$B$5)</f>
        <v/>
      </c>
      <c r="H23" s="28">
        <f>H19*(1-Valuation!$B$5)</f>
        <v/>
      </c>
      <c r="I23" s="28">
        <f>I19*(1-Valuation!$B$5)</f>
        <v/>
      </c>
      <c r="J23" s="28">
        <f>J19*(1-Valuation!$B$5)</f>
        <v/>
      </c>
      <c r="K23" s="28">
        <f>K19*(1-Valuation!$B$5)</f>
        <v/>
      </c>
      <c r="L23" s="28">
        <f>L19*(1-Valuation!$B$5)</f>
        <v/>
      </c>
      <c r="M23" s="28">
        <f>M19*(1-Valuation!$B$5)</f>
        <v/>
      </c>
      <c r="N23" s="28">
        <f>N19*(1-Valuation!$B$5)</f>
        <v/>
      </c>
      <c r="O23" s="28">
        <f>O19*(1-Valuation!$B$5)</f>
        <v/>
      </c>
      <c r="P23" s="28">
        <f>P19*(1-Valuation!$B$5)</f>
        <v/>
      </c>
    </row>
    <row r="24">
      <c r="A24" s="4" t="inlineStr">
        <is>
          <t>+ D&amp;A</t>
        </is>
      </c>
      <c r="B24" s="28">
        <f>SUM(Financials!I34:L34)</f>
        <v/>
      </c>
      <c r="C24" s="28">
        <f>SUM(Financials!M34:P34)</f>
        <v/>
      </c>
      <c r="D24" s="28">
        <f>SUM(Financials!Q34:T34)</f>
        <v/>
      </c>
      <c r="E24" s="28">
        <f>SUM(Financials!U34:X34)</f>
        <v/>
      </c>
      <c r="F24" s="28">
        <f>SUM(Financials!Y34:AB34)</f>
        <v/>
      </c>
      <c r="G24" s="32">
        <f>G6*0.1739</f>
        <v/>
      </c>
      <c r="H24" s="32">
        <f>H6*0.1739</f>
        <v/>
      </c>
      <c r="I24" s="32">
        <f>I6*0.1739</f>
        <v/>
      </c>
      <c r="J24" s="32">
        <f>J6*0.1739</f>
        <v/>
      </c>
      <c r="K24" s="32">
        <f>K6*0.1739</f>
        <v/>
      </c>
      <c r="L24" s="32">
        <f>L6*0.1739</f>
        <v/>
      </c>
      <c r="M24" s="32">
        <f>M6*0.1739</f>
        <v/>
      </c>
      <c r="N24" s="32">
        <f>N6*0.1739</f>
        <v/>
      </c>
      <c r="O24" s="32">
        <f>O6*0.1739</f>
        <v/>
      </c>
      <c r="P24" s="32">
        <f>P6*0.1739</f>
        <v/>
      </c>
    </row>
    <row r="25">
      <c r="A25" s="4" t="inlineStr">
        <is>
          <t>+ SBC (non-cash)</t>
        </is>
      </c>
      <c r="B25" s="28">
        <f>SUM(Financials!I35:L35)</f>
        <v/>
      </c>
      <c r="C25" s="28">
        <f>SUM(Financials!M35:P35)</f>
        <v/>
      </c>
      <c r="D25" s="28">
        <f>SUM(Financials!Q35:T35)</f>
        <v/>
      </c>
      <c r="E25" s="28">
        <f>SUM(Financials!U35:X35)</f>
        <v/>
      </c>
      <c r="F25" s="28">
        <f>SUM(Financials!Y35:AB35)</f>
        <v/>
      </c>
      <c r="G25" s="32">
        <f>G6*0.0000</f>
        <v/>
      </c>
      <c r="H25" s="32">
        <f>H6*0.0000</f>
        <v/>
      </c>
      <c r="I25" s="32">
        <f>I6*0.0000</f>
        <v/>
      </c>
      <c r="J25" s="32">
        <f>J6*0.0000</f>
        <v/>
      </c>
      <c r="K25" s="32">
        <f>K6*0.0000</f>
        <v/>
      </c>
      <c r="L25" s="32">
        <f>L6*0.0000</f>
        <v/>
      </c>
      <c r="M25" s="32">
        <f>M6*0.0000</f>
        <v/>
      </c>
      <c r="N25" s="32">
        <f>N6*0.0000</f>
        <v/>
      </c>
      <c r="O25" s="32">
        <f>O6*0.0000</f>
        <v/>
      </c>
      <c r="P25" s="32">
        <f>P6*0.0000</f>
        <v/>
      </c>
    </row>
    <row r="26">
      <c r="A26" s="4" t="inlineStr">
        <is>
          <t>- dNWC</t>
        </is>
      </c>
      <c r="G26" s="32">
        <f>(G6-F6)*0.0050</f>
        <v/>
      </c>
      <c r="H26" s="32">
        <f>(H6-G6)*0.0050</f>
        <v/>
      </c>
      <c r="I26" s="32">
        <f>(I6-H6)*0.0050</f>
        <v/>
      </c>
      <c r="J26" s="32">
        <f>(J6-I6)*0.0050</f>
        <v/>
      </c>
      <c r="K26" s="32">
        <f>(K6-J6)*0.0050</f>
        <v/>
      </c>
      <c r="L26" s="32">
        <f>(L6-K6)*0.0050</f>
        <v/>
      </c>
      <c r="M26" s="32">
        <f>(M6-L6)*0.0050</f>
        <v/>
      </c>
      <c r="N26" s="32">
        <f>(N6-M6)*0.0050</f>
        <v/>
      </c>
      <c r="O26" s="32">
        <f>(O6-N6)*0.0050</f>
        <v/>
      </c>
      <c r="P26" s="32">
        <f>(P6-O6)*0.0050</f>
        <v/>
      </c>
    </row>
    <row r="27">
      <c r="A27" s="4" t="inlineStr">
        <is>
          <t>- Capex</t>
        </is>
      </c>
      <c r="B27" s="28">
        <f>-SUM(Financials!I38:L38)</f>
        <v/>
      </c>
      <c r="C27" s="28">
        <f>-SUM(Financials!M38:P38)</f>
        <v/>
      </c>
      <c r="D27" s="28">
        <f>-SUM(Financials!Q38:T38)</f>
        <v/>
      </c>
      <c r="E27" s="28">
        <f>-SUM(Financials!U38:X38)</f>
        <v/>
      </c>
      <c r="F27" s="28">
        <f>-SUM(Financials!Y38:AB38)</f>
        <v/>
      </c>
      <c r="G27" s="32">
        <f>G24*G28</f>
        <v/>
      </c>
      <c r="H27" s="32">
        <f>H24*H28</f>
        <v/>
      </c>
      <c r="I27" s="32">
        <f>I24*I28</f>
        <v/>
      </c>
      <c r="J27" s="32">
        <f>J24*J28</f>
        <v/>
      </c>
      <c r="K27" s="32">
        <f>K24*K28</f>
        <v/>
      </c>
      <c r="L27" s="32">
        <f>L24*L28</f>
        <v/>
      </c>
      <c r="M27" s="32">
        <f>M24*M28</f>
        <v/>
      </c>
      <c r="N27" s="32">
        <f>N24*N28</f>
        <v/>
      </c>
      <c r="O27" s="32">
        <f>O24*O28</f>
        <v/>
      </c>
      <c r="P27" s="32">
        <f>P24*P28</f>
        <v/>
      </c>
    </row>
    <row r="28">
      <c r="A28" s="4" t="inlineStr">
        <is>
          <t xml:space="preserve">    Capex / D&amp;A  (from Dashboard: $cap'26 -&gt; terminal)</t>
        </is>
      </c>
      <c r="B28" s="59">
        <f>IFERROR(B27/B24,"")</f>
        <v/>
      </c>
      <c r="C28" s="59">
        <f>IFERROR(C27/C24,"")</f>
        <v/>
      </c>
      <c r="D28" s="59">
        <f>IFERROR(D27/D24,"")</f>
        <v/>
      </c>
      <c r="E28" s="59">
        <f>IFERROR(E27/E24,"")</f>
        <v/>
      </c>
      <c r="F28" s="59">
        <f>IFERROR(F27/F24,"")</f>
        <v/>
      </c>
      <c r="G28" s="49">
        <f>(Dashboard!$B$34/G24)+(Dashboard!$B$35-(Dashboard!$B$34/G24))*0/9</f>
        <v/>
      </c>
      <c r="H28" s="49">
        <f>(Dashboard!$B$34/G24)+(Dashboard!$B$35-(Dashboard!$B$34/G24))*1/9</f>
        <v/>
      </c>
      <c r="I28" s="49">
        <f>(Dashboard!$B$34/G24)+(Dashboard!$B$35-(Dashboard!$B$34/G24))*2/9</f>
        <v/>
      </c>
      <c r="J28" s="49">
        <f>(Dashboard!$B$34/G24)+(Dashboard!$B$35-(Dashboard!$B$34/G24))*3/9</f>
        <v/>
      </c>
      <c r="K28" s="49">
        <f>(Dashboard!$B$34/G24)+(Dashboard!$B$35-(Dashboard!$B$34/G24))*4/9</f>
        <v/>
      </c>
      <c r="L28" s="49">
        <f>(Dashboard!$B$34/G24)+(Dashboard!$B$35-(Dashboard!$B$34/G24))*5/9</f>
        <v/>
      </c>
      <c r="M28" s="49">
        <f>(Dashboard!$B$34/G24)+(Dashboard!$B$35-(Dashboard!$B$34/G24))*6/9</f>
        <v/>
      </c>
      <c r="N28" s="49">
        <f>(Dashboard!$B$34/G24)+(Dashboard!$B$35-(Dashboard!$B$34/G24))*7/9</f>
        <v/>
      </c>
      <c r="O28" s="49">
        <f>(Dashboard!$B$34/G24)+(Dashboard!$B$35-(Dashboard!$B$34/G24))*8/9</f>
        <v/>
      </c>
      <c r="P28" s="49">
        <f>(Dashboard!$B$34/G24)+(Dashboard!$B$35-(Dashboard!$B$34/G24))*9/9</f>
        <v/>
      </c>
    </row>
    <row r="30">
      <c r="A30" s="3" t="inlineStr">
        <is>
          <t>FCFF (firm)</t>
        </is>
      </c>
      <c r="B30" s="33">
        <f>B23+B24+B25-B26-B27</f>
        <v/>
      </c>
      <c r="C30" s="33">
        <f>C23+C24+C25-C26-C27</f>
        <v/>
      </c>
      <c r="D30" s="33">
        <f>D23+D24+D25-D26-D27</f>
        <v/>
      </c>
      <c r="E30" s="33">
        <f>E23+E24+E25-E26-E27</f>
        <v/>
      </c>
      <c r="F30" s="33">
        <f>F23+F24+F25-F26-F27</f>
        <v/>
      </c>
      <c r="G30" s="33">
        <f>G23+G24+G25-G26-G27</f>
        <v/>
      </c>
      <c r="H30" s="33">
        <f>H23+H24+H25-H26-H27</f>
        <v/>
      </c>
      <c r="I30" s="33">
        <f>I23+I24+I25-I26-I27</f>
        <v/>
      </c>
      <c r="J30" s="33">
        <f>J23+J24+J25-J26-J27</f>
        <v/>
      </c>
      <c r="K30" s="33">
        <f>K23+K24+K25-K26-K27</f>
        <v/>
      </c>
      <c r="L30" s="33">
        <f>L23+L24+L25-L26-L27</f>
        <v/>
      </c>
      <c r="M30" s="33">
        <f>M23+M24+M25-M26-M27</f>
        <v/>
      </c>
      <c r="N30" s="33">
        <f>N23+N24+N25-N26-N27</f>
        <v/>
      </c>
      <c r="O30" s="33">
        <f>O23+O24+O25-O26-O27</f>
        <v/>
      </c>
      <c r="P30" s="33">
        <f>P23+P24+P25-P26-P27</f>
        <v/>
      </c>
    </row>
    <row r="31">
      <c r="A31" s="3" t="inlineStr">
        <is>
          <t>Valuation FCF (FCFF - SBC)</t>
        </is>
      </c>
      <c r="B31" s="33">
        <f>B30-B25</f>
        <v/>
      </c>
      <c r="C31" s="33">
        <f>C30-C25</f>
        <v/>
      </c>
      <c r="D31" s="33">
        <f>D30-D25</f>
        <v/>
      </c>
      <c r="E31" s="33">
        <f>E30-E25</f>
        <v/>
      </c>
      <c r="F31" s="33">
        <f>F30-F25</f>
        <v/>
      </c>
      <c r="G31" s="33">
        <f>G30-G25</f>
        <v/>
      </c>
      <c r="H31" s="33">
        <f>H30-H25</f>
        <v/>
      </c>
      <c r="I31" s="33">
        <f>I30-I25</f>
        <v/>
      </c>
      <c r="J31" s="33">
        <f>J30-J25</f>
        <v/>
      </c>
      <c r="K31" s="33">
        <f>K30-K25</f>
        <v/>
      </c>
      <c r="L31" s="33">
        <f>L30-L25</f>
        <v/>
      </c>
      <c r="M31" s="33">
        <f>M30-M25</f>
        <v/>
      </c>
      <c r="N31" s="33">
        <f>N30-N25</f>
        <v/>
      </c>
      <c r="O31" s="33">
        <f>O30-O25</f>
        <v/>
      </c>
      <c r="P31" s="33">
        <f>P30-P25</f>
        <v/>
      </c>
    </row>
    <row r="33">
      <c r="A33" s="5" t="inlineStr">
        <is>
          <t xml:space="preserve">  RETURNS ON CAPITAL &amp; EFFICIENCY  (is new revenue/capital earning its keep?)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4" t="inlineStr">
        <is>
          <t>Invested capital (debt + equity - cash)</t>
        </is>
      </c>
      <c r="B34" s="28">
        <f>Financials!L32+Financials!L31-Financials!L26</f>
        <v/>
      </c>
      <c r="C34" s="28">
        <f>Financials!P32+Financials!P31-Financials!P26</f>
        <v/>
      </c>
      <c r="D34" s="28">
        <f>Financials!T32+Financials!T31-Financials!T26</f>
        <v/>
      </c>
      <c r="E34" s="28">
        <f>Financials!X32+Financials!X31-Financials!X26</f>
        <v/>
      </c>
      <c r="F34" s="28">
        <f>Financials!AB32+Financials!AB31-Financials!AB26</f>
        <v/>
      </c>
      <c r="G34" s="32">
        <f>F34+G27-G24+G26</f>
        <v/>
      </c>
      <c r="H34" s="32">
        <f>G34+H27-H24+H26</f>
        <v/>
      </c>
      <c r="I34" s="32">
        <f>H34+I27-I24+I26</f>
        <v/>
      </c>
      <c r="J34" s="32">
        <f>I34+J27-J24+J26</f>
        <v/>
      </c>
      <c r="K34" s="32">
        <f>J34+K27-K24+K26</f>
        <v/>
      </c>
      <c r="L34" s="32">
        <f>K34+L27-L24+L26</f>
        <v/>
      </c>
      <c r="M34" s="32">
        <f>L34+M27-M24+M26</f>
        <v/>
      </c>
      <c r="N34" s="32">
        <f>M34+N27-N24+N26</f>
        <v/>
      </c>
      <c r="O34" s="32">
        <f>N34+O27-O24+O26</f>
        <v/>
      </c>
      <c r="P34" s="32">
        <f>O34+P27-P24+P26</f>
        <v/>
      </c>
    </row>
    <row r="35">
      <c r="A35" s="4" t="inlineStr">
        <is>
          <t>Book equity (year-end)</t>
        </is>
      </c>
      <c r="B35" s="28">
        <f>Financials!L32</f>
        <v/>
      </c>
      <c r="C35" s="28">
        <f>Financials!P32</f>
        <v/>
      </c>
      <c r="D35" s="28">
        <f>Financials!T32</f>
        <v/>
      </c>
      <c r="E35" s="28">
        <f>Financials!X32</f>
        <v/>
      </c>
      <c r="F35" s="28">
        <f>Financials!AB32</f>
        <v/>
      </c>
      <c r="G35" s="32">
        <f>F35+G23</f>
        <v/>
      </c>
      <c r="H35" s="32">
        <f>G35+H23</f>
        <v/>
      </c>
      <c r="I35" s="32">
        <f>H35+I23</f>
        <v/>
      </c>
      <c r="J35" s="32">
        <f>I35+J23</f>
        <v/>
      </c>
      <c r="K35" s="32">
        <f>J35+K23</f>
        <v/>
      </c>
      <c r="L35" s="32">
        <f>K35+L23</f>
        <v/>
      </c>
      <c r="M35" s="32">
        <f>L35+M23</f>
        <v/>
      </c>
      <c r="N35" s="32">
        <f>M35+N23</f>
        <v/>
      </c>
      <c r="O35" s="32">
        <f>N35+O23</f>
        <v/>
      </c>
      <c r="P35" s="32">
        <f>O35+P23</f>
        <v/>
      </c>
    </row>
    <row r="36">
      <c r="A36" s="3" t="inlineStr">
        <is>
          <t xml:space="preserve">  ROIC (NOPAT / beg. invested capital)</t>
        </is>
      </c>
      <c r="C36" s="57">
        <f>IFERROR(C23/B34,"")</f>
        <v/>
      </c>
      <c r="D36" s="57">
        <f>IFERROR(D23/C34,"")</f>
        <v/>
      </c>
      <c r="E36" s="57">
        <f>IFERROR(E23/D34,"")</f>
        <v/>
      </c>
      <c r="F36" s="57">
        <f>IFERROR(F23/E34,"")</f>
        <v/>
      </c>
      <c r="G36" s="57">
        <f>IFERROR(G23/F34,"")</f>
        <v/>
      </c>
      <c r="H36" s="57">
        <f>IFERROR(H23/G34,"")</f>
        <v/>
      </c>
      <c r="I36" s="57">
        <f>IFERROR(I23/H34,"")</f>
        <v/>
      </c>
      <c r="J36" s="57">
        <f>IFERROR(J23/I34,"")</f>
        <v/>
      </c>
      <c r="K36" s="57">
        <f>IFERROR(K23/J34,"")</f>
        <v/>
      </c>
      <c r="L36" s="57">
        <f>IFERROR(L23/K34,"")</f>
        <v/>
      </c>
      <c r="M36" s="57">
        <f>IFERROR(M23/L34,"")</f>
        <v/>
      </c>
      <c r="N36" s="57">
        <f>IFERROR(N23/M34,"")</f>
        <v/>
      </c>
      <c r="O36" s="57">
        <f>IFERROR(O23/N34,"")</f>
        <v/>
      </c>
      <c r="P36" s="57">
        <f>IFERROR(P23/O34,"")</f>
        <v/>
      </c>
    </row>
    <row r="37">
      <c r="A37" s="3" t="inlineStr">
        <is>
          <t xml:space="preserve">  ROE (earnings / beg. equity)</t>
        </is>
      </c>
      <c r="C37" s="48">
        <f>IFERROR(SUM(Financials!M15:P15)/B35,"")</f>
        <v/>
      </c>
      <c r="D37" s="48">
        <f>IFERROR(SUM(Financials!Q15:T15)/C35,"")</f>
        <v/>
      </c>
      <c r="E37" s="48">
        <f>IFERROR(SUM(Financials!U15:X15)/D35,"")</f>
        <v/>
      </c>
      <c r="F37" s="48">
        <f>IFERROR(SUM(Financials!Y15:AB15)/E35,"")</f>
        <v/>
      </c>
      <c r="G37" s="57">
        <f>IFERROR(G23/F35,"")</f>
        <v/>
      </c>
      <c r="H37" s="57">
        <f>IFERROR(H23/G35,"")</f>
        <v/>
      </c>
      <c r="I37" s="57">
        <f>IFERROR(I23/H35,"")</f>
        <v/>
      </c>
      <c r="J37" s="57">
        <f>IFERROR(J23/I35,"")</f>
        <v/>
      </c>
      <c r="K37" s="57">
        <f>IFERROR(K23/J35,"")</f>
        <v/>
      </c>
      <c r="L37" s="57">
        <f>IFERROR(L23/K35,"")</f>
        <v/>
      </c>
      <c r="M37" s="57">
        <f>IFERROR(M23/L35,"")</f>
        <v/>
      </c>
      <c r="N37" s="57">
        <f>IFERROR(N23/M35,"")</f>
        <v/>
      </c>
      <c r="O37" s="57">
        <f>IFERROR(O23/N35,"")</f>
        <v/>
      </c>
      <c r="P37" s="57">
        <f>IFERROR(P23/O35,"")</f>
        <v/>
      </c>
    </row>
    <row r="38">
      <c r="A38" s="4" t="inlineStr">
        <is>
          <t xml:space="preserve">  ROIC - WACC spread (value created)</t>
        </is>
      </c>
      <c r="C38" s="48">
        <f>IFERROR(C36-WACC!$B$14,"")</f>
        <v/>
      </c>
      <c r="D38" s="48">
        <f>IFERROR(D36-WACC!$B$14,"")</f>
        <v/>
      </c>
      <c r="E38" s="48">
        <f>IFERROR(E36-WACC!$B$14,"")</f>
        <v/>
      </c>
      <c r="F38" s="48">
        <f>IFERROR(F36-WACC!$B$14,"")</f>
        <v/>
      </c>
      <c r="G38" s="48">
        <f>IFERROR(G36-WACC!$B$14,"")</f>
        <v/>
      </c>
      <c r="H38" s="48">
        <f>IFERROR(H36-WACC!$B$14,"")</f>
        <v/>
      </c>
      <c r="I38" s="48">
        <f>IFERROR(I36-WACC!$B$14,"")</f>
        <v/>
      </c>
      <c r="J38" s="48">
        <f>IFERROR(J36-WACC!$B$14,"")</f>
        <v/>
      </c>
      <c r="K38" s="48">
        <f>IFERROR(K36-WACC!$B$14,"")</f>
        <v/>
      </c>
      <c r="L38" s="48">
        <f>IFERROR(L36-WACC!$B$14,"")</f>
        <v/>
      </c>
      <c r="M38" s="48">
        <f>IFERROR(M36-WACC!$B$14,"")</f>
        <v/>
      </c>
      <c r="N38" s="48">
        <f>IFERROR(N36-WACC!$B$14,"")</f>
        <v/>
      </c>
      <c r="O38" s="48">
        <f>IFERROR(O36-WACC!$B$14,"")</f>
        <v/>
      </c>
      <c r="P38" s="48">
        <f>IFERROR(P36-WACC!$B$14,"")</f>
        <v/>
      </c>
    </row>
    <row r="39">
      <c r="A39" s="4" t="inlineStr">
        <is>
          <t xml:space="preserve">  Incremental op margin (ΔEBIT / ΔRev)</t>
        </is>
      </c>
      <c r="C39" s="57">
        <f>IFERROR((C19-B19)/(C6-B6),"")</f>
        <v/>
      </c>
      <c r="D39" s="57">
        <f>IFERROR((D19-C19)/(D6-C6),"")</f>
        <v/>
      </c>
      <c r="E39" s="57">
        <f>IFERROR((E19-D19)/(E6-D6),"")</f>
        <v/>
      </c>
      <c r="F39" s="57">
        <f>IFERROR((F19-E19)/(F6-E6),"")</f>
        <v/>
      </c>
      <c r="G39" s="57">
        <f>IFERROR((G19-F19)/(G6-F6),"")</f>
        <v/>
      </c>
      <c r="H39" s="57">
        <f>IFERROR((H19-G19)/(H6-G6),"")</f>
        <v/>
      </c>
      <c r="I39" s="57">
        <f>IFERROR((I19-H19)/(I6-H6),"")</f>
        <v/>
      </c>
      <c r="J39" s="57">
        <f>IFERROR((J19-I19)/(J6-I6),"")</f>
        <v/>
      </c>
      <c r="K39" s="57">
        <f>IFERROR((K19-J19)/(K6-J6),"")</f>
        <v/>
      </c>
      <c r="L39" s="57">
        <f>IFERROR((L19-K19)/(L6-K6),"")</f>
        <v/>
      </c>
      <c r="M39" s="57">
        <f>IFERROR((M19-L19)/(M6-L6),"")</f>
        <v/>
      </c>
      <c r="N39" s="57">
        <f>IFERROR((N19-M19)/(N6-M6),"")</f>
        <v/>
      </c>
      <c r="O39" s="57">
        <f>IFERROR((O19-N19)/(O6-N6),"")</f>
        <v/>
      </c>
      <c r="P39" s="57">
        <f>IFERROR((P19-O19)/(P6-O6),"")</f>
        <v/>
      </c>
    </row>
    <row r="40">
      <c r="A40" s="3" t="inlineStr">
        <is>
          <t xml:space="preserve">  ROIIC (ΔNOPAT / ΔInvested capital)</t>
        </is>
      </c>
      <c r="C40" s="57">
        <f>IFERROR((C23-B23)/(C34-B34),"")</f>
        <v/>
      </c>
      <c r="D40" s="57">
        <f>IFERROR((D23-C23)/(D34-C34),"")</f>
        <v/>
      </c>
      <c r="E40" s="57">
        <f>IFERROR((E23-D23)/(E34-D34),"")</f>
        <v/>
      </c>
      <c r="F40" s="57">
        <f>IFERROR((F23-E23)/(F34-E34),"")</f>
        <v/>
      </c>
      <c r="G40" s="57">
        <f>IFERROR((G23-F23)/(G34-F34),"")</f>
        <v/>
      </c>
      <c r="H40" s="57">
        <f>IFERROR((H23-G23)/(H34-G34),"")</f>
        <v/>
      </c>
      <c r="I40" s="57">
        <f>IFERROR((I23-H23)/(I34-H34),"")</f>
        <v/>
      </c>
      <c r="J40" s="57">
        <f>IFERROR((J23-I23)/(J34-I34),"")</f>
        <v/>
      </c>
      <c r="K40" s="57">
        <f>IFERROR((K23-J23)/(K34-J34),"")</f>
        <v/>
      </c>
      <c r="L40" s="57">
        <f>IFERROR((L23-K23)/(L34-K34),"")</f>
        <v/>
      </c>
      <c r="M40" s="57">
        <f>IFERROR((M23-L23)/(M34-L34),"")</f>
        <v/>
      </c>
      <c r="N40" s="57">
        <f>IFERROR((N23-M23)/(N34-M34),"")</f>
        <v/>
      </c>
      <c r="O40" s="57">
        <f>IFERROR((O23-N23)/(O34-N34),"")</f>
        <v/>
      </c>
      <c r="P40" s="57">
        <f>IFERROR((P23-O23)/(P34-O34),"")</f>
        <v/>
      </c>
    </row>
    <row r="41">
      <c r="A41" s="4" t="inlineStr">
        <is>
          <t xml:space="preserve">  Sales-to-capital (ΔRev / ΔInvested capital)</t>
        </is>
      </c>
      <c r="C41" s="60">
        <f>IFERROR((C6-B6)/(C34-B34),"")</f>
        <v/>
      </c>
      <c r="D41" s="60">
        <f>IFERROR((D6-C6)/(D34-C34),"")</f>
        <v/>
      </c>
      <c r="E41" s="60">
        <f>IFERROR((E6-D6)/(E34-D34),"")</f>
        <v/>
      </c>
      <c r="F41" s="60">
        <f>IFERROR((F6-E6)/(F34-E34),"")</f>
        <v/>
      </c>
      <c r="G41" s="60">
        <f>IFERROR((G6-F6)/(G34-F34),"")</f>
        <v/>
      </c>
      <c r="H41" s="60">
        <f>IFERROR((H6-G6)/(H34-G34),"")</f>
        <v/>
      </c>
      <c r="I41" s="60">
        <f>IFERROR((I6-H6)/(I34-H34),"")</f>
        <v/>
      </c>
      <c r="J41" s="60">
        <f>IFERROR((J6-I6)/(J34-I34),"")</f>
        <v/>
      </c>
      <c r="K41" s="60">
        <f>IFERROR((K6-J6)/(K34-J34),"")</f>
        <v/>
      </c>
      <c r="L41" s="60">
        <f>IFERROR((L6-K6)/(L34-K34),"")</f>
        <v/>
      </c>
      <c r="M41" s="60">
        <f>IFERROR((M6-L6)/(M34-L34),"")</f>
        <v/>
      </c>
      <c r="N41" s="60">
        <f>IFERROR((N6-M6)/(N34-M34),"")</f>
        <v/>
      </c>
      <c r="O41" s="60">
        <f>IFERROR((O6-N6)/(O34-N34),"")</f>
        <v/>
      </c>
      <c r="P41" s="60">
        <f>IFERROR((P6-O6)/(P34-O34),"")</f>
        <v/>
      </c>
    </row>
    <row r="42">
      <c r="A42" s="4" t="inlineStr">
        <is>
          <t xml:space="preserve">  Reinvestment rate (ΔInvested capital / NOPAT)</t>
        </is>
      </c>
      <c r="C42" s="57">
        <f>IFERROR((C34-B34)/C23,"")</f>
        <v/>
      </c>
      <c r="D42" s="57">
        <f>IFERROR((D34-C34)/D23,"")</f>
        <v/>
      </c>
      <c r="E42" s="57">
        <f>IFERROR((E34-D34)/E23,"")</f>
        <v/>
      </c>
      <c r="F42" s="57">
        <f>IFERROR((F34-E34)/F23,"")</f>
        <v/>
      </c>
      <c r="G42" s="57">
        <f>IFERROR((G34-F34)/G23,"")</f>
        <v/>
      </c>
      <c r="H42" s="57">
        <f>IFERROR((H34-G34)/H23,"")</f>
        <v/>
      </c>
      <c r="I42" s="57">
        <f>IFERROR((I34-H34)/I23,"")</f>
        <v/>
      </c>
      <c r="J42" s="57">
        <f>IFERROR((J34-I34)/J23,"")</f>
        <v/>
      </c>
      <c r="K42" s="57">
        <f>IFERROR((K34-J34)/K23,"")</f>
        <v/>
      </c>
      <c r="L42" s="57">
        <f>IFERROR((L34-K34)/L23,"")</f>
        <v/>
      </c>
      <c r="M42" s="57">
        <f>IFERROR((M34-L34)/M23,"")</f>
        <v/>
      </c>
      <c r="N42" s="57">
        <f>IFERROR((N34-M34)/N23,"")</f>
        <v/>
      </c>
      <c r="O42" s="57">
        <f>IFERROR((O34-N34)/O23,"")</f>
        <v/>
      </c>
      <c r="P42" s="57">
        <f>IFERROR((P34-O34)/P23,"")</f>
        <v/>
      </c>
    </row>
    <row r="44">
      <c r="A44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41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36" t="inlineStr">
        <is>
          <t>Q2 2019</t>
        </is>
      </c>
      <c r="C1" s="36" t="inlineStr">
        <is>
          <t>Q3 2019</t>
        </is>
      </c>
      <c r="D1" s="36" t="inlineStr">
        <is>
          <t>Q4 2019</t>
        </is>
      </c>
      <c r="E1" s="36" t="inlineStr">
        <is>
          <t>Q1 2020</t>
        </is>
      </c>
      <c r="F1" s="36" t="inlineStr">
        <is>
          <t>Q2 2020</t>
        </is>
      </c>
      <c r="G1" s="36" t="inlineStr">
        <is>
          <t>Q3 2020</t>
        </is>
      </c>
      <c r="H1" s="36" t="inlineStr">
        <is>
          <t>Q4 2020</t>
        </is>
      </c>
      <c r="I1" s="36" t="inlineStr">
        <is>
          <t>Q1 2021</t>
        </is>
      </c>
      <c r="J1" s="36" t="inlineStr">
        <is>
          <t>Q2 2021</t>
        </is>
      </c>
      <c r="K1" s="36" t="inlineStr">
        <is>
          <t>Q3 2021</t>
        </is>
      </c>
      <c r="L1" s="36" t="inlineStr">
        <is>
          <t>Q4 2021</t>
        </is>
      </c>
      <c r="M1" s="36" t="inlineStr">
        <is>
          <t>Q1 2022</t>
        </is>
      </c>
      <c r="N1" s="36" t="inlineStr">
        <is>
          <t>Q2 2022</t>
        </is>
      </c>
      <c r="O1" s="36" t="inlineStr">
        <is>
          <t>Q3 2022</t>
        </is>
      </c>
      <c r="P1" s="36" t="inlineStr">
        <is>
          <t>Q4 2022</t>
        </is>
      </c>
      <c r="Q1" s="36" t="inlineStr">
        <is>
          <t>Q1 2023</t>
        </is>
      </c>
      <c r="R1" s="36" t="inlineStr">
        <is>
          <t>Q2 2023</t>
        </is>
      </c>
      <c r="S1" s="36" t="inlineStr">
        <is>
          <t>Q3 2023</t>
        </is>
      </c>
      <c r="T1" s="36" t="inlineStr">
        <is>
          <t>Q4 2023</t>
        </is>
      </c>
      <c r="U1" s="36" t="inlineStr">
        <is>
          <t>Q1 2024</t>
        </is>
      </c>
      <c r="V1" s="36" t="inlineStr">
        <is>
          <t>Q2 2024</t>
        </is>
      </c>
      <c r="W1" s="36" t="inlineStr">
        <is>
          <t>Q3 2024</t>
        </is>
      </c>
      <c r="X1" s="36" t="inlineStr">
        <is>
          <t>Q4 2024</t>
        </is>
      </c>
      <c r="Y1" s="36" t="inlineStr">
        <is>
          <t>Q1 2025</t>
        </is>
      </c>
      <c r="Z1" s="36" t="inlineStr">
        <is>
          <t>Q2 2025</t>
        </is>
      </c>
      <c r="AA1" s="36" t="inlineStr">
        <is>
          <t>Q3 2025</t>
        </is>
      </c>
      <c r="AB1" s="36" t="inlineStr">
        <is>
          <t>Q4 2025</t>
        </is>
      </c>
      <c r="AC1" s="36" t="inlineStr">
        <is>
          <t>Q1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882</v>
      </c>
      <c r="C3" s="18" t="n">
        <v>1013</v>
      </c>
      <c r="D3" s="18" t="n">
        <v>902</v>
      </c>
      <c r="E3" s="18" t="n">
        <v>844</v>
      </c>
      <c r="F3" s="18" t="n">
        <v>931</v>
      </c>
      <c r="G3" s="18" t="n">
        <v>1079</v>
      </c>
      <c r="H3" s="18" t="n">
        <v>923</v>
      </c>
      <c r="I3" s="18" t="n">
        <v>888</v>
      </c>
      <c r="J3" s="18" t="n">
        <v>999</v>
      </c>
      <c r="K3" s="18" t="n">
        <v>1092</v>
      </c>
      <c r="L3" s="18" t="n">
        <v>951</v>
      </c>
      <c r="M3" s="18" t="n">
        <v>842</v>
      </c>
      <c r="N3" s="18" t="n">
        <v>937</v>
      </c>
      <c r="O3" s="18" t="n">
        <v>1082</v>
      </c>
      <c r="P3" s="18" t="n">
        <v>931</v>
      </c>
      <c r="Q3" s="18" t="n">
        <v>938</v>
      </c>
      <c r="R3" s="18" t="n">
        <v>1097</v>
      </c>
      <c r="S3" s="18" t="n">
        <v>1167</v>
      </c>
      <c r="T3" s="18" t="n">
        <v>1032</v>
      </c>
      <c r="U3" s="18" t="n">
        <v>1011</v>
      </c>
      <c r="V3" s="18" t="n">
        <v>1149</v>
      </c>
      <c r="W3" s="18" t="n">
        <v>1323</v>
      </c>
      <c r="X3" s="18" t="n">
        <v>1201</v>
      </c>
      <c r="Y3" s="18" t="n">
        <v>1142</v>
      </c>
      <c r="Z3" s="18" t="n">
        <v>1276</v>
      </c>
      <c r="AA3" s="18" t="n">
        <v>1451</v>
      </c>
      <c r="AB3" s="18" t="n">
        <v>1271</v>
      </c>
      <c r="AC3" s="18" t="n">
        <v>1207</v>
      </c>
    </row>
    <row r="4">
      <c r="A4" s="4" t="inlineStr">
        <is>
          <t xml:space="preserve">    % YoY</t>
        </is>
      </c>
      <c r="F4" s="57">
        <f>IFERROR(F3/B3-1,"")</f>
        <v/>
      </c>
      <c r="G4" s="57">
        <f>IFERROR(G3/C3-1,"")</f>
        <v/>
      </c>
      <c r="H4" s="57">
        <f>IFERROR(H3/D3-1,"")</f>
        <v/>
      </c>
      <c r="I4" s="57">
        <f>IFERROR(I3/E3-1,"")</f>
        <v/>
      </c>
      <c r="J4" s="57">
        <f>IFERROR(J3/F3-1,"")</f>
        <v/>
      </c>
      <c r="K4" s="57">
        <f>IFERROR(K3/G3-1,"")</f>
        <v/>
      </c>
      <c r="L4" s="57">
        <f>IFERROR(L3/H3-1,"")</f>
        <v/>
      </c>
      <c r="M4" s="57">
        <f>IFERROR(M3/I3-1,"")</f>
        <v/>
      </c>
      <c r="N4" s="57">
        <f>IFERROR(N3/J3-1,"")</f>
        <v/>
      </c>
      <c r="O4" s="57">
        <f>IFERROR(O3/K3-1,"")</f>
        <v/>
      </c>
      <c r="P4" s="57">
        <f>IFERROR(P3/L3-1,"")</f>
        <v/>
      </c>
      <c r="Q4" s="57">
        <f>IFERROR(Q3/M3-1,"")</f>
        <v/>
      </c>
      <c r="R4" s="57">
        <f>IFERROR(R3/N3-1,"")</f>
        <v/>
      </c>
      <c r="S4" s="57">
        <f>IFERROR(S3/O3-1,"")</f>
        <v/>
      </c>
      <c r="T4" s="57">
        <f>IFERROR(T3/P3-1,"")</f>
        <v/>
      </c>
      <c r="U4" s="57">
        <f>IFERROR(U3/Q3-1,"")</f>
        <v/>
      </c>
      <c r="V4" s="57">
        <f>IFERROR(V3/R3-1,"")</f>
        <v/>
      </c>
      <c r="W4" s="57">
        <f>IFERROR(W3/S3-1,"")</f>
        <v/>
      </c>
      <c r="X4" s="57">
        <f>IFERROR(X3/T3-1,"")</f>
        <v/>
      </c>
      <c r="Y4" s="57">
        <f>IFERROR(Y3/U3-1,"")</f>
        <v/>
      </c>
      <c r="Z4" s="57">
        <f>IFERROR(Z3/V3-1,"")</f>
        <v/>
      </c>
      <c r="AA4" s="57">
        <f>IFERROR(AA3/W3-1,"")</f>
        <v/>
      </c>
      <c r="AB4" s="57">
        <f>IFERROR(AB3/X3-1,"")</f>
        <v/>
      </c>
      <c r="AC4" s="57">
        <f>IFERROR(AC3/Y3-1,"")</f>
        <v/>
      </c>
    </row>
    <row r="5">
      <c r="A5" s="4" t="inlineStr">
        <is>
          <t>Cost of Revenue</t>
        </is>
      </c>
      <c r="B5" s="18" t="n">
        <v>372</v>
      </c>
      <c r="C5" s="18" t="n">
        <v>395</v>
      </c>
      <c r="D5" s="18" t="n">
        <v>412</v>
      </c>
      <c r="E5" s="18" t="n">
        <v>383</v>
      </c>
      <c r="F5" s="18" t="n">
        <v>391</v>
      </c>
      <c r="G5" s="18" t="n">
        <v>419</v>
      </c>
      <c r="H5" s="18" t="n">
        <v>429</v>
      </c>
      <c r="I5" s="18" t="n">
        <v>419</v>
      </c>
      <c r="J5" s="18" t="n">
        <v>431</v>
      </c>
      <c r="K5" s="18" t="n">
        <v>436</v>
      </c>
      <c r="L5" s="18" t="n">
        <v>491</v>
      </c>
      <c r="M5" s="18" t="n">
        <v>364</v>
      </c>
      <c r="N5" s="18" t="n">
        <v>376</v>
      </c>
      <c r="O5" s="18" t="n">
        <v>416</v>
      </c>
      <c r="P5" s="18" t="n">
        <v>433</v>
      </c>
      <c r="Q5" s="18" t="n">
        <v>393</v>
      </c>
      <c r="R5" s="18" t="n">
        <v>419</v>
      </c>
      <c r="S5" s="18" t="n">
        <v>436</v>
      </c>
      <c r="T5" s="18" t="n">
        <v>472</v>
      </c>
      <c r="U5" s="18" t="n">
        <v>416</v>
      </c>
      <c r="V5" s="18" t="n">
        <v>427</v>
      </c>
      <c r="W5" s="18" t="n">
        <v>496</v>
      </c>
      <c r="X5" s="18" t="n">
        <v>519</v>
      </c>
      <c r="Y5" s="18" t="n">
        <v>468</v>
      </c>
      <c r="Z5" s="18" t="n">
        <v>480</v>
      </c>
      <c r="AA5" s="18" t="n">
        <v>523</v>
      </c>
      <c r="AB5" s="18" t="n">
        <v>1442</v>
      </c>
      <c r="AC5" s="18" t="n">
        <v>493</v>
      </c>
    </row>
    <row r="6">
      <c r="A6" s="4" t="inlineStr">
        <is>
          <t xml:space="preserve">    % of revenue</t>
        </is>
      </c>
      <c r="B6" s="57">
        <f>IFERROR(B5/B3,"")</f>
        <v/>
      </c>
      <c r="C6" s="57">
        <f>IFERROR(C5/C3,"")</f>
        <v/>
      </c>
      <c r="D6" s="57">
        <f>IFERROR(D5/D3,"")</f>
        <v/>
      </c>
      <c r="E6" s="57">
        <f>IFERROR(E5/E3,"")</f>
        <v/>
      </c>
      <c r="F6" s="57">
        <f>IFERROR(F5/F3,"")</f>
        <v/>
      </c>
      <c r="G6" s="57">
        <f>IFERROR(G5/G3,"")</f>
        <v/>
      </c>
      <c r="H6" s="57">
        <f>IFERROR(H5/H3,"")</f>
        <v/>
      </c>
      <c r="I6" s="57">
        <f>IFERROR(I5/I3,"")</f>
        <v/>
      </c>
      <c r="J6" s="57">
        <f>IFERROR(J5/J3,"")</f>
        <v/>
      </c>
      <c r="K6" s="57">
        <f>IFERROR(K5/K3,"")</f>
        <v/>
      </c>
      <c r="L6" s="57">
        <f>IFERROR(L5/L3,"")</f>
        <v/>
      </c>
      <c r="M6" s="57">
        <f>IFERROR(M5/M3,"")</f>
        <v/>
      </c>
      <c r="N6" s="57">
        <f>IFERROR(N5/N3,"")</f>
        <v/>
      </c>
      <c r="O6" s="57">
        <f>IFERROR(O5/O3,"")</f>
        <v/>
      </c>
      <c r="P6" s="57">
        <f>IFERROR(P5/P3,"")</f>
        <v/>
      </c>
      <c r="Q6" s="57">
        <f>IFERROR(Q5/Q3,"")</f>
        <v/>
      </c>
      <c r="R6" s="57">
        <f>IFERROR(R5/R3,"")</f>
        <v/>
      </c>
      <c r="S6" s="57">
        <f>IFERROR(S5/S3,"")</f>
        <v/>
      </c>
      <c r="T6" s="57">
        <f>IFERROR(T5/T3,"")</f>
        <v/>
      </c>
      <c r="U6" s="57">
        <f>IFERROR(U5/U3,"")</f>
        <v/>
      </c>
      <c r="V6" s="57">
        <f>IFERROR(V5/V3,"")</f>
        <v/>
      </c>
      <c r="W6" s="57">
        <f>IFERROR(W5/W3,"")</f>
        <v/>
      </c>
      <c r="X6" s="57">
        <f>IFERROR(X5/X3,"")</f>
        <v/>
      </c>
      <c r="Y6" s="57">
        <f>IFERROR(Y5/Y3,"")</f>
        <v/>
      </c>
      <c r="Z6" s="57">
        <f>IFERROR(Z5/Z3,"")</f>
        <v/>
      </c>
      <c r="AA6" s="57">
        <f>IFERROR(AA5/AA3,"")</f>
        <v/>
      </c>
      <c r="AB6" s="57">
        <f>IFERROR(AB5/AB3,"")</f>
        <v/>
      </c>
      <c r="AC6" s="57">
        <f>IFERROR(AC5/AC3,"")</f>
        <v/>
      </c>
    </row>
    <row r="7">
      <c r="A7" s="4" t="inlineStr">
        <is>
          <t>R&amp;D Expense</t>
        </is>
      </c>
      <c r="B7" s="18" t="n">
        <v>0</v>
      </c>
      <c r="C7" s="18" t="n">
        <v>0</v>
      </c>
      <c r="D7" s="18" t="n">
        <v>0</v>
      </c>
      <c r="E7" s="18" t="n">
        <v>0</v>
      </c>
      <c r="F7" s="18" t="n">
        <v>0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0</v>
      </c>
      <c r="N7" s="18" t="n">
        <v>0</v>
      </c>
      <c r="O7" s="18" t="n">
        <v>0</v>
      </c>
      <c r="P7" s="18" t="n">
        <v>0</v>
      </c>
      <c r="Q7" s="18" t="n">
        <v>0</v>
      </c>
      <c r="R7" s="18" t="n">
        <v>0</v>
      </c>
      <c r="S7" s="18" t="n">
        <v>0</v>
      </c>
      <c r="T7" s="18" t="n">
        <v>0</v>
      </c>
      <c r="U7" s="18" t="n">
        <v>0</v>
      </c>
      <c r="V7" s="18" t="n">
        <v>0</v>
      </c>
      <c r="W7" s="18" t="n">
        <v>0</v>
      </c>
      <c r="X7" s="18" t="n">
        <v>0</v>
      </c>
      <c r="Y7" s="18" t="n">
        <v>0</v>
      </c>
      <c r="Z7" s="18" t="n">
        <v>0</v>
      </c>
      <c r="AA7" s="18" t="n">
        <v>0</v>
      </c>
      <c r="AB7" s="18" t="n">
        <v>0</v>
      </c>
      <c r="AC7" s="18" t="n">
        <v>0</v>
      </c>
    </row>
    <row r="8">
      <c r="A8" s="4" t="inlineStr">
        <is>
          <t xml:space="preserve">    % of revenue</t>
        </is>
      </c>
      <c r="B8" s="57">
        <f>IFERROR(B7/B3,"")</f>
        <v/>
      </c>
      <c r="C8" s="57">
        <f>IFERROR(C7/C3,"")</f>
        <v/>
      </c>
      <c r="D8" s="57">
        <f>IFERROR(D7/D3,"")</f>
        <v/>
      </c>
      <c r="E8" s="57">
        <f>IFERROR(E7/E3,"")</f>
        <v/>
      </c>
      <c r="F8" s="57">
        <f>IFERROR(F7/F3,"")</f>
        <v/>
      </c>
      <c r="G8" s="57">
        <f>IFERROR(G7/G3,"")</f>
        <v/>
      </c>
      <c r="H8" s="57">
        <f>IFERROR(H7/H3,"")</f>
        <v/>
      </c>
      <c r="I8" s="57">
        <f>IFERROR(I7/I3,"")</f>
        <v/>
      </c>
      <c r="J8" s="57">
        <f>IFERROR(J7/J3,"")</f>
        <v/>
      </c>
      <c r="K8" s="57">
        <f>IFERROR(K7/K3,"")</f>
        <v/>
      </c>
      <c r="L8" s="57">
        <f>IFERROR(L7/L3,"")</f>
        <v/>
      </c>
      <c r="M8" s="57">
        <f>IFERROR(M7/M3,"")</f>
        <v/>
      </c>
      <c r="N8" s="57">
        <f>IFERROR(N7/N3,"")</f>
        <v/>
      </c>
      <c r="O8" s="57">
        <f>IFERROR(O7/O3,"")</f>
        <v/>
      </c>
      <c r="P8" s="57">
        <f>IFERROR(P7/P3,"")</f>
        <v/>
      </c>
      <c r="Q8" s="57">
        <f>IFERROR(Q7/Q3,"")</f>
        <v/>
      </c>
      <c r="R8" s="57">
        <f>IFERROR(R7/R3,"")</f>
        <v/>
      </c>
      <c r="S8" s="57">
        <f>IFERROR(S7/S3,"")</f>
        <v/>
      </c>
      <c r="T8" s="57">
        <f>IFERROR(T7/T3,"")</f>
        <v/>
      </c>
      <c r="U8" s="57">
        <f>IFERROR(U7/U3,"")</f>
        <v/>
      </c>
      <c r="V8" s="57">
        <f>IFERROR(V7/V3,"")</f>
        <v/>
      </c>
      <c r="W8" s="57">
        <f>IFERROR(W7/W3,"")</f>
        <v/>
      </c>
      <c r="X8" s="57">
        <f>IFERROR(X7/X3,"")</f>
        <v/>
      </c>
      <c r="Y8" s="57">
        <f>IFERROR(Y7/Y3,"")</f>
        <v/>
      </c>
      <c r="Z8" s="57">
        <f>IFERROR(Z7/Z3,"")</f>
        <v/>
      </c>
      <c r="AA8" s="57">
        <f>IFERROR(AA7/AA3,"")</f>
        <v/>
      </c>
      <c r="AB8" s="57">
        <f>IFERROR(AB7/AB3,"")</f>
        <v/>
      </c>
      <c r="AC8" s="57">
        <f>IFERROR(AC7/AC3,"")</f>
        <v/>
      </c>
    </row>
    <row r="9">
      <c r="A9" s="4" t="inlineStr">
        <is>
          <t>SG&amp;A Expense</t>
        </is>
      </c>
      <c r="B9" s="18" t="n">
        <v>4</v>
      </c>
      <c r="C9" s="18" t="n">
        <v>4</v>
      </c>
      <c r="D9" s="18" t="n">
        <v>4</v>
      </c>
      <c r="E9" s="18" t="n">
        <v>13</v>
      </c>
      <c r="F9" s="18" t="n">
        <v>12</v>
      </c>
      <c r="G9" s="18" t="n">
        <v>12</v>
      </c>
      <c r="H9" s="18" t="n">
        <v>12</v>
      </c>
      <c r="I9" s="18" t="n">
        <v>20</v>
      </c>
      <c r="J9" s="18" t="n">
        <v>19</v>
      </c>
      <c r="K9" s="18" t="n">
        <v>20</v>
      </c>
      <c r="L9" s="18" t="n">
        <v>19</v>
      </c>
      <c r="M9" s="18" t="n">
        <v>19</v>
      </c>
      <c r="N9" s="18" t="n">
        <v>20</v>
      </c>
      <c r="O9" s="18" t="n">
        <v>19</v>
      </c>
      <c r="P9" s="18" t="n">
        <v>19</v>
      </c>
      <c r="Q9" s="18" t="n">
        <v>9</v>
      </c>
      <c r="R9" s="18" t="n">
        <v>8</v>
      </c>
      <c r="S9" s="18" t="n">
        <v>9</v>
      </c>
      <c r="T9" s="18" t="n">
        <v>6</v>
      </c>
      <c r="U9" s="18" t="n">
        <v>9</v>
      </c>
      <c r="V9" s="18" t="n">
        <v>7</v>
      </c>
      <c r="W9" s="18" t="n">
        <v>7</v>
      </c>
      <c r="X9" s="18" t="n">
        <v>5</v>
      </c>
      <c r="Y9" s="18" t="n">
        <v>4</v>
      </c>
      <c r="Z9" s="18" t="n">
        <v>0</v>
      </c>
      <c r="AA9" s="18" t="n">
        <v>0</v>
      </c>
      <c r="AB9" s="18" t="n">
        <v>4</v>
      </c>
      <c r="AC9" s="18" t="n">
        <v>0</v>
      </c>
    </row>
    <row r="10">
      <c r="A10" s="4" t="inlineStr">
        <is>
          <t xml:space="preserve">    % of revenue</t>
        </is>
      </c>
      <c r="B10" s="57">
        <f>IFERROR(B9/B3,"")</f>
        <v/>
      </c>
      <c r="C10" s="57">
        <f>IFERROR(C9/C3,"")</f>
        <v/>
      </c>
      <c r="D10" s="57">
        <f>IFERROR(D9/D3,"")</f>
        <v/>
      </c>
      <c r="E10" s="57">
        <f>IFERROR(E9/E3,"")</f>
        <v/>
      </c>
      <c r="F10" s="57">
        <f>IFERROR(F9/F3,"")</f>
        <v/>
      </c>
      <c r="G10" s="57">
        <f>IFERROR(G9/G3,"")</f>
        <v/>
      </c>
      <c r="H10" s="57">
        <f>IFERROR(H9/H3,"")</f>
        <v/>
      </c>
      <c r="I10" s="57">
        <f>IFERROR(I9/I3,"")</f>
        <v/>
      </c>
      <c r="J10" s="57">
        <f>IFERROR(J9/J3,"")</f>
        <v/>
      </c>
      <c r="K10" s="57">
        <f>IFERROR(K9/K3,"")</f>
        <v/>
      </c>
      <c r="L10" s="57">
        <f>IFERROR(L9/L3,"")</f>
        <v/>
      </c>
      <c r="M10" s="57">
        <f>IFERROR(M9/M3,"")</f>
        <v/>
      </c>
      <c r="N10" s="57">
        <f>IFERROR(N9/N3,"")</f>
        <v/>
      </c>
      <c r="O10" s="57">
        <f>IFERROR(O9/O3,"")</f>
        <v/>
      </c>
      <c r="P10" s="57">
        <f>IFERROR(P9/P3,"")</f>
        <v/>
      </c>
      <c r="Q10" s="57">
        <f>IFERROR(Q9/Q3,"")</f>
        <v/>
      </c>
      <c r="R10" s="57">
        <f>IFERROR(R9/R3,"")</f>
        <v/>
      </c>
      <c r="S10" s="57">
        <f>IFERROR(S9/S3,"")</f>
        <v/>
      </c>
      <c r="T10" s="57">
        <f>IFERROR(T9/T3,"")</f>
        <v/>
      </c>
      <c r="U10" s="57">
        <f>IFERROR(U9/U3,"")</f>
        <v/>
      </c>
      <c r="V10" s="57">
        <f>IFERROR(V9/V3,"")</f>
        <v/>
      </c>
      <c r="W10" s="57">
        <f>IFERROR(W9/W3,"")</f>
        <v/>
      </c>
      <c r="X10" s="57">
        <f>IFERROR(X9/X3,"")</f>
        <v/>
      </c>
      <c r="Y10" s="57">
        <f>IFERROR(Y9/Y3,"")</f>
        <v/>
      </c>
      <c r="Z10" s="57">
        <f>IFERROR(Z9/Z3,"")</f>
        <v/>
      </c>
      <c r="AA10" s="57">
        <f>IFERROR(AA9/AA3,"")</f>
        <v/>
      </c>
      <c r="AB10" s="57">
        <f>IFERROR(AB9/AB3,"")</f>
        <v/>
      </c>
      <c r="AC10" s="57">
        <f>IFERROR(AC9/AC3,"")</f>
        <v/>
      </c>
    </row>
    <row r="11">
      <c r="A11" s="4" t="inlineStr">
        <is>
          <t>Gross Profit</t>
        </is>
      </c>
      <c r="B11" s="18" t="n">
        <v>510</v>
      </c>
      <c r="C11" s="18" t="n">
        <v>618</v>
      </c>
      <c r="D11" s="18" t="n">
        <v>490</v>
      </c>
      <c r="E11" s="18" t="n">
        <v>461</v>
      </c>
      <c r="F11" s="18" t="n">
        <v>540</v>
      </c>
      <c r="G11" s="18" t="n">
        <v>660</v>
      </c>
      <c r="H11" s="18" t="n">
        <v>494</v>
      </c>
      <c r="I11" s="18" t="n">
        <v>469</v>
      </c>
      <c r="J11" s="18" t="n">
        <v>568</v>
      </c>
      <c r="K11" s="18" t="n">
        <v>656</v>
      </c>
      <c r="L11" s="18" t="n">
        <v>460</v>
      </c>
      <c r="M11" s="18" t="n">
        <v>478</v>
      </c>
      <c r="N11" s="18" t="n">
        <v>561</v>
      </c>
      <c r="O11" s="18" t="n">
        <v>666</v>
      </c>
      <c r="P11" s="18" t="n">
        <v>498</v>
      </c>
      <c r="Q11" s="18" t="n">
        <v>545</v>
      </c>
      <c r="R11" s="18" t="n">
        <v>678</v>
      </c>
      <c r="S11" s="18" t="n">
        <v>731</v>
      </c>
      <c r="T11" s="18" t="n">
        <v>560</v>
      </c>
      <c r="U11" s="18" t="n">
        <v>595</v>
      </c>
      <c r="V11" s="18" t="n">
        <v>722</v>
      </c>
      <c r="W11" s="18" t="n">
        <v>827</v>
      </c>
      <c r="X11" s="18" t="n">
        <v>682</v>
      </c>
      <c r="Y11" s="18" t="n">
        <v>674</v>
      </c>
      <c r="Z11" s="18" t="n">
        <v>796</v>
      </c>
      <c r="AA11" s="18" t="n">
        <v>928</v>
      </c>
      <c r="AB11" s="18" t="n">
        <v>-171</v>
      </c>
      <c r="AC11" s="18" t="n">
        <v>714</v>
      </c>
    </row>
    <row r="12">
      <c r="A12" s="4" t="inlineStr">
        <is>
          <t xml:space="preserve">    gross margin</t>
        </is>
      </c>
      <c r="B12" s="57">
        <f>IFERROR(B11/B3,"")</f>
        <v/>
      </c>
      <c r="C12" s="57">
        <f>IFERROR(C11/C3,"")</f>
        <v/>
      </c>
      <c r="D12" s="57">
        <f>IFERROR(D11/D3,"")</f>
        <v/>
      </c>
      <c r="E12" s="57">
        <f>IFERROR(E11/E3,"")</f>
        <v/>
      </c>
      <c r="F12" s="57">
        <f>IFERROR(F11/F3,"")</f>
        <v/>
      </c>
      <c r="G12" s="57">
        <f>IFERROR(G11/G3,"")</f>
        <v/>
      </c>
      <c r="H12" s="57">
        <f>IFERROR(H11/H3,"")</f>
        <v/>
      </c>
      <c r="I12" s="57">
        <f>IFERROR(I11/I3,"")</f>
        <v/>
      </c>
      <c r="J12" s="57">
        <f>IFERROR(J11/J3,"")</f>
        <v/>
      </c>
      <c r="K12" s="57">
        <f>IFERROR(K11/K3,"")</f>
        <v/>
      </c>
      <c r="L12" s="57">
        <f>IFERROR(L11/L3,"")</f>
        <v/>
      </c>
      <c r="M12" s="57">
        <f>IFERROR(M11/M3,"")</f>
        <v/>
      </c>
      <c r="N12" s="57">
        <f>IFERROR(N11/N3,"")</f>
        <v/>
      </c>
      <c r="O12" s="57">
        <f>IFERROR(O11/O3,"")</f>
        <v/>
      </c>
      <c r="P12" s="57">
        <f>IFERROR(P11/P3,"")</f>
        <v/>
      </c>
      <c r="Q12" s="57">
        <f>IFERROR(Q11/Q3,"")</f>
        <v/>
      </c>
      <c r="R12" s="57">
        <f>IFERROR(R11/R3,"")</f>
        <v/>
      </c>
      <c r="S12" s="57">
        <f>IFERROR(S11/S3,"")</f>
        <v/>
      </c>
      <c r="T12" s="57">
        <f>IFERROR(T11/T3,"")</f>
        <v/>
      </c>
      <c r="U12" s="57">
        <f>IFERROR(U11/U3,"")</f>
        <v/>
      </c>
      <c r="V12" s="57">
        <f>IFERROR(V11/V3,"")</f>
        <v/>
      </c>
      <c r="W12" s="57">
        <f>IFERROR(W11/W3,"")</f>
        <v/>
      </c>
      <c r="X12" s="57">
        <f>IFERROR(X11/X3,"")</f>
        <v/>
      </c>
      <c r="Y12" s="57">
        <f>IFERROR(Y11/Y3,"")</f>
        <v/>
      </c>
      <c r="Z12" s="57">
        <f>IFERROR(Z11/Z3,"")</f>
        <v/>
      </c>
      <c r="AA12" s="57">
        <f>IFERROR(AA11/AA3,"")</f>
        <v/>
      </c>
      <c r="AB12" s="57">
        <f>IFERROR(AB11/AB3,"")</f>
        <v/>
      </c>
      <c r="AC12" s="57">
        <f>IFERROR(AC11/AC3,"")</f>
        <v/>
      </c>
    </row>
    <row r="13">
      <c r="A13" s="4" t="inlineStr">
        <is>
          <t>Operating Income</t>
        </is>
      </c>
      <c r="B13" s="18" t="n">
        <v>302</v>
      </c>
      <c r="C13" s="18" t="n">
        <v>406</v>
      </c>
      <c r="D13" s="18" t="n">
        <v>224</v>
      </c>
      <c r="E13" s="18" t="n">
        <v>239</v>
      </c>
      <c r="F13" s="18" t="n">
        <v>313</v>
      </c>
      <c r="G13" s="18" t="n">
        <v>433</v>
      </c>
      <c r="H13" s="18" t="n">
        <v>263</v>
      </c>
      <c r="I13" s="18" t="n">
        <v>229</v>
      </c>
      <c r="J13" s="18" t="n">
        <v>330</v>
      </c>
      <c r="K13" s="18" t="n">
        <v>417</v>
      </c>
      <c r="L13" s="18" t="n">
        <v>220</v>
      </c>
      <c r="M13" s="18" t="n">
        <v>246</v>
      </c>
      <c r="N13" s="18" t="n">
        <v>327</v>
      </c>
      <c r="O13" s="18" t="n">
        <v>439</v>
      </c>
      <c r="P13" s="18" t="n">
        <v>261</v>
      </c>
      <c r="Q13" s="18" t="n">
        <v>295</v>
      </c>
      <c r="R13" s="18" t="n">
        <v>432</v>
      </c>
      <c r="S13" s="18" t="n">
        <v>478</v>
      </c>
      <c r="T13" s="18" t="n">
        <v>299</v>
      </c>
      <c r="U13" s="18" t="n">
        <v>326</v>
      </c>
      <c r="V13" s="18" t="n">
        <v>449</v>
      </c>
      <c r="W13" s="18" t="n">
        <v>543</v>
      </c>
      <c r="X13" s="18" t="n">
        <v>400</v>
      </c>
      <c r="Y13" s="18" t="n">
        <v>371</v>
      </c>
      <c r="Z13" s="18" t="n">
        <v>489</v>
      </c>
      <c r="AA13" s="18" t="n">
        <v>614</v>
      </c>
      <c r="AB13" s="18" t="n">
        <v>405</v>
      </c>
      <c r="AC13" s="18" t="n">
        <v>391</v>
      </c>
    </row>
    <row r="14">
      <c r="A14" s="4" t="inlineStr">
        <is>
          <t xml:space="preserve">    operating margin</t>
        </is>
      </c>
      <c r="B14" s="57">
        <f>IFERROR(B13/B3,"")</f>
        <v/>
      </c>
      <c r="C14" s="57">
        <f>IFERROR(C13/C3,"")</f>
        <v/>
      </c>
      <c r="D14" s="57">
        <f>IFERROR(D13/D3,"")</f>
        <v/>
      </c>
      <c r="E14" s="57">
        <f>IFERROR(E13/E3,"")</f>
        <v/>
      </c>
      <c r="F14" s="57">
        <f>IFERROR(F13/F3,"")</f>
        <v/>
      </c>
      <c r="G14" s="57">
        <f>IFERROR(G13/G3,"")</f>
        <v/>
      </c>
      <c r="H14" s="57">
        <f>IFERROR(H13/H3,"")</f>
        <v/>
      </c>
      <c r="I14" s="57">
        <f>IFERROR(I13/I3,"")</f>
        <v/>
      </c>
      <c r="J14" s="57">
        <f>IFERROR(J13/J3,"")</f>
        <v/>
      </c>
      <c r="K14" s="57">
        <f>IFERROR(K13/K3,"")</f>
        <v/>
      </c>
      <c r="L14" s="57">
        <f>IFERROR(L13/L3,"")</f>
        <v/>
      </c>
      <c r="M14" s="57">
        <f>IFERROR(M13/M3,"")</f>
        <v/>
      </c>
      <c r="N14" s="57">
        <f>IFERROR(N13/N3,"")</f>
        <v/>
      </c>
      <c r="O14" s="57">
        <f>IFERROR(O13/O3,"")</f>
        <v/>
      </c>
      <c r="P14" s="57">
        <f>IFERROR(P13/P3,"")</f>
        <v/>
      </c>
      <c r="Q14" s="57">
        <f>IFERROR(Q13/Q3,"")</f>
        <v/>
      </c>
      <c r="R14" s="57">
        <f>IFERROR(R13/R3,"")</f>
        <v/>
      </c>
      <c r="S14" s="57">
        <f>IFERROR(S13/S3,"")</f>
        <v/>
      </c>
      <c r="T14" s="57">
        <f>IFERROR(T13/T3,"")</f>
        <v/>
      </c>
      <c r="U14" s="57">
        <f>IFERROR(U13/U3,"")</f>
        <v/>
      </c>
      <c r="V14" s="57">
        <f>IFERROR(V13/V3,"")</f>
        <v/>
      </c>
      <c r="W14" s="57">
        <f>IFERROR(W13/W3,"")</f>
        <v/>
      </c>
      <c r="X14" s="57">
        <f>IFERROR(X13/X3,"")</f>
        <v/>
      </c>
      <c r="Y14" s="57">
        <f>IFERROR(Y13/Y3,"")</f>
        <v/>
      </c>
      <c r="Z14" s="57">
        <f>IFERROR(Z13/Z3,"")</f>
        <v/>
      </c>
      <c r="AA14" s="57">
        <f>IFERROR(AA13/AA3,"")</f>
        <v/>
      </c>
      <c r="AB14" s="57">
        <f>IFERROR(AB13/AB3,"")</f>
        <v/>
      </c>
      <c r="AC14" s="57">
        <f>IFERROR(AC13/AC3,"")</f>
        <v/>
      </c>
    </row>
    <row r="15">
      <c r="A15" s="4" t="inlineStr">
        <is>
          <t>Net Income</t>
        </is>
      </c>
      <c r="B15" s="18" t="n">
        <v>170</v>
      </c>
      <c r="C15" s="18" t="n">
        <v>240</v>
      </c>
      <c r="D15" s="18" t="n">
        <v>98</v>
      </c>
      <c r="E15" s="18" t="n">
        <v>124</v>
      </c>
      <c r="F15" s="18" t="n">
        <v>176</v>
      </c>
      <c r="G15" s="18" t="n">
        <v>264</v>
      </c>
      <c r="H15" s="18" t="n">
        <v>145</v>
      </c>
      <c r="I15" s="18" t="n">
        <v>133</v>
      </c>
      <c r="J15" s="18" t="n">
        <v>207</v>
      </c>
      <c r="K15" s="18" t="n">
        <v>278</v>
      </c>
      <c r="L15" s="18" t="n">
        <v>645</v>
      </c>
      <c r="M15" s="18" t="n">
        <v>158</v>
      </c>
      <c r="N15" s="18" t="n">
        <v>218</v>
      </c>
      <c r="O15" s="18" t="n">
        <v>297</v>
      </c>
      <c r="P15" s="18" t="n">
        <v>147</v>
      </c>
      <c r="Q15" s="18" t="n">
        <v>170</v>
      </c>
      <c r="R15" s="18" t="n">
        <v>280</v>
      </c>
      <c r="S15" s="18" t="n">
        <v>323</v>
      </c>
      <c r="T15" s="18" t="n">
        <v>171</v>
      </c>
      <c r="U15" s="18" t="n">
        <v>185</v>
      </c>
      <c r="V15" s="18" t="n">
        <v>277</v>
      </c>
      <c r="W15" s="18" t="n">
        <v>350</v>
      </c>
      <c r="X15" s="18" t="n">
        <v>239</v>
      </c>
      <c r="Y15" s="18" t="n">
        <v>205</v>
      </c>
      <c r="Z15" s="18" t="n">
        <v>289</v>
      </c>
      <c r="AA15" s="18" t="n">
        <v>379</v>
      </c>
      <c r="AB15" s="18" t="n">
        <v>238</v>
      </c>
      <c r="AC15" s="18" t="n">
        <v>196</v>
      </c>
    </row>
    <row r="16">
      <c r="A16" s="4" t="inlineStr">
        <is>
          <t xml:space="preserve">    net margin</t>
        </is>
      </c>
      <c r="B16" s="57">
        <f>IFERROR(B15/B3,"")</f>
        <v/>
      </c>
      <c r="C16" s="57">
        <f>IFERROR(C15/C3,"")</f>
        <v/>
      </c>
      <c r="D16" s="57">
        <f>IFERROR(D15/D3,"")</f>
        <v/>
      </c>
      <c r="E16" s="57">
        <f>IFERROR(E15/E3,"")</f>
        <v/>
      </c>
      <c r="F16" s="57">
        <f>IFERROR(F15/F3,"")</f>
        <v/>
      </c>
      <c r="G16" s="57">
        <f>IFERROR(G15/G3,"")</f>
        <v/>
      </c>
      <c r="H16" s="57">
        <f>IFERROR(H15/H3,"")</f>
        <v/>
      </c>
      <c r="I16" s="57">
        <f>IFERROR(I15/I3,"")</f>
        <v/>
      </c>
      <c r="J16" s="57">
        <f>IFERROR(J15/J3,"")</f>
        <v/>
      </c>
      <c r="K16" s="57">
        <f>IFERROR(K15/K3,"")</f>
        <v/>
      </c>
      <c r="L16" s="57">
        <f>IFERROR(L15/L3,"")</f>
        <v/>
      </c>
      <c r="M16" s="57">
        <f>IFERROR(M15/M3,"")</f>
        <v/>
      </c>
      <c r="N16" s="57">
        <f>IFERROR(N15/N3,"")</f>
        <v/>
      </c>
      <c r="O16" s="57">
        <f>IFERROR(O15/O3,"")</f>
        <v/>
      </c>
      <c r="P16" s="57">
        <f>IFERROR(P15/P3,"")</f>
        <v/>
      </c>
      <c r="Q16" s="57">
        <f>IFERROR(Q15/Q3,"")</f>
        <v/>
      </c>
      <c r="R16" s="57">
        <f>IFERROR(R15/R3,"")</f>
        <v/>
      </c>
      <c r="S16" s="57">
        <f>IFERROR(S15/S3,"")</f>
        <v/>
      </c>
      <c r="T16" s="57">
        <f>IFERROR(T15/T3,"")</f>
        <v/>
      </c>
      <c r="U16" s="57">
        <f>IFERROR(U15/U3,"")</f>
        <v/>
      </c>
      <c r="V16" s="57">
        <f>IFERROR(V15/V3,"")</f>
        <v/>
      </c>
      <c r="W16" s="57">
        <f>IFERROR(W15/W3,"")</f>
        <v/>
      </c>
      <c r="X16" s="57">
        <f>IFERROR(X15/X3,"")</f>
        <v/>
      </c>
      <c r="Y16" s="57">
        <f>IFERROR(Y15/Y3,"")</f>
        <v/>
      </c>
      <c r="Z16" s="57">
        <f>IFERROR(Z15/Z3,"")</f>
        <v/>
      </c>
      <c r="AA16" s="57">
        <f>IFERROR(AA15/AA3,"")</f>
        <v/>
      </c>
      <c r="AB16" s="57">
        <f>IFERROR(AB15/AB3,"")</f>
        <v/>
      </c>
      <c r="AC16" s="57">
        <f>IFERROR(AC15/AC3,"")</f>
        <v/>
      </c>
    </row>
    <row r="17">
      <c r="A17" s="4" t="inlineStr">
        <is>
          <t>Diluted Shares (M)</t>
        </is>
      </c>
      <c r="B17" s="18" t="n">
        <v>181</v>
      </c>
      <c r="C17" s="18" t="n">
        <v>181</v>
      </c>
      <c r="D17" s="18" t="n">
        <v>181</v>
      </c>
      <c r="E17" s="18" t="n">
        <v>181</v>
      </c>
      <c r="F17" s="18" t="n">
        <v>181</v>
      </c>
      <c r="G17" s="18" t="n">
        <v>182</v>
      </c>
      <c r="H17" s="18" t="n">
        <v>181</v>
      </c>
      <c r="I17" s="18" t="n">
        <v>182</v>
      </c>
      <c r="J17" s="18" t="n">
        <v>182</v>
      </c>
      <c r="K17" s="18" t="n">
        <v>182</v>
      </c>
      <c r="L17" s="18" t="n">
        <v>182</v>
      </c>
      <c r="M17" s="18" t="n">
        <v>182</v>
      </c>
      <c r="N17" s="18" t="n">
        <v>182</v>
      </c>
      <c r="O17" s="18" t="n">
        <v>182</v>
      </c>
      <c r="P17" s="18" t="n">
        <v>182</v>
      </c>
      <c r="Q17" s="18" t="n">
        <v>186</v>
      </c>
      <c r="R17" s="18" t="n">
        <v>195</v>
      </c>
      <c r="S17" s="18" t="n">
        <v>195</v>
      </c>
      <c r="T17" s="18" t="n">
        <v>195</v>
      </c>
      <c r="U17" s="18" t="n">
        <v>195</v>
      </c>
      <c r="V17" s="18" t="n">
        <v>195</v>
      </c>
      <c r="W17" s="18" t="n">
        <v>195</v>
      </c>
      <c r="X17" s="18" t="n">
        <v>195</v>
      </c>
      <c r="Y17" s="18" t="n">
        <v>195</v>
      </c>
      <c r="Z17" s="18" t="n">
        <v>195</v>
      </c>
      <c r="AA17" s="18" t="n">
        <v>195</v>
      </c>
      <c r="AB17" s="18" t="n">
        <v>195</v>
      </c>
      <c r="AC17" s="18" t="n">
        <v>195</v>
      </c>
    </row>
    <row r="18">
      <c r="A18" s="5" t="inlineStr">
        <is>
          <t xml:space="preserve">  REVENUE BY SEGMENT — GEOGRAPHY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WEST VIRGINIA</t>
        </is>
      </c>
      <c r="AC19" s="18" t="n">
        <v>20</v>
      </c>
    </row>
    <row r="20">
      <c r="A20" s="4" t="inlineStr">
        <is>
          <t xml:space="preserve">    % YoY</t>
        </is>
      </c>
      <c r="F20" s="57">
        <f>IFERROR(F19/B19-1,"")</f>
        <v/>
      </c>
      <c r="G20" s="57">
        <f>IFERROR(G19/C19-1,"")</f>
        <v/>
      </c>
      <c r="H20" s="57">
        <f>IFERROR(H19/D19-1,"")</f>
        <v/>
      </c>
      <c r="I20" s="57">
        <f>IFERROR(I19/E19-1,"")</f>
        <v/>
      </c>
      <c r="J20" s="57">
        <f>IFERROR(J19/F19-1,"")</f>
        <v/>
      </c>
      <c r="K20" s="57">
        <f>IFERROR(K19/G19-1,"")</f>
        <v/>
      </c>
      <c r="L20" s="57">
        <f>IFERROR(L19/H19-1,"")</f>
        <v/>
      </c>
      <c r="M20" s="57">
        <f>IFERROR(M19/I19-1,"")</f>
        <v/>
      </c>
      <c r="N20" s="57">
        <f>IFERROR(N19/J19-1,"")</f>
        <v/>
      </c>
      <c r="O20" s="57">
        <f>IFERROR(O19/K19-1,"")</f>
        <v/>
      </c>
      <c r="P20" s="57">
        <f>IFERROR(P19/L19-1,"")</f>
        <v/>
      </c>
      <c r="Q20" s="57">
        <f>IFERROR(Q19/M19-1,"")</f>
        <v/>
      </c>
      <c r="R20" s="57">
        <f>IFERROR(R19/N19-1,"")</f>
        <v/>
      </c>
      <c r="S20" s="57">
        <f>IFERROR(S19/O19-1,"")</f>
        <v/>
      </c>
      <c r="T20" s="57">
        <f>IFERROR(T19/P19-1,"")</f>
        <v/>
      </c>
      <c r="U20" s="57">
        <f>IFERROR(U19/Q19-1,"")</f>
        <v/>
      </c>
      <c r="V20" s="57">
        <f>IFERROR(V19/R19-1,"")</f>
        <v/>
      </c>
      <c r="W20" s="57">
        <f>IFERROR(W19/S19-1,"")</f>
        <v/>
      </c>
      <c r="X20" s="57">
        <f>IFERROR(X19/T19-1,"")</f>
        <v/>
      </c>
      <c r="Y20" s="57">
        <f>IFERROR(Y19/U19-1,"")</f>
        <v/>
      </c>
      <c r="Z20" s="57">
        <f>IFERROR(Z19/V19-1,"")</f>
        <v/>
      </c>
      <c r="AA20" s="57">
        <f>IFERROR(AA19/W19-1,"")</f>
        <v/>
      </c>
      <c r="AB20" s="57">
        <f>IFERROR(AB19/X19-1,"")</f>
        <v/>
      </c>
      <c r="AC20" s="57">
        <f>IFERROR(AC19/Y19-1,"")</f>
        <v/>
      </c>
    </row>
    <row r="21">
      <c r="A21" s="4" t="inlineStr">
        <is>
          <t xml:space="preserve">    % of revenue</t>
        </is>
      </c>
      <c r="B21" s="57">
        <f>IFERROR(B19/B3,"")</f>
        <v/>
      </c>
      <c r="C21" s="57">
        <f>IFERROR(C19/C3,"")</f>
        <v/>
      </c>
      <c r="D21" s="57">
        <f>IFERROR(D19/D3,"")</f>
        <v/>
      </c>
      <c r="E21" s="57">
        <f>IFERROR(E19/E3,"")</f>
        <v/>
      </c>
      <c r="F21" s="57">
        <f>IFERROR(F19/F3,"")</f>
        <v/>
      </c>
      <c r="G21" s="57">
        <f>IFERROR(G19/G3,"")</f>
        <v/>
      </c>
      <c r="H21" s="57">
        <f>IFERROR(H19/H3,"")</f>
        <v/>
      </c>
      <c r="I21" s="57">
        <f>IFERROR(I19/I3,"")</f>
        <v/>
      </c>
      <c r="J21" s="57">
        <f>IFERROR(J19/J3,"")</f>
        <v/>
      </c>
      <c r="K21" s="57">
        <f>IFERROR(K19/K3,"")</f>
        <v/>
      </c>
      <c r="L21" s="57">
        <f>IFERROR(L19/L3,"")</f>
        <v/>
      </c>
      <c r="M21" s="57">
        <f>IFERROR(M19/M3,"")</f>
        <v/>
      </c>
      <c r="N21" s="57">
        <f>IFERROR(N19/N3,"")</f>
        <v/>
      </c>
      <c r="O21" s="57">
        <f>IFERROR(O19/O3,"")</f>
        <v/>
      </c>
      <c r="P21" s="57">
        <f>IFERROR(P19/P3,"")</f>
        <v/>
      </c>
      <c r="Q21" s="57">
        <f>IFERROR(Q19/Q3,"")</f>
        <v/>
      </c>
      <c r="R21" s="57">
        <f>IFERROR(R19/R3,"")</f>
        <v/>
      </c>
      <c r="S21" s="57">
        <f>IFERROR(S19/S3,"")</f>
        <v/>
      </c>
      <c r="T21" s="57">
        <f>IFERROR(T19/T3,"")</f>
        <v/>
      </c>
      <c r="U21" s="57">
        <f>IFERROR(U19/U3,"")</f>
        <v/>
      </c>
      <c r="V21" s="57">
        <f>IFERROR(V19/V3,"")</f>
        <v/>
      </c>
      <c r="W21" s="57">
        <f>IFERROR(W19/W3,"")</f>
        <v/>
      </c>
      <c r="X21" s="57">
        <f>IFERROR(X19/X3,"")</f>
        <v/>
      </c>
      <c r="Y21" s="57">
        <f>IFERROR(Y19/Y3,"")</f>
        <v/>
      </c>
      <c r="Z21" s="57">
        <f>IFERROR(Z19/Z3,"")</f>
        <v/>
      </c>
      <c r="AA21" s="57">
        <f>IFERROR(AA19/AA3,"")</f>
        <v/>
      </c>
      <c r="AB21" s="57">
        <f>IFERROR(AB19/AB3,"")</f>
        <v/>
      </c>
      <c r="AC21" s="57">
        <f>IFERROR(AC19/AC3,"")</f>
        <v/>
      </c>
    </row>
    <row r="22">
      <c r="A22" s="4" t="inlineStr">
        <is>
          <t>CALIFORNIA</t>
        </is>
      </c>
      <c r="Z22" s="18" t="n">
        <v>17</v>
      </c>
      <c r="AA22" s="18" t="n">
        <v>17</v>
      </c>
      <c r="AB22" s="18" t="n">
        <v>0</v>
      </c>
      <c r="AC22" s="18" t="n">
        <v>14</v>
      </c>
    </row>
    <row r="23">
      <c r="A23" s="4" t="inlineStr">
        <is>
          <t xml:space="preserve">    % YoY</t>
        </is>
      </c>
      <c r="F23" s="57">
        <f>IFERROR(F22/B22-1,"")</f>
        <v/>
      </c>
      <c r="G23" s="57">
        <f>IFERROR(G22/C22-1,"")</f>
        <v/>
      </c>
      <c r="H23" s="57">
        <f>IFERROR(H22/D22-1,"")</f>
        <v/>
      </c>
      <c r="I23" s="57">
        <f>IFERROR(I22/E22-1,"")</f>
        <v/>
      </c>
      <c r="J23" s="57">
        <f>IFERROR(J22/F22-1,"")</f>
        <v/>
      </c>
      <c r="K23" s="57">
        <f>IFERROR(K22/G22-1,"")</f>
        <v/>
      </c>
      <c r="L23" s="57">
        <f>IFERROR(L22/H22-1,"")</f>
        <v/>
      </c>
      <c r="M23" s="57">
        <f>IFERROR(M22/I22-1,"")</f>
        <v/>
      </c>
      <c r="N23" s="57">
        <f>IFERROR(N22/J22-1,"")</f>
        <v/>
      </c>
      <c r="O23" s="57">
        <f>IFERROR(O22/K22-1,"")</f>
        <v/>
      </c>
      <c r="P23" s="57">
        <f>IFERROR(P22/L22-1,"")</f>
        <v/>
      </c>
      <c r="Q23" s="57">
        <f>IFERROR(Q22/M22-1,"")</f>
        <v/>
      </c>
      <c r="R23" s="57">
        <f>IFERROR(R22/N22-1,"")</f>
        <v/>
      </c>
      <c r="S23" s="57">
        <f>IFERROR(S22/O22-1,"")</f>
        <v/>
      </c>
      <c r="T23" s="57">
        <f>IFERROR(T22/P22-1,"")</f>
        <v/>
      </c>
      <c r="U23" s="57">
        <f>IFERROR(U22/Q22-1,"")</f>
        <v/>
      </c>
      <c r="V23" s="57">
        <f>IFERROR(V22/R22-1,"")</f>
        <v/>
      </c>
      <c r="W23" s="57">
        <f>IFERROR(W22/S22-1,"")</f>
        <v/>
      </c>
      <c r="X23" s="57">
        <f>IFERROR(X22/T22-1,"")</f>
        <v/>
      </c>
      <c r="Y23" s="57">
        <f>IFERROR(Y22/U22-1,"")</f>
        <v/>
      </c>
      <c r="Z23" s="57">
        <f>IFERROR(Z22/V22-1,"")</f>
        <v/>
      </c>
      <c r="AA23" s="57">
        <f>IFERROR(AA22/W22-1,"")</f>
        <v/>
      </c>
      <c r="AB23" s="57">
        <f>IFERROR(AB22/X22-1,"")</f>
        <v/>
      </c>
      <c r="AC23" s="57">
        <f>IFERROR(AC22/Y22-1,"")</f>
        <v/>
      </c>
    </row>
    <row r="24">
      <c r="A24" s="4" t="inlineStr">
        <is>
          <t xml:space="preserve">    % of revenue</t>
        </is>
      </c>
      <c r="B24" s="57">
        <f>IFERROR(B22/B3,"")</f>
        <v/>
      </c>
      <c r="C24" s="57">
        <f>IFERROR(C22/C3,"")</f>
        <v/>
      </c>
      <c r="D24" s="57">
        <f>IFERROR(D22/D3,"")</f>
        <v/>
      </c>
      <c r="E24" s="57">
        <f>IFERROR(E22/E3,"")</f>
        <v/>
      </c>
      <c r="F24" s="57">
        <f>IFERROR(F22/F3,"")</f>
        <v/>
      </c>
      <c r="G24" s="57">
        <f>IFERROR(G22/G3,"")</f>
        <v/>
      </c>
      <c r="H24" s="57">
        <f>IFERROR(H22/H3,"")</f>
        <v/>
      </c>
      <c r="I24" s="57">
        <f>IFERROR(I22/I3,"")</f>
        <v/>
      </c>
      <c r="J24" s="57">
        <f>IFERROR(J22/J3,"")</f>
        <v/>
      </c>
      <c r="K24" s="57">
        <f>IFERROR(K22/K3,"")</f>
        <v/>
      </c>
      <c r="L24" s="57">
        <f>IFERROR(L22/L3,"")</f>
        <v/>
      </c>
      <c r="M24" s="57">
        <f>IFERROR(M22/M3,"")</f>
        <v/>
      </c>
      <c r="N24" s="57">
        <f>IFERROR(N22/N3,"")</f>
        <v/>
      </c>
      <c r="O24" s="57">
        <f>IFERROR(O22/O3,"")</f>
        <v/>
      </c>
      <c r="P24" s="57">
        <f>IFERROR(P22/P3,"")</f>
        <v/>
      </c>
      <c r="Q24" s="57">
        <f>IFERROR(Q22/Q3,"")</f>
        <v/>
      </c>
      <c r="R24" s="57">
        <f>IFERROR(R22/R3,"")</f>
        <v/>
      </c>
      <c r="S24" s="57">
        <f>IFERROR(S22/S3,"")</f>
        <v/>
      </c>
      <c r="T24" s="57">
        <f>IFERROR(T22/T3,"")</f>
        <v/>
      </c>
      <c r="U24" s="57">
        <f>IFERROR(U22/U3,"")</f>
        <v/>
      </c>
      <c r="V24" s="57">
        <f>IFERROR(V22/V3,"")</f>
        <v/>
      </c>
      <c r="W24" s="57">
        <f>IFERROR(W22/W3,"")</f>
        <v/>
      </c>
      <c r="X24" s="57">
        <f>IFERROR(X22/X3,"")</f>
        <v/>
      </c>
      <c r="Y24" s="57">
        <f>IFERROR(Y22/Y3,"")</f>
        <v/>
      </c>
      <c r="Z24" s="57">
        <f>IFERROR(Z22/Z3,"")</f>
        <v/>
      </c>
      <c r="AA24" s="57">
        <f>IFERROR(AA22/AA3,"")</f>
        <v/>
      </c>
      <c r="AB24" s="57">
        <f>IFERROR(AB22/AB3,"")</f>
        <v/>
      </c>
      <c r="AC24" s="57">
        <f>IFERROR(AC22/AC3,"")</f>
        <v/>
      </c>
    </row>
    <row r="25">
      <c r="A25" s="5" t="inlineStr">
        <is>
          <t xml:space="preserve">  BALANCE SHEET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</row>
    <row r="26">
      <c r="A26" s="4" t="inlineStr">
        <is>
          <t>Cash &amp; ST Investments</t>
        </is>
      </c>
      <c r="B26" s="18" t="n">
        <v>64</v>
      </c>
      <c r="C26" s="18" t="n">
        <v>94</v>
      </c>
      <c r="D26" s="18" t="n">
        <v>60</v>
      </c>
      <c r="E26" s="18" t="n">
        <v>556</v>
      </c>
      <c r="F26" s="18" t="n">
        <v>569</v>
      </c>
      <c r="G26" s="18" t="n">
        <v>560</v>
      </c>
      <c r="H26" s="18" t="n">
        <v>547</v>
      </c>
      <c r="I26" s="18" t="n">
        <v>69</v>
      </c>
      <c r="J26" s="18" t="n">
        <v>70</v>
      </c>
      <c r="K26" s="18" t="n">
        <v>70</v>
      </c>
      <c r="L26" s="18" t="n">
        <v>116</v>
      </c>
      <c r="M26" s="18" t="n">
        <v>75</v>
      </c>
      <c r="N26" s="18" t="n">
        <v>71</v>
      </c>
      <c r="O26" s="18" t="n">
        <v>77</v>
      </c>
      <c r="P26" s="18" t="n">
        <v>85</v>
      </c>
      <c r="Q26" s="18" t="n">
        <v>213</v>
      </c>
      <c r="R26" s="18" t="n">
        <v>794</v>
      </c>
      <c r="S26" s="18" t="n">
        <v>628</v>
      </c>
      <c r="T26" s="18" t="n">
        <v>330</v>
      </c>
      <c r="U26" s="18" t="n">
        <v>584</v>
      </c>
      <c r="V26" s="18" t="n">
        <v>48</v>
      </c>
      <c r="W26" s="18" t="n">
        <v>127</v>
      </c>
      <c r="X26" s="18" t="n">
        <v>96</v>
      </c>
      <c r="Y26" s="18" t="n">
        <v>114</v>
      </c>
      <c r="Z26" s="18" t="n">
        <v>192</v>
      </c>
      <c r="AA26" s="18" t="n">
        <v>256</v>
      </c>
      <c r="AB26" s="18" t="n">
        <v>174</v>
      </c>
      <c r="AC26" s="18" t="n">
        <v>137</v>
      </c>
    </row>
    <row r="27">
      <c r="A27" s="4" t="inlineStr">
        <is>
          <t>Total Current Assets</t>
        </is>
      </c>
      <c r="B27" s="18" t="n">
        <v>741</v>
      </c>
      <c r="C27" s="18" t="n">
        <v>799</v>
      </c>
      <c r="D27" s="18" t="n">
        <v>1285</v>
      </c>
      <c r="E27" s="18" t="n">
        <v>1801</v>
      </c>
      <c r="F27" s="18" t="n">
        <v>1896</v>
      </c>
      <c r="G27" s="18" t="n">
        <v>1967</v>
      </c>
      <c r="H27" s="18" t="n">
        <v>1906</v>
      </c>
      <c r="I27" s="18" t="n">
        <v>1466</v>
      </c>
      <c r="J27" s="18" t="n">
        <v>1570</v>
      </c>
      <c r="K27" s="18" t="n">
        <v>1590</v>
      </c>
      <c r="L27" s="18" t="n">
        <v>1554</v>
      </c>
      <c r="M27" s="18" t="n">
        <v>853</v>
      </c>
      <c r="N27" s="18" t="n">
        <v>1018</v>
      </c>
      <c r="O27" s="18" t="n">
        <v>1017</v>
      </c>
      <c r="P27" s="18" t="n">
        <v>1250</v>
      </c>
      <c r="Q27" s="18" t="n">
        <v>1338</v>
      </c>
      <c r="R27" s="18" t="n">
        <v>1989</v>
      </c>
      <c r="S27" s="18" t="n">
        <v>1804</v>
      </c>
      <c r="T27" s="18" t="n">
        <v>1389</v>
      </c>
      <c r="U27" s="18" t="n">
        <v>1587</v>
      </c>
      <c r="V27" s="18" t="n">
        <v>1165</v>
      </c>
      <c r="W27" s="18" t="n">
        <v>1237</v>
      </c>
      <c r="X27" s="18" t="n">
        <v>1215</v>
      </c>
      <c r="Y27" s="18" t="n">
        <v>1194</v>
      </c>
      <c r="Z27" s="18" t="n">
        <v>1399</v>
      </c>
      <c r="AA27" s="18" t="n">
        <v>1552</v>
      </c>
      <c r="AB27" s="18" t="n">
        <v>2191</v>
      </c>
      <c r="AC27" s="18" t="n">
        <v>1524</v>
      </c>
    </row>
    <row r="28">
      <c r="A28" s="4" t="inlineStr">
        <is>
          <t>PP&amp;E (net)</t>
        </is>
      </c>
      <c r="B28" s="18" t="n">
        <v>17910</v>
      </c>
      <c r="C28" s="18" t="n">
        <v>18260</v>
      </c>
      <c r="D28" s="18" t="n">
        <v>18335</v>
      </c>
      <c r="E28" s="18" t="n">
        <v>18689</v>
      </c>
      <c r="F28" s="18" t="n">
        <v>19043</v>
      </c>
      <c r="G28" s="18" t="n">
        <v>19364</v>
      </c>
      <c r="H28" s="18" t="n">
        <v>19805</v>
      </c>
      <c r="I28" s="18" t="n">
        <v>20003</v>
      </c>
      <c r="J28" s="18" t="n">
        <v>20308</v>
      </c>
      <c r="K28" s="18" t="n">
        <v>20680</v>
      </c>
      <c r="L28" s="18" t="n">
        <v>21176</v>
      </c>
      <c r="M28" s="18" t="n">
        <v>21489</v>
      </c>
      <c r="N28" s="18" t="n">
        <v>22193</v>
      </c>
      <c r="O28" s="18" t="n">
        <v>22726</v>
      </c>
      <c r="P28" s="18" t="n">
        <v>23305</v>
      </c>
      <c r="Q28" s="18" t="n">
        <v>23715</v>
      </c>
      <c r="R28" s="18" t="n">
        <v>24271</v>
      </c>
      <c r="S28" s="18" t="n">
        <v>24774</v>
      </c>
      <c r="T28" s="18" t="n">
        <v>25524</v>
      </c>
      <c r="U28" s="18" t="n">
        <v>26113</v>
      </c>
      <c r="V28" s="18" t="n">
        <v>26622</v>
      </c>
      <c r="W28" s="18" t="n">
        <v>27096</v>
      </c>
      <c r="X28" s="18" t="n">
        <v>28127</v>
      </c>
      <c r="Y28" s="18" t="n">
        <v>28464</v>
      </c>
      <c r="Z28" s="18" t="n">
        <v>29021</v>
      </c>
      <c r="AA28" s="18" t="n">
        <v>29699</v>
      </c>
      <c r="AB28" s="18" t="n">
        <v>0</v>
      </c>
      <c r="AC28" s="18" t="n">
        <v>31155</v>
      </c>
    </row>
    <row r="29">
      <c r="A29" s="4" t="inlineStr">
        <is>
          <t>Total Assets</t>
        </is>
      </c>
      <c r="B29" s="18" t="n">
        <v>21854</v>
      </c>
      <c r="C29" s="18" t="n">
        <v>22238</v>
      </c>
      <c r="D29" s="18" t="n">
        <v>22682</v>
      </c>
      <c r="E29" s="18" t="n">
        <v>23546</v>
      </c>
      <c r="F29" s="18" t="n">
        <v>24009</v>
      </c>
      <c r="G29" s="18" t="n">
        <v>24394</v>
      </c>
      <c r="H29" s="18" t="n">
        <v>24766</v>
      </c>
      <c r="I29" s="18" t="n">
        <v>24525</v>
      </c>
      <c r="J29" s="18" t="n">
        <v>24952</v>
      </c>
      <c r="K29" s="18" t="n">
        <v>25333</v>
      </c>
      <c r="L29" s="18" t="n">
        <v>26075</v>
      </c>
      <c r="M29" s="18" t="n">
        <v>25694</v>
      </c>
      <c r="N29" s="18" t="n">
        <v>26574</v>
      </c>
      <c r="O29" s="18" t="n">
        <v>27126</v>
      </c>
      <c r="P29" s="18" t="n">
        <v>27787</v>
      </c>
      <c r="Q29" s="18" t="n">
        <v>28286</v>
      </c>
      <c r="R29" s="18" t="n">
        <v>29496</v>
      </c>
      <c r="S29" s="18" t="n">
        <v>29818</v>
      </c>
      <c r="T29" s="18" t="n">
        <v>30298</v>
      </c>
      <c r="U29" s="18" t="n">
        <v>31086</v>
      </c>
      <c r="V29" s="18" t="n">
        <v>31215</v>
      </c>
      <c r="W29" s="18" t="n">
        <v>31790</v>
      </c>
      <c r="X29" s="18" t="n">
        <v>32830</v>
      </c>
      <c r="Y29" s="18" t="n">
        <v>33156</v>
      </c>
      <c r="Z29" s="18" t="n">
        <v>33913</v>
      </c>
      <c r="AA29" s="18" t="n">
        <v>34748</v>
      </c>
      <c r="AB29" s="18" t="n">
        <v>36525</v>
      </c>
      <c r="AC29" s="18" t="n">
        <v>35264</v>
      </c>
    </row>
    <row r="30">
      <c r="A30" s="4" t="inlineStr">
        <is>
          <t>Total Current Liabilities</t>
        </is>
      </c>
      <c r="B30" s="18" t="n">
        <v>1317</v>
      </c>
      <c r="C30" s="18" t="n">
        <v>1488</v>
      </c>
      <c r="D30" s="18" t="n">
        <v>2045</v>
      </c>
      <c r="E30" s="18" t="n">
        <v>2767</v>
      </c>
      <c r="F30" s="18" t="n">
        <v>2113</v>
      </c>
      <c r="G30" s="18" t="n">
        <v>2260</v>
      </c>
      <c r="H30" s="18" t="n">
        <v>2881</v>
      </c>
      <c r="I30" s="18" t="n">
        <v>2451</v>
      </c>
      <c r="J30" s="18" t="n">
        <v>1710</v>
      </c>
      <c r="K30" s="18" t="n">
        <v>1844</v>
      </c>
      <c r="L30" s="18" t="n">
        <v>2141</v>
      </c>
      <c r="M30" s="18" t="n">
        <v>1648</v>
      </c>
      <c r="N30" s="18" t="n">
        <v>1728</v>
      </c>
      <c r="O30" s="18" t="n">
        <v>2130</v>
      </c>
      <c r="P30" s="18" t="n">
        <v>2811</v>
      </c>
      <c r="Q30" s="18" t="n">
        <v>1892</v>
      </c>
      <c r="R30" s="18" t="n">
        <v>1764</v>
      </c>
      <c r="S30" s="18" t="n">
        <v>1743</v>
      </c>
      <c r="T30" s="18" t="n">
        <v>2151</v>
      </c>
      <c r="U30" s="18" t="n">
        <v>1857</v>
      </c>
      <c r="V30" s="18" t="n">
        <v>1825</v>
      </c>
      <c r="W30" s="18" t="n">
        <v>2132</v>
      </c>
      <c r="X30" s="18" t="n">
        <v>3150</v>
      </c>
      <c r="Y30" s="18" t="n">
        <v>2447</v>
      </c>
      <c r="Z30" s="18" t="n">
        <v>3991</v>
      </c>
      <c r="AA30" s="18" t="n">
        <v>3687</v>
      </c>
      <c r="AB30" s="18" t="n">
        <v>4747</v>
      </c>
      <c r="AC30" s="18" t="n">
        <v>4118</v>
      </c>
    </row>
    <row r="31">
      <c r="A31" s="4" t="inlineStr">
        <is>
          <t>Long-term Debt</t>
        </is>
      </c>
      <c r="B31" s="18" t="n">
        <v>8642</v>
      </c>
      <c r="C31" s="18" t="n">
        <v>8640</v>
      </c>
      <c r="D31" s="18" t="n">
        <v>8639</v>
      </c>
      <c r="E31" s="18" t="n">
        <v>8621</v>
      </c>
      <c r="F31" s="18" t="n">
        <v>9589</v>
      </c>
      <c r="G31" s="18" t="n">
        <v>9580</v>
      </c>
      <c r="H31" s="18" t="n">
        <v>9329</v>
      </c>
      <c r="I31" s="18" t="n">
        <v>9325</v>
      </c>
      <c r="J31" s="18" t="n">
        <v>10343</v>
      </c>
      <c r="K31" s="18" t="n">
        <v>10349</v>
      </c>
      <c r="L31" s="18" t="n">
        <v>10341</v>
      </c>
      <c r="M31" s="18" t="n">
        <v>10347</v>
      </c>
      <c r="N31" s="18" t="n">
        <v>11023</v>
      </c>
      <c r="O31" s="18" t="n">
        <v>10940</v>
      </c>
      <c r="P31" s="18" t="n">
        <v>10926</v>
      </c>
      <c r="Q31" s="18" t="n">
        <v>10485</v>
      </c>
      <c r="R31" s="18" t="n">
        <v>11607</v>
      </c>
      <c r="S31" s="18" t="n">
        <v>11698</v>
      </c>
      <c r="T31" s="18" t="n">
        <v>11715</v>
      </c>
      <c r="U31" s="18" t="n">
        <v>12566</v>
      </c>
      <c r="V31" s="18" t="n">
        <v>12553</v>
      </c>
      <c r="W31" s="18" t="n">
        <v>12550</v>
      </c>
      <c r="X31" s="18" t="n">
        <v>12518</v>
      </c>
      <c r="Y31" s="18" t="n">
        <v>13318</v>
      </c>
      <c r="Z31" s="18" t="n">
        <v>12278</v>
      </c>
      <c r="AA31" s="18" t="n">
        <v>13025</v>
      </c>
      <c r="AB31" s="18" t="n">
        <v>12851</v>
      </c>
      <c r="AC31" s="18" t="n">
        <v>12766</v>
      </c>
    </row>
    <row r="32">
      <c r="A32" s="4" t="inlineStr">
        <is>
          <t>Total Equity</t>
        </is>
      </c>
      <c r="B32" s="18" t="n">
        <v>6027</v>
      </c>
      <c r="C32" s="18" t="n">
        <v>6190</v>
      </c>
      <c r="D32" s="18" t="n">
        <v>6121</v>
      </c>
      <c r="E32" s="18" t="n">
        <v>6243</v>
      </c>
      <c r="F32" s="18" t="n">
        <v>6338</v>
      </c>
      <c r="G32" s="18" t="n">
        <v>6512</v>
      </c>
      <c r="H32" s="18" t="n">
        <v>6454</v>
      </c>
      <c r="I32" s="18" t="n">
        <v>6583</v>
      </c>
      <c r="J32" s="18" t="n">
        <v>6690</v>
      </c>
      <c r="K32" s="18" t="n">
        <v>6866</v>
      </c>
      <c r="L32" s="18" t="n">
        <v>7298</v>
      </c>
      <c r="M32" s="18" t="n">
        <v>7460</v>
      </c>
      <c r="N32" s="18" t="n">
        <v>7570</v>
      </c>
      <c r="O32" s="18" t="n">
        <v>7758</v>
      </c>
      <c r="P32" s="18" t="n">
        <v>7693</v>
      </c>
      <c r="Q32" s="18" t="n">
        <v>9547</v>
      </c>
      <c r="R32" s="18" t="n">
        <v>9701</v>
      </c>
      <c r="S32" s="18" t="n">
        <v>9897</v>
      </c>
      <c r="T32" s="18" t="n">
        <v>9797</v>
      </c>
      <c r="U32" s="18" t="n">
        <v>10007</v>
      </c>
      <c r="V32" s="18" t="n">
        <v>10152</v>
      </c>
      <c r="W32" s="18" t="n">
        <v>10362</v>
      </c>
      <c r="X32" s="18" t="n">
        <v>10332</v>
      </c>
      <c r="Y32" s="18" t="n">
        <v>10534</v>
      </c>
      <c r="Z32" s="18" t="n">
        <v>10682</v>
      </c>
      <c r="AA32" s="18" t="n">
        <v>10907</v>
      </c>
      <c r="AB32" s="18" t="n">
        <v>10837</v>
      </c>
      <c r="AC32" s="18" t="n">
        <v>11037</v>
      </c>
    </row>
    <row r="33">
      <c r="A33" s="5" t="inlineStr">
        <is>
          <t xml:space="preserve">  CASH FLOW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</row>
    <row r="34">
      <c r="A34" s="4" t="inlineStr">
        <is>
          <t>D&amp;A</t>
        </is>
      </c>
      <c r="B34" s="18" t="n">
        <v>142</v>
      </c>
      <c r="C34" s="18" t="n">
        <v>144</v>
      </c>
      <c r="D34" s="18" t="n">
        <v>152</v>
      </c>
      <c r="E34" s="18" t="n">
        <v>145</v>
      </c>
      <c r="F34" s="18" t="n">
        <v>152</v>
      </c>
      <c r="G34" s="18" t="n">
        <v>154</v>
      </c>
      <c r="H34" s="18" t="n">
        <v>153</v>
      </c>
      <c r="I34" s="18" t="n">
        <v>157</v>
      </c>
      <c r="J34" s="18" t="n">
        <v>158</v>
      </c>
      <c r="K34" s="18" t="n">
        <v>161</v>
      </c>
      <c r="L34" s="18" t="n">
        <v>160</v>
      </c>
      <c r="M34" s="18" t="n">
        <v>158</v>
      </c>
      <c r="N34" s="18" t="n">
        <v>163</v>
      </c>
      <c r="O34" s="18" t="n">
        <v>164</v>
      </c>
      <c r="P34" s="18" t="n">
        <v>164</v>
      </c>
      <c r="Q34" s="18" t="n">
        <v>172</v>
      </c>
      <c r="R34" s="18" t="n">
        <v>174</v>
      </c>
      <c r="S34" s="18" t="n">
        <v>177</v>
      </c>
      <c r="T34" s="18" t="n">
        <v>181</v>
      </c>
      <c r="U34" s="18" t="n">
        <v>188</v>
      </c>
      <c r="V34" s="18" t="n">
        <v>193</v>
      </c>
      <c r="W34" s="18" t="n">
        <v>200</v>
      </c>
      <c r="X34" s="18" t="n">
        <v>207</v>
      </c>
      <c r="Y34" s="18" t="n">
        <v>216</v>
      </c>
      <c r="Z34" s="18" t="n">
        <v>221</v>
      </c>
      <c r="AA34" s="18" t="n">
        <v>226</v>
      </c>
      <c r="AB34" s="18" t="n">
        <v>231</v>
      </c>
      <c r="AC34" s="18" t="n">
        <v>237</v>
      </c>
    </row>
    <row r="35">
      <c r="A35" s="4" t="inlineStr">
        <is>
          <t>Stock-based Compensation</t>
        </is>
      </c>
      <c r="B35" s="18" t="n">
        <v>0</v>
      </c>
      <c r="C35" s="18" t="n">
        <v>0</v>
      </c>
      <c r="D35" s="18" t="n">
        <v>0</v>
      </c>
      <c r="E35" s="18" t="n">
        <v>0</v>
      </c>
      <c r="F35" s="18" t="n">
        <v>0</v>
      </c>
      <c r="G35" s="18" t="n">
        <v>0</v>
      </c>
      <c r="H35" s="18" t="n">
        <v>0</v>
      </c>
      <c r="I35" s="18" t="n">
        <v>0</v>
      </c>
      <c r="J35" s="18" t="n">
        <v>0</v>
      </c>
      <c r="K35" s="18" t="n">
        <v>0</v>
      </c>
      <c r="L35" s="18" t="n">
        <v>0</v>
      </c>
      <c r="M35" s="18" t="n">
        <v>0</v>
      </c>
      <c r="N35" s="18" t="n">
        <v>0</v>
      </c>
      <c r="O35" s="18" t="n">
        <v>0</v>
      </c>
      <c r="P35" s="18" t="n">
        <v>0</v>
      </c>
      <c r="Q35" s="18" t="n">
        <v>0</v>
      </c>
      <c r="R35" s="18" t="n">
        <v>0</v>
      </c>
      <c r="S35" s="18" t="n">
        <v>0</v>
      </c>
      <c r="T35" s="18" t="n">
        <v>0</v>
      </c>
      <c r="U35" s="18" t="n">
        <v>0</v>
      </c>
      <c r="V35" s="18" t="n">
        <v>0</v>
      </c>
      <c r="W35" s="18" t="n">
        <v>0</v>
      </c>
      <c r="X35" s="18" t="n">
        <v>0</v>
      </c>
      <c r="Y35" s="18" t="n">
        <v>0</v>
      </c>
      <c r="Z35" s="18" t="n">
        <v>0</v>
      </c>
      <c r="AA35" s="18" t="n">
        <v>0</v>
      </c>
      <c r="AB35" s="18" t="n">
        <v>0</v>
      </c>
      <c r="AC35" s="18" t="n">
        <v>0</v>
      </c>
    </row>
    <row r="36">
      <c r="A36" s="4" t="inlineStr">
        <is>
          <t>Change in Working Capital</t>
        </is>
      </c>
      <c r="B36" s="18" t="n">
        <v>-36</v>
      </c>
      <c r="C36" s="18" t="n">
        <v>-4</v>
      </c>
      <c r="D36" s="18" t="n">
        <v>76</v>
      </c>
      <c r="E36" s="18" t="n">
        <v>-114</v>
      </c>
      <c r="F36" s="18" t="n">
        <v>-18</v>
      </c>
      <c r="G36" s="18" t="n">
        <v>-44</v>
      </c>
      <c r="H36" s="18" t="n">
        <v>82</v>
      </c>
      <c r="I36" s="18" t="n">
        <v>-97</v>
      </c>
      <c r="J36" s="18" t="n">
        <v>-57</v>
      </c>
      <c r="K36" s="18" t="n">
        <v>5</v>
      </c>
      <c r="L36" s="18" t="n">
        <v>235</v>
      </c>
      <c r="M36" s="18" t="n">
        <v>-90</v>
      </c>
      <c r="N36" s="18" t="n">
        <v>-361</v>
      </c>
      <c r="O36" s="18" t="n">
        <v>95</v>
      </c>
      <c r="P36" s="18" t="n">
        <v>-50</v>
      </c>
      <c r="Q36" s="18" t="n">
        <v>-51</v>
      </c>
      <c r="R36" s="18" t="n">
        <v>-71</v>
      </c>
      <c r="S36" s="18" t="n">
        <v>57</v>
      </c>
      <c r="T36" s="18" t="n">
        <v>92</v>
      </c>
      <c r="U36" s="18" t="n">
        <v>-8</v>
      </c>
      <c r="V36" s="18" t="n">
        <v>-125</v>
      </c>
      <c r="W36" s="18" t="n">
        <v>34</v>
      </c>
      <c r="X36" s="18" t="n">
        <v>87</v>
      </c>
      <c r="Y36" s="18" t="n">
        <v>-93</v>
      </c>
      <c r="Z36" s="18" t="n">
        <v>-238</v>
      </c>
      <c r="AA36" s="18" t="n">
        <v>56</v>
      </c>
      <c r="AB36" s="18" t="n">
        <v>175</v>
      </c>
      <c r="AC36" s="18" t="n">
        <v>-22</v>
      </c>
    </row>
    <row r="37">
      <c r="A37" s="4" t="inlineStr">
        <is>
          <t>Operating Cash Flow</t>
        </is>
      </c>
      <c r="B37" s="18" t="n">
        <v>312</v>
      </c>
      <c r="C37" s="18" t="n">
        <v>465</v>
      </c>
      <c r="D37" s="18" t="n">
        <v>438</v>
      </c>
      <c r="E37" s="18" t="n">
        <v>180</v>
      </c>
      <c r="F37" s="18" t="n">
        <v>351</v>
      </c>
      <c r="G37" s="18" t="n">
        <v>457</v>
      </c>
      <c r="H37" s="18" t="n">
        <v>438</v>
      </c>
      <c r="I37" s="18" t="n">
        <v>179</v>
      </c>
      <c r="J37" s="18" t="n">
        <v>341</v>
      </c>
      <c r="K37" s="18" t="n">
        <v>509</v>
      </c>
      <c r="L37" s="18" t="n">
        <v>412</v>
      </c>
      <c r="M37" s="18" t="n">
        <v>154</v>
      </c>
      <c r="N37" s="18" t="n">
        <v>42</v>
      </c>
      <c r="O37" s="18" t="n">
        <v>568</v>
      </c>
      <c r="P37" s="18" t="n">
        <v>344</v>
      </c>
      <c r="Q37" s="18" t="n">
        <v>285</v>
      </c>
      <c r="R37" s="18" t="n">
        <v>429</v>
      </c>
      <c r="S37" s="18" t="n">
        <v>633</v>
      </c>
      <c r="T37" s="18" t="n">
        <v>527</v>
      </c>
      <c r="U37" s="18" t="n">
        <v>382</v>
      </c>
      <c r="V37" s="18" t="n">
        <v>345</v>
      </c>
      <c r="W37" s="18" t="n">
        <v>679</v>
      </c>
      <c r="X37" s="18" t="n">
        <v>639</v>
      </c>
      <c r="Y37" s="18" t="n">
        <v>331</v>
      </c>
      <c r="Z37" s="18" t="n">
        <v>301</v>
      </c>
      <c r="AA37" s="18" t="n">
        <v>764</v>
      </c>
      <c r="AB37" s="18" t="n">
        <v>663</v>
      </c>
      <c r="AC37" s="18" t="n">
        <v>305</v>
      </c>
    </row>
    <row r="38">
      <c r="A38" s="4" t="inlineStr">
        <is>
          <t>Capex</t>
        </is>
      </c>
      <c r="B38" s="18" t="n">
        <v>-409</v>
      </c>
      <c r="C38" s="18" t="n">
        <v>-433</v>
      </c>
      <c r="D38" s="18" t="n">
        <v>-572</v>
      </c>
      <c r="E38" s="18" t="n">
        <v>-431</v>
      </c>
      <c r="F38" s="18" t="n">
        <v>-489</v>
      </c>
      <c r="G38" s="18" t="n">
        <v>-469</v>
      </c>
      <c r="H38" s="18" t="n">
        <v>-539</v>
      </c>
      <c r="I38" s="18" t="n">
        <v>-360</v>
      </c>
      <c r="J38" s="18" t="n">
        <v>-435</v>
      </c>
      <c r="K38" s="18" t="n">
        <v>-480</v>
      </c>
      <c r="L38" s="18" t="n">
        <v>-598</v>
      </c>
      <c r="M38" s="18" t="n">
        <v>-444</v>
      </c>
      <c r="N38" s="18" t="n">
        <v>-600</v>
      </c>
      <c r="O38" s="18" t="n">
        <v>-638</v>
      </c>
      <c r="P38" s="18" t="n">
        <v>-738</v>
      </c>
      <c r="Q38" s="18" t="n">
        <v>-557</v>
      </c>
      <c r="R38" s="18" t="n">
        <v>-674</v>
      </c>
      <c r="S38" s="18" t="n">
        <v>-661</v>
      </c>
      <c r="T38" s="18" t="n">
        <v>-842</v>
      </c>
      <c r="U38" s="18" t="n">
        <v>-609</v>
      </c>
      <c r="V38" s="18" t="n">
        <v>-670</v>
      </c>
      <c r="W38" s="18" t="n">
        <v>-722</v>
      </c>
      <c r="X38" s="18" t="n">
        <v>-934</v>
      </c>
      <c r="Y38" s="18" t="n">
        <v>-548</v>
      </c>
      <c r="Z38" s="18" t="n">
        <v>-733</v>
      </c>
      <c r="AA38" s="18" t="n">
        <v>-797</v>
      </c>
      <c r="AB38" s="18" t="n">
        <v>-1048</v>
      </c>
      <c r="AC38" s="18" t="n">
        <v>-659</v>
      </c>
    </row>
    <row r="39">
      <c r="A39" s="4" t="inlineStr">
        <is>
          <t>Free Cash Flow</t>
        </is>
      </c>
      <c r="B39" s="18" t="n">
        <v>-97</v>
      </c>
      <c r="C39" s="18" t="n">
        <v>32</v>
      </c>
      <c r="D39" s="18" t="n">
        <v>-134</v>
      </c>
      <c r="E39" s="18" t="n">
        <v>-251</v>
      </c>
      <c r="F39" s="18" t="n">
        <v>-138</v>
      </c>
      <c r="G39" s="18" t="n">
        <v>-12</v>
      </c>
      <c r="H39" s="18" t="n">
        <v>-101</v>
      </c>
      <c r="I39" s="18" t="n">
        <v>-181</v>
      </c>
      <c r="J39" s="18" t="n">
        <v>-94</v>
      </c>
      <c r="K39" s="18" t="n">
        <v>29</v>
      </c>
      <c r="L39" s="18" t="n">
        <v>-186</v>
      </c>
      <c r="M39" s="18" t="n">
        <v>-290</v>
      </c>
      <c r="N39" s="18" t="n">
        <v>-558</v>
      </c>
      <c r="O39" s="18" t="n">
        <v>-70</v>
      </c>
      <c r="P39" s="18" t="n">
        <v>-394</v>
      </c>
      <c r="Q39" s="18" t="n">
        <v>-272</v>
      </c>
      <c r="R39" s="18" t="n">
        <v>-245</v>
      </c>
      <c r="S39" s="18" t="n">
        <v>-28</v>
      </c>
      <c r="T39" s="18" t="n">
        <v>-315</v>
      </c>
      <c r="U39" s="18" t="n">
        <v>-227</v>
      </c>
      <c r="V39" s="18" t="n">
        <v>-325</v>
      </c>
      <c r="W39" s="18" t="n">
        <v>-43</v>
      </c>
      <c r="X39" s="18" t="n">
        <v>-295</v>
      </c>
      <c r="Y39" s="18" t="n">
        <v>-217</v>
      </c>
      <c r="Z39" s="18" t="n">
        <v>-432</v>
      </c>
      <c r="AA39" s="18" t="n">
        <v>-33</v>
      </c>
      <c r="AB39" s="18" t="n">
        <v>-385</v>
      </c>
      <c r="AC39" s="18" t="n">
        <v>-354</v>
      </c>
    </row>
    <row r="41">
      <c r="A41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36" t="n">
        <v>2026</v>
      </c>
      <c r="C2" s="36" t="n">
        <v>2027</v>
      </c>
      <c r="D2" s="36" t="n">
        <v>2028</v>
      </c>
      <c r="E2" s="36" t="n">
        <v>2029</v>
      </c>
      <c r="F2" s="36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5352.775734</v>
      </c>
      <c r="C4" s="18" t="n">
        <v>5722.921335</v>
      </c>
      <c r="D4" s="18" t="n">
        <v>6070.950839</v>
      </c>
      <c r="E4" s="18" t="n">
        <v>6998.5</v>
      </c>
      <c r="F4" s="18" t="n">
        <v>7507</v>
      </c>
    </row>
    <row r="5">
      <c r="A5" s="4" t="inlineStr">
        <is>
          <t xml:space="preserve">  model</t>
        </is>
      </c>
      <c r="B5" s="28">
        <f>Model!G6</f>
        <v/>
      </c>
      <c r="C5" s="28">
        <f>Model!H6</f>
        <v/>
      </c>
      <c r="D5" s="28">
        <f>Model!I6</f>
        <v/>
      </c>
      <c r="E5" s="28">
        <f>Model!J6</f>
        <v/>
      </c>
      <c r="F5" s="28">
        <f>Model!K6</f>
        <v/>
      </c>
    </row>
    <row r="6">
      <c r="A6" s="4" t="inlineStr">
        <is>
          <t xml:space="preserve">  vs consensus</t>
        </is>
      </c>
      <c r="B6" s="61">
        <f>IFERROR(B5/B4-1,"")</f>
        <v/>
      </c>
      <c r="C6" s="61">
        <f>IFERROR(C5/C4-1,"")</f>
        <v/>
      </c>
      <c r="D6" s="61">
        <f>IFERROR(D5/D4-1,"")</f>
        <v/>
      </c>
      <c r="E6" s="61">
        <f>IFERROR(E5/E4-1,"")</f>
        <v/>
      </c>
      <c r="F6" s="61">
        <f>IFERROR(F5/F4-1,"")</f>
        <v/>
      </c>
    </row>
    <row r="8">
      <c r="A8" s="3" t="inlineStr">
        <is>
          <t>EBITDA* — consensus</t>
        </is>
      </c>
      <c r="B8" s="18" t="n">
        <v>2869.173283</v>
      </c>
      <c r="C8" s="18" t="n">
        <v>3067.577236</v>
      </c>
      <c r="D8" s="18" t="n">
        <v>3254.126609</v>
      </c>
      <c r="E8" s="18" t="n">
        <v>3751.307773</v>
      </c>
      <c r="F8" s="18" t="n">
        <v>4023.871895</v>
      </c>
    </row>
    <row r="9">
      <c r="A9" s="4" t="inlineStr">
        <is>
          <t xml:space="preserve">  model</t>
        </is>
      </c>
      <c r="B9" s="28">
        <f>Model!G19+Model!G24</f>
        <v/>
      </c>
      <c r="C9" s="28">
        <f>Model!H19+Model!H24</f>
        <v/>
      </c>
      <c r="D9" s="28">
        <f>Model!I19+Model!I24</f>
        <v/>
      </c>
      <c r="E9" s="28">
        <f>Model!J19+Model!J24</f>
        <v/>
      </c>
      <c r="F9" s="28">
        <f>Model!K19+Model!K24</f>
        <v/>
      </c>
    </row>
    <row r="10">
      <c r="A10" s="4" t="inlineStr">
        <is>
          <t xml:space="preserve">  vs consensus</t>
        </is>
      </c>
      <c r="B10" s="61">
        <f>IFERROR(B9/B8-1,"")</f>
        <v/>
      </c>
      <c r="C10" s="61">
        <f>IFERROR(C9/C8-1,"")</f>
        <v/>
      </c>
      <c r="D10" s="61">
        <f>IFERROR(D9/D8-1,"")</f>
        <v/>
      </c>
      <c r="E10" s="61">
        <f>IFERROR(E9/E8-1,"")</f>
        <v/>
      </c>
      <c r="F10" s="61">
        <f>IFERROR(F9/F8-1,"")</f>
        <v/>
      </c>
    </row>
    <row r="12">
      <c r="A12" s="3" t="inlineStr">
        <is>
          <t>EBIT* — consensus</t>
        </is>
      </c>
      <c r="B12" s="18" t="n">
        <v>1968.389855</v>
      </c>
      <c r="C12" s="18" t="n">
        <v>2104.50444</v>
      </c>
      <c r="D12" s="18" t="n">
        <v>2232.486216</v>
      </c>
      <c r="E12" s="18" t="n">
        <v>2573.576232</v>
      </c>
      <c r="F12" s="18" t="n">
        <v>2760.568232</v>
      </c>
    </row>
    <row r="13">
      <c r="A13" s="4" t="inlineStr">
        <is>
          <t xml:space="preserve">  model</t>
        </is>
      </c>
      <c r="B13" s="28">
        <f>Model!G19</f>
        <v/>
      </c>
      <c r="C13" s="28">
        <f>Model!H19</f>
        <v/>
      </c>
      <c r="D13" s="28">
        <f>Model!I19</f>
        <v/>
      </c>
      <c r="E13" s="28">
        <f>Model!J19</f>
        <v/>
      </c>
      <c r="F13" s="28">
        <f>Model!K19</f>
        <v/>
      </c>
    </row>
    <row r="14">
      <c r="A14" s="4" t="inlineStr">
        <is>
          <t xml:space="preserve">  vs consensus</t>
        </is>
      </c>
      <c r="B14" s="61">
        <f>IFERROR(B13/B12-1,"")</f>
        <v/>
      </c>
      <c r="C14" s="61">
        <f>IFERROR(C13/C12-1,"")</f>
        <v/>
      </c>
      <c r="D14" s="61">
        <f>IFERROR(D13/D12-1,"")</f>
        <v/>
      </c>
      <c r="E14" s="61">
        <f>IFERROR(E13/E12-1,"")</f>
        <v/>
      </c>
      <c r="F14" s="61">
        <f>IFERROR(F13/F12-1,"")</f>
        <v/>
      </c>
    </row>
    <row r="16">
      <c r="A16" s="3" t="inlineStr">
        <is>
          <t>SG&amp;A — consensus</t>
        </is>
      </c>
      <c r="B16" s="18" t="n">
        <v>57.476925</v>
      </c>
      <c r="C16" s="18" t="n">
        <v>61.451466</v>
      </c>
      <c r="D16" s="18" t="n">
        <v>65.18853</v>
      </c>
      <c r="E16" s="18" t="n">
        <v>75.148349</v>
      </c>
      <c r="F16" s="18" t="n">
        <v>80.60851</v>
      </c>
    </row>
    <row r="17">
      <c r="A17" s="4" t="inlineStr">
        <is>
          <t xml:space="preserve">  model</t>
        </is>
      </c>
      <c r="B17" s="28">
        <f>Model!G14</f>
        <v/>
      </c>
      <c r="C17" s="28">
        <f>Model!H14</f>
        <v/>
      </c>
      <c r="D17" s="28">
        <f>Model!I14</f>
        <v/>
      </c>
      <c r="E17" s="28">
        <f>Model!J14</f>
        <v/>
      </c>
      <c r="F17" s="28">
        <f>Model!K14</f>
        <v/>
      </c>
    </row>
    <row r="18">
      <c r="A18" s="4" t="inlineStr">
        <is>
          <t xml:space="preserve">  vs consensus</t>
        </is>
      </c>
      <c r="B18" s="61">
        <f>IFERROR(B17/B16-1,"")</f>
        <v/>
      </c>
      <c r="C18" s="61">
        <f>IFERROR(C17/C16-1,"")</f>
        <v/>
      </c>
      <c r="D18" s="61">
        <f>IFERROR(D17/D16-1,"")</f>
        <v/>
      </c>
      <c r="E18" s="61">
        <f>IFERROR(E17/E16-1,"")</f>
        <v/>
      </c>
      <c r="F18" s="61">
        <f>IFERROR(F17/F16-1,"")</f>
        <v/>
      </c>
    </row>
    <row r="20">
      <c r="A20" s="3" t="inlineStr">
        <is>
          <t>Net income (NOPAT) — consensus</t>
        </is>
      </c>
      <c r="B20" s="18" t="n">
        <v>1188.101856</v>
      </c>
      <c r="C20" s="18" t="n">
        <v>1328.00826</v>
      </c>
      <c r="D20" s="18" t="n">
        <v>1404.754657</v>
      </c>
      <c r="E20" s="18" t="n">
        <v>1524.120007</v>
      </c>
      <c r="F20" s="18" t="n">
        <v>1611.349358</v>
      </c>
    </row>
    <row r="21">
      <c r="A21" s="4" t="inlineStr">
        <is>
          <t xml:space="preserve">  model</t>
        </is>
      </c>
      <c r="B21" s="28">
        <f>Model!G23</f>
        <v/>
      </c>
      <c r="C21" s="28">
        <f>Model!H23</f>
        <v/>
      </c>
      <c r="D21" s="28">
        <f>Model!I23</f>
        <v/>
      </c>
      <c r="E21" s="28">
        <f>Model!J23</f>
        <v/>
      </c>
      <c r="F21" s="28">
        <f>Model!K23</f>
        <v/>
      </c>
    </row>
    <row r="22">
      <c r="A22" s="4" t="inlineStr">
        <is>
          <t xml:space="preserve">  vs consensus</t>
        </is>
      </c>
      <c r="B22" s="61">
        <f>IFERROR(B21/B20-1,"")</f>
        <v/>
      </c>
      <c r="C22" s="61">
        <f>IFERROR(C21/C20-1,"")</f>
        <v/>
      </c>
      <c r="D22" s="61">
        <f>IFERROR(D21/D20-1,"")</f>
        <v/>
      </c>
      <c r="E22" s="61">
        <f>IFERROR(E21/E20-1,"")</f>
        <v/>
      </c>
      <c r="F22" s="61">
        <f>IFERROR(F21/F20-1,"")</f>
        <v/>
      </c>
    </row>
    <row r="24">
      <c r="A24" s="3" t="inlineStr">
        <is>
          <t>EPS — consensus</t>
        </is>
      </c>
      <c r="B24" s="62" t="n">
        <v>6.09283</v>
      </c>
      <c r="C24" s="62" t="n">
        <v>6.6002</v>
      </c>
      <c r="D24" s="62" t="n">
        <v>7.15832</v>
      </c>
      <c r="E24" s="62" t="n">
        <v>7.816</v>
      </c>
      <c r="F24" s="62" t="n">
        <v>8.26333</v>
      </c>
    </row>
    <row r="25">
      <c r="A25" s="4" t="inlineStr">
        <is>
          <t xml:space="preserve">  model</t>
        </is>
      </c>
      <c r="B25" s="46">
        <f>Model!G23/Financials!AC17</f>
        <v/>
      </c>
      <c r="C25" s="46">
        <f>Model!H23/Financials!AC17</f>
        <v/>
      </c>
      <c r="D25" s="46">
        <f>Model!I23/Financials!AC17</f>
        <v/>
      </c>
      <c r="E25" s="46">
        <f>Model!J23/Financials!AC17</f>
        <v/>
      </c>
      <c r="F25" s="46">
        <f>Model!K23/Financials!AC17</f>
        <v/>
      </c>
    </row>
    <row r="26">
      <c r="A26" s="4" t="inlineStr">
        <is>
          <t xml:space="preserve">  vs consensus</t>
        </is>
      </c>
      <c r="B26" s="61">
        <f>IFERROR(B25/B24-1,"")</f>
        <v/>
      </c>
      <c r="C26" s="61">
        <f>IFERROR(C25/C24-1,"")</f>
        <v/>
      </c>
      <c r="D26" s="61">
        <f>IFERROR(D25/D24-1,"")</f>
        <v/>
      </c>
      <c r="E26" s="61">
        <f>IFERROR(E25/E24-1,"")</f>
        <v/>
      </c>
      <c r="F26" s="61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American Water Works Company, Inc. — DCF Valuation</t>
        </is>
      </c>
    </row>
    <row r="2">
      <c r="A2" s="4" t="inlineStr">
        <is>
          <t>Current price</t>
        </is>
      </c>
      <c r="B2" s="46">
        <f>Dashboard!$B$48</f>
        <v/>
      </c>
    </row>
    <row r="3">
      <c r="A3" s="4" t="inlineStr">
        <is>
          <t>WACC</t>
        </is>
      </c>
      <c r="B3" s="48">
        <f>WACC!B14</f>
        <v/>
      </c>
    </row>
    <row r="4">
      <c r="A4" s="4" t="inlineStr">
        <is>
          <t>Terminal growth (g)</t>
        </is>
      </c>
      <c r="B4" s="48">
        <f>Dashboard!$B$46</f>
        <v/>
      </c>
    </row>
    <row r="5">
      <c r="A5" s="4" t="inlineStr">
        <is>
          <t>Tax rate</t>
        </is>
      </c>
      <c r="B5" s="48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49">
        <f>Dashboard!$B$45</f>
        <v/>
      </c>
    </row>
    <row r="11">
      <c r="A11" s="3" t="inlineStr">
        <is>
          <t>Forecast year</t>
        </is>
      </c>
      <c r="C11" s="36" t="n">
        <v>2026</v>
      </c>
      <c r="D11" s="36" t="n">
        <v>2027</v>
      </c>
      <c r="E11" s="36" t="n">
        <v>2028</v>
      </c>
      <c r="F11" s="36" t="n">
        <v>2029</v>
      </c>
      <c r="G11" s="36" t="n">
        <v>2030</v>
      </c>
      <c r="H11" s="36" t="n">
        <v>2031</v>
      </c>
      <c r="I11" s="36" t="n">
        <v>2032</v>
      </c>
      <c r="J11" s="36" t="n">
        <v>2033</v>
      </c>
      <c r="K11" s="36" t="n">
        <v>2034</v>
      </c>
      <c r="L11" s="36" t="n">
        <v>2035</v>
      </c>
    </row>
    <row r="12">
      <c r="A12" s="4" t="inlineStr">
        <is>
          <t>FCFF ($M)</t>
        </is>
      </c>
      <c r="C12" s="28">
        <f>Model!G31</f>
        <v/>
      </c>
      <c r="D12" s="28">
        <f>Model!H31</f>
        <v/>
      </c>
      <c r="E12" s="28">
        <f>Model!I31</f>
        <v/>
      </c>
      <c r="F12" s="28">
        <f>Model!J31</f>
        <v/>
      </c>
      <c r="G12" s="28">
        <f>Model!K31</f>
        <v/>
      </c>
      <c r="H12" s="28">
        <f>Model!L31</f>
        <v/>
      </c>
      <c r="I12" s="28">
        <f>Model!M31</f>
        <v/>
      </c>
      <c r="J12" s="28">
        <f>Model!N31</f>
        <v/>
      </c>
      <c r="K12" s="28">
        <f>Model!O31</f>
        <v/>
      </c>
      <c r="L12" s="28">
        <f>Model!P31</f>
        <v/>
      </c>
    </row>
    <row r="13">
      <c r="A13" s="4" t="inlineStr">
        <is>
          <t>PV factor</t>
        </is>
      </c>
      <c r="C13" s="63">
        <f>1/(1+$B$3)^1</f>
        <v/>
      </c>
      <c r="D13" s="63">
        <f>1/(1+$B$3)^2</f>
        <v/>
      </c>
      <c r="E13" s="63">
        <f>1/(1+$B$3)^3</f>
        <v/>
      </c>
      <c r="F13" s="63">
        <f>1/(1+$B$3)^4</f>
        <v/>
      </c>
      <c r="G13" s="63">
        <f>1/(1+$B$3)^5</f>
        <v/>
      </c>
      <c r="H13" s="63">
        <f>1/(1+$B$3)^6</f>
        <v/>
      </c>
      <c r="I13" s="63">
        <f>1/(1+$B$3)^7</f>
        <v/>
      </c>
      <c r="J13" s="63">
        <f>1/(1+$B$3)^8</f>
        <v/>
      </c>
      <c r="K13" s="63">
        <f>1/(1+$B$3)^9</f>
        <v/>
      </c>
      <c r="L13" s="63">
        <f>1/(1+$B$3)^10</f>
        <v/>
      </c>
    </row>
    <row r="14">
      <c r="A14" s="4" t="inlineStr">
        <is>
          <t>PV of FCFF ($M)</t>
        </is>
      </c>
      <c r="C14" s="32">
        <f>C12*C13</f>
        <v/>
      </c>
      <c r="D14" s="32">
        <f>D12*D13</f>
        <v/>
      </c>
      <c r="E14" s="32">
        <f>E12*E13</f>
        <v/>
      </c>
      <c r="F14" s="32">
        <f>F12*F13</f>
        <v/>
      </c>
      <c r="G14" s="32">
        <f>G12*G13</f>
        <v/>
      </c>
      <c r="H14" s="32">
        <f>H12*H13</f>
        <v/>
      </c>
      <c r="I14" s="32">
        <f>I12*I13</f>
        <v/>
      </c>
      <c r="J14" s="32">
        <f>J12*J13</f>
        <v/>
      </c>
      <c r="K14" s="32">
        <f>K12*K13</f>
        <v/>
      </c>
      <c r="L14" s="32">
        <f>L12*L13</f>
        <v/>
      </c>
    </row>
    <row r="16">
      <c r="A16" s="3" t="inlineStr">
        <is>
          <t>Sum PV of FCFF</t>
        </is>
      </c>
      <c r="B16" s="33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32">
        <f>L12</f>
        <v/>
      </c>
    </row>
    <row r="20">
      <c r="A20" s="4" t="inlineStr">
        <is>
          <t>Terminal revenue</t>
        </is>
      </c>
      <c r="B20" s="28">
        <f>Model!P6</f>
        <v/>
      </c>
    </row>
    <row r="21">
      <c r="A21" s="4" t="inlineStr">
        <is>
          <t>Terminal EBIT</t>
        </is>
      </c>
      <c r="B21" s="28">
        <f>Model!P19</f>
        <v/>
      </c>
    </row>
    <row r="22">
      <c r="A22" s="4" t="inlineStr">
        <is>
          <t>Terminal EBITDA</t>
        </is>
      </c>
      <c r="B22" s="28">
        <f>Model!P19+Model!P24</f>
        <v/>
      </c>
    </row>
    <row r="23">
      <c r="A23" s="4" t="inlineStr">
        <is>
          <t>Terminal metric (per exit basis)</t>
        </is>
      </c>
      <c r="B23" s="32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32">
        <f>B23*$B$8</f>
        <v/>
      </c>
    </row>
    <row r="25">
      <c r="A25" s="4" t="inlineStr">
        <is>
          <t>PV of TV — exit multiple</t>
        </is>
      </c>
      <c r="B25" s="32">
        <f>B24/(1+$B$3)^10</f>
        <v/>
      </c>
    </row>
    <row r="26">
      <c r="A26" s="4" t="inlineStr">
        <is>
          <t>TV (perpetuity) = FCFF(1+g)/(WACC-g)</t>
        </is>
      </c>
      <c r="B26" s="32">
        <f>B19*(1+$B$4)/($B$3-$B$4)</f>
        <v/>
      </c>
    </row>
    <row r="27">
      <c r="A27" s="4" t="inlineStr">
        <is>
          <t>PV of TV — perpetuity</t>
        </is>
      </c>
      <c r="B27" s="32">
        <f>B26/(1+$B$3)^10</f>
        <v/>
      </c>
    </row>
    <row r="28">
      <c r="A28" s="3" t="inlineStr">
        <is>
          <t>PV of TV — SELECTED</t>
        </is>
      </c>
      <c r="B28" s="33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33">
        <f>B16+B28</f>
        <v/>
      </c>
    </row>
    <row r="32">
      <c r="A32" s="4" t="inlineStr">
        <is>
          <t>+ Cash &amp; ST investments</t>
        </is>
      </c>
      <c r="B32" s="28">
        <f>Financials!AC26</f>
        <v/>
      </c>
    </row>
    <row r="33">
      <c r="A33" s="4" t="inlineStr">
        <is>
          <t>- Long-term debt</t>
        </is>
      </c>
      <c r="B33" s="28">
        <f>-Financials!AC31</f>
        <v/>
      </c>
    </row>
    <row r="34">
      <c r="A34" s="3" t="inlineStr">
        <is>
          <t>Equity value</t>
        </is>
      </c>
      <c r="B34" s="33">
        <f>B31+B32+B33</f>
        <v/>
      </c>
    </row>
    <row r="35">
      <c r="A35" s="4" t="inlineStr">
        <is>
          <t>Diluted shares (M)</t>
        </is>
      </c>
      <c r="B35" s="28">
        <f>Financials!AC17</f>
        <v/>
      </c>
    </row>
    <row r="36">
      <c r="A36" s="3" t="inlineStr">
        <is>
          <t>VALUE / SHARE</t>
        </is>
      </c>
      <c r="B36" s="45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57">
        <f>B28/B31</f>
        <v/>
      </c>
    </row>
    <row r="40">
      <c r="A40" s="4" t="inlineStr">
        <is>
          <t>Implied perpetuity g (from exit multiple)</t>
        </is>
      </c>
      <c r="B40" s="57">
        <f>(B24*$B$3-B19)/(B24+B19)</f>
        <v/>
      </c>
    </row>
    <row r="41">
      <c r="A41" s="4" t="inlineStr">
        <is>
          <t>Implied exit EV/EBITDA (from perpetuity)</t>
        </is>
      </c>
      <c r="B41" s="59">
        <f>B26/B22</f>
        <v/>
      </c>
    </row>
    <row r="42">
      <c r="A42" s="4" t="inlineStr">
        <is>
          <t>Upside / (downside) to fair value</t>
        </is>
      </c>
      <c r="B42" s="64">
        <f>B36/$B$2-1</f>
        <v/>
      </c>
    </row>
    <row r="44">
      <c r="A44" s="4" t="inlineStr">
        <is>
          <t>Owner cashflow / share</t>
        </is>
      </c>
      <c r="B44" s="65">
        <f>-$B$2</f>
        <v/>
      </c>
      <c r="C44" s="42">
        <f>C12/B35</f>
        <v/>
      </c>
      <c r="D44" s="42">
        <f>D12/B35</f>
        <v/>
      </c>
      <c r="E44" s="42">
        <f>E12/B35</f>
        <v/>
      </c>
      <c r="F44" s="42">
        <f>F12/B35</f>
        <v/>
      </c>
      <c r="G44" s="42">
        <f>G12/B35</f>
        <v/>
      </c>
      <c r="H44" s="42">
        <f>H12/B35</f>
        <v/>
      </c>
      <c r="I44" s="42">
        <f>I12/B35</f>
        <v/>
      </c>
      <c r="J44" s="42">
        <f>J12/B35</f>
        <v/>
      </c>
      <c r="K44" s="42">
        <f>K12/B35</f>
        <v/>
      </c>
      <c r="L44" s="42">
        <f>L12/B35+B36</f>
        <v/>
      </c>
    </row>
    <row r="45">
      <c r="A45" s="3" t="inlineStr">
        <is>
          <t>IRR (buy at price, hold 10y)</t>
        </is>
      </c>
      <c r="B45" s="58">
        <f>IRR(B44:L44)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Model!F6</f>
        <v/>
      </c>
      <c r="K2" s="57">
        <f>MAX(-0.05,NORMINV(RAND(),$C$6,$D$6))</f>
        <v/>
      </c>
      <c r="L2" s="57">
        <f>MAX(0.02,NORMINV(RAND(),$C$7,$D$7))</f>
        <v/>
      </c>
      <c r="M2" s="57">
        <f>MIN(0.16,MAX(0.05,NORMINV(RAND(),$C$8,$D$8)))</f>
        <v/>
      </c>
      <c r="N2" s="59">
        <f>MIN(24,MAX(5,NORMINV(RAND(),$C$9,$D$9)))</f>
        <v/>
      </c>
      <c r="O2" s="65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Model!F20</f>
        <v/>
      </c>
      <c r="K3" s="57">
        <f>MAX(-0.05,NORMINV(RAND(),$C$6,$D$6))</f>
        <v/>
      </c>
      <c r="L3" s="57">
        <f>MAX(0.02,NORMINV(RAND(),$C$7,$D$7))</f>
        <v/>
      </c>
      <c r="M3" s="57">
        <f>MIN(0.16,MAX(0.05,NORMINV(RAND(),$C$8,$D$8)))</f>
        <v/>
      </c>
      <c r="N3" s="59">
        <f>MIN(24,MAX(5,NORMINV(RAND(),$C$9,$D$9)))</f>
        <v/>
      </c>
      <c r="O3" s="65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63" t="n">
        <v>0.1739299610894942</v>
      </c>
      <c r="K4" s="57">
        <f>MAX(-0.05,NORMINV(RAND(),$C$6,$D$6))</f>
        <v/>
      </c>
      <c r="L4" s="57">
        <f>MAX(0.02,NORMINV(RAND(),$C$7,$D$7))</f>
        <v/>
      </c>
      <c r="M4" s="57">
        <f>MIN(0.16,MAX(0.05,NORMINV(RAND(),$C$8,$D$8)))</f>
        <v/>
      </c>
      <c r="N4" s="59">
        <f>MIN(24,MAX(5,NORMINV(RAND(),$C$9,$D$9)))</f>
        <v/>
      </c>
      <c r="O4" s="65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63" t="n">
        <v>3.334675615212528</v>
      </c>
      <c r="K5" s="57">
        <f>MAX(-0.05,NORMINV(RAND(),$C$6,$D$6))</f>
        <v/>
      </c>
      <c r="L5" s="57">
        <f>MAX(0.02,NORMINV(RAND(),$C$7,$D$7))</f>
        <v/>
      </c>
      <c r="M5" s="57">
        <f>MIN(0.16,MAX(0.05,NORMINV(RAND(),$C$8,$D$8)))</f>
        <v/>
      </c>
      <c r="N5" s="59">
        <f>MIN(24,MAX(5,NORMINV(RAND(),$C$9,$D$9)))</f>
        <v/>
      </c>
      <c r="O5" s="65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48">
        <f>(Model!P6/Model!F6)^(1/10)-1</f>
        <v/>
      </c>
      <c r="D6" s="50" t="n">
        <v>0.03</v>
      </c>
      <c r="H6" s="4" t="inlineStr">
        <is>
          <t>nwc (% incr revenue)</t>
        </is>
      </c>
      <c r="I6" s="63" t="n">
        <v>0.005</v>
      </c>
      <c r="K6" s="57">
        <f>MAX(-0.05,NORMINV(RAND(),$C$6,$D$6))</f>
        <v/>
      </c>
      <c r="L6" s="57">
        <f>MAX(0.02,NORMINV(RAND(),$C$7,$D$7))</f>
        <v/>
      </c>
      <c r="M6" s="57">
        <f>MIN(0.16,MAX(0.05,NORMINV(RAND(),$C$8,$D$8)))</f>
        <v/>
      </c>
      <c r="N6" s="59">
        <f>MIN(24,MAX(5,NORMINV(RAND(),$C$9,$D$9)))</f>
        <v/>
      </c>
      <c r="O6" s="65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48">
        <f>Dashboard!$B$30</f>
        <v/>
      </c>
      <c r="D7" s="50" t="n">
        <v>0.02341424184282524</v>
      </c>
      <c r="H7" s="4" t="inlineStr">
        <is>
          <t>tax</t>
        </is>
      </c>
      <c r="I7" s="12">
        <f>Valuation!$B$5</f>
        <v/>
      </c>
      <c r="K7" s="57">
        <f>MAX(-0.05,NORMINV(RAND(),$C$6,$D$6))</f>
        <v/>
      </c>
      <c r="L7" s="57">
        <f>MAX(0.02,NORMINV(RAND(),$C$7,$D$7))</f>
        <v/>
      </c>
      <c r="M7" s="57">
        <f>MIN(0.16,MAX(0.05,NORMINV(RAND(),$C$8,$D$8)))</f>
        <v/>
      </c>
      <c r="N7" s="59">
        <f>MIN(24,MAX(5,NORMINV(RAND(),$C$9,$D$9)))</f>
        <v/>
      </c>
      <c r="O7" s="65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48">
        <f>WACC!B14</f>
        <v/>
      </c>
      <c r="D8" s="50" t="n">
        <v>0.005</v>
      </c>
      <c r="H8" s="4" t="inlineStr">
        <is>
          <t>k (calibration)</t>
        </is>
      </c>
      <c r="I8" s="63" t="n">
        <v>0.9667808453482937</v>
      </c>
      <c r="K8" s="57">
        <f>MAX(-0.05,NORMINV(RAND(),$C$6,$D$6))</f>
        <v/>
      </c>
      <c r="L8" s="57">
        <f>MAX(0.02,NORMINV(RAND(),$C$7,$D$7))</f>
        <v/>
      </c>
      <c r="M8" s="57">
        <f>MIN(0.16,MAX(0.05,NORMINV(RAND(),$C$8,$D$8)))</f>
        <v/>
      </c>
      <c r="N8" s="59">
        <f>MIN(24,MAX(5,NORMINV(RAND(),$C$9,$D$9)))</f>
        <v/>
      </c>
      <c r="O8" s="65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49">
        <f>Dashboard!$B$45</f>
        <v/>
      </c>
      <c r="D9" s="52" t="n">
        <v>1.5</v>
      </c>
      <c r="H9" s="4" t="inlineStr">
        <is>
          <t>cash</t>
        </is>
      </c>
      <c r="I9" s="12">
        <f>Financials!AC26</f>
        <v/>
      </c>
      <c r="K9" s="57">
        <f>MAX(-0.05,NORMINV(RAND(),$C$6,$D$6))</f>
        <v/>
      </c>
      <c r="L9" s="57">
        <f>MAX(0.02,NORMINV(RAND(),$C$7,$D$7))</f>
        <v/>
      </c>
      <c r="M9" s="57">
        <f>MIN(0.16,MAX(0.05,NORMINV(RAND(),$C$8,$D$8)))</f>
        <v/>
      </c>
      <c r="N9" s="59">
        <f>MIN(24,MAX(5,NORMINV(RAND(),$C$9,$D$9)))</f>
        <v/>
      </c>
      <c r="O9" s="65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Financials!AC31</f>
        <v/>
      </c>
      <c r="K10" s="57">
        <f>MAX(-0.05,NORMINV(RAND(),$C$6,$D$6))</f>
        <v/>
      </c>
      <c r="L10" s="57">
        <f>MAX(0.02,NORMINV(RAND(),$C$7,$D$7))</f>
        <v/>
      </c>
      <c r="M10" s="57">
        <f>MIN(0.16,MAX(0.05,NORMINV(RAND(),$C$8,$D$8)))</f>
        <v/>
      </c>
      <c r="N10" s="59">
        <f>MIN(24,MAX(5,NORMINV(RAND(),$C$9,$D$9)))</f>
        <v/>
      </c>
      <c r="O10" s="65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57">
        <f>MAX(-0.05,NORMINV(RAND(),$C$6,$D$6))</f>
        <v/>
      </c>
      <c r="L11" s="57">
        <f>MAX(0.02,NORMINV(RAND(),$C$7,$D$7))</f>
        <v/>
      </c>
      <c r="M11" s="57">
        <f>MIN(0.16,MAX(0.05,NORMINV(RAND(),$C$8,$D$8)))</f>
        <v/>
      </c>
      <c r="N11" s="59">
        <f>MIN(24,MAX(5,NORMINV(RAND(),$C$9,$D$9)))</f>
        <v/>
      </c>
      <c r="O11" s="65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65">
        <f>AVERAGE($O$2:$O$1001)</f>
        <v/>
      </c>
      <c r="K12" s="57">
        <f>MAX(-0.05,NORMINV(RAND(),$C$6,$D$6))</f>
        <v/>
      </c>
      <c r="L12" s="57">
        <f>MAX(0.02,NORMINV(RAND(),$C$7,$D$7))</f>
        <v/>
      </c>
      <c r="M12" s="57">
        <f>MIN(0.16,MAX(0.05,NORMINV(RAND(),$C$8,$D$8)))</f>
        <v/>
      </c>
      <c r="N12" s="59">
        <f>MIN(24,MAX(5,NORMINV(RAND(),$C$9,$D$9)))</f>
        <v/>
      </c>
      <c r="O12" s="65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66">
        <f>MEDIAN($O$2:$O$1001)</f>
        <v/>
      </c>
      <c r="K13" s="57">
        <f>MAX(-0.05,NORMINV(RAND(),$C$6,$D$6))</f>
        <v/>
      </c>
      <c r="L13" s="57">
        <f>MAX(0.02,NORMINV(RAND(),$C$7,$D$7))</f>
        <v/>
      </c>
      <c r="M13" s="57">
        <f>MIN(0.16,MAX(0.05,NORMINV(RAND(),$C$8,$D$8)))</f>
        <v/>
      </c>
      <c r="N13" s="59">
        <f>MIN(24,MAX(5,NORMINV(RAND(),$C$9,$D$9)))</f>
        <v/>
      </c>
      <c r="O13" s="65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65">
        <f>STDEV($O$2:$O$1001)</f>
        <v/>
      </c>
      <c r="K14" s="57">
        <f>MAX(-0.05,NORMINV(RAND(),$C$6,$D$6))</f>
        <v/>
      </c>
      <c r="L14" s="57">
        <f>MAX(0.02,NORMINV(RAND(),$C$7,$D$7))</f>
        <v/>
      </c>
      <c r="M14" s="57">
        <f>MIN(0.16,MAX(0.05,NORMINV(RAND(),$C$8,$D$8)))</f>
        <v/>
      </c>
      <c r="N14" s="59">
        <f>MIN(24,MAX(5,NORMINV(RAND(),$C$9,$D$9)))</f>
        <v/>
      </c>
      <c r="O14" s="65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65">
        <f>MIN($O$2:$O$1001)</f>
        <v/>
      </c>
      <c r="K15" s="57">
        <f>MAX(-0.05,NORMINV(RAND(),$C$6,$D$6))</f>
        <v/>
      </c>
      <c r="L15" s="57">
        <f>MAX(0.02,NORMINV(RAND(),$C$7,$D$7))</f>
        <v/>
      </c>
      <c r="M15" s="57">
        <f>MIN(0.16,MAX(0.05,NORMINV(RAND(),$C$8,$D$8)))</f>
        <v/>
      </c>
      <c r="N15" s="59">
        <f>MIN(24,MAX(5,NORMINV(RAND(),$C$9,$D$9)))</f>
        <v/>
      </c>
      <c r="O15" s="65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65">
        <f>MAX($O$2:$O$1001)</f>
        <v/>
      </c>
      <c r="K16" s="57">
        <f>MAX(-0.05,NORMINV(RAND(),$C$6,$D$6))</f>
        <v/>
      </c>
      <c r="L16" s="57">
        <f>MAX(0.02,NORMINV(RAND(),$C$7,$D$7))</f>
        <v/>
      </c>
      <c r="M16" s="57">
        <f>MIN(0.16,MAX(0.05,NORMINV(RAND(),$C$8,$D$8)))</f>
        <v/>
      </c>
      <c r="N16" s="59">
        <f>MIN(24,MAX(5,NORMINV(RAND(),$C$9,$D$9)))</f>
        <v/>
      </c>
      <c r="O16" s="65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46">
        <f>Valuation!$B$2</f>
        <v/>
      </c>
      <c r="K17" s="57">
        <f>MAX(-0.05,NORMINV(RAND(),$C$6,$D$6))</f>
        <v/>
      </c>
      <c r="L17" s="57">
        <f>MAX(0.02,NORMINV(RAND(),$C$7,$D$7))</f>
        <v/>
      </c>
      <c r="M17" s="57">
        <f>MIN(0.16,MAX(0.05,NORMINV(RAND(),$C$8,$D$8)))</f>
        <v/>
      </c>
      <c r="N17" s="59">
        <f>MIN(24,MAX(5,NORMINV(RAND(),$C$9,$D$9)))</f>
        <v/>
      </c>
      <c r="O17" s="65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46">
        <f>Valuation!B36</f>
        <v/>
      </c>
      <c r="K18" s="57">
        <f>MAX(-0.05,NORMINV(RAND(),$C$6,$D$6))</f>
        <v/>
      </c>
      <c r="L18" s="57">
        <f>MAX(0.02,NORMINV(RAND(),$C$7,$D$7))</f>
        <v/>
      </c>
      <c r="M18" s="57">
        <f>MIN(0.16,MAX(0.05,NORMINV(RAND(),$C$8,$D$8)))</f>
        <v/>
      </c>
      <c r="N18" s="59">
        <f>MIN(24,MAX(5,NORMINV(RAND(),$C$9,$D$9)))</f>
        <v/>
      </c>
      <c r="O18" s="65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57">
        <f>MAX(-0.05,NORMINV(RAND(),$C$6,$D$6))</f>
        <v/>
      </c>
      <c r="L19" s="57">
        <f>MAX(0.02,NORMINV(RAND(),$C$7,$D$7))</f>
        <v/>
      </c>
      <c r="M19" s="57">
        <f>MIN(0.16,MAX(0.05,NORMINV(RAND(),$C$8,$D$8)))</f>
        <v/>
      </c>
      <c r="N19" s="59">
        <f>MIN(24,MAX(5,NORMINV(RAND(),$C$9,$D$9)))</f>
        <v/>
      </c>
      <c r="O19" s="65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54">
        <f>COUNTIF($O$2:$O$1001,"&gt;"&amp;Valuation!$B$2)/1000</f>
        <v/>
      </c>
      <c r="K20" s="57">
        <f>MAX(-0.05,NORMINV(RAND(),$C$6,$D$6))</f>
        <v/>
      </c>
      <c r="L20" s="57">
        <f>MAX(0.02,NORMINV(RAND(),$C$7,$D$7))</f>
        <v/>
      </c>
      <c r="M20" s="57">
        <f>MIN(0.16,MAX(0.05,NORMINV(RAND(),$C$8,$D$8)))</f>
        <v/>
      </c>
      <c r="N20" s="59">
        <f>MIN(24,MAX(5,NORMINV(RAND(),$C$9,$D$9)))</f>
        <v/>
      </c>
      <c r="O20" s="65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48">
        <f>COUNTIF($O$2:$O$1001,"&gt;"&amp;Valuation!$B$2*1.2)/1000</f>
        <v/>
      </c>
      <c r="K21" s="57">
        <f>MAX(-0.05,NORMINV(RAND(),$C$6,$D$6))</f>
        <v/>
      </c>
      <c r="L21" s="57">
        <f>MAX(0.02,NORMINV(RAND(),$C$7,$D$7))</f>
        <v/>
      </c>
      <c r="M21" s="57">
        <f>MIN(0.16,MAX(0.05,NORMINV(RAND(),$C$8,$D$8)))</f>
        <v/>
      </c>
      <c r="N21" s="59">
        <f>MIN(24,MAX(5,NORMINV(RAND(),$C$9,$D$9)))</f>
        <v/>
      </c>
      <c r="O21" s="65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57">
        <f>MAX(-0.05,NORMINV(RAND(),$C$6,$D$6))</f>
        <v/>
      </c>
      <c r="L22" s="57">
        <f>MAX(0.02,NORMINV(RAND(),$C$7,$D$7))</f>
        <v/>
      </c>
      <c r="M22" s="57">
        <f>MIN(0.16,MAX(0.05,NORMINV(RAND(),$C$8,$D$8)))</f>
        <v/>
      </c>
      <c r="N22" s="59">
        <f>MIN(24,MAX(5,NORMINV(RAND(),$C$9,$D$9)))</f>
        <v/>
      </c>
      <c r="O22" s="65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57">
        <f>MAX(-0.05,NORMINV(RAND(),$C$6,$D$6))</f>
        <v/>
      </c>
      <c r="L23" s="57">
        <f>MAX(0.02,NORMINV(RAND(),$C$7,$D$7))</f>
        <v/>
      </c>
      <c r="M23" s="57">
        <f>MIN(0.16,MAX(0.05,NORMINV(RAND(),$C$8,$D$8)))</f>
        <v/>
      </c>
      <c r="N23" s="59">
        <f>MIN(24,MAX(5,NORMINV(RAND(),$C$9,$D$9)))</f>
        <v/>
      </c>
      <c r="O23" s="65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65">
        <f>PERCENTILE($O$2:$O$1001,0.05)</f>
        <v/>
      </c>
      <c r="K24" s="57">
        <f>MAX(-0.05,NORMINV(RAND(),$C$6,$D$6))</f>
        <v/>
      </c>
      <c r="L24" s="57">
        <f>MAX(0.02,NORMINV(RAND(),$C$7,$D$7))</f>
        <v/>
      </c>
      <c r="M24" s="57">
        <f>MIN(0.16,MAX(0.05,NORMINV(RAND(),$C$8,$D$8)))</f>
        <v/>
      </c>
      <c r="N24" s="59">
        <f>MIN(24,MAX(5,NORMINV(RAND(),$C$9,$D$9)))</f>
        <v/>
      </c>
      <c r="O24" s="65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65">
        <f>PERCENTILE($O$2:$O$1001,0.1)</f>
        <v/>
      </c>
      <c r="K25" s="57">
        <f>MAX(-0.05,NORMINV(RAND(),$C$6,$D$6))</f>
        <v/>
      </c>
      <c r="L25" s="57">
        <f>MAX(0.02,NORMINV(RAND(),$C$7,$D$7))</f>
        <v/>
      </c>
      <c r="M25" s="57">
        <f>MIN(0.16,MAX(0.05,NORMINV(RAND(),$C$8,$D$8)))</f>
        <v/>
      </c>
      <c r="N25" s="59">
        <f>MIN(24,MAX(5,NORMINV(RAND(),$C$9,$D$9)))</f>
        <v/>
      </c>
      <c r="O25" s="65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65">
        <f>PERCENTILE($O$2:$O$1001,0.25)</f>
        <v/>
      </c>
      <c r="K26" s="57">
        <f>MAX(-0.05,NORMINV(RAND(),$C$6,$D$6))</f>
        <v/>
      </c>
      <c r="L26" s="57">
        <f>MAX(0.02,NORMINV(RAND(),$C$7,$D$7))</f>
        <v/>
      </c>
      <c r="M26" s="57">
        <f>MIN(0.16,MAX(0.05,NORMINV(RAND(),$C$8,$D$8)))</f>
        <v/>
      </c>
      <c r="N26" s="59">
        <f>MIN(24,MAX(5,NORMINV(RAND(),$C$9,$D$9)))</f>
        <v/>
      </c>
      <c r="O26" s="65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65">
        <f>PERCENTILE($O$2:$O$1001,0.5)</f>
        <v/>
      </c>
      <c r="K27" s="57">
        <f>MAX(-0.05,NORMINV(RAND(),$C$6,$D$6))</f>
        <v/>
      </c>
      <c r="L27" s="57">
        <f>MAX(0.02,NORMINV(RAND(),$C$7,$D$7))</f>
        <v/>
      </c>
      <c r="M27" s="57">
        <f>MIN(0.16,MAX(0.05,NORMINV(RAND(),$C$8,$D$8)))</f>
        <v/>
      </c>
      <c r="N27" s="59">
        <f>MIN(24,MAX(5,NORMINV(RAND(),$C$9,$D$9)))</f>
        <v/>
      </c>
      <c r="O27" s="65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65">
        <f>PERCENTILE($O$2:$O$1001,0.75)</f>
        <v/>
      </c>
      <c r="K28" s="57">
        <f>MAX(-0.05,NORMINV(RAND(),$C$6,$D$6))</f>
        <v/>
      </c>
      <c r="L28" s="57">
        <f>MAX(0.02,NORMINV(RAND(),$C$7,$D$7))</f>
        <v/>
      </c>
      <c r="M28" s="57">
        <f>MIN(0.16,MAX(0.05,NORMINV(RAND(),$C$8,$D$8)))</f>
        <v/>
      </c>
      <c r="N28" s="59">
        <f>MIN(24,MAX(5,NORMINV(RAND(),$C$9,$D$9)))</f>
        <v/>
      </c>
      <c r="O28" s="65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65">
        <f>PERCENTILE($O$2:$O$1001,0.9)</f>
        <v/>
      </c>
      <c r="K29" s="57">
        <f>MAX(-0.05,NORMINV(RAND(),$C$6,$D$6))</f>
        <v/>
      </c>
      <c r="L29" s="57">
        <f>MAX(0.02,NORMINV(RAND(),$C$7,$D$7))</f>
        <v/>
      </c>
      <c r="M29" s="57">
        <f>MIN(0.16,MAX(0.05,NORMINV(RAND(),$C$8,$D$8)))</f>
        <v/>
      </c>
      <c r="N29" s="59">
        <f>MIN(24,MAX(5,NORMINV(RAND(),$C$9,$D$9)))</f>
        <v/>
      </c>
      <c r="O29" s="65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65">
        <f>PERCENTILE($O$2:$O$1001,0.95)</f>
        <v/>
      </c>
      <c r="K30" s="57">
        <f>MAX(-0.05,NORMINV(RAND(),$C$6,$D$6))</f>
        <v/>
      </c>
      <c r="L30" s="57">
        <f>MAX(0.02,NORMINV(RAND(),$C$7,$D$7))</f>
        <v/>
      </c>
      <c r="M30" s="57">
        <f>MIN(0.16,MAX(0.05,NORMINV(RAND(),$C$8,$D$8)))</f>
        <v/>
      </c>
      <c r="N30" s="59">
        <f>MIN(24,MAX(5,NORMINV(RAND(),$C$9,$D$9)))</f>
        <v/>
      </c>
      <c r="O30" s="65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57">
        <f>MAX(-0.05,NORMINV(RAND(),$C$6,$D$6))</f>
        <v/>
      </c>
      <c r="L31" s="57">
        <f>MAX(0.02,NORMINV(RAND(),$C$7,$D$7))</f>
        <v/>
      </c>
      <c r="M31" s="57">
        <f>MIN(0.16,MAX(0.05,NORMINV(RAND(),$C$8,$D$8)))</f>
        <v/>
      </c>
      <c r="N31" s="59">
        <f>MIN(24,MAX(5,NORMINV(RAND(),$C$9,$D$9)))</f>
        <v/>
      </c>
      <c r="O31" s="65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57">
        <f>MAX(-0.05,NORMINV(RAND(),$C$6,$D$6))</f>
        <v/>
      </c>
      <c r="L32" s="57">
        <f>MAX(0.02,NORMINV(RAND(),$C$7,$D$7))</f>
        <v/>
      </c>
      <c r="M32" s="57">
        <f>MIN(0.16,MAX(0.05,NORMINV(RAND(),$C$8,$D$8)))</f>
        <v/>
      </c>
      <c r="N32" s="59">
        <f>MIN(24,MAX(5,NORMINV(RAND(),$C$9,$D$9)))</f>
        <v/>
      </c>
      <c r="O32" s="65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57">
        <f>MAX(-0.05,NORMINV(RAND(),$C$6,$D$6))</f>
        <v/>
      </c>
      <c r="L33" s="57">
        <f>MAX(0.02,NORMINV(RAND(),$C$7,$D$7))</f>
        <v/>
      </c>
      <c r="M33" s="57">
        <f>MIN(0.16,MAX(0.05,NORMINV(RAND(),$C$8,$D$8)))</f>
        <v/>
      </c>
      <c r="N33" s="59">
        <f>MIN(24,MAX(5,NORMINV(RAND(),$C$9,$D$9)))</f>
        <v/>
      </c>
      <c r="O33" s="65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44">
        <f>$B$15+0.5*($B$16-$B$15)/15</f>
        <v/>
      </c>
      <c r="B34" s="4">
        <f>COUNTIFS($O$2:$O$1001,"&gt;="&amp;($B$15+0*($B$16-$B$15)/15),$O$2:$O$1001,"&lt;"&amp;($B$15+1*($B$16-$B$15)/15))</f>
        <v/>
      </c>
      <c r="K34" s="57">
        <f>MAX(-0.05,NORMINV(RAND(),$C$6,$D$6))</f>
        <v/>
      </c>
      <c r="L34" s="57">
        <f>MAX(0.02,NORMINV(RAND(),$C$7,$D$7))</f>
        <v/>
      </c>
      <c r="M34" s="57">
        <f>MIN(0.16,MAX(0.05,NORMINV(RAND(),$C$8,$D$8)))</f>
        <v/>
      </c>
      <c r="N34" s="59">
        <f>MIN(24,MAX(5,NORMINV(RAND(),$C$9,$D$9)))</f>
        <v/>
      </c>
      <c r="O34" s="65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44">
        <f>$B$15+1.5*($B$16-$B$15)/15</f>
        <v/>
      </c>
      <c r="B35" s="4">
        <f>COUNTIFS($O$2:$O$1001,"&gt;="&amp;($B$15+1*($B$16-$B$15)/15),$O$2:$O$1001,"&lt;"&amp;($B$15+2*($B$16-$B$15)/15))</f>
        <v/>
      </c>
      <c r="K35" s="57">
        <f>MAX(-0.05,NORMINV(RAND(),$C$6,$D$6))</f>
        <v/>
      </c>
      <c r="L35" s="57">
        <f>MAX(0.02,NORMINV(RAND(),$C$7,$D$7))</f>
        <v/>
      </c>
      <c r="M35" s="57">
        <f>MIN(0.16,MAX(0.05,NORMINV(RAND(),$C$8,$D$8)))</f>
        <v/>
      </c>
      <c r="N35" s="59">
        <f>MIN(24,MAX(5,NORMINV(RAND(),$C$9,$D$9)))</f>
        <v/>
      </c>
      <c r="O35" s="65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44">
        <f>$B$15+2.5*($B$16-$B$15)/15</f>
        <v/>
      </c>
      <c r="B36" s="4">
        <f>COUNTIFS($O$2:$O$1001,"&gt;="&amp;($B$15+2*($B$16-$B$15)/15),$O$2:$O$1001,"&lt;"&amp;($B$15+3*($B$16-$B$15)/15))</f>
        <v/>
      </c>
      <c r="K36" s="57">
        <f>MAX(-0.05,NORMINV(RAND(),$C$6,$D$6))</f>
        <v/>
      </c>
      <c r="L36" s="57">
        <f>MAX(0.02,NORMINV(RAND(),$C$7,$D$7))</f>
        <v/>
      </c>
      <c r="M36" s="57">
        <f>MIN(0.16,MAX(0.05,NORMINV(RAND(),$C$8,$D$8)))</f>
        <v/>
      </c>
      <c r="N36" s="59">
        <f>MIN(24,MAX(5,NORMINV(RAND(),$C$9,$D$9)))</f>
        <v/>
      </c>
      <c r="O36" s="65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44">
        <f>$B$15+3.5*($B$16-$B$15)/15</f>
        <v/>
      </c>
      <c r="B37" s="4">
        <f>COUNTIFS($O$2:$O$1001,"&gt;="&amp;($B$15+3*($B$16-$B$15)/15),$O$2:$O$1001,"&lt;"&amp;($B$15+4*($B$16-$B$15)/15))</f>
        <v/>
      </c>
      <c r="K37" s="57">
        <f>MAX(-0.05,NORMINV(RAND(),$C$6,$D$6))</f>
        <v/>
      </c>
      <c r="L37" s="57">
        <f>MAX(0.02,NORMINV(RAND(),$C$7,$D$7))</f>
        <v/>
      </c>
      <c r="M37" s="57">
        <f>MIN(0.16,MAX(0.05,NORMINV(RAND(),$C$8,$D$8)))</f>
        <v/>
      </c>
      <c r="N37" s="59">
        <f>MIN(24,MAX(5,NORMINV(RAND(),$C$9,$D$9)))</f>
        <v/>
      </c>
      <c r="O37" s="65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44">
        <f>$B$15+4.5*($B$16-$B$15)/15</f>
        <v/>
      </c>
      <c r="B38" s="4">
        <f>COUNTIFS($O$2:$O$1001,"&gt;="&amp;($B$15+4*($B$16-$B$15)/15),$O$2:$O$1001,"&lt;"&amp;($B$15+5*($B$16-$B$15)/15))</f>
        <v/>
      </c>
      <c r="K38" s="57">
        <f>MAX(-0.05,NORMINV(RAND(),$C$6,$D$6))</f>
        <v/>
      </c>
      <c r="L38" s="57">
        <f>MAX(0.02,NORMINV(RAND(),$C$7,$D$7))</f>
        <v/>
      </c>
      <c r="M38" s="57">
        <f>MIN(0.16,MAX(0.05,NORMINV(RAND(),$C$8,$D$8)))</f>
        <v/>
      </c>
      <c r="N38" s="59">
        <f>MIN(24,MAX(5,NORMINV(RAND(),$C$9,$D$9)))</f>
        <v/>
      </c>
      <c r="O38" s="65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44">
        <f>$B$15+5.5*($B$16-$B$15)/15</f>
        <v/>
      </c>
      <c r="B39" s="4">
        <f>COUNTIFS($O$2:$O$1001,"&gt;="&amp;($B$15+5*($B$16-$B$15)/15),$O$2:$O$1001,"&lt;"&amp;($B$15+6*($B$16-$B$15)/15))</f>
        <v/>
      </c>
      <c r="K39" s="57">
        <f>MAX(-0.05,NORMINV(RAND(),$C$6,$D$6))</f>
        <v/>
      </c>
      <c r="L39" s="57">
        <f>MAX(0.02,NORMINV(RAND(),$C$7,$D$7))</f>
        <v/>
      </c>
      <c r="M39" s="57">
        <f>MIN(0.16,MAX(0.05,NORMINV(RAND(),$C$8,$D$8)))</f>
        <v/>
      </c>
      <c r="N39" s="59">
        <f>MIN(24,MAX(5,NORMINV(RAND(),$C$9,$D$9)))</f>
        <v/>
      </c>
      <c r="O39" s="65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44">
        <f>$B$15+6.5*($B$16-$B$15)/15</f>
        <v/>
      </c>
      <c r="B40" s="4">
        <f>COUNTIFS($O$2:$O$1001,"&gt;="&amp;($B$15+6*($B$16-$B$15)/15),$O$2:$O$1001,"&lt;"&amp;($B$15+7*($B$16-$B$15)/15))</f>
        <v/>
      </c>
      <c r="K40" s="57">
        <f>MAX(-0.05,NORMINV(RAND(),$C$6,$D$6))</f>
        <v/>
      </c>
      <c r="L40" s="57">
        <f>MAX(0.02,NORMINV(RAND(),$C$7,$D$7))</f>
        <v/>
      </c>
      <c r="M40" s="57">
        <f>MIN(0.16,MAX(0.05,NORMINV(RAND(),$C$8,$D$8)))</f>
        <v/>
      </c>
      <c r="N40" s="59">
        <f>MIN(24,MAX(5,NORMINV(RAND(),$C$9,$D$9)))</f>
        <v/>
      </c>
      <c r="O40" s="65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44">
        <f>$B$15+7.5*($B$16-$B$15)/15</f>
        <v/>
      </c>
      <c r="B41" s="4">
        <f>COUNTIFS($O$2:$O$1001,"&gt;="&amp;($B$15+7*($B$16-$B$15)/15),$O$2:$O$1001,"&lt;"&amp;($B$15+8*($B$16-$B$15)/15))</f>
        <v/>
      </c>
      <c r="K41" s="57">
        <f>MAX(-0.05,NORMINV(RAND(),$C$6,$D$6))</f>
        <v/>
      </c>
      <c r="L41" s="57">
        <f>MAX(0.02,NORMINV(RAND(),$C$7,$D$7))</f>
        <v/>
      </c>
      <c r="M41" s="57">
        <f>MIN(0.16,MAX(0.05,NORMINV(RAND(),$C$8,$D$8)))</f>
        <v/>
      </c>
      <c r="N41" s="59">
        <f>MIN(24,MAX(5,NORMINV(RAND(),$C$9,$D$9)))</f>
        <v/>
      </c>
      <c r="O41" s="65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44">
        <f>$B$15+8.5*($B$16-$B$15)/15</f>
        <v/>
      </c>
      <c r="B42" s="4">
        <f>COUNTIFS($O$2:$O$1001,"&gt;="&amp;($B$15+8*($B$16-$B$15)/15),$O$2:$O$1001,"&lt;"&amp;($B$15+9*($B$16-$B$15)/15))</f>
        <v/>
      </c>
      <c r="K42" s="57">
        <f>MAX(-0.05,NORMINV(RAND(),$C$6,$D$6))</f>
        <v/>
      </c>
      <c r="L42" s="57">
        <f>MAX(0.02,NORMINV(RAND(),$C$7,$D$7))</f>
        <v/>
      </c>
      <c r="M42" s="57">
        <f>MIN(0.16,MAX(0.05,NORMINV(RAND(),$C$8,$D$8)))</f>
        <v/>
      </c>
      <c r="N42" s="59">
        <f>MIN(24,MAX(5,NORMINV(RAND(),$C$9,$D$9)))</f>
        <v/>
      </c>
      <c r="O42" s="65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44">
        <f>$B$15+9.5*($B$16-$B$15)/15</f>
        <v/>
      </c>
      <c r="B43" s="4">
        <f>COUNTIFS($O$2:$O$1001,"&gt;="&amp;($B$15+9*($B$16-$B$15)/15),$O$2:$O$1001,"&lt;"&amp;($B$15+10*($B$16-$B$15)/15))</f>
        <v/>
      </c>
      <c r="K43" s="57">
        <f>MAX(-0.05,NORMINV(RAND(),$C$6,$D$6))</f>
        <v/>
      </c>
      <c r="L43" s="57">
        <f>MAX(0.02,NORMINV(RAND(),$C$7,$D$7))</f>
        <v/>
      </c>
      <c r="M43" s="57">
        <f>MIN(0.16,MAX(0.05,NORMINV(RAND(),$C$8,$D$8)))</f>
        <v/>
      </c>
      <c r="N43" s="59">
        <f>MIN(24,MAX(5,NORMINV(RAND(),$C$9,$D$9)))</f>
        <v/>
      </c>
      <c r="O43" s="65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44">
        <f>$B$15+10.5*($B$16-$B$15)/15</f>
        <v/>
      </c>
      <c r="B44" s="4">
        <f>COUNTIFS($O$2:$O$1001,"&gt;="&amp;($B$15+10*($B$16-$B$15)/15),$O$2:$O$1001,"&lt;"&amp;($B$15+11*($B$16-$B$15)/15))</f>
        <v/>
      </c>
      <c r="K44" s="57">
        <f>MAX(-0.05,NORMINV(RAND(),$C$6,$D$6))</f>
        <v/>
      </c>
      <c r="L44" s="57">
        <f>MAX(0.02,NORMINV(RAND(),$C$7,$D$7))</f>
        <v/>
      </c>
      <c r="M44" s="57">
        <f>MIN(0.16,MAX(0.05,NORMINV(RAND(),$C$8,$D$8)))</f>
        <v/>
      </c>
      <c r="N44" s="59">
        <f>MIN(24,MAX(5,NORMINV(RAND(),$C$9,$D$9)))</f>
        <v/>
      </c>
      <c r="O44" s="65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44">
        <f>$B$15+11.5*($B$16-$B$15)/15</f>
        <v/>
      </c>
      <c r="B45" s="4">
        <f>COUNTIFS($O$2:$O$1001,"&gt;="&amp;($B$15+11*($B$16-$B$15)/15),$O$2:$O$1001,"&lt;"&amp;($B$15+12*($B$16-$B$15)/15))</f>
        <v/>
      </c>
      <c r="K45" s="57">
        <f>MAX(-0.05,NORMINV(RAND(),$C$6,$D$6))</f>
        <v/>
      </c>
      <c r="L45" s="57">
        <f>MAX(0.02,NORMINV(RAND(),$C$7,$D$7))</f>
        <v/>
      </c>
      <c r="M45" s="57">
        <f>MIN(0.16,MAX(0.05,NORMINV(RAND(),$C$8,$D$8)))</f>
        <v/>
      </c>
      <c r="N45" s="59">
        <f>MIN(24,MAX(5,NORMINV(RAND(),$C$9,$D$9)))</f>
        <v/>
      </c>
      <c r="O45" s="65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44">
        <f>$B$15+12.5*($B$16-$B$15)/15</f>
        <v/>
      </c>
      <c r="B46" s="4">
        <f>COUNTIFS($O$2:$O$1001,"&gt;="&amp;($B$15+12*($B$16-$B$15)/15),$O$2:$O$1001,"&lt;"&amp;($B$15+13*($B$16-$B$15)/15))</f>
        <v/>
      </c>
      <c r="K46" s="57">
        <f>MAX(-0.05,NORMINV(RAND(),$C$6,$D$6))</f>
        <v/>
      </c>
      <c r="L46" s="57">
        <f>MAX(0.02,NORMINV(RAND(),$C$7,$D$7))</f>
        <v/>
      </c>
      <c r="M46" s="57">
        <f>MIN(0.16,MAX(0.05,NORMINV(RAND(),$C$8,$D$8)))</f>
        <v/>
      </c>
      <c r="N46" s="59">
        <f>MIN(24,MAX(5,NORMINV(RAND(),$C$9,$D$9)))</f>
        <v/>
      </c>
      <c r="O46" s="65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44">
        <f>$B$15+13.5*($B$16-$B$15)/15</f>
        <v/>
      </c>
      <c r="B47" s="4">
        <f>COUNTIFS($O$2:$O$1001,"&gt;="&amp;($B$15+13*($B$16-$B$15)/15),$O$2:$O$1001,"&lt;"&amp;($B$15+14*($B$16-$B$15)/15))</f>
        <v/>
      </c>
      <c r="K47" s="57">
        <f>MAX(-0.05,NORMINV(RAND(),$C$6,$D$6))</f>
        <v/>
      </c>
      <c r="L47" s="57">
        <f>MAX(0.02,NORMINV(RAND(),$C$7,$D$7))</f>
        <v/>
      </c>
      <c r="M47" s="57">
        <f>MIN(0.16,MAX(0.05,NORMINV(RAND(),$C$8,$D$8)))</f>
        <v/>
      </c>
      <c r="N47" s="59">
        <f>MIN(24,MAX(5,NORMINV(RAND(),$C$9,$D$9)))</f>
        <v/>
      </c>
      <c r="O47" s="65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44">
        <f>$B$15+14.5*($B$16-$B$15)/15</f>
        <v/>
      </c>
      <c r="B48" s="4">
        <f>COUNTIF($O$2:$O$1001,"&gt;="&amp;($B$15+14*($B$16-$B$15)/15))</f>
        <v/>
      </c>
      <c r="K48" s="57">
        <f>MAX(-0.05,NORMINV(RAND(),$C$6,$D$6))</f>
        <v/>
      </c>
      <c r="L48" s="57">
        <f>MAX(0.02,NORMINV(RAND(),$C$7,$D$7))</f>
        <v/>
      </c>
      <c r="M48" s="57">
        <f>MIN(0.16,MAX(0.05,NORMINV(RAND(),$C$8,$D$8)))</f>
        <v/>
      </c>
      <c r="N48" s="59">
        <f>MIN(24,MAX(5,NORMINV(RAND(),$C$9,$D$9)))</f>
        <v/>
      </c>
      <c r="O48" s="65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57">
        <f>MAX(-0.05,NORMINV(RAND(),$C$6,$D$6))</f>
        <v/>
      </c>
      <c r="L49" s="57">
        <f>MAX(0.02,NORMINV(RAND(),$C$7,$D$7))</f>
        <v/>
      </c>
      <c r="M49" s="57">
        <f>MIN(0.16,MAX(0.05,NORMINV(RAND(),$C$8,$D$8)))</f>
        <v/>
      </c>
      <c r="N49" s="59">
        <f>MIN(24,MAX(5,NORMINV(RAND(),$C$9,$D$9)))</f>
        <v/>
      </c>
      <c r="O49" s="65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57">
        <f>MAX(-0.05,NORMINV(RAND(),$C$6,$D$6))</f>
        <v/>
      </c>
      <c r="L50" s="57">
        <f>MAX(0.02,NORMINV(RAND(),$C$7,$D$7))</f>
        <v/>
      </c>
      <c r="M50" s="57">
        <f>MIN(0.16,MAX(0.05,NORMINV(RAND(),$C$8,$D$8)))</f>
        <v/>
      </c>
      <c r="N50" s="59">
        <f>MIN(24,MAX(5,NORMINV(RAND(),$C$9,$D$9)))</f>
        <v/>
      </c>
      <c r="O50" s="65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57">
        <f>MAX(-0.05,NORMINV(RAND(),$C$6,$D$6))</f>
        <v/>
      </c>
      <c r="L51" s="57">
        <f>MAX(0.02,NORMINV(RAND(),$C$7,$D$7))</f>
        <v/>
      </c>
      <c r="M51" s="57">
        <f>MIN(0.16,MAX(0.05,NORMINV(RAND(),$C$8,$D$8)))</f>
        <v/>
      </c>
      <c r="N51" s="59">
        <f>MIN(24,MAX(5,NORMINV(RAND(),$C$9,$D$9)))</f>
        <v/>
      </c>
      <c r="O51" s="65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57">
        <f>MAX(-0.05,NORMINV(RAND(),$C$6,$D$6))</f>
        <v/>
      </c>
      <c r="L52" s="57">
        <f>MAX(0.02,NORMINV(RAND(),$C$7,$D$7))</f>
        <v/>
      </c>
      <c r="M52" s="57">
        <f>MIN(0.16,MAX(0.05,NORMINV(RAND(),$C$8,$D$8)))</f>
        <v/>
      </c>
      <c r="N52" s="59">
        <f>MIN(24,MAX(5,NORMINV(RAND(),$C$9,$D$9)))</f>
        <v/>
      </c>
      <c r="O52" s="65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57">
        <f>MAX(-0.05,NORMINV(RAND(),$C$6,$D$6))</f>
        <v/>
      </c>
      <c r="L53" s="57">
        <f>MAX(0.02,NORMINV(RAND(),$C$7,$D$7))</f>
        <v/>
      </c>
      <c r="M53" s="57">
        <f>MIN(0.16,MAX(0.05,NORMINV(RAND(),$C$8,$D$8)))</f>
        <v/>
      </c>
      <c r="N53" s="59">
        <f>MIN(24,MAX(5,NORMINV(RAND(),$C$9,$D$9)))</f>
        <v/>
      </c>
      <c r="O53" s="65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57">
        <f>MAX(-0.05,NORMINV(RAND(),$C$6,$D$6))</f>
        <v/>
      </c>
      <c r="L54" s="57">
        <f>MAX(0.02,NORMINV(RAND(),$C$7,$D$7))</f>
        <v/>
      </c>
      <c r="M54" s="57">
        <f>MIN(0.16,MAX(0.05,NORMINV(RAND(),$C$8,$D$8)))</f>
        <v/>
      </c>
      <c r="N54" s="59">
        <f>MIN(24,MAX(5,NORMINV(RAND(),$C$9,$D$9)))</f>
        <v/>
      </c>
      <c r="O54" s="65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57">
        <f>MAX(-0.05,NORMINV(RAND(),$C$6,$D$6))</f>
        <v/>
      </c>
      <c r="L55" s="57">
        <f>MAX(0.02,NORMINV(RAND(),$C$7,$D$7))</f>
        <v/>
      </c>
      <c r="M55" s="57">
        <f>MIN(0.16,MAX(0.05,NORMINV(RAND(),$C$8,$D$8)))</f>
        <v/>
      </c>
      <c r="N55" s="59">
        <f>MIN(24,MAX(5,NORMINV(RAND(),$C$9,$D$9)))</f>
        <v/>
      </c>
      <c r="O55" s="65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57">
        <f>MAX(-0.05,NORMINV(RAND(),$C$6,$D$6))</f>
        <v/>
      </c>
      <c r="L56" s="57">
        <f>MAX(0.02,NORMINV(RAND(),$C$7,$D$7))</f>
        <v/>
      </c>
      <c r="M56" s="57">
        <f>MIN(0.16,MAX(0.05,NORMINV(RAND(),$C$8,$D$8)))</f>
        <v/>
      </c>
      <c r="N56" s="59">
        <f>MIN(24,MAX(5,NORMINV(RAND(),$C$9,$D$9)))</f>
        <v/>
      </c>
      <c r="O56" s="65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57">
        <f>MAX(-0.05,NORMINV(RAND(),$C$6,$D$6))</f>
        <v/>
      </c>
      <c r="L57" s="57">
        <f>MAX(0.02,NORMINV(RAND(),$C$7,$D$7))</f>
        <v/>
      </c>
      <c r="M57" s="57">
        <f>MIN(0.16,MAX(0.05,NORMINV(RAND(),$C$8,$D$8)))</f>
        <v/>
      </c>
      <c r="N57" s="59">
        <f>MIN(24,MAX(5,NORMINV(RAND(),$C$9,$D$9)))</f>
        <v/>
      </c>
      <c r="O57" s="65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57">
        <f>MAX(-0.05,NORMINV(RAND(),$C$6,$D$6))</f>
        <v/>
      </c>
      <c r="L58" s="57">
        <f>MAX(0.02,NORMINV(RAND(),$C$7,$D$7))</f>
        <v/>
      </c>
      <c r="M58" s="57">
        <f>MIN(0.16,MAX(0.05,NORMINV(RAND(),$C$8,$D$8)))</f>
        <v/>
      </c>
      <c r="N58" s="59">
        <f>MIN(24,MAX(5,NORMINV(RAND(),$C$9,$D$9)))</f>
        <v/>
      </c>
      <c r="O58" s="65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57">
        <f>MAX(-0.05,NORMINV(RAND(),$C$6,$D$6))</f>
        <v/>
      </c>
      <c r="L59" s="57">
        <f>MAX(0.02,NORMINV(RAND(),$C$7,$D$7))</f>
        <v/>
      </c>
      <c r="M59" s="57">
        <f>MIN(0.16,MAX(0.05,NORMINV(RAND(),$C$8,$D$8)))</f>
        <v/>
      </c>
      <c r="N59" s="59">
        <f>MIN(24,MAX(5,NORMINV(RAND(),$C$9,$D$9)))</f>
        <v/>
      </c>
      <c r="O59" s="65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57">
        <f>MAX(-0.05,NORMINV(RAND(),$C$6,$D$6))</f>
        <v/>
      </c>
      <c r="L60" s="57">
        <f>MAX(0.02,NORMINV(RAND(),$C$7,$D$7))</f>
        <v/>
      </c>
      <c r="M60" s="57">
        <f>MIN(0.16,MAX(0.05,NORMINV(RAND(),$C$8,$D$8)))</f>
        <v/>
      </c>
      <c r="N60" s="59">
        <f>MIN(24,MAX(5,NORMINV(RAND(),$C$9,$D$9)))</f>
        <v/>
      </c>
      <c r="O60" s="65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57">
        <f>MAX(-0.05,NORMINV(RAND(),$C$6,$D$6))</f>
        <v/>
      </c>
      <c r="L61" s="57">
        <f>MAX(0.02,NORMINV(RAND(),$C$7,$D$7))</f>
        <v/>
      </c>
      <c r="M61" s="57">
        <f>MIN(0.16,MAX(0.05,NORMINV(RAND(),$C$8,$D$8)))</f>
        <v/>
      </c>
      <c r="N61" s="59">
        <f>MIN(24,MAX(5,NORMINV(RAND(),$C$9,$D$9)))</f>
        <v/>
      </c>
      <c r="O61" s="65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57">
        <f>MAX(-0.05,NORMINV(RAND(),$C$6,$D$6))</f>
        <v/>
      </c>
      <c r="L62" s="57">
        <f>MAX(0.02,NORMINV(RAND(),$C$7,$D$7))</f>
        <v/>
      </c>
      <c r="M62" s="57">
        <f>MIN(0.16,MAX(0.05,NORMINV(RAND(),$C$8,$D$8)))</f>
        <v/>
      </c>
      <c r="N62" s="59">
        <f>MIN(24,MAX(5,NORMINV(RAND(),$C$9,$D$9)))</f>
        <v/>
      </c>
      <c r="O62" s="65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57">
        <f>MAX(-0.05,NORMINV(RAND(),$C$6,$D$6))</f>
        <v/>
      </c>
      <c r="L63" s="57">
        <f>MAX(0.02,NORMINV(RAND(),$C$7,$D$7))</f>
        <v/>
      </c>
      <c r="M63" s="57">
        <f>MIN(0.16,MAX(0.05,NORMINV(RAND(),$C$8,$D$8)))</f>
        <v/>
      </c>
      <c r="N63" s="59">
        <f>MIN(24,MAX(5,NORMINV(RAND(),$C$9,$D$9)))</f>
        <v/>
      </c>
      <c r="O63" s="65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57">
        <f>MAX(-0.05,NORMINV(RAND(),$C$6,$D$6))</f>
        <v/>
      </c>
      <c r="L64" s="57">
        <f>MAX(0.02,NORMINV(RAND(),$C$7,$D$7))</f>
        <v/>
      </c>
      <c r="M64" s="57">
        <f>MIN(0.16,MAX(0.05,NORMINV(RAND(),$C$8,$D$8)))</f>
        <v/>
      </c>
      <c r="N64" s="59">
        <f>MIN(24,MAX(5,NORMINV(RAND(),$C$9,$D$9)))</f>
        <v/>
      </c>
      <c r="O64" s="65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57">
        <f>MAX(-0.05,NORMINV(RAND(),$C$6,$D$6))</f>
        <v/>
      </c>
      <c r="L65" s="57">
        <f>MAX(0.02,NORMINV(RAND(),$C$7,$D$7))</f>
        <v/>
      </c>
      <c r="M65" s="57">
        <f>MIN(0.16,MAX(0.05,NORMINV(RAND(),$C$8,$D$8)))</f>
        <v/>
      </c>
      <c r="N65" s="59">
        <f>MIN(24,MAX(5,NORMINV(RAND(),$C$9,$D$9)))</f>
        <v/>
      </c>
      <c r="O65" s="65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57">
        <f>MAX(-0.05,NORMINV(RAND(),$C$6,$D$6))</f>
        <v/>
      </c>
      <c r="L66" s="57">
        <f>MAX(0.02,NORMINV(RAND(),$C$7,$D$7))</f>
        <v/>
      </c>
      <c r="M66" s="57">
        <f>MIN(0.16,MAX(0.05,NORMINV(RAND(),$C$8,$D$8)))</f>
        <v/>
      </c>
      <c r="N66" s="59">
        <f>MIN(24,MAX(5,NORMINV(RAND(),$C$9,$D$9)))</f>
        <v/>
      </c>
      <c r="O66" s="65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57">
        <f>MAX(-0.05,NORMINV(RAND(),$C$6,$D$6))</f>
        <v/>
      </c>
      <c r="L67" s="57">
        <f>MAX(0.02,NORMINV(RAND(),$C$7,$D$7))</f>
        <v/>
      </c>
      <c r="M67" s="57">
        <f>MIN(0.16,MAX(0.05,NORMINV(RAND(),$C$8,$D$8)))</f>
        <v/>
      </c>
      <c r="N67" s="59">
        <f>MIN(24,MAX(5,NORMINV(RAND(),$C$9,$D$9)))</f>
        <v/>
      </c>
      <c r="O67" s="65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57">
        <f>MAX(-0.05,NORMINV(RAND(),$C$6,$D$6))</f>
        <v/>
      </c>
      <c r="L68" s="57">
        <f>MAX(0.02,NORMINV(RAND(),$C$7,$D$7))</f>
        <v/>
      </c>
      <c r="M68" s="57">
        <f>MIN(0.16,MAX(0.05,NORMINV(RAND(),$C$8,$D$8)))</f>
        <v/>
      </c>
      <c r="N68" s="59">
        <f>MIN(24,MAX(5,NORMINV(RAND(),$C$9,$D$9)))</f>
        <v/>
      </c>
      <c r="O68" s="65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57">
        <f>MAX(-0.05,NORMINV(RAND(),$C$6,$D$6))</f>
        <v/>
      </c>
      <c r="L69" s="57">
        <f>MAX(0.02,NORMINV(RAND(),$C$7,$D$7))</f>
        <v/>
      </c>
      <c r="M69" s="57">
        <f>MIN(0.16,MAX(0.05,NORMINV(RAND(),$C$8,$D$8)))</f>
        <v/>
      </c>
      <c r="N69" s="59">
        <f>MIN(24,MAX(5,NORMINV(RAND(),$C$9,$D$9)))</f>
        <v/>
      </c>
      <c r="O69" s="65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57">
        <f>MAX(-0.05,NORMINV(RAND(),$C$6,$D$6))</f>
        <v/>
      </c>
      <c r="L70" s="57">
        <f>MAX(0.02,NORMINV(RAND(),$C$7,$D$7))</f>
        <v/>
      </c>
      <c r="M70" s="57">
        <f>MIN(0.16,MAX(0.05,NORMINV(RAND(),$C$8,$D$8)))</f>
        <v/>
      </c>
      <c r="N70" s="59">
        <f>MIN(24,MAX(5,NORMINV(RAND(),$C$9,$D$9)))</f>
        <v/>
      </c>
      <c r="O70" s="65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57">
        <f>MAX(-0.05,NORMINV(RAND(),$C$6,$D$6))</f>
        <v/>
      </c>
      <c r="L71" s="57">
        <f>MAX(0.02,NORMINV(RAND(),$C$7,$D$7))</f>
        <v/>
      </c>
      <c r="M71" s="57">
        <f>MIN(0.16,MAX(0.05,NORMINV(RAND(),$C$8,$D$8)))</f>
        <v/>
      </c>
      <c r="N71" s="59">
        <f>MIN(24,MAX(5,NORMINV(RAND(),$C$9,$D$9)))</f>
        <v/>
      </c>
      <c r="O71" s="65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57">
        <f>MAX(-0.05,NORMINV(RAND(),$C$6,$D$6))</f>
        <v/>
      </c>
      <c r="L72" s="57">
        <f>MAX(0.02,NORMINV(RAND(),$C$7,$D$7))</f>
        <v/>
      </c>
      <c r="M72" s="57">
        <f>MIN(0.16,MAX(0.05,NORMINV(RAND(),$C$8,$D$8)))</f>
        <v/>
      </c>
      <c r="N72" s="59">
        <f>MIN(24,MAX(5,NORMINV(RAND(),$C$9,$D$9)))</f>
        <v/>
      </c>
      <c r="O72" s="65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57">
        <f>MAX(-0.05,NORMINV(RAND(),$C$6,$D$6))</f>
        <v/>
      </c>
      <c r="L73" s="57">
        <f>MAX(0.02,NORMINV(RAND(),$C$7,$D$7))</f>
        <v/>
      </c>
      <c r="M73" s="57">
        <f>MIN(0.16,MAX(0.05,NORMINV(RAND(),$C$8,$D$8)))</f>
        <v/>
      </c>
      <c r="N73" s="59">
        <f>MIN(24,MAX(5,NORMINV(RAND(),$C$9,$D$9)))</f>
        <v/>
      </c>
      <c r="O73" s="65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57">
        <f>MAX(-0.05,NORMINV(RAND(),$C$6,$D$6))</f>
        <v/>
      </c>
      <c r="L74" s="57">
        <f>MAX(0.02,NORMINV(RAND(),$C$7,$D$7))</f>
        <v/>
      </c>
      <c r="M74" s="57">
        <f>MIN(0.16,MAX(0.05,NORMINV(RAND(),$C$8,$D$8)))</f>
        <v/>
      </c>
      <c r="N74" s="59">
        <f>MIN(24,MAX(5,NORMINV(RAND(),$C$9,$D$9)))</f>
        <v/>
      </c>
      <c r="O74" s="65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57">
        <f>MAX(-0.05,NORMINV(RAND(),$C$6,$D$6))</f>
        <v/>
      </c>
      <c r="L75" s="57">
        <f>MAX(0.02,NORMINV(RAND(),$C$7,$D$7))</f>
        <v/>
      </c>
      <c r="M75" s="57">
        <f>MIN(0.16,MAX(0.05,NORMINV(RAND(),$C$8,$D$8)))</f>
        <v/>
      </c>
      <c r="N75" s="59">
        <f>MIN(24,MAX(5,NORMINV(RAND(),$C$9,$D$9)))</f>
        <v/>
      </c>
      <c r="O75" s="65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57">
        <f>MAX(-0.05,NORMINV(RAND(),$C$6,$D$6))</f>
        <v/>
      </c>
      <c r="L76" s="57">
        <f>MAX(0.02,NORMINV(RAND(),$C$7,$D$7))</f>
        <v/>
      </c>
      <c r="M76" s="57">
        <f>MIN(0.16,MAX(0.05,NORMINV(RAND(),$C$8,$D$8)))</f>
        <v/>
      </c>
      <c r="N76" s="59">
        <f>MIN(24,MAX(5,NORMINV(RAND(),$C$9,$D$9)))</f>
        <v/>
      </c>
      <c r="O76" s="65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57">
        <f>MAX(-0.05,NORMINV(RAND(),$C$6,$D$6))</f>
        <v/>
      </c>
      <c r="L77" s="57">
        <f>MAX(0.02,NORMINV(RAND(),$C$7,$D$7))</f>
        <v/>
      </c>
      <c r="M77" s="57">
        <f>MIN(0.16,MAX(0.05,NORMINV(RAND(),$C$8,$D$8)))</f>
        <v/>
      </c>
      <c r="N77" s="59">
        <f>MIN(24,MAX(5,NORMINV(RAND(),$C$9,$D$9)))</f>
        <v/>
      </c>
      <c r="O77" s="65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57">
        <f>MAX(-0.05,NORMINV(RAND(),$C$6,$D$6))</f>
        <v/>
      </c>
      <c r="L78" s="57">
        <f>MAX(0.02,NORMINV(RAND(),$C$7,$D$7))</f>
        <v/>
      </c>
      <c r="M78" s="57">
        <f>MIN(0.16,MAX(0.05,NORMINV(RAND(),$C$8,$D$8)))</f>
        <v/>
      </c>
      <c r="N78" s="59">
        <f>MIN(24,MAX(5,NORMINV(RAND(),$C$9,$D$9)))</f>
        <v/>
      </c>
      <c r="O78" s="65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57">
        <f>MAX(-0.05,NORMINV(RAND(),$C$6,$D$6))</f>
        <v/>
      </c>
      <c r="L79" s="57">
        <f>MAX(0.02,NORMINV(RAND(),$C$7,$D$7))</f>
        <v/>
      </c>
      <c r="M79" s="57">
        <f>MIN(0.16,MAX(0.05,NORMINV(RAND(),$C$8,$D$8)))</f>
        <v/>
      </c>
      <c r="N79" s="59">
        <f>MIN(24,MAX(5,NORMINV(RAND(),$C$9,$D$9)))</f>
        <v/>
      </c>
      <c r="O79" s="65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57">
        <f>MAX(-0.05,NORMINV(RAND(),$C$6,$D$6))</f>
        <v/>
      </c>
      <c r="L80" s="57">
        <f>MAX(0.02,NORMINV(RAND(),$C$7,$D$7))</f>
        <v/>
      </c>
      <c r="M80" s="57">
        <f>MIN(0.16,MAX(0.05,NORMINV(RAND(),$C$8,$D$8)))</f>
        <v/>
      </c>
      <c r="N80" s="59">
        <f>MIN(24,MAX(5,NORMINV(RAND(),$C$9,$D$9)))</f>
        <v/>
      </c>
      <c r="O80" s="65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57">
        <f>MAX(-0.05,NORMINV(RAND(),$C$6,$D$6))</f>
        <v/>
      </c>
      <c r="L81" s="57">
        <f>MAX(0.02,NORMINV(RAND(),$C$7,$D$7))</f>
        <v/>
      </c>
      <c r="M81" s="57">
        <f>MIN(0.16,MAX(0.05,NORMINV(RAND(),$C$8,$D$8)))</f>
        <v/>
      </c>
      <c r="N81" s="59">
        <f>MIN(24,MAX(5,NORMINV(RAND(),$C$9,$D$9)))</f>
        <v/>
      </c>
      <c r="O81" s="65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57">
        <f>MAX(-0.05,NORMINV(RAND(),$C$6,$D$6))</f>
        <v/>
      </c>
      <c r="L82" s="57">
        <f>MAX(0.02,NORMINV(RAND(),$C$7,$D$7))</f>
        <v/>
      </c>
      <c r="M82" s="57">
        <f>MIN(0.16,MAX(0.05,NORMINV(RAND(),$C$8,$D$8)))</f>
        <v/>
      </c>
      <c r="N82" s="59">
        <f>MIN(24,MAX(5,NORMINV(RAND(),$C$9,$D$9)))</f>
        <v/>
      </c>
      <c r="O82" s="65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57">
        <f>MAX(-0.05,NORMINV(RAND(),$C$6,$D$6))</f>
        <v/>
      </c>
      <c r="L83" s="57">
        <f>MAX(0.02,NORMINV(RAND(),$C$7,$D$7))</f>
        <v/>
      </c>
      <c r="M83" s="57">
        <f>MIN(0.16,MAX(0.05,NORMINV(RAND(),$C$8,$D$8)))</f>
        <v/>
      </c>
      <c r="N83" s="59">
        <f>MIN(24,MAX(5,NORMINV(RAND(),$C$9,$D$9)))</f>
        <v/>
      </c>
      <c r="O83" s="65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57">
        <f>MAX(-0.05,NORMINV(RAND(),$C$6,$D$6))</f>
        <v/>
      </c>
      <c r="L84" s="57">
        <f>MAX(0.02,NORMINV(RAND(),$C$7,$D$7))</f>
        <v/>
      </c>
      <c r="M84" s="57">
        <f>MIN(0.16,MAX(0.05,NORMINV(RAND(),$C$8,$D$8)))</f>
        <v/>
      </c>
      <c r="N84" s="59">
        <f>MIN(24,MAX(5,NORMINV(RAND(),$C$9,$D$9)))</f>
        <v/>
      </c>
      <c r="O84" s="65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57">
        <f>MAX(-0.05,NORMINV(RAND(),$C$6,$D$6))</f>
        <v/>
      </c>
      <c r="L85" s="57">
        <f>MAX(0.02,NORMINV(RAND(),$C$7,$D$7))</f>
        <v/>
      </c>
      <c r="M85" s="57">
        <f>MIN(0.16,MAX(0.05,NORMINV(RAND(),$C$8,$D$8)))</f>
        <v/>
      </c>
      <c r="N85" s="59">
        <f>MIN(24,MAX(5,NORMINV(RAND(),$C$9,$D$9)))</f>
        <v/>
      </c>
      <c r="O85" s="65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57">
        <f>MAX(-0.05,NORMINV(RAND(),$C$6,$D$6))</f>
        <v/>
      </c>
      <c r="L86" s="57">
        <f>MAX(0.02,NORMINV(RAND(),$C$7,$D$7))</f>
        <v/>
      </c>
      <c r="M86" s="57">
        <f>MIN(0.16,MAX(0.05,NORMINV(RAND(),$C$8,$D$8)))</f>
        <v/>
      </c>
      <c r="N86" s="59">
        <f>MIN(24,MAX(5,NORMINV(RAND(),$C$9,$D$9)))</f>
        <v/>
      </c>
      <c r="O86" s="65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57">
        <f>MAX(-0.05,NORMINV(RAND(),$C$6,$D$6))</f>
        <v/>
      </c>
      <c r="L87" s="57">
        <f>MAX(0.02,NORMINV(RAND(),$C$7,$D$7))</f>
        <v/>
      </c>
      <c r="M87" s="57">
        <f>MIN(0.16,MAX(0.05,NORMINV(RAND(),$C$8,$D$8)))</f>
        <v/>
      </c>
      <c r="N87" s="59">
        <f>MIN(24,MAX(5,NORMINV(RAND(),$C$9,$D$9)))</f>
        <v/>
      </c>
      <c r="O87" s="65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57">
        <f>MAX(-0.05,NORMINV(RAND(),$C$6,$D$6))</f>
        <v/>
      </c>
      <c r="L88" s="57">
        <f>MAX(0.02,NORMINV(RAND(),$C$7,$D$7))</f>
        <v/>
      </c>
      <c r="M88" s="57">
        <f>MIN(0.16,MAX(0.05,NORMINV(RAND(),$C$8,$D$8)))</f>
        <v/>
      </c>
      <c r="N88" s="59">
        <f>MIN(24,MAX(5,NORMINV(RAND(),$C$9,$D$9)))</f>
        <v/>
      </c>
      <c r="O88" s="65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57">
        <f>MAX(-0.05,NORMINV(RAND(),$C$6,$D$6))</f>
        <v/>
      </c>
      <c r="L89" s="57">
        <f>MAX(0.02,NORMINV(RAND(),$C$7,$D$7))</f>
        <v/>
      </c>
      <c r="M89" s="57">
        <f>MIN(0.16,MAX(0.05,NORMINV(RAND(),$C$8,$D$8)))</f>
        <v/>
      </c>
      <c r="N89" s="59">
        <f>MIN(24,MAX(5,NORMINV(RAND(),$C$9,$D$9)))</f>
        <v/>
      </c>
      <c r="O89" s="65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57">
        <f>MAX(-0.05,NORMINV(RAND(),$C$6,$D$6))</f>
        <v/>
      </c>
      <c r="L90" s="57">
        <f>MAX(0.02,NORMINV(RAND(),$C$7,$D$7))</f>
        <v/>
      </c>
      <c r="M90" s="57">
        <f>MIN(0.16,MAX(0.05,NORMINV(RAND(),$C$8,$D$8)))</f>
        <v/>
      </c>
      <c r="N90" s="59">
        <f>MIN(24,MAX(5,NORMINV(RAND(),$C$9,$D$9)))</f>
        <v/>
      </c>
      <c r="O90" s="65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57">
        <f>MAX(-0.05,NORMINV(RAND(),$C$6,$D$6))</f>
        <v/>
      </c>
      <c r="L91" s="57">
        <f>MAX(0.02,NORMINV(RAND(),$C$7,$D$7))</f>
        <v/>
      </c>
      <c r="M91" s="57">
        <f>MIN(0.16,MAX(0.05,NORMINV(RAND(),$C$8,$D$8)))</f>
        <v/>
      </c>
      <c r="N91" s="59">
        <f>MIN(24,MAX(5,NORMINV(RAND(),$C$9,$D$9)))</f>
        <v/>
      </c>
      <c r="O91" s="65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57">
        <f>MAX(-0.05,NORMINV(RAND(),$C$6,$D$6))</f>
        <v/>
      </c>
      <c r="L92" s="57">
        <f>MAX(0.02,NORMINV(RAND(),$C$7,$D$7))</f>
        <v/>
      </c>
      <c r="M92" s="57">
        <f>MIN(0.16,MAX(0.05,NORMINV(RAND(),$C$8,$D$8)))</f>
        <v/>
      </c>
      <c r="N92" s="59">
        <f>MIN(24,MAX(5,NORMINV(RAND(),$C$9,$D$9)))</f>
        <v/>
      </c>
      <c r="O92" s="65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57">
        <f>MAX(-0.05,NORMINV(RAND(),$C$6,$D$6))</f>
        <v/>
      </c>
      <c r="L93" s="57">
        <f>MAX(0.02,NORMINV(RAND(),$C$7,$D$7))</f>
        <v/>
      </c>
      <c r="M93" s="57">
        <f>MIN(0.16,MAX(0.05,NORMINV(RAND(),$C$8,$D$8)))</f>
        <v/>
      </c>
      <c r="N93" s="59">
        <f>MIN(24,MAX(5,NORMINV(RAND(),$C$9,$D$9)))</f>
        <v/>
      </c>
      <c r="O93" s="65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57">
        <f>MAX(-0.05,NORMINV(RAND(),$C$6,$D$6))</f>
        <v/>
      </c>
      <c r="L94" s="57">
        <f>MAX(0.02,NORMINV(RAND(),$C$7,$D$7))</f>
        <v/>
      </c>
      <c r="M94" s="57">
        <f>MIN(0.16,MAX(0.05,NORMINV(RAND(),$C$8,$D$8)))</f>
        <v/>
      </c>
      <c r="N94" s="59">
        <f>MIN(24,MAX(5,NORMINV(RAND(),$C$9,$D$9)))</f>
        <v/>
      </c>
      <c r="O94" s="65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57">
        <f>MAX(-0.05,NORMINV(RAND(),$C$6,$D$6))</f>
        <v/>
      </c>
      <c r="L95" s="57">
        <f>MAX(0.02,NORMINV(RAND(),$C$7,$D$7))</f>
        <v/>
      </c>
      <c r="M95" s="57">
        <f>MIN(0.16,MAX(0.05,NORMINV(RAND(),$C$8,$D$8)))</f>
        <v/>
      </c>
      <c r="N95" s="59">
        <f>MIN(24,MAX(5,NORMINV(RAND(),$C$9,$D$9)))</f>
        <v/>
      </c>
      <c r="O95" s="65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57">
        <f>MAX(-0.05,NORMINV(RAND(),$C$6,$D$6))</f>
        <v/>
      </c>
      <c r="L96" s="57">
        <f>MAX(0.02,NORMINV(RAND(),$C$7,$D$7))</f>
        <v/>
      </c>
      <c r="M96" s="57">
        <f>MIN(0.16,MAX(0.05,NORMINV(RAND(),$C$8,$D$8)))</f>
        <v/>
      </c>
      <c r="N96" s="59">
        <f>MIN(24,MAX(5,NORMINV(RAND(),$C$9,$D$9)))</f>
        <v/>
      </c>
      <c r="O96" s="65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57">
        <f>MAX(-0.05,NORMINV(RAND(),$C$6,$D$6))</f>
        <v/>
      </c>
      <c r="L97" s="57">
        <f>MAX(0.02,NORMINV(RAND(),$C$7,$D$7))</f>
        <v/>
      </c>
      <c r="M97" s="57">
        <f>MIN(0.16,MAX(0.05,NORMINV(RAND(),$C$8,$D$8)))</f>
        <v/>
      </c>
      <c r="N97" s="59">
        <f>MIN(24,MAX(5,NORMINV(RAND(),$C$9,$D$9)))</f>
        <v/>
      </c>
      <c r="O97" s="65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57">
        <f>MAX(-0.05,NORMINV(RAND(),$C$6,$D$6))</f>
        <v/>
      </c>
      <c r="L98" s="57">
        <f>MAX(0.02,NORMINV(RAND(),$C$7,$D$7))</f>
        <v/>
      </c>
      <c r="M98" s="57">
        <f>MIN(0.16,MAX(0.05,NORMINV(RAND(),$C$8,$D$8)))</f>
        <v/>
      </c>
      <c r="N98" s="59">
        <f>MIN(24,MAX(5,NORMINV(RAND(),$C$9,$D$9)))</f>
        <v/>
      </c>
      <c r="O98" s="65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57">
        <f>MAX(-0.05,NORMINV(RAND(),$C$6,$D$6))</f>
        <v/>
      </c>
      <c r="L99" s="57">
        <f>MAX(0.02,NORMINV(RAND(),$C$7,$D$7))</f>
        <v/>
      </c>
      <c r="M99" s="57">
        <f>MIN(0.16,MAX(0.05,NORMINV(RAND(),$C$8,$D$8)))</f>
        <v/>
      </c>
      <c r="N99" s="59">
        <f>MIN(24,MAX(5,NORMINV(RAND(),$C$9,$D$9)))</f>
        <v/>
      </c>
      <c r="O99" s="65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57">
        <f>MAX(-0.05,NORMINV(RAND(),$C$6,$D$6))</f>
        <v/>
      </c>
      <c r="L100" s="57">
        <f>MAX(0.02,NORMINV(RAND(),$C$7,$D$7))</f>
        <v/>
      </c>
      <c r="M100" s="57">
        <f>MIN(0.16,MAX(0.05,NORMINV(RAND(),$C$8,$D$8)))</f>
        <v/>
      </c>
      <c r="N100" s="59">
        <f>MIN(24,MAX(5,NORMINV(RAND(),$C$9,$D$9)))</f>
        <v/>
      </c>
      <c r="O100" s="65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57">
        <f>MAX(-0.05,NORMINV(RAND(),$C$6,$D$6))</f>
        <v/>
      </c>
      <c r="L101" s="57">
        <f>MAX(0.02,NORMINV(RAND(),$C$7,$D$7))</f>
        <v/>
      </c>
      <c r="M101" s="57">
        <f>MIN(0.16,MAX(0.05,NORMINV(RAND(),$C$8,$D$8)))</f>
        <v/>
      </c>
      <c r="N101" s="59">
        <f>MIN(24,MAX(5,NORMINV(RAND(),$C$9,$D$9)))</f>
        <v/>
      </c>
      <c r="O101" s="65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57">
        <f>MAX(-0.05,NORMINV(RAND(),$C$6,$D$6))</f>
        <v/>
      </c>
      <c r="L102" s="57">
        <f>MAX(0.02,NORMINV(RAND(),$C$7,$D$7))</f>
        <v/>
      </c>
      <c r="M102" s="57">
        <f>MIN(0.16,MAX(0.05,NORMINV(RAND(),$C$8,$D$8)))</f>
        <v/>
      </c>
      <c r="N102" s="59">
        <f>MIN(24,MAX(5,NORMINV(RAND(),$C$9,$D$9)))</f>
        <v/>
      </c>
      <c r="O102" s="65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57">
        <f>MAX(-0.05,NORMINV(RAND(),$C$6,$D$6))</f>
        <v/>
      </c>
      <c r="L103" s="57">
        <f>MAX(0.02,NORMINV(RAND(),$C$7,$D$7))</f>
        <v/>
      </c>
      <c r="M103" s="57">
        <f>MIN(0.16,MAX(0.05,NORMINV(RAND(),$C$8,$D$8)))</f>
        <v/>
      </c>
      <c r="N103" s="59">
        <f>MIN(24,MAX(5,NORMINV(RAND(),$C$9,$D$9)))</f>
        <v/>
      </c>
      <c r="O103" s="65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57">
        <f>MAX(-0.05,NORMINV(RAND(),$C$6,$D$6))</f>
        <v/>
      </c>
      <c r="L104" s="57">
        <f>MAX(0.02,NORMINV(RAND(),$C$7,$D$7))</f>
        <v/>
      </c>
      <c r="M104" s="57">
        <f>MIN(0.16,MAX(0.05,NORMINV(RAND(),$C$8,$D$8)))</f>
        <v/>
      </c>
      <c r="N104" s="59">
        <f>MIN(24,MAX(5,NORMINV(RAND(),$C$9,$D$9)))</f>
        <v/>
      </c>
      <c r="O104" s="65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57">
        <f>MAX(-0.05,NORMINV(RAND(),$C$6,$D$6))</f>
        <v/>
      </c>
      <c r="L105" s="57">
        <f>MAX(0.02,NORMINV(RAND(),$C$7,$D$7))</f>
        <v/>
      </c>
      <c r="M105" s="57">
        <f>MIN(0.16,MAX(0.05,NORMINV(RAND(),$C$8,$D$8)))</f>
        <v/>
      </c>
      <c r="N105" s="59">
        <f>MIN(24,MAX(5,NORMINV(RAND(),$C$9,$D$9)))</f>
        <v/>
      </c>
      <c r="O105" s="65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57">
        <f>MAX(-0.05,NORMINV(RAND(),$C$6,$D$6))</f>
        <v/>
      </c>
      <c r="L106" s="57">
        <f>MAX(0.02,NORMINV(RAND(),$C$7,$D$7))</f>
        <v/>
      </c>
      <c r="M106" s="57">
        <f>MIN(0.16,MAX(0.05,NORMINV(RAND(),$C$8,$D$8)))</f>
        <v/>
      </c>
      <c r="N106" s="59">
        <f>MIN(24,MAX(5,NORMINV(RAND(),$C$9,$D$9)))</f>
        <v/>
      </c>
      <c r="O106" s="65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57">
        <f>MAX(-0.05,NORMINV(RAND(),$C$6,$D$6))</f>
        <v/>
      </c>
      <c r="L107" s="57">
        <f>MAX(0.02,NORMINV(RAND(),$C$7,$D$7))</f>
        <v/>
      </c>
      <c r="M107" s="57">
        <f>MIN(0.16,MAX(0.05,NORMINV(RAND(),$C$8,$D$8)))</f>
        <v/>
      </c>
      <c r="N107" s="59">
        <f>MIN(24,MAX(5,NORMINV(RAND(),$C$9,$D$9)))</f>
        <v/>
      </c>
      <c r="O107" s="65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57">
        <f>MAX(-0.05,NORMINV(RAND(),$C$6,$D$6))</f>
        <v/>
      </c>
      <c r="L108" s="57">
        <f>MAX(0.02,NORMINV(RAND(),$C$7,$D$7))</f>
        <v/>
      </c>
      <c r="M108" s="57">
        <f>MIN(0.16,MAX(0.05,NORMINV(RAND(),$C$8,$D$8)))</f>
        <v/>
      </c>
      <c r="N108" s="59">
        <f>MIN(24,MAX(5,NORMINV(RAND(),$C$9,$D$9)))</f>
        <v/>
      </c>
      <c r="O108" s="65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57">
        <f>MAX(-0.05,NORMINV(RAND(),$C$6,$D$6))</f>
        <v/>
      </c>
      <c r="L109" s="57">
        <f>MAX(0.02,NORMINV(RAND(),$C$7,$D$7))</f>
        <v/>
      </c>
      <c r="M109" s="57">
        <f>MIN(0.16,MAX(0.05,NORMINV(RAND(),$C$8,$D$8)))</f>
        <v/>
      </c>
      <c r="N109" s="59">
        <f>MIN(24,MAX(5,NORMINV(RAND(),$C$9,$D$9)))</f>
        <v/>
      </c>
      <c r="O109" s="65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57">
        <f>MAX(-0.05,NORMINV(RAND(),$C$6,$D$6))</f>
        <v/>
      </c>
      <c r="L110" s="57">
        <f>MAX(0.02,NORMINV(RAND(),$C$7,$D$7))</f>
        <v/>
      </c>
      <c r="M110" s="57">
        <f>MIN(0.16,MAX(0.05,NORMINV(RAND(),$C$8,$D$8)))</f>
        <v/>
      </c>
      <c r="N110" s="59">
        <f>MIN(24,MAX(5,NORMINV(RAND(),$C$9,$D$9)))</f>
        <v/>
      </c>
      <c r="O110" s="65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57">
        <f>MAX(-0.05,NORMINV(RAND(),$C$6,$D$6))</f>
        <v/>
      </c>
      <c r="L111" s="57">
        <f>MAX(0.02,NORMINV(RAND(),$C$7,$D$7))</f>
        <v/>
      </c>
      <c r="M111" s="57">
        <f>MIN(0.16,MAX(0.05,NORMINV(RAND(),$C$8,$D$8)))</f>
        <v/>
      </c>
      <c r="N111" s="59">
        <f>MIN(24,MAX(5,NORMINV(RAND(),$C$9,$D$9)))</f>
        <v/>
      </c>
      <c r="O111" s="65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57">
        <f>MAX(-0.05,NORMINV(RAND(),$C$6,$D$6))</f>
        <v/>
      </c>
      <c r="L112" s="57">
        <f>MAX(0.02,NORMINV(RAND(),$C$7,$D$7))</f>
        <v/>
      </c>
      <c r="M112" s="57">
        <f>MIN(0.16,MAX(0.05,NORMINV(RAND(),$C$8,$D$8)))</f>
        <v/>
      </c>
      <c r="N112" s="59">
        <f>MIN(24,MAX(5,NORMINV(RAND(),$C$9,$D$9)))</f>
        <v/>
      </c>
      <c r="O112" s="65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57">
        <f>MAX(-0.05,NORMINV(RAND(),$C$6,$D$6))</f>
        <v/>
      </c>
      <c r="L113" s="57">
        <f>MAX(0.02,NORMINV(RAND(),$C$7,$D$7))</f>
        <v/>
      </c>
      <c r="M113" s="57">
        <f>MIN(0.16,MAX(0.05,NORMINV(RAND(),$C$8,$D$8)))</f>
        <v/>
      </c>
      <c r="N113" s="59">
        <f>MIN(24,MAX(5,NORMINV(RAND(),$C$9,$D$9)))</f>
        <v/>
      </c>
      <c r="O113" s="65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57">
        <f>MAX(-0.05,NORMINV(RAND(),$C$6,$D$6))</f>
        <v/>
      </c>
      <c r="L114" s="57">
        <f>MAX(0.02,NORMINV(RAND(),$C$7,$D$7))</f>
        <v/>
      </c>
      <c r="M114" s="57">
        <f>MIN(0.16,MAX(0.05,NORMINV(RAND(),$C$8,$D$8)))</f>
        <v/>
      </c>
      <c r="N114" s="59">
        <f>MIN(24,MAX(5,NORMINV(RAND(),$C$9,$D$9)))</f>
        <v/>
      </c>
      <c r="O114" s="65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57">
        <f>MAX(-0.05,NORMINV(RAND(),$C$6,$D$6))</f>
        <v/>
      </c>
      <c r="L115" s="57">
        <f>MAX(0.02,NORMINV(RAND(),$C$7,$D$7))</f>
        <v/>
      </c>
      <c r="M115" s="57">
        <f>MIN(0.16,MAX(0.05,NORMINV(RAND(),$C$8,$D$8)))</f>
        <v/>
      </c>
      <c r="N115" s="59">
        <f>MIN(24,MAX(5,NORMINV(RAND(),$C$9,$D$9)))</f>
        <v/>
      </c>
      <c r="O115" s="65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57">
        <f>MAX(-0.05,NORMINV(RAND(),$C$6,$D$6))</f>
        <v/>
      </c>
      <c r="L116" s="57">
        <f>MAX(0.02,NORMINV(RAND(),$C$7,$D$7))</f>
        <v/>
      </c>
      <c r="M116" s="57">
        <f>MIN(0.16,MAX(0.05,NORMINV(RAND(),$C$8,$D$8)))</f>
        <v/>
      </c>
      <c r="N116" s="59">
        <f>MIN(24,MAX(5,NORMINV(RAND(),$C$9,$D$9)))</f>
        <v/>
      </c>
      <c r="O116" s="65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57">
        <f>MAX(-0.05,NORMINV(RAND(),$C$6,$D$6))</f>
        <v/>
      </c>
      <c r="L117" s="57">
        <f>MAX(0.02,NORMINV(RAND(),$C$7,$D$7))</f>
        <v/>
      </c>
      <c r="M117" s="57">
        <f>MIN(0.16,MAX(0.05,NORMINV(RAND(),$C$8,$D$8)))</f>
        <v/>
      </c>
      <c r="N117" s="59">
        <f>MIN(24,MAX(5,NORMINV(RAND(),$C$9,$D$9)))</f>
        <v/>
      </c>
      <c r="O117" s="65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57">
        <f>MAX(-0.05,NORMINV(RAND(),$C$6,$D$6))</f>
        <v/>
      </c>
      <c r="L118" s="57">
        <f>MAX(0.02,NORMINV(RAND(),$C$7,$D$7))</f>
        <v/>
      </c>
      <c r="M118" s="57">
        <f>MIN(0.16,MAX(0.05,NORMINV(RAND(),$C$8,$D$8)))</f>
        <v/>
      </c>
      <c r="N118" s="59">
        <f>MIN(24,MAX(5,NORMINV(RAND(),$C$9,$D$9)))</f>
        <v/>
      </c>
      <c r="O118" s="65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57">
        <f>MAX(-0.05,NORMINV(RAND(),$C$6,$D$6))</f>
        <v/>
      </c>
      <c r="L119" s="57">
        <f>MAX(0.02,NORMINV(RAND(),$C$7,$D$7))</f>
        <v/>
      </c>
      <c r="M119" s="57">
        <f>MIN(0.16,MAX(0.05,NORMINV(RAND(),$C$8,$D$8)))</f>
        <v/>
      </c>
      <c r="N119" s="59">
        <f>MIN(24,MAX(5,NORMINV(RAND(),$C$9,$D$9)))</f>
        <v/>
      </c>
      <c r="O119" s="65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57">
        <f>MAX(-0.05,NORMINV(RAND(),$C$6,$D$6))</f>
        <v/>
      </c>
      <c r="L120" s="57">
        <f>MAX(0.02,NORMINV(RAND(),$C$7,$D$7))</f>
        <v/>
      </c>
      <c r="M120" s="57">
        <f>MIN(0.16,MAX(0.05,NORMINV(RAND(),$C$8,$D$8)))</f>
        <v/>
      </c>
      <c r="N120" s="59">
        <f>MIN(24,MAX(5,NORMINV(RAND(),$C$9,$D$9)))</f>
        <v/>
      </c>
      <c r="O120" s="65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57">
        <f>MAX(-0.05,NORMINV(RAND(),$C$6,$D$6))</f>
        <v/>
      </c>
      <c r="L121" s="57">
        <f>MAX(0.02,NORMINV(RAND(),$C$7,$D$7))</f>
        <v/>
      </c>
      <c r="M121" s="57">
        <f>MIN(0.16,MAX(0.05,NORMINV(RAND(),$C$8,$D$8)))</f>
        <v/>
      </c>
      <c r="N121" s="59">
        <f>MIN(24,MAX(5,NORMINV(RAND(),$C$9,$D$9)))</f>
        <v/>
      </c>
      <c r="O121" s="65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57">
        <f>MAX(-0.05,NORMINV(RAND(),$C$6,$D$6))</f>
        <v/>
      </c>
      <c r="L122" s="57">
        <f>MAX(0.02,NORMINV(RAND(),$C$7,$D$7))</f>
        <v/>
      </c>
      <c r="M122" s="57">
        <f>MIN(0.16,MAX(0.05,NORMINV(RAND(),$C$8,$D$8)))</f>
        <v/>
      </c>
      <c r="N122" s="59">
        <f>MIN(24,MAX(5,NORMINV(RAND(),$C$9,$D$9)))</f>
        <v/>
      </c>
      <c r="O122" s="65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57">
        <f>MAX(-0.05,NORMINV(RAND(),$C$6,$D$6))</f>
        <v/>
      </c>
      <c r="L123" s="57">
        <f>MAX(0.02,NORMINV(RAND(),$C$7,$D$7))</f>
        <v/>
      </c>
      <c r="M123" s="57">
        <f>MIN(0.16,MAX(0.05,NORMINV(RAND(),$C$8,$D$8)))</f>
        <v/>
      </c>
      <c r="N123" s="59">
        <f>MIN(24,MAX(5,NORMINV(RAND(),$C$9,$D$9)))</f>
        <v/>
      </c>
      <c r="O123" s="65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57">
        <f>MAX(-0.05,NORMINV(RAND(),$C$6,$D$6))</f>
        <v/>
      </c>
      <c r="L124" s="57">
        <f>MAX(0.02,NORMINV(RAND(),$C$7,$D$7))</f>
        <v/>
      </c>
      <c r="M124" s="57">
        <f>MIN(0.16,MAX(0.05,NORMINV(RAND(),$C$8,$D$8)))</f>
        <v/>
      </c>
      <c r="N124" s="59">
        <f>MIN(24,MAX(5,NORMINV(RAND(),$C$9,$D$9)))</f>
        <v/>
      </c>
      <c r="O124" s="65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57">
        <f>MAX(-0.05,NORMINV(RAND(),$C$6,$D$6))</f>
        <v/>
      </c>
      <c r="L125" s="57">
        <f>MAX(0.02,NORMINV(RAND(),$C$7,$D$7))</f>
        <v/>
      </c>
      <c r="M125" s="57">
        <f>MIN(0.16,MAX(0.05,NORMINV(RAND(),$C$8,$D$8)))</f>
        <v/>
      </c>
      <c r="N125" s="59">
        <f>MIN(24,MAX(5,NORMINV(RAND(),$C$9,$D$9)))</f>
        <v/>
      </c>
      <c r="O125" s="65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57">
        <f>MAX(-0.05,NORMINV(RAND(),$C$6,$D$6))</f>
        <v/>
      </c>
      <c r="L126" s="57">
        <f>MAX(0.02,NORMINV(RAND(),$C$7,$D$7))</f>
        <v/>
      </c>
      <c r="M126" s="57">
        <f>MIN(0.16,MAX(0.05,NORMINV(RAND(),$C$8,$D$8)))</f>
        <v/>
      </c>
      <c r="N126" s="59">
        <f>MIN(24,MAX(5,NORMINV(RAND(),$C$9,$D$9)))</f>
        <v/>
      </c>
      <c r="O126" s="65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57">
        <f>MAX(-0.05,NORMINV(RAND(),$C$6,$D$6))</f>
        <v/>
      </c>
      <c r="L127" s="57">
        <f>MAX(0.02,NORMINV(RAND(),$C$7,$D$7))</f>
        <v/>
      </c>
      <c r="M127" s="57">
        <f>MIN(0.16,MAX(0.05,NORMINV(RAND(),$C$8,$D$8)))</f>
        <v/>
      </c>
      <c r="N127" s="59">
        <f>MIN(24,MAX(5,NORMINV(RAND(),$C$9,$D$9)))</f>
        <v/>
      </c>
      <c r="O127" s="65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57">
        <f>MAX(-0.05,NORMINV(RAND(),$C$6,$D$6))</f>
        <v/>
      </c>
      <c r="L128" s="57">
        <f>MAX(0.02,NORMINV(RAND(),$C$7,$D$7))</f>
        <v/>
      </c>
      <c r="M128" s="57">
        <f>MIN(0.16,MAX(0.05,NORMINV(RAND(),$C$8,$D$8)))</f>
        <v/>
      </c>
      <c r="N128" s="59">
        <f>MIN(24,MAX(5,NORMINV(RAND(),$C$9,$D$9)))</f>
        <v/>
      </c>
      <c r="O128" s="65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57">
        <f>MAX(-0.05,NORMINV(RAND(),$C$6,$D$6))</f>
        <v/>
      </c>
      <c r="L129" s="57">
        <f>MAX(0.02,NORMINV(RAND(),$C$7,$D$7))</f>
        <v/>
      </c>
      <c r="M129" s="57">
        <f>MIN(0.16,MAX(0.05,NORMINV(RAND(),$C$8,$D$8)))</f>
        <v/>
      </c>
      <c r="N129" s="59">
        <f>MIN(24,MAX(5,NORMINV(RAND(),$C$9,$D$9)))</f>
        <v/>
      </c>
      <c r="O129" s="65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57">
        <f>MAX(-0.05,NORMINV(RAND(),$C$6,$D$6))</f>
        <v/>
      </c>
      <c r="L130" s="57">
        <f>MAX(0.02,NORMINV(RAND(),$C$7,$D$7))</f>
        <v/>
      </c>
      <c r="M130" s="57">
        <f>MIN(0.16,MAX(0.05,NORMINV(RAND(),$C$8,$D$8)))</f>
        <v/>
      </c>
      <c r="N130" s="59">
        <f>MIN(24,MAX(5,NORMINV(RAND(),$C$9,$D$9)))</f>
        <v/>
      </c>
      <c r="O130" s="65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57">
        <f>MAX(-0.05,NORMINV(RAND(),$C$6,$D$6))</f>
        <v/>
      </c>
      <c r="L131" s="57">
        <f>MAX(0.02,NORMINV(RAND(),$C$7,$D$7))</f>
        <v/>
      </c>
      <c r="M131" s="57">
        <f>MIN(0.16,MAX(0.05,NORMINV(RAND(),$C$8,$D$8)))</f>
        <v/>
      </c>
      <c r="N131" s="59">
        <f>MIN(24,MAX(5,NORMINV(RAND(),$C$9,$D$9)))</f>
        <v/>
      </c>
      <c r="O131" s="65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57">
        <f>MAX(-0.05,NORMINV(RAND(),$C$6,$D$6))</f>
        <v/>
      </c>
      <c r="L132" s="57">
        <f>MAX(0.02,NORMINV(RAND(),$C$7,$D$7))</f>
        <v/>
      </c>
      <c r="M132" s="57">
        <f>MIN(0.16,MAX(0.05,NORMINV(RAND(),$C$8,$D$8)))</f>
        <v/>
      </c>
      <c r="N132" s="59">
        <f>MIN(24,MAX(5,NORMINV(RAND(),$C$9,$D$9)))</f>
        <v/>
      </c>
      <c r="O132" s="65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57">
        <f>MAX(-0.05,NORMINV(RAND(),$C$6,$D$6))</f>
        <v/>
      </c>
      <c r="L133" s="57">
        <f>MAX(0.02,NORMINV(RAND(),$C$7,$D$7))</f>
        <v/>
      </c>
      <c r="M133" s="57">
        <f>MIN(0.16,MAX(0.05,NORMINV(RAND(),$C$8,$D$8)))</f>
        <v/>
      </c>
      <c r="N133" s="59">
        <f>MIN(24,MAX(5,NORMINV(RAND(),$C$9,$D$9)))</f>
        <v/>
      </c>
      <c r="O133" s="65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57">
        <f>MAX(-0.05,NORMINV(RAND(),$C$6,$D$6))</f>
        <v/>
      </c>
      <c r="L134" s="57">
        <f>MAX(0.02,NORMINV(RAND(),$C$7,$D$7))</f>
        <v/>
      </c>
      <c r="M134" s="57">
        <f>MIN(0.16,MAX(0.05,NORMINV(RAND(),$C$8,$D$8)))</f>
        <v/>
      </c>
      <c r="N134" s="59">
        <f>MIN(24,MAX(5,NORMINV(RAND(),$C$9,$D$9)))</f>
        <v/>
      </c>
      <c r="O134" s="65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57">
        <f>MAX(-0.05,NORMINV(RAND(),$C$6,$D$6))</f>
        <v/>
      </c>
      <c r="L135" s="57">
        <f>MAX(0.02,NORMINV(RAND(),$C$7,$D$7))</f>
        <v/>
      </c>
      <c r="M135" s="57">
        <f>MIN(0.16,MAX(0.05,NORMINV(RAND(),$C$8,$D$8)))</f>
        <v/>
      </c>
      <c r="N135" s="59">
        <f>MIN(24,MAX(5,NORMINV(RAND(),$C$9,$D$9)))</f>
        <v/>
      </c>
      <c r="O135" s="65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57">
        <f>MAX(-0.05,NORMINV(RAND(),$C$6,$D$6))</f>
        <v/>
      </c>
      <c r="L136" s="57">
        <f>MAX(0.02,NORMINV(RAND(),$C$7,$D$7))</f>
        <v/>
      </c>
      <c r="M136" s="57">
        <f>MIN(0.16,MAX(0.05,NORMINV(RAND(),$C$8,$D$8)))</f>
        <v/>
      </c>
      <c r="N136" s="59">
        <f>MIN(24,MAX(5,NORMINV(RAND(),$C$9,$D$9)))</f>
        <v/>
      </c>
      <c r="O136" s="65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57">
        <f>MAX(-0.05,NORMINV(RAND(),$C$6,$D$6))</f>
        <v/>
      </c>
      <c r="L137" s="57">
        <f>MAX(0.02,NORMINV(RAND(),$C$7,$D$7))</f>
        <v/>
      </c>
      <c r="M137" s="57">
        <f>MIN(0.16,MAX(0.05,NORMINV(RAND(),$C$8,$D$8)))</f>
        <v/>
      </c>
      <c r="N137" s="59">
        <f>MIN(24,MAX(5,NORMINV(RAND(),$C$9,$D$9)))</f>
        <v/>
      </c>
      <c r="O137" s="65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57">
        <f>MAX(-0.05,NORMINV(RAND(),$C$6,$D$6))</f>
        <v/>
      </c>
      <c r="L138" s="57">
        <f>MAX(0.02,NORMINV(RAND(),$C$7,$D$7))</f>
        <v/>
      </c>
      <c r="M138" s="57">
        <f>MIN(0.16,MAX(0.05,NORMINV(RAND(),$C$8,$D$8)))</f>
        <v/>
      </c>
      <c r="N138" s="59">
        <f>MIN(24,MAX(5,NORMINV(RAND(),$C$9,$D$9)))</f>
        <v/>
      </c>
      <c r="O138" s="65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57">
        <f>MAX(-0.05,NORMINV(RAND(),$C$6,$D$6))</f>
        <v/>
      </c>
      <c r="L139" s="57">
        <f>MAX(0.02,NORMINV(RAND(),$C$7,$D$7))</f>
        <v/>
      </c>
      <c r="M139" s="57">
        <f>MIN(0.16,MAX(0.05,NORMINV(RAND(),$C$8,$D$8)))</f>
        <v/>
      </c>
      <c r="N139" s="59">
        <f>MIN(24,MAX(5,NORMINV(RAND(),$C$9,$D$9)))</f>
        <v/>
      </c>
      <c r="O139" s="65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57">
        <f>MAX(-0.05,NORMINV(RAND(),$C$6,$D$6))</f>
        <v/>
      </c>
      <c r="L140" s="57">
        <f>MAX(0.02,NORMINV(RAND(),$C$7,$D$7))</f>
        <v/>
      </c>
      <c r="M140" s="57">
        <f>MIN(0.16,MAX(0.05,NORMINV(RAND(),$C$8,$D$8)))</f>
        <v/>
      </c>
      <c r="N140" s="59">
        <f>MIN(24,MAX(5,NORMINV(RAND(),$C$9,$D$9)))</f>
        <v/>
      </c>
      <c r="O140" s="65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57">
        <f>MAX(-0.05,NORMINV(RAND(),$C$6,$D$6))</f>
        <v/>
      </c>
      <c r="L141" s="57">
        <f>MAX(0.02,NORMINV(RAND(),$C$7,$D$7))</f>
        <v/>
      </c>
      <c r="M141" s="57">
        <f>MIN(0.16,MAX(0.05,NORMINV(RAND(),$C$8,$D$8)))</f>
        <v/>
      </c>
      <c r="N141" s="59">
        <f>MIN(24,MAX(5,NORMINV(RAND(),$C$9,$D$9)))</f>
        <v/>
      </c>
      <c r="O141" s="65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57">
        <f>MAX(-0.05,NORMINV(RAND(),$C$6,$D$6))</f>
        <v/>
      </c>
      <c r="L142" s="57">
        <f>MAX(0.02,NORMINV(RAND(),$C$7,$D$7))</f>
        <v/>
      </c>
      <c r="M142" s="57">
        <f>MIN(0.16,MAX(0.05,NORMINV(RAND(),$C$8,$D$8)))</f>
        <v/>
      </c>
      <c r="N142" s="59">
        <f>MIN(24,MAX(5,NORMINV(RAND(),$C$9,$D$9)))</f>
        <v/>
      </c>
      <c r="O142" s="65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57">
        <f>MAX(-0.05,NORMINV(RAND(),$C$6,$D$6))</f>
        <v/>
      </c>
      <c r="L143" s="57">
        <f>MAX(0.02,NORMINV(RAND(),$C$7,$D$7))</f>
        <v/>
      </c>
      <c r="M143" s="57">
        <f>MIN(0.16,MAX(0.05,NORMINV(RAND(),$C$8,$D$8)))</f>
        <v/>
      </c>
      <c r="N143" s="59">
        <f>MIN(24,MAX(5,NORMINV(RAND(),$C$9,$D$9)))</f>
        <v/>
      </c>
      <c r="O143" s="65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57">
        <f>MAX(-0.05,NORMINV(RAND(),$C$6,$D$6))</f>
        <v/>
      </c>
      <c r="L144" s="57">
        <f>MAX(0.02,NORMINV(RAND(),$C$7,$D$7))</f>
        <v/>
      </c>
      <c r="M144" s="57">
        <f>MIN(0.16,MAX(0.05,NORMINV(RAND(),$C$8,$D$8)))</f>
        <v/>
      </c>
      <c r="N144" s="59">
        <f>MIN(24,MAX(5,NORMINV(RAND(),$C$9,$D$9)))</f>
        <v/>
      </c>
      <c r="O144" s="65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57">
        <f>MAX(-0.05,NORMINV(RAND(),$C$6,$D$6))</f>
        <v/>
      </c>
      <c r="L145" s="57">
        <f>MAX(0.02,NORMINV(RAND(),$C$7,$D$7))</f>
        <v/>
      </c>
      <c r="M145" s="57">
        <f>MIN(0.16,MAX(0.05,NORMINV(RAND(),$C$8,$D$8)))</f>
        <v/>
      </c>
      <c r="N145" s="59">
        <f>MIN(24,MAX(5,NORMINV(RAND(),$C$9,$D$9)))</f>
        <v/>
      </c>
      <c r="O145" s="65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57">
        <f>MAX(-0.05,NORMINV(RAND(),$C$6,$D$6))</f>
        <v/>
      </c>
      <c r="L146" s="57">
        <f>MAX(0.02,NORMINV(RAND(),$C$7,$D$7))</f>
        <v/>
      </c>
      <c r="M146" s="57">
        <f>MIN(0.16,MAX(0.05,NORMINV(RAND(),$C$8,$D$8)))</f>
        <v/>
      </c>
      <c r="N146" s="59">
        <f>MIN(24,MAX(5,NORMINV(RAND(),$C$9,$D$9)))</f>
        <v/>
      </c>
      <c r="O146" s="65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57">
        <f>MAX(-0.05,NORMINV(RAND(),$C$6,$D$6))</f>
        <v/>
      </c>
      <c r="L147" s="57">
        <f>MAX(0.02,NORMINV(RAND(),$C$7,$D$7))</f>
        <v/>
      </c>
      <c r="M147" s="57">
        <f>MIN(0.16,MAX(0.05,NORMINV(RAND(),$C$8,$D$8)))</f>
        <v/>
      </c>
      <c r="N147" s="59">
        <f>MIN(24,MAX(5,NORMINV(RAND(),$C$9,$D$9)))</f>
        <v/>
      </c>
      <c r="O147" s="65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57">
        <f>MAX(-0.05,NORMINV(RAND(),$C$6,$D$6))</f>
        <v/>
      </c>
      <c r="L148" s="57">
        <f>MAX(0.02,NORMINV(RAND(),$C$7,$D$7))</f>
        <v/>
      </c>
      <c r="M148" s="57">
        <f>MIN(0.16,MAX(0.05,NORMINV(RAND(),$C$8,$D$8)))</f>
        <v/>
      </c>
      <c r="N148" s="59">
        <f>MIN(24,MAX(5,NORMINV(RAND(),$C$9,$D$9)))</f>
        <v/>
      </c>
      <c r="O148" s="65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57">
        <f>MAX(-0.05,NORMINV(RAND(),$C$6,$D$6))</f>
        <v/>
      </c>
      <c r="L149" s="57">
        <f>MAX(0.02,NORMINV(RAND(),$C$7,$D$7))</f>
        <v/>
      </c>
      <c r="M149" s="57">
        <f>MIN(0.16,MAX(0.05,NORMINV(RAND(),$C$8,$D$8)))</f>
        <v/>
      </c>
      <c r="N149" s="59">
        <f>MIN(24,MAX(5,NORMINV(RAND(),$C$9,$D$9)))</f>
        <v/>
      </c>
      <c r="O149" s="65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57">
        <f>MAX(-0.05,NORMINV(RAND(),$C$6,$D$6))</f>
        <v/>
      </c>
      <c r="L150" s="57">
        <f>MAX(0.02,NORMINV(RAND(),$C$7,$D$7))</f>
        <v/>
      </c>
      <c r="M150" s="57">
        <f>MIN(0.16,MAX(0.05,NORMINV(RAND(),$C$8,$D$8)))</f>
        <v/>
      </c>
      <c r="N150" s="59">
        <f>MIN(24,MAX(5,NORMINV(RAND(),$C$9,$D$9)))</f>
        <v/>
      </c>
      <c r="O150" s="65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57">
        <f>MAX(-0.05,NORMINV(RAND(),$C$6,$D$6))</f>
        <v/>
      </c>
      <c r="L151" s="57">
        <f>MAX(0.02,NORMINV(RAND(),$C$7,$D$7))</f>
        <v/>
      </c>
      <c r="M151" s="57">
        <f>MIN(0.16,MAX(0.05,NORMINV(RAND(),$C$8,$D$8)))</f>
        <v/>
      </c>
      <c r="N151" s="59">
        <f>MIN(24,MAX(5,NORMINV(RAND(),$C$9,$D$9)))</f>
        <v/>
      </c>
      <c r="O151" s="65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57">
        <f>MAX(-0.05,NORMINV(RAND(),$C$6,$D$6))</f>
        <v/>
      </c>
      <c r="L152" s="57">
        <f>MAX(0.02,NORMINV(RAND(),$C$7,$D$7))</f>
        <v/>
      </c>
      <c r="M152" s="57">
        <f>MIN(0.16,MAX(0.05,NORMINV(RAND(),$C$8,$D$8)))</f>
        <v/>
      </c>
      <c r="N152" s="59">
        <f>MIN(24,MAX(5,NORMINV(RAND(),$C$9,$D$9)))</f>
        <v/>
      </c>
      <c r="O152" s="65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57">
        <f>MAX(-0.05,NORMINV(RAND(),$C$6,$D$6))</f>
        <v/>
      </c>
      <c r="L153" s="57">
        <f>MAX(0.02,NORMINV(RAND(),$C$7,$D$7))</f>
        <v/>
      </c>
      <c r="M153" s="57">
        <f>MIN(0.16,MAX(0.05,NORMINV(RAND(),$C$8,$D$8)))</f>
        <v/>
      </c>
      <c r="N153" s="59">
        <f>MIN(24,MAX(5,NORMINV(RAND(),$C$9,$D$9)))</f>
        <v/>
      </c>
      <c r="O153" s="65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57">
        <f>MAX(-0.05,NORMINV(RAND(),$C$6,$D$6))</f>
        <v/>
      </c>
      <c r="L154" s="57">
        <f>MAX(0.02,NORMINV(RAND(),$C$7,$D$7))</f>
        <v/>
      </c>
      <c r="M154" s="57">
        <f>MIN(0.16,MAX(0.05,NORMINV(RAND(),$C$8,$D$8)))</f>
        <v/>
      </c>
      <c r="N154" s="59">
        <f>MIN(24,MAX(5,NORMINV(RAND(),$C$9,$D$9)))</f>
        <v/>
      </c>
      <c r="O154" s="65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57">
        <f>MAX(-0.05,NORMINV(RAND(),$C$6,$D$6))</f>
        <v/>
      </c>
      <c r="L155" s="57">
        <f>MAX(0.02,NORMINV(RAND(),$C$7,$D$7))</f>
        <v/>
      </c>
      <c r="M155" s="57">
        <f>MIN(0.16,MAX(0.05,NORMINV(RAND(),$C$8,$D$8)))</f>
        <v/>
      </c>
      <c r="N155" s="59">
        <f>MIN(24,MAX(5,NORMINV(RAND(),$C$9,$D$9)))</f>
        <v/>
      </c>
      <c r="O155" s="65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57">
        <f>MAX(-0.05,NORMINV(RAND(),$C$6,$D$6))</f>
        <v/>
      </c>
      <c r="L156" s="57">
        <f>MAX(0.02,NORMINV(RAND(),$C$7,$D$7))</f>
        <v/>
      </c>
      <c r="M156" s="57">
        <f>MIN(0.16,MAX(0.05,NORMINV(RAND(),$C$8,$D$8)))</f>
        <v/>
      </c>
      <c r="N156" s="59">
        <f>MIN(24,MAX(5,NORMINV(RAND(),$C$9,$D$9)))</f>
        <v/>
      </c>
      <c r="O156" s="65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57">
        <f>MAX(-0.05,NORMINV(RAND(),$C$6,$D$6))</f>
        <v/>
      </c>
      <c r="L157" s="57">
        <f>MAX(0.02,NORMINV(RAND(),$C$7,$D$7))</f>
        <v/>
      </c>
      <c r="M157" s="57">
        <f>MIN(0.16,MAX(0.05,NORMINV(RAND(),$C$8,$D$8)))</f>
        <v/>
      </c>
      <c r="N157" s="59">
        <f>MIN(24,MAX(5,NORMINV(RAND(),$C$9,$D$9)))</f>
        <v/>
      </c>
      <c r="O157" s="65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57">
        <f>MAX(-0.05,NORMINV(RAND(),$C$6,$D$6))</f>
        <v/>
      </c>
      <c r="L158" s="57">
        <f>MAX(0.02,NORMINV(RAND(),$C$7,$D$7))</f>
        <v/>
      </c>
      <c r="M158" s="57">
        <f>MIN(0.16,MAX(0.05,NORMINV(RAND(),$C$8,$D$8)))</f>
        <v/>
      </c>
      <c r="N158" s="59">
        <f>MIN(24,MAX(5,NORMINV(RAND(),$C$9,$D$9)))</f>
        <v/>
      </c>
      <c r="O158" s="65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57">
        <f>MAX(-0.05,NORMINV(RAND(),$C$6,$D$6))</f>
        <v/>
      </c>
      <c r="L159" s="57">
        <f>MAX(0.02,NORMINV(RAND(),$C$7,$D$7))</f>
        <v/>
      </c>
      <c r="M159" s="57">
        <f>MIN(0.16,MAX(0.05,NORMINV(RAND(),$C$8,$D$8)))</f>
        <v/>
      </c>
      <c r="N159" s="59">
        <f>MIN(24,MAX(5,NORMINV(RAND(),$C$9,$D$9)))</f>
        <v/>
      </c>
      <c r="O159" s="65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57">
        <f>MAX(-0.05,NORMINV(RAND(),$C$6,$D$6))</f>
        <v/>
      </c>
      <c r="L160" s="57">
        <f>MAX(0.02,NORMINV(RAND(),$C$7,$D$7))</f>
        <v/>
      </c>
      <c r="M160" s="57">
        <f>MIN(0.16,MAX(0.05,NORMINV(RAND(),$C$8,$D$8)))</f>
        <v/>
      </c>
      <c r="N160" s="59">
        <f>MIN(24,MAX(5,NORMINV(RAND(),$C$9,$D$9)))</f>
        <v/>
      </c>
      <c r="O160" s="65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57">
        <f>MAX(-0.05,NORMINV(RAND(),$C$6,$D$6))</f>
        <v/>
      </c>
      <c r="L161" s="57">
        <f>MAX(0.02,NORMINV(RAND(),$C$7,$D$7))</f>
        <v/>
      </c>
      <c r="M161" s="57">
        <f>MIN(0.16,MAX(0.05,NORMINV(RAND(),$C$8,$D$8)))</f>
        <v/>
      </c>
      <c r="N161" s="59">
        <f>MIN(24,MAX(5,NORMINV(RAND(),$C$9,$D$9)))</f>
        <v/>
      </c>
      <c r="O161" s="65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57">
        <f>MAX(-0.05,NORMINV(RAND(),$C$6,$D$6))</f>
        <v/>
      </c>
      <c r="L162" s="57">
        <f>MAX(0.02,NORMINV(RAND(),$C$7,$D$7))</f>
        <v/>
      </c>
      <c r="M162" s="57">
        <f>MIN(0.16,MAX(0.05,NORMINV(RAND(),$C$8,$D$8)))</f>
        <v/>
      </c>
      <c r="N162" s="59">
        <f>MIN(24,MAX(5,NORMINV(RAND(),$C$9,$D$9)))</f>
        <v/>
      </c>
      <c r="O162" s="65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57">
        <f>MAX(-0.05,NORMINV(RAND(),$C$6,$D$6))</f>
        <v/>
      </c>
      <c r="L163" s="57">
        <f>MAX(0.02,NORMINV(RAND(),$C$7,$D$7))</f>
        <v/>
      </c>
      <c r="M163" s="57">
        <f>MIN(0.16,MAX(0.05,NORMINV(RAND(),$C$8,$D$8)))</f>
        <v/>
      </c>
      <c r="N163" s="59">
        <f>MIN(24,MAX(5,NORMINV(RAND(),$C$9,$D$9)))</f>
        <v/>
      </c>
      <c r="O163" s="65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57">
        <f>MAX(-0.05,NORMINV(RAND(),$C$6,$D$6))</f>
        <v/>
      </c>
      <c r="L164" s="57">
        <f>MAX(0.02,NORMINV(RAND(),$C$7,$D$7))</f>
        <v/>
      </c>
      <c r="M164" s="57">
        <f>MIN(0.16,MAX(0.05,NORMINV(RAND(),$C$8,$D$8)))</f>
        <v/>
      </c>
      <c r="N164" s="59">
        <f>MIN(24,MAX(5,NORMINV(RAND(),$C$9,$D$9)))</f>
        <v/>
      </c>
      <c r="O164" s="65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57">
        <f>MAX(-0.05,NORMINV(RAND(),$C$6,$D$6))</f>
        <v/>
      </c>
      <c r="L165" s="57">
        <f>MAX(0.02,NORMINV(RAND(),$C$7,$D$7))</f>
        <v/>
      </c>
      <c r="M165" s="57">
        <f>MIN(0.16,MAX(0.05,NORMINV(RAND(),$C$8,$D$8)))</f>
        <v/>
      </c>
      <c r="N165" s="59">
        <f>MIN(24,MAX(5,NORMINV(RAND(),$C$9,$D$9)))</f>
        <v/>
      </c>
      <c r="O165" s="65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57">
        <f>MAX(-0.05,NORMINV(RAND(),$C$6,$D$6))</f>
        <v/>
      </c>
      <c r="L166" s="57">
        <f>MAX(0.02,NORMINV(RAND(),$C$7,$D$7))</f>
        <v/>
      </c>
      <c r="M166" s="57">
        <f>MIN(0.16,MAX(0.05,NORMINV(RAND(),$C$8,$D$8)))</f>
        <v/>
      </c>
      <c r="N166" s="59">
        <f>MIN(24,MAX(5,NORMINV(RAND(),$C$9,$D$9)))</f>
        <v/>
      </c>
      <c r="O166" s="65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57">
        <f>MAX(-0.05,NORMINV(RAND(),$C$6,$D$6))</f>
        <v/>
      </c>
      <c r="L167" s="57">
        <f>MAX(0.02,NORMINV(RAND(),$C$7,$D$7))</f>
        <v/>
      </c>
      <c r="M167" s="57">
        <f>MIN(0.16,MAX(0.05,NORMINV(RAND(),$C$8,$D$8)))</f>
        <v/>
      </c>
      <c r="N167" s="59">
        <f>MIN(24,MAX(5,NORMINV(RAND(),$C$9,$D$9)))</f>
        <v/>
      </c>
      <c r="O167" s="65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57">
        <f>MAX(-0.05,NORMINV(RAND(),$C$6,$D$6))</f>
        <v/>
      </c>
      <c r="L168" s="57">
        <f>MAX(0.02,NORMINV(RAND(),$C$7,$D$7))</f>
        <v/>
      </c>
      <c r="M168" s="57">
        <f>MIN(0.16,MAX(0.05,NORMINV(RAND(),$C$8,$D$8)))</f>
        <v/>
      </c>
      <c r="N168" s="59">
        <f>MIN(24,MAX(5,NORMINV(RAND(),$C$9,$D$9)))</f>
        <v/>
      </c>
      <c r="O168" s="65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57">
        <f>MAX(-0.05,NORMINV(RAND(),$C$6,$D$6))</f>
        <v/>
      </c>
      <c r="L169" s="57">
        <f>MAX(0.02,NORMINV(RAND(),$C$7,$D$7))</f>
        <v/>
      </c>
      <c r="M169" s="57">
        <f>MIN(0.16,MAX(0.05,NORMINV(RAND(),$C$8,$D$8)))</f>
        <v/>
      </c>
      <c r="N169" s="59">
        <f>MIN(24,MAX(5,NORMINV(RAND(),$C$9,$D$9)))</f>
        <v/>
      </c>
      <c r="O169" s="65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57">
        <f>MAX(-0.05,NORMINV(RAND(),$C$6,$D$6))</f>
        <v/>
      </c>
      <c r="L170" s="57">
        <f>MAX(0.02,NORMINV(RAND(),$C$7,$D$7))</f>
        <v/>
      </c>
      <c r="M170" s="57">
        <f>MIN(0.16,MAX(0.05,NORMINV(RAND(),$C$8,$D$8)))</f>
        <v/>
      </c>
      <c r="N170" s="59">
        <f>MIN(24,MAX(5,NORMINV(RAND(),$C$9,$D$9)))</f>
        <v/>
      </c>
      <c r="O170" s="65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57">
        <f>MAX(-0.05,NORMINV(RAND(),$C$6,$D$6))</f>
        <v/>
      </c>
      <c r="L171" s="57">
        <f>MAX(0.02,NORMINV(RAND(),$C$7,$D$7))</f>
        <v/>
      </c>
      <c r="M171" s="57">
        <f>MIN(0.16,MAX(0.05,NORMINV(RAND(),$C$8,$D$8)))</f>
        <v/>
      </c>
      <c r="N171" s="59">
        <f>MIN(24,MAX(5,NORMINV(RAND(),$C$9,$D$9)))</f>
        <v/>
      </c>
      <c r="O171" s="65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57">
        <f>MAX(-0.05,NORMINV(RAND(),$C$6,$D$6))</f>
        <v/>
      </c>
      <c r="L172" s="57">
        <f>MAX(0.02,NORMINV(RAND(),$C$7,$D$7))</f>
        <v/>
      </c>
      <c r="M172" s="57">
        <f>MIN(0.16,MAX(0.05,NORMINV(RAND(),$C$8,$D$8)))</f>
        <v/>
      </c>
      <c r="N172" s="59">
        <f>MIN(24,MAX(5,NORMINV(RAND(),$C$9,$D$9)))</f>
        <v/>
      </c>
      <c r="O172" s="65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57">
        <f>MAX(-0.05,NORMINV(RAND(),$C$6,$D$6))</f>
        <v/>
      </c>
      <c r="L173" s="57">
        <f>MAX(0.02,NORMINV(RAND(),$C$7,$D$7))</f>
        <v/>
      </c>
      <c r="M173" s="57">
        <f>MIN(0.16,MAX(0.05,NORMINV(RAND(),$C$8,$D$8)))</f>
        <v/>
      </c>
      <c r="N173" s="59">
        <f>MIN(24,MAX(5,NORMINV(RAND(),$C$9,$D$9)))</f>
        <v/>
      </c>
      <c r="O173" s="65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57">
        <f>MAX(-0.05,NORMINV(RAND(),$C$6,$D$6))</f>
        <v/>
      </c>
      <c r="L174" s="57">
        <f>MAX(0.02,NORMINV(RAND(),$C$7,$D$7))</f>
        <v/>
      </c>
      <c r="M174" s="57">
        <f>MIN(0.16,MAX(0.05,NORMINV(RAND(),$C$8,$D$8)))</f>
        <v/>
      </c>
      <c r="N174" s="59">
        <f>MIN(24,MAX(5,NORMINV(RAND(),$C$9,$D$9)))</f>
        <v/>
      </c>
      <c r="O174" s="65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57">
        <f>MAX(-0.05,NORMINV(RAND(),$C$6,$D$6))</f>
        <v/>
      </c>
      <c r="L175" s="57">
        <f>MAX(0.02,NORMINV(RAND(),$C$7,$D$7))</f>
        <v/>
      </c>
      <c r="M175" s="57">
        <f>MIN(0.16,MAX(0.05,NORMINV(RAND(),$C$8,$D$8)))</f>
        <v/>
      </c>
      <c r="N175" s="59">
        <f>MIN(24,MAX(5,NORMINV(RAND(),$C$9,$D$9)))</f>
        <v/>
      </c>
      <c r="O175" s="65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57">
        <f>MAX(-0.05,NORMINV(RAND(),$C$6,$D$6))</f>
        <v/>
      </c>
      <c r="L176" s="57">
        <f>MAX(0.02,NORMINV(RAND(),$C$7,$D$7))</f>
        <v/>
      </c>
      <c r="M176" s="57">
        <f>MIN(0.16,MAX(0.05,NORMINV(RAND(),$C$8,$D$8)))</f>
        <v/>
      </c>
      <c r="N176" s="59">
        <f>MIN(24,MAX(5,NORMINV(RAND(),$C$9,$D$9)))</f>
        <v/>
      </c>
      <c r="O176" s="65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57">
        <f>MAX(-0.05,NORMINV(RAND(),$C$6,$D$6))</f>
        <v/>
      </c>
      <c r="L177" s="57">
        <f>MAX(0.02,NORMINV(RAND(),$C$7,$D$7))</f>
        <v/>
      </c>
      <c r="M177" s="57">
        <f>MIN(0.16,MAX(0.05,NORMINV(RAND(),$C$8,$D$8)))</f>
        <v/>
      </c>
      <c r="N177" s="59">
        <f>MIN(24,MAX(5,NORMINV(RAND(),$C$9,$D$9)))</f>
        <v/>
      </c>
      <c r="O177" s="65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57">
        <f>MAX(-0.05,NORMINV(RAND(),$C$6,$D$6))</f>
        <v/>
      </c>
      <c r="L178" s="57">
        <f>MAX(0.02,NORMINV(RAND(),$C$7,$D$7))</f>
        <v/>
      </c>
      <c r="M178" s="57">
        <f>MIN(0.16,MAX(0.05,NORMINV(RAND(),$C$8,$D$8)))</f>
        <v/>
      </c>
      <c r="N178" s="59">
        <f>MIN(24,MAX(5,NORMINV(RAND(),$C$9,$D$9)))</f>
        <v/>
      </c>
      <c r="O178" s="65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57">
        <f>MAX(-0.05,NORMINV(RAND(),$C$6,$D$6))</f>
        <v/>
      </c>
      <c r="L179" s="57">
        <f>MAX(0.02,NORMINV(RAND(),$C$7,$D$7))</f>
        <v/>
      </c>
      <c r="M179" s="57">
        <f>MIN(0.16,MAX(0.05,NORMINV(RAND(),$C$8,$D$8)))</f>
        <v/>
      </c>
      <c r="N179" s="59">
        <f>MIN(24,MAX(5,NORMINV(RAND(),$C$9,$D$9)))</f>
        <v/>
      </c>
      <c r="O179" s="65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57">
        <f>MAX(-0.05,NORMINV(RAND(),$C$6,$D$6))</f>
        <v/>
      </c>
      <c r="L180" s="57">
        <f>MAX(0.02,NORMINV(RAND(),$C$7,$D$7))</f>
        <v/>
      </c>
      <c r="M180" s="57">
        <f>MIN(0.16,MAX(0.05,NORMINV(RAND(),$C$8,$D$8)))</f>
        <v/>
      </c>
      <c r="N180" s="59">
        <f>MIN(24,MAX(5,NORMINV(RAND(),$C$9,$D$9)))</f>
        <v/>
      </c>
      <c r="O180" s="65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57">
        <f>MAX(-0.05,NORMINV(RAND(),$C$6,$D$6))</f>
        <v/>
      </c>
      <c r="L181" s="57">
        <f>MAX(0.02,NORMINV(RAND(),$C$7,$D$7))</f>
        <v/>
      </c>
      <c r="M181" s="57">
        <f>MIN(0.16,MAX(0.05,NORMINV(RAND(),$C$8,$D$8)))</f>
        <v/>
      </c>
      <c r="N181" s="59">
        <f>MIN(24,MAX(5,NORMINV(RAND(),$C$9,$D$9)))</f>
        <v/>
      </c>
      <c r="O181" s="65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57">
        <f>MAX(-0.05,NORMINV(RAND(),$C$6,$D$6))</f>
        <v/>
      </c>
      <c r="L182" s="57">
        <f>MAX(0.02,NORMINV(RAND(),$C$7,$D$7))</f>
        <v/>
      </c>
      <c r="M182" s="57">
        <f>MIN(0.16,MAX(0.05,NORMINV(RAND(),$C$8,$D$8)))</f>
        <v/>
      </c>
      <c r="N182" s="59">
        <f>MIN(24,MAX(5,NORMINV(RAND(),$C$9,$D$9)))</f>
        <v/>
      </c>
      <c r="O182" s="65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57">
        <f>MAX(-0.05,NORMINV(RAND(),$C$6,$D$6))</f>
        <v/>
      </c>
      <c r="L183" s="57">
        <f>MAX(0.02,NORMINV(RAND(),$C$7,$D$7))</f>
        <v/>
      </c>
      <c r="M183" s="57">
        <f>MIN(0.16,MAX(0.05,NORMINV(RAND(),$C$8,$D$8)))</f>
        <v/>
      </c>
      <c r="N183" s="59">
        <f>MIN(24,MAX(5,NORMINV(RAND(),$C$9,$D$9)))</f>
        <v/>
      </c>
      <c r="O183" s="65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57">
        <f>MAX(-0.05,NORMINV(RAND(),$C$6,$D$6))</f>
        <v/>
      </c>
      <c r="L184" s="57">
        <f>MAX(0.02,NORMINV(RAND(),$C$7,$D$7))</f>
        <v/>
      </c>
      <c r="M184" s="57">
        <f>MIN(0.16,MAX(0.05,NORMINV(RAND(),$C$8,$D$8)))</f>
        <v/>
      </c>
      <c r="N184" s="59">
        <f>MIN(24,MAX(5,NORMINV(RAND(),$C$9,$D$9)))</f>
        <v/>
      </c>
      <c r="O184" s="65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57">
        <f>MAX(-0.05,NORMINV(RAND(),$C$6,$D$6))</f>
        <v/>
      </c>
      <c r="L185" s="57">
        <f>MAX(0.02,NORMINV(RAND(),$C$7,$D$7))</f>
        <v/>
      </c>
      <c r="M185" s="57">
        <f>MIN(0.16,MAX(0.05,NORMINV(RAND(),$C$8,$D$8)))</f>
        <v/>
      </c>
      <c r="N185" s="59">
        <f>MIN(24,MAX(5,NORMINV(RAND(),$C$9,$D$9)))</f>
        <v/>
      </c>
      <c r="O185" s="65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57">
        <f>MAX(-0.05,NORMINV(RAND(),$C$6,$D$6))</f>
        <v/>
      </c>
      <c r="L186" s="57">
        <f>MAX(0.02,NORMINV(RAND(),$C$7,$D$7))</f>
        <v/>
      </c>
      <c r="M186" s="57">
        <f>MIN(0.16,MAX(0.05,NORMINV(RAND(),$C$8,$D$8)))</f>
        <v/>
      </c>
      <c r="N186" s="59">
        <f>MIN(24,MAX(5,NORMINV(RAND(),$C$9,$D$9)))</f>
        <v/>
      </c>
      <c r="O186" s="65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57">
        <f>MAX(-0.05,NORMINV(RAND(),$C$6,$D$6))</f>
        <v/>
      </c>
      <c r="L187" s="57">
        <f>MAX(0.02,NORMINV(RAND(),$C$7,$D$7))</f>
        <v/>
      </c>
      <c r="M187" s="57">
        <f>MIN(0.16,MAX(0.05,NORMINV(RAND(),$C$8,$D$8)))</f>
        <v/>
      </c>
      <c r="N187" s="59">
        <f>MIN(24,MAX(5,NORMINV(RAND(),$C$9,$D$9)))</f>
        <v/>
      </c>
      <c r="O187" s="65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57">
        <f>MAX(-0.05,NORMINV(RAND(),$C$6,$D$6))</f>
        <v/>
      </c>
      <c r="L188" s="57">
        <f>MAX(0.02,NORMINV(RAND(),$C$7,$D$7))</f>
        <v/>
      </c>
      <c r="M188" s="57">
        <f>MIN(0.16,MAX(0.05,NORMINV(RAND(),$C$8,$D$8)))</f>
        <v/>
      </c>
      <c r="N188" s="59">
        <f>MIN(24,MAX(5,NORMINV(RAND(),$C$9,$D$9)))</f>
        <v/>
      </c>
      <c r="O188" s="65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57">
        <f>MAX(-0.05,NORMINV(RAND(),$C$6,$D$6))</f>
        <v/>
      </c>
      <c r="L189" s="57">
        <f>MAX(0.02,NORMINV(RAND(),$C$7,$D$7))</f>
        <v/>
      </c>
      <c r="M189" s="57">
        <f>MIN(0.16,MAX(0.05,NORMINV(RAND(),$C$8,$D$8)))</f>
        <v/>
      </c>
      <c r="N189" s="59">
        <f>MIN(24,MAX(5,NORMINV(RAND(),$C$9,$D$9)))</f>
        <v/>
      </c>
      <c r="O189" s="65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57">
        <f>MAX(-0.05,NORMINV(RAND(),$C$6,$D$6))</f>
        <v/>
      </c>
      <c r="L190" s="57">
        <f>MAX(0.02,NORMINV(RAND(),$C$7,$D$7))</f>
        <v/>
      </c>
      <c r="M190" s="57">
        <f>MIN(0.16,MAX(0.05,NORMINV(RAND(),$C$8,$D$8)))</f>
        <v/>
      </c>
      <c r="N190" s="59">
        <f>MIN(24,MAX(5,NORMINV(RAND(),$C$9,$D$9)))</f>
        <v/>
      </c>
      <c r="O190" s="65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57">
        <f>MAX(-0.05,NORMINV(RAND(),$C$6,$D$6))</f>
        <v/>
      </c>
      <c r="L191" s="57">
        <f>MAX(0.02,NORMINV(RAND(),$C$7,$D$7))</f>
        <v/>
      </c>
      <c r="M191" s="57">
        <f>MIN(0.16,MAX(0.05,NORMINV(RAND(),$C$8,$D$8)))</f>
        <v/>
      </c>
      <c r="N191" s="59">
        <f>MIN(24,MAX(5,NORMINV(RAND(),$C$9,$D$9)))</f>
        <v/>
      </c>
      <c r="O191" s="65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57">
        <f>MAX(-0.05,NORMINV(RAND(),$C$6,$D$6))</f>
        <v/>
      </c>
      <c r="L192" s="57">
        <f>MAX(0.02,NORMINV(RAND(),$C$7,$D$7))</f>
        <v/>
      </c>
      <c r="M192" s="57">
        <f>MIN(0.16,MAX(0.05,NORMINV(RAND(),$C$8,$D$8)))</f>
        <v/>
      </c>
      <c r="N192" s="59">
        <f>MIN(24,MAX(5,NORMINV(RAND(),$C$9,$D$9)))</f>
        <v/>
      </c>
      <c r="O192" s="65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57">
        <f>MAX(-0.05,NORMINV(RAND(),$C$6,$D$6))</f>
        <v/>
      </c>
      <c r="L193" s="57">
        <f>MAX(0.02,NORMINV(RAND(),$C$7,$D$7))</f>
        <v/>
      </c>
      <c r="M193" s="57">
        <f>MIN(0.16,MAX(0.05,NORMINV(RAND(),$C$8,$D$8)))</f>
        <v/>
      </c>
      <c r="N193" s="59">
        <f>MIN(24,MAX(5,NORMINV(RAND(),$C$9,$D$9)))</f>
        <v/>
      </c>
      <c r="O193" s="65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57">
        <f>MAX(-0.05,NORMINV(RAND(),$C$6,$D$6))</f>
        <v/>
      </c>
      <c r="L194" s="57">
        <f>MAX(0.02,NORMINV(RAND(),$C$7,$D$7))</f>
        <v/>
      </c>
      <c r="M194" s="57">
        <f>MIN(0.16,MAX(0.05,NORMINV(RAND(),$C$8,$D$8)))</f>
        <v/>
      </c>
      <c r="N194" s="59">
        <f>MIN(24,MAX(5,NORMINV(RAND(),$C$9,$D$9)))</f>
        <v/>
      </c>
      <c r="O194" s="65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57">
        <f>MAX(-0.05,NORMINV(RAND(),$C$6,$D$6))</f>
        <v/>
      </c>
      <c r="L195" s="57">
        <f>MAX(0.02,NORMINV(RAND(),$C$7,$D$7))</f>
        <v/>
      </c>
      <c r="M195" s="57">
        <f>MIN(0.16,MAX(0.05,NORMINV(RAND(),$C$8,$D$8)))</f>
        <v/>
      </c>
      <c r="N195" s="59">
        <f>MIN(24,MAX(5,NORMINV(RAND(),$C$9,$D$9)))</f>
        <v/>
      </c>
      <c r="O195" s="65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57">
        <f>MAX(-0.05,NORMINV(RAND(),$C$6,$D$6))</f>
        <v/>
      </c>
      <c r="L196" s="57">
        <f>MAX(0.02,NORMINV(RAND(),$C$7,$D$7))</f>
        <v/>
      </c>
      <c r="M196" s="57">
        <f>MIN(0.16,MAX(0.05,NORMINV(RAND(),$C$8,$D$8)))</f>
        <v/>
      </c>
      <c r="N196" s="59">
        <f>MIN(24,MAX(5,NORMINV(RAND(),$C$9,$D$9)))</f>
        <v/>
      </c>
      <c r="O196" s="65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57">
        <f>MAX(-0.05,NORMINV(RAND(),$C$6,$D$6))</f>
        <v/>
      </c>
      <c r="L197" s="57">
        <f>MAX(0.02,NORMINV(RAND(),$C$7,$D$7))</f>
        <v/>
      </c>
      <c r="M197" s="57">
        <f>MIN(0.16,MAX(0.05,NORMINV(RAND(),$C$8,$D$8)))</f>
        <v/>
      </c>
      <c r="N197" s="59">
        <f>MIN(24,MAX(5,NORMINV(RAND(),$C$9,$D$9)))</f>
        <v/>
      </c>
      <c r="O197" s="65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57">
        <f>MAX(-0.05,NORMINV(RAND(),$C$6,$D$6))</f>
        <v/>
      </c>
      <c r="L198" s="57">
        <f>MAX(0.02,NORMINV(RAND(),$C$7,$D$7))</f>
        <v/>
      </c>
      <c r="M198" s="57">
        <f>MIN(0.16,MAX(0.05,NORMINV(RAND(),$C$8,$D$8)))</f>
        <v/>
      </c>
      <c r="N198" s="59">
        <f>MIN(24,MAX(5,NORMINV(RAND(),$C$9,$D$9)))</f>
        <v/>
      </c>
      <c r="O198" s="65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57">
        <f>MAX(-0.05,NORMINV(RAND(),$C$6,$D$6))</f>
        <v/>
      </c>
      <c r="L199" s="57">
        <f>MAX(0.02,NORMINV(RAND(),$C$7,$D$7))</f>
        <v/>
      </c>
      <c r="M199" s="57">
        <f>MIN(0.16,MAX(0.05,NORMINV(RAND(),$C$8,$D$8)))</f>
        <v/>
      </c>
      <c r="N199" s="59">
        <f>MIN(24,MAX(5,NORMINV(RAND(),$C$9,$D$9)))</f>
        <v/>
      </c>
      <c r="O199" s="65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57">
        <f>MAX(-0.05,NORMINV(RAND(),$C$6,$D$6))</f>
        <v/>
      </c>
      <c r="L200" s="57">
        <f>MAX(0.02,NORMINV(RAND(),$C$7,$D$7))</f>
        <v/>
      </c>
      <c r="M200" s="57">
        <f>MIN(0.16,MAX(0.05,NORMINV(RAND(),$C$8,$D$8)))</f>
        <v/>
      </c>
      <c r="N200" s="59">
        <f>MIN(24,MAX(5,NORMINV(RAND(),$C$9,$D$9)))</f>
        <v/>
      </c>
      <c r="O200" s="65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57">
        <f>MAX(-0.05,NORMINV(RAND(),$C$6,$D$6))</f>
        <v/>
      </c>
      <c r="L201" s="57">
        <f>MAX(0.02,NORMINV(RAND(),$C$7,$D$7))</f>
        <v/>
      </c>
      <c r="M201" s="57">
        <f>MIN(0.16,MAX(0.05,NORMINV(RAND(),$C$8,$D$8)))</f>
        <v/>
      </c>
      <c r="N201" s="59">
        <f>MIN(24,MAX(5,NORMINV(RAND(),$C$9,$D$9)))</f>
        <v/>
      </c>
      <c r="O201" s="65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57">
        <f>MAX(-0.05,NORMINV(RAND(),$C$6,$D$6))</f>
        <v/>
      </c>
      <c r="L202" s="57">
        <f>MAX(0.02,NORMINV(RAND(),$C$7,$D$7))</f>
        <v/>
      </c>
      <c r="M202" s="57">
        <f>MIN(0.16,MAX(0.05,NORMINV(RAND(),$C$8,$D$8)))</f>
        <v/>
      </c>
      <c r="N202" s="59">
        <f>MIN(24,MAX(5,NORMINV(RAND(),$C$9,$D$9)))</f>
        <v/>
      </c>
      <c r="O202" s="65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57">
        <f>MAX(-0.05,NORMINV(RAND(),$C$6,$D$6))</f>
        <v/>
      </c>
      <c r="L203" s="57">
        <f>MAX(0.02,NORMINV(RAND(),$C$7,$D$7))</f>
        <v/>
      </c>
      <c r="M203" s="57">
        <f>MIN(0.16,MAX(0.05,NORMINV(RAND(),$C$8,$D$8)))</f>
        <v/>
      </c>
      <c r="N203" s="59">
        <f>MIN(24,MAX(5,NORMINV(RAND(),$C$9,$D$9)))</f>
        <v/>
      </c>
      <c r="O203" s="65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57">
        <f>MAX(-0.05,NORMINV(RAND(),$C$6,$D$6))</f>
        <v/>
      </c>
      <c r="L204" s="57">
        <f>MAX(0.02,NORMINV(RAND(),$C$7,$D$7))</f>
        <v/>
      </c>
      <c r="M204" s="57">
        <f>MIN(0.16,MAX(0.05,NORMINV(RAND(),$C$8,$D$8)))</f>
        <v/>
      </c>
      <c r="N204" s="59">
        <f>MIN(24,MAX(5,NORMINV(RAND(),$C$9,$D$9)))</f>
        <v/>
      </c>
      <c r="O204" s="65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57">
        <f>MAX(-0.05,NORMINV(RAND(),$C$6,$D$6))</f>
        <v/>
      </c>
      <c r="L205" s="57">
        <f>MAX(0.02,NORMINV(RAND(),$C$7,$D$7))</f>
        <v/>
      </c>
      <c r="M205" s="57">
        <f>MIN(0.16,MAX(0.05,NORMINV(RAND(),$C$8,$D$8)))</f>
        <v/>
      </c>
      <c r="N205" s="59">
        <f>MIN(24,MAX(5,NORMINV(RAND(),$C$9,$D$9)))</f>
        <v/>
      </c>
      <c r="O205" s="65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57">
        <f>MAX(-0.05,NORMINV(RAND(),$C$6,$D$6))</f>
        <v/>
      </c>
      <c r="L206" s="57">
        <f>MAX(0.02,NORMINV(RAND(),$C$7,$D$7))</f>
        <v/>
      </c>
      <c r="M206" s="57">
        <f>MIN(0.16,MAX(0.05,NORMINV(RAND(),$C$8,$D$8)))</f>
        <v/>
      </c>
      <c r="N206" s="59">
        <f>MIN(24,MAX(5,NORMINV(RAND(),$C$9,$D$9)))</f>
        <v/>
      </c>
      <c r="O206" s="65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57">
        <f>MAX(-0.05,NORMINV(RAND(),$C$6,$D$6))</f>
        <v/>
      </c>
      <c r="L207" s="57">
        <f>MAX(0.02,NORMINV(RAND(),$C$7,$D$7))</f>
        <v/>
      </c>
      <c r="M207" s="57">
        <f>MIN(0.16,MAX(0.05,NORMINV(RAND(),$C$8,$D$8)))</f>
        <v/>
      </c>
      <c r="N207" s="59">
        <f>MIN(24,MAX(5,NORMINV(RAND(),$C$9,$D$9)))</f>
        <v/>
      </c>
      <c r="O207" s="65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57">
        <f>MAX(-0.05,NORMINV(RAND(),$C$6,$D$6))</f>
        <v/>
      </c>
      <c r="L208" s="57">
        <f>MAX(0.02,NORMINV(RAND(),$C$7,$D$7))</f>
        <v/>
      </c>
      <c r="M208" s="57">
        <f>MIN(0.16,MAX(0.05,NORMINV(RAND(),$C$8,$D$8)))</f>
        <v/>
      </c>
      <c r="N208" s="59">
        <f>MIN(24,MAX(5,NORMINV(RAND(),$C$9,$D$9)))</f>
        <v/>
      </c>
      <c r="O208" s="65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57">
        <f>MAX(-0.05,NORMINV(RAND(),$C$6,$D$6))</f>
        <v/>
      </c>
      <c r="L209" s="57">
        <f>MAX(0.02,NORMINV(RAND(),$C$7,$D$7))</f>
        <v/>
      </c>
      <c r="M209" s="57">
        <f>MIN(0.16,MAX(0.05,NORMINV(RAND(),$C$8,$D$8)))</f>
        <v/>
      </c>
      <c r="N209" s="59">
        <f>MIN(24,MAX(5,NORMINV(RAND(),$C$9,$D$9)))</f>
        <v/>
      </c>
      <c r="O209" s="65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57">
        <f>MAX(-0.05,NORMINV(RAND(),$C$6,$D$6))</f>
        <v/>
      </c>
      <c r="L210" s="57">
        <f>MAX(0.02,NORMINV(RAND(),$C$7,$D$7))</f>
        <v/>
      </c>
      <c r="M210" s="57">
        <f>MIN(0.16,MAX(0.05,NORMINV(RAND(),$C$8,$D$8)))</f>
        <v/>
      </c>
      <c r="N210" s="59">
        <f>MIN(24,MAX(5,NORMINV(RAND(),$C$9,$D$9)))</f>
        <v/>
      </c>
      <c r="O210" s="65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57">
        <f>MAX(-0.05,NORMINV(RAND(),$C$6,$D$6))</f>
        <v/>
      </c>
      <c r="L211" s="57">
        <f>MAX(0.02,NORMINV(RAND(),$C$7,$D$7))</f>
        <v/>
      </c>
      <c r="M211" s="57">
        <f>MIN(0.16,MAX(0.05,NORMINV(RAND(),$C$8,$D$8)))</f>
        <v/>
      </c>
      <c r="N211" s="59">
        <f>MIN(24,MAX(5,NORMINV(RAND(),$C$9,$D$9)))</f>
        <v/>
      </c>
      <c r="O211" s="65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57">
        <f>MAX(-0.05,NORMINV(RAND(),$C$6,$D$6))</f>
        <v/>
      </c>
      <c r="L212" s="57">
        <f>MAX(0.02,NORMINV(RAND(),$C$7,$D$7))</f>
        <v/>
      </c>
      <c r="M212" s="57">
        <f>MIN(0.16,MAX(0.05,NORMINV(RAND(),$C$8,$D$8)))</f>
        <v/>
      </c>
      <c r="N212" s="59">
        <f>MIN(24,MAX(5,NORMINV(RAND(),$C$9,$D$9)))</f>
        <v/>
      </c>
      <c r="O212" s="65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57">
        <f>MAX(-0.05,NORMINV(RAND(),$C$6,$D$6))</f>
        <v/>
      </c>
      <c r="L213" s="57">
        <f>MAX(0.02,NORMINV(RAND(),$C$7,$D$7))</f>
        <v/>
      </c>
      <c r="M213" s="57">
        <f>MIN(0.16,MAX(0.05,NORMINV(RAND(),$C$8,$D$8)))</f>
        <v/>
      </c>
      <c r="N213" s="59">
        <f>MIN(24,MAX(5,NORMINV(RAND(),$C$9,$D$9)))</f>
        <v/>
      </c>
      <c r="O213" s="65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57">
        <f>MAX(-0.05,NORMINV(RAND(),$C$6,$D$6))</f>
        <v/>
      </c>
      <c r="L214" s="57">
        <f>MAX(0.02,NORMINV(RAND(),$C$7,$D$7))</f>
        <v/>
      </c>
      <c r="M214" s="57">
        <f>MIN(0.16,MAX(0.05,NORMINV(RAND(),$C$8,$D$8)))</f>
        <v/>
      </c>
      <c r="N214" s="59">
        <f>MIN(24,MAX(5,NORMINV(RAND(),$C$9,$D$9)))</f>
        <v/>
      </c>
      <c r="O214" s="65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57">
        <f>MAX(-0.05,NORMINV(RAND(),$C$6,$D$6))</f>
        <v/>
      </c>
      <c r="L215" s="57">
        <f>MAX(0.02,NORMINV(RAND(),$C$7,$D$7))</f>
        <v/>
      </c>
      <c r="M215" s="57">
        <f>MIN(0.16,MAX(0.05,NORMINV(RAND(),$C$8,$D$8)))</f>
        <v/>
      </c>
      <c r="N215" s="59">
        <f>MIN(24,MAX(5,NORMINV(RAND(),$C$9,$D$9)))</f>
        <v/>
      </c>
      <c r="O215" s="65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57">
        <f>MAX(-0.05,NORMINV(RAND(),$C$6,$D$6))</f>
        <v/>
      </c>
      <c r="L216" s="57">
        <f>MAX(0.02,NORMINV(RAND(),$C$7,$D$7))</f>
        <v/>
      </c>
      <c r="M216" s="57">
        <f>MIN(0.16,MAX(0.05,NORMINV(RAND(),$C$8,$D$8)))</f>
        <v/>
      </c>
      <c r="N216" s="59">
        <f>MIN(24,MAX(5,NORMINV(RAND(),$C$9,$D$9)))</f>
        <v/>
      </c>
      <c r="O216" s="65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57">
        <f>MAX(-0.05,NORMINV(RAND(),$C$6,$D$6))</f>
        <v/>
      </c>
      <c r="L217" s="57">
        <f>MAX(0.02,NORMINV(RAND(),$C$7,$D$7))</f>
        <v/>
      </c>
      <c r="M217" s="57">
        <f>MIN(0.16,MAX(0.05,NORMINV(RAND(),$C$8,$D$8)))</f>
        <v/>
      </c>
      <c r="N217" s="59">
        <f>MIN(24,MAX(5,NORMINV(RAND(),$C$9,$D$9)))</f>
        <v/>
      </c>
      <c r="O217" s="65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57">
        <f>MAX(-0.05,NORMINV(RAND(),$C$6,$D$6))</f>
        <v/>
      </c>
      <c r="L218" s="57">
        <f>MAX(0.02,NORMINV(RAND(),$C$7,$D$7))</f>
        <v/>
      </c>
      <c r="M218" s="57">
        <f>MIN(0.16,MAX(0.05,NORMINV(RAND(),$C$8,$D$8)))</f>
        <v/>
      </c>
      <c r="N218" s="59">
        <f>MIN(24,MAX(5,NORMINV(RAND(),$C$9,$D$9)))</f>
        <v/>
      </c>
      <c r="O218" s="65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57">
        <f>MAX(-0.05,NORMINV(RAND(),$C$6,$D$6))</f>
        <v/>
      </c>
      <c r="L219" s="57">
        <f>MAX(0.02,NORMINV(RAND(),$C$7,$D$7))</f>
        <v/>
      </c>
      <c r="M219" s="57">
        <f>MIN(0.16,MAX(0.05,NORMINV(RAND(),$C$8,$D$8)))</f>
        <v/>
      </c>
      <c r="N219" s="59">
        <f>MIN(24,MAX(5,NORMINV(RAND(),$C$9,$D$9)))</f>
        <v/>
      </c>
      <c r="O219" s="65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57">
        <f>MAX(-0.05,NORMINV(RAND(),$C$6,$D$6))</f>
        <v/>
      </c>
      <c r="L220" s="57">
        <f>MAX(0.02,NORMINV(RAND(),$C$7,$D$7))</f>
        <v/>
      </c>
      <c r="M220" s="57">
        <f>MIN(0.16,MAX(0.05,NORMINV(RAND(),$C$8,$D$8)))</f>
        <v/>
      </c>
      <c r="N220" s="59">
        <f>MIN(24,MAX(5,NORMINV(RAND(),$C$9,$D$9)))</f>
        <v/>
      </c>
      <c r="O220" s="65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57">
        <f>MAX(-0.05,NORMINV(RAND(),$C$6,$D$6))</f>
        <v/>
      </c>
      <c r="L221" s="57">
        <f>MAX(0.02,NORMINV(RAND(),$C$7,$D$7))</f>
        <v/>
      </c>
      <c r="M221" s="57">
        <f>MIN(0.16,MAX(0.05,NORMINV(RAND(),$C$8,$D$8)))</f>
        <v/>
      </c>
      <c r="N221" s="59">
        <f>MIN(24,MAX(5,NORMINV(RAND(),$C$9,$D$9)))</f>
        <v/>
      </c>
      <c r="O221" s="65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57">
        <f>MAX(-0.05,NORMINV(RAND(),$C$6,$D$6))</f>
        <v/>
      </c>
      <c r="L222" s="57">
        <f>MAX(0.02,NORMINV(RAND(),$C$7,$D$7))</f>
        <v/>
      </c>
      <c r="M222" s="57">
        <f>MIN(0.16,MAX(0.05,NORMINV(RAND(),$C$8,$D$8)))</f>
        <v/>
      </c>
      <c r="N222" s="59">
        <f>MIN(24,MAX(5,NORMINV(RAND(),$C$9,$D$9)))</f>
        <v/>
      </c>
      <c r="O222" s="65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57">
        <f>MAX(-0.05,NORMINV(RAND(),$C$6,$D$6))</f>
        <v/>
      </c>
      <c r="L223" s="57">
        <f>MAX(0.02,NORMINV(RAND(),$C$7,$D$7))</f>
        <v/>
      </c>
      <c r="M223" s="57">
        <f>MIN(0.16,MAX(0.05,NORMINV(RAND(),$C$8,$D$8)))</f>
        <v/>
      </c>
      <c r="N223" s="59">
        <f>MIN(24,MAX(5,NORMINV(RAND(),$C$9,$D$9)))</f>
        <v/>
      </c>
      <c r="O223" s="65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57">
        <f>MAX(-0.05,NORMINV(RAND(),$C$6,$D$6))</f>
        <v/>
      </c>
      <c r="L224" s="57">
        <f>MAX(0.02,NORMINV(RAND(),$C$7,$D$7))</f>
        <v/>
      </c>
      <c r="M224" s="57">
        <f>MIN(0.16,MAX(0.05,NORMINV(RAND(),$C$8,$D$8)))</f>
        <v/>
      </c>
      <c r="N224" s="59">
        <f>MIN(24,MAX(5,NORMINV(RAND(),$C$9,$D$9)))</f>
        <v/>
      </c>
      <c r="O224" s="65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57">
        <f>MAX(-0.05,NORMINV(RAND(),$C$6,$D$6))</f>
        <v/>
      </c>
      <c r="L225" s="57">
        <f>MAX(0.02,NORMINV(RAND(),$C$7,$D$7))</f>
        <v/>
      </c>
      <c r="M225" s="57">
        <f>MIN(0.16,MAX(0.05,NORMINV(RAND(),$C$8,$D$8)))</f>
        <v/>
      </c>
      <c r="N225" s="59">
        <f>MIN(24,MAX(5,NORMINV(RAND(),$C$9,$D$9)))</f>
        <v/>
      </c>
      <c r="O225" s="65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57">
        <f>MAX(-0.05,NORMINV(RAND(),$C$6,$D$6))</f>
        <v/>
      </c>
      <c r="L226" s="57">
        <f>MAX(0.02,NORMINV(RAND(),$C$7,$D$7))</f>
        <v/>
      </c>
      <c r="M226" s="57">
        <f>MIN(0.16,MAX(0.05,NORMINV(RAND(),$C$8,$D$8)))</f>
        <v/>
      </c>
      <c r="N226" s="59">
        <f>MIN(24,MAX(5,NORMINV(RAND(),$C$9,$D$9)))</f>
        <v/>
      </c>
      <c r="O226" s="65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57">
        <f>MAX(-0.05,NORMINV(RAND(),$C$6,$D$6))</f>
        <v/>
      </c>
      <c r="L227" s="57">
        <f>MAX(0.02,NORMINV(RAND(),$C$7,$D$7))</f>
        <v/>
      </c>
      <c r="M227" s="57">
        <f>MIN(0.16,MAX(0.05,NORMINV(RAND(),$C$8,$D$8)))</f>
        <v/>
      </c>
      <c r="N227" s="59">
        <f>MIN(24,MAX(5,NORMINV(RAND(),$C$9,$D$9)))</f>
        <v/>
      </c>
      <c r="O227" s="65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57">
        <f>MAX(-0.05,NORMINV(RAND(),$C$6,$D$6))</f>
        <v/>
      </c>
      <c r="L228" s="57">
        <f>MAX(0.02,NORMINV(RAND(),$C$7,$D$7))</f>
        <v/>
      </c>
      <c r="M228" s="57">
        <f>MIN(0.16,MAX(0.05,NORMINV(RAND(),$C$8,$D$8)))</f>
        <v/>
      </c>
      <c r="N228" s="59">
        <f>MIN(24,MAX(5,NORMINV(RAND(),$C$9,$D$9)))</f>
        <v/>
      </c>
      <c r="O228" s="65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57">
        <f>MAX(-0.05,NORMINV(RAND(),$C$6,$D$6))</f>
        <v/>
      </c>
      <c r="L229" s="57">
        <f>MAX(0.02,NORMINV(RAND(),$C$7,$D$7))</f>
        <v/>
      </c>
      <c r="M229" s="57">
        <f>MIN(0.16,MAX(0.05,NORMINV(RAND(),$C$8,$D$8)))</f>
        <v/>
      </c>
      <c r="N229" s="59">
        <f>MIN(24,MAX(5,NORMINV(RAND(),$C$9,$D$9)))</f>
        <v/>
      </c>
      <c r="O229" s="65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57">
        <f>MAX(-0.05,NORMINV(RAND(),$C$6,$D$6))</f>
        <v/>
      </c>
      <c r="L230" s="57">
        <f>MAX(0.02,NORMINV(RAND(),$C$7,$D$7))</f>
        <v/>
      </c>
      <c r="M230" s="57">
        <f>MIN(0.16,MAX(0.05,NORMINV(RAND(),$C$8,$D$8)))</f>
        <v/>
      </c>
      <c r="N230" s="59">
        <f>MIN(24,MAX(5,NORMINV(RAND(),$C$9,$D$9)))</f>
        <v/>
      </c>
      <c r="O230" s="65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57">
        <f>MAX(-0.05,NORMINV(RAND(),$C$6,$D$6))</f>
        <v/>
      </c>
      <c r="L231" s="57">
        <f>MAX(0.02,NORMINV(RAND(),$C$7,$D$7))</f>
        <v/>
      </c>
      <c r="M231" s="57">
        <f>MIN(0.16,MAX(0.05,NORMINV(RAND(),$C$8,$D$8)))</f>
        <v/>
      </c>
      <c r="N231" s="59">
        <f>MIN(24,MAX(5,NORMINV(RAND(),$C$9,$D$9)))</f>
        <v/>
      </c>
      <c r="O231" s="65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57">
        <f>MAX(-0.05,NORMINV(RAND(),$C$6,$D$6))</f>
        <v/>
      </c>
      <c r="L232" s="57">
        <f>MAX(0.02,NORMINV(RAND(),$C$7,$D$7))</f>
        <v/>
      </c>
      <c r="M232" s="57">
        <f>MIN(0.16,MAX(0.05,NORMINV(RAND(),$C$8,$D$8)))</f>
        <v/>
      </c>
      <c r="N232" s="59">
        <f>MIN(24,MAX(5,NORMINV(RAND(),$C$9,$D$9)))</f>
        <v/>
      </c>
      <c r="O232" s="65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57">
        <f>MAX(-0.05,NORMINV(RAND(),$C$6,$D$6))</f>
        <v/>
      </c>
      <c r="L233" s="57">
        <f>MAX(0.02,NORMINV(RAND(),$C$7,$D$7))</f>
        <v/>
      </c>
      <c r="M233" s="57">
        <f>MIN(0.16,MAX(0.05,NORMINV(RAND(),$C$8,$D$8)))</f>
        <v/>
      </c>
      <c r="N233" s="59">
        <f>MIN(24,MAX(5,NORMINV(RAND(),$C$9,$D$9)))</f>
        <v/>
      </c>
      <c r="O233" s="65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57">
        <f>MAX(-0.05,NORMINV(RAND(),$C$6,$D$6))</f>
        <v/>
      </c>
      <c r="L234" s="57">
        <f>MAX(0.02,NORMINV(RAND(),$C$7,$D$7))</f>
        <v/>
      </c>
      <c r="M234" s="57">
        <f>MIN(0.16,MAX(0.05,NORMINV(RAND(),$C$8,$D$8)))</f>
        <v/>
      </c>
      <c r="N234" s="59">
        <f>MIN(24,MAX(5,NORMINV(RAND(),$C$9,$D$9)))</f>
        <v/>
      </c>
      <c r="O234" s="65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57">
        <f>MAX(-0.05,NORMINV(RAND(),$C$6,$D$6))</f>
        <v/>
      </c>
      <c r="L235" s="57">
        <f>MAX(0.02,NORMINV(RAND(),$C$7,$D$7))</f>
        <v/>
      </c>
      <c r="M235" s="57">
        <f>MIN(0.16,MAX(0.05,NORMINV(RAND(),$C$8,$D$8)))</f>
        <v/>
      </c>
      <c r="N235" s="59">
        <f>MIN(24,MAX(5,NORMINV(RAND(),$C$9,$D$9)))</f>
        <v/>
      </c>
      <c r="O235" s="65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57">
        <f>MAX(-0.05,NORMINV(RAND(),$C$6,$D$6))</f>
        <v/>
      </c>
      <c r="L236" s="57">
        <f>MAX(0.02,NORMINV(RAND(),$C$7,$D$7))</f>
        <v/>
      </c>
      <c r="M236" s="57">
        <f>MIN(0.16,MAX(0.05,NORMINV(RAND(),$C$8,$D$8)))</f>
        <v/>
      </c>
      <c r="N236" s="59">
        <f>MIN(24,MAX(5,NORMINV(RAND(),$C$9,$D$9)))</f>
        <v/>
      </c>
      <c r="O236" s="65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57">
        <f>MAX(-0.05,NORMINV(RAND(),$C$6,$D$6))</f>
        <v/>
      </c>
      <c r="L237" s="57">
        <f>MAX(0.02,NORMINV(RAND(),$C$7,$D$7))</f>
        <v/>
      </c>
      <c r="M237" s="57">
        <f>MIN(0.16,MAX(0.05,NORMINV(RAND(),$C$8,$D$8)))</f>
        <v/>
      </c>
      <c r="N237" s="59">
        <f>MIN(24,MAX(5,NORMINV(RAND(),$C$9,$D$9)))</f>
        <v/>
      </c>
      <c r="O237" s="65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57">
        <f>MAX(-0.05,NORMINV(RAND(),$C$6,$D$6))</f>
        <v/>
      </c>
      <c r="L238" s="57">
        <f>MAX(0.02,NORMINV(RAND(),$C$7,$D$7))</f>
        <v/>
      </c>
      <c r="M238" s="57">
        <f>MIN(0.16,MAX(0.05,NORMINV(RAND(),$C$8,$D$8)))</f>
        <v/>
      </c>
      <c r="N238" s="59">
        <f>MIN(24,MAX(5,NORMINV(RAND(),$C$9,$D$9)))</f>
        <v/>
      </c>
      <c r="O238" s="65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57">
        <f>MAX(-0.05,NORMINV(RAND(),$C$6,$D$6))</f>
        <v/>
      </c>
      <c r="L239" s="57">
        <f>MAX(0.02,NORMINV(RAND(),$C$7,$D$7))</f>
        <v/>
      </c>
      <c r="M239" s="57">
        <f>MIN(0.16,MAX(0.05,NORMINV(RAND(),$C$8,$D$8)))</f>
        <v/>
      </c>
      <c r="N239" s="59">
        <f>MIN(24,MAX(5,NORMINV(RAND(),$C$9,$D$9)))</f>
        <v/>
      </c>
      <c r="O239" s="65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57">
        <f>MAX(-0.05,NORMINV(RAND(),$C$6,$D$6))</f>
        <v/>
      </c>
      <c r="L240" s="57">
        <f>MAX(0.02,NORMINV(RAND(),$C$7,$D$7))</f>
        <v/>
      </c>
      <c r="M240" s="57">
        <f>MIN(0.16,MAX(0.05,NORMINV(RAND(),$C$8,$D$8)))</f>
        <v/>
      </c>
      <c r="N240" s="59">
        <f>MIN(24,MAX(5,NORMINV(RAND(),$C$9,$D$9)))</f>
        <v/>
      </c>
      <c r="O240" s="65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57">
        <f>MAX(-0.05,NORMINV(RAND(),$C$6,$D$6))</f>
        <v/>
      </c>
      <c r="L241" s="57">
        <f>MAX(0.02,NORMINV(RAND(),$C$7,$D$7))</f>
        <v/>
      </c>
      <c r="M241" s="57">
        <f>MIN(0.16,MAX(0.05,NORMINV(RAND(),$C$8,$D$8)))</f>
        <v/>
      </c>
      <c r="N241" s="59">
        <f>MIN(24,MAX(5,NORMINV(RAND(),$C$9,$D$9)))</f>
        <v/>
      </c>
      <c r="O241" s="65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57">
        <f>MAX(-0.05,NORMINV(RAND(),$C$6,$D$6))</f>
        <v/>
      </c>
      <c r="L242" s="57">
        <f>MAX(0.02,NORMINV(RAND(),$C$7,$D$7))</f>
        <v/>
      </c>
      <c r="M242" s="57">
        <f>MIN(0.16,MAX(0.05,NORMINV(RAND(),$C$8,$D$8)))</f>
        <v/>
      </c>
      <c r="N242" s="59">
        <f>MIN(24,MAX(5,NORMINV(RAND(),$C$9,$D$9)))</f>
        <v/>
      </c>
      <c r="O242" s="65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57">
        <f>MAX(-0.05,NORMINV(RAND(),$C$6,$D$6))</f>
        <v/>
      </c>
      <c r="L243" s="57">
        <f>MAX(0.02,NORMINV(RAND(),$C$7,$D$7))</f>
        <v/>
      </c>
      <c r="M243" s="57">
        <f>MIN(0.16,MAX(0.05,NORMINV(RAND(),$C$8,$D$8)))</f>
        <v/>
      </c>
      <c r="N243" s="59">
        <f>MIN(24,MAX(5,NORMINV(RAND(),$C$9,$D$9)))</f>
        <v/>
      </c>
      <c r="O243" s="65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57">
        <f>MAX(-0.05,NORMINV(RAND(),$C$6,$D$6))</f>
        <v/>
      </c>
      <c r="L244" s="57">
        <f>MAX(0.02,NORMINV(RAND(),$C$7,$D$7))</f>
        <v/>
      </c>
      <c r="M244" s="57">
        <f>MIN(0.16,MAX(0.05,NORMINV(RAND(),$C$8,$D$8)))</f>
        <v/>
      </c>
      <c r="N244" s="59">
        <f>MIN(24,MAX(5,NORMINV(RAND(),$C$9,$D$9)))</f>
        <v/>
      </c>
      <c r="O244" s="65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57">
        <f>MAX(-0.05,NORMINV(RAND(),$C$6,$D$6))</f>
        <v/>
      </c>
      <c r="L245" s="57">
        <f>MAX(0.02,NORMINV(RAND(),$C$7,$D$7))</f>
        <v/>
      </c>
      <c r="M245" s="57">
        <f>MIN(0.16,MAX(0.05,NORMINV(RAND(),$C$8,$D$8)))</f>
        <v/>
      </c>
      <c r="N245" s="59">
        <f>MIN(24,MAX(5,NORMINV(RAND(),$C$9,$D$9)))</f>
        <v/>
      </c>
      <c r="O245" s="65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57">
        <f>MAX(-0.05,NORMINV(RAND(),$C$6,$D$6))</f>
        <v/>
      </c>
      <c r="L246" s="57">
        <f>MAX(0.02,NORMINV(RAND(),$C$7,$D$7))</f>
        <v/>
      </c>
      <c r="M246" s="57">
        <f>MIN(0.16,MAX(0.05,NORMINV(RAND(),$C$8,$D$8)))</f>
        <v/>
      </c>
      <c r="N246" s="59">
        <f>MIN(24,MAX(5,NORMINV(RAND(),$C$9,$D$9)))</f>
        <v/>
      </c>
      <c r="O246" s="65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57">
        <f>MAX(-0.05,NORMINV(RAND(),$C$6,$D$6))</f>
        <v/>
      </c>
      <c r="L247" s="57">
        <f>MAX(0.02,NORMINV(RAND(),$C$7,$D$7))</f>
        <v/>
      </c>
      <c r="M247" s="57">
        <f>MIN(0.16,MAX(0.05,NORMINV(RAND(),$C$8,$D$8)))</f>
        <v/>
      </c>
      <c r="N247" s="59">
        <f>MIN(24,MAX(5,NORMINV(RAND(),$C$9,$D$9)))</f>
        <v/>
      </c>
      <c r="O247" s="65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57">
        <f>MAX(-0.05,NORMINV(RAND(),$C$6,$D$6))</f>
        <v/>
      </c>
      <c r="L248" s="57">
        <f>MAX(0.02,NORMINV(RAND(),$C$7,$D$7))</f>
        <v/>
      </c>
      <c r="M248" s="57">
        <f>MIN(0.16,MAX(0.05,NORMINV(RAND(),$C$8,$D$8)))</f>
        <v/>
      </c>
      <c r="N248" s="59">
        <f>MIN(24,MAX(5,NORMINV(RAND(),$C$9,$D$9)))</f>
        <v/>
      </c>
      <c r="O248" s="65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57">
        <f>MAX(-0.05,NORMINV(RAND(),$C$6,$D$6))</f>
        <v/>
      </c>
      <c r="L249" s="57">
        <f>MAX(0.02,NORMINV(RAND(),$C$7,$D$7))</f>
        <v/>
      </c>
      <c r="M249" s="57">
        <f>MIN(0.16,MAX(0.05,NORMINV(RAND(),$C$8,$D$8)))</f>
        <v/>
      </c>
      <c r="N249" s="59">
        <f>MIN(24,MAX(5,NORMINV(RAND(),$C$9,$D$9)))</f>
        <v/>
      </c>
      <c r="O249" s="65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57">
        <f>MAX(-0.05,NORMINV(RAND(),$C$6,$D$6))</f>
        <v/>
      </c>
      <c r="L250" s="57">
        <f>MAX(0.02,NORMINV(RAND(),$C$7,$D$7))</f>
        <v/>
      </c>
      <c r="M250" s="57">
        <f>MIN(0.16,MAX(0.05,NORMINV(RAND(),$C$8,$D$8)))</f>
        <v/>
      </c>
      <c r="N250" s="59">
        <f>MIN(24,MAX(5,NORMINV(RAND(),$C$9,$D$9)))</f>
        <v/>
      </c>
      <c r="O250" s="65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57">
        <f>MAX(-0.05,NORMINV(RAND(),$C$6,$D$6))</f>
        <v/>
      </c>
      <c r="L251" s="57">
        <f>MAX(0.02,NORMINV(RAND(),$C$7,$D$7))</f>
        <v/>
      </c>
      <c r="M251" s="57">
        <f>MIN(0.16,MAX(0.05,NORMINV(RAND(),$C$8,$D$8)))</f>
        <v/>
      </c>
      <c r="N251" s="59">
        <f>MIN(24,MAX(5,NORMINV(RAND(),$C$9,$D$9)))</f>
        <v/>
      </c>
      <c r="O251" s="65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57">
        <f>MAX(-0.05,NORMINV(RAND(),$C$6,$D$6))</f>
        <v/>
      </c>
      <c r="L252" s="57">
        <f>MAX(0.02,NORMINV(RAND(),$C$7,$D$7))</f>
        <v/>
      </c>
      <c r="M252" s="57">
        <f>MIN(0.16,MAX(0.05,NORMINV(RAND(),$C$8,$D$8)))</f>
        <v/>
      </c>
      <c r="N252" s="59">
        <f>MIN(24,MAX(5,NORMINV(RAND(),$C$9,$D$9)))</f>
        <v/>
      </c>
      <c r="O252" s="65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57">
        <f>MAX(-0.05,NORMINV(RAND(),$C$6,$D$6))</f>
        <v/>
      </c>
      <c r="L253" s="57">
        <f>MAX(0.02,NORMINV(RAND(),$C$7,$D$7))</f>
        <v/>
      </c>
      <c r="M253" s="57">
        <f>MIN(0.16,MAX(0.05,NORMINV(RAND(),$C$8,$D$8)))</f>
        <v/>
      </c>
      <c r="N253" s="59">
        <f>MIN(24,MAX(5,NORMINV(RAND(),$C$9,$D$9)))</f>
        <v/>
      </c>
      <c r="O253" s="65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57">
        <f>MAX(-0.05,NORMINV(RAND(),$C$6,$D$6))</f>
        <v/>
      </c>
      <c r="L254" s="57">
        <f>MAX(0.02,NORMINV(RAND(),$C$7,$D$7))</f>
        <v/>
      </c>
      <c r="M254" s="57">
        <f>MIN(0.16,MAX(0.05,NORMINV(RAND(),$C$8,$D$8)))</f>
        <v/>
      </c>
      <c r="N254" s="59">
        <f>MIN(24,MAX(5,NORMINV(RAND(),$C$9,$D$9)))</f>
        <v/>
      </c>
      <c r="O254" s="65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57">
        <f>MAX(-0.05,NORMINV(RAND(),$C$6,$D$6))</f>
        <v/>
      </c>
      <c r="L255" s="57">
        <f>MAX(0.02,NORMINV(RAND(),$C$7,$D$7))</f>
        <v/>
      </c>
      <c r="M255" s="57">
        <f>MIN(0.16,MAX(0.05,NORMINV(RAND(),$C$8,$D$8)))</f>
        <v/>
      </c>
      <c r="N255" s="59">
        <f>MIN(24,MAX(5,NORMINV(RAND(),$C$9,$D$9)))</f>
        <v/>
      </c>
      <c r="O255" s="65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57">
        <f>MAX(-0.05,NORMINV(RAND(),$C$6,$D$6))</f>
        <v/>
      </c>
      <c r="L256" s="57">
        <f>MAX(0.02,NORMINV(RAND(),$C$7,$D$7))</f>
        <v/>
      </c>
      <c r="M256" s="57">
        <f>MIN(0.16,MAX(0.05,NORMINV(RAND(),$C$8,$D$8)))</f>
        <v/>
      </c>
      <c r="N256" s="59">
        <f>MIN(24,MAX(5,NORMINV(RAND(),$C$9,$D$9)))</f>
        <v/>
      </c>
      <c r="O256" s="65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57">
        <f>MAX(-0.05,NORMINV(RAND(),$C$6,$D$6))</f>
        <v/>
      </c>
      <c r="L257" s="57">
        <f>MAX(0.02,NORMINV(RAND(),$C$7,$D$7))</f>
        <v/>
      </c>
      <c r="M257" s="57">
        <f>MIN(0.16,MAX(0.05,NORMINV(RAND(),$C$8,$D$8)))</f>
        <v/>
      </c>
      <c r="N257" s="59">
        <f>MIN(24,MAX(5,NORMINV(RAND(),$C$9,$D$9)))</f>
        <v/>
      </c>
      <c r="O257" s="65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57">
        <f>MAX(-0.05,NORMINV(RAND(),$C$6,$D$6))</f>
        <v/>
      </c>
      <c r="L258" s="57">
        <f>MAX(0.02,NORMINV(RAND(),$C$7,$D$7))</f>
        <v/>
      </c>
      <c r="M258" s="57">
        <f>MIN(0.16,MAX(0.05,NORMINV(RAND(),$C$8,$D$8)))</f>
        <v/>
      </c>
      <c r="N258" s="59">
        <f>MIN(24,MAX(5,NORMINV(RAND(),$C$9,$D$9)))</f>
        <v/>
      </c>
      <c r="O258" s="65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57">
        <f>MAX(-0.05,NORMINV(RAND(),$C$6,$D$6))</f>
        <v/>
      </c>
      <c r="L259" s="57">
        <f>MAX(0.02,NORMINV(RAND(),$C$7,$D$7))</f>
        <v/>
      </c>
      <c r="M259" s="57">
        <f>MIN(0.16,MAX(0.05,NORMINV(RAND(),$C$8,$D$8)))</f>
        <v/>
      </c>
      <c r="N259" s="59">
        <f>MIN(24,MAX(5,NORMINV(RAND(),$C$9,$D$9)))</f>
        <v/>
      </c>
      <c r="O259" s="65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57">
        <f>MAX(-0.05,NORMINV(RAND(),$C$6,$D$6))</f>
        <v/>
      </c>
      <c r="L260" s="57">
        <f>MAX(0.02,NORMINV(RAND(),$C$7,$D$7))</f>
        <v/>
      </c>
      <c r="M260" s="57">
        <f>MIN(0.16,MAX(0.05,NORMINV(RAND(),$C$8,$D$8)))</f>
        <v/>
      </c>
      <c r="N260" s="59">
        <f>MIN(24,MAX(5,NORMINV(RAND(),$C$9,$D$9)))</f>
        <v/>
      </c>
      <c r="O260" s="65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57">
        <f>MAX(-0.05,NORMINV(RAND(),$C$6,$D$6))</f>
        <v/>
      </c>
      <c r="L261" s="57">
        <f>MAX(0.02,NORMINV(RAND(),$C$7,$D$7))</f>
        <v/>
      </c>
      <c r="M261" s="57">
        <f>MIN(0.16,MAX(0.05,NORMINV(RAND(),$C$8,$D$8)))</f>
        <v/>
      </c>
      <c r="N261" s="59">
        <f>MIN(24,MAX(5,NORMINV(RAND(),$C$9,$D$9)))</f>
        <v/>
      </c>
      <c r="O261" s="65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57">
        <f>MAX(-0.05,NORMINV(RAND(),$C$6,$D$6))</f>
        <v/>
      </c>
      <c r="L262" s="57">
        <f>MAX(0.02,NORMINV(RAND(),$C$7,$D$7))</f>
        <v/>
      </c>
      <c r="M262" s="57">
        <f>MIN(0.16,MAX(0.05,NORMINV(RAND(),$C$8,$D$8)))</f>
        <v/>
      </c>
      <c r="N262" s="59">
        <f>MIN(24,MAX(5,NORMINV(RAND(),$C$9,$D$9)))</f>
        <v/>
      </c>
      <c r="O262" s="65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57">
        <f>MAX(-0.05,NORMINV(RAND(),$C$6,$D$6))</f>
        <v/>
      </c>
      <c r="L263" s="57">
        <f>MAX(0.02,NORMINV(RAND(),$C$7,$D$7))</f>
        <v/>
      </c>
      <c r="M263" s="57">
        <f>MIN(0.16,MAX(0.05,NORMINV(RAND(),$C$8,$D$8)))</f>
        <v/>
      </c>
      <c r="N263" s="59">
        <f>MIN(24,MAX(5,NORMINV(RAND(),$C$9,$D$9)))</f>
        <v/>
      </c>
      <c r="O263" s="65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57">
        <f>MAX(-0.05,NORMINV(RAND(),$C$6,$D$6))</f>
        <v/>
      </c>
      <c r="L264" s="57">
        <f>MAX(0.02,NORMINV(RAND(),$C$7,$D$7))</f>
        <v/>
      </c>
      <c r="M264" s="57">
        <f>MIN(0.16,MAX(0.05,NORMINV(RAND(),$C$8,$D$8)))</f>
        <v/>
      </c>
      <c r="N264" s="59">
        <f>MIN(24,MAX(5,NORMINV(RAND(),$C$9,$D$9)))</f>
        <v/>
      </c>
      <c r="O264" s="65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57">
        <f>MAX(-0.05,NORMINV(RAND(),$C$6,$D$6))</f>
        <v/>
      </c>
      <c r="L265" s="57">
        <f>MAX(0.02,NORMINV(RAND(),$C$7,$D$7))</f>
        <v/>
      </c>
      <c r="M265" s="57">
        <f>MIN(0.16,MAX(0.05,NORMINV(RAND(),$C$8,$D$8)))</f>
        <v/>
      </c>
      <c r="N265" s="59">
        <f>MIN(24,MAX(5,NORMINV(RAND(),$C$9,$D$9)))</f>
        <v/>
      </c>
      <c r="O265" s="65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57">
        <f>MAX(-0.05,NORMINV(RAND(),$C$6,$D$6))</f>
        <v/>
      </c>
      <c r="L266" s="57">
        <f>MAX(0.02,NORMINV(RAND(),$C$7,$D$7))</f>
        <v/>
      </c>
      <c r="M266" s="57">
        <f>MIN(0.16,MAX(0.05,NORMINV(RAND(),$C$8,$D$8)))</f>
        <v/>
      </c>
      <c r="N266" s="59">
        <f>MIN(24,MAX(5,NORMINV(RAND(),$C$9,$D$9)))</f>
        <v/>
      </c>
      <c r="O266" s="65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57">
        <f>MAX(-0.05,NORMINV(RAND(),$C$6,$D$6))</f>
        <v/>
      </c>
      <c r="L267" s="57">
        <f>MAX(0.02,NORMINV(RAND(),$C$7,$D$7))</f>
        <v/>
      </c>
      <c r="M267" s="57">
        <f>MIN(0.16,MAX(0.05,NORMINV(RAND(),$C$8,$D$8)))</f>
        <v/>
      </c>
      <c r="N267" s="59">
        <f>MIN(24,MAX(5,NORMINV(RAND(),$C$9,$D$9)))</f>
        <v/>
      </c>
      <c r="O267" s="65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57">
        <f>MAX(-0.05,NORMINV(RAND(),$C$6,$D$6))</f>
        <v/>
      </c>
      <c r="L268" s="57">
        <f>MAX(0.02,NORMINV(RAND(),$C$7,$D$7))</f>
        <v/>
      </c>
      <c r="M268" s="57">
        <f>MIN(0.16,MAX(0.05,NORMINV(RAND(),$C$8,$D$8)))</f>
        <v/>
      </c>
      <c r="N268" s="59">
        <f>MIN(24,MAX(5,NORMINV(RAND(),$C$9,$D$9)))</f>
        <v/>
      </c>
      <c r="O268" s="65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57">
        <f>MAX(-0.05,NORMINV(RAND(),$C$6,$D$6))</f>
        <v/>
      </c>
      <c r="L269" s="57">
        <f>MAX(0.02,NORMINV(RAND(),$C$7,$D$7))</f>
        <v/>
      </c>
      <c r="M269" s="57">
        <f>MIN(0.16,MAX(0.05,NORMINV(RAND(),$C$8,$D$8)))</f>
        <v/>
      </c>
      <c r="N269" s="59">
        <f>MIN(24,MAX(5,NORMINV(RAND(),$C$9,$D$9)))</f>
        <v/>
      </c>
      <c r="O269" s="65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57">
        <f>MAX(-0.05,NORMINV(RAND(),$C$6,$D$6))</f>
        <v/>
      </c>
      <c r="L270" s="57">
        <f>MAX(0.02,NORMINV(RAND(),$C$7,$D$7))</f>
        <v/>
      </c>
      <c r="M270" s="57">
        <f>MIN(0.16,MAX(0.05,NORMINV(RAND(),$C$8,$D$8)))</f>
        <v/>
      </c>
      <c r="N270" s="59">
        <f>MIN(24,MAX(5,NORMINV(RAND(),$C$9,$D$9)))</f>
        <v/>
      </c>
      <c r="O270" s="65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57">
        <f>MAX(-0.05,NORMINV(RAND(),$C$6,$D$6))</f>
        <v/>
      </c>
      <c r="L271" s="57">
        <f>MAX(0.02,NORMINV(RAND(),$C$7,$D$7))</f>
        <v/>
      </c>
      <c r="M271" s="57">
        <f>MIN(0.16,MAX(0.05,NORMINV(RAND(),$C$8,$D$8)))</f>
        <v/>
      </c>
      <c r="N271" s="59">
        <f>MIN(24,MAX(5,NORMINV(RAND(),$C$9,$D$9)))</f>
        <v/>
      </c>
      <c r="O271" s="65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57">
        <f>MAX(-0.05,NORMINV(RAND(),$C$6,$D$6))</f>
        <v/>
      </c>
      <c r="L272" s="57">
        <f>MAX(0.02,NORMINV(RAND(),$C$7,$D$7))</f>
        <v/>
      </c>
      <c r="M272" s="57">
        <f>MIN(0.16,MAX(0.05,NORMINV(RAND(),$C$8,$D$8)))</f>
        <v/>
      </c>
      <c r="N272" s="59">
        <f>MIN(24,MAX(5,NORMINV(RAND(),$C$9,$D$9)))</f>
        <v/>
      </c>
      <c r="O272" s="65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57">
        <f>MAX(-0.05,NORMINV(RAND(),$C$6,$D$6))</f>
        <v/>
      </c>
      <c r="L273" s="57">
        <f>MAX(0.02,NORMINV(RAND(),$C$7,$D$7))</f>
        <v/>
      </c>
      <c r="M273" s="57">
        <f>MIN(0.16,MAX(0.05,NORMINV(RAND(),$C$8,$D$8)))</f>
        <v/>
      </c>
      <c r="N273" s="59">
        <f>MIN(24,MAX(5,NORMINV(RAND(),$C$9,$D$9)))</f>
        <v/>
      </c>
      <c r="O273" s="65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57">
        <f>MAX(-0.05,NORMINV(RAND(),$C$6,$D$6))</f>
        <v/>
      </c>
      <c r="L274" s="57">
        <f>MAX(0.02,NORMINV(RAND(),$C$7,$D$7))</f>
        <v/>
      </c>
      <c r="M274" s="57">
        <f>MIN(0.16,MAX(0.05,NORMINV(RAND(),$C$8,$D$8)))</f>
        <v/>
      </c>
      <c r="N274" s="59">
        <f>MIN(24,MAX(5,NORMINV(RAND(),$C$9,$D$9)))</f>
        <v/>
      </c>
      <c r="O274" s="65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57">
        <f>MAX(-0.05,NORMINV(RAND(),$C$6,$D$6))</f>
        <v/>
      </c>
      <c r="L275" s="57">
        <f>MAX(0.02,NORMINV(RAND(),$C$7,$D$7))</f>
        <v/>
      </c>
      <c r="M275" s="57">
        <f>MIN(0.16,MAX(0.05,NORMINV(RAND(),$C$8,$D$8)))</f>
        <v/>
      </c>
      <c r="N275" s="59">
        <f>MIN(24,MAX(5,NORMINV(RAND(),$C$9,$D$9)))</f>
        <v/>
      </c>
      <c r="O275" s="65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57">
        <f>MAX(-0.05,NORMINV(RAND(),$C$6,$D$6))</f>
        <v/>
      </c>
      <c r="L276" s="57">
        <f>MAX(0.02,NORMINV(RAND(),$C$7,$D$7))</f>
        <v/>
      </c>
      <c r="M276" s="57">
        <f>MIN(0.16,MAX(0.05,NORMINV(RAND(),$C$8,$D$8)))</f>
        <v/>
      </c>
      <c r="N276" s="59">
        <f>MIN(24,MAX(5,NORMINV(RAND(),$C$9,$D$9)))</f>
        <v/>
      </c>
      <c r="O276" s="65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57">
        <f>MAX(-0.05,NORMINV(RAND(),$C$6,$D$6))</f>
        <v/>
      </c>
      <c r="L277" s="57">
        <f>MAX(0.02,NORMINV(RAND(),$C$7,$D$7))</f>
        <v/>
      </c>
      <c r="M277" s="57">
        <f>MIN(0.16,MAX(0.05,NORMINV(RAND(),$C$8,$D$8)))</f>
        <v/>
      </c>
      <c r="N277" s="59">
        <f>MIN(24,MAX(5,NORMINV(RAND(),$C$9,$D$9)))</f>
        <v/>
      </c>
      <c r="O277" s="65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57">
        <f>MAX(-0.05,NORMINV(RAND(),$C$6,$D$6))</f>
        <v/>
      </c>
      <c r="L278" s="57">
        <f>MAX(0.02,NORMINV(RAND(),$C$7,$D$7))</f>
        <v/>
      </c>
      <c r="M278" s="57">
        <f>MIN(0.16,MAX(0.05,NORMINV(RAND(),$C$8,$D$8)))</f>
        <v/>
      </c>
      <c r="N278" s="59">
        <f>MIN(24,MAX(5,NORMINV(RAND(),$C$9,$D$9)))</f>
        <v/>
      </c>
      <c r="O278" s="65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57">
        <f>MAX(-0.05,NORMINV(RAND(),$C$6,$D$6))</f>
        <v/>
      </c>
      <c r="L279" s="57">
        <f>MAX(0.02,NORMINV(RAND(),$C$7,$D$7))</f>
        <v/>
      </c>
      <c r="M279" s="57">
        <f>MIN(0.16,MAX(0.05,NORMINV(RAND(),$C$8,$D$8)))</f>
        <v/>
      </c>
      <c r="N279" s="59">
        <f>MIN(24,MAX(5,NORMINV(RAND(),$C$9,$D$9)))</f>
        <v/>
      </c>
      <c r="O279" s="65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57">
        <f>MAX(-0.05,NORMINV(RAND(),$C$6,$D$6))</f>
        <v/>
      </c>
      <c r="L280" s="57">
        <f>MAX(0.02,NORMINV(RAND(),$C$7,$D$7))</f>
        <v/>
      </c>
      <c r="M280" s="57">
        <f>MIN(0.16,MAX(0.05,NORMINV(RAND(),$C$8,$D$8)))</f>
        <v/>
      </c>
      <c r="N280" s="59">
        <f>MIN(24,MAX(5,NORMINV(RAND(),$C$9,$D$9)))</f>
        <v/>
      </c>
      <c r="O280" s="65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57">
        <f>MAX(-0.05,NORMINV(RAND(),$C$6,$D$6))</f>
        <v/>
      </c>
      <c r="L281" s="57">
        <f>MAX(0.02,NORMINV(RAND(),$C$7,$D$7))</f>
        <v/>
      </c>
      <c r="M281" s="57">
        <f>MIN(0.16,MAX(0.05,NORMINV(RAND(),$C$8,$D$8)))</f>
        <v/>
      </c>
      <c r="N281" s="59">
        <f>MIN(24,MAX(5,NORMINV(RAND(),$C$9,$D$9)))</f>
        <v/>
      </c>
      <c r="O281" s="65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57">
        <f>MAX(-0.05,NORMINV(RAND(),$C$6,$D$6))</f>
        <v/>
      </c>
      <c r="L282" s="57">
        <f>MAX(0.02,NORMINV(RAND(),$C$7,$D$7))</f>
        <v/>
      </c>
      <c r="M282" s="57">
        <f>MIN(0.16,MAX(0.05,NORMINV(RAND(),$C$8,$D$8)))</f>
        <v/>
      </c>
      <c r="N282" s="59">
        <f>MIN(24,MAX(5,NORMINV(RAND(),$C$9,$D$9)))</f>
        <v/>
      </c>
      <c r="O282" s="65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57">
        <f>MAX(-0.05,NORMINV(RAND(),$C$6,$D$6))</f>
        <v/>
      </c>
      <c r="L283" s="57">
        <f>MAX(0.02,NORMINV(RAND(),$C$7,$D$7))</f>
        <v/>
      </c>
      <c r="M283" s="57">
        <f>MIN(0.16,MAX(0.05,NORMINV(RAND(),$C$8,$D$8)))</f>
        <v/>
      </c>
      <c r="N283" s="59">
        <f>MIN(24,MAX(5,NORMINV(RAND(),$C$9,$D$9)))</f>
        <v/>
      </c>
      <c r="O283" s="65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57">
        <f>MAX(-0.05,NORMINV(RAND(),$C$6,$D$6))</f>
        <v/>
      </c>
      <c r="L284" s="57">
        <f>MAX(0.02,NORMINV(RAND(),$C$7,$D$7))</f>
        <v/>
      </c>
      <c r="M284" s="57">
        <f>MIN(0.16,MAX(0.05,NORMINV(RAND(),$C$8,$D$8)))</f>
        <v/>
      </c>
      <c r="N284" s="59">
        <f>MIN(24,MAX(5,NORMINV(RAND(),$C$9,$D$9)))</f>
        <v/>
      </c>
      <c r="O284" s="65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57">
        <f>MAX(-0.05,NORMINV(RAND(),$C$6,$D$6))</f>
        <v/>
      </c>
      <c r="L285" s="57">
        <f>MAX(0.02,NORMINV(RAND(),$C$7,$D$7))</f>
        <v/>
      </c>
      <c r="M285" s="57">
        <f>MIN(0.16,MAX(0.05,NORMINV(RAND(),$C$8,$D$8)))</f>
        <v/>
      </c>
      <c r="N285" s="59">
        <f>MIN(24,MAX(5,NORMINV(RAND(),$C$9,$D$9)))</f>
        <v/>
      </c>
      <c r="O285" s="65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57">
        <f>MAX(-0.05,NORMINV(RAND(),$C$6,$D$6))</f>
        <v/>
      </c>
      <c r="L286" s="57">
        <f>MAX(0.02,NORMINV(RAND(),$C$7,$D$7))</f>
        <v/>
      </c>
      <c r="M286" s="57">
        <f>MIN(0.16,MAX(0.05,NORMINV(RAND(),$C$8,$D$8)))</f>
        <v/>
      </c>
      <c r="N286" s="59">
        <f>MIN(24,MAX(5,NORMINV(RAND(),$C$9,$D$9)))</f>
        <v/>
      </c>
      <c r="O286" s="65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57">
        <f>MAX(-0.05,NORMINV(RAND(),$C$6,$D$6))</f>
        <v/>
      </c>
      <c r="L287" s="57">
        <f>MAX(0.02,NORMINV(RAND(),$C$7,$D$7))</f>
        <v/>
      </c>
      <c r="M287" s="57">
        <f>MIN(0.16,MAX(0.05,NORMINV(RAND(),$C$8,$D$8)))</f>
        <v/>
      </c>
      <c r="N287" s="59">
        <f>MIN(24,MAX(5,NORMINV(RAND(),$C$9,$D$9)))</f>
        <v/>
      </c>
      <c r="O287" s="65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57">
        <f>MAX(-0.05,NORMINV(RAND(),$C$6,$D$6))</f>
        <v/>
      </c>
      <c r="L288" s="57">
        <f>MAX(0.02,NORMINV(RAND(),$C$7,$D$7))</f>
        <v/>
      </c>
      <c r="M288" s="57">
        <f>MIN(0.16,MAX(0.05,NORMINV(RAND(),$C$8,$D$8)))</f>
        <v/>
      </c>
      <c r="N288" s="59">
        <f>MIN(24,MAX(5,NORMINV(RAND(),$C$9,$D$9)))</f>
        <v/>
      </c>
      <c r="O288" s="65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57">
        <f>MAX(-0.05,NORMINV(RAND(),$C$6,$D$6))</f>
        <v/>
      </c>
      <c r="L289" s="57">
        <f>MAX(0.02,NORMINV(RAND(),$C$7,$D$7))</f>
        <v/>
      </c>
      <c r="M289" s="57">
        <f>MIN(0.16,MAX(0.05,NORMINV(RAND(),$C$8,$D$8)))</f>
        <v/>
      </c>
      <c r="N289" s="59">
        <f>MIN(24,MAX(5,NORMINV(RAND(),$C$9,$D$9)))</f>
        <v/>
      </c>
      <c r="O289" s="65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57">
        <f>MAX(-0.05,NORMINV(RAND(),$C$6,$D$6))</f>
        <v/>
      </c>
      <c r="L290" s="57">
        <f>MAX(0.02,NORMINV(RAND(),$C$7,$D$7))</f>
        <v/>
      </c>
      <c r="M290" s="57">
        <f>MIN(0.16,MAX(0.05,NORMINV(RAND(),$C$8,$D$8)))</f>
        <v/>
      </c>
      <c r="N290" s="59">
        <f>MIN(24,MAX(5,NORMINV(RAND(),$C$9,$D$9)))</f>
        <v/>
      </c>
      <c r="O290" s="65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57">
        <f>MAX(-0.05,NORMINV(RAND(),$C$6,$D$6))</f>
        <v/>
      </c>
      <c r="L291" s="57">
        <f>MAX(0.02,NORMINV(RAND(),$C$7,$D$7))</f>
        <v/>
      </c>
      <c r="M291" s="57">
        <f>MIN(0.16,MAX(0.05,NORMINV(RAND(),$C$8,$D$8)))</f>
        <v/>
      </c>
      <c r="N291" s="59">
        <f>MIN(24,MAX(5,NORMINV(RAND(),$C$9,$D$9)))</f>
        <v/>
      </c>
      <c r="O291" s="65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57">
        <f>MAX(-0.05,NORMINV(RAND(),$C$6,$D$6))</f>
        <v/>
      </c>
      <c r="L292" s="57">
        <f>MAX(0.02,NORMINV(RAND(),$C$7,$D$7))</f>
        <v/>
      </c>
      <c r="M292" s="57">
        <f>MIN(0.16,MAX(0.05,NORMINV(RAND(),$C$8,$D$8)))</f>
        <v/>
      </c>
      <c r="N292" s="59">
        <f>MIN(24,MAX(5,NORMINV(RAND(),$C$9,$D$9)))</f>
        <v/>
      </c>
      <c r="O292" s="65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57">
        <f>MAX(-0.05,NORMINV(RAND(),$C$6,$D$6))</f>
        <v/>
      </c>
      <c r="L293" s="57">
        <f>MAX(0.02,NORMINV(RAND(),$C$7,$D$7))</f>
        <v/>
      </c>
      <c r="M293" s="57">
        <f>MIN(0.16,MAX(0.05,NORMINV(RAND(),$C$8,$D$8)))</f>
        <v/>
      </c>
      <c r="N293" s="59">
        <f>MIN(24,MAX(5,NORMINV(RAND(),$C$9,$D$9)))</f>
        <v/>
      </c>
      <c r="O293" s="65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57">
        <f>MAX(-0.05,NORMINV(RAND(),$C$6,$D$6))</f>
        <v/>
      </c>
      <c r="L294" s="57">
        <f>MAX(0.02,NORMINV(RAND(),$C$7,$D$7))</f>
        <v/>
      </c>
      <c r="M294" s="57">
        <f>MIN(0.16,MAX(0.05,NORMINV(RAND(),$C$8,$D$8)))</f>
        <v/>
      </c>
      <c r="N294" s="59">
        <f>MIN(24,MAX(5,NORMINV(RAND(),$C$9,$D$9)))</f>
        <v/>
      </c>
      <c r="O294" s="65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57">
        <f>MAX(-0.05,NORMINV(RAND(),$C$6,$D$6))</f>
        <v/>
      </c>
      <c r="L295" s="57">
        <f>MAX(0.02,NORMINV(RAND(),$C$7,$D$7))</f>
        <v/>
      </c>
      <c r="M295" s="57">
        <f>MIN(0.16,MAX(0.05,NORMINV(RAND(),$C$8,$D$8)))</f>
        <v/>
      </c>
      <c r="N295" s="59">
        <f>MIN(24,MAX(5,NORMINV(RAND(),$C$9,$D$9)))</f>
        <v/>
      </c>
      <c r="O295" s="65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57">
        <f>MAX(-0.05,NORMINV(RAND(),$C$6,$D$6))</f>
        <v/>
      </c>
      <c r="L296" s="57">
        <f>MAX(0.02,NORMINV(RAND(),$C$7,$D$7))</f>
        <v/>
      </c>
      <c r="M296" s="57">
        <f>MIN(0.16,MAX(0.05,NORMINV(RAND(),$C$8,$D$8)))</f>
        <v/>
      </c>
      <c r="N296" s="59">
        <f>MIN(24,MAX(5,NORMINV(RAND(),$C$9,$D$9)))</f>
        <v/>
      </c>
      <c r="O296" s="65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57">
        <f>MAX(-0.05,NORMINV(RAND(),$C$6,$D$6))</f>
        <v/>
      </c>
      <c r="L297" s="57">
        <f>MAX(0.02,NORMINV(RAND(),$C$7,$D$7))</f>
        <v/>
      </c>
      <c r="M297" s="57">
        <f>MIN(0.16,MAX(0.05,NORMINV(RAND(),$C$8,$D$8)))</f>
        <v/>
      </c>
      <c r="N297" s="59">
        <f>MIN(24,MAX(5,NORMINV(RAND(),$C$9,$D$9)))</f>
        <v/>
      </c>
      <c r="O297" s="65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57">
        <f>MAX(-0.05,NORMINV(RAND(),$C$6,$D$6))</f>
        <v/>
      </c>
      <c r="L298" s="57">
        <f>MAX(0.02,NORMINV(RAND(),$C$7,$D$7))</f>
        <v/>
      </c>
      <c r="M298" s="57">
        <f>MIN(0.16,MAX(0.05,NORMINV(RAND(),$C$8,$D$8)))</f>
        <v/>
      </c>
      <c r="N298" s="59">
        <f>MIN(24,MAX(5,NORMINV(RAND(),$C$9,$D$9)))</f>
        <v/>
      </c>
      <c r="O298" s="65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57">
        <f>MAX(-0.05,NORMINV(RAND(),$C$6,$D$6))</f>
        <v/>
      </c>
      <c r="L299" s="57">
        <f>MAX(0.02,NORMINV(RAND(),$C$7,$D$7))</f>
        <v/>
      </c>
      <c r="M299" s="57">
        <f>MIN(0.16,MAX(0.05,NORMINV(RAND(),$C$8,$D$8)))</f>
        <v/>
      </c>
      <c r="N299" s="59">
        <f>MIN(24,MAX(5,NORMINV(RAND(),$C$9,$D$9)))</f>
        <v/>
      </c>
      <c r="O299" s="65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57">
        <f>MAX(-0.05,NORMINV(RAND(),$C$6,$D$6))</f>
        <v/>
      </c>
      <c r="L300" s="57">
        <f>MAX(0.02,NORMINV(RAND(),$C$7,$D$7))</f>
        <v/>
      </c>
      <c r="M300" s="57">
        <f>MIN(0.16,MAX(0.05,NORMINV(RAND(),$C$8,$D$8)))</f>
        <v/>
      </c>
      <c r="N300" s="59">
        <f>MIN(24,MAX(5,NORMINV(RAND(),$C$9,$D$9)))</f>
        <v/>
      </c>
      <c r="O300" s="65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57">
        <f>MAX(-0.05,NORMINV(RAND(),$C$6,$D$6))</f>
        <v/>
      </c>
      <c r="L301" s="57">
        <f>MAX(0.02,NORMINV(RAND(),$C$7,$D$7))</f>
        <v/>
      </c>
      <c r="M301" s="57">
        <f>MIN(0.16,MAX(0.05,NORMINV(RAND(),$C$8,$D$8)))</f>
        <v/>
      </c>
      <c r="N301" s="59">
        <f>MIN(24,MAX(5,NORMINV(RAND(),$C$9,$D$9)))</f>
        <v/>
      </c>
      <c r="O301" s="65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57">
        <f>MAX(-0.05,NORMINV(RAND(),$C$6,$D$6))</f>
        <v/>
      </c>
      <c r="L302" s="57">
        <f>MAX(0.02,NORMINV(RAND(),$C$7,$D$7))</f>
        <v/>
      </c>
      <c r="M302" s="57">
        <f>MIN(0.16,MAX(0.05,NORMINV(RAND(),$C$8,$D$8)))</f>
        <v/>
      </c>
      <c r="N302" s="59">
        <f>MIN(24,MAX(5,NORMINV(RAND(),$C$9,$D$9)))</f>
        <v/>
      </c>
      <c r="O302" s="65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57">
        <f>MAX(-0.05,NORMINV(RAND(),$C$6,$D$6))</f>
        <v/>
      </c>
      <c r="L303" s="57">
        <f>MAX(0.02,NORMINV(RAND(),$C$7,$D$7))</f>
        <v/>
      </c>
      <c r="M303" s="57">
        <f>MIN(0.16,MAX(0.05,NORMINV(RAND(),$C$8,$D$8)))</f>
        <v/>
      </c>
      <c r="N303" s="59">
        <f>MIN(24,MAX(5,NORMINV(RAND(),$C$9,$D$9)))</f>
        <v/>
      </c>
      <c r="O303" s="65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57">
        <f>MAX(-0.05,NORMINV(RAND(),$C$6,$D$6))</f>
        <v/>
      </c>
      <c r="L304" s="57">
        <f>MAX(0.02,NORMINV(RAND(),$C$7,$D$7))</f>
        <v/>
      </c>
      <c r="M304" s="57">
        <f>MIN(0.16,MAX(0.05,NORMINV(RAND(),$C$8,$D$8)))</f>
        <v/>
      </c>
      <c r="N304" s="59">
        <f>MIN(24,MAX(5,NORMINV(RAND(),$C$9,$D$9)))</f>
        <v/>
      </c>
      <c r="O304" s="65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57">
        <f>MAX(-0.05,NORMINV(RAND(),$C$6,$D$6))</f>
        <v/>
      </c>
      <c r="L305" s="57">
        <f>MAX(0.02,NORMINV(RAND(),$C$7,$D$7))</f>
        <v/>
      </c>
      <c r="M305" s="57">
        <f>MIN(0.16,MAX(0.05,NORMINV(RAND(),$C$8,$D$8)))</f>
        <v/>
      </c>
      <c r="N305" s="59">
        <f>MIN(24,MAX(5,NORMINV(RAND(),$C$9,$D$9)))</f>
        <v/>
      </c>
      <c r="O305" s="65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57">
        <f>MAX(-0.05,NORMINV(RAND(),$C$6,$D$6))</f>
        <v/>
      </c>
      <c r="L306" s="57">
        <f>MAX(0.02,NORMINV(RAND(),$C$7,$D$7))</f>
        <v/>
      </c>
      <c r="M306" s="57">
        <f>MIN(0.16,MAX(0.05,NORMINV(RAND(),$C$8,$D$8)))</f>
        <v/>
      </c>
      <c r="N306" s="59">
        <f>MIN(24,MAX(5,NORMINV(RAND(),$C$9,$D$9)))</f>
        <v/>
      </c>
      <c r="O306" s="65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57">
        <f>MAX(-0.05,NORMINV(RAND(),$C$6,$D$6))</f>
        <v/>
      </c>
      <c r="L307" s="57">
        <f>MAX(0.02,NORMINV(RAND(),$C$7,$D$7))</f>
        <v/>
      </c>
      <c r="M307" s="57">
        <f>MIN(0.16,MAX(0.05,NORMINV(RAND(),$C$8,$D$8)))</f>
        <v/>
      </c>
      <c r="N307" s="59">
        <f>MIN(24,MAX(5,NORMINV(RAND(),$C$9,$D$9)))</f>
        <v/>
      </c>
      <c r="O307" s="65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57">
        <f>MAX(-0.05,NORMINV(RAND(),$C$6,$D$6))</f>
        <v/>
      </c>
      <c r="L308" s="57">
        <f>MAX(0.02,NORMINV(RAND(),$C$7,$D$7))</f>
        <v/>
      </c>
      <c r="M308" s="57">
        <f>MIN(0.16,MAX(0.05,NORMINV(RAND(),$C$8,$D$8)))</f>
        <v/>
      </c>
      <c r="N308" s="59">
        <f>MIN(24,MAX(5,NORMINV(RAND(),$C$9,$D$9)))</f>
        <v/>
      </c>
      <c r="O308" s="65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57">
        <f>MAX(-0.05,NORMINV(RAND(),$C$6,$D$6))</f>
        <v/>
      </c>
      <c r="L309" s="57">
        <f>MAX(0.02,NORMINV(RAND(),$C$7,$D$7))</f>
        <v/>
      </c>
      <c r="M309" s="57">
        <f>MIN(0.16,MAX(0.05,NORMINV(RAND(),$C$8,$D$8)))</f>
        <v/>
      </c>
      <c r="N309" s="59">
        <f>MIN(24,MAX(5,NORMINV(RAND(),$C$9,$D$9)))</f>
        <v/>
      </c>
      <c r="O309" s="65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57">
        <f>MAX(-0.05,NORMINV(RAND(),$C$6,$D$6))</f>
        <v/>
      </c>
      <c r="L310" s="57">
        <f>MAX(0.02,NORMINV(RAND(),$C$7,$D$7))</f>
        <v/>
      </c>
      <c r="M310" s="57">
        <f>MIN(0.16,MAX(0.05,NORMINV(RAND(),$C$8,$D$8)))</f>
        <v/>
      </c>
      <c r="N310" s="59">
        <f>MIN(24,MAX(5,NORMINV(RAND(),$C$9,$D$9)))</f>
        <v/>
      </c>
      <c r="O310" s="65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57">
        <f>MAX(-0.05,NORMINV(RAND(),$C$6,$D$6))</f>
        <v/>
      </c>
      <c r="L311" s="57">
        <f>MAX(0.02,NORMINV(RAND(),$C$7,$D$7))</f>
        <v/>
      </c>
      <c r="M311" s="57">
        <f>MIN(0.16,MAX(0.05,NORMINV(RAND(),$C$8,$D$8)))</f>
        <v/>
      </c>
      <c r="N311" s="59">
        <f>MIN(24,MAX(5,NORMINV(RAND(),$C$9,$D$9)))</f>
        <v/>
      </c>
      <c r="O311" s="65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57">
        <f>MAX(-0.05,NORMINV(RAND(),$C$6,$D$6))</f>
        <v/>
      </c>
      <c r="L312" s="57">
        <f>MAX(0.02,NORMINV(RAND(),$C$7,$D$7))</f>
        <v/>
      </c>
      <c r="M312" s="57">
        <f>MIN(0.16,MAX(0.05,NORMINV(RAND(),$C$8,$D$8)))</f>
        <v/>
      </c>
      <c r="N312" s="59">
        <f>MIN(24,MAX(5,NORMINV(RAND(),$C$9,$D$9)))</f>
        <v/>
      </c>
      <c r="O312" s="65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57">
        <f>MAX(-0.05,NORMINV(RAND(),$C$6,$D$6))</f>
        <v/>
      </c>
      <c r="L313" s="57">
        <f>MAX(0.02,NORMINV(RAND(),$C$7,$D$7))</f>
        <v/>
      </c>
      <c r="M313" s="57">
        <f>MIN(0.16,MAX(0.05,NORMINV(RAND(),$C$8,$D$8)))</f>
        <v/>
      </c>
      <c r="N313" s="59">
        <f>MIN(24,MAX(5,NORMINV(RAND(),$C$9,$D$9)))</f>
        <v/>
      </c>
      <c r="O313" s="65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57">
        <f>MAX(-0.05,NORMINV(RAND(),$C$6,$D$6))</f>
        <v/>
      </c>
      <c r="L314" s="57">
        <f>MAX(0.02,NORMINV(RAND(),$C$7,$D$7))</f>
        <v/>
      </c>
      <c r="M314" s="57">
        <f>MIN(0.16,MAX(0.05,NORMINV(RAND(),$C$8,$D$8)))</f>
        <v/>
      </c>
      <c r="N314" s="59">
        <f>MIN(24,MAX(5,NORMINV(RAND(),$C$9,$D$9)))</f>
        <v/>
      </c>
      <c r="O314" s="65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57">
        <f>MAX(-0.05,NORMINV(RAND(),$C$6,$D$6))</f>
        <v/>
      </c>
      <c r="L315" s="57">
        <f>MAX(0.02,NORMINV(RAND(),$C$7,$D$7))</f>
        <v/>
      </c>
      <c r="M315" s="57">
        <f>MIN(0.16,MAX(0.05,NORMINV(RAND(),$C$8,$D$8)))</f>
        <v/>
      </c>
      <c r="N315" s="59">
        <f>MIN(24,MAX(5,NORMINV(RAND(),$C$9,$D$9)))</f>
        <v/>
      </c>
      <c r="O315" s="65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57">
        <f>MAX(-0.05,NORMINV(RAND(),$C$6,$D$6))</f>
        <v/>
      </c>
      <c r="L316" s="57">
        <f>MAX(0.02,NORMINV(RAND(),$C$7,$D$7))</f>
        <v/>
      </c>
      <c r="M316" s="57">
        <f>MIN(0.16,MAX(0.05,NORMINV(RAND(),$C$8,$D$8)))</f>
        <v/>
      </c>
      <c r="N316" s="59">
        <f>MIN(24,MAX(5,NORMINV(RAND(),$C$9,$D$9)))</f>
        <v/>
      </c>
      <c r="O316" s="65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57">
        <f>MAX(-0.05,NORMINV(RAND(),$C$6,$D$6))</f>
        <v/>
      </c>
      <c r="L317" s="57">
        <f>MAX(0.02,NORMINV(RAND(),$C$7,$D$7))</f>
        <v/>
      </c>
      <c r="M317" s="57">
        <f>MIN(0.16,MAX(0.05,NORMINV(RAND(),$C$8,$D$8)))</f>
        <v/>
      </c>
      <c r="N317" s="59">
        <f>MIN(24,MAX(5,NORMINV(RAND(),$C$9,$D$9)))</f>
        <v/>
      </c>
      <c r="O317" s="65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57">
        <f>MAX(-0.05,NORMINV(RAND(),$C$6,$D$6))</f>
        <v/>
      </c>
      <c r="L318" s="57">
        <f>MAX(0.02,NORMINV(RAND(),$C$7,$D$7))</f>
        <v/>
      </c>
      <c r="M318" s="57">
        <f>MIN(0.16,MAX(0.05,NORMINV(RAND(),$C$8,$D$8)))</f>
        <v/>
      </c>
      <c r="N318" s="59">
        <f>MIN(24,MAX(5,NORMINV(RAND(),$C$9,$D$9)))</f>
        <v/>
      </c>
      <c r="O318" s="65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57">
        <f>MAX(-0.05,NORMINV(RAND(),$C$6,$D$6))</f>
        <v/>
      </c>
      <c r="L319" s="57">
        <f>MAX(0.02,NORMINV(RAND(),$C$7,$D$7))</f>
        <v/>
      </c>
      <c r="M319" s="57">
        <f>MIN(0.16,MAX(0.05,NORMINV(RAND(),$C$8,$D$8)))</f>
        <v/>
      </c>
      <c r="N319" s="59">
        <f>MIN(24,MAX(5,NORMINV(RAND(),$C$9,$D$9)))</f>
        <v/>
      </c>
      <c r="O319" s="65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57">
        <f>MAX(-0.05,NORMINV(RAND(),$C$6,$D$6))</f>
        <v/>
      </c>
      <c r="L320" s="57">
        <f>MAX(0.02,NORMINV(RAND(),$C$7,$D$7))</f>
        <v/>
      </c>
      <c r="M320" s="57">
        <f>MIN(0.16,MAX(0.05,NORMINV(RAND(),$C$8,$D$8)))</f>
        <v/>
      </c>
      <c r="N320" s="59">
        <f>MIN(24,MAX(5,NORMINV(RAND(),$C$9,$D$9)))</f>
        <v/>
      </c>
      <c r="O320" s="65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57">
        <f>MAX(-0.05,NORMINV(RAND(),$C$6,$D$6))</f>
        <v/>
      </c>
      <c r="L321" s="57">
        <f>MAX(0.02,NORMINV(RAND(),$C$7,$D$7))</f>
        <v/>
      </c>
      <c r="M321" s="57">
        <f>MIN(0.16,MAX(0.05,NORMINV(RAND(),$C$8,$D$8)))</f>
        <v/>
      </c>
      <c r="N321" s="59">
        <f>MIN(24,MAX(5,NORMINV(RAND(),$C$9,$D$9)))</f>
        <v/>
      </c>
      <c r="O321" s="65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57">
        <f>MAX(-0.05,NORMINV(RAND(),$C$6,$D$6))</f>
        <v/>
      </c>
      <c r="L322" s="57">
        <f>MAX(0.02,NORMINV(RAND(),$C$7,$D$7))</f>
        <v/>
      </c>
      <c r="M322" s="57">
        <f>MIN(0.16,MAX(0.05,NORMINV(RAND(),$C$8,$D$8)))</f>
        <v/>
      </c>
      <c r="N322" s="59">
        <f>MIN(24,MAX(5,NORMINV(RAND(),$C$9,$D$9)))</f>
        <v/>
      </c>
      <c r="O322" s="65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57">
        <f>MAX(-0.05,NORMINV(RAND(),$C$6,$D$6))</f>
        <v/>
      </c>
      <c r="L323" s="57">
        <f>MAX(0.02,NORMINV(RAND(),$C$7,$D$7))</f>
        <v/>
      </c>
      <c r="M323" s="57">
        <f>MIN(0.16,MAX(0.05,NORMINV(RAND(),$C$8,$D$8)))</f>
        <v/>
      </c>
      <c r="N323" s="59">
        <f>MIN(24,MAX(5,NORMINV(RAND(),$C$9,$D$9)))</f>
        <v/>
      </c>
      <c r="O323" s="65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57">
        <f>MAX(-0.05,NORMINV(RAND(),$C$6,$D$6))</f>
        <v/>
      </c>
      <c r="L324" s="57">
        <f>MAX(0.02,NORMINV(RAND(),$C$7,$D$7))</f>
        <v/>
      </c>
      <c r="M324" s="57">
        <f>MIN(0.16,MAX(0.05,NORMINV(RAND(),$C$8,$D$8)))</f>
        <v/>
      </c>
      <c r="N324" s="59">
        <f>MIN(24,MAX(5,NORMINV(RAND(),$C$9,$D$9)))</f>
        <v/>
      </c>
      <c r="O324" s="65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57">
        <f>MAX(-0.05,NORMINV(RAND(),$C$6,$D$6))</f>
        <v/>
      </c>
      <c r="L325" s="57">
        <f>MAX(0.02,NORMINV(RAND(),$C$7,$D$7))</f>
        <v/>
      </c>
      <c r="M325" s="57">
        <f>MIN(0.16,MAX(0.05,NORMINV(RAND(),$C$8,$D$8)))</f>
        <v/>
      </c>
      <c r="N325" s="59">
        <f>MIN(24,MAX(5,NORMINV(RAND(),$C$9,$D$9)))</f>
        <v/>
      </c>
      <c r="O325" s="65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57">
        <f>MAX(-0.05,NORMINV(RAND(),$C$6,$D$6))</f>
        <v/>
      </c>
      <c r="L326" s="57">
        <f>MAX(0.02,NORMINV(RAND(),$C$7,$D$7))</f>
        <v/>
      </c>
      <c r="M326" s="57">
        <f>MIN(0.16,MAX(0.05,NORMINV(RAND(),$C$8,$D$8)))</f>
        <v/>
      </c>
      <c r="N326" s="59">
        <f>MIN(24,MAX(5,NORMINV(RAND(),$C$9,$D$9)))</f>
        <v/>
      </c>
      <c r="O326" s="65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57">
        <f>MAX(-0.05,NORMINV(RAND(),$C$6,$D$6))</f>
        <v/>
      </c>
      <c r="L327" s="57">
        <f>MAX(0.02,NORMINV(RAND(),$C$7,$D$7))</f>
        <v/>
      </c>
      <c r="M327" s="57">
        <f>MIN(0.16,MAX(0.05,NORMINV(RAND(),$C$8,$D$8)))</f>
        <v/>
      </c>
      <c r="N327" s="59">
        <f>MIN(24,MAX(5,NORMINV(RAND(),$C$9,$D$9)))</f>
        <v/>
      </c>
      <c r="O327" s="65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57">
        <f>MAX(-0.05,NORMINV(RAND(),$C$6,$D$6))</f>
        <v/>
      </c>
      <c r="L328" s="57">
        <f>MAX(0.02,NORMINV(RAND(),$C$7,$D$7))</f>
        <v/>
      </c>
      <c r="M328" s="57">
        <f>MIN(0.16,MAX(0.05,NORMINV(RAND(),$C$8,$D$8)))</f>
        <v/>
      </c>
      <c r="N328" s="59">
        <f>MIN(24,MAX(5,NORMINV(RAND(),$C$9,$D$9)))</f>
        <v/>
      </c>
      <c r="O328" s="65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57">
        <f>MAX(-0.05,NORMINV(RAND(),$C$6,$D$6))</f>
        <v/>
      </c>
      <c r="L329" s="57">
        <f>MAX(0.02,NORMINV(RAND(),$C$7,$D$7))</f>
        <v/>
      </c>
      <c r="M329" s="57">
        <f>MIN(0.16,MAX(0.05,NORMINV(RAND(),$C$8,$D$8)))</f>
        <v/>
      </c>
      <c r="N329" s="59">
        <f>MIN(24,MAX(5,NORMINV(RAND(),$C$9,$D$9)))</f>
        <v/>
      </c>
      <c r="O329" s="65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57">
        <f>MAX(-0.05,NORMINV(RAND(),$C$6,$D$6))</f>
        <v/>
      </c>
      <c r="L330" s="57">
        <f>MAX(0.02,NORMINV(RAND(),$C$7,$D$7))</f>
        <v/>
      </c>
      <c r="M330" s="57">
        <f>MIN(0.16,MAX(0.05,NORMINV(RAND(),$C$8,$D$8)))</f>
        <v/>
      </c>
      <c r="N330" s="59">
        <f>MIN(24,MAX(5,NORMINV(RAND(),$C$9,$D$9)))</f>
        <v/>
      </c>
      <c r="O330" s="65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57">
        <f>MAX(-0.05,NORMINV(RAND(),$C$6,$D$6))</f>
        <v/>
      </c>
      <c r="L331" s="57">
        <f>MAX(0.02,NORMINV(RAND(),$C$7,$D$7))</f>
        <v/>
      </c>
      <c r="M331" s="57">
        <f>MIN(0.16,MAX(0.05,NORMINV(RAND(),$C$8,$D$8)))</f>
        <v/>
      </c>
      <c r="N331" s="59">
        <f>MIN(24,MAX(5,NORMINV(RAND(),$C$9,$D$9)))</f>
        <v/>
      </c>
      <c r="O331" s="65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57">
        <f>MAX(-0.05,NORMINV(RAND(),$C$6,$D$6))</f>
        <v/>
      </c>
      <c r="L332" s="57">
        <f>MAX(0.02,NORMINV(RAND(),$C$7,$D$7))</f>
        <v/>
      </c>
      <c r="M332" s="57">
        <f>MIN(0.16,MAX(0.05,NORMINV(RAND(),$C$8,$D$8)))</f>
        <v/>
      </c>
      <c r="N332" s="59">
        <f>MIN(24,MAX(5,NORMINV(RAND(),$C$9,$D$9)))</f>
        <v/>
      </c>
      <c r="O332" s="65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57">
        <f>MAX(-0.05,NORMINV(RAND(),$C$6,$D$6))</f>
        <v/>
      </c>
      <c r="L333" s="57">
        <f>MAX(0.02,NORMINV(RAND(),$C$7,$D$7))</f>
        <v/>
      </c>
      <c r="M333" s="57">
        <f>MIN(0.16,MAX(0.05,NORMINV(RAND(),$C$8,$D$8)))</f>
        <v/>
      </c>
      <c r="N333" s="59">
        <f>MIN(24,MAX(5,NORMINV(RAND(),$C$9,$D$9)))</f>
        <v/>
      </c>
      <c r="O333" s="65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57">
        <f>MAX(-0.05,NORMINV(RAND(),$C$6,$D$6))</f>
        <v/>
      </c>
      <c r="L334" s="57">
        <f>MAX(0.02,NORMINV(RAND(),$C$7,$D$7))</f>
        <v/>
      </c>
      <c r="M334" s="57">
        <f>MIN(0.16,MAX(0.05,NORMINV(RAND(),$C$8,$D$8)))</f>
        <v/>
      </c>
      <c r="N334" s="59">
        <f>MIN(24,MAX(5,NORMINV(RAND(),$C$9,$D$9)))</f>
        <v/>
      </c>
      <c r="O334" s="65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57">
        <f>MAX(-0.05,NORMINV(RAND(),$C$6,$D$6))</f>
        <v/>
      </c>
      <c r="L335" s="57">
        <f>MAX(0.02,NORMINV(RAND(),$C$7,$D$7))</f>
        <v/>
      </c>
      <c r="M335" s="57">
        <f>MIN(0.16,MAX(0.05,NORMINV(RAND(),$C$8,$D$8)))</f>
        <v/>
      </c>
      <c r="N335" s="59">
        <f>MIN(24,MAX(5,NORMINV(RAND(),$C$9,$D$9)))</f>
        <v/>
      </c>
      <c r="O335" s="65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57">
        <f>MAX(-0.05,NORMINV(RAND(),$C$6,$D$6))</f>
        <v/>
      </c>
      <c r="L336" s="57">
        <f>MAX(0.02,NORMINV(RAND(),$C$7,$D$7))</f>
        <v/>
      </c>
      <c r="M336" s="57">
        <f>MIN(0.16,MAX(0.05,NORMINV(RAND(),$C$8,$D$8)))</f>
        <v/>
      </c>
      <c r="N336" s="59">
        <f>MIN(24,MAX(5,NORMINV(RAND(),$C$9,$D$9)))</f>
        <v/>
      </c>
      <c r="O336" s="65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57">
        <f>MAX(-0.05,NORMINV(RAND(),$C$6,$D$6))</f>
        <v/>
      </c>
      <c r="L337" s="57">
        <f>MAX(0.02,NORMINV(RAND(),$C$7,$D$7))</f>
        <v/>
      </c>
      <c r="M337" s="57">
        <f>MIN(0.16,MAX(0.05,NORMINV(RAND(),$C$8,$D$8)))</f>
        <v/>
      </c>
      <c r="N337" s="59">
        <f>MIN(24,MAX(5,NORMINV(RAND(),$C$9,$D$9)))</f>
        <v/>
      </c>
      <c r="O337" s="65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57">
        <f>MAX(-0.05,NORMINV(RAND(),$C$6,$D$6))</f>
        <v/>
      </c>
      <c r="L338" s="57">
        <f>MAX(0.02,NORMINV(RAND(),$C$7,$D$7))</f>
        <v/>
      </c>
      <c r="M338" s="57">
        <f>MIN(0.16,MAX(0.05,NORMINV(RAND(),$C$8,$D$8)))</f>
        <v/>
      </c>
      <c r="N338" s="59">
        <f>MIN(24,MAX(5,NORMINV(RAND(),$C$9,$D$9)))</f>
        <v/>
      </c>
      <c r="O338" s="65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57">
        <f>MAX(-0.05,NORMINV(RAND(),$C$6,$D$6))</f>
        <v/>
      </c>
      <c r="L339" s="57">
        <f>MAX(0.02,NORMINV(RAND(),$C$7,$D$7))</f>
        <v/>
      </c>
      <c r="M339" s="57">
        <f>MIN(0.16,MAX(0.05,NORMINV(RAND(),$C$8,$D$8)))</f>
        <v/>
      </c>
      <c r="N339" s="59">
        <f>MIN(24,MAX(5,NORMINV(RAND(),$C$9,$D$9)))</f>
        <v/>
      </c>
      <c r="O339" s="65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57">
        <f>MAX(-0.05,NORMINV(RAND(),$C$6,$D$6))</f>
        <v/>
      </c>
      <c r="L340" s="57">
        <f>MAX(0.02,NORMINV(RAND(),$C$7,$D$7))</f>
        <v/>
      </c>
      <c r="M340" s="57">
        <f>MIN(0.16,MAX(0.05,NORMINV(RAND(),$C$8,$D$8)))</f>
        <v/>
      </c>
      <c r="N340" s="59">
        <f>MIN(24,MAX(5,NORMINV(RAND(),$C$9,$D$9)))</f>
        <v/>
      </c>
      <c r="O340" s="65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57">
        <f>MAX(-0.05,NORMINV(RAND(),$C$6,$D$6))</f>
        <v/>
      </c>
      <c r="L341" s="57">
        <f>MAX(0.02,NORMINV(RAND(),$C$7,$D$7))</f>
        <v/>
      </c>
      <c r="M341" s="57">
        <f>MIN(0.16,MAX(0.05,NORMINV(RAND(),$C$8,$D$8)))</f>
        <v/>
      </c>
      <c r="N341" s="59">
        <f>MIN(24,MAX(5,NORMINV(RAND(),$C$9,$D$9)))</f>
        <v/>
      </c>
      <c r="O341" s="65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57">
        <f>MAX(-0.05,NORMINV(RAND(),$C$6,$D$6))</f>
        <v/>
      </c>
      <c r="L342" s="57">
        <f>MAX(0.02,NORMINV(RAND(),$C$7,$D$7))</f>
        <v/>
      </c>
      <c r="M342" s="57">
        <f>MIN(0.16,MAX(0.05,NORMINV(RAND(),$C$8,$D$8)))</f>
        <v/>
      </c>
      <c r="N342" s="59">
        <f>MIN(24,MAX(5,NORMINV(RAND(),$C$9,$D$9)))</f>
        <v/>
      </c>
      <c r="O342" s="65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57">
        <f>MAX(-0.05,NORMINV(RAND(),$C$6,$D$6))</f>
        <v/>
      </c>
      <c r="L343" s="57">
        <f>MAX(0.02,NORMINV(RAND(),$C$7,$D$7))</f>
        <v/>
      </c>
      <c r="M343" s="57">
        <f>MIN(0.16,MAX(0.05,NORMINV(RAND(),$C$8,$D$8)))</f>
        <v/>
      </c>
      <c r="N343" s="59">
        <f>MIN(24,MAX(5,NORMINV(RAND(),$C$9,$D$9)))</f>
        <v/>
      </c>
      <c r="O343" s="65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57">
        <f>MAX(-0.05,NORMINV(RAND(),$C$6,$D$6))</f>
        <v/>
      </c>
      <c r="L344" s="57">
        <f>MAX(0.02,NORMINV(RAND(),$C$7,$D$7))</f>
        <v/>
      </c>
      <c r="M344" s="57">
        <f>MIN(0.16,MAX(0.05,NORMINV(RAND(),$C$8,$D$8)))</f>
        <v/>
      </c>
      <c r="N344" s="59">
        <f>MIN(24,MAX(5,NORMINV(RAND(),$C$9,$D$9)))</f>
        <v/>
      </c>
      <c r="O344" s="65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57">
        <f>MAX(-0.05,NORMINV(RAND(),$C$6,$D$6))</f>
        <v/>
      </c>
      <c r="L345" s="57">
        <f>MAX(0.02,NORMINV(RAND(),$C$7,$D$7))</f>
        <v/>
      </c>
      <c r="M345" s="57">
        <f>MIN(0.16,MAX(0.05,NORMINV(RAND(),$C$8,$D$8)))</f>
        <v/>
      </c>
      <c r="N345" s="59">
        <f>MIN(24,MAX(5,NORMINV(RAND(),$C$9,$D$9)))</f>
        <v/>
      </c>
      <c r="O345" s="65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57">
        <f>MAX(-0.05,NORMINV(RAND(),$C$6,$D$6))</f>
        <v/>
      </c>
      <c r="L346" s="57">
        <f>MAX(0.02,NORMINV(RAND(),$C$7,$D$7))</f>
        <v/>
      </c>
      <c r="M346" s="57">
        <f>MIN(0.16,MAX(0.05,NORMINV(RAND(),$C$8,$D$8)))</f>
        <v/>
      </c>
      <c r="N346" s="59">
        <f>MIN(24,MAX(5,NORMINV(RAND(),$C$9,$D$9)))</f>
        <v/>
      </c>
      <c r="O346" s="65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57">
        <f>MAX(-0.05,NORMINV(RAND(),$C$6,$D$6))</f>
        <v/>
      </c>
      <c r="L347" s="57">
        <f>MAX(0.02,NORMINV(RAND(),$C$7,$D$7))</f>
        <v/>
      </c>
      <c r="M347" s="57">
        <f>MIN(0.16,MAX(0.05,NORMINV(RAND(),$C$8,$D$8)))</f>
        <v/>
      </c>
      <c r="N347" s="59">
        <f>MIN(24,MAX(5,NORMINV(RAND(),$C$9,$D$9)))</f>
        <v/>
      </c>
      <c r="O347" s="65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57">
        <f>MAX(-0.05,NORMINV(RAND(),$C$6,$D$6))</f>
        <v/>
      </c>
      <c r="L348" s="57">
        <f>MAX(0.02,NORMINV(RAND(),$C$7,$D$7))</f>
        <v/>
      </c>
      <c r="M348" s="57">
        <f>MIN(0.16,MAX(0.05,NORMINV(RAND(),$C$8,$D$8)))</f>
        <v/>
      </c>
      <c r="N348" s="59">
        <f>MIN(24,MAX(5,NORMINV(RAND(),$C$9,$D$9)))</f>
        <v/>
      </c>
      <c r="O348" s="65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57">
        <f>MAX(-0.05,NORMINV(RAND(),$C$6,$D$6))</f>
        <v/>
      </c>
      <c r="L349" s="57">
        <f>MAX(0.02,NORMINV(RAND(),$C$7,$D$7))</f>
        <v/>
      </c>
      <c r="M349" s="57">
        <f>MIN(0.16,MAX(0.05,NORMINV(RAND(),$C$8,$D$8)))</f>
        <v/>
      </c>
      <c r="N349" s="59">
        <f>MIN(24,MAX(5,NORMINV(RAND(),$C$9,$D$9)))</f>
        <v/>
      </c>
      <c r="O349" s="65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57">
        <f>MAX(-0.05,NORMINV(RAND(),$C$6,$D$6))</f>
        <v/>
      </c>
      <c r="L350" s="57">
        <f>MAX(0.02,NORMINV(RAND(),$C$7,$D$7))</f>
        <v/>
      </c>
      <c r="M350" s="57">
        <f>MIN(0.16,MAX(0.05,NORMINV(RAND(),$C$8,$D$8)))</f>
        <v/>
      </c>
      <c r="N350" s="59">
        <f>MIN(24,MAX(5,NORMINV(RAND(),$C$9,$D$9)))</f>
        <v/>
      </c>
      <c r="O350" s="65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57">
        <f>MAX(-0.05,NORMINV(RAND(),$C$6,$D$6))</f>
        <v/>
      </c>
      <c r="L351" s="57">
        <f>MAX(0.02,NORMINV(RAND(),$C$7,$D$7))</f>
        <v/>
      </c>
      <c r="M351" s="57">
        <f>MIN(0.16,MAX(0.05,NORMINV(RAND(),$C$8,$D$8)))</f>
        <v/>
      </c>
      <c r="N351" s="59">
        <f>MIN(24,MAX(5,NORMINV(RAND(),$C$9,$D$9)))</f>
        <v/>
      </c>
      <c r="O351" s="65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57">
        <f>MAX(-0.05,NORMINV(RAND(),$C$6,$D$6))</f>
        <v/>
      </c>
      <c r="L352" s="57">
        <f>MAX(0.02,NORMINV(RAND(),$C$7,$D$7))</f>
        <v/>
      </c>
      <c r="M352" s="57">
        <f>MIN(0.16,MAX(0.05,NORMINV(RAND(),$C$8,$D$8)))</f>
        <v/>
      </c>
      <c r="N352" s="59">
        <f>MIN(24,MAX(5,NORMINV(RAND(),$C$9,$D$9)))</f>
        <v/>
      </c>
      <c r="O352" s="65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57">
        <f>MAX(-0.05,NORMINV(RAND(),$C$6,$D$6))</f>
        <v/>
      </c>
      <c r="L353" s="57">
        <f>MAX(0.02,NORMINV(RAND(),$C$7,$D$7))</f>
        <v/>
      </c>
      <c r="M353" s="57">
        <f>MIN(0.16,MAX(0.05,NORMINV(RAND(),$C$8,$D$8)))</f>
        <v/>
      </c>
      <c r="N353" s="59">
        <f>MIN(24,MAX(5,NORMINV(RAND(),$C$9,$D$9)))</f>
        <v/>
      </c>
      <c r="O353" s="65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57">
        <f>MAX(-0.05,NORMINV(RAND(),$C$6,$D$6))</f>
        <v/>
      </c>
      <c r="L354" s="57">
        <f>MAX(0.02,NORMINV(RAND(),$C$7,$D$7))</f>
        <v/>
      </c>
      <c r="M354" s="57">
        <f>MIN(0.16,MAX(0.05,NORMINV(RAND(),$C$8,$D$8)))</f>
        <v/>
      </c>
      <c r="N354" s="59">
        <f>MIN(24,MAX(5,NORMINV(RAND(),$C$9,$D$9)))</f>
        <v/>
      </c>
      <c r="O354" s="65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57">
        <f>MAX(-0.05,NORMINV(RAND(),$C$6,$D$6))</f>
        <v/>
      </c>
      <c r="L355" s="57">
        <f>MAX(0.02,NORMINV(RAND(),$C$7,$D$7))</f>
        <v/>
      </c>
      <c r="M355" s="57">
        <f>MIN(0.16,MAX(0.05,NORMINV(RAND(),$C$8,$D$8)))</f>
        <v/>
      </c>
      <c r="N355" s="59">
        <f>MIN(24,MAX(5,NORMINV(RAND(),$C$9,$D$9)))</f>
        <v/>
      </c>
      <c r="O355" s="65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57">
        <f>MAX(-0.05,NORMINV(RAND(),$C$6,$D$6))</f>
        <v/>
      </c>
      <c r="L356" s="57">
        <f>MAX(0.02,NORMINV(RAND(),$C$7,$D$7))</f>
        <v/>
      </c>
      <c r="M356" s="57">
        <f>MIN(0.16,MAX(0.05,NORMINV(RAND(),$C$8,$D$8)))</f>
        <v/>
      </c>
      <c r="N356" s="59">
        <f>MIN(24,MAX(5,NORMINV(RAND(),$C$9,$D$9)))</f>
        <v/>
      </c>
      <c r="O356" s="65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57">
        <f>MAX(-0.05,NORMINV(RAND(),$C$6,$D$6))</f>
        <v/>
      </c>
      <c r="L357" s="57">
        <f>MAX(0.02,NORMINV(RAND(),$C$7,$D$7))</f>
        <v/>
      </c>
      <c r="M357" s="57">
        <f>MIN(0.16,MAX(0.05,NORMINV(RAND(),$C$8,$D$8)))</f>
        <v/>
      </c>
      <c r="N357" s="59">
        <f>MIN(24,MAX(5,NORMINV(RAND(),$C$9,$D$9)))</f>
        <v/>
      </c>
      <c r="O357" s="65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57">
        <f>MAX(-0.05,NORMINV(RAND(),$C$6,$D$6))</f>
        <v/>
      </c>
      <c r="L358" s="57">
        <f>MAX(0.02,NORMINV(RAND(),$C$7,$D$7))</f>
        <v/>
      </c>
      <c r="M358" s="57">
        <f>MIN(0.16,MAX(0.05,NORMINV(RAND(),$C$8,$D$8)))</f>
        <v/>
      </c>
      <c r="N358" s="59">
        <f>MIN(24,MAX(5,NORMINV(RAND(),$C$9,$D$9)))</f>
        <v/>
      </c>
      <c r="O358" s="65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57">
        <f>MAX(-0.05,NORMINV(RAND(),$C$6,$D$6))</f>
        <v/>
      </c>
      <c r="L359" s="57">
        <f>MAX(0.02,NORMINV(RAND(),$C$7,$D$7))</f>
        <v/>
      </c>
      <c r="M359" s="57">
        <f>MIN(0.16,MAX(0.05,NORMINV(RAND(),$C$8,$D$8)))</f>
        <v/>
      </c>
      <c r="N359" s="59">
        <f>MIN(24,MAX(5,NORMINV(RAND(),$C$9,$D$9)))</f>
        <v/>
      </c>
      <c r="O359" s="65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57">
        <f>MAX(-0.05,NORMINV(RAND(),$C$6,$D$6))</f>
        <v/>
      </c>
      <c r="L360" s="57">
        <f>MAX(0.02,NORMINV(RAND(),$C$7,$D$7))</f>
        <v/>
      </c>
      <c r="M360" s="57">
        <f>MIN(0.16,MAX(0.05,NORMINV(RAND(),$C$8,$D$8)))</f>
        <v/>
      </c>
      <c r="N360" s="59">
        <f>MIN(24,MAX(5,NORMINV(RAND(),$C$9,$D$9)))</f>
        <v/>
      </c>
      <c r="O360" s="65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57">
        <f>MAX(-0.05,NORMINV(RAND(),$C$6,$D$6))</f>
        <v/>
      </c>
      <c r="L361" s="57">
        <f>MAX(0.02,NORMINV(RAND(),$C$7,$D$7))</f>
        <v/>
      </c>
      <c r="M361" s="57">
        <f>MIN(0.16,MAX(0.05,NORMINV(RAND(),$C$8,$D$8)))</f>
        <v/>
      </c>
      <c r="N361" s="59">
        <f>MIN(24,MAX(5,NORMINV(RAND(),$C$9,$D$9)))</f>
        <v/>
      </c>
      <c r="O361" s="65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57">
        <f>MAX(-0.05,NORMINV(RAND(),$C$6,$D$6))</f>
        <v/>
      </c>
      <c r="L362" s="57">
        <f>MAX(0.02,NORMINV(RAND(),$C$7,$D$7))</f>
        <v/>
      </c>
      <c r="M362" s="57">
        <f>MIN(0.16,MAX(0.05,NORMINV(RAND(),$C$8,$D$8)))</f>
        <v/>
      </c>
      <c r="N362" s="59">
        <f>MIN(24,MAX(5,NORMINV(RAND(),$C$9,$D$9)))</f>
        <v/>
      </c>
      <c r="O362" s="65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57">
        <f>MAX(-0.05,NORMINV(RAND(),$C$6,$D$6))</f>
        <v/>
      </c>
      <c r="L363" s="57">
        <f>MAX(0.02,NORMINV(RAND(),$C$7,$D$7))</f>
        <v/>
      </c>
      <c r="M363" s="57">
        <f>MIN(0.16,MAX(0.05,NORMINV(RAND(),$C$8,$D$8)))</f>
        <v/>
      </c>
      <c r="N363" s="59">
        <f>MIN(24,MAX(5,NORMINV(RAND(),$C$9,$D$9)))</f>
        <v/>
      </c>
      <c r="O363" s="65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57">
        <f>MAX(-0.05,NORMINV(RAND(),$C$6,$D$6))</f>
        <v/>
      </c>
      <c r="L364" s="57">
        <f>MAX(0.02,NORMINV(RAND(),$C$7,$D$7))</f>
        <v/>
      </c>
      <c r="M364" s="57">
        <f>MIN(0.16,MAX(0.05,NORMINV(RAND(),$C$8,$D$8)))</f>
        <v/>
      </c>
      <c r="N364" s="59">
        <f>MIN(24,MAX(5,NORMINV(RAND(),$C$9,$D$9)))</f>
        <v/>
      </c>
      <c r="O364" s="65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57">
        <f>MAX(-0.05,NORMINV(RAND(),$C$6,$D$6))</f>
        <v/>
      </c>
      <c r="L365" s="57">
        <f>MAX(0.02,NORMINV(RAND(),$C$7,$D$7))</f>
        <v/>
      </c>
      <c r="M365" s="57">
        <f>MIN(0.16,MAX(0.05,NORMINV(RAND(),$C$8,$D$8)))</f>
        <v/>
      </c>
      <c r="N365" s="59">
        <f>MIN(24,MAX(5,NORMINV(RAND(),$C$9,$D$9)))</f>
        <v/>
      </c>
      <c r="O365" s="65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57">
        <f>MAX(-0.05,NORMINV(RAND(),$C$6,$D$6))</f>
        <v/>
      </c>
      <c r="L366" s="57">
        <f>MAX(0.02,NORMINV(RAND(),$C$7,$D$7))</f>
        <v/>
      </c>
      <c r="M366" s="57">
        <f>MIN(0.16,MAX(0.05,NORMINV(RAND(),$C$8,$D$8)))</f>
        <v/>
      </c>
      <c r="N366" s="59">
        <f>MIN(24,MAX(5,NORMINV(RAND(),$C$9,$D$9)))</f>
        <v/>
      </c>
      <c r="O366" s="65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57">
        <f>MAX(-0.05,NORMINV(RAND(),$C$6,$D$6))</f>
        <v/>
      </c>
      <c r="L367" s="57">
        <f>MAX(0.02,NORMINV(RAND(),$C$7,$D$7))</f>
        <v/>
      </c>
      <c r="M367" s="57">
        <f>MIN(0.16,MAX(0.05,NORMINV(RAND(),$C$8,$D$8)))</f>
        <v/>
      </c>
      <c r="N367" s="59">
        <f>MIN(24,MAX(5,NORMINV(RAND(),$C$9,$D$9)))</f>
        <v/>
      </c>
      <c r="O367" s="65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57">
        <f>MAX(-0.05,NORMINV(RAND(),$C$6,$D$6))</f>
        <v/>
      </c>
      <c r="L368" s="57">
        <f>MAX(0.02,NORMINV(RAND(),$C$7,$D$7))</f>
        <v/>
      </c>
      <c r="M368" s="57">
        <f>MIN(0.16,MAX(0.05,NORMINV(RAND(),$C$8,$D$8)))</f>
        <v/>
      </c>
      <c r="N368" s="59">
        <f>MIN(24,MAX(5,NORMINV(RAND(),$C$9,$D$9)))</f>
        <v/>
      </c>
      <c r="O368" s="65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57">
        <f>MAX(-0.05,NORMINV(RAND(),$C$6,$D$6))</f>
        <v/>
      </c>
      <c r="L369" s="57">
        <f>MAX(0.02,NORMINV(RAND(),$C$7,$D$7))</f>
        <v/>
      </c>
      <c r="M369" s="57">
        <f>MIN(0.16,MAX(0.05,NORMINV(RAND(),$C$8,$D$8)))</f>
        <v/>
      </c>
      <c r="N369" s="59">
        <f>MIN(24,MAX(5,NORMINV(RAND(),$C$9,$D$9)))</f>
        <v/>
      </c>
      <c r="O369" s="65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57">
        <f>MAX(-0.05,NORMINV(RAND(),$C$6,$D$6))</f>
        <v/>
      </c>
      <c r="L370" s="57">
        <f>MAX(0.02,NORMINV(RAND(),$C$7,$D$7))</f>
        <v/>
      </c>
      <c r="M370" s="57">
        <f>MIN(0.16,MAX(0.05,NORMINV(RAND(),$C$8,$D$8)))</f>
        <v/>
      </c>
      <c r="N370" s="59">
        <f>MIN(24,MAX(5,NORMINV(RAND(),$C$9,$D$9)))</f>
        <v/>
      </c>
      <c r="O370" s="65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57">
        <f>MAX(-0.05,NORMINV(RAND(),$C$6,$D$6))</f>
        <v/>
      </c>
      <c r="L371" s="57">
        <f>MAX(0.02,NORMINV(RAND(),$C$7,$D$7))</f>
        <v/>
      </c>
      <c r="M371" s="57">
        <f>MIN(0.16,MAX(0.05,NORMINV(RAND(),$C$8,$D$8)))</f>
        <v/>
      </c>
      <c r="N371" s="59">
        <f>MIN(24,MAX(5,NORMINV(RAND(),$C$9,$D$9)))</f>
        <v/>
      </c>
      <c r="O371" s="65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57">
        <f>MAX(-0.05,NORMINV(RAND(),$C$6,$D$6))</f>
        <v/>
      </c>
      <c r="L372" s="57">
        <f>MAX(0.02,NORMINV(RAND(),$C$7,$D$7))</f>
        <v/>
      </c>
      <c r="M372" s="57">
        <f>MIN(0.16,MAX(0.05,NORMINV(RAND(),$C$8,$D$8)))</f>
        <v/>
      </c>
      <c r="N372" s="59">
        <f>MIN(24,MAX(5,NORMINV(RAND(),$C$9,$D$9)))</f>
        <v/>
      </c>
      <c r="O372" s="65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57">
        <f>MAX(-0.05,NORMINV(RAND(),$C$6,$D$6))</f>
        <v/>
      </c>
      <c r="L373" s="57">
        <f>MAX(0.02,NORMINV(RAND(),$C$7,$D$7))</f>
        <v/>
      </c>
      <c r="M373" s="57">
        <f>MIN(0.16,MAX(0.05,NORMINV(RAND(),$C$8,$D$8)))</f>
        <v/>
      </c>
      <c r="N373" s="59">
        <f>MIN(24,MAX(5,NORMINV(RAND(),$C$9,$D$9)))</f>
        <v/>
      </c>
      <c r="O373" s="65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57">
        <f>MAX(-0.05,NORMINV(RAND(),$C$6,$D$6))</f>
        <v/>
      </c>
      <c r="L374" s="57">
        <f>MAX(0.02,NORMINV(RAND(),$C$7,$D$7))</f>
        <v/>
      </c>
      <c r="M374" s="57">
        <f>MIN(0.16,MAX(0.05,NORMINV(RAND(),$C$8,$D$8)))</f>
        <v/>
      </c>
      <c r="N374" s="59">
        <f>MIN(24,MAX(5,NORMINV(RAND(),$C$9,$D$9)))</f>
        <v/>
      </c>
      <c r="O374" s="65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57">
        <f>MAX(-0.05,NORMINV(RAND(),$C$6,$D$6))</f>
        <v/>
      </c>
      <c r="L375" s="57">
        <f>MAX(0.02,NORMINV(RAND(),$C$7,$D$7))</f>
        <v/>
      </c>
      <c r="M375" s="57">
        <f>MIN(0.16,MAX(0.05,NORMINV(RAND(),$C$8,$D$8)))</f>
        <v/>
      </c>
      <c r="N375" s="59">
        <f>MIN(24,MAX(5,NORMINV(RAND(),$C$9,$D$9)))</f>
        <v/>
      </c>
      <c r="O375" s="65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57">
        <f>MAX(-0.05,NORMINV(RAND(),$C$6,$D$6))</f>
        <v/>
      </c>
      <c r="L376" s="57">
        <f>MAX(0.02,NORMINV(RAND(),$C$7,$D$7))</f>
        <v/>
      </c>
      <c r="M376" s="57">
        <f>MIN(0.16,MAX(0.05,NORMINV(RAND(),$C$8,$D$8)))</f>
        <v/>
      </c>
      <c r="N376" s="59">
        <f>MIN(24,MAX(5,NORMINV(RAND(),$C$9,$D$9)))</f>
        <v/>
      </c>
      <c r="O376" s="65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57">
        <f>MAX(-0.05,NORMINV(RAND(),$C$6,$D$6))</f>
        <v/>
      </c>
      <c r="L377" s="57">
        <f>MAX(0.02,NORMINV(RAND(),$C$7,$D$7))</f>
        <v/>
      </c>
      <c r="M377" s="57">
        <f>MIN(0.16,MAX(0.05,NORMINV(RAND(),$C$8,$D$8)))</f>
        <v/>
      </c>
      <c r="N377" s="59">
        <f>MIN(24,MAX(5,NORMINV(RAND(),$C$9,$D$9)))</f>
        <v/>
      </c>
      <c r="O377" s="65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57">
        <f>MAX(-0.05,NORMINV(RAND(),$C$6,$D$6))</f>
        <v/>
      </c>
      <c r="L378" s="57">
        <f>MAX(0.02,NORMINV(RAND(),$C$7,$D$7))</f>
        <v/>
      </c>
      <c r="M378" s="57">
        <f>MIN(0.16,MAX(0.05,NORMINV(RAND(),$C$8,$D$8)))</f>
        <v/>
      </c>
      <c r="N378" s="59">
        <f>MIN(24,MAX(5,NORMINV(RAND(),$C$9,$D$9)))</f>
        <v/>
      </c>
      <c r="O378" s="65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57">
        <f>MAX(-0.05,NORMINV(RAND(),$C$6,$D$6))</f>
        <v/>
      </c>
      <c r="L379" s="57">
        <f>MAX(0.02,NORMINV(RAND(),$C$7,$D$7))</f>
        <v/>
      </c>
      <c r="M379" s="57">
        <f>MIN(0.16,MAX(0.05,NORMINV(RAND(),$C$8,$D$8)))</f>
        <v/>
      </c>
      <c r="N379" s="59">
        <f>MIN(24,MAX(5,NORMINV(RAND(),$C$9,$D$9)))</f>
        <v/>
      </c>
      <c r="O379" s="65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57">
        <f>MAX(-0.05,NORMINV(RAND(),$C$6,$D$6))</f>
        <v/>
      </c>
      <c r="L380" s="57">
        <f>MAX(0.02,NORMINV(RAND(),$C$7,$D$7))</f>
        <v/>
      </c>
      <c r="M380" s="57">
        <f>MIN(0.16,MAX(0.05,NORMINV(RAND(),$C$8,$D$8)))</f>
        <v/>
      </c>
      <c r="N380" s="59">
        <f>MIN(24,MAX(5,NORMINV(RAND(),$C$9,$D$9)))</f>
        <v/>
      </c>
      <c r="O380" s="65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57">
        <f>MAX(-0.05,NORMINV(RAND(),$C$6,$D$6))</f>
        <v/>
      </c>
      <c r="L381" s="57">
        <f>MAX(0.02,NORMINV(RAND(),$C$7,$D$7))</f>
        <v/>
      </c>
      <c r="M381" s="57">
        <f>MIN(0.16,MAX(0.05,NORMINV(RAND(),$C$8,$D$8)))</f>
        <v/>
      </c>
      <c r="N381" s="59">
        <f>MIN(24,MAX(5,NORMINV(RAND(),$C$9,$D$9)))</f>
        <v/>
      </c>
      <c r="O381" s="65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57">
        <f>MAX(-0.05,NORMINV(RAND(),$C$6,$D$6))</f>
        <v/>
      </c>
      <c r="L382" s="57">
        <f>MAX(0.02,NORMINV(RAND(),$C$7,$D$7))</f>
        <v/>
      </c>
      <c r="M382" s="57">
        <f>MIN(0.16,MAX(0.05,NORMINV(RAND(),$C$8,$D$8)))</f>
        <v/>
      </c>
      <c r="N382" s="59">
        <f>MIN(24,MAX(5,NORMINV(RAND(),$C$9,$D$9)))</f>
        <v/>
      </c>
      <c r="O382" s="65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57">
        <f>MAX(-0.05,NORMINV(RAND(),$C$6,$D$6))</f>
        <v/>
      </c>
      <c r="L383" s="57">
        <f>MAX(0.02,NORMINV(RAND(),$C$7,$D$7))</f>
        <v/>
      </c>
      <c r="M383" s="57">
        <f>MIN(0.16,MAX(0.05,NORMINV(RAND(),$C$8,$D$8)))</f>
        <v/>
      </c>
      <c r="N383" s="59">
        <f>MIN(24,MAX(5,NORMINV(RAND(),$C$9,$D$9)))</f>
        <v/>
      </c>
      <c r="O383" s="65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57">
        <f>MAX(-0.05,NORMINV(RAND(),$C$6,$D$6))</f>
        <v/>
      </c>
      <c r="L384" s="57">
        <f>MAX(0.02,NORMINV(RAND(),$C$7,$D$7))</f>
        <v/>
      </c>
      <c r="M384" s="57">
        <f>MIN(0.16,MAX(0.05,NORMINV(RAND(),$C$8,$D$8)))</f>
        <v/>
      </c>
      <c r="N384" s="59">
        <f>MIN(24,MAX(5,NORMINV(RAND(),$C$9,$D$9)))</f>
        <v/>
      </c>
      <c r="O384" s="65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57">
        <f>MAX(-0.05,NORMINV(RAND(),$C$6,$D$6))</f>
        <v/>
      </c>
      <c r="L385" s="57">
        <f>MAX(0.02,NORMINV(RAND(),$C$7,$D$7))</f>
        <v/>
      </c>
      <c r="M385" s="57">
        <f>MIN(0.16,MAX(0.05,NORMINV(RAND(),$C$8,$D$8)))</f>
        <v/>
      </c>
      <c r="N385" s="59">
        <f>MIN(24,MAX(5,NORMINV(RAND(),$C$9,$D$9)))</f>
        <v/>
      </c>
      <c r="O385" s="65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57">
        <f>MAX(-0.05,NORMINV(RAND(),$C$6,$D$6))</f>
        <v/>
      </c>
      <c r="L386" s="57">
        <f>MAX(0.02,NORMINV(RAND(),$C$7,$D$7))</f>
        <v/>
      </c>
      <c r="M386" s="57">
        <f>MIN(0.16,MAX(0.05,NORMINV(RAND(),$C$8,$D$8)))</f>
        <v/>
      </c>
      <c r="N386" s="59">
        <f>MIN(24,MAX(5,NORMINV(RAND(),$C$9,$D$9)))</f>
        <v/>
      </c>
      <c r="O386" s="65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57">
        <f>MAX(-0.05,NORMINV(RAND(),$C$6,$D$6))</f>
        <v/>
      </c>
      <c r="L387" s="57">
        <f>MAX(0.02,NORMINV(RAND(),$C$7,$D$7))</f>
        <v/>
      </c>
      <c r="M387" s="57">
        <f>MIN(0.16,MAX(0.05,NORMINV(RAND(),$C$8,$D$8)))</f>
        <v/>
      </c>
      <c r="N387" s="59">
        <f>MIN(24,MAX(5,NORMINV(RAND(),$C$9,$D$9)))</f>
        <v/>
      </c>
      <c r="O387" s="65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57">
        <f>MAX(-0.05,NORMINV(RAND(),$C$6,$D$6))</f>
        <v/>
      </c>
      <c r="L388" s="57">
        <f>MAX(0.02,NORMINV(RAND(),$C$7,$D$7))</f>
        <v/>
      </c>
      <c r="M388" s="57">
        <f>MIN(0.16,MAX(0.05,NORMINV(RAND(),$C$8,$D$8)))</f>
        <v/>
      </c>
      <c r="N388" s="59">
        <f>MIN(24,MAX(5,NORMINV(RAND(),$C$9,$D$9)))</f>
        <v/>
      </c>
      <c r="O388" s="65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57">
        <f>MAX(-0.05,NORMINV(RAND(),$C$6,$D$6))</f>
        <v/>
      </c>
      <c r="L389" s="57">
        <f>MAX(0.02,NORMINV(RAND(),$C$7,$D$7))</f>
        <v/>
      </c>
      <c r="M389" s="57">
        <f>MIN(0.16,MAX(0.05,NORMINV(RAND(),$C$8,$D$8)))</f>
        <v/>
      </c>
      <c r="N389" s="59">
        <f>MIN(24,MAX(5,NORMINV(RAND(),$C$9,$D$9)))</f>
        <v/>
      </c>
      <c r="O389" s="65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57">
        <f>MAX(-0.05,NORMINV(RAND(),$C$6,$D$6))</f>
        <v/>
      </c>
      <c r="L390" s="57">
        <f>MAX(0.02,NORMINV(RAND(),$C$7,$D$7))</f>
        <v/>
      </c>
      <c r="M390" s="57">
        <f>MIN(0.16,MAX(0.05,NORMINV(RAND(),$C$8,$D$8)))</f>
        <v/>
      </c>
      <c r="N390" s="59">
        <f>MIN(24,MAX(5,NORMINV(RAND(),$C$9,$D$9)))</f>
        <v/>
      </c>
      <c r="O390" s="65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57">
        <f>MAX(-0.05,NORMINV(RAND(),$C$6,$D$6))</f>
        <v/>
      </c>
      <c r="L391" s="57">
        <f>MAX(0.02,NORMINV(RAND(),$C$7,$D$7))</f>
        <v/>
      </c>
      <c r="M391" s="57">
        <f>MIN(0.16,MAX(0.05,NORMINV(RAND(),$C$8,$D$8)))</f>
        <v/>
      </c>
      <c r="N391" s="59">
        <f>MIN(24,MAX(5,NORMINV(RAND(),$C$9,$D$9)))</f>
        <v/>
      </c>
      <c r="O391" s="65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57">
        <f>MAX(-0.05,NORMINV(RAND(),$C$6,$D$6))</f>
        <v/>
      </c>
      <c r="L392" s="57">
        <f>MAX(0.02,NORMINV(RAND(),$C$7,$D$7))</f>
        <v/>
      </c>
      <c r="M392" s="57">
        <f>MIN(0.16,MAX(0.05,NORMINV(RAND(),$C$8,$D$8)))</f>
        <v/>
      </c>
      <c r="N392" s="59">
        <f>MIN(24,MAX(5,NORMINV(RAND(),$C$9,$D$9)))</f>
        <v/>
      </c>
      <c r="O392" s="65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57">
        <f>MAX(-0.05,NORMINV(RAND(),$C$6,$D$6))</f>
        <v/>
      </c>
      <c r="L393" s="57">
        <f>MAX(0.02,NORMINV(RAND(),$C$7,$D$7))</f>
        <v/>
      </c>
      <c r="M393" s="57">
        <f>MIN(0.16,MAX(0.05,NORMINV(RAND(),$C$8,$D$8)))</f>
        <v/>
      </c>
      <c r="N393" s="59">
        <f>MIN(24,MAX(5,NORMINV(RAND(),$C$9,$D$9)))</f>
        <v/>
      </c>
      <c r="O393" s="65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57">
        <f>MAX(-0.05,NORMINV(RAND(),$C$6,$D$6))</f>
        <v/>
      </c>
      <c r="L394" s="57">
        <f>MAX(0.02,NORMINV(RAND(),$C$7,$D$7))</f>
        <v/>
      </c>
      <c r="M394" s="57">
        <f>MIN(0.16,MAX(0.05,NORMINV(RAND(),$C$8,$D$8)))</f>
        <v/>
      </c>
      <c r="N394" s="59">
        <f>MIN(24,MAX(5,NORMINV(RAND(),$C$9,$D$9)))</f>
        <v/>
      </c>
      <c r="O394" s="65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57">
        <f>MAX(-0.05,NORMINV(RAND(),$C$6,$D$6))</f>
        <v/>
      </c>
      <c r="L395" s="57">
        <f>MAX(0.02,NORMINV(RAND(),$C$7,$D$7))</f>
        <v/>
      </c>
      <c r="M395" s="57">
        <f>MIN(0.16,MAX(0.05,NORMINV(RAND(),$C$8,$D$8)))</f>
        <v/>
      </c>
      <c r="N395" s="59">
        <f>MIN(24,MAX(5,NORMINV(RAND(),$C$9,$D$9)))</f>
        <v/>
      </c>
      <c r="O395" s="65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57">
        <f>MAX(-0.05,NORMINV(RAND(),$C$6,$D$6))</f>
        <v/>
      </c>
      <c r="L396" s="57">
        <f>MAX(0.02,NORMINV(RAND(),$C$7,$D$7))</f>
        <v/>
      </c>
      <c r="M396" s="57">
        <f>MIN(0.16,MAX(0.05,NORMINV(RAND(),$C$8,$D$8)))</f>
        <v/>
      </c>
      <c r="N396" s="59">
        <f>MIN(24,MAX(5,NORMINV(RAND(),$C$9,$D$9)))</f>
        <v/>
      </c>
      <c r="O396" s="65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57">
        <f>MAX(-0.05,NORMINV(RAND(),$C$6,$D$6))</f>
        <v/>
      </c>
      <c r="L397" s="57">
        <f>MAX(0.02,NORMINV(RAND(),$C$7,$D$7))</f>
        <v/>
      </c>
      <c r="M397" s="57">
        <f>MIN(0.16,MAX(0.05,NORMINV(RAND(),$C$8,$D$8)))</f>
        <v/>
      </c>
      <c r="N397" s="59">
        <f>MIN(24,MAX(5,NORMINV(RAND(),$C$9,$D$9)))</f>
        <v/>
      </c>
      <c r="O397" s="65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57">
        <f>MAX(-0.05,NORMINV(RAND(),$C$6,$D$6))</f>
        <v/>
      </c>
      <c r="L398" s="57">
        <f>MAX(0.02,NORMINV(RAND(),$C$7,$D$7))</f>
        <v/>
      </c>
      <c r="M398" s="57">
        <f>MIN(0.16,MAX(0.05,NORMINV(RAND(),$C$8,$D$8)))</f>
        <v/>
      </c>
      <c r="N398" s="59">
        <f>MIN(24,MAX(5,NORMINV(RAND(),$C$9,$D$9)))</f>
        <v/>
      </c>
      <c r="O398" s="65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57">
        <f>MAX(-0.05,NORMINV(RAND(),$C$6,$D$6))</f>
        <v/>
      </c>
      <c r="L399" s="57">
        <f>MAX(0.02,NORMINV(RAND(),$C$7,$D$7))</f>
        <v/>
      </c>
      <c r="M399" s="57">
        <f>MIN(0.16,MAX(0.05,NORMINV(RAND(),$C$8,$D$8)))</f>
        <v/>
      </c>
      <c r="N399" s="59">
        <f>MIN(24,MAX(5,NORMINV(RAND(),$C$9,$D$9)))</f>
        <v/>
      </c>
      <c r="O399" s="65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57">
        <f>MAX(-0.05,NORMINV(RAND(),$C$6,$D$6))</f>
        <v/>
      </c>
      <c r="L400" s="57">
        <f>MAX(0.02,NORMINV(RAND(),$C$7,$D$7))</f>
        <v/>
      </c>
      <c r="M400" s="57">
        <f>MIN(0.16,MAX(0.05,NORMINV(RAND(),$C$8,$D$8)))</f>
        <v/>
      </c>
      <c r="N400" s="59">
        <f>MIN(24,MAX(5,NORMINV(RAND(),$C$9,$D$9)))</f>
        <v/>
      </c>
      <c r="O400" s="65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57">
        <f>MAX(-0.05,NORMINV(RAND(),$C$6,$D$6))</f>
        <v/>
      </c>
      <c r="L401" s="57">
        <f>MAX(0.02,NORMINV(RAND(),$C$7,$D$7))</f>
        <v/>
      </c>
      <c r="M401" s="57">
        <f>MIN(0.16,MAX(0.05,NORMINV(RAND(),$C$8,$D$8)))</f>
        <v/>
      </c>
      <c r="N401" s="59">
        <f>MIN(24,MAX(5,NORMINV(RAND(),$C$9,$D$9)))</f>
        <v/>
      </c>
      <c r="O401" s="65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57">
        <f>MAX(-0.05,NORMINV(RAND(),$C$6,$D$6))</f>
        <v/>
      </c>
      <c r="L402" s="57">
        <f>MAX(0.02,NORMINV(RAND(),$C$7,$D$7))</f>
        <v/>
      </c>
      <c r="M402" s="57">
        <f>MIN(0.16,MAX(0.05,NORMINV(RAND(),$C$8,$D$8)))</f>
        <v/>
      </c>
      <c r="N402" s="59">
        <f>MIN(24,MAX(5,NORMINV(RAND(),$C$9,$D$9)))</f>
        <v/>
      </c>
      <c r="O402" s="65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57">
        <f>MAX(-0.05,NORMINV(RAND(),$C$6,$D$6))</f>
        <v/>
      </c>
      <c r="L403" s="57">
        <f>MAX(0.02,NORMINV(RAND(),$C$7,$D$7))</f>
        <v/>
      </c>
      <c r="M403" s="57">
        <f>MIN(0.16,MAX(0.05,NORMINV(RAND(),$C$8,$D$8)))</f>
        <v/>
      </c>
      <c r="N403" s="59">
        <f>MIN(24,MAX(5,NORMINV(RAND(),$C$9,$D$9)))</f>
        <v/>
      </c>
      <c r="O403" s="65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57">
        <f>MAX(-0.05,NORMINV(RAND(),$C$6,$D$6))</f>
        <v/>
      </c>
      <c r="L404" s="57">
        <f>MAX(0.02,NORMINV(RAND(),$C$7,$D$7))</f>
        <v/>
      </c>
      <c r="M404" s="57">
        <f>MIN(0.16,MAX(0.05,NORMINV(RAND(),$C$8,$D$8)))</f>
        <v/>
      </c>
      <c r="N404" s="59">
        <f>MIN(24,MAX(5,NORMINV(RAND(),$C$9,$D$9)))</f>
        <v/>
      </c>
      <c r="O404" s="65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57">
        <f>MAX(-0.05,NORMINV(RAND(),$C$6,$D$6))</f>
        <v/>
      </c>
      <c r="L405" s="57">
        <f>MAX(0.02,NORMINV(RAND(),$C$7,$D$7))</f>
        <v/>
      </c>
      <c r="M405" s="57">
        <f>MIN(0.16,MAX(0.05,NORMINV(RAND(),$C$8,$D$8)))</f>
        <v/>
      </c>
      <c r="N405" s="59">
        <f>MIN(24,MAX(5,NORMINV(RAND(),$C$9,$D$9)))</f>
        <v/>
      </c>
      <c r="O405" s="65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57">
        <f>MAX(-0.05,NORMINV(RAND(),$C$6,$D$6))</f>
        <v/>
      </c>
      <c r="L406" s="57">
        <f>MAX(0.02,NORMINV(RAND(),$C$7,$D$7))</f>
        <v/>
      </c>
      <c r="M406" s="57">
        <f>MIN(0.16,MAX(0.05,NORMINV(RAND(),$C$8,$D$8)))</f>
        <v/>
      </c>
      <c r="N406" s="59">
        <f>MIN(24,MAX(5,NORMINV(RAND(),$C$9,$D$9)))</f>
        <v/>
      </c>
      <c r="O406" s="65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57">
        <f>MAX(-0.05,NORMINV(RAND(),$C$6,$D$6))</f>
        <v/>
      </c>
      <c r="L407" s="57">
        <f>MAX(0.02,NORMINV(RAND(),$C$7,$D$7))</f>
        <v/>
      </c>
      <c r="M407" s="57">
        <f>MIN(0.16,MAX(0.05,NORMINV(RAND(),$C$8,$D$8)))</f>
        <v/>
      </c>
      <c r="N407" s="59">
        <f>MIN(24,MAX(5,NORMINV(RAND(),$C$9,$D$9)))</f>
        <v/>
      </c>
      <c r="O407" s="65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57">
        <f>MAX(-0.05,NORMINV(RAND(),$C$6,$D$6))</f>
        <v/>
      </c>
      <c r="L408" s="57">
        <f>MAX(0.02,NORMINV(RAND(),$C$7,$D$7))</f>
        <v/>
      </c>
      <c r="M408" s="57">
        <f>MIN(0.16,MAX(0.05,NORMINV(RAND(),$C$8,$D$8)))</f>
        <v/>
      </c>
      <c r="N408" s="59">
        <f>MIN(24,MAX(5,NORMINV(RAND(),$C$9,$D$9)))</f>
        <v/>
      </c>
      <c r="O408" s="65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57">
        <f>MAX(-0.05,NORMINV(RAND(),$C$6,$D$6))</f>
        <v/>
      </c>
      <c r="L409" s="57">
        <f>MAX(0.02,NORMINV(RAND(),$C$7,$D$7))</f>
        <v/>
      </c>
      <c r="M409" s="57">
        <f>MIN(0.16,MAX(0.05,NORMINV(RAND(),$C$8,$D$8)))</f>
        <v/>
      </c>
      <c r="N409" s="59">
        <f>MIN(24,MAX(5,NORMINV(RAND(),$C$9,$D$9)))</f>
        <v/>
      </c>
      <c r="O409" s="65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57">
        <f>MAX(-0.05,NORMINV(RAND(),$C$6,$D$6))</f>
        <v/>
      </c>
      <c r="L410" s="57">
        <f>MAX(0.02,NORMINV(RAND(),$C$7,$D$7))</f>
        <v/>
      </c>
      <c r="M410" s="57">
        <f>MIN(0.16,MAX(0.05,NORMINV(RAND(),$C$8,$D$8)))</f>
        <v/>
      </c>
      <c r="N410" s="59">
        <f>MIN(24,MAX(5,NORMINV(RAND(),$C$9,$D$9)))</f>
        <v/>
      </c>
      <c r="O410" s="65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57">
        <f>MAX(-0.05,NORMINV(RAND(),$C$6,$D$6))</f>
        <v/>
      </c>
      <c r="L411" s="57">
        <f>MAX(0.02,NORMINV(RAND(),$C$7,$D$7))</f>
        <v/>
      </c>
      <c r="M411" s="57">
        <f>MIN(0.16,MAX(0.05,NORMINV(RAND(),$C$8,$D$8)))</f>
        <v/>
      </c>
      <c r="N411" s="59">
        <f>MIN(24,MAX(5,NORMINV(RAND(),$C$9,$D$9)))</f>
        <v/>
      </c>
      <c r="O411" s="65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57">
        <f>MAX(-0.05,NORMINV(RAND(),$C$6,$D$6))</f>
        <v/>
      </c>
      <c r="L412" s="57">
        <f>MAX(0.02,NORMINV(RAND(),$C$7,$D$7))</f>
        <v/>
      </c>
      <c r="M412" s="57">
        <f>MIN(0.16,MAX(0.05,NORMINV(RAND(),$C$8,$D$8)))</f>
        <v/>
      </c>
      <c r="N412" s="59">
        <f>MIN(24,MAX(5,NORMINV(RAND(),$C$9,$D$9)))</f>
        <v/>
      </c>
      <c r="O412" s="65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57">
        <f>MAX(-0.05,NORMINV(RAND(),$C$6,$D$6))</f>
        <v/>
      </c>
      <c r="L413" s="57">
        <f>MAX(0.02,NORMINV(RAND(),$C$7,$D$7))</f>
        <v/>
      </c>
      <c r="M413" s="57">
        <f>MIN(0.16,MAX(0.05,NORMINV(RAND(),$C$8,$D$8)))</f>
        <v/>
      </c>
      <c r="N413" s="59">
        <f>MIN(24,MAX(5,NORMINV(RAND(),$C$9,$D$9)))</f>
        <v/>
      </c>
      <c r="O413" s="65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57">
        <f>MAX(-0.05,NORMINV(RAND(),$C$6,$D$6))</f>
        <v/>
      </c>
      <c r="L414" s="57">
        <f>MAX(0.02,NORMINV(RAND(),$C$7,$D$7))</f>
        <v/>
      </c>
      <c r="M414" s="57">
        <f>MIN(0.16,MAX(0.05,NORMINV(RAND(),$C$8,$D$8)))</f>
        <v/>
      </c>
      <c r="N414" s="59">
        <f>MIN(24,MAX(5,NORMINV(RAND(),$C$9,$D$9)))</f>
        <v/>
      </c>
      <c r="O414" s="65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57">
        <f>MAX(-0.05,NORMINV(RAND(),$C$6,$D$6))</f>
        <v/>
      </c>
      <c r="L415" s="57">
        <f>MAX(0.02,NORMINV(RAND(),$C$7,$D$7))</f>
        <v/>
      </c>
      <c r="M415" s="57">
        <f>MIN(0.16,MAX(0.05,NORMINV(RAND(),$C$8,$D$8)))</f>
        <v/>
      </c>
      <c r="N415" s="59">
        <f>MIN(24,MAX(5,NORMINV(RAND(),$C$9,$D$9)))</f>
        <v/>
      </c>
      <c r="O415" s="65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57">
        <f>MAX(-0.05,NORMINV(RAND(),$C$6,$D$6))</f>
        <v/>
      </c>
      <c r="L416" s="57">
        <f>MAX(0.02,NORMINV(RAND(),$C$7,$D$7))</f>
        <v/>
      </c>
      <c r="M416" s="57">
        <f>MIN(0.16,MAX(0.05,NORMINV(RAND(),$C$8,$D$8)))</f>
        <v/>
      </c>
      <c r="N416" s="59">
        <f>MIN(24,MAX(5,NORMINV(RAND(),$C$9,$D$9)))</f>
        <v/>
      </c>
      <c r="O416" s="65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57">
        <f>MAX(-0.05,NORMINV(RAND(),$C$6,$D$6))</f>
        <v/>
      </c>
      <c r="L417" s="57">
        <f>MAX(0.02,NORMINV(RAND(),$C$7,$D$7))</f>
        <v/>
      </c>
      <c r="M417" s="57">
        <f>MIN(0.16,MAX(0.05,NORMINV(RAND(),$C$8,$D$8)))</f>
        <v/>
      </c>
      <c r="N417" s="59">
        <f>MIN(24,MAX(5,NORMINV(RAND(),$C$9,$D$9)))</f>
        <v/>
      </c>
      <c r="O417" s="65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57">
        <f>MAX(-0.05,NORMINV(RAND(),$C$6,$D$6))</f>
        <v/>
      </c>
      <c r="L418" s="57">
        <f>MAX(0.02,NORMINV(RAND(),$C$7,$D$7))</f>
        <v/>
      </c>
      <c r="M418" s="57">
        <f>MIN(0.16,MAX(0.05,NORMINV(RAND(),$C$8,$D$8)))</f>
        <v/>
      </c>
      <c r="N418" s="59">
        <f>MIN(24,MAX(5,NORMINV(RAND(),$C$9,$D$9)))</f>
        <v/>
      </c>
      <c r="O418" s="65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57">
        <f>MAX(-0.05,NORMINV(RAND(),$C$6,$D$6))</f>
        <v/>
      </c>
      <c r="L419" s="57">
        <f>MAX(0.02,NORMINV(RAND(),$C$7,$D$7))</f>
        <v/>
      </c>
      <c r="M419" s="57">
        <f>MIN(0.16,MAX(0.05,NORMINV(RAND(),$C$8,$D$8)))</f>
        <v/>
      </c>
      <c r="N419" s="59">
        <f>MIN(24,MAX(5,NORMINV(RAND(),$C$9,$D$9)))</f>
        <v/>
      </c>
      <c r="O419" s="65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57">
        <f>MAX(-0.05,NORMINV(RAND(),$C$6,$D$6))</f>
        <v/>
      </c>
      <c r="L420" s="57">
        <f>MAX(0.02,NORMINV(RAND(),$C$7,$D$7))</f>
        <v/>
      </c>
      <c r="M420" s="57">
        <f>MIN(0.16,MAX(0.05,NORMINV(RAND(),$C$8,$D$8)))</f>
        <v/>
      </c>
      <c r="N420" s="59">
        <f>MIN(24,MAX(5,NORMINV(RAND(),$C$9,$D$9)))</f>
        <v/>
      </c>
      <c r="O420" s="65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57">
        <f>MAX(-0.05,NORMINV(RAND(),$C$6,$D$6))</f>
        <v/>
      </c>
      <c r="L421" s="57">
        <f>MAX(0.02,NORMINV(RAND(),$C$7,$D$7))</f>
        <v/>
      </c>
      <c r="M421" s="57">
        <f>MIN(0.16,MAX(0.05,NORMINV(RAND(),$C$8,$D$8)))</f>
        <v/>
      </c>
      <c r="N421" s="59">
        <f>MIN(24,MAX(5,NORMINV(RAND(),$C$9,$D$9)))</f>
        <v/>
      </c>
      <c r="O421" s="65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57">
        <f>MAX(-0.05,NORMINV(RAND(),$C$6,$D$6))</f>
        <v/>
      </c>
      <c r="L422" s="57">
        <f>MAX(0.02,NORMINV(RAND(),$C$7,$D$7))</f>
        <v/>
      </c>
      <c r="M422" s="57">
        <f>MIN(0.16,MAX(0.05,NORMINV(RAND(),$C$8,$D$8)))</f>
        <v/>
      </c>
      <c r="N422" s="59">
        <f>MIN(24,MAX(5,NORMINV(RAND(),$C$9,$D$9)))</f>
        <v/>
      </c>
      <c r="O422" s="65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57">
        <f>MAX(-0.05,NORMINV(RAND(),$C$6,$D$6))</f>
        <v/>
      </c>
      <c r="L423" s="57">
        <f>MAX(0.02,NORMINV(RAND(),$C$7,$D$7))</f>
        <v/>
      </c>
      <c r="M423" s="57">
        <f>MIN(0.16,MAX(0.05,NORMINV(RAND(),$C$8,$D$8)))</f>
        <v/>
      </c>
      <c r="N423" s="59">
        <f>MIN(24,MAX(5,NORMINV(RAND(),$C$9,$D$9)))</f>
        <v/>
      </c>
      <c r="O423" s="65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57">
        <f>MAX(-0.05,NORMINV(RAND(),$C$6,$D$6))</f>
        <v/>
      </c>
      <c r="L424" s="57">
        <f>MAX(0.02,NORMINV(RAND(),$C$7,$D$7))</f>
        <v/>
      </c>
      <c r="M424" s="57">
        <f>MIN(0.16,MAX(0.05,NORMINV(RAND(),$C$8,$D$8)))</f>
        <v/>
      </c>
      <c r="N424" s="59">
        <f>MIN(24,MAX(5,NORMINV(RAND(),$C$9,$D$9)))</f>
        <v/>
      </c>
      <c r="O424" s="65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57">
        <f>MAX(-0.05,NORMINV(RAND(),$C$6,$D$6))</f>
        <v/>
      </c>
      <c r="L425" s="57">
        <f>MAX(0.02,NORMINV(RAND(),$C$7,$D$7))</f>
        <v/>
      </c>
      <c r="M425" s="57">
        <f>MIN(0.16,MAX(0.05,NORMINV(RAND(),$C$8,$D$8)))</f>
        <v/>
      </c>
      <c r="N425" s="59">
        <f>MIN(24,MAX(5,NORMINV(RAND(),$C$9,$D$9)))</f>
        <v/>
      </c>
      <c r="O425" s="65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57">
        <f>MAX(-0.05,NORMINV(RAND(),$C$6,$D$6))</f>
        <v/>
      </c>
      <c r="L426" s="57">
        <f>MAX(0.02,NORMINV(RAND(),$C$7,$D$7))</f>
        <v/>
      </c>
      <c r="M426" s="57">
        <f>MIN(0.16,MAX(0.05,NORMINV(RAND(),$C$8,$D$8)))</f>
        <v/>
      </c>
      <c r="N426" s="59">
        <f>MIN(24,MAX(5,NORMINV(RAND(),$C$9,$D$9)))</f>
        <v/>
      </c>
      <c r="O426" s="65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57">
        <f>MAX(-0.05,NORMINV(RAND(),$C$6,$D$6))</f>
        <v/>
      </c>
      <c r="L427" s="57">
        <f>MAX(0.02,NORMINV(RAND(),$C$7,$D$7))</f>
        <v/>
      </c>
      <c r="M427" s="57">
        <f>MIN(0.16,MAX(0.05,NORMINV(RAND(),$C$8,$D$8)))</f>
        <v/>
      </c>
      <c r="N427" s="59">
        <f>MIN(24,MAX(5,NORMINV(RAND(),$C$9,$D$9)))</f>
        <v/>
      </c>
      <c r="O427" s="65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57">
        <f>MAX(-0.05,NORMINV(RAND(),$C$6,$D$6))</f>
        <v/>
      </c>
      <c r="L428" s="57">
        <f>MAX(0.02,NORMINV(RAND(),$C$7,$D$7))</f>
        <v/>
      </c>
      <c r="M428" s="57">
        <f>MIN(0.16,MAX(0.05,NORMINV(RAND(),$C$8,$D$8)))</f>
        <v/>
      </c>
      <c r="N428" s="59">
        <f>MIN(24,MAX(5,NORMINV(RAND(),$C$9,$D$9)))</f>
        <v/>
      </c>
      <c r="O428" s="65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57">
        <f>MAX(-0.05,NORMINV(RAND(),$C$6,$D$6))</f>
        <v/>
      </c>
      <c r="L429" s="57">
        <f>MAX(0.02,NORMINV(RAND(),$C$7,$D$7))</f>
        <v/>
      </c>
      <c r="M429" s="57">
        <f>MIN(0.16,MAX(0.05,NORMINV(RAND(),$C$8,$D$8)))</f>
        <v/>
      </c>
      <c r="N429" s="59">
        <f>MIN(24,MAX(5,NORMINV(RAND(),$C$9,$D$9)))</f>
        <v/>
      </c>
      <c r="O429" s="65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57">
        <f>MAX(-0.05,NORMINV(RAND(),$C$6,$D$6))</f>
        <v/>
      </c>
      <c r="L430" s="57">
        <f>MAX(0.02,NORMINV(RAND(),$C$7,$D$7))</f>
        <v/>
      </c>
      <c r="M430" s="57">
        <f>MIN(0.16,MAX(0.05,NORMINV(RAND(),$C$8,$D$8)))</f>
        <v/>
      </c>
      <c r="N430" s="59">
        <f>MIN(24,MAX(5,NORMINV(RAND(),$C$9,$D$9)))</f>
        <v/>
      </c>
      <c r="O430" s="65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57">
        <f>MAX(-0.05,NORMINV(RAND(),$C$6,$D$6))</f>
        <v/>
      </c>
      <c r="L431" s="57">
        <f>MAX(0.02,NORMINV(RAND(),$C$7,$D$7))</f>
        <v/>
      </c>
      <c r="M431" s="57">
        <f>MIN(0.16,MAX(0.05,NORMINV(RAND(),$C$8,$D$8)))</f>
        <v/>
      </c>
      <c r="N431" s="59">
        <f>MIN(24,MAX(5,NORMINV(RAND(),$C$9,$D$9)))</f>
        <v/>
      </c>
      <c r="O431" s="65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57">
        <f>MAX(-0.05,NORMINV(RAND(),$C$6,$D$6))</f>
        <v/>
      </c>
      <c r="L432" s="57">
        <f>MAX(0.02,NORMINV(RAND(),$C$7,$D$7))</f>
        <v/>
      </c>
      <c r="M432" s="57">
        <f>MIN(0.16,MAX(0.05,NORMINV(RAND(),$C$8,$D$8)))</f>
        <v/>
      </c>
      <c r="N432" s="59">
        <f>MIN(24,MAX(5,NORMINV(RAND(),$C$9,$D$9)))</f>
        <v/>
      </c>
      <c r="O432" s="65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57">
        <f>MAX(-0.05,NORMINV(RAND(),$C$6,$D$6))</f>
        <v/>
      </c>
      <c r="L433" s="57">
        <f>MAX(0.02,NORMINV(RAND(),$C$7,$D$7))</f>
        <v/>
      </c>
      <c r="M433" s="57">
        <f>MIN(0.16,MAX(0.05,NORMINV(RAND(),$C$8,$D$8)))</f>
        <v/>
      </c>
      <c r="N433" s="59">
        <f>MIN(24,MAX(5,NORMINV(RAND(),$C$9,$D$9)))</f>
        <v/>
      </c>
      <c r="O433" s="65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57">
        <f>MAX(-0.05,NORMINV(RAND(),$C$6,$D$6))</f>
        <v/>
      </c>
      <c r="L434" s="57">
        <f>MAX(0.02,NORMINV(RAND(),$C$7,$D$7))</f>
        <v/>
      </c>
      <c r="M434" s="57">
        <f>MIN(0.16,MAX(0.05,NORMINV(RAND(),$C$8,$D$8)))</f>
        <v/>
      </c>
      <c r="N434" s="59">
        <f>MIN(24,MAX(5,NORMINV(RAND(),$C$9,$D$9)))</f>
        <v/>
      </c>
      <c r="O434" s="65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57">
        <f>MAX(-0.05,NORMINV(RAND(),$C$6,$D$6))</f>
        <v/>
      </c>
      <c r="L435" s="57">
        <f>MAX(0.02,NORMINV(RAND(),$C$7,$D$7))</f>
        <v/>
      </c>
      <c r="M435" s="57">
        <f>MIN(0.16,MAX(0.05,NORMINV(RAND(),$C$8,$D$8)))</f>
        <v/>
      </c>
      <c r="N435" s="59">
        <f>MIN(24,MAX(5,NORMINV(RAND(),$C$9,$D$9)))</f>
        <v/>
      </c>
      <c r="O435" s="65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57">
        <f>MAX(-0.05,NORMINV(RAND(),$C$6,$D$6))</f>
        <v/>
      </c>
      <c r="L436" s="57">
        <f>MAX(0.02,NORMINV(RAND(),$C$7,$D$7))</f>
        <v/>
      </c>
      <c r="M436" s="57">
        <f>MIN(0.16,MAX(0.05,NORMINV(RAND(),$C$8,$D$8)))</f>
        <v/>
      </c>
      <c r="N436" s="59">
        <f>MIN(24,MAX(5,NORMINV(RAND(),$C$9,$D$9)))</f>
        <v/>
      </c>
      <c r="O436" s="65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57">
        <f>MAX(-0.05,NORMINV(RAND(),$C$6,$D$6))</f>
        <v/>
      </c>
      <c r="L437" s="57">
        <f>MAX(0.02,NORMINV(RAND(),$C$7,$D$7))</f>
        <v/>
      </c>
      <c r="M437" s="57">
        <f>MIN(0.16,MAX(0.05,NORMINV(RAND(),$C$8,$D$8)))</f>
        <v/>
      </c>
      <c r="N437" s="59">
        <f>MIN(24,MAX(5,NORMINV(RAND(),$C$9,$D$9)))</f>
        <v/>
      </c>
      <c r="O437" s="65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57">
        <f>MAX(-0.05,NORMINV(RAND(),$C$6,$D$6))</f>
        <v/>
      </c>
      <c r="L438" s="57">
        <f>MAX(0.02,NORMINV(RAND(),$C$7,$D$7))</f>
        <v/>
      </c>
      <c r="M438" s="57">
        <f>MIN(0.16,MAX(0.05,NORMINV(RAND(),$C$8,$D$8)))</f>
        <v/>
      </c>
      <c r="N438" s="59">
        <f>MIN(24,MAX(5,NORMINV(RAND(),$C$9,$D$9)))</f>
        <v/>
      </c>
      <c r="O438" s="65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57">
        <f>MAX(-0.05,NORMINV(RAND(),$C$6,$D$6))</f>
        <v/>
      </c>
      <c r="L439" s="57">
        <f>MAX(0.02,NORMINV(RAND(),$C$7,$D$7))</f>
        <v/>
      </c>
      <c r="M439" s="57">
        <f>MIN(0.16,MAX(0.05,NORMINV(RAND(),$C$8,$D$8)))</f>
        <v/>
      </c>
      <c r="N439" s="59">
        <f>MIN(24,MAX(5,NORMINV(RAND(),$C$9,$D$9)))</f>
        <v/>
      </c>
      <c r="O439" s="65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57">
        <f>MAX(-0.05,NORMINV(RAND(),$C$6,$D$6))</f>
        <v/>
      </c>
      <c r="L440" s="57">
        <f>MAX(0.02,NORMINV(RAND(),$C$7,$D$7))</f>
        <v/>
      </c>
      <c r="M440" s="57">
        <f>MIN(0.16,MAX(0.05,NORMINV(RAND(),$C$8,$D$8)))</f>
        <v/>
      </c>
      <c r="N440" s="59">
        <f>MIN(24,MAX(5,NORMINV(RAND(),$C$9,$D$9)))</f>
        <v/>
      </c>
      <c r="O440" s="65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57">
        <f>MAX(-0.05,NORMINV(RAND(),$C$6,$D$6))</f>
        <v/>
      </c>
      <c r="L441" s="57">
        <f>MAX(0.02,NORMINV(RAND(),$C$7,$D$7))</f>
        <v/>
      </c>
      <c r="M441" s="57">
        <f>MIN(0.16,MAX(0.05,NORMINV(RAND(),$C$8,$D$8)))</f>
        <v/>
      </c>
      <c r="N441" s="59">
        <f>MIN(24,MAX(5,NORMINV(RAND(),$C$9,$D$9)))</f>
        <v/>
      </c>
      <c r="O441" s="65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57">
        <f>MAX(-0.05,NORMINV(RAND(),$C$6,$D$6))</f>
        <v/>
      </c>
      <c r="L442" s="57">
        <f>MAX(0.02,NORMINV(RAND(),$C$7,$D$7))</f>
        <v/>
      </c>
      <c r="M442" s="57">
        <f>MIN(0.16,MAX(0.05,NORMINV(RAND(),$C$8,$D$8)))</f>
        <v/>
      </c>
      <c r="N442" s="59">
        <f>MIN(24,MAX(5,NORMINV(RAND(),$C$9,$D$9)))</f>
        <v/>
      </c>
      <c r="O442" s="65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57">
        <f>MAX(-0.05,NORMINV(RAND(),$C$6,$D$6))</f>
        <v/>
      </c>
      <c r="L443" s="57">
        <f>MAX(0.02,NORMINV(RAND(),$C$7,$D$7))</f>
        <v/>
      </c>
      <c r="M443" s="57">
        <f>MIN(0.16,MAX(0.05,NORMINV(RAND(),$C$8,$D$8)))</f>
        <v/>
      </c>
      <c r="N443" s="59">
        <f>MIN(24,MAX(5,NORMINV(RAND(),$C$9,$D$9)))</f>
        <v/>
      </c>
      <c r="O443" s="65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57">
        <f>MAX(-0.05,NORMINV(RAND(),$C$6,$D$6))</f>
        <v/>
      </c>
      <c r="L444" s="57">
        <f>MAX(0.02,NORMINV(RAND(),$C$7,$D$7))</f>
        <v/>
      </c>
      <c r="M444" s="57">
        <f>MIN(0.16,MAX(0.05,NORMINV(RAND(),$C$8,$D$8)))</f>
        <v/>
      </c>
      <c r="N444" s="59">
        <f>MIN(24,MAX(5,NORMINV(RAND(),$C$9,$D$9)))</f>
        <v/>
      </c>
      <c r="O444" s="65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57">
        <f>MAX(-0.05,NORMINV(RAND(),$C$6,$D$6))</f>
        <v/>
      </c>
      <c r="L445" s="57">
        <f>MAX(0.02,NORMINV(RAND(),$C$7,$D$7))</f>
        <v/>
      </c>
      <c r="M445" s="57">
        <f>MIN(0.16,MAX(0.05,NORMINV(RAND(),$C$8,$D$8)))</f>
        <v/>
      </c>
      <c r="N445" s="59">
        <f>MIN(24,MAX(5,NORMINV(RAND(),$C$9,$D$9)))</f>
        <v/>
      </c>
      <c r="O445" s="65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57">
        <f>MAX(-0.05,NORMINV(RAND(),$C$6,$D$6))</f>
        <v/>
      </c>
      <c r="L446" s="57">
        <f>MAX(0.02,NORMINV(RAND(),$C$7,$D$7))</f>
        <v/>
      </c>
      <c r="M446" s="57">
        <f>MIN(0.16,MAX(0.05,NORMINV(RAND(),$C$8,$D$8)))</f>
        <v/>
      </c>
      <c r="N446" s="59">
        <f>MIN(24,MAX(5,NORMINV(RAND(),$C$9,$D$9)))</f>
        <v/>
      </c>
      <c r="O446" s="65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57">
        <f>MAX(-0.05,NORMINV(RAND(),$C$6,$D$6))</f>
        <v/>
      </c>
      <c r="L447" s="57">
        <f>MAX(0.02,NORMINV(RAND(),$C$7,$D$7))</f>
        <v/>
      </c>
      <c r="M447" s="57">
        <f>MIN(0.16,MAX(0.05,NORMINV(RAND(),$C$8,$D$8)))</f>
        <v/>
      </c>
      <c r="N447" s="59">
        <f>MIN(24,MAX(5,NORMINV(RAND(),$C$9,$D$9)))</f>
        <v/>
      </c>
      <c r="O447" s="65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57">
        <f>MAX(-0.05,NORMINV(RAND(),$C$6,$D$6))</f>
        <v/>
      </c>
      <c r="L448" s="57">
        <f>MAX(0.02,NORMINV(RAND(),$C$7,$D$7))</f>
        <v/>
      </c>
      <c r="M448" s="57">
        <f>MIN(0.16,MAX(0.05,NORMINV(RAND(),$C$8,$D$8)))</f>
        <v/>
      </c>
      <c r="N448" s="59">
        <f>MIN(24,MAX(5,NORMINV(RAND(),$C$9,$D$9)))</f>
        <v/>
      </c>
      <c r="O448" s="65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57">
        <f>MAX(-0.05,NORMINV(RAND(),$C$6,$D$6))</f>
        <v/>
      </c>
      <c r="L449" s="57">
        <f>MAX(0.02,NORMINV(RAND(),$C$7,$D$7))</f>
        <v/>
      </c>
      <c r="M449" s="57">
        <f>MIN(0.16,MAX(0.05,NORMINV(RAND(),$C$8,$D$8)))</f>
        <v/>
      </c>
      <c r="N449" s="59">
        <f>MIN(24,MAX(5,NORMINV(RAND(),$C$9,$D$9)))</f>
        <v/>
      </c>
      <c r="O449" s="65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57">
        <f>MAX(-0.05,NORMINV(RAND(),$C$6,$D$6))</f>
        <v/>
      </c>
      <c r="L450" s="57">
        <f>MAX(0.02,NORMINV(RAND(),$C$7,$D$7))</f>
        <v/>
      </c>
      <c r="M450" s="57">
        <f>MIN(0.16,MAX(0.05,NORMINV(RAND(),$C$8,$D$8)))</f>
        <v/>
      </c>
      <c r="N450" s="59">
        <f>MIN(24,MAX(5,NORMINV(RAND(),$C$9,$D$9)))</f>
        <v/>
      </c>
      <c r="O450" s="65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57">
        <f>MAX(-0.05,NORMINV(RAND(),$C$6,$D$6))</f>
        <v/>
      </c>
      <c r="L451" s="57">
        <f>MAX(0.02,NORMINV(RAND(),$C$7,$D$7))</f>
        <v/>
      </c>
      <c r="M451" s="57">
        <f>MIN(0.16,MAX(0.05,NORMINV(RAND(),$C$8,$D$8)))</f>
        <v/>
      </c>
      <c r="N451" s="59">
        <f>MIN(24,MAX(5,NORMINV(RAND(),$C$9,$D$9)))</f>
        <v/>
      </c>
      <c r="O451" s="65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57">
        <f>MAX(-0.05,NORMINV(RAND(),$C$6,$D$6))</f>
        <v/>
      </c>
      <c r="L452" s="57">
        <f>MAX(0.02,NORMINV(RAND(),$C$7,$D$7))</f>
        <v/>
      </c>
      <c r="M452" s="57">
        <f>MIN(0.16,MAX(0.05,NORMINV(RAND(),$C$8,$D$8)))</f>
        <v/>
      </c>
      <c r="N452" s="59">
        <f>MIN(24,MAX(5,NORMINV(RAND(),$C$9,$D$9)))</f>
        <v/>
      </c>
      <c r="O452" s="65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57">
        <f>MAX(-0.05,NORMINV(RAND(),$C$6,$D$6))</f>
        <v/>
      </c>
      <c r="L453" s="57">
        <f>MAX(0.02,NORMINV(RAND(),$C$7,$D$7))</f>
        <v/>
      </c>
      <c r="M453" s="57">
        <f>MIN(0.16,MAX(0.05,NORMINV(RAND(),$C$8,$D$8)))</f>
        <v/>
      </c>
      <c r="N453" s="59">
        <f>MIN(24,MAX(5,NORMINV(RAND(),$C$9,$D$9)))</f>
        <v/>
      </c>
      <c r="O453" s="65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57">
        <f>MAX(-0.05,NORMINV(RAND(),$C$6,$D$6))</f>
        <v/>
      </c>
      <c r="L454" s="57">
        <f>MAX(0.02,NORMINV(RAND(),$C$7,$D$7))</f>
        <v/>
      </c>
      <c r="M454" s="57">
        <f>MIN(0.16,MAX(0.05,NORMINV(RAND(),$C$8,$D$8)))</f>
        <v/>
      </c>
      <c r="N454" s="59">
        <f>MIN(24,MAX(5,NORMINV(RAND(),$C$9,$D$9)))</f>
        <v/>
      </c>
      <c r="O454" s="65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57">
        <f>MAX(-0.05,NORMINV(RAND(),$C$6,$D$6))</f>
        <v/>
      </c>
      <c r="L455" s="57">
        <f>MAX(0.02,NORMINV(RAND(),$C$7,$D$7))</f>
        <v/>
      </c>
      <c r="M455" s="57">
        <f>MIN(0.16,MAX(0.05,NORMINV(RAND(),$C$8,$D$8)))</f>
        <v/>
      </c>
      <c r="N455" s="59">
        <f>MIN(24,MAX(5,NORMINV(RAND(),$C$9,$D$9)))</f>
        <v/>
      </c>
      <c r="O455" s="65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57">
        <f>MAX(-0.05,NORMINV(RAND(),$C$6,$D$6))</f>
        <v/>
      </c>
      <c r="L456" s="57">
        <f>MAX(0.02,NORMINV(RAND(),$C$7,$D$7))</f>
        <v/>
      </c>
      <c r="M456" s="57">
        <f>MIN(0.16,MAX(0.05,NORMINV(RAND(),$C$8,$D$8)))</f>
        <v/>
      </c>
      <c r="N456" s="59">
        <f>MIN(24,MAX(5,NORMINV(RAND(),$C$9,$D$9)))</f>
        <v/>
      </c>
      <c r="O456" s="65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57">
        <f>MAX(-0.05,NORMINV(RAND(),$C$6,$D$6))</f>
        <v/>
      </c>
      <c r="L457" s="57">
        <f>MAX(0.02,NORMINV(RAND(),$C$7,$D$7))</f>
        <v/>
      </c>
      <c r="M457" s="57">
        <f>MIN(0.16,MAX(0.05,NORMINV(RAND(),$C$8,$D$8)))</f>
        <v/>
      </c>
      <c r="N457" s="59">
        <f>MIN(24,MAX(5,NORMINV(RAND(),$C$9,$D$9)))</f>
        <v/>
      </c>
      <c r="O457" s="65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57">
        <f>MAX(-0.05,NORMINV(RAND(),$C$6,$D$6))</f>
        <v/>
      </c>
      <c r="L458" s="57">
        <f>MAX(0.02,NORMINV(RAND(),$C$7,$D$7))</f>
        <v/>
      </c>
      <c r="M458" s="57">
        <f>MIN(0.16,MAX(0.05,NORMINV(RAND(),$C$8,$D$8)))</f>
        <v/>
      </c>
      <c r="N458" s="59">
        <f>MIN(24,MAX(5,NORMINV(RAND(),$C$9,$D$9)))</f>
        <v/>
      </c>
      <c r="O458" s="65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57">
        <f>MAX(-0.05,NORMINV(RAND(),$C$6,$D$6))</f>
        <v/>
      </c>
      <c r="L459" s="57">
        <f>MAX(0.02,NORMINV(RAND(),$C$7,$D$7))</f>
        <v/>
      </c>
      <c r="M459" s="57">
        <f>MIN(0.16,MAX(0.05,NORMINV(RAND(),$C$8,$D$8)))</f>
        <v/>
      </c>
      <c r="N459" s="59">
        <f>MIN(24,MAX(5,NORMINV(RAND(),$C$9,$D$9)))</f>
        <v/>
      </c>
      <c r="O459" s="65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57">
        <f>MAX(-0.05,NORMINV(RAND(),$C$6,$D$6))</f>
        <v/>
      </c>
      <c r="L460" s="57">
        <f>MAX(0.02,NORMINV(RAND(),$C$7,$D$7))</f>
        <v/>
      </c>
      <c r="M460" s="57">
        <f>MIN(0.16,MAX(0.05,NORMINV(RAND(),$C$8,$D$8)))</f>
        <v/>
      </c>
      <c r="N460" s="59">
        <f>MIN(24,MAX(5,NORMINV(RAND(),$C$9,$D$9)))</f>
        <v/>
      </c>
      <c r="O460" s="65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57">
        <f>MAX(-0.05,NORMINV(RAND(),$C$6,$D$6))</f>
        <v/>
      </c>
      <c r="L461" s="57">
        <f>MAX(0.02,NORMINV(RAND(),$C$7,$D$7))</f>
        <v/>
      </c>
      <c r="M461" s="57">
        <f>MIN(0.16,MAX(0.05,NORMINV(RAND(),$C$8,$D$8)))</f>
        <v/>
      </c>
      <c r="N461" s="59">
        <f>MIN(24,MAX(5,NORMINV(RAND(),$C$9,$D$9)))</f>
        <v/>
      </c>
      <c r="O461" s="65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57">
        <f>MAX(-0.05,NORMINV(RAND(),$C$6,$D$6))</f>
        <v/>
      </c>
      <c r="L462" s="57">
        <f>MAX(0.02,NORMINV(RAND(),$C$7,$D$7))</f>
        <v/>
      </c>
      <c r="M462" s="57">
        <f>MIN(0.16,MAX(0.05,NORMINV(RAND(),$C$8,$D$8)))</f>
        <v/>
      </c>
      <c r="N462" s="59">
        <f>MIN(24,MAX(5,NORMINV(RAND(),$C$9,$D$9)))</f>
        <v/>
      </c>
      <c r="O462" s="65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57">
        <f>MAX(-0.05,NORMINV(RAND(),$C$6,$D$6))</f>
        <v/>
      </c>
      <c r="L463" s="57">
        <f>MAX(0.02,NORMINV(RAND(),$C$7,$D$7))</f>
        <v/>
      </c>
      <c r="M463" s="57">
        <f>MIN(0.16,MAX(0.05,NORMINV(RAND(),$C$8,$D$8)))</f>
        <v/>
      </c>
      <c r="N463" s="59">
        <f>MIN(24,MAX(5,NORMINV(RAND(),$C$9,$D$9)))</f>
        <v/>
      </c>
      <c r="O463" s="65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57">
        <f>MAX(-0.05,NORMINV(RAND(),$C$6,$D$6))</f>
        <v/>
      </c>
      <c r="L464" s="57">
        <f>MAX(0.02,NORMINV(RAND(),$C$7,$D$7))</f>
        <v/>
      </c>
      <c r="M464" s="57">
        <f>MIN(0.16,MAX(0.05,NORMINV(RAND(),$C$8,$D$8)))</f>
        <v/>
      </c>
      <c r="N464" s="59">
        <f>MIN(24,MAX(5,NORMINV(RAND(),$C$9,$D$9)))</f>
        <v/>
      </c>
      <c r="O464" s="65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57">
        <f>MAX(-0.05,NORMINV(RAND(),$C$6,$D$6))</f>
        <v/>
      </c>
      <c r="L465" s="57">
        <f>MAX(0.02,NORMINV(RAND(),$C$7,$D$7))</f>
        <v/>
      </c>
      <c r="M465" s="57">
        <f>MIN(0.16,MAX(0.05,NORMINV(RAND(),$C$8,$D$8)))</f>
        <v/>
      </c>
      <c r="N465" s="59">
        <f>MIN(24,MAX(5,NORMINV(RAND(),$C$9,$D$9)))</f>
        <v/>
      </c>
      <c r="O465" s="65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57">
        <f>MAX(-0.05,NORMINV(RAND(),$C$6,$D$6))</f>
        <v/>
      </c>
      <c r="L466" s="57">
        <f>MAX(0.02,NORMINV(RAND(),$C$7,$D$7))</f>
        <v/>
      </c>
      <c r="M466" s="57">
        <f>MIN(0.16,MAX(0.05,NORMINV(RAND(),$C$8,$D$8)))</f>
        <v/>
      </c>
      <c r="N466" s="59">
        <f>MIN(24,MAX(5,NORMINV(RAND(),$C$9,$D$9)))</f>
        <v/>
      </c>
      <c r="O466" s="65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57">
        <f>MAX(-0.05,NORMINV(RAND(),$C$6,$D$6))</f>
        <v/>
      </c>
      <c r="L467" s="57">
        <f>MAX(0.02,NORMINV(RAND(),$C$7,$D$7))</f>
        <v/>
      </c>
      <c r="M467" s="57">
        <f>MIN(0.16,MAX(0.05,NORMINV(RAND(),$C$8,$D$8)))</f>
        <v/>
      </c>
      <c r="N467" s="59">
        <f>MIN(24,MAX(5,NORMINV(RAND(),$C$9,$D$9)))</f>
        <v/>
      </c>
      <c r="O467" s="65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57">
        <f>MAX(-0.05,NORMINV(RAND(),$C$6,$D$6))</f>
        <v/>
      </c>
      <c r="L468" s="57">
        <f>MAX(0.02,NORMINV(RAND(),$C$7,$D$7))</f>
        <v/>
      </c>
      <c r="M468" s="57">
        <f>MIN(0.16,MAX(0.05,NORMINV(RAND(),$C$8,$D$8)))</f>
        <v/>
      </c>
      <c r="N468" s="59">
        <f>MIN(24,MAX(5,NORMINV(RAND(),$C$9,$D$9)))</f>
        <v/>
      </c>
      <c r="O468" s="65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57">
        <f>MAX(-0.05,NORMINV(RAND(),$C$6,$D$6))</f>
        <v/>
      </c>
      <c r="L469" s="57">
        <f>MAX(0.02,NORMINV(RAND(),$C$7,$D$7))</f>
        <v/>
      </c>
      <c r="M469" s="57">
        <f>MIN(0.16,MAX(0.05,NORMINV(RAND(),$C$8,$D$8)))</f>
        <v/>
      </c>
      <c r="N469" s="59">
        <f>MIN(24,MAX(5,NORMINV(RAND(),$C$9,$D$9)))</f>
        <v/>
      </c>
      <c r="O469" s="65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57">
        <f>MAX(-0.05,NORMINV(RAND(),$C$6,$D$6))</f>
        <v/>
      </c>
      <c r="L470" s="57">
        <f>MAX(0.02,NORMINV(RAND(),$C$7,$D$7))</f>
        <v/>
      </c>
      <c r="M470" s="57">
        <f>MIN(0.16,MAX(0.05,NORMINV(RAND(),$C$8,$D$8)))</f>
        <v/>
      </c>
      <c r="N470" s="59">
        <f>MIN(24,MAX(5,NORMINV(RAND(),$C$9,$D$9)))</f>
        <v/>
      </c>
      <c r="O470" s="65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57">
        <f>MAX(-0.05,NORMINV(RAND(),$C$6,$D$6))</f>
        <v/>
      </c>
      <c r="L471" s="57">
        <f>MAX(0.02,NORMINV(RAND(),$C$7,$D$7))</f>
        <v/>
      </c>
      <c r="M471" s="57">
        <f>MIN(0.16,MAX(0.05,NORMINV(RAND(),$C$8,$D$8)))</f>
        <v/>
      </c>
      <c r="N471" s="59">
        <f>MIN(24,MAX(5,NORMINV(RAND(),$C$9,$D$9)))</f>
        <v/>
      </c>
      <c r="O471" s="65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57">
        <f>MAX(-0.05,NORMINV(RAND(),$C$6,$D$6))</f>
        <v/>
      </c>
      <c r="L472" s="57">
        <f>MAX(0.02,NORMINV(RAND(),$C$7,$D$7))</f>
        <v/>
      </c>
      <c r="M472" s="57">
        <f>MIN(0.16,MAX(0.05,NORMINV(RAND(),$C$8,$D$8)))</f>
        <v/>
      </c>
      <c r="N472" s="59">
        <f>MIN(24,MAX(5,NORMINV(RAND(),$C$9,$D$9)))</f>
        <v/>
      </c>
      <c r="O472" s="65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57">
        <f>MAX(-0.05,NORMINV(RAND(),$C$6,$D$6))</f>
        <v/>
      </c>
      <c r="L473" s="57">
        <f>MAX(0.02,NORMINV(RAND(),$C$7,$D$7))</f>
        <v/>
      </c>
      <c r="M473" s="57">
        <f>MIN(0.16,MAX(0.05,NORMINV(RAND(),$C$8,$D$8)))</f>
        <v/>
      </c>
      <c r="N473" s="59">
        <f>MIN(24,MAX(5,NORMINV(RAND(),$C$9,$D$9)))</f>
        <v/>
      </c>
      <c r="O473" s="65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57">
        <f>MAX(-0.05,NORMINV(RAND(),$C$6,$D$6))</f>
        <v/>
      </c>
      <c r="L474" s="57">
        <f>MAX(0.02,NORMINV(RAND(),$C$7,$D$7))</f>
        <v/>
      </c>
      <c r="M474" s="57">
        <f>MIN(0.16,MAX(0.05,NORMINV(RAND(),$C$8,$D$8)))</f>
        <v/>
      </c>
      <c r="N474" s="59">
        <f>MIN(24,MAX(5,NORMINV(RAND(),$C$9,$D$9)))</f>
        <v/>
      </c>
      <c r="O474" s="65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57">
        <f>MAX(-0.05,NORMINV(RAND(),$C$6,$D$6))</f>
        <v/>
      </c>
      <c r="L475" s="57">
        <f>MAX(0.02,NORMINV(RAND(),$C$7,$D$7))</f>
        <v/>
      </c>
      <c r="M475" s="57">
        <f>MIN(0.16,MAX(0.05,NORMINV(RAND(),$C$8,$D$8)))</f>
        <v/>
      </c>
      <c r="N475" s="59">
        <f>MIN(24,MAX(5,NORMINV(RAND(),$C$9,$D$9)))</f>
        <v/>
      </c>
      <c r="O475" s="65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57">
        <f>MAX(-0.05,NORMINV(RAND(),$C$6,$D$6))</f>
        <v/>
      </c>
      <c r="L476" s="57">
        <f>MAX(0.02,NORMINV(RAND(),$C$7,$D$7))</f>
        <v/>
      </c>
      <c r="M476" s="57">
        <f>MIN(0.16,MAX(0.05,NORMINV(RAND(),$C$8,$D$8)))</f>
        <v/>
      </c>
      <c r="N476" s="59">
        <f>MIN(24,MAX(5,NORMINV(RAND(),$C$9,$D$9)))</f>
        <v/>
      </c>
      <c r="O476" s="65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57">
        <f>MAX(-0.05,NORMINV(RAND(),$C$6,$D$6))</f>
        <v/>
      </c>
      <c r="L477" s="57">
        <f>MAX(0.02,NORMINV(RAND(),$C$7,$D$7))</f>
        <v/>
      </c>
      <c r="M477" s="57">
        <f>MIN(0.16,MAX(0.05,NORMINV(RAND(),$C$8,$D$8)))</f>
        <v/>
      </c>
      <c r="N477" s="59">
        <f>MIN(24,MAX(5,NORMINV(RAND(),$C$9,$D$9)))</f>
        <v/>
      </c>
      <c r="O477" s="65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57">
        <f>MAX(-0.05,NORMINV(RAND(),$C$6,$D$6))</f>
        <v/>
      </c>
      <c r="L478" s="57">
        <f>MAX(0.02,NORMINV(RAND(),$C$7,$D$7))</f>
        <v/>
      </c>
      <c r="M478" s="57">
        <f>MIN(0.16,MAX(0.05,NORMINV(RAND(),$C$8,$D$8)))</f>
        <v/>
      </c>
      <c r="N478" s="59">
        <f>MIN(24,MAX(5,NORMINV(RAND(),$C$9,$D$9)))</f>
        <v/>
      </c>
      <c r="O478" s="65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57">
        <f>MAX(-0.05,NORMINV(RAND(),$C$6,$D$6))</f>
        <v/>
      </c>
      <c r="L479" s="57">
        <f>MAX(0.02,NORMINV(RAND(),$C$7,$D$7))</f>
        <v/>
      </c>
      <c r="M479" s="57">
        <f>MIN(0.16,MAX(0.05,NORMINV(RAND(),$C$8,$D$8)))</f>
        <v/>
      </c>
      <c r="N479" s="59">
        <f>MIN(24,MAX(5,NORMINV(RAND(),$C$9,$D$9)))</f>
        <v/>
      </c>
      <c r="O479" s="65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57">
        <f>MAX(-0.05,NORMINV(RAND(),$C$6,$D$6))</f>
        <v/>
      </c>
      <c r="L480" s="57">
        <f>MAX(0.02,NORMINV(RAND(),$C$7,$D$7))</f>
        <v/>
      </c>
      <c r="M480" s="57">
        <f>MIN(0.16,MAX(0.05,NORMINV(RAND(),$C$8,$D$8)))</f>
        <v/>
      </c>
      <c r="N480" s="59">
        <f>MIN(24,MAX(5,NORMINV(RAND(),$C$9,$D$9)))</f>
        <v/>
      </c>
      <c r="O480" s="65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57">
        <f>MAX(-0.05,NORMINV(RAND(),$C$6,$D$6))</f>
        <v/>
      </c>
      <c r="L481" s="57">
        <f>MAX(0.02,NORMINV(RAND(),$C$7,$D$7))</f>
        <v/>
      </c>
      <c r="M481" s="57">
        <f>MIN(0.16,MAX(0.05,NORMINV(RAND(),$C$8,$D$8)))</f>
        <v/>
      </c>
      <c r="N481" s="59">
        <f>MIN(24,MAX(5,NORMINV(RAND(),$C$9,$D$9)))</f>
        <v/>
      </c>
      <c r="O481" s="65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57">
        <f>MAX(-0.05,NORMINV(RAND(),$C$6,$D$6))</f>
        <v/>
      </c>
      <c r="L482" s="57">
        <f>MAX(0.02,NORMINV(RAND(),$C$7,$D$7))</f>
        <v/>
      </c>
      <c r="M482" s="57">
        <f>MIN(0.16,MAX(0.05,NORMINV(RAND(),$C$8,$D$8)))</f>
        <v/>
      </c>
      <c r="N482" s="59">
        <f>MIN(24,MAX(5,NORMINV(RAND(),$C$9,$D$9)))</f>
        <v/>
      </c>
      <c r="O482" s="65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57">
        <f>MAX(-0.05,NORMINV(RAND(),$C$6,$D$6))</f>
        <v/>
      </c>
      <c r="L483" s="57">
        <f>MAX(0.02,NORMINV(RAND(),$C$7,$D$7))</f>
        <v/>
      </c>
      <c r="M483" s="57">
        <f>MIN(0.16,MAX(0.05,NORMINV(RAND(),$C$8,$D$8)))</f>
        <v/>
      </c>
      <c r="N483" s="59">
        <f>MIN(24,MAX(5,NORMINV(RAND(),$C$9,$D$9)))</f>
        <v/>
      </c>
      <c r="O483" s="65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57">
        <f>MAX(-0.05,NORMINV(RAND(),$C$6,$D$6))</f>
        <v/>
      </c>
      <c r="L484" s="57">
        <f>MAX(0.02,NORMINV(RAND(),$C$7,$D$7))</f>
        <v/>
      </c>
      <c r="M484" s="57">
        <f>MIN(0.16,MAX(0.05,NORMINV(RAND(),$C$8,$D$8)))</f>
        <v/>
      </c>
      <c r="N484" s="59">
        <f>MIN(24,MAX(5,NORMINV(RAND(),$C$9,$D$9)))</f>
        <v/>
      </c>
      <c r="O484" s="65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57">
        <f>MAX(-0.05,NORMINV(RAND(),$C$6,$D$6))</f>
        <v/>
      </c>
      <c r="L485" s="57">
        <f>MAX(0.02,NORMINV(RAND(),$C$7,$D$7))</f>
        <v/>
      </c>
      <c r="M485" s="57">
        <f>MIN(0.16,MAX(0.05,NORMINV(RAND(),$C$8,$D$8)))</f>
        <v/>
      </c>
      <c r="N485" s="59">
        <f>MIN(24,MAX(5,NORMINV(RAND(),$C$9,$D$9)))</f>
        <v/>
      </c>
      <c r="O485" s="65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57">
        <f>MAX(-0.05,NORMINV(RAND(),$C$6,$D$6))</f>
        <v/>
      </c>
      <c r="L486" s="57">
        <f>MAX(0.02,NORMINV(RAND(),$C$7,$D$7))</f>
        <v/>
      </c>
      <c r="M486" s="57">
        <f>MIN(0.16,MAX(0.05,NORMINV(RAND(),$C$8,$D$8)))</f>
        <v/>
      </c>
      <c r="N486" s="59">
        <f>MIN(24,MAX(5,NORMINV(RAND(),$C$9,$D$9)))</f>
        <v/>
      </c>
      <c r="O486" s="65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57">
        <f>MAX(-0.05,NORMINV(RAND(),$C$6,$D$6))</f>
        <v/>
      </c>
      <c r="L487" s="57">
        <f>MAX(0.02,NORMINV(RAND(),$C$7,$D$7))</f>
        <v/>
      </c>
      <c r="M487" s="57">
        <f>MIN(0.16,MAX(0.05,NORMINV(RAND(),$C$8,$D$8)))</f>
        <v/>
      </c>
      <c r="N487" s="59">
        <f>MIN(24,MAX(5,NORMINV(RAND(),$C$9,$D$9)))</f>
        <v/>
      </c>
      <c r="O487" s="65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57">
        <f>MAX(-0.05,NORMINV(RAND(),$C$6,$D$6))</f>
        <v/>
      </c>
      <c r="L488" s="57">
        <f>MAX(0.02,NORMINV(RAND(),$C$7,$D$7))</f>
        <v/>
      </c>
      <c r="M488" s="57">
        <f>MIN(0.16,MAX(0.05,NORMINV(RAND(),$C$8,$D$8)))</f>
        <v/>
      </c>
      <c r="N488" s="59">
        <f>MIN(24,MAX(5,NORMINV(RAND(),$C$9,$D$9)))</f>
        <v/>
      </c>
      <c r="O488" s="65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57">
        <f>MAX(-0.05,NORMINV(RAND(),$C$6,$D$6))</f>
        <v/>
      </c>
      <c r="L489" s="57">
        <f>MAX(0.02,NORMINV(RAND(),$C$7,$D$7))</f>
        <v/>
      </c>
      <c r="M489" s="57">
        <f>MIN(0.16,MAX(0.05,NORMINV(RAND(),$C$8,$D$8)))</f>
        <v/>
      </c>
      <c r="N489" s="59">
        <f>MIN(24,MAX(5,NORMINV(RAND(),$C$9,$D$9)))</f>
        <v/>
      </c>
      <c r="O489" s="65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57">
        <f>MAX(-0.05,NORMINV(RAND(),$C$6,$D$6))</f>
        <v/>
      </c>
      <c r="L490" s="57">
        <f>MAX(0.02,NORMINV(RAND(),$C$7,$D$7))</f>
        <v/>
      </c>
      <c r="M490" s="57">
        <f>MIN(0.16,MAX(0.05,NORMINV(RAND(),$C$8,$D$8)))</f>
        <v/>
      </c>
      <c r="N490" s="59">
        <f>MIN(24,MAX(5,NORMINV(RAND(),$C$9,$D$9)))</f>
        <v/>
      </c>
      <c r="O490" s="65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57">
        <f>MAX(-0.05,NORMINV(RAND(),$C$6,$D$6))</f>
        <v/>
      </c>
      <c r="L491" s="57">
        <f>MAX(0.02,NORMINV(RAND(),$C$7,$D$7))</f>
        <v/>
      </c>
      <c r="M491" s="57">
        <f>MIN(0.16,MAX(0.05,NORMINV(RAND(),$C$8,$D$8)))</f>
        <v/>
      </c>
      <c r="N491" s="59">
        <f>MIN(24,MAX(5,NORMINV(RAND(),$C$9,$D$9)))</f>
        <v/>
      </c>
      <c r="O491" s="65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57">
        <f>MAX(-0.05,NORMINV(RAND(),$C$6,$D$6))</f>
        <v/>
      </c>
      <c r="L492" s="57">
        <f>MAX(0.02,NORMINV(RAND(),$C$7,$D$7))</f>
        <v/>
      </c>
      <c r="M492" s="57">
        <f>MIN(0.16,MAX(0.05,NORMINV(RAND(),$C$8,$D$8)))</f>
        <v/>
      </c>
      <c r="N492" s="59">
        <f>MIN(24,MAX(5,NORMINV(RAND(),$C$9,$D$9)))</f>
        <v/>
      </c>
      <c r="O492" s="65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57">
        <f>MAX(-0.05,NORMINV(RAND(),$C$6,$D$6))</f>
        <v/>
      </c>
      <c r="L493" s="57">
        <f>MAX(0.02,NORMINV(RAND(),$C$7,$D$7))</f>
        <v/>
      </c>
      <c r="M493" s="57">
        <f>MIN(0.16,MAX(0.05,NORMINV(RAND(),$C$8,$D$8)))</f>
        <v/>
      </c>
      <c r="N493" s="59">
        <f>MIN(24,MAX(5,NORMINV(RAND(),$C$9,$D$9)))</f>
        <v/>
      </c>
      <c r="O493" s="65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57">
        <f>MAX(-0.05,NORMINV(RAND(),$C$6,$D$6))</f>
        <v/>
      </c>
      <c r="L494" s="57">
        <f>MAX(0.02,NORMINV(RAND(),$C$7,$D$7))</f>
        <v/>
      </c>
      <c r="M494" s="57">
        <f>MIN(0.16,MAX(0.05,NORMINV(RAND(),$C$8,$D$8)))</f>
        <v/>
      </c>
      <c r="N494" s="59">
        <f>MIN(24,MAX(5,NORMINV(RAND(),$C$9,$D$9)))</f>
        <v/>
      </c>
      <c r="O494" s="65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57">
        <f>MAX(-0.05,NORMINV(RAND(),$C$6,$D$6))</f>
        <v/>
      </c>
      <c r="L495" s="57">
        <f>MAX(0.02,NORMINV(RAND(),$C$7,$D$7))</f>
        <v/>
      </c>
      <c r="M495" s="57">
        <f>MIN(0.16,MAX(0.05,NORMINV(RAND(),$C$8,$D$8)))</f>
        <v/>
      </c>
      <c r="N495" s="59">
        <f>MIN(24,MAX(5,NORMINV(RAND(),$C$9,$D$9)))</f>
        <v/>
      </c>
      <c r="O495" s="65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57">
        <f>MAX(-0.05,NORMINV(RAND(),$C$6,$D$6))</f>
        <v/>
      </c>
      <c r="L496" s="57">
        <f>MAX(0.02,NORMINV(RAND(),$C$7,$D$7))</f>
        <v/>
      </c>
      <c r="M496" s="57">
        <f>MIN(0.16,MAX(0.05,NORMINV(RAND(),$C$8,$D$8)))</f>
        <v/>
      </c>
      <c r="N496" s="59">
        <f>MIN(24,MAX(5,NORMINV(RAND(),$C$9,$D$9)))</f>
        <v/>
      </c>
      <c r="O496" s="65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57">
        <f>MAX(-0.05,NORMINV(RAND(),$C$6,$D$6))</f>
        <v/>
      </c>
      <c r="L497" s="57">
        <f>MAX(0.02,NORMINV(RAND(),$C$7,$D$7))</f>
        <v/>
      </c>
      <c r="M497" s="57">
        <f>MIN(0.16,MAX(0.05,NORMINV(RAND(),$C$8,$D$8)))</f>
        <v/>
      </c>
      <c r="N497" s="59">
        <f>MIN(24,MAX(5,NORMINV(RAND(),$C$9,$D$9)))</f>
        <v/>
      </c>
      <c r="O497" s="65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57">
        <f>MAX(-0.05,NORMINV(RAND(),$C$6,$D$6))</f>
        <v/>
      </c>
      <c r="L498" s="57">
        <f>MAX(0.02,NORMINV(RAND(),$C$7,$D$7))</f>
        <v/>
      </c>
      <c r="M498" s="57">
        <f>MIN(0.16,MAX(0.05,NORMINV(RAND(),$C$8,$D$8)))</f>
        <v/>
      </c>
      <c r="N498" s="59">
        <f>MIN(24,MAX(5,NORMINV(RAND(),$C$9,$D$9)))</f>
        <v/>
      </c>
      <c r="O498" s="65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57">
        <f>MAX(-0.05,NORMINV(RAND(),$C$6,$D$6))</f>
        <v/>
      </c>
      <c r="L499" s="57">
        <f>MAX(0.02,NORMINV(RAND(),$C$7,$D$7))</f>
        <v/>
      </c>
      <c r="M499" s="57">
        <f>MIN(0.16,MAX(0.05,NORMINV(RAND(),$C$8,$D$8)))</f>
        <v/>
      </c>
      <c r="N499" s="59">
        <f>MIN(24,MAX(5,NORMINV(RAND(),$C$9,$D$9)))</f>
        <v/>
      </c>
      <c r="O499" s="65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57">
        <f>MAX(-0.05,NORMINV(RAND(),$C$6,$D$6))</f>
        <v/>
      </c>
      <c r="L500" s="57">
        <f>MAX(0.02,NORMINV(RAND(),$C$7,$D$7))</f>
        <v/>
      </c>
      <c r="M500" s="57">
        <f>MIN(0.16,MAX(0.05,NORMINV(RAND(),$C$8,$D$8)))</f>
        <v/>
      </c>
      <c r="N500" s="59">
        <f>MIN(24,MAX(5,NORMINV(RAND(),$C$9,$D$9)))</f>
        <v/>
      </c>
      <c r="O500" s="65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57">
        <f>MAX(-0.05,NORMINV(RAND(),$C$6,$D$6))</f>
        <v/>
      </c>
      <c r="L501" s="57">
        <f>MAX(0.02,NORMINV(RAND(),$C$7,$D$7))</f>
        <v/>
      </c>
      <c r="M501" s="57">
        <f>MIN(0.16,MAX(0.05,NORMINV(RAND(),$C$8,$D$8)))</f>
        <v/>
      </c>
      <c r="N501" s="59">
        <f>MIN(24,MAX(5,NORMINV(RAND(),$C$9,$D$9)))</f>
        <v/>
      </c>
      <c r="O501" s="65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57">
        <f>MAX(-0.05,NORMINV(RAND(),$C$6,$D$6))</f>
        <v/>
      </c>
      <c r="L502" s="57">
        <f>MAX(0.02,NORMINV(RAND(),$C$7,$D$7))</f>
        <v/>
      </c>
      <c r="M502" s="57">
        <f>MIN(0.16,MAX(0.05,NORMINV(RAND(),$C$8,$D$8)))</f>
        <v/>
      </c>
      <c r="N502" s="59">
        <f>MIN(24,MAX(5,NORMINV(RAND(),$C$9,$D$9)))</f>
        <v/>
      </c>
      <c r="O502" s="65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57">
        <f>MAX(-0.05,NORMINV(RAND(),$C$6,$D$6))</f>
        <v/>
      </c>
      <c r="L503" s="57">
        <f>MAX(0.02,NORMINV(RAND(),$C$7,$D$7))</f>
        <v/>
      </c>
      <c r="M503" s="57">
        <f>MIN(0.16,MAX(0.05,NORMINV(RAND(),$C$8,$D$8)))</f>
        <v/>
      </c>
      <c r="N503" s="59">
        <f>MIN(24,MAX(5,NORMINV(RAND(),$C$9,$D$9)))</f>
        <v/>
      </c>
      <c r="O503" s="65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57">
        <f>MAX(-0.05,NORMINV(RAND(),$C$6,$D$6))</f>
        <v/>
      </c>
      <c r="L504" s="57">
        <f>MAX(0.02,NORMINV(RAND(),$C$7,$D$7))</f>
        <v/>
      </c>
      <c r="M504" s="57">
        <f>MIN(0.16,MAX(0.05,NORMINV(RAND(),$C$8,$D$8)))</f>
        <v/>
      </c>
      <c r="N504" s="59">
        <f>MIN(24,MAX(5,NORMINV(RAND(),$C$9,$D$9)))</f>
        <v/>
      </c>
      <c r="O504" s="65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57">
        <f>MAX(-0.05,NORMINV(RAND(),$C$6,$D$6))</f>
        <v/>
      </c>
      <c r="L505" s="57">
        <f>MAX(0.02,NORMINV(RAND(),$C$7,$D$7))</f>
        <v/>
      </c>
      <c r="M505" s="57">
        <f>MIN(0.16,MAX(0.05,NORMINV(RAND(),$C$8,$D$8)))</f>
        <v/>
      </c>
      <c r="N505" s="59">
        <f>MIN(24,MAX(5,NORMINV(RAND(),$C$9,$D$9)))</f>
        <v/>
      </c>
      <c r="O505" s="65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57">
        <f>MAX(-0.05,NORMINV(RAND(),$C$6,$D$6))</f>
        <v/>
      </c>
      <c r="L506" s="57">
        <f>MAX(0.02,NORMINV(RAND(),$C$7,$D$7))</f>
        <v/>
      </c>
      <c r="M506" s="57">
        <f>MIN(0.16,MAX(0.05,NORMINV(RAND(),$C$8,$D$8)))</f>
        <v/>
      </c>
      <c r="N506" s="59">
        <f>MIN(24,MAX(5,NORMINV(RAND(),$C$9,$D$9)))</f>
        <v/>
      </c>
      <c r="O506" s="65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57">
        <f>MAX(-0.05,NORMINV(RAND(),$C$6,$D$6))</f>
        <v/>
      </c>
      <c r="L507" s="57">
        <f>MAX(0.02,NORMINV(RAND(),$C$7,$D$7))</f>
        <v/>
      </c>
      <c r="M507" s="57">
        <f>MIN(0.16,MAX(0.05,NORMINV(RAND(),$C$8,$D$8)))</f>
        <v/>
      </c>
      <c r="N507" s="59">
        <f>MIN(24,MAX(5,NORMINV(RAND(),$C$9,$D$9)))</f>
        <v/>
      </c>
      <c r="O507" s="65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57">
        <f>MAX(-0.05,NORMINV(RAND(),$C$6,$D$6))</f>
        <v/>
      </c>
      <c r="L508" s="57">
        <f>MAX(0.02,NORMINV(RAND(),$C$7,$D$7))</f>
        <v/>
      </c>
      <c r="M508" s="57">
        <f>MIN(0.16,MAX(0.05,NORMINV(RAND(),$C$8,$D$8)))</f>
        <v/>
      </c>
      <c r="N508" s="59">
        <f>MIN(24,MAX(5,NORMINV(RAND(),$C$9,$D$9)))</f>
        <v/>
      </c>
      <c r="O508" s="65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57">
        <f>MAX(-0.05,NORMINV(RAND(),$C$6,$D$6))</f>
        <v/>
      </c>
      <c r="L509" s="57">
        <f>MAX(0.02,NORMINV(RAND(),$C$7,$D$7))</f>
        <v/>
      </c>
      <c r="M509" s="57">
        <f>MIN(0.16,MAX(0.05,NORMINV(RAND(),$C$8,$D$8)))</f>
        <v/>
      </c>
      <c r="N509" s="59">
        <f>MIN(24,MAX(5,NORMINV(RAND(),$C$9,$D$9)))</f>
        <v/>
      </c>
      <c r="O509" s="65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57">
        <f>MAX(-0.05,NORMINV(RAND(),$C$6,$D$6))</f>
        <v/>
      </c>
      <c r="L510" s="57">
        <f>MAX(0.02,NORMINV(RAND(),$C$7,$D$7))</f>
        <v/>
      </c>
      <c r="M510" s="57">
        <f>MIN(0.16,MAX(0.05,NORMINV(RAND(),$C$8,$D$8)))</f>
        <v/>
      </c>
      <c r="N510" s="59">
        <f>MIN(24,MAX(5,NORMINV(RAND(),$C$9,$D$9)))</f>
        <v/>
      </c>
      <c r="O510" s="65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57">
        <f>MAX(-0.05,NORMINV(RAND(),$C$6,$D$6))</f>
        <v/>
      </c>
      <c r="L511" s="57">
        <f>MAX(0.02,NORMINV(RAND(),$C$7,$D$7))</f>
        <v/>
      </c>
      <c r="M511" s="57">
        <f>MIN(0.16,MAX(0.05,NORMINV(RAND(),$C$8,$D$8)))</f>
        <v/>
      </c>
      <c r="N511" s="59">
        <f>MIN(24,MAX(5,NORMINV(RAND(),$C$9,$D$9)))</f>
        <v/>
      </c>
      <c r="O511" s="65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57">
        <f>MAX(-0.05,NORMINV(RAND(),$C$6,$D$6))</f>
        <v/>
      </c>
      <c r="L512" s="57">
        <f>MAX(0.02,NORMINV(RAND(),$C$7,$D$7))</f>
        <v/>
      </c>
      <c r="M512" s="57">
        <f>MIN(0.16,MAX(0.05,NORMINV(RAND(),$C$8,$D$8)))</f>
        <v/>
      </c>
      <c r="N512" s="59">
        <f>MIN(24,MAX(5,NORMINV(RAND(),$C$9,$D$9)))</f>
        <v/>
      </c>
      <c r="O512" s="65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57">
        <f>MAX(-0.05,NORMINV(RAND(),$C$6,$D$6))</f>
        <v/>
      </c>
      <c r="L513" s="57">
        <f>MAX(0.02,NORMINV(RAND(),$C$7,$D$7))</f>
        <v/>
      </c>
      <c r="M513" s="57">
        <f>MIN(0.16,MAX(0.05,NORMINV(RAND(),$C$8,$D$8)))</f>
        <v/>
      </c>
      <c r="N513" s="59">
        <f>MIN(24,MAX(5,NORMINV(RAND(),$C$9,$D$9)))</f>
        <v/>
      </c>
      <c r="O513" s="65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57">
        <f>MAX(-0.05,NORMINV(RAND(),$C$6,$D$6))</f>
        <v/>
      </c>
      <c r="L514" s="57">
        <f>MAX(0.02,NORMINV(RAND(),$C$7,$D$7))</f>
        <v/>
      </c>
      <c r="M514" s="57">
        <f>MIN(0.16,MAX(0.05,NORMINV(RAND(),$C$8,$D$8)))</f>
        <v/>
      </c>
      <c r="N514" s="59">
        <f>MIN(24,MAX(5,NORMINV(RAND(),$C$9,$D$9)))</f>
        <v/>
      </c>
      <c r="O514" s="65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57">
        <f>MAX(-0.05,NORMINV(RAND(),$C$6,$D$6))</f>
        <v/>
      </c>
      <c r="L515" s="57">
        <f>MAX(0.02,NORMINV(RAND(),$C$7,$D$7))</f>
        <v/>
      </c>
      <c r="M515" s="57">
        <f>MIN(0.16,MAX(0.05,NORMINV(RAND(),$C$8,$D$8)))</f>
        <v/>
      </c>
      <c r="N515" s="59">
        <f>MIN(24,MAX(5,NORMINV(RAND(),$C$9,$D$9)))</f>
        <v/>
      </c>
      <c r="O515" s="65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57">
        <f>MAX(-0.05,NORMINV(RAND(),$C$6,$D$6))</f>
        <v/>
      </c>
      <c r="L516" s="57">
        <f>MAX(0.02,NORMINV(RAND(),$C$7,$D$7))</f>
        <v/>
      </c>
      <c r="M516" s="57">
        <f>MIN(0.16,MAX(0.05,NORMINV(RAND(),$C$8,$D$8)))</f>
        <v/>
      </c>
      <c r="N516" s="59">
        <f>MIN(24,MAX(5,NORMINV(RAND(),$C$9,$D$9)))</f>
        <v/>
      </c>
      <c r="O516" s="65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57">
        <f>MAX(-0.05,NORMINV(RAND(),$C$6,$D$6))</f>
        <v/>
      </c>
      <c r="L517" s="57">
        <f>MAX(0.02,NORMINV(RAND(),$C$7,$D$7))</f>
        <v/>
      </c>
      <c r="M517" s="57">
        <f>MIN(0.16,MAX(0.05,NORMINV(RAND(),$C$8,$D$8)))</f>
        <v/>
      </c>
      <c r="N517" s="59">
        <f>MIN(24,MAX(5,NORMINV(RAND(),$C$9,$D$9)))</f>
        <v/>
      </c>
      <c r="O517" s="65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57">
        <f>MAX(-0.05,NORMINV(RAND(),$C$6,$D$6))</f>
        <v/>
      </c>
      <c r="L518" s="57">
        <f>MAX(0.02,NORMINV(RAND(),$C$7,$D$7))</f>
        <v/>
      </c>
      <c r="M518" s="57">
        <f>MIN(0.16,MAX(0.05,NORMINV(RAND(),$C$8,$D$8)))</f>
        <v/>
      </c>
      <c r="N518" s="59">
        <f>MIN(24,MAX(5,NORMINV(RAND(),$C$9,$D$9)))</f>
        <v/>
      </c>
      <c r="O518" s="65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57">
        <f>MAX(-0.05,NORMINV(RAND(),$C$6,$D$6))</f>
        <v/>
      </c>
      <c r="L519" s="57">
        <f>MAX(0.02,NORMINV(RAND(),$C$7,$D$7))</f>
        <v/>
      </c>
      <c r="M519" s="57">
        <f>MIN(0.16,MAX(0.05,NORMINV(RAND(),$C$8,$D$8)))</f>
        <v/>
      </c>
      <c r="N519" s="59">
        <f>MIN(24,MAX(5,NORMINV(RAND(),$C$9,$D$9)))</f>
        <v/>
      </c>
      <c r="O519" s="65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57">
        <f>MAX(-0.05,NORMINV(RAND(),$C$6,$D$6))</f>
        <v/>
      </c>
      <c r="L520" s="57">
        <f>MAX(0.02,NORMINV(RAND(),$C$7,$D$7))</f>
        <v/>
      </c>
      <c r="M520" s="57">
        <f>MIN(0.16,MAX(0.05,NORMINV(RAND(),$C$8,$D$8)))</f>
        <v/>
      </c>
      <c r="N520" s="59">
        <f>MIN(24,MAX(5,NORMINV(RAND(),$C$9,$D$9)))</f>
        <v/>
      </c>
      <c r="O520" s="65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57">
        <f>MAX(-0.05,NORMINV(RAND(),$C$6,$D$6))</f>
        <v/>
      </c>
      <c r="L521" s="57">
        <f>MAX(0.02,NORMINV(RAND(),$C$7,$D$7))</f>
        <v/>
      </c>
      <c r="M521" s="57">
        <f>MIN(0.16,MAX(0.05,NORMINV(RAND(),$C$8,$D$8)))</f>
        <v/>
      </c>
      <c r="N521" s="59">
        <f>MIN(24,MAX(5,NORMINV(RAND(),$C$9,$D$9)))</f>
        <v/>
      </c>
      <c r="O521" s="65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57">
        <f>MAX(-0.05,NORMINV(RAND(),$C$6,$D$6))</f>
        <v/>
      </c>
      <c r="L522" s="57">
        <f>MAX(0.02,NORMINV(RAND(),$C$7,$D$7))</f>
        <v/>
      </c>
      <c r="M522" s="57">
        <f>MIN(0.16,MAX(0.05,NORMINV(RAND(),$C$8,$D$8)))</f>
        <v/>
      </c>
      <c r="N522" s="59">
        <f>MIN(24,MAX(5,NORMINV(RAND(),$C$9,$D$9)))</f>
        <v/>
      </c>
      <c r="O522" s="65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57">
        <f>MAX(-0.05,NORMINV(RAND(),$C$6,$D$6))</f>
        <v/>
      </c>
      <c r="L523" s="57">
        <f>MAX(0.02,NORMINV(RAND(),$C$7,$D$7))</f>
        <v/>
      </c>
      <c r="M523" s="57">
        <f>MIN(0.16,MAX(0.05,NORMINV(RAND(),$C$8,$D$8)))</f>
        <v/>
      </c>
      <c r="N523" s="59">
        <f>MIN(24,MAX(5,NORMINV(RAND(),$C$9,$D$9)))</f>
        <v/>
      </c>
      <c r="O523" s="65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57">
        <f>MAX(-0.05,NORMINV(RAND(),$C$6,$D$6))</f>
        <v/>
      </c>
      <c r="L524" s="57">
        <f>MAX(0.02,NORMINV(RAND(),$C$7,$D$7))</f>
        <v/>
      </c>
      <c r="M524" s="57">
        <f>MIN(0.16,MAX(0.05,NORMINV(RAND(),$C$8,$D$8)))</f>
        <v/>
      </c>
      <c r="N524" s="59">
        <f>MIN(24,MAX(5,NORMINV(RAND(),$C$9,$D$9)))</f>
        <v/>
      </c>
      <c r="O524" s="65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57">
        <f>MAX(-0.05,NORMINV(RAND(),$C$6,$D$6))</f>
        <v/>
      </c>
      <c r="L525" s="57">
        <f>MAX(0.02,NORMINV(RAND(),$C$7,$D$7))</f>
        <v/>
      </c>
      <c r="M525" s="57">
        <f>MIN(0.16,MAX(0.05,NORMINV(RAND(),$C$8,$D$8)))</f>
        <v/>
      </c>
      <c r="N525" s="59">
        <f>MIN(24,MAX(5,NORMINV(RAND(),$C$9,$D$9)))</f>
        <v/>
      </c>
      <c r="O525" s="65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57">
        <f>MAX(-0.05,NORMINV(RAND(),$C$6,$D$6))</f>
        <v/>
      </c>
      <c r="L526" s="57">
        <f>MAX(0.02,NORMINV(RAND(),$C$7,$D$7))</f>
        <v/>
      </c>
      <c r="M526" s="57">
        <f>MIN(0.16,MAX(0.05,NORMINV(RAND(),$C$8,$D$8)))</f>
        <v/>
      </c>
      <c r="N526" s="59">
        <f>MIN(24,MAX(5,NORMINV(RAND(),$C$9,$D$9)))</f>
        <v/>
      </c>
      <c r="O526" s="65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57">
        <f>MAX(-0.05,NORMINV(RAND(),$C$6,$D$6))</f>
        <v/>
      </c>
      <c r="L527" s="57">
        <f>MAX(0.02,NORMINV(RAND(),$C$7,$D$7))</f>
        <v/>
      </c>
      <c r="M527" s="57">
        <f>MIN(0.16,MAX(0.05,NORMINV(RAND(),$C$8,$D$8)))</f>
        <v/>
      </c>
      <c r="N527" s="59">
        <f>MIN(24,MAX(5,NORMINV(RAND(),$C$9,$D$9)))</f>
        <v/>
      </c>
      <c r="O527" s="65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57">
        <f>MAX(-0.05,NORMINV(RAND(),$C$6,$D$6))</f>
        <v/>
      </c>
      <c r="L528" s="57">
        <f>MAX(0.02,NORMINV(RAND(),$C$7,$D$7))</f>
        <v/>
      </c>
      <c r="M528" s="57">
        <f>MIN(0.16,MAX(0.05,NORMINV(RAND(),$C$8,$D$8)))</f>
        <v/>
      </c>
      <c r="N528" s="59">
        <f>MIN(24,MAX(5,NORMINV(RAND(),$C$9,$D$9)))</f>
        <v/>
      </c>
      <c r="O528" s="65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57">
        <f>MAX(-0.05,NORMINV(RAND(),$C$6,$D$6))</f>
        <v/>
      </c>
      <c r="L529" s="57">
        <f>MAX(0.02,NORMINV(RAND(),$C$7,$D$7))</f>
        <v/>
      </c>
      <c r="M529" s="57">
        <f>MIN(0.16,MAX(0.05,NORMINV(RAND(),$C$8,$D$8)))</f>
        <v/>
      </c>
      <c r="N529" s="59">
        <f>MIN(24,MAX(5,NORMINV(RAND(),$C$9,$D$9)))</f>
        <v/>
      </c>
      <c r="O529" s="65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57">
        <f>MAX(-0.05,NORMINV(RAND(),$C$6,$D$6))</f>
        <v/>
      </c>
      <c r="L530" s="57">
        <f>MAX(0.02,NORMINV(RAND(),$C$7,$D$7))</f>
        <v/>
      </c>
      <c r="M530" s="57">
        <f>MIN(0.16,MAX(0.05,NORMINV(RAND(),$C$8,$D$8)))</f>
        <v/>
      </c>
      <c r="N530" s="59">
        <f>MIN(24,MAX(5,NORMINV(RAND(),$C$9,$D$9)))</f>
        <v/>
      </c>
      <c r="O530" s="65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57">
        <f>MAX(-0.05,NORMINV(RAND(),$C$6,$D$6))</f>
        <v/>
      </c>
      <c r="L531" s="57">
        <f>MAX(0.02,NORMINV(RAND(),$C$7,$D$7))</f>
        <v/>
      </c>
      <c r="M531" s="57">
        <f>MIN(0.16,MAX(0.05,NORMINV(RAND(),$C$8,$D$8)))</f>
        <v/>
      </c>
      <c r="N531" s="59">
        <f>MIN(24,MAX(5,NORMINV(RAND(),$C$9,$D$9)))</f>
        <v/>
      </c>
      <c r="O531" s="65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57">
        <f>MAX(-0.05,NORMINV(RAND(),$C$6,$D$6))</f>
        <v/>
      </c>
      <c r="L532" s="57">
        <f>MAX(0.02,NORMINV(RAND(),$C$7,$D$7))</f>
        <v/>
      </c>
      <c r="M532" s="57">
        <f>MIN(0.16,MAX(0.05,NORMINV(RAND(),$C$8,$D$8)))</f>
        <v/>
      </c>
      <c r="N532" s="59">
        <f>MIN(24,MAX(5,NORMINV(RAND(),$C$9,$D$9)))</f>
        <v/>
      </c>
      <c r="O532" s="65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57">
        <f>MAX(-0.05,NORMINV(RAND(),$C$6,$D$6))</f>
        <v/>
      </c>
      <c r="L533" s="57">
        <f>MAX(0.02,NORMINV(RAND(),$C$7,$D$7))</f>
        <v/>
      </c>
      <c r="M533" s="57">
        <f>MIN(0.16,MAX(0.05,NORMINV(RAND(),$C$8,$D$8)))</f>
        <v/>
      </c>
      <c r="N533" s="59">
        <f>MIN(24,MAX(5,NORMINV(RAND(),$C$9,$D$9)))</f>
        <v/>
      </c>
      <c r="O533" s="65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57">
        <f>MAX(-0.05,NORMINV(RAND(),$C$6,$D$6))</f>
        <v/>
      </c>
      <c r="L534" s="57">
        <f>MAX(0.02,NORMINV(RAND(),$C$7,$D$7))</f>
        <v/>
      </c>
      <c r="M534" s="57">
        <f>MIN(0.16,MAX(0.05,NORMINV(RAND(),$C$8,$D$8)))</f>
        <v/>
      </c>
      <c r="N534" s="59">
        <f>MIN(24,MAX(5,NORMINV(RAND(),$C$9,$D$9)))</f>
        <v/>
      </c>
      <c r="O534" s="65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57">
        <f>MAX(-0.05,NORMINV(RAND(),$C$6,$D$6))</f>
        <v/>
      </c>
      <c r="L535" s="57">
        <f>MAX(0.02,NORMINV(RAND(),$C$7,$D$7))</f>
        <v/>
      </c>
      <c r="M535" s="57">
        <f>MIN(0.16,MAX(0.05,NORMINV(RAND(),$C$8,$D$8)))</f>
        <v/>
      </c>
      <c r="N535" s="59">
        <f>MIN(24,MAX(5,NORMINV(RAND(),$C$9,$D$9)))</f>
        <v/>
      </c>
      <c r="O535" s="65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57">
        <f>MAX(-0.05,NORMINV(RAND(),$C$6,$D$6))</f>
        <v/>
      </c>
      <c r="L536" s="57">
        <f>MAX(0.02,NORMINV(RAND(),$C$7,$D$7))</f>
        <v/>
      </c>
      <c r="M536" s="57">
        <f>MIN(0.16,MAX(0.05,NORMINV(RAND(),$C$8,$D$8)))</f>
        <v/>
      </c>
      <c r="N536" s="59">
        <f>MIN(24,MAX(5,NORMINV(RAND(),$C$9,$D$9)))</f>
        <v/>
      </c>
      <c r="O536" s="65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57">
        <f>MAX(-0.05,NORMINV(RAND(),$C$6,$D$6))</f>
        <v/>
      </c>
      <c r="L537" s="57">
        <f>MAX(0.02,NORMINV(RAND(),$C$7,$D$7))</f>
        <v/>
      </c>
      <c r="M537" s="57">
        <f>MIN(0.16,MAX(0.05,NORMINV(RAND(),$C$8,$D$8)))</f>
        <v/>
      </c>
      <c r="N537" s="59">
        <f>MIN(24,MAX(5,NORMINV(RAND(),$C$9,$D$9)))</f>
        <v/>
      </c>
      <c r="O537" s="65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57">
        <f>MAX(-0.05,NORMINV(RAND(),$C$6,$D$6))</f>
        <v/>
      </c>
      <c r="L538" s="57">
        <f>MAX(0.02,NORMINV(RAND(),$C$7,$D$7))</f>
        <v/>
      </c>
      <c r="M538" s="57">
        <f>MIN(0.16,MAX(0.05,NORMINV(RAND(),$C$8,$D$8)))</f>
        <v/>
      </c>
      <c r="N538" s="59">
        <f>MIN(24,MAX(5,NORMINV(RAND(),$C$9,$D$9)))</f>
        <v/>
      </c>
      <c r="O538" s="65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57">
        <f>MAX(-0.05,NORMINV(RAND(),$C$6,$D$6))</f>
        <v/>
      </c>
      <c r="L539" s="57">
        <f>MAX(0.02,NORMINV(RAND(),$C$7,$D$7))</f>
        <v/>
      </c>
      <c r="M539" s="57">
        <f>MIN(0.16,MAX(0.05,NORMINV(RAND(),$C$8,$D$8)))</f>
        <v/>
      </c>
      <c r="N539" s="59">
        <f>MIN(24,MAX(5,NORMINV(RAND(),$C$9,$D$9)))</f>
        <v/>
      </c>
      <c r="O539" s="65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57">
        <f>MAX(-0.05,NORMINV(RAND(),$C$6,$D$6))</f>
        <v/>
      </c>
      <c r="L540" s="57">
        <f>MAX(0.02,NORMINV(RAND(),$C$7,$D$7))</f>
        <v/>
      </c>
      <c r="M540" s="57">
        <f>MIN(0.16,MAX(0.05,NORMINV(RAND(),$C$8,$D$8)))</f>
        <v/>
      </c>
      <c r="N540" s="59">
        <f>MIN(24,MAX(5,NORMINV(RAND(),$C$9,$D$9)))</f>
        <v/>
      </c>
      <c r="O540" s="65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57">
        <f>MAX(-0.05,NORMINV(RAND(),$C$6,$D$6))</f>
        <v/>
      </c>
      <c r="L541" s="57">
        <f>MAX(0.02,NORMINV(RAND(),$C$7,$D$7))</f>
        <v/>
      </c>
      <c r="M541" s="57">
        <f>MIN(0.16,MAX(0.05,NORMINV(RAND(),$C$8,$D$8)))</f>
        <v/>
      </c>
      <c r="N541" s="59">
        <f>MIN(24,MAX(5,NORMINV(RAND(),$C$9,$D$9)))</f>
        <v/>
      </c>
      <c r="O541" s="65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57">
        <f>MAX(-0.05,NORMINV(RAND(),$C$6,$D$6))</f>
        <v/>
      </c>
      <c r="L542" s="57">
        <f>MAX(0.02,NORMINV(RAND(),$C$7,$D$7))</f>
        <v/>
      </c>
      <c r="M542" s="57">
        <f>MIN(0.16,MAX(0.05,NORMINV(RAND(),$C$8,$D$8)))</f>
        <v/>
      </c>
      <c r="N542" s="59">
        <f>MIN(24,MAX(5,NORMINV(RAND(),$C$9,$D$9)))</f>
        <v/>
      </c>
      <c r="O542" s="65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57">
        <f>MAX(-0.05,NORMINV(RAND(),$C$6,$D$6))</f>
        <v/>
      </c>
      <c r="L543" s="57">
        <f>MAX(0.02,NORMINV(RAND(),$C$7,$D$7))</f>
        <v/>
      </c>
      <c r="M543" s="57">
        <f>MIN(0.16,MAX(0.05,NORMINV(RAND(),$C$8,$D$8)))</f>
        <v/>
      </c>
      <c r="N543" s="59">
        <f>MIN(24,MAX(5,NORMINV(RAND(),$C$9,$D$9)))</f>
        <v/>
      </c>
      <c r="O543" s="65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57">
        <f>MAX(-0.05,NORMINV(RAND(),$C$6,$D$6))</f>
        <v/>
      </c>
      <c r="L544" s="57">
        <f>MAX(0.02,NORMINV(RAND(),$C$7,$D$7))</f>
        <v/>
      </c>
      <c r="M544" s="57">
        <f>MIN(0.16,MAX(0.05,NORMINV(RAND(),$C$8,$D$8)))</f>
        <v/>
      </c>
      <c r="N544" s="59">
        <f>MIN(24,MAX(5,NORMINV(RAND(),$C$9,$D$9)))</f>
        <v/>
      </c>
      <c r="O544" s="65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57">
        <f>MAX(-0.05,NORMINV(RAND(),$C$6,$D$6))</f>
        <v/>
      </c>
      <c r="L545" s="57">
        <f>MAX(0.02,NORMINV(RAND(),$C$7,$D$7))</f>
        <v/>
      </c>
      <c r="M545" s="57">
        <f>MIN(0.16,MAX(0.05,NORMINV(RAND(),$C$8,$D$8)))</f>
        <v/>
      </c>
      <c r="N545" s="59">
        <f>MIN(24,MAX(5,NORMINV(RAND(),$C$9,$D$9)))</f>
        <v/>
      </c>
      <c r="O545" s="65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57">
        <f>MAX(-0.05,NORMINV(RAND(),$C$6,$D$6))</f>
        <v/>
      </c>
      <c r="L546" s="57">
        <f>MAX(0.02,NORMINV(RAND(),$C$7,$D$7))</f>
        <v/>
      </c>
      <c r="M546" s="57">
        <f>MIN(0.16,MAX(0.05,NORMINV(RAND(),$C$8,$D$8)))</f>
        <v/>
      </c>
      <c r="N546" s="59">
        <f>MIN(24,MAX(5,NORMINV(RAND(),$C$9,$D$9)))</f>
        <v/>
      </c>
      <c r="O546" s="65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57">
        <f>MAX(-0.05,NORMINV(RAND(),$C$6,$D$6))</f>
        <v/>
      </c>
      <c r="L547" s="57">
        <f>MAX(0.02,NORMINV(RAND(),$C$7,$D$7))</f>
        <v/>
      </c>
      <c r="M547" s="57">
        <f>MIN(0.16,MAX(0.05,NORMINV(RAND(),$C$8,$D$8)))</f>
        <v/>
      </c>
      <c r="N547" s="59">
        <f>MIN(24,MAX(5,NORMINV(RAND(),$C$9,$D$9)))</f>
        <v/>
      </c>
      <c r="O547" s="65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57">
        <f>MAX(-0.05,NORMINV(RAND(),$C$6,$D$6))</f>
        <v/>
      </c>
      <c r="L548" s="57">
        <f>MAX(0.02,NORMINV(RAND(),$C$7,$D$7))</f>
        <v/>
      </c>
      <c r="M548" s="57">
        <f>MIN(0.16,MAX(0.05,NORMINV(RAND(),$C$8,$D$8)))</f>
        <v/>
      </c>
      <c r="N548" s="59">
        <f>MIN(24,MAX(5,NORMINV(RAND(),$C$9,$D$9)))</f>
        <v/>
      </c>
      <c r="O548" s="65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57">
        <f>MAX(-0.05,NORMINV(RAND(),$C$6,$D$6))</f>
        <v/>
      </c>
      <c r="L549" s="57">
        <f>MAX(0.02,NORMINV(RAND(),$C$7,$D$7))</f>
        <v/>
      </c>
      <c r="M549" s="57">
        <f>MIN(0.16,MAX(0.05,NORMINV(RAND(),$C$8,$D$8)))</f>
        <v/>
      </c>
      <c r="N549" s="59">
        <f>MIN(24,MAX(5,NORMINV(RAND(),$C$9,$D$9)))</f>
        <v/>
      </c>
      <c r="O549" s="65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57">
        <f>MAX(-0.05,NORMINV(RAND(),$C$6,$D$6))</f>
        <v/>
      </c>
      <c r="L550" s="57">
        <f>MAX(0.02,NORMINV(RAND(),$C$7,$D$7))</f>
        <v/>
      </c>
      <c r="M550" s="57">
        <f>MIN(0.16,MAX(0.05,NORMINV(RAND(),$C$8,$D$8)))</f>
        <v/>
      </c>
      <c r="N550" s="59">
        <f>MIN(24,MAX(5,NORMINV(RAND(),$C$9,$D$9)))</f>
        <v/>
      </c>
      <c r="O550" s="65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57">
        <f>MAX(-0.05,NORMINV(RAND(),$C$6,$D$6))</f>
        <v/>
      </c>
      <c r="L551" s="57">
        <f>MAX(0.02,NORMINV(RAND(),$C$7,$D$7))</f>
        <v/>
      </c>
      <c r="M551" s="57">
        <f>MIN(0.16,MAX(0.05,NORMINV(RAND(),$C$8,$D$8)))</f>
        <v/>
      </c>
      <c r="N551" s="59">
        <f>MIN(24,MAX(5,NORMINV(RAND(),$C$9,$D$9)))</f>
        <v/>
      </c>
      <c r="O551" s="65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57">
        <f>MAX(-0.05,NORMINV(RAND(),$C$6,$D$6))</f>
        <v/>
      </c>
      <c r="L552" s="57">
        <f>MAX(0.02,NORMINV(RAND(),$C$7,$D$7))</f>
        <v/>
      </c>
      <c r="M552" s="57">
        <f>MIN(0.16,MAX(0.05,NORMINV(RAND(),$C$8,$D$8)))</f>
        <v/>
      </c>
      <c r="N552" s="59">
        <f>MIN(24,MAX(5,NORMINV(RAND(),$C$9,$D$9)))</f>
        <v/>
      </c>
      <c r="O552" s="65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57">
        <f>MAX(-0.05,NORMINV(RAND(),$C$6,$D$6))</f>
        <v/>
      </c>
      <c r="L553" s="57">
        <f>MAX(0.02,NORMINV(RAND(),$C$7,$D$7))</f>
        <v/>
      </c>
      <c r="M553" s="57">
        <f>MIN(0.16,MAX(0.05,NORMINV(RAND(),$C$8,$D$8)))</f>
        <v/>
      </c>
      <c r="N553" s="59">
        <f>MIN(24,MAX(5,NORMINV(RAND(),$C$9,$D$9)))</f>
        <v/>
      </c>
      <c r="O553" s="65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57">
        <f>MAX(-0.05,NORMINV(RAND(),$C$6,$D$6))</f>
        <v/>
      </c>
      <c r="L554" s="57">
        <f>MAX(0.02,NORMINV(RAND(),$C$7,$D$7))</f>
        <v/>
      </c>
      <c r="M554" s="57">
        <f>MIN(0.16,MAX(0.05,NORMINV(RAND(),$C$8,$D$8)))</f>
        <v/>
      </c>
      <c r="N554" s="59">
        <f>MIN(24,MAX(5,NORMINV(RAND(),$C$9,$D$9)))</f>
        <v/>
      </c>
      <c r="O554" s="65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57">
        <f>MAX(-0.05,NORMINV(RAND(),$C$6,$D$6))</f>
        <v/>
      </c>
      <c r="L555" s="57">
        <f>MAX(0.02,NORMINV(RAND(),$C$7,$D$7))</f>
        <v/>
      </c>
      <c r="M555" s="57">
        <f>MIN(0.16,MAX(0.05,NORMINV(RAND(),$C$8,$D$8)))</f>
        <v/>
      </c>
      <c r="N555" s="59">
        <f>MIN(24,MAX(5,NORMINV(RAND(),$C$9,$D$9)))</f>
        <v/>
      </c>
      <c r="O555" s="65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57">
        <f>MAX(-0.05,NORMINV(RAND(),$C$6,$D$6))</f>
        <v/>
      </c>
      <c r="L556" s="57">
        <f>MAX(0.02,NORMINV(RAND(),$C$7,$D$7))</f>
        <v/>
      </c>
      <c r="M556" s="57">
        <f>MIN(0.16,MAX(0.05,NORMINV(RAND(),$C$8,$D$8)))</f>
        <v/>
      </c>
      <c r="N556" s="59">
        <f>MIN(24,MAX(5,NORMINV(RAND(),$C$9,$D$9)))</f>
        <v/>
      </c>
      <c r="O556" s="65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57">
        <f>MAX(-0.05,NORMINV(RAND(),$C$6,$D$6))</f>
        <v/>
      </c>
      <c r="L557" s="57">
        <f>MAX(0.02,NORMINV(RAND(),$C$7,$D$7))</f>
        <v/>
      </c>
      <c r="M557" s="57">
        <f>MIN(0.16,MAX(0.05,NORMINV(RAND(),$C$8,$D$8)))</f>
        <v/>
      </c>
      <c r="N557" s="59">
        <f>MIN(24,MAX(5,NORMINV(RAND(),$C$9,$D$9)))</f>
        <v/>
      </c>
      <c r="O557" s="65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57">
        <f>MAX(-0.05,NORMINV(RAND(),$C$6,$D$6))</f>
        <v/>
      </c>
      <c r="L558" s="57">
        <f>MAX(0.02,NORMINV(RAND(),$C$7,$D$7))</f>
        <v/>
      </c>
      <c r="M558" s="57">
        <f>MIN(0.16,MAX(0.05,NORMINV(RAND(),$C$8,$D$8)))</f>
        <v/>
      </c>
      <c r="N558" s="59">
        <f>MIN(24,MAX(5,NORMINV(RAND(),$C$9,$D$9)))</f>
        <v/>
      </c>
      <c r="O558" s="65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57">
        <f>MAX(-0.05,NORMINV(RAND(),$C$6,$D$6))</f>
        <v/>
      </c>
      <c r="L559" s="57">
        <f>MAX(0.02,NORMINV(RAND(),$C$7,$D$7))</f>
        <v/>
      </c>
      <c r="M559" s="57">
        <f>MIN(0.16,MAX(0.05,NORMINV(RAND(),$C$8,$D$8)))</f>
        <v/>
      </c>
      <c r="N559" s="59">
        <f>MIN(24,MAX(5,NORMINV(RAND(),$C$9,$D$9)))</f>
        <v/>
      </c>
      <c r="O559" s="65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57">
        <f>MAX(-0.05,NORMINV(RAND(),$C$6,$D$6))</f>
        <v/>
      </c>
      <c r="L560" s="57">
        <f>MAX(0.02,NORMINV(RAND(),$C$7,$D$7))</f>
        <v/>
      </c>
      <c r="M560" s="57">
        <f>MIN(0.16,MAX(0.05,NORMINV(RAND(),$C$8,$D$8)))</f>
        <v/>
      </c>
      <c r="N560" s="59">
        <f>MIN(24,MAX(5,NORMINV(RAND(),$C$9,$D$9)))</f>
        <v/>
      </c>
      <c r="O560" s="65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57">
        <f>MAX(-0.05,NORMINV(RAND(),$C$6,$D$6))</f>
        <v/>
      </c>
      <c r="L561" s="57">
        <f>MAX(0.02,NORMINV(RAND(),$C$7,$D$7))</f>
        <v/>
      </c>
      <c r="M561" s="57">
        <f>MIN(0.16,MAX(0.05,NORMINV(RAND(),$C$8,$D$8)))</f>
        <v/>
      </c>
      <c r="N561" s="59">
        <f>MIN(24,MAX(5,NORMINV(RAND(),$C$9,$D$9)))</f>
        <v/>
      </c>
      <c r="O561" s="65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57">
        <f>MAX(-0.05,NORMINV(RAND(),$C$6,$D$6))</f>
        <v/>
      </c>
      <c r="L562" s="57">
        <f>MAX(0.02,NORMINV(RAND(),$C$7,$D$7))</f>
        <v/>
      </c>
      <c r="M562" s="57">
        <f>MIN(0.16,MAX(0.05,NORMINV(RAND(),$C$8,$D$8)))</f>
        <v/>
      </c>
      <c r="N562" s="59">
        <f>MIN(24,MAX(5,NORMINV(RAND(),$C$9,$D$9)))</f>
        <v/>
      </c>
      <c r="O562" s="65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57">
        <f>MAX(-0.05,NORMINV(RAND(),$C$6,$D$6))</f>
        <v/>
      </c>
      <c r="L563" s="57">
        <f>MAX(0.02,NORMINV(RAND(),$C$7,$D$7))</f>
        <v/>
      </c>
      <c r="M563" s="57">
        <f>MIN(0.16,MAX(0.05,NORMINV(RAND(),$C$8,$D$8)))</f>
        <v/>
      </c>
      <c r="N563" s="59">
        <f>MIN(24,MAX(5,NORMINV(RAND(),$C$9,$D$9)))</f>
        <v/>
      </c>
      <c r="O563" s="65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57">
        <f>MAX(-0.05,NORMINV(RAND(),$C$6,$D$6))</f>
        <v/>
      </c>
      <c r="L564" s="57">
        <f>MAX(0.02,NORMINV(RAND(),$C$7,$D$7))</f>
        <v/>
      </c>
      <c r="M564" s="57">
        <f>MIN(0.16,MAX(0.05,NORMINV(RAND(),$C$8,$D$8)))</f>
        <v/>
      </c>
      <c r="N564" s="59">
        <f>MIN(24,MAX(5,NORMINV(RAND(),$C$9,$D$9)))</f>
        <v/>
      </c>
      <c r="O564" s="65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57">
        <f>MAX(-0.05,NORMINV(RAND(),$C$6,$D$6))</f>
        <v/>
      </c>
      <c r="L565" s="57">
        <f>MAX(0.02,NORMINV(RAND(),$C$7,$D$7))</f>
        <v/>
      </c>
      <c r="M565" s="57">
        <f>MIN(0.16,MAX(0.05,NORMINV(RAND(),$C$8,$D$8)))</f>
        <v/>
      </c>
      <c r="N565" s="59">
        <f>MIN(24,MAX(5,NORMINV(RAND(),$C$9,$D$9)))</f>
        <v/>
      </c>
      <c r="O565" s="65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57">
        <f>MAX(-0.05,NORMINV(RAND(),$C$6,$D$6))</f>
        <v/>
      </c>
      <c r="L566" s="57">
        <f>MAX(0.02,NORMINV(RAND(),$C$7,$D$7))</f>
        <v/>
      </c>
      <c r="M566" s="57">
        <f>MIN(0.16,MAX(0.05,NORMINV(RAND(),$C$8,$D$8)))</f>
        <v/>
      </c>
      <c r="N566" s="59">
        <f>MIN(24,MAX(5,NORMINV(RAND(),$C$9,$D$9)))</f>
        <v/>
      </c>
      <c r="O566" s="65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57">
        <f>MAX(-0.05,NORMINV(RAND(),$C$6,$D$6))</f>
        <v/>
      </c>
      <c r="L567" s="57">
        <f>MAX(0.02,NORMINV(RAND(),$C$7,$D$7))</f>
        <v/>
      </c>
      <c r="M567" s="57">
        <f>MIN(0.16,MAX(0.05,NORMINV(RAND(),$C$8,$D$8)))</f>
        <v/>
      </c>
      <c r="N567" s="59">
        <f>MIN(24,MAX(5,NORMINV(RAND(),$C$9,$D$9)))</f>
        <v/>
      </c>
      <c r="O567" s="65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57">
        <f>MAX(-0.05,NORMINV(RAND(),$C$6,$D$6))</f>
        <v/>
      </c>
      <c r="L568" s="57">
        <f>MAX(0.02,NORMINV(RAND(),$C$7,$D$7))</f>
        <v/>
      </c>
      <c r="M568" s="57">
        <f>MIN(0.16,MAX(0.05,NORMINV(RAND(),$C$8,$D$8)))</f>
        <v/>
      </c>
      <c r="N568" s="59">
        <f>MIN(24,MAX(5,NORMINV(RAND(),$C$9,$D$9)))</f>
        <v/>
      </c>
      <c r="O568" s="65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57">
        <f>MAX(-0.05,NORMINV(RAND(),$C$6,$D$6))</f>
        <v/>
      </c>
      <c r="L569" s="57">
        <f>MAX(0.02,NORMINV(RAND(),$C$7,$D$7))</f>
        <v/>
      </c>
      <c r="M569" s="57">
        <f>MIN(0.16,MAX(0.05,NORMINV(RAND(),$C$8,$D$8)))</f>
        <v/>
      </c>
      <c r="N569" s="59">
        <f>MIN(24,MAX(5,NORMINV(RAND(),$C$9,$D$9)))</f>
        <v/>
      </c>
      <c r="O569" s="65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57">
        <f>MAX(-0.05,NORMINV(RAND(),$C$6,$D$6))</f>
        <v/>
      </c>
      <c r="L570" s="57">
        <f>MAX(0.02,NORMINV(RAND(),$C$7,$D$7))</f>
        <v/>
      </c>
      <c r="M570" s="57">
        <f>MIN(0.16,MAX(0.05,NORMINV(RAND(),$C$8,$D$8)))</f>
        <v/>
      </c>
      <c r="N570" s="59">
        <f>MIN(24,MAX(5,NORMINV(RAND(),$C$9,$D$9)))</f>
        <v/>
      </c>
      <c r="O570" s="65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57">
        <f>MAX(-0.05,NORMINV(RAND(),$C$6,$D$6))</f>
        <v/>
      </c>
      <c r="L571" s="57">
        <f>MAX(0.02,NORMINV(RAND(),$C$7,$D$7))</f>
        <v/>
      </c>
      <c r="M571" s="57">
        <f>MIN(0.16,MAX(0.05,NORMINV(RAND(),$C$8,$D$8)))</f>
        <v/>
      </c>
      <c r="N571" s="59">
        <f>MIN(24,MAX(5,NORMINV(RAND(),$C$9,$D$9)))</f>
        <v/>
      </c>
      <c r="O571" s="65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57">
        <f>MAX(-0.05,NORMINV(RAND(),$C$6,$D$6))</f>
        <v/>
      </c>
      <c r="L572" s="57">
        <f>MAX(0.02,NORMINV(RAND(),$C$7,$D$7))</f>
        <v/>
      </c>
      <c r="M572" s="57">
        <f>MIN(0.16,MAX(0.05,NORMINV(RAND(),$C$8,$D$8)))</f>
        <v/>
      </c>
      <c r="N572" s="59">
        <f>MIN(24,MAX(5,NORMINV(RAND(),$C$9,$D$9)))</f>
        <v/>
      </c>
      <c r="O572" s="65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57">
        <f>MAX(-0.05,NORMINV(RAND(),$C$6,$D$6))</f>
        <v/>
      </c>
      <c r="L573" s="57">
        <f>MAX(0.02,NORMINV(RAND(),$C$7,$D$7))</f>
        <v/>
      </c>
      <c r="M573" s="57">
        <f>MIN(0.16,MAX(0.05,NORMINV(RAND(),$C$8,$D$8)))</f>
        <v/>
      </c>
      <c r="N573" s="59">
        <f>MIN(24,MAX(5,NORMINV(RAND(),$C$9,$D$9)))</f>
        <v/>
      </c>
      <c r="O573" s="65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57">
        <f>MAX(-0.05,NORMINV(RAND(),$C$6,$D$6))</f>
        <v/>
      </c>
      <c r="L574" s="57">
        <f>MAX(0.02,NORMINV(RAND(),$C$7,$D$7))</f>
        <v/>
      </c>
      <c r="M574" s="57">
        <f>MIN(0.16,MAX(0.05,NORMINV(RAND(),$C$8,$D$8)))</f>
        <v/>
      </c>
      <c r="N574" s="59">
        <f>MIN(24,MAX(5,NORMINV(RAND(),$C$9,$D$9)))</f>
        <v/>
      </c>
      <c r="O574" s="65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57">
        <f>MAX(-0.05,NORMINV(RAND(),$C$6,$D$6))</f>
        <v/>
      </c>
      <c r="L575" s="57">
        <f>MAX(0.02,NORMINV(RAND(),$C$7,$D$7))</f>
        <v/>
      </c>
      <c r="M575" s="57">
        <f>MIN(0.16,MAX(0.05,NORMINV(RAND(),$C$8,$D$8)))</f>
        <v/>
      </c>
      <c r="N575" s="59">
        <f>MIN(24,MAX(5,NORMINV(RAND(),$C$9,$D$9)))</f>
        <v/>
      </c>
      <c r="O575" s="65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57">
        <f>MAX(-0.05,NORMINV(RAND(),$C$6,$D$6))</f>
        <v/>
      </c>
      <c r="L576" s="57">
        <f>MAX(0.02,NORMINV(RAND(),$C$7,$D$7))</f>
        <v/>
      </c>
      <c r="M576" s="57">
        <f>MIN(0.16,MAX(0.05,NORMINV(RAND(),$C$8,$D$8)))</f>
        <v/>
      </c>
      <c r="N576" s="59">
        <f>MIN(24,MAX(5,NORMINV(RAND(),$C$9,$D$9)))</f>
        <v/>
      </c>
      <c r="O576" s="65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57">
        <f>MAX(-0.05,NORMINV(RAND(),$C$6,$D$6))</f>
        <v/>
      </c>
      <c r="L577" s="57">
        <f>MAX(0.02,NORMINV(RAND(),$C$7,$D$7))</f>
        <v/>
      </c>
      <c r="M577" s="57">
        <f>MIN(0.16,MAX(0.05,NORMINV(RAND(),$C$8,$D$8)))</f>
        <v/>
      </c>
      <c r="N577" s="59">
        <f>MIN(24,MAX(5,NORMINV(RAND(),$C$9,$D$9)))</f>
        <v/>
      </c>
      <c r="O577" s="65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57">
        <f>MAX(-0.05,NORMINV(RAND(),$C$6,$D$6))</f>
        <v/>
      </c>
      <c r="L578" s="57">
        <f>MAX(0.02,NORMINV(RAND(),$C$7,$D$7))</f>
        <v/>
      </c>
      <c r="M578" s="57">
        <f>MIN(0.16,MAX(0.05,NORMINV(RAND(),$C$8,$D$8)))</f>
        <v/>
      </c>
      <c r="N578" s="59">
        <f>MIN(24,MAX(5,NORMINV(RAND(),$C$9,$D$9)))</f>
        <v/>
      </c>
      <c r="O578" s="65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57">
        <f>MAX(-0.05,NORMINV(RAND(),$C$6,$D$6))</f>
        <v/>
      </c>
      <c r="L579" s="57">
        <f>MAX(0.02,NORMINV(RAND(),$C$7,$D$7))</f>
        <v/>
      </c>
      <c r="M579" s="57">
        <f>MIN(0.16,MAX(0.05,NORMINV(RAND(),$C$8,$D$8)))</f>
        <v/>
      </c>
      <c r="N579" s="59">
        <f>MIN(24,MAX(5,NORMINV(RAND(),$C$9,$D$9)))</f>
        <v/>
      </c>
      <c r="O579" s="65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57">
        <f>MAX(-0.05,NORMINV(RAND(),$C$6,$D$6))</f>
        <v/>
      </c>
      <c r="L580" s="57">
        <f>MAX(0.02,NORMINV(RAND(),$C$7,$D$7))</f>
        <v/>
      </c>
      <c r="M580" s="57">
        <f>MIN(0.16,MAX(0.05,NORMINV(RAND(),$C$8,$D$8)))</f>
        <v/>
      </c>
      <c r="N580" s="59">
        <f>MIN(24,MAX(5,NORMINV(RAND(),$C$9,$D$9)))</f>
        <v/>
      </c>
      <c r="O580" s="65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57">
        <f>MAX(-0.05,NORMINV(RAND(),$C$6,$D$6))</f>
        <v/>
      </c>
      <c r="L581" s="57">
        <f>MAX(0.02,NORMINV(RAND(),$C$7,$D$7))</f>
        <v/>
      </c>
      <c r="M581" s="57">
        <f>MIN(0.16,MAX(0.05,NORMINV(RAND(),$C$8,$D$8)))</f>
        <v/>
      </c>
      <c r="N581" s="59">
        <f>MIN(24,MAX(5,NORMINV(RAND(),$C$9,$D$9)))</f>
        <v/>
      </c>
      <c r="O581" s="65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57">
        <f>MAX(-0.05,NORMINV(RAND(),$C$6,$D$6))</f>
        <v/>
      </c>
      <c r="L582" s="57">
        <f>MAX(0.02,NORMINV(RAND(),$C$7,$D$7))</f>
        <v/>
      </c>
      <c r="M582" s="57">
        <f>MIN(0.16,MAX(0.05,NORMINV(RAND(),$C$8,$D$8)))</f>
        <v/>
      </c>
      <c r="N582" s="59">
        <f>MIN(24,MAX(5,NORMINV(RAND(),$C$9,$D$9)))</f>
        <v/>
      </c>
      <c r="O582" s="65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57">
        <f>MAX(-0.05,NORMINV(RAND(),$C$6,$D$6))</f>
        <v/>
      </c>
      <c r="L583" s="57">
        <f>MAX(0.02,NORMINV(RAND(),$C$7,$D$7))</f>
        <v/>
      </c>
      <c r="M583" s="57">
        <f>MIN(0.16,MAX(0.05,NORMINV(RAND(),$C$8,$D$8)))</f>
        <v/>
      </c>
      <c r="N583" s="59">
        <f>MIN(24,MAX(5,NORMINV(RAND(),$C$9,$D$9)))</f>
        <v/>
      </c>
      <c r="O583" s="65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57">
        <f>MAX(-0.05,NORMINV(RAND(),$C$6,$D$6))</f>
        <v/>
      </c>
      <c r="L584" s="57">
        <f>MAX(0.02,NORMINV(RAND(),$C$7,$D$7))</f>
        <v/>
      </c>
      <c r="M584" s="57">
        <f>MIN(0.16,MAX(0.05,NORMINV(RAND(),$C$8,$D$8)))</f>
        <v/>
      </c>
      <c r="N584" s="59">
        <f>MIN(24,MAX(5,NORMINV(RAND(),$C$9,$D$9)))</f>
        <v/>
      </c>
      <c r="O584" s="65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57">
        <f>MAX(-0.05,NORMINV(RAND(),$C$6,$D$6))</f>
        <v/>
      </c>
      <c r="L585" s="57">
        <f>MAX(0.02,NORMINV(RAND(),$C$7,$D$7))</f>
        <v/>
      </c>
      <c r="M585" s="57">
        <f>MIN(0.16,MAX(0.05,NORMINV(RAND(),$C$8,$D$8)))</f>
        <v/>
      </c>
      <c r="N585" s="59">
        <f>MIN(24,MAX(5,NORMINV(RAND(),$C$9,$D$9)))</f>
        <v/>
      </c>
      <c r="O585" s="65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57">
        <f>MAX(-0.05,NORMINV(RAND(),$C$6,$D$6))</f>
        <v/>
      </c>
      <c r="L586" s="57">
        <f>MAX(0.02,NORMINV(RAND(),$C$7,$D$7))</f>
        <v/>
      </c>
      <c r="M586" s="57">
        <f>MIN(0.16,MAX(0.05,NORMINV(RAND(),$C$8,$D$8)))</f>
        <v/>
      </c>
      <c r="N586" s="59">
        <f>MIN(24,MAX(5,NORMINV(RAND(),$C$9,$D$9)))</f>
        <v/>
      </c>
      <c r="O586" s="65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57">
        <f>MAX(-0.05,NORMINV(RAND(),$C$6,$D$6))</f>
        <v/>
      </c>
      <c r="L587" s="57">
        <f>MAX(0.02,NORMINV(RAND(),$C$7,$D$7))</f>
        <v/>
      </c>
      <c r="M587" s="57">
        <f>MIN(0.16,MAX(0.05,NORMINV(RAND(),$C$8,$D$8)))</f>
        <v/>
      </c>
      <c r="N587" s="59">
        <f>MIN(24,MAX(5,NORMINV(RAND(),$C$9,$D$9)))</f>
        <v/>
      </c>
      <c r="O587" s="65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57">
        <f>MAX(-0.05,NORMINV(RAND(),$C$6,$D$6))</f>
        <v/>
      </c>
      <c r="L588" s="57">
        <f>MAX(0.02,NORMINV(RAND(),$C$7,$D$7))</f>
        <v/>
      </c>
      <c r="M588" s="57">
        <f>MIN(0.16,MAX(0.05,NORMINV(RAND(),$C$8,$D$8)))</f>
        <v/>
      </c>
      <c r="N588" s="59">
        <f>MIN(24,MAX(5,NORMINV(RAND(),$C$9,$D$9)))</f>
        <v/>
      </c>
      <c r="O588" s="65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57">
        <f>MAX(-0.05,NORMINV(RAND(),$C$6,$D$6))</f>
        <v/>
      </c>
      <c r="L589" s="57">
        <f>MAX(0.02,NORMINV(RAND(),$C$7,$D$7))</f>
        <v/>
      </c>
      <c r="M589" s="57">
        <f>MIN(0.16,MAX(0.05,NORMINV(RAND(),$C$8,$D$8)))</f>
        <v/>
      </c>
      <c r="N589" s="59">
        <f>MIN(24,MAX(5,NORMINV(RAND(),$C$9,$D$9)))</f>
        <v/>
      </c>
      <c r="O589" s="65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57">
        <f>MAX(-0.05,NORMINV(RAND(),$C$6,$D$6))</f>
        <v/>
      </c>
      <c r="L590" s="57">
        <f>MAX(0.02,NORMINV(RAND(),$C$7,$D$7))</f>
        <v/>
      </c>
      <c r="M590" s="57">
        <f>MIN(0.16,MAX(0.05,NORMINV(RAND(),$C$8,$D$8)))</f>
        <v/>
      </c>
      <c r="N590" s="59">
        <f>MIN(24,MAX(5,NORMINV(RAND(),$C$9,$D$9)))</f>
        <v/>
      </c>
      <c r="O590" s="65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57">
        <f>MAX(-0.05,NORMINV(RAND(),$C$6,$D$6))</f>
        <v/>
      </c>
      <c r="L591" s="57">
        <f>MAX(0.02,NORMINV(RAND(),$C$7,$D$7))</f>
        <v/>
      </c>
      <c r="M591" s="57">
        <f>MIN(0.16,MAX(0.05,NORMINV(RAND(),$C$8,$D$8)))</f>
        <v/>
      </c>
      <c r="N591" s="59">
        <f>MIN(24,MAX(5,NORMINV(RAND(),$C$9,$D$9)))</f>
        <v/>
      </c>
      <c r="O591" s="65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57">
        <f>MAX(-0.05,NORMINV(RAND(),$C$6,$D$6))</f>
        <v/>
      </c>
      <c r="L592" s="57">
        <f>MAX(0.02,NORMINV(RAND(),$C$7,$D$7))</f>
        <v/>
      </c>
      <c r="M592" s="57">
        <f>MIN(0.16,MAX(0.05,NORMINV(RAND(),$C$8,$D$8)))</f>
        <v/>
      </c>
      <c r="N592" s="59">
        <f>MIN(24,MAX(5,NORMINV(RAND(),$C$9,$D$9)))</f>
        <v/>
      </c>
      <c r="O592" s="65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57">
        <f>MAX(-0.05,NORMINV(RAND(),$C$6,$D$6))</f>
        <v/>
      </c>
      <c r="L593" s="57">
        <f>MAX(0.02,NORMINV(RAND(),$C$7,$D$7))</f>
        <v/>
      </c>
      <c r="M593" s="57">
        <f>MIN(0.16,MAX(0.05,NORMINV(RAND(),$C$8,$D$8)))</f>
        <v/>
      </c>
      <c r="N593" s="59">
        <f>MIN(24,MAX(5,NORMINV(RAND(),$C$9,$D$9)))</f>
        <v/>
      </c>
      <c r="O593" s="65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57">
        <f>MAX(-0.05,NORMINV(RAND(),$C$6,$D$6))</f>
        <v/>
      </c>
      <c r="L594" s="57">
        <f>MAX(0.02,NORMINV(RAND(),$C$7,$D$7))</f>
        <v/>
      </c>
      <c r="M594" s="57">
        <f>MIN(0.16,MAX(0.05,NORMINV(RAND(),$C$8,$D$8)))</f>
        <v/>
      </c>
      <c r="N594" s="59">
        <f>MIN(24,MAX(5,NORMINV(RAND(),$C$9,$D$9)))</f>
        <v/>
      </c>
      <c r="O594" s="65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57">
        <f>MAX(-0.05,NORMINV(RAND(),$C$6,$D$6))</f>
        <v/>
      </c>
      <c r="L595" s="57">
        <f>MAX(0.02,NORMINV(RAND(),$C$7,$D$7))</f>
        <v/>
      </c>
      <c r="M595" s="57">
        <f>MIN(0.16,MAX(0.05,NORMINV(RAND(),$C$8,$D$8)))</f>
        <v/>
      </c>
      <c r="N595" s="59">
        <f>MIN(24,MAX(5,NORMINV(RAND(),$C$9,$D$9)))</f>
        <v/>
      </c>
      <c r="O595" s="65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57">
        <f>MAX(-0.05,NORMINV(RAND(),$C$6,$D$6))</f>
        <v/>
      </c>
      <c r="L596" s="57">
        <f>MAX(0.02,NORMINV(RAND(),$C$7,$D$7))</f>
        <v/>
      </c>
      <c r="M596" s="57">
        <f>MIN(0.16,MAX(0.05,NORMINV(RAND(),$C$8,$D$8)))</f>
        <v/>
      </c>
      <c r="N596" s="59">
        <f>MIN(24,MAX(5,NORMINV(RAND(),$C$9,$D$9)))</f>
        <v/>
      </c>
      <c r="O596" s="65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57">
        <f>MAX(-0.05,NORMINV(RAND(),$C$6,$D$6))</f>
        <v/>
      </c>
      <c r="L597" s="57">
        <f>MAX(0.02,NORMINV(RAND(),$C$7,$D$7))</f>
        <v/>
      </c>
      <c r="M597" s="57">
        <f>MIN(0.16,MAX(0.05,NORMINV(RAND(),$C$8,$D$8)))</f>
        <v/>
      </c>
      <c r="N597" s="59">
        <f>MIN(24,MAX(5,NORMINV(RAND(),$C$9,$D$9)))</f>
        <v/>
      </c>
      <c r="O597" s="65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57">
        <f>MAX(-0.05,NORMINV(RAND(),$C$6,$D$6))</f>
        <v/>
      </c>
      <c r="L598" s="57">
        <f>MAX(0.02,NORMINV(RAND(),$C$7,$D$7))</f>
        <v/>
      </c>
      <c r="M598" s="57">
        <f>MIN(0.16,MAX(0.05,NORMINV(RAND(),$C$8,$D$8)))</f>
        <v/>
      </c>
      <c r="N598" s="59">
        <f>MIN(24,MAX(5,NORMINV(RAND(),$C$9,$D$9)))</f>
        <v/>
      </c>
      <c r="O598" s="65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57">
        <f>MAX(-0.05,NORMINV(RAND(),$C$6,$D$6))</f>
        <v/>
      </c>
      <c r="L599" s="57">
        <f>MAX(0.02,NORMINV(RAND(),$C$7,$D$7))</f>
        <v/>
      </c>
      <c r="M599" s="57">
        <f>MIN(0.16,MAX(0.05,NORMINV(RAND(),$C$8,$D$8)))</f>
        <v/>
      </c>
      <c r="N599" s="59">
        <f>MIN(24,MAX(5,NORMINV(RAND(),$C$9,$D$9)))</f>
        <v/>
      </c>
      <c r="O599" s="65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57">
        <f>MAX(-0.05,NORMINV(RAND(),$C$6,$D$6))</f>
        <v/>
      </c>
      <c r="L600" s="57">
        <f>MAX(0.02,NORMINV(RAND(),$C$7,$D$7))</f>
        <v/>
      </c>
      <c r="M600" s="57">
        <f>MIN(0.16,MAX(0.05,NORMINV(RAND(),$C$8,$D$8)))</f>
        <v/>
      </c>
      <c r="N600" s="59">
        <f>MIN(24,MAX(5,NORMINV(RAND(),$C$9,$D$9)))</f>
        <v/>
      </c>
      <c r="O600" s="65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57">
        <f>MAX(-0.05,NORMINV(RAND(),$C$6,$D$6))</f>
        <v/>
      </c>
      <c r="L601" s="57">
        <f>MAX(0.02,NORMINV(RAND(),$C$7,$D$7))</f>
        <v/>
      </c>
      <c r="M601" s="57">
        <f>MIN(0.16,MAX(0.05,NORMINV(RAND(),$C$8,$D$8)))</f>
        <v/>
      </c>
      <c r="N601" s="59">
        <f>MIN(24,MAX(5,NORMINV(RAND(),$C$9,$D$9)))</f>
        <v/>
      </c>
      <c r="O601" s="65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57">
        <f>MAX(-0.05,NORMINV(RAND(),$C$6,$D$6))</f>
        <v/>
      </c>
      <c r="L602" s="57">
        <f>MAX(0.02,NORMINV(RAND(),$C$7,$D$7))</f>
        <v/>
      </c>
      <c r="M602" s="57">
        <f>MIN(0.16,MAX(0.05,NORMINV(RAND(),$C$8,$D$8)))</f>
        <v/>
      </c>
      <c r="N602" s="59">
        <f>MIN(24,MAX(5,NORMINV(RAND(),$C$9,$D$9)))</f>
        <v/>
      </c>
      <c r="O602" s="65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57">
        <f>MAX(-0.05,NORMINV(RAND(),$C$6,$D$6))</f>
        <v/>
      </c>
      <c r="L603" s="57">
        <f>MAX(0.02,NORMINV(RAND(),$C$7,$D$7))</f>
        <v/>
      </c>
      <c r="M603" s="57">
        <f>MIN(0.16,MAX(0.05,NORMINV(RAND(),$C$8,$D$8)))</f>
        <v/>
      </c>
      <c r="N603" s="59">
        <f>MIN(24,MAX(5,NORMINV(RAND(),$C$9,$D$9)))</f>
        <v/>
      </c>
      <c r="O603" s="65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57">
        <f>MAX(-0.05,NORMINV(RAND(),$C$6,$D$6))</f>
        <v/>
      </c>
      <c r="L604" s="57">
        <f>MAX(0.02,NORMINV(RAND(),$C$7,$D$7))</f>
        <v/>
      </c>
      <c r="M604" s="57">
        <f>MIN(0.16,MAX(0.05,NORMINV(RAND(),$C$8,$D$8)))</f>
        <v/>
      </c>
      <c r="N604" s="59">
        <f>MIN(24,MAX(5,NORMINV(RAND(),$C$9,$D$9)))</f>
        <v/>
      </c>
      <c r="O604" s="65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57">
        <f>MAX(-0.05,NORMINV(RAND(),$C$6,$D$6))</f>
        <v/>
      </c>
      <c r="L605" s="57">
        <f>MAX(0.02,NORMINV(RAND(),$C$7,$D$7))</f>
        <v/>
      </c>
      <c r="M605" s="57">
        <f>MIN(0.16,MAX(0.05,NORMINV(RAND(),$C$8,$D$8)))</f>
        <v/>
      </c>
      <c r="N605" s="59">
        <f>MIN(24,MAX(5,NORMINV(RAND(),$C$9,$D$9)))</f>
        <v/>
      </c>
      <c r="O605" s="65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57">
        <f>MAX(-0.05,NORMINV(RAND(),$C$6,$D$6))</f>
        <v/>
      </c>
      <c r="L606" s="57">
        <f>MAX(0.02,NORMINV(RAND(),$C$7,$D$7))</f>
        <v/>
      </c>
      <c r="M606" s="57">
        <f>MIN(0.16,MAX(0.05,NORMINV(RAND(),$C$8,$D$8)))</f>
        <v/>
      </c>
      <c r="N606" s="59">
        <f>MIN(24,MAX(5,NORMINV(RAND(),$C$9,$D$9)))</f>
        <v/>
      </c>
      <c r="O606" s="65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57">
        <f>MAX(-0.05,NORMINV(RAND(),$C$6,$D$6))</f>
        <v/>
      </c>
      <c r="L607" s="57">
        <f>MAX(0.02,NORMINV(RAND(),$C$7,$D$7))</f>
        <v/>
      </c>
      <c r="M607" s="57">
        <f>MIN(0.16,MAX(0.05,NORMINV(RAND(),$C$8,$D$8)))</f>
        <v/>
      </c>
      <c r="N607" s="59">
        <f>MIN(24,MAX(5,NORMINV(RAND(),$C$9,$D$9)))</f>
        <v/>
      </c>
      <c r="O607" s="65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57">
        <f>MAX(-0.05,NORMINV(RAND(),$C$6,$D$6))</f>
        <v/>
      </c>
      <c r="L608" s="57">
        <f>MAX(0.02,NORMINV(RAND(),$C$7,$D$7))</f>
        <v/>
      </c>
      <c r="M608" s="57">
        <f>MIN(0.16,MAX(0.05,NORMINV(RAND(),$C$8,$D$8)))</f>
        <v/>
      </c>
      <c r="N608" s="59">
        <f>MIN(24,MAX(5,NORMINV(RAND(),$C$9,$D$9)))</f>
        <v/>
      </c>
      <c r="O608" s="65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57">
        <f>MAX(-0.05,NORMINV(RAND(),$C$6,$D$6))</f>
        <v/>
      </c>
      <c r="L609" s="57">
        <f>MAX(0.02,NORMINV(RAND(),$C$7,$D$7))</f>
        <v/>
      </c>
      <c r="M609" s="57">
        <f>MIN(0.16,MAX(0.05,NORMINV(RAND(),$C$8,$D$8)))</f>
        <v/>
      </c>
      <c r="N609" s="59">
        <f>MIN(24,MAX(5,NORMINV(RAND(),$C$9,$D$9)))</f>
        <v/>
      </c>
      <c r="O609" s="65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57">
        <f>MAX(-0.05,NORMINV(RAND(),$C$6,$D$6))</f>
        <v/>
      </c>
      <c r="L610" s="57">
        <f>MAX(0.02,NORMINV(RAND(),$C$7,$D$7))</f>
        <v/>
      </c>
      <c r="M610" s="57">
        <f>MIN(0.16,MAX(0.05,NORMINV(RAND(),$C$8,$D$8)))</f>
        <v/>
      </c>
      <c r="N610" s="59">
        <f>MIN(24,MAX(5,NORMINV(RAND(),$C$9,$D$9)))</f>
        <v/>
      </c>
      <c r="O610" s="65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57">
        <f>MAX(-0.05,NORMINV(RAND(),$C$6,$D$6))</f>
        <v/>
      </c>
      <c r="L611" s="57">
        <f>MAX(0.02,NORMINV(RAND(),$C$7,$D$7))</f>
        <v/>
      </c>
      <c r="M611" s="57">
        <f>MIN(0.16,MAX(0.05,NORMINV(RAND(),$C$8,$D$8)))</f>
        <v/>
      </c>
      <c r="N611" s="59">
        <f>MIN(24,MAX(5,NORMINV(RAND(),$C$9,$D$9)))</f>
        <v/>
      </c>
      <c r="O611" s="65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57">
        <f>MAX(-0.05,NORMINV(RAND(),$C$6,$D$6))</f>
        <v/>
      </c>
      <c r="L612" s="57">
        <f>MAX(0.02,NORMINV(RAND(),$C$7,$D$7))</f>
        <v/>
      </c>
      <c r="M612" s="57">
        <f>MIN(0.16,MAX(0.05,NORMINV(RAND(),$C$8,$D$8)))</f>
        <v/>
      </c>
      <c r="N612" s="59">
        <f>MIN(24,MAX(5,NORMINV(RAND(),$C$9,$D$9)))</f>
        <v/>
      </c>
      <c r="O612" s="65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57">
        <f>MAX(-0.05,NORMINV(RAND(),$C$6,$D$6))</f>
        <v/>
      </c>
      <c r="L613" s="57">
        <f>MAX(0.02,NORMINV(RAND(),$C$7,$D$7))</f>
        <v/>
      </c>
      <c r="M613" s="57">
        <f>MIN(0.16,MAX(0.05,NORMINV(RAND(),$C$8,$D$8)))</f>
        <v/>
      </c>
      <c r="N613" s="59">
        <f>MIN(24,MAX(5,NORMINV(RAND(),$C$9,$D$9)))</f>
        <v/>
      </c>
      <c r="O613" s="65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57">
        <f>MAX(-0.05,NORMINV(RAND(),$C$6,$D$6))</f>
        <v/>
      </c>
      <c r="L614" s="57">
        <f>MAX(0.02,NORMINV(RAND(),$C$7,$D$7))</f>
        <v/>
      </c>
      <c r="M614" s="57">
        <f>MIN(0.16,MAX(0.05,NORMINV(RAND(),$C$8,$D$8)))</f>
        <v/>
      </c>
      <c r="N614" s="59">
        <f>MIN(24,MAX(5,NORMINV(RAND(),$C$9,$D$9)))</f>
        <v/>
      </c>
      <c r="O614" s="65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57">
        <f>MAX(-0.05,NORMINV(RAND(),$C$6,$D$6))</f>
        <v/>
      </c>
      <c r="L615" s="57">
        <f>MAX(0.02,NORMINV(RAND(),$C$7,$D$7))</f>
        <v/>
      </c>
      <c r="M615" s="57">
        <f>MIN(0.16,MAX(0.05,NORMINV(RAND(),$C$8,$D$8)))</f>
        <v/>
      </c>
      <c r="N615" s="59">
        <f>MIN(24,MAX(5,NORMINV(RAND(),$C$9,$D$9)))</f>
        <v/>
      </c>
      <c r="O615" s="65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57">
        <f>MAX(-0.05,NORMINV(RAND(),$C$6,$D$6))</f>
        <v/>
      </c>
      <c r="L616" s="57">
        <f>MAX(0.02,NORMINV(RAND(),$C$7,$D$7))</f>
        <v/>
      </c>
      <c r="M616" s="57">
        <f>MIN(0.16,MAX(0.05,NORMINV(RAND(),$C$8,$D$8)))</f>
        <v/>
      </c>
      <c r="N616" s="59">
        <f>MIN(24,MAX(5,NORMINV(RAND(),$C$9,$D$9)))</f>
        <v/>
      </c>
      <c r="O616" s="65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57">
        <f>MAX(-0.05,NORMINV(RAND(),$C$6,$D$6))</f>
        <v/>
      </c>
      <c r="L617" s="57">
        <f>MAX(0.02,NORMINV(RAND(),$C$7,$D$7))</f>
        <v/>
      </c>
      <c r="M617" s="57">
        <f>MIN(0.16,MAX(0.05,NORMINV(RAND(),$C$8,$D$8)))</f>
        <v/>
      </c>
      <c r="N617" s="59">
        <f>MIN(24,MAX(5,NORMINV(RAND(),$C$9,$D$9)))</f>
        <v/>
      </c>
      <c r="O617" s="65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57">
        <f>MAX(-0.05,NORMINV(RAND(),$C$6,$D$6))</f>
        <v/>
      </c>
      <c r="L618" s="57">
        <f>MAX(0.02,NORMINV(RAND(),$C$7,$D$7))</f>
        <v/>
      </c>
      <c r="M618" s="57">
        <f>MIN(0.16,MAX(0.05,NORMINV(RAND(),$C$8,$D$8)))</f>
        <v/>
      </c>
      <c r="N618" s="59">
        <f>MIN(24,MAX(5,NORMINV(RAND(),$C$9,$D$9)))</f>
        <v/>
      </c>
      <c r="O618" s="65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57">
        <f>MAX(-0.05,NORMINV(RAND(),$C$6,$D$6))</f>
        <v/>
      </c>
      <c r="L619" s="57">
        <f>MAX(0.02,NORMINV(RAND(),$C$7,$D$7))</f>
        <v/>
      </c>
      <c r="M619" s="57">
        <f>MIN(0.16,MAX(0.05,NORMINV(RAND(),$C$8,$D$8)))</f>
        <v/>
      </c>
      <c r="N619" s="59">
        <f>MIN(24,MAX(5,NORMINV(RAND(),$C$9,$D$9)))</f>
        <v/>
      </c>
      <c r="O619" s="65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57">
        <f>MAX(-0.05,NORMINV(RAND(),$C$6,$D$6))</f>
        <v/>
      </c>
      <c r="L620" s="57">
        <f>MAX(0.02,NORMINV(RAND(),$C$7,$D$7))</f>
        <v/>
      </c>
      <c r="M620" s="57">
        <f>MIN(0.16,MAX(0.05,NORMINV(RAND(),$C$8,$D$8)))</f>
        <v/>
      </c>
      <c r="N620" s="59">
        <f>MIN(24,MAX(5,NORMINV(RAND(),$C$9,$D$9)))</f>
        <v/>
      </c>
      <c r="O620" s="65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57">
        <f>MAX(-0.05,NORMINV(RAND(),$C$6,$D$6))</f>
        <v/>
      </c>
      <c r="L621" s="57">
        <f>MAX(0.02,NORMINV(RAND(),$C$7,$D$7))</f>
        <v/>
      </c>
      <c r="M621" s="57">
        <f>MIN(0.16,MAX(0.05,NORMINV(RAND(),$C$8,$D$8)))</f>
        <v/>
      </c>
      <c r="N621" s="59">
        <f>MIN(24,MAX(5,NORMINV(RAND(),$C$9,$D$9)))</f>
        <v/>
      </c>
      <c r="O621" s="65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57">
        <f>MAX(-0.05,NORMINV(RAND(),$C$6,$D$6))</f>
        <v/>
      </c>
      <c r="L622" s="57">
        <f>MAX(0.02,NORMINV(RAND(),$C$7,$D$7))</f>
        <v/>
      </c>
      <c r="M622" s="57">
        <f>MIN(0.16,MAX(0.05,NORMINV(RAND(),$C$8,$D$8)))</f>
        <v/>
      </c>
      <c r="N622" s="59">
        <f>MIN(24,MAX(5,NORMINV(RAND(),$C$9,$D$9)))</f>
        <v/>
      </c>
      <c r="O622" s="65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57">
        <f>MAX(-0.05,NORMINV(RAND(),$C$6,$D$6))</f>
        <v/>
      </c>
      <c r="L623" s="57">
        <f>MAX(0.02,NORMINV(RAND(),$C$7,$D$7))</f>
        <v/>
      </c>
      <c r="M623" s="57">
        <f>MIN(0.16,MAX(0.05,NORMINV(RAND(),$C$8,$D$8)))</f>
        <v/>
      </c>
      <c r="N623" s="59">
        <f>MIN(24,MAX(5,NORMINV(RAND(),$C$9,$D$9)))</f>
        <v/>
      </c>
      <c r="O623" s="65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57">
        <f>MAX(-0.05,NORMINV(RAND(),$C$6,$D$6))</f>
        <v/>
      </c>
      <c r="L624" s="57">
        <f>MAX(0.02,NORMINV(RAND(),$C$7,$D$7))</f>
        <v/>
      </c>
      <c r="M624" s="57">
        <f>MIN(0.16,MAX(0.05,NORMINV(RAND(),$C$8,$D$8)))</f>
        <v/>
      </c>
      <c r="N624" s="59">
        <f>MIN(24,MAX(5,NORMINV(RAND(),$C$9,$D$9)))</f>
        <v/>
      </c>
      <c r="O624" s="65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57">
        <f>MAX(-0.05,NORMINV(RAND(),$C$6,$D$6))</f>
        <v/>
      </c>
      <c r="L625" s="57">
        <f>MAX(0.02,NORMINV(RAND(),$C$7,$D$7))</f>
        <v/>
      </c>
      <c r="M625" s="57">
        <f>MIN(0.16,MAX(0.05,NORMINV(RAND(),$C$8,$D$8)))</f>
        <v/>
      </c>
      <c r="N625" s="59">
        <f>MIN(24,MAX(5,NORMINV(RAND(),$C$9,$D$9)))</f>
        <v/>
      </c>
      <c r="O625" s="65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57">
        <f>MAX(-0.05,NORMINV(RAND(),$C$6,$D$6))</f>
        <v/>
      </c>
      <c r="L626" s="57">
        <f>MAX(0.02,NORMINV(RAND(),$C$7,$D$7))</f>
        <v/>
      </c>
      <c r="M626" s="57">
        <f>MIN(0.16,MAX(0.05,NORMINV(RAND(),$C$8,$D$8)))</f>
        <v/>
      </c>
      <c r="N626" s="59">
        <f>MIN(24,MAX(5,NORMINV(RAND(),$C$9,$D$9)))</f>
        <v/>
      </c>
      <c r="O626" s="65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57">
        <f>MAX(-0.05,NORMINV(RAND(),$C$6,$D$6))</f>
        <v/>
      </c>
      <c r="L627" s="57">
        <f>MAX(0.02,NORMINV(RAND(),$C$7,$D$7))</f>
        <v/>
      </c>
      <c r="M627" s="57">
        <f>MIN(0.16,MAX(0.05,NORMINV(RAND(),$C$8,$D$8)))</f>
        <v/>
      </c>
      <c r="N627" s="59">
        <f>MIN(24,MAX(5,NORMINV(RAND(),$C$9,$D$9)))</f>
        <v/>
      </c>
      <c r="O627" s="65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57">
        <f>MAX(-0.05,NORMINV(RAND(),$C$6,$D$6))</f>
        <v/>
      </c>
      <c r="L628" s="57">
        <f>MAX(0.02,NORMINV(RAND(),$C$7,$D$7))</f>
        <v/>
      </c>
      <c r="M628" s="57">
        <f>MIN(0.16,MAX(0.05,NORMINV(RAND(),$C$8,$D$8)))</f>
        <v/>
      </c>
      <c r="N628" s="59">
        <f>MIN(24,MAX(5,NORMINV(RAND(),$C$9,$D$9)))</f>
        <v/>
      </c>
      <c r="O628" s="65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57">
        <f>MAX(-0.05,NORMINV(RAND(),$C$6,$D$6))</f>
        <v/>
      </c>
      <c r="L629" s="57">
        <f>MAX(0.02,NORMINV(RAND(),$C$7,$D$7))</f>
        <v/>
      </c>
      <c r="M629" s="57">
        <f>MIN(0.16,MAX(0.05,NORMINV(RAND(),$C$8,$D$8)))</f>
        <v/>
      </c>
      <c r="N629" s="59">
        <f>MIN(24,MAX(5,NORMINV(RAND(),$C$9,$D$9)))</f>
        <v/>
      </c>
      <c r="O629" s="65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57">
        <f>MAX(-0.05,NORMINV(RAND(),$C$6,$D$6))</f>
        <v/>
      </c>
      <c r="L630" s="57">
        <f>MAX(0.02,NORMINV(RAND(),$C$7,$D$7))</f>
        <v/>
      </c>
      <c r="M630" s="57">
        <f>MIN(0.16,MAX(0.05,NORMINV(RAND(),$C$8,$D$8)))</f>
        <v/>
      </c>
      <c r="N630" s="59">
        <f>MIN(24,MAX(5,NORMINV(RAND(),$C$9,$D$9)))</f>
        <v/>
      </c>
      <c r="O630" s="65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57">
        <f>MAX(-0.05,NORMINV(RAND(),$C$6,$D$6))</f>
        <v/>
      </c>
      <c r="L631" s="57">
        <f>MAX(0.02,NORMINV(RAND(),$C$7,$D$7))</f>
        <v/>
      </c>
      <c r="M631" s="57">
        <f>MIN(0.16,MAX(0.05,NORMINV(RAND(),$C$8,$D$8)))</f>
        <v/>
      </c>
      <c r="N631" s="59">
        <f>MIN(24,MAX(5,NORMINV(RAND(),$C$9,$D$9)))</f>
        <v/>
      </c>
      <c r="O631" s="65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57">
        <f>MAX(-0.05,NORMINV(RAND(),$C$6,$D$6))</f>
        <v/>
      </c>
      <c r="L632" s="57">
        <f>MAX(0.02,NORMINV(RAND(),$C$7,$D$7))</f>
        <v/>
      </c>
      <c r="M632" s="57">
        <f>MIN(0.16,MAX(0.05,NORMINV(RAND(),$C$8,$D$8)))</f>
        <v/>
      </c>
      <c r="N632" s="59">
        <f>MIN(24,MAX(5,NORMINV(RAND(),$C$9,$D$9)))</f>
        <v/>
      </c>
      <c r="O632" s="65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57">
        <f>MAX(-0.05,NORMINV(RAND(),$C$6,$D$6))</f>
        <v/>
      </c>
      <c r="L633" s="57">
        <f>MAX(0.02,NORMINV(RAND(),$C$7,$D$7))</f>
        <v/>
      </c>
      <c r="M633" s="57">
        <f>MIN(0.16,MAX(0.05,NORMINV(RAND(),$C$8,$D$8)))</f>
        <v/>
      </c>
      <c r="N633" s="59">
        <f>MIN(24,MAX(5,NORMINV(RAND(),$C$9,$D$9)))</f>
        <v/>
      </c>
      <c r="O633" s="65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57">
        <f>MAX(-0.05,NORMINV(RAND(),$C$6,$D$6))</f>
        <v/>
      </c>
      <c r="L634" s="57">
        <f>MAX(0.02,NORMINV(RAND(),$C$7,$D$7))</f>
        <v/>
      </c>
      <c r="M634" s="57">
        <f>MIN(0.16,MAX(0.05,NORMINV(RAND(),$C$8,$D$8)))</f>
        <v/>
      </c>
      <c r="N634" s="59">
        <f>MIN(24,MAX(5,NORMINV(RAND(),$C$9,$D$9)))</f>
        <v/>
      </c>
      <c r="O634" s="65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57">
        <f>MAX(-0.05,NORMINV(RAND(),$C$6,$D$6))</f>
        <v/>
      </c>
      <c r="L635" s="57">
        <f>MAX(0.02,NORMINV(RAND(),$C$7,$D$7))</f>
        <v/>
      </c>
      <c r="M635" s="57">
        <f>MIN(0.16,MAX(0.05,NORMINV(RAND(),$C$8,$D$8)))</f>
        <v/>
      </c>
      <c r="N635" s="59">
        <f>MIN(24,MAX(5,NORMINV(RAND(),$C$9,$D$9)))</f>
        <v/>
      </c>
      <c r="O635" s="65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57">
        <f>MAX(-0.05,NORMINV(RAND(),$C$6,$D$6))</f>
        <v/>
      </c>
      <c r="L636" s="57">
        <f>MAX(0.02,NORMINV(RAND(),$C$7,$D$7))</f>
        <v/>
      </c>
      <c r="M636" s="57">
        <f>MIN(0.16,MAX(0.05,NORMINV(RAND(),$C$8,$D$8)))</f>
        <v/>
      </c>
      <c r="N636" s="59">
        <f>MIN(24,MAX(5,NORMINV(RAND(),$C$9,$D$9)))</f>
        <v/>
      </c>
      <c r="O636" s="65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57">
        <f>MAX(-0.05,NORMINV(RAND(),$C$6,$D$6))</f>
        <v/>
      </c>
      <c r="L637" s="57">
        <f>MAX(0.02,NORMINV(RAND(),$C$7,$D$7))</f>
        <v/>
      </c>
      <c r="M637" s="57">
        <f>MIN(0.16,MAX(0.05,NORMINV(RAND(),$C$8,$D$8)))</f>
        <v/>
      </c>
      <c r="N637" s="59">
        <f>MIN(24,MAX(5,NORMINV(RAND(),$C$9,$D$9)))</f>
        <v/>
      </c>
      <c r="O637" s="65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57">
        <f>MAX(-0.05,NORMINV(RAND(),$C$6,$D$6))</f>
        <v/>
      </c>
      <c r="L638" s="57">
        <f>MAX(0.02,NORMINV(RAND(),$C$7,$D$7))</f>
        <v/>
      </c>
      <c r="M638" s="57">
        <f>MIN(0.16,MAX(0.05,NORMINV(RAND(),$C$8,$D$8)))</f>
        <v/>
      </c>
      <c r="N638" s="59">
        <f>MIN(24,MAX(5,NORMINV(RAND(),$C$9,$D$9)))</f>
        <v/>
      </c>
      <c r="O638" s="65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57">
        <f>MAX(-0.05,NORMINV(RAND(),$C$6,$D$6))</f>
        <v/>
      </c>
      <c r="L639" s="57">
        <f>MAX(0.02,NORMINV(RAND(),$C$7,$D$7))</f>
        <v/>
      </c>
      <c r="M639" s="57">
        <f>MIN(0.16,MAX(0.05,NORMINV(RAND(),$C$8,$D$8)))</f>
        <v/>
      </c>
      <c r="N639" s="59">
        <f>MIN(24,MAX(5,NORMINV(RAND(),$C$9,$D$9)))</f>
        <v/>
      </c>
      <c r="O639" s="65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57">
        <f>MAX(-0.05,NORMINV(RAND(),$C$6,$D$6))</f>
        <v/>
      </c>
      <c r="L640" s="57">
        <f>MAX(0.02,NORMINV(RAND(),$C$7,$D$7))</f>
        <v/>
      </c>
      <c r="M640" s="57">
        <f>MIN(0.16,MAX(0.05,NORMINV(RAND(),$C$8,$D$8)))</f>
        <v/>
      </c>
      <c r="N640" s="59">
        <f>MIN(24,MAX(5,NORMINV(RAND(),$C$9,$D$9)))</f>
        <v/>
      </c>
      <c r="O640" s="65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57">
        <f>MAX(-0.05,NORMINV(RAND(),$C$6,$D$6))</f>
        <v/>
      </c>
      <c r="L641" s="57">
        <f>MAX(0.02,NORMINV(RAND(),$C$7,$D$7))</f>
        <v/>
      </c>
      <c r="M641" s="57">
        <f>MIN(0.16,MAX(0.05,NORMINV(RAND(),$C$8,$D$8)))</f>
        <v/>
      </c>
      <c r="N641" s="59">
        <f>MIN(24,MAX(5,NORMINV(RAND(),$C$9,$D$9)))</f>
        <v/>
      </c>
      <c r="O641" s="65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57">
        <f>MAX(-0.05,NORMINV(RAND(),$C$6,$D$6))</f>
        <v/>
      </c>
      <c r="L642" s="57">
        <f>MAX(0.02,NORMINV(RAND(),$C$7,$D$7))</f>
        <v/>
      </c>
      <c r="M642" s="57">
        <f>MIN(0.16,MAX(0.05,NORMINV(RAND(),$C$8,$D$8)))</f>
        <v/>
      </c>
      <c r="N642" s="59">
        <f>MIN(24,MAX(5,NORMINV(RAND(),$C$9,$D$9)))</f>
        <v/>
      </c>
      <c r="O642" s="65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57">
        <f>MAX(-0.05,NORMINV(RAND(),$C$6,$D$6))</f>
        <v/>
      </c>
      <c r="L643" s="57">
        <f>MAX(0.02,NORMINV(RAND(),$C$7,$D$7))</f>
        <v/>
      </c>
      <c r="M643" s="57">
        <f>MIN(0.16,MAX(0.05,NORMINV(RAND(),$C$8,$D$8)))</f>
        <v/>
      </c>
      <c r="N643" s="59">
        <f>MIN(24,MAX(5,NORMINV(RAND(),$C$9,$D$9)))</f>
        <v/>
      </c>
      <c r="O643" s="65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57">
        <f>MAX(-0.05,NORMINV(RAND(),$C$6,$D$6))</f>
        <v/>
      </c>
      <c r="L644" s="57">
        <f>MAX(0.02,NORMINV(RAND(),$C$7,$D$7))</f>
        <v/>
      </c>
      <c r="M644" s="57">
        <f>MIN(0.16,MAX(0.05,NORMINV(RAND(),$C$8,$D$8)))</f>
        <v/>
      </c>
      <c r="N644" s="59">
        <f>MIN(24,MAX(5,NORMINV(RAND(),$C$9,$D$9)))</f>
        <v/>
      </c>
      <c r="O644" s="65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57">
        <f>MAX(-0.05,NORMINV(RAND(),$C$6,$D$6))</f>
        <v/>
      </c>
      <c r="L645" s="57">
        <f>MAX(0.02,NORMINV(RAND(),$C$7,$D$7))</f>
        <v/>
      </c>
      <c r="M645" s="57">
        <f>MIN(0.16,MAX(0.05,NORMINV(RAND(),$C$8,$D$8)))</f>
        <v/>
      </c>
      <c r="N645" s="59">
        <f>MIN(24,MAX(5,NORMINV(RAND(),$C$9,$D$9)))</f>
        <v/>
      </c>
      <c r="O645" s="65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57">
        <f>MAX(-0.05,NORMINV(RAND(),$C$6,$D$6))</f>
        <v/>
      </c>
      <c r="L646" s="57">
        <f>MAX(0.02,NORMINV(RAND(),$C$7,$D$7))</f>
        <v/>
      </c>
      <c r="M646" s="57">
        <f>MIN(0.16,MAX(0.05,NORMINV(RAND(),$C$8,$D$8)))</f>
        <v/>
      </c>
      <c r="N646" s="59">
        <f>MIN(24,MAX(5,NORMINV(RAND(),$C$9,$D$9)))</f>
        <v/>
      </c>
      <c r="O646" s="65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57">
        <f>MAX(-0.05,NORMINV(RAND(),$C$6,$D$6))</f>
        <v/>
      </c>
      <c r="L647" s="57">
        <f>MAX(0.02,NORMINV(RAND(),$C$7,$D$7))</f>
        <v/>
      </c>
      <c r="M647" s="57">
        <f>MIN(0.16,MAX(0.05,NORMINV(RAND(),$C$8,$D$8)))</f>
        <v/>
      </c>
      <c r="N647" s="59">
        <f>MIN(24,MAX(5,NORMINV(RAND(),$C$9,$D$9)))</f>
        <v/>
      </c>
      <c r="O647" s="65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57">
        <f>MAX(-0.05,NORMINV(RAND(),$C$6,$D$6))</f>
        <v/>
      </c>
      <c r="L648" s="57">
        <f>MAX(0.02,NORMINV(RAND(),$C$7,$D$7))</f>
        <v/>
      </c>
      <c r="M648" s="57">
        <f>MIN(0.16,MAX(0.05,NORMINV(RAND(),$C$8,$D$8)))</f>
        <v/>
      </c>
      <c r="N648" s="59">
        <f>MIN(24,MAX(5,NORMINV(RAND(),$C$9,$D$9)))</f>
        <v/>
      </c>
      <c r="O648" s="65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57">
        <f>MAX(-0.05,NORMINV(RAND(),$C$6,$D$6))</f>
        <v/>
      </c>
      <c r="L649" s="57">
        <f>MAX(0.02,NORMINV(RAND(),$C$7,$D$7))</f>
        <v/>
      </c>
      <c r="M649" s="57">
        <f>MIN(0.16,MAX(0.05,NORMINV(RAND(),$C$8,$D$8)))</f>
        <v/>
      </c>
      <c r="N649" s="59">
        <f>MIN(24,MAX(5,NORMINV(RAND(),$C$9,$D$9)))</f>
        <v/>
      </c>
      <c r="O649" s="65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57">
        <f>MAX(-0.05,NORMINV(RAND(),$C$6,$D$6))</f>
        <v/>
      </c>
      <c r="L650" s="57">
        <f>MAX(0.02,NORMINV(RAND(),$C$7,$D$7))</f>
        <v/>
      </c>
      <c r="M650" s="57">
        <f>MIN(0.16,MAX(0.05,NORMINV(RAND(),$C$8,$D$8)))</f>
        <v/>
      </c>
      <c r="N650" s="59">
        <f>MIN(24,MAX(5,NORMINV(RAND(),$C$9,$D$9)))</f>
        <v/>
      </c>
      <c r="O650" s="65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57">
        <f>MAX(-0.05,NORMINV(RAND(),$C$6,$D$6))</f>
        <v/>
      </c>
      <c r="L651" s="57">
        <f>MAX(0.02,NORMINV(RAND(),$C$7,$D$7))</f>
        <v/>
      </c>
      <c r="M651" s="57">
        <f>MIN(0.16,MAX(0.05,NORMINV(RAND(),$C$8,$D$8)))</f>
        <v/>
      </c>
      <c r="N651" s="59">
        <f>MIN(24,MAX(5,NORMINV(RAND(),$C$9,$D$9)))</f>
        <v/>
      </c>
      <c r="O651" s="65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57">
        <f>MAX(-0.05,NORMINV(RAND(),$C$6,$D$6))</f>
        <v/>
      </c>
      <c r="L652" s="57">
        <f>MAX(0.02,NORMINV(RAND(),$C$7,$D$7))</f>
        <v/>
      </c>
      <c r="M652" s="57">
        <f>MIN(0.16,MAX(0.05,NORMINV(RAND(),$C$8,$D$8)))</f>
        <v/>
      </c>
      <c r="N652" s="59">
        <f>MIN(24,MAX(5,NORMINV(RAND(),$C$9,$D$9)))</f>
        <v/>
      </c>
      <c r="O652" s="65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57">
        <f>MAX(-0.05,NORMINV(RAND(),$C$6,$D$6))</f>
        <v/>
      </c>
      <c r="L653" s="57">
        <f>MAX(0.02,NORMINV(RAND(),$C$7,$D$7))</f>
        <v/>
      </c>
      <c r="M653" s="57">
        <f>MIN(0.16,MAX(0.05,NORMINV(RAND(),$C$8,$D$8)))</f>
        <v/>
      </c>
      <c r="N653" s="59">
        <f>MIN(24,MAX(5,NORMINV(RAND(),$C$9,$D$9)))</f>
        <v/>
      </c>
      <c r="O653" s="65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57">
        <f>MAX(-0.05,NORMINV(RAND(),$C$6,$D$6))</f>
        <v/>
      </c>
      <c r="L654" s="57">
        <f>MAX(0.02,NORMINV(RAND(),$C$7,$D$7))</f>
        <v/>
      </c>
      <c r="M654" s="57">
        <f>MIN(0.16,MAX(0.05,NORMINV(RAND(),$C$8,$D$8)))</f>
        <v/>
      </c>
      <c r="N654" s="59">
        <f>MIN(24,MAX(5,NORMINV(RAND(),$C$9,$D$9)))</f>
        <v/>
      </c>
      <c r="O654" s="65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57">
        <f>MAX(-0.05,NORMINV(RAND(),$C$6,$D$6))</f>
        <v/>
      </c>
      <c r="L655" s="57">
        <f>MAX(0.02,NORMINV(RAND(),$C$7,$D$7))</f>
        <v/>
      </c>
      <c r="M655" s="57">
        <f>MIN(0.16,MAX(0.05,NORMINV(RAND(),$C$8,$D$8)))</f>
        <v/>
      </c>
      <c r="N655" s="59">
        <f>MIN(24,MAX(5,NORMINV(RAND(),$C$9,$D$9)))</f>
        <v/>
      </c>
      <c r="O655" s="65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57">
        <f>MAX(-0.05,NORMINV(RAND(),$C$6,$D$6))</f>
        <v/>
      </c>
      <c r="L656" s="57">
        <f>MAX(0.02,NORMINV(RAND(),$C$7,$D$7))</f>
        <v/>
      </c>
      <c r="M656" s="57">
        <f>MIN(0.16,MAX(0.05,NORMINV(RAND(),$C$8,$D$8)))</f>
        <v/>
      </c>
      <c r="N656" s="59">
        <f>MIN(24,MAX(5,NORMINV(RAND(),$C$9,$D$9)))</f>
        <v/>
      </c>
      <c r="O656" s="65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57">
        <f>MAX(-0.05,NORMINV(RAND(),$C$6,$D$6))</f>
        <v/>
      </c>
      <c r="L657" s="57">
        <f>MAX(0.02,NORMINV(RAND(),$C$7,$D$7))</f>
        <v/>
      </c>
      <c r="M657" s="57">
        <f>MIN(0.16,MAX(0.05,NORMINV(RAND(),$C$8,$D$8)))</f>
        <v/>
      </c>
      <c r="N657" s="59">
        <f>MIN(24,MAX(5,NORMINV(RAND(),$C$9,$D$9)))</f>
        <v/>
      </c>
      <c r="O657" s="65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57">
        <f>MAX(-0.05,NORMINV(RAND(),$C$6,$D$6))</f>
        <v/>
      </c>
      <c r="L658" s="57">
        <f>MAX(0.02,NORMINV(RAND(),$C$7,$D$7))</f>
        <v/>
      </c>
      <c r="M658" s="57">
        <f>MIN(0.16,MAX(0.05,NORMINV(RAND(),$C$8,$D$8)))</f>
        <v/>
      </c>
      <c r="N658" s="59">
        <f>MIN(24,MAX(5,NORMINV(RAND(),$C$9,$D$9)))</f>
        <v/>
      </c>
      <c r="O658" s="65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57">
        <f>MAX(-0.05,NORMINV(RAND(),$C$6,$D$6))</f>
        <v/>
      </c>
      <c r="L659" s="57">
        <f>MAX(0.02,NORMINV(RAND(),$C$7,$D$7))</f>
        <v/>
      </c>
      <c r="M659" s="57">
        <f>MIN(0.16,MAX(0.05,NORMINV(RAND(),$C$8,$D$8)))</f>
        <v/>
      </c>
      <c r="N659" s="59">
        <f>MIN(24,MAX(5,NORMINV(RAND(),$C$9,$D$9)))</f>
        <v/>
      </c>
      <c r="O659" s="65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57">
        <f>MAX(-0.05,NORMINV(RAND(),$C$6,$D$6))</f>
        <v/>
      </c>
      <c r="L660" s="57">
        <f>MAX(0.02,NORMINV(RAND(),$C$7,$D$7))</f>
        <v/>
      </c>
      <c r="M660" s="57">
        <f>MIN(0.16,MAX(0.05,NORMINV(RAND(),$C$8,$D$8)))</f>
        <v/>
      </c>
      <c r="N660" s="59">
        <f>MIN(24,MAX(5,NORMINV(RAND(),$C$9,$D$9)))</f>
        <v/>
      </c>
      <c r="O660" s="65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57">
        <f>MAX(-0.05,NORMINV(RAND(),$C$6,$D$6))</f>
        <v/>
      </c>
      <c r="L661" s="57">
        <f>MAX(0.02,NORMINV(RAND(),$C$7,$D$7))</f>
        <v/>
      </c>
      <c r="M661" s="57">
        <f>MIN(0.16,MAX(0.05,NORMINV(RAND(),$C$8,$D$8)))</f>
        <v/>
      </c>
      <c r="N661" s="59">
        <f>MIN(24,MAX(5,NORMINV(RAND(),$C$9,$D$9)))</f>
        <v/>
      </c>
      <c r="O661" s="65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57">
        <f>MAX(-0.05,NORMINV(RAND(),$C$6,$D$6))</f>
        <v/>
      </c>
      <c r="L662" s="57">
        <f>MAX(0.02,NORMINV(RAND(),$C$7,$D$7))</f>
        <v/>
      </c>
      <c r="M662" s="57">
        <f>MIN(0.16,MAX(0.05,NORMINV(RAND(),$C$8,$D$8)))</f>
        <v/>
      </c>
      <c r="N662" s="59">
        <f>MIN(24,MAX(5,NORMINV(RAND(),$C$9,$D$9)))</f>
        <v/>
      </c>
      <c r="O662" s="65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57">
        <f>MAX(-0.05,NORMINV(RAND(),$C$6,$D$6))</f>
        <v/>
      </c>
      <c r="L663" s="57">
        <f>MAX(0.02,NORMINV(RAND(),$C$7,$D$7))</f>
        <v/>
      </c>
      <c r="M663" s="57">
        <f>MIN(0.16,MAX(0.05,NORMINV(RAND(),$C$8,$D$8)))</f>
        <v/>
      </c>
      <c r="N663" s="59">
        <f>MIN(24,MAX(5,NORMINV(RAND(),$C$9,$D$9)))</f>
        <v/>
      </c>
      <c r="O663" s="65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57">
        <f>MAX(-0.05,NORMINV(RAND(),$C$6,$D$6))</f>
        <v/>
      </c>
      <c r="L664" s="57">
        <f>MAX(0.02,NORMINV(RAND(),$C$7,$D$7))</f>
        <v/>
      </c>
      <c r="M664" s="57">
        <f>MIN(0.16,MAX(0.05,NORMINV(RAND(),$C$8,$D$8)))</f>
        <v/>
      </c>
      <c r="N664" s="59">
        <f>MIN(24,MAX(5,NORMINV(RAND(),$C$9,$D$9)))</f>
        <v/>
      </c>
      <c r="O664" s="65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57">
        <f>MAX(-0.05,NORMINV(RAND(),$C$6,$D$6))</f>
        <v/>
      </c>
      <c r="L665" s="57">
        <f>MAX(0.02,NORMINV(RAND(),$C$7,$D$7))</f>
        <v/>
      </c>
      <c r="M665" s="57">
        <f>MIN(0.16,MAX(0.05,NORMINV(RAND(),$C$8,$D$8)))</f>
        <v/>
      </c>
      <c r="N665" s="59">
        <f>MIN(24,MAX(5,NORMINV(RAND(),$C$9,$D$9)))</f>
        <v/>
      </c>
      <c r="O665" s="65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57">
        <f>MAX(-0.05,NORMINV(RAND(),$C$6,$D$6))</f>
        <v/>
      </c>
      <c r="L666" s="57">
        <f>MAX(0.02,NORMINV(RAND(),$C$7,$D$7))</f>
        <v/>
      </c>
      <c r="M666" s="57">
        <f>MIN(0.16,MAX(0.05,NORMINV(RAND(),$C$8,$D$8)))</f>
        <v/>
      </c>
      <c r="N666" s="59">
        <f>MIN(24,MAX(5,NORMINV(RAND(),$C$9,$D$9)))</f>
        <v/>
      </c>
      <c r="O666" s="65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57">
        <f>MAX(-0.05,NORMINV(RAND(),$C$6,$D$6))</f>
        <v/>
      </c>
      <c r="L667" s="57">
        <f>MAX(0.02,NORMINV(RAND(),$C$7,$D$7))</f>
        <v/>
      </c>
      <c r="M667" s="57">
        <f>MIN(0.16,MAX(0.05,NORMINV(RAND(),$C$8,$D$8)))</f>
        <v/>
      </c>
      <c r="N667" s="59">
        <f>MIN(24,MAX(5,NORMINV(RAND(),$C$9,$D$9)))</f>
        <v/>
      </c>
      <c r="O667" s="65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57">
        <f>MAX(-0.05,NORMINV(RAND(),$C$6,$D$6))</f>
        <v/>
      </c>
      <c r="L668" s="57">
        <f>MAX(0.02,NORMINV(RAND(),$C$7,$D$7))</f>
        <v/>
      </c>
      <c r="M668" s="57">
        <f>MIN(0.16,MAX(0.05,NORMINV(RAND(),$C$8,$D$8)))</f>
        <v/>
      </c>
      <c r="N668" s="59">
        <f>MIN(24,MAX(5,NORMINV(RAND(),$C$9,$D$9)))</f>
        <v/>
      </c>
      <c r="O668" s="65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57">
        <f>MAX(-0.05,NORMINV(RAND(),$C$6,$D$6))</f>
        <v/>
      </c>
      <c r="L669" s="57">
        <f>MAX(0.02,NORMINV(RAND(),$C$7,$D$7))</f>
        <v/>
      </c>
      <c r="M669" s="57">
        <f>MIN(0.16,MAX(0.05,NORMINV(RAND(),$C$8,$D$8)))</f>
        <v/>
      </c>
      <c r="N669" s="59">
        <f>MIN(24,MAX(5,NORMINV(RAND(),$C$9,$D$9)))</f>
        <v/>
      </c>
      <c r="O669" s="65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57">
        <f>MAX(-0.05,NORMINV(RAND(),$C$6,$D$6))</f>
        <v/>
      </c>
      <c r="L670" s="57">
        <f>MAX(0.02,NORMINV(RAND(),$C$7,$D$7))</f>
        <v/>
      </c>
      <c r="M670" s="57">
        <f>MIN(0.16,MAX(0.05,NORMINV(RAND(),$C$8,$D$8)))</f>
        <v/>
      </c>
      <c r="N670" s="59">
        <f>MIN(24,MAX(5,NORMINV(RAND(),$C$9,$D$9)))</f>
        <v/>
      </c>
      <c r="O670" s="65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57">
        <f>MAX(-0.05,NORMINV(RAND(),$C$6,$D$6))</f>
        <v/>
      </c>
      <c r="L671" s="57">
        <f>MAX(0.02,NORMINV(RAND(),$C$7,$D$7))</f>
        <v/>
      </c>
      <c r="M671" s="57">
        <f>MIN(0.16,MAX(0.05,NORMINV(RAND(),$C$8,$D$8)))</f>
        <v/>
      </c>
      <c r="N671" s="59">
        <f>MIN(24,MAX(5,NORMINV(RAND(),$C$9,$D$9)))</f>
        <v/>
      </c>
      <c r="O671" s="65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57">
        <f>MAX(-0.05,NORMINV(RAND(),$C$6,$D$6))</f>
        <v/>
      </c>
      <c r="L672" s="57">
        <f>MAX(0.02,NORMINV(RAND(),$C$7,$D$7))</f>
        <v/>
      </c>
      <c r="M672" s="57">
        <f>MIN(0.16,MAX(0.05,NORMINV(RAND(),$C$8,$D$8)))</f>
        <v/>
      </c>
      <c r="N672" s="59">
        <f>MIN(24,MAX(5,NORMINV(RAND(),$C$9,$D$9)))</f>
        <v/>
      </c>
      <c r="O672" s="65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57">
        <f>MAX(-0.05,NORMINV(RAND(),$C$6,$D$6))</f>
        <v/>
      </c>
      <c r="L673" s="57">
        <f>MAX(0.02,NORMINV(RAND(),$C$7,$D$7))</f>
        <v/>
      </c>
      <c r="M673" s="57">
        <f>MIN(0.16,MAX(0.05,NORMINV(RAND(),$C$8,$D$8)))</f>
        <v/>
      </c>
      <c r="N673" s="59">
        <f>MIN(24,MAX(5,NORMINV(RAND(),$C$9,$D$9)))</f>
        <v/>
      </c>
      <c r="O673" s="65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57">
        <f>MAX(-0.05,NORMINV(RAND(),$C$6,$D$6))</f>
        <v/>
      </c>
      <c r="L674" s="57">
        <f>MAX(0.02,NORMINV(RAND(),$C$7,$D$7))</f>
        <v/>
      </c>
      <c r="M674" s="57">
        <f>MIN(0.16,MAX(0.05,NORMINV(RAND(),$C$8,$D$8)))</f>
        <v/>
      </c>
      <c r="N674" s="59">
        <f>MIN(24,MAX(5,NORMINV(RAND(),$C$9,$D$9)))</f>
        <v/>
      </c>
      <c r="O674" s="65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57">
        <f>MAX(-0.05,NORMINV(RAND(),$C$6,$D$6))</f>
        <v/>
      </c>
      <c r="L675" s="57">
        <f>MAX(0.02,NORMINV(RAND(),$C$7,$D$7))</f>
        <v/>
      </c>
      <c r="M675" s="57">
        <f>MIN(0.16,MAX(0.05,NORMINV(RAND(),$C$8,$D$8)))</f>
        <v/>
      </c>
      <c r="N675" s="59">
        <f>MIN(24,MAX(5,NORMINV(RAND(),$C$9,$D$9)))</f>
        <v/>
      </c>
      <c r="O675" s="65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57">
        <f>MAX(-0.05,NORMINV(RAND(),$C$6,$D$6))</f>
        <v/>
      </c>
      <c r="L676" s="57">
        <f>MAX(0.02,NORMINV(RAND(),$C$7,$D$7))</f>
        <v/>
      </c>
      <c r="M676" s="57">
        <f>MIN(0.16,MAX(0.05,NORMINV(RAND(),$C$8,$D$8)))</f>
        <v/>
      </c>
      <c r="N676" s="59">
        <f>MIN(24,MAX(5,NORMINV(RAND(),$C$9,$D$9)))</f>
        <v/>
      </c>
      <c r="O676" s="65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57">
        <f>MAX(-0.05,NORMINV(RAND(),$C$6,$D$6))</f>
        <v/>
      </c>
      <c r="L677" s="57">
        <f>MAX(0.02,NORMINV(RAND(),$C$7,$D$7))</f>
        <v/>
      </c>
      <c r="M677" s="57">
        <f>MIN(0.16,MAX(0.05,NORMINV(RAND(),$C$8,$D$8)))</f>
        <v/>
      </c>
      <c r="N677" s="59">
        <f>MIN(24,MAX(5,NORMINV(RAND(),$C$9,$D$9)))</f>
        <v/>
      </c>
      <c r="O677" s="65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57">
        <f>MAX(-0.05,NORMINV(RAND(),$C$6,$D$6))</f>
        <v/>
      </c>
      <c r="L678" s="57">
        <f>MAX(0.02,NORMINV(RAND(),$C$7,$D$7))</f>
        <v/>
      </c>
      <c r="M678" s="57">
        <f>MIN(0.16,MAX(0.05,NORMINV(RAND(),$C$8,$D$8)))</f>
        <v/>
      </c>
      <c r="N678" s="59">
        <f>MIN(24,MAX(5,NORMINV(RAND(),$C$9,$D$9)))</f>
        <v/>
      </c>
      <c r="O678" s="65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57">
        <f>MAX(-0.05,NORMINV(RAND(),$C$6,$D$6))</f>
        <v/>
      </c>
      <c r="L679" s="57">
        <f>MAX(0.02,NORMINV(RAND(),$C$7,$D$7))</f>
        <v/>
      </c>
      <c r="M679" s="57">
        <f>MIN(0.16,MAX(0.05,NORMINV(RAND(),$C$8,$D$8)))</f>
        <v/>
      </c>
      <c r="N679" s="59">
        <f>MIN(24,MAX(5,NORMINV(RAND(),$C$9,$D$9)))</f>
        <v/>
      </c>
      <c r="O679" s="65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57">
        <f>MAX(-0.05,NORMINV(RAND(),$C$6,$D$6))</f>
        <v/>
      </c>
      <c r="L680" s="57">
        <f>MAX(0.02,NORMINV(RAND(),$C$7,$D$7))</f>
        <v/>
      </c>
      <c r="M680" s="57">
        <f>MIN(0.16,MAX(0.05,NORMINV(RAND(),$C$8,$D$8)))</f>
        <v/>
      </c>
      <c r="N680" s="59">
        <f>MIN(24,MAX(5,NORMINV(RAND(),$C$9,$D$9)))</f>
        <v/>
      </c>
      <c r="O680" s="65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57">
        <f>MAX(-0.05,NORMINV(RAND(),$C$6,$D$6))</f>
        <v/>
      </c>
      <c r="L681" s="57">
        <f>MAX(0.02,NORMINV(RAND(),$C$7,$D$7))</f>
        <v/>
      </c>
      <c r="M681" s="57">
        <f>MIN(0.16,MAX(0.05,NORMINV(RAND(),$C$8,$D$8)))</f>
        <v/>
      </c>
      <c r="N681" s="59">
        <f>MIN(24,MAX(5,NORMINV(RAND(),$C$9,$D$9)))</f>
        <v/>
      </c>
      <c r="O681" s="65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57">
        <f>MAX(-0.05,NORMINV(RAND(),$C$6,$D$6))</f>
        <v/>
      </c>
      <c r="L682" s="57">
        <f>MAX(0.02,NORMINV(RAND(),$C$7,$D$7))</f>
        <v/>
      </c>
      <c r="M682" s="57">
        <f>MIN(0.16,MAX(0.05,NORMINV(RAND(),$C$8,$D$8)))</f>
        <v/>
      </c>
      <c r="N682" s="59">
        <f>MIN(24,MAX(5,NORMINV(RAND(),$C$9,$D$9)))</f>
        <v/>
      </c>
      <c r="O682" s="65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57">
        <f>MAX(-0.05,NORMINV(RAND(),$C$6,$D$6))</f>
        <v/>
      </c>
      <c r="L683" s="57">
        <f>MAX(0.02,NORMINV(RAND(),$C$7,$D$7))</f>
        <v/>
      </c>
      <c r="M683" s="57">
        <f>MIN(0.16,MAX(0.05,NORMINV(RAND(),$C$8,$D$8)))</f>
        <v/>
      </c>
      <c r="N683" s="59">
        <f>MIN(24,MAX(5,NORMINV(RAND(),$C$9,$D$9)))</f>
        <v/>
      </c>
      <c r="O683" s="65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57">
        <f>MAX(-0.05,NORMINV(RAND(),$C$6,$D$6))</f>
        <v/>
      </c>
      <c r="L684" s="57">
        <f>MAX(0.02,NORMINV(RAND(),$C$7,$D$7))</f>
        <v/>
      </c>
      <c r="M684" s="57">
        <f>MIN(0.16,MAX(0.05,NORMINV(RAND(),$C$8,$D$8)))</f>
        <v/>
      </c>
      <c r="N684" s="59">
        <f>MIN(24,MAX(5,NORMINV(RAND(),$C$9,$D$9)))</f>
        <v/>
      </c>
      <c r="O684" s="65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57">
        <f>MAX(-0.05,NORMINV(RAND(),$C$6,$D$6))</f>
        <v/>
      </c>
      <c r="L685" s="57">
        <f>MAX(0.02,NORMINV(RAND(),$C$7,$D$7))</f>
        <v/>
      </c>
      <c r="M685" s="57">
        <f>MIN(0.16,MAX(0.05,NORMINV(RAND(),$C$8,$D$8)))</f>
        <v/>
      </c>
      <c r="N685" s="59">
        <f>MIN(24,MAX(5,NORMINV(RAND(),$C$9,$D$9)))</f>
        <v/>
      </c>
      <c r="O685" s="65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57">
        <f>MAX(-0.05,NORMINV(RAND(),$C$6,$D$6))</f>
        <v/>
      </c>
      <c r="L686" s="57">
        <f>MAX(0.02,NORMINV(RAND(),$C$7,$D$7))</f>
        <v/>
      </c>
      <c r="M686" s="57">
        <f>MIN(0.16,MAX(0.05,NORMINV(RAND(),$C$8,$D$8)))</f>
        <v/>
      </c>
      <c r="N686" s="59">
        <f>MIN(24,MAX(5,NORMINV(RAND(),$C$9,$D$9)))</f>
        <v/>
      </c>
      <c r="O686" s="65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57">
        <f>MAX(-0.05,NORMINV(RAND(),$C$6,$D$6))</f>
        <v/>
      </c>
      <c r="L687" s="57">
        <f>MAX(0.02,NORMINV(RAND(),$C$7,$D$7))</f>
        <v/>
      </c>
      <c r="M687" s="57">
        <f>MIN(0.16,MAX(0.05,NORMINV(RAND(),$C$8,$D$8)))</f>
        <v/>
      </c>
      <c r="N687" s="59">
        <f>MIN(24,MAX(5,NORMINV(RAND(),$C$9,$D$9)))</f>
        <v/>
      </c>
      <c r="O687" s="65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57">
        <f>MAX(-0.05,NORMINV(RAND(),$C$6,$D$6))</f>
        <v/>
      </c>
      <c r="L688" s="57">
        <f>MAX(0.02,NORMINV(RAND(),$C$7,$D$7))</f>
        <v/>
      </c>
      <c r="M688" s="57">
        <f>MIN(0.16,MAX(0.05,NORMINV(RAND(),$C$8,$D$8)))</f>
        <v/>
      </c>
      <c r="N688" s="59">
        <f>MIN(24,MAX(5,NORMINV(RAND(),$C$9,$D$9)))</f>
        <v/>
      </c>
      <c r="O688" s="65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57">
        <f>MAX(-0.05,NORMINV(RAND(),$C$6,$D$6))</f>
        <v/>
      </c>
      <c r="L689" s="57">
        <f>MAX(0.02,NORMINV(RAND(),$C$7,$D$7))</f>
        <v/>
      </c>
      <c r="M689" s="57">
        <f>MIN(0.16,MAX(0.05,NORMINV(RAND(),$C$8,$D$8)))</f>
        <v/>
      </c>
      <c r="N689" s="59">
        <f>MIN(24,MAX(5,NORMINV(RAND(),$C$9,$D$9)))</f>
        <v/>
      </c>
      <c r="O689" s="65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57">
        <f>MAX(-0.05,NORMINV(RAND(),$C$6,$D$6))</f>
        <v/>
      </c>
      <c r="L690" s="57">
        <f>MAX(0.02,NORMINV(RAND(),$C$7,$D$7))</f>
        <v/>
      </c>
      <c r="M690" s="57">
        <f>MIN(0.16,MAX(0.05,NORMINV(RAND(),$C$8,$D$8)))</f>
        <v/>
      </c>
      <c r="N690" s="59">
        <f>MIN(24,MAX(5,NORMINV(RAND(),$C$9,$D$9)))</f>
        <v/>
      </c>
      <c r="O690" s="65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57">
        <f>MAX(-0.05,NORMINV(RAND(),$C$6,$D$6))</f>
        <v/>
      </c>
      <c r="L691" s="57">
        <f>MAX(0.02,NORMINV(RAND(),$C$7,$D$7))</f>
        <v/>
      </c>
      <c r="M691" s="57">
        <f>MIN(0.16,MAX(0.05,NORMINV(RAND(),$C$8,$D$8)))</f>
        <v/>
      </c>
      <c r="N691" s="59">
        <f>MIN(24,MAX(5,NORMINV(RAND(),$C$9,$D$9)))</f>
        <v/>
      </c>
      <c r="O691" s="65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57">
        <f>MAX(-0.05,NORMINV(RAND(),$C$6,$D$6))</f>
        <v/>
      </c>
      <c r="L692" s="57">
        <f>MAX(0.02,NORMINV(RAND(),$C$7,$D$7))</f>
        <v/>
      </c>
      <c r="M692" s="57">
        <f>MIN(0.16,MAX(0.05,NORMINV(RAND(),$C$8,$D$8)))</f>
        <v/>
      </c>
      <c r="N692" s="59">
        <f>MIN(24,MAX(5,NORMINV(RAND(),$C$9,$D$9)))</f>
        <v/>
      </c>
      <c r="O692" s="65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57">
        <f>MAX(-0.05,NORMINV(RAND(),$C$6,$D$6))</f>
        <v/>
      </c>
      <c r="L693" s="57">
        <f>MAX(0.02,NORMINV(RAND(),$C$7,$D$7))</f>
        <v/>
      </c>
      <c r="M693" s="57">
        <f>MIN(0.16,MAX(0.05,NORMINV(RAND(),$C$8,$D$8)))</f>
        <v/>
      </c>
      <c r="N693" s="59">
        <f>MIN(24,MAX(5,NORMINV(RAND(),$C$9,$D$9)))</f>
        <v/>
      </c>
      <c r="O693" s="65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57">
        <f>MAX(-0.05,NORMINV(RAND(),$C$6,$D$6))</f>
        <v/>
      </c>
      <c r="L694" s="57">
        <f>MAX(0.02,NORMINV(RAND(),$C$7,$D$7))</f>
        <v/>
      </c>
      <c r="M694" s="57">
        <f>MIN(0.16,MAX(0.05,NORMINV(RAND(),$C$8,$D$8)))</f>
        <v/>
      </c>
      <c r="N694" s="59">
        <f>MIN(24,MAX(5,NORMINV(RAND(),$C$9,$D$9)))</f>
        <v/>
      </c>
      <c r="O694" s="65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57">
        <f>MAX(-0.05,NORMINV(RAND(),$C$6,$D$6))</f>
        <v/>
      </c>
      <c r="L695" s="57">
        <f>MAX(0.02,NORMINV(RAND(),$C$7,$D$7))</f>
        <v/>
      </c>
      <c r="M695" s="57">
        <f>MIN(0.16,MAX(0.05,NORMINV(RAND(),$C$8,$D$8)))</f>
        <v/>
      </c>
      <c r="N695" s="59">
        <f>MIN(24,MAX(5,NORMINV(RAND(),$C$9,$D$9)))</f>
        <v/>
      </c>
      <c r="O695" s="65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57">
        <f>MAX(-0.05,NORMINV(RAND(),$C$6,$D$6))</f>
        <v/>
      </c>
      <c r="L696" s="57">
        <f>MAX(0.02,NORMINV(RAND(),$C$7,$D$7))</f>
        <v/>
      </c>
      <c r="M696" s="57">
        <f>MIN(0.16,MAX(0.05,NORMINV(RAND(),$C$8,$D$8)))</f>
        <v/>
      </c>
      <c r="N696" s="59">
        <f>MIN(24,MAX(5,NORMINV(RAND(),$C$9,$D$9)))</f>
        <v/>
      </c>
      <c r="O696" s="65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57">
        <f>MAX(-0.05,NORMINV(RAND(),$C$6,$D$6))</f>
        <v/>
      </c>
      <c r="L697" s="57">
        <f>MAX(0.02,NORMINV(RAND(),$C$7,$D$7))</f>
        <v/>
      </c>
      <c r="M697" s="57">
        <f>MIN(0.16,MAX(0.05,NORMINV(RAND(),$C$8,$D$8)))</f>
        <v/>
      </c>
      <c r="N697" s="59">
        <f>MIN(24,MAX(5,NORMINV(RAND(),$C$9,$D$9)))</f>
        <v/>
      </c>
      <c r="O697" s="65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57">
        <f>MAX(-0.05,NORMINV(RAND(),$C$6,$D$6))</f>
        <v/>
      </c>
      <c r="L698" s="57">
        <f>MAX(0.02,NORMINV(RAND(),$C$7,$D$7))</f>
        <v/>
      </c>
      <c r="M698" s="57">
        <f>MIN(0.16,MAX(0.05,NORMINV(RAND(),$C$8,$D$8)))</f>
        <v/>
      </c>
      <c r="N698" s="59">
        <f>MIN(24,MAX(5,NORMINV(RAND(),$C$9,$D$9)))</f>
        <v/>
      </c>
      <c r="O698" s="65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57">
        <f>MAX(-0.05,NORMINV(RAND(),$C$6,$D$6))</f>
        <v/>
      </c>
      <c r="L699" s="57">
        <f>MAX(0.02,NORMINV(RAND(),$C$7,$D$7))</f>
        <v/>
      </c>
      <c r="M699" s="57">
        <f>MIN(0.16,MAX(0.05,NORMINV(RAND(),$C$8,$D$8)))</f>
        <v/>
      </c>
      <c r="N699" s="59">
        <f>MIN(24,MAX(5,NORMINV(RAND(),$C$9,$D$9)))</f>
        <v/>
      </c>
      <c r="O699" s="65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57">
        <f>MAX(-0.05,NORMINV(RAND(),$C$6,$D$6))</f>
        <v/>
      </c>
      <c r="L700" s="57">
        <f>MAX(0.02,NORMINV(RAND(),$C$7,$D$7))</f>
        <v/>
      </c>
      <c r="M700" s="57">
        <f>MIN(0.16,MAX(0.05,NORMINV(RAND(),$C$8,$D$8)))</f>
        <v/>
      </c>
      <c r="N700" s="59">
        <f>MIN(24,MAX(5,NORMINV(RAND(),$C$9,$D$9)))</f>
        <v/>
      </c>
      <c r="O700" s="65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57">
        <f>MAX(-0.05,NORMINV(RAND(),$C$6,$D$6))</f>
        <v/>
      </c>
      <c r="L701" s="57">
        <f>MAX(0.02,NORMINV(RAND(),$C$7,$D$7))</f>
        <v/>
      </c>
      <c r="M701" s="57">
        <f>MIN(0.16,MAX(0.05,NORMINV(RAND(),$C$8,$D$8)))</f>
        <v/>
      </c>
      <c r="N701" s="59">
        <f>MIN(24,MAX(5,NORMINV(RAND(),$C$9,$D$9)))</f>
        <v/>
      </c>
      <c r="O701" s="65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57">
        <f>MAX(-0.05,NORMINV(RAND(),$C$6,$D$6))</f>
        <v/>
      </c>
      <c r="L702" s="57">
        <f>MAX(0.02,NORMINV(RAND(),$C$7,$D$7))</f>
        <v/>
      </c>
      <c r="M702" s="57">
        <f>MIN(0.16,MAX(0.05,NORMINV(RAND(),$C$8,$D$8)))</f>
        <v/>
      </c>
      <c r="N702" s="59">
        <f>MIN(24,MAX(5,NORMINV(RAND(),$C$9,$D$9)))</f>
        <v/>
      </c>
      <c r="O702" s="65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57">
        <f>MAX(-0.05,NORMINV(RAND(),$C$6,$D$6))</f>
        <v/>
      </c>
      <c r="L703" s="57">
        <f>MAX(0.02,NORMINV(RAND(),$C$7,$D$7))</f>
        <v/>
      </c>
      <c r="M703" s="57">
        <f>MIN(0.16,MAX(0.05,NORMINV(RAND(),$C$8,$D$8)))</f>
        <v/>
      </c>
      <c r="N703" s="59">
        <f>MIN(24,MAX(5,NORMINV(RAND(),$C$9,$D$9)))</f>
        <v/>
      </c>
      <c r="O703" s="65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57">
        <f>MAX(-0.05,NORMINV(RAND(),$C$6,$D$6))</f>
        <v/>
      </c>
      <c r="L704" s="57">
        <f>MAX(0.02,NORMINV(RAND(),$C$7,$D$7))</f>
        <v/>
      </c>
      <c r="M704" s="57">
        <f>MIN(0.16,MAX(0.05,NORMINV(RAND(),$C$8,$D$8)))</f>
        <v/>
      </c>
      <c r="N704" s="59">
        <f>MIN(24,MAX(5,NORMINV(RAND(),$C$9,$D$9)))</f>
        <v/>
      </c>
      <c r="O704" s="65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57">
        <f>MAX(-0.05,NORMINV(RAND(),$C$6,$D$6))</f>
        <v/>
      </c>
      <c r="L705" s="57">
        <f>MAX(0.02,NORMINV(RAND(),$C$7,$D$7))</f>
        <v/>
      </c>
      <c r="M705" s="57">
        <f>MIN(0.16,MAX(0.05,NORMINV(RAND(),$C$8,$D$8)))</f>
        <v/>
      </c>
      <c r="N705" s="59">
        <f>MIN(24,MAX(5,NORMINV(RAND(),$C$9,$D$9)))</f>
        <v/>
      </c>
      <c r="O705" s="65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57">
        <f>MAX(-0.05,NORMINV(RAND(),$C$6,$D$6))</f>
        <v/>
      </c>
      <c r="L706" s="57">
        <f>MAX(0.02,NORMINV(RAND(),$C$7,$D$7))</f>
        <v/>
      </c>
      <c r="M706" s="57">
        <f>MIN(0.16,MAX(0.05,NORMINV(RAND(),$C$8,$D$8)))</f>
        <v/>
      </c>
      <c r="N706" s="59">
        <f>MIN(24,MAX(5,NORMINV(RAND(),$C$9,$D$9)))</f>
        <v/>
      </c>
      <c r="O706" s="65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57">
        <f>MAX(-0.05,NORMINV(RAND(),$C$6,$D$6))</f>
        <v/>
      </c>
      <c r="L707" s="57">
        <f>MAX(0.02,NORMINV(RAND(),$C$7,$D$7))</f>
        <v/>
      </c>
      <c r="M707" s="57">
        <f>MIN(0.16,MAX(0.05,NORMINV(RAND(),$C$8,$D$8)))</f>
        <v/>
      </c>
      <c r="N707" s="59">
        <f>MIN(24,MAX(5,NORMINV(RAND(),$C$9,$D$9)))</f>
        <v/>
      </c>
      <c r="O707" s="65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57">
        <f>MAX(-0.05,NORMINV(RAND(),$C$6,$D$6))</f>
        <v/>
      </c>
      <c r="L708" s="57">
        <f>MAX(0.02,NORMINV(RAND(),$C$7,$D$7))</f>
        <v/>
      </c>
      <c r="M708" s="57">
        <f>MIN(0.16,MAX(0.05,NORMINV(RAND(),$C$8,$D$8)))</f>
        <v/>
      </c>
      <c r="N708" s="59">
        <f>MIN(24,MAX(5,NORMINV(RAND(),$C$9,$D$9)))</f>
        <v/>
      </c>
      <c r="O708" s="65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57">
        <f>MAX(-0.05,NORMINV(RAND(),$C$6,$D$6))</f>
        <v/>
      </c>
      <c r="L709" s="57">
        <f>MAX(0.02,NORMINV(RAND(),$C$7,$D$7))</f>
        <v/>
      </c>
      <c r="M709" s="57">
        <f>MIN(0.16,MAX(0.05,NORMINV(RAND(),$C$8,$D$8)))</f>
        <v/>
      </c>
      <c r="N709" s="59">
        <f>MIN(24,MAX(5,NORMINV(RAND(),$C$9,$D$9)))</f>
        <v/>
      </c>
      <c r="O709" s="65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57">
        <f>MAX(-0.05,NORMINV(RAND(),$C$6,$D$6))</f>
        <v/>
      </c>
      <c r="L710" s="57">
        <f>MAX(0.02,NORMINV(RAND(),$C$7,$D$7))</f>
        <v/>
      </c>
      <c r="M710" s="57">
        <f>MIN(0.16,MAX(0.05,NORMINV(RAND(),$C$8,$D$8)))</f>
        <v/>
      </c>
      <c r="N710" s="59">
        <f>MIN(24,MAX(5,NORMINV(RAND(),$C$9,$D$9)))</f>
        <v/>
      </c>
      <c r="O710" s="65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57">
        <f>MAX(-0.05,NORMINV(RAND(),$C$6,$D$6))</f>
        <v/>
      </c>
      <c r="L711" s="57">
        <f>MAX(0.02,NORMINV(RAND(),$C$7,$D$7))</f>
        <v/>
      </c>
      <c r="M711" s="57">
        <f>MIN(0.16,MAX(0.05,NORMINV(RAND(),$C$8,$D$8)))</f>
        <v/>
      </c>
      <c r="N711" s="59">
        <f>MIN(24,MAX(5,NORMINV(RAND(),$C$9,$D$9)))</f>
        <v/>
      </c>
      <c r="O711" s="65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57">
        <f>MAX(-0.05,NORMINV(RAND(),$C$6,$D$6))</f>
        <v/>
      </c>
      <c r="L712" s="57">
        <f>MAX(0.02,NORMINV(RAND(),$C$7,$D$7))</f>
        <v/>
      </c>
      <c r="M712" s="57">
        <f>MIN(0.16,MAX(0.05,NORMINV(RAND(),$C$8,$D$8)))</f>
        <v/>
      </c>
      <c r="N712" s="59">
        <f>MIN(24,MAX(5,NORMINV(RAND(),$C$9,$D$9)))</f>
        <v/>
      </c>
      <c r="O712" s="65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57">
        <f>MAX(-0.05,NORMINV(RAND(),$C$6,$D$6))</f>
        <v/>
      </c>
      <c r="L713" s="57">
        <f>MAX(0.02,NORMINV(RAND(),$C$7,$D$7))</f>
        <v/>
      </c>
      <c r="M713" s="57">
        <f>MIN(0.16,MAX(0.05,NORMINV(RAND(),$C$8,$D$8)))</f>
        <v/>
      </c>
      <c r="N713" s="59">
        <f>MIN(24,MAX(5,NORMINV(RAND(),$C$9,$D$9)))</f>
        <v/>
      </c>
      <c r="O713" s="65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57">
        <f>MAX(-0.05,NORMINV(RAND(),$C$6,$D$6))</f>
        <v/>
      </c>
      <c r="L714" s="57">
        <f>MAX(0.02,NORMINV(RAND(),$C$7,$D$7))</f>
        <v/>
      </c>
      <c r="M714" s="57">
        <f>MIN(0.16,MAX(0.05,NORMINV(RAND(),$C$8,$D$8)))</f>
        <v/>
      </c>
      <c r="N714" s="59">
        <f>MIN(24,MAX(5,NORMINV(RAND(),$C$9,$D$9)))</f>
        <v/>
      </c>
      <c r="O714" s="65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57">
        <f>MAX(-0.05,NORMINV(RAND(),$C$6,$D$6))</f>
        <v/>
      </c>
      <c r="L715" s="57">
        <f>MAX(0.02,NORMINV(RAND(),$C$7,$D$7))</f>
        <v/>
      </c>
      <c r="M715" s="57">
        <f>MIN(0.16,MAX(0.05,NORMINV(RAND(),$C$8,$D$8)))</f>
        <v/>
      </c>
      <c r="N715" s="59">
        <f>MIN(24,MAX(5,NORMINV(RAND(),$C$9,$D$9)))</f>
        <v/>
      </c>
      <c r="O715" s="65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57">
        <f>MAX(-0.05,NORMINV(RAND(),$C$6,$D$6))</f>
        <v/>
      </c>
      <c r="L716" s="57">
        <f>MAX(0.02,NORMINV(RAND(),$C$7,$D$7))</f>
        <v/>
      </c>
      <c r="M716" s="57">
        <f>MIN(0.16,MAX(0.05,NORMINV(RAND(),$C$8,$D$8)))</f>
        <v/>
      </c>
      <c r="N716" s="59">
        <f>MIN(24,MAX(5,NORMINV(RAND(),$C$9,$D$9)))</f>
        <v/>
      </c>
      <c r="O716" s="65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57">
        <f>MAX(-0.05,NORMINV(RAND(),$C$6,$D$6))</f>
        <v/>
      </c>
      <c r="L717" s="57">
        <f>MAX(0.02,NORMINV(RAND(),$C$7,$D$7))</f>
        <v/>
      </c>
      <c r="M717" s="57">
        <f>MIN(0.16,MAX(0.05,NORMINV(RAND(),$C$8,$D$8)))</f>
        <v/>
      </c>
      <c r="N717" s="59">
        <f>MIN(24,MAX(5,NORMINV(RAND(),$C$9,$D$9)))</f>
        <v/>
      </c>
      <c r="O717" s="65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57">
        <f>MAX(-0.05,NORMINV(RAND(),$C$6,$D$6))</f>
        <v/>
      </c>
      <c r="L718" s="57">
        <f>MAX(0.02,NORMINV(RAND(),$C$7,$D$7))</f>
        <v/>
      </c>
      <c r="M718" s="57">
        <f>MIN(0.16,MAX(0.05,NORMINV(RAND(),$C$8,$D$8)))</f>
        <v/>
      </c>
      <c r="N718" s="59">
        <f>MIN(24,MAX(5,NORMINV(RAND(),$C$9,$D$9)))</f>
        <v/>
      </c>
      <c r="O718" s="65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57">
        <f>MAX(-0.05,NORMINV(RAND(),$C$6,$D$6))</f>
        <v/>
      </c>
      <c r="L719" s="57">
        <f>MAX(0.02,NORMINV(RAND(),$C$7,$D$7))</f>
        <v/>
      </c>
      <c r="M719" s="57">
        <f>MIN(0.16,MAX(0.05,NORMINV(RAND(),$C$8,$D$8)))</f>
        <v/>
      </c>
      <c r="N719" s="59">
        <f>MIN(24,MAX(5,NORMINV(RAND(),$C$9,$D$9)))</f>
        <v/>
      </c>
      <c r="O719" s="65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57">
        <f>MAX(-0.05,NORMINV(RAND(),$C$6,$D$6))</f>
        <v/>
      </c>
      <c r="L720" s="57">
        <f>MAX(0.02,NORMINV(RAND(),$C$7,$D$7))</f>
        <v/>
      </c>
      <c r="M720" s="57">
        <f>MIN(0.16,MAX(0.05,NORMINV(RAND(),$C$8,$D$8)))</f>
        <v/>
      </c>
      <c r="N720" s="59">
        <f>MIN(24,MAX(5,NORMINV(RAND(),$C$9,$D$9)))</f>
        <v/>
      </c>
      <c r="O720" s="65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57">
        <f>MAX(-0.05,NORMINV(RAND(),$C$6,$D$6))</f>
        <v/>
      </c>
      <c r="L721" s="57">
        <f>MAX(0.02,NORMINV(RAND(),$C$7,$D$7))</f>
        <v/>
      </c>
      <c r="M721" s="57">
        <f>MIN(0.16,MAX(0.05,NORMINV(RAND(),$C$8,$D$8)))</f>
        <v/>
      </c>
      <c r="N721" s="59">
        <f>MIN(24,MAX(5,NORMINV(RAND(),$C$9,$D$9)))</f>
        <v/>
      </c>
      <c r="O721" s="65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57">
        <f>MAX(-0.05,NORMINV(RAND(),$C$6,$D$6))</f>
        <v/>
      </c>
      <c r="L722" s="57">
        <f>MAX(0.02,NORMINV(RAND(),$C$7,$D$7))</f>
        <v/>
      </c>
      <c r="M722" s="57">
        <f>MIN(0.16,MAX(0.05,NORMINV(RAND(),$C$8,$D$8)))</f>
        <v/>
      </c>
      <c r="N722" s="59">
        <f>MIN(24,MAX(5,NORMINV(RAND(),$C$9,$D$9)))</f>
        <v/>
      </c>
      <c r="O722" s="65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57">
        <f>MAX(-0.05,NORMINV(RAND(),$C$6,$D$6))</f>
        <v/>
      </c>
      <c r="L723" s="57">
        <f>MAX(0.02,NORMINV(RAND(),$C$7,$D$7))</f>
        <v/>
      </c>
      <c r="M723" s="57">
        <f>MIN(0.16,MAX(0.05,NORMINV(RAND(),$C$8,$D$8)))</f>
        <v/>
      </c>
      <c r="N723" s="59">
        <f>MIN(24,MAX(5,NORMINV(RAND(),$C$9,$D$9)))</f>
        <v/>
      </c>
      <c r="O723" s="65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57">
        <f>MAX(-0.05,NORMINV(RAND(),$C$6,$D$6))</f>
        <v/>
      </c>
      <c r="L724" s="57">
        <f>MAX(0.02,NORMINV(RAND(),$C$7,$D$7))</f>
        <v/>
      </c>
      <c r="M724" s="57">
        <f>MIN(0.16,MAX(0.05,NORMINV(RAND(),$C$8,$D$8)))</f>
        <v/>
      </c>
      <c r="N724" s="59">
        <f>MIN(24,MAX(5,NORMINV(RAND(),$C$9,$D$9)))</f>
        <v/>
      </c>
      <c r="O724" s="65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57">
        <f>MAX(-0.05,NORMINV(RAND(),$C$6,$D$6))</f>
        <v/>
      </c>
      <c r="L725" s="57">
        <f>MAX(0.02,NORMINV(RAND(),$C$7,$D$7))</f>
        <v/>
      </c>
      <c r="M725" s="57">
        <f>MIN(0.16,MAX(0.05,NORMINV(RAND(),$C$8,$D$8)))</f>
        <v/>
      </c>
      <c r="N725" s="59">
        <f>MIN(24,MAX(5,NORMINV(RAND(),$C$9,$D$9)))</f>
        <v/>
      </c>
      <c r="O725" s="65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57">
        <f>MAX(-0.05,NORMINV(RAND(),$C$6,$D$6))</f>
        <v/>
      </c>
      <c r="L726" s="57">
        <f>MAX(0.02,NORMINV(RAND(),$C$7,$D$7))</f>
        <v/>
      </c>
      <c r="M726" s="57">
        <f>MIN(0.16,MAX(0.05,NORMINV(RAND(),$C$8,$D$8)))</f>
        <v/>
      </c>
      <c r="N726" s="59">
        <f>MIN(24,MAX(5,NORMINV(RAND(),$C$9,$D$9)))</f>
        <v/>
      </c>
      <c r="O726" s="65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57">
        <f>MAX(-0.05,NORMINV(RAND(),$C$6,$D$6))</f>
        <v/>
      </c>
      <c r="L727" s="57">
        <f>MAX(0.02,NORMINV(RAND(),$C$7,$D$7))</f>
        <v/>
      </c>
      <c r="M727" s="57">
        <f>MIN(0.16,MAX(0.05,NORMINV(RAND(),$C$8,$D$8)))</f>
        <v/>
      </c>
      <c r="N727" s="59">
        <f>MIN(24,MAX(5,NORMINV(RAND(),$C$9,$D$9)))</f>
        <v/>
      </c>
      <c r="O727" s="65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57">
        <f>MAX(-0.05,NORMINV(RAND(),$C$6,$D$6))</f>
        <v/>
      </c>
      <c r="L728" s="57">
        <f>MAX(0.02,NORMINV(RAND(),$C$7,$D$7))</f>
        <v/>
      </c>
      <c r="M728" s="57">
        <f>MIN(0.16,MAX(0.05,NORMINV(RAND(),$C$8,$D$8)))</f>
        <v/>
      </c>
      <c r="N728" s="59">
        <f>MIN(24,MAX(5,NORMINV(RAND(),$C$9,$D$9)))</f>
        <v/>
      </c>
      <c r="O728" s="65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57">
        <f>MAX(-0.05,NORMINV(RAND(),$C$6,$D$6))</f>
        <v/>
      </c>
      <c r="L729" s="57">
        <f>MAX(0.02,NORMINV(RAND(),$C$7,$D$7))</f>
        <v/>
      </c>
      <c r="M729" s="57">
        <f>MIN(0.16,MAX(0.05,NORMINV(RAND(),$C$8,$D$8)))</f>
        <v/>
      </c>
      <c r="N729" s="59">
        <f>MIN(24,MAX(5,NORMINV(RAND(),$C$9,$D$9)))</f>
        <v/>
      </c>
      <c r="O729" s="65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57">
        <f>MAX(-0.05,NORMINV(RAND(),$C$6,$D$6))</f>
        <v/>
      </c>
      <c r="L730" s="57">
        <f>MAX(0.02,NORMINV(RAND(),$C$7,$D$7))</f>
        <v/>
      </c>
      <c r="M730" s="57">
        <f>MIN(0.16,MAX(0.05,NORMINV(RAND(),$C$8,$D$8)))</f>
        <v/>
      </c>
      <c r="N730" s="59">
        <f>MIN(24,MAX(5,NORMINV(RAND(),$C$9,$D$9)))</f>
        <v/>
      </c>
      <c r="O730" s="65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57">
        <f>MAX(-0.05,NORMINV(RAND(),$C$6,$D$6))</f>
        <v/>
      </c>
      <c r="L731" s="57">
        <f>MAX(0.02,NORMINV(RAND(),$C$7,$D$7))</f>
        <v/>
      </c>
      <c r="M731" s="57">
        <f>MIN(0.16,MAX(0.05,NORMINV(RAND(),$C$8,$D$8)))</f>
        <v/>
      </c>
      <c r="N731" s="59">
        <f>MIN(24,MAX(5,NORMINV(RAND(),$C$9,$D$9)))</f>
        <v/>
      </c>
      <c r="O731" s="65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57">
        <f>MAX(-0.05,NORMINV(RAND(),$C$6,$D$6))</f>
        <v/>
      </c>
      <c r="L732" s="57">
        <f>MAX(0.02,NORMINV(RAND(),$C$7,$D$7))</f>
        <v/>
      </c>
      <c r="M732" s="57">
        <f>MIN(0.16,MAX(0.05,NORMINV(RAND(),$C$8,$D$8)))</f>
        <v/>
      </c>
      <c r="N732" s="59">
        <f>MIN(24,MAX(5,NORMINV(RAND(),$C$9,$D$9)))</f>
        <v/>
      </c>
      <c r="O732" s="65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57">
        <f>MAX(-0.05,NORMINV(RAND(),$C$6,$D$6))</f>
        <v/>
      </c>
      <c r="L733" s="57">
        <f>MAX(0.02,NORMINV(RAND(),$C$7,$D$7))</f>
        <v/>
      </c>
      <c r="M733" s="57">
        <f>MIN(0.16,MAX(0.05,NORMINV(RAND(),$C$8,$D$8)))</f>
        <v/>
      </c>
      <c r="N733" s="59">
        <f>MIN(24,MAX(5,NORMINV(RAND(),$C$9,$D$9)))</f>
        <v/>
      </c>
      <c r="O733" s="65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57">
        <f>MAX(-0.05,NORMINV(RAND(),$C$6,$D$6))</f>
        <v/>
      </c>
      <c r="L734" s="57">
        <f>MAX(0.02,NORMINV(RAND(),$C$7,$D$7))</f>
        <v/>
      </c>
      <c r="M734" s="57">
        <f>MIN(0.16,MAX(0.05,NORMINV(RAND(),$C$8,$D$8)))</f>
        <v/>
      </c>
      <c r="N734" s="59">
        <f>MIN(24,MAX(5,NORMINV(RAND(),$C$9,$D$9)))</f>
        <v/>
      </c>
      <c r="O734" s="65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57">
        <f>MAX(-0.05,NORMINV(RAND(),$C$6,$D$6))</f>
        <v/>
      </c>
      <c r="L735" s="57">
        <f>MAX(0.02,NORMINV(RAND(),$C$7,$D$7))</f>
        <v/>
      </c>
      <c r="M735" s="57">
        <f>MIN(0.16,MAX(0.05,NORMINV(RAND(),$C$8,$D$8)))</f>
        <v/>
      </c>
      <c r="N735" s="59">
        <f>MIN(24,MAX(5,NORMINV(RAND(),$C$9,$D$9)))</f>
        <v/>
      </c>
      <c r="O735" s="65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57">
        <f>MAX(-0.05,NORMINV(RAND(),$C$6,$D$6))</f>
        <v/>
      </c>
      <c r="L736" s="57">
        <f>MAX(0.02,NORMINV(RAND(),$C$7,$D$7))</f>
        <v/>
      </c>
      <c r="M736" s="57">
        <f>MIN(0.16,MAX(0.05,NORMINV(RAND(),$C$8,$D$8)))</f>
        <v/>
      </c>
      <c r="N736" s="59">
        <f>MIN(24,MAX(5,NORMINV(RAND(),$C$9,$D$9)))</f>
        <v/>
      </c>
      <c r="O736" s="65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57">
        <f>MAX(-0.05,NORMINV(RAND(),$C$6,$D$6))</f>
        <v/>
      </c>
      <c r="L737" s="57">
        <f>MAX(0.02,NORMINV(RAND(),$C$7,$D$7))</f>
        <v/>
      </c>
      <c r="M737" s="57">
        <f>MIN(0.16,MAX(0.05,NORMINV(RAND(),$C$8,$D$8)))</f>
        <v/>
      </c>
      <c r="N737" s="59">
        <f>MIN(24,MAX(5,NORMINV(RAND(),$C$9,$D$9)))</f>
        <v/>
      </c>
      <c r="O737" s="65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57">
        <f>MAX(-0.05,NORMINV(RAND(),$C$6,$D$6))</f>
        <v/>
      </c>
      <c r="L738" s="57">
        <f>MAX(0.02,NORMINV(RAND(),$C$7,$D$7))</f>
        <v/>
      </c>
      <c r="M738" s="57">
        <f>MIN(0.16,MAX(0.05,NORMINV(RAND(),$C$8,$D$8)))</f>
        <v/>
      </c>
      <c r="N738" s="59">
        <f>MIN(24,MAX(5,NORMINV(RAND(),$C$9,$D$9)))</f>
        <v/>
      </c>
      <c r="O738" s="65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57">
        <f>MAX(-0.05,NORMINV(RAND(),$C$6,$D$6))</f>
        <v/>
      </c>
      <c r="L739" s="57">
        <f>MAX(0.02,NORMINV(RAND(),$C$7,$D$7))</f>
        <v/>
      </c>
      <c r="M739" s="57">
        <f>MIN(0.16,MAX(0.05,NORMINV(RAND(),$C$8,$D$8)))</f>
        <v/>
      </c>
      <c r="N739" s="59">
        <f>MIN(24,MAX(5,NORMINV(RAND(),$C$9,$D$9)))</f>
        <v/>
      </c>
      <c r="O739" s="65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57">
        <f>MAX(-0.05,NORMINV(RAND(),$C$6,$D$6))</f>
        <v/>
      </c>
      <c r="L740" s="57">
        <f>MAX(0.02,NORMINV(RAND(),$C$7,$D$7))</f>
        <v/>
      </c>
      <c r="M740" s="57">
        <f>MIN(0.16,MAX(0.05,NORMINV(RAND(),$C$8,$D$8)))</f>
        <v/>
      </c>
      <c r="N740" s="59">
        <f>MIN(24,MAX(5,NORMINV(RAND(),$C$9,$D$9)))</f>
        <v/>
      </c>
      <c r="O740" s="65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57">
        <f>MAX(-0.05,NORMINV(RAND(),$C$6,$D$6))</f>
        <v/>
      </c>
      <c r="L741" s="57">
        <f>MAX(0.02,NORMINV(RAND(),$C$7,$D$7))</f>
        <v/>
      </c>
      <c r="M741" s="57">
        <f>MIN(0.16,MAX(0.05,NORMINV(RAND(),$C$8,$D$8)))</f>
        <v/>
      </c>
      <c r="N741" s="59">
        <f>MIN(24,MAX(5,NORMINV(RAND(),$C$9,$D$9)))</f>
        <v/>
      </c>
      <c r="O741" s="65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57">
        <f>MAX(-0.05,NORMINV(RAND(),$C$6,$D$6))</f>
        <v/>
      </c>
      <c r="L742" s="57">
        <f>MAX(0.02,NORMINV(RAND(),$C$7,$D$7))</f>
        <v/>
      </c>
      <c r="M742" s="57">
        <f>MIN(0.16,MAX(0.05,NORMINV(RAND(),$C$8,$D$8)))</f>
        <v/>
      </c>
      <c r="N742" s="59">
        <f>MIN(24,MAX(5,NORMINV(RAND(),$C$9,$D$9)))</f>
        <v/>
      </c>
      <c r="O742" s="65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57">
        <f>MAX(-0.05,NORMINV(RAND(),$C$6,$D$6))</f>
        <v/>
      </c>
      <c r="L743" s="57">
        <f>MAX(0.02,NORMINV(RAND(),$C$7,$D$7))</f>
        <v/>
      </c>
      <c r="M743" s="57">
        <f>MIN(0.16,MAX(0.05,NORMINV(RAND(),$C$8,$D$8)))</f>
        <v/>
      </c>
      <c r="N743" s="59">
        <f>MIN(24,MAX(5,NORMINV(RAND(),$C$9,$D$9)))</f>
        <v/>
      </c>
      <c r="O743" s="65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57">
        <f>MAX(-0.05,NORMINV(RAND(),$C$6,$D$6))</f>
        <v/>
      </c>
      <c r="L744" s="57">
        <f>MAX(0.02,NORMINV(RAND(),$C$7,$D$7))</f>
        <v/>
      </c>
      <c r="M744" s="57">
        <f>MIN(0.16,MAX(0.05,NORMINV(RAND(),$C$8,$D$8)))</f>
        <v/>
      </c>
      <c r="N744" s="59">
        <f>MIN(24,MAX(5,NORMINV(RAND(),$C$9,$D$9)))</f>
        <v/>
      </c>
      <c r="O744" s="65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57">
        <f>MAX(-0.05,NORMINV(RAND(),$C$6,$D$6))</f>
        <v/>
      </c>
      <c r="L745" s="57">
        <f>MAX(0.02,NORMINV(RAND(),$C$7,$D$7))</f>
        <v/>
      </c>
      <c r="M745" s="57">
        <f>MIN(0.16,MAX(0.05,NORMINV(RAND(),$C$8,$D$8)))</f>
        <v/>
      </c>
      <c r="N745" s="59">
        <f>MIN(24,MAX(5,NORMINV(RAND(),$C$9,$D$9)))</f>
        <v/>
      </c>
      <c r="O745" s="65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57">
        <f>MAX(-0.05,NORMINV(RAND(),$C$6,$D$6))</f>
        <v/>
      </c>
      <c r="L746" s="57">
        <f>MAX(0.02,NORMINV(RAND(),$C$7,$D$7))</f>
        <v/>
      </c>
      <c r="M746" s="57">
        <f>MIN(0.16,MAX(0.05,NORMINV(RAND(),$C$8,$D$8)))</f>
        <v/>
      </c>
      <c r="N746" s="59">
        <f>MIN(24,MAX(5,NORMINV(RAND(),$C$9,$D$9)))</f>
        <v/>
      </c>
      <c r="O746" s="65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57">
        <f>MAX(-0.05,NORMINV(RAND(),$C$6,$D$6))</f>
        <v/>
      </c>
      <c r="L747" s="57">
        <f>MAX(0.02,NORMINV(RAND(),$C$7,$D$7))</f>
        <v/>
      </c>
      <c r="M747" s="57">
        <f>MIN(0.16,MAX(0.05,NORMINV(RAND(),$C$8,$D$8)))</f>
        <v/>
      </c>
      <c r="N747" s="59">
        <f>MIN(24,MAX(5,NORMINV(RAND(),$C$9,$D$9)))</f>
        <v/>
      </c>
      <c r="O747" s="65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57">
        <f>MAX(-0.05,NORMINV(RAND(),$C$6,$D$6))</f>
        <v/>
      </c>
      <c r="L748" s="57">
        <f>MAX(0.02,NORMINV(RAND(),$C$7,$D$7))</f>
        <v/>
      </c>
      <c r="M748" s="57">
        <f>MIN(0.16,MAX(0.05,NORMINV(RAND(),$C$8,$D$8)))</f>
        <v/>
      </c>
      <c r="N748" s="59">
        <f>MIN(24,MAX(5,NORMINV(RAND(),$C$9,$D$9)))</f>
        <v/>
      </c>
      <c r="O748" s="65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57">
        <f>MAX(-0.05,NORMINV(RAND(),$C$6,$D$6))</f>
        <v/>
      </c>
      <c r="L749" s="57">
        <f>MAX(0.02,NORMINV(RAND(),$C$7,$D$7))</f>
        <v/>
      </c>
      <c r="M749" s="57">
        <f>MIN(0.16,MAX(0.05,NORMINV(RAND(),$C$8,$D$8)))</f>
        <v/>
      </c>
      <c r="N749" s="59">
        <f>MIN(24,MAX(5,NORMINV(RAND(),$C$9,$D$9)))</f>
        <v/>
      </c>
      <c r="O749" s="65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57">
        <f>MAX(-0.05,NORMINV(RAND(),$C$6,$D$6))</f>
        <v/>
      </c>
      <c r="L750" s="57">
        <f>MAX(0.02,NORMINV(RAND(),$C$7,$D$7))</f>
        <v/>
      </c>
      <c r="M750" s="57">
        <f>MIN(0.16,MAX(0.05,NORMINV(RAND(),$C$8,$D$8)))</f>
        <v/>
      </c>
      <c r="N750" s="59">
        <f>MIN(24,MAX(5,NORMINV(RAND(),$C$9,$D$9)))</f>
        <v/>
      </c>
      <c r="O750" s="65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57">
        <f>MAX(-0.05,NORMINV(RAND(),$C$6,$D$6))</f>
        <v/>
      </c>
      <c r="L751" s="57">
        <f>MAX(0.02,NORMINV(RAND(),$C$7,$D$7))</f>
        <v/>
      </c>
      <c r="M751" s="57">
        <f>MIN(0.16,MAX(0.05,NORMINV(RAND(),$C$8,$D$8)))</f>
        <v/>
      </c>
      <c r="N751" s="59">
        <f>MIN(24,MAX(5,NORMINV(RAND(),$C$9,$D$9)))</f>
        <v/>
      </c>
      <c r="O751" s="65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57">
        <f>MAX(-0.05,NORMINV(RAND(),$C$6,$D$6))</f>
        <v/>
      </c>
      <c r="L752" s="57">
        <f>MAX(0.02,NORMINV(RAND(),$C$7,$D$7))</f>
        <v/>
      </c>
      <c r="M752" s="57">
        <f>MIN(0.16,MAX(0.05,NORMINV(RAND(),$C$8,$D$8)))</f>
        <v/>
      </c>
      <c r="N752" s="59">
        <f>MIN(24,MAX(5,NORMINV(RAND(),$C$9,$D$9)))</f>
        <v/>
      </c>
      <c r="O752" s="65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57">
        <f>MAX(-0.05,NORMINV(RAND(),$C$6,$D$6))</f>
        <v/>
      </c>
      <c r="L753" s="57">
        <f>MAX(0.02,NORMINV(RAND(),$C$7,$D$7))</f>
        <v/>
      </c>
      <c r="M753" s="57">
        <f>MIN(0.16,MAX(0.05,NORMINV(RAND(),$C$8,$D$8)))</f>
        <v/>
      </c>
      <c r="N753" s="59">
        <f>MIN(24,MAX(5,NORMINV(RAND(),$C$9,$D$9)))</f>
        <v/>
      </c>
      <c r="O753" s="65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57">
        <f>MAX(-0.05,NORMINV(RAND(),$C$6,$D$6))</f>
        <v/>
      </c>
      <c r="L754" s="57">
        <f>MAX(0.02,NORMINV(RAND(),$C$7,$D$7))</f>
        <v/>
      </c>
      <c r="M754" s="57">
        <f>MIN(0.16,MAX(0.05,NORMINV(RAND(),$C$8,$D$8)))</f>
        <v/>
      </c>
      <c r="N754" s="59">
        <f>MIN(24,MAX(5,NORMINV(RAND(),$C$9,$D$9)))</f>
        <v/>
      </c>
      <c r="O754" s="65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57">
        <f>MAX(-0.05,NORMINV(RAND(),$C$6,$D$6))</f>
        <v/>
      </c>
      <c r="L755" s="57">
        <f>MAX(0.02,NORMINV(RAND(),$C$7,$D$7))</f>
        <v/>
      </c>
      <c r="M755" s="57">
        <f>MIN(0.16,MAX(0.05,NORMINV(RAND(),$C$8,$D$8)))</f>
        <v/>
      </c>
      <c r="N755" s="59">
        <f>MIN(24,MAX(5,NORMINV(RAND(),$C$9,$D$9)))</f>
        <v/>
      </c>
      <c r="O755" s="65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57">
        <f>MAX(-0.05,NORMINV(RAND(),$C$6,$D$6))</f>
        <v/>
      </c>
      <c r="L756" s="57">
        <f>MAX(0.02,NORMINV(RAND(),$C$7,$D$7))</f>
        <v/>
      </c>
      <c r="M756" s="57">
        <f>MIN(0.16,MAX(0.05,NORMINV(RAND(),$C$8,$D$8)))</f>
        <v/>
      </c>
      <c r="N756" s="59">
        <f>MIN(24,MAX(5,NORMINV(RAND(),$C$9,$D$9)))</f>
        <v/>
      </c>
      <c r="O756" s="65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57">
        <f>MAX(-0.05,NORMINV(RAND(),$C$6,$D$6))</f>
        <v/>
      </c>
      <c r="L757" s="57">
        <f>MAX(0.02,NORMINV(RAND(),$C$7,$D$7))</f>
        <v/>
      </c>
      <c r="M757" s="57">
        <f>MIN(0.16,MAX(0.05,NORMINV(RAND(),$C$8,$D$8)))</f>
        <v/>
      </c>
      <c r="N757" s="59">
        <f>MIN(24,MAX(5,NORMINV(RAND(),$C$9,$D$9)))</f>
        <v/>
      </c>
      <c r="O757" s="65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57">
        <f>MAX(-0.05,NORMINV(RAND(),$C$6,$D$6))</f>
        <v/>
      </c>
      <c r="L758" s="57">
        <f>MAX(0.02,NORMINV(RAND(),$C$7,$D$7))</f>
        <v/>
      </c>
      <c r="M758" s="57">
        <f>MIN(0.16,MAX(0.05,NORMINV(RAND(),$C$8,$D$8)))</f>
        <v/>
      </c>
      <c r="N758" s="59">
        <f>MIN(24,MAX(5,NORMINV(RAND(),$C$9,$D$9)))</f>
        <v/>
      </c>
      <c r="O758" s="65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57">
        <f>MAX(-0.05,NORMINV(RAND(),$C$6,$D$6))</f>
        <v/>
      </c>
      <c r="L759" s="57">
        <f>MAX(0.02,NORMINV(RAND(),$C$7,$D$7))</f>
        <v/>
      </c>
      <c r="M759" s="57">
        <f>MIN(0.16,MAX(0.05,NORMINV(RAND(),$C$8,$D$8)))</f>
        <v/>
      </c>
      <c r="N759" s="59">
        <f>MIN(24,MAX(5,NORMINV(RAND(),$C$9,$D$9)))</f>
        <v/>
      </c>
      <c r="O759" s="65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57">
        <f>MAX(-0.05,NORMINV(RAND(),$C$6,$D$6))</f>
        <v/>
      </c>
      <c r="L760" s="57">
        <f>MAX(0.02,NORMINV(RAND(),$C$7,$D$7))</f>
        <v/>
      </c>
      <c r="M760" s="57">
        <f>MIN(0.16,MAX(0.05,NORMINV(RAND(),$C$8,$D$8)))</f>
        <v/>
      </c>
      <c r="N760" s="59">
        <f>MIN(24,MAX(5,NORMINV(RAND(),$C$9,$D$9)))</f>
        <v/>
      </c>
      <c r="O760" s="65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57">
        <f>MAX(-0.05,NORMINV(RAND(),$C$6,$D$6))</f>
        <v/>
      </c>
      <c r="L761" s="57">
        <f>MAX(0.02,NORMINV(RAND(),$C$7,$D$7))</f>
        <v/>
      </c>
      <c r="M761" s="57">
        <f>MIN(0.16,MAX(0.05,NORMINV(RAND(),$C$8,$D$8)))</f>
        <v/>
      </c>
      <c r="N761" s="59">
        <f>MIN(24,MAX(5,NORMINV(RAND(),$C$9,$D$9)))</f>
        <v/>
      </c>
      <c r="O761" s="65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57">
        <f>MAX(-0.05,NORMINV(RAND(),$C$6,$D$6))</f>
        <v/>
      </c>
      <c r="L762" s="57">
        <f>MAX(0.02,NORMINV(RAND(),$C$7,$D$7))</f>
        <v/>
      </c>
      <c r="M762" s="57">
        <f>MIN(0.16,MAX(0.05,NORMINV(RAND(),$C$8,$D$8)))</f>
        <v/>
      </c>
      <c r="N762" s="59">
        <f>MIN(24,MAX(5,NORMINV(RAND(),$C$9,$D$9)))</f>
        <v/>
      </c>
      <c r="O762" s="65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57">
        <f>MAX(-0.05,NORMINV(RAND(),$C$6,$D$6))</f>
        <v/>
      </c>
      <c r="L763" s="57">
        <f>MAX(0.02,NORMINV(RAND(),$C$7,$D$7))</f>
        <v/>
      </c>
      <c r="M763" s="57">
        <f>MIN(0.16,MAX(0.05,NORMINV(RAND(),$C$8,$D$8)))</f>
        <v/>
      </c>
      <c r="N763" s="59">
        <f>MIN(24,MAX(5,NORMINV(RAND(),$C$9,$D$9)))</f>
        <v/>
      </c>
      <c r="O763" s="65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57">
        <f>MAX(-0.05,NORMINV(RAND(),$C$6,$D$6))</f>
        <v/>
      </c>
      <c r="L764" s="57">
        <f>MAX(0.02,NORMINV(RAND(),$C$7,$D$7))</f>
        <v/>
      </c>
      <c r="M764" s="57">
        <f>MIN(0.16,MAX(0.05,NORMINV(RAND(),$C$8,$D$8)))</f>
        <v/>
      </c>
      <c r="N764" s="59">
        <f>MIN(24,MAX(5,NORMINV(RAND(),$C$9,$D$9)))</f>
        <v/>
      </c>
      <c r="O764" s="65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57">
        <f>MAX(-0.05,NORMINV(RAND(),$C$6,$D$6))</f>
        <v/>
      </c>
      <c r="L765" s="57">
        <f>MAX(0.02,NORMINV(RAND(),$C$7,$D$7))</f>
        <v/>
      </c>
      <c r="M765" s="57">
        <f>MIN(0.16,MAX(0.05,NORMINV(RAND(),$C$8,$D$8)))</f>
        <v/>
      </c>
      <c r="N765" s="59">
        <f>MIN(24,MAX(5,NORMINV(RAND(),$C$9,$D$9)))</f>
        <v/>
      </c>
      <c r="O765" s="65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57">
        <f>MAX(-0.05,NORMINV(RAND(),$C$6,$D$6))</f>
        <v/>
      </c>
      <c r="L766" s="57">
        <f>MAX(0.02,NORMINV(RAND(),$C$7,$D$7))</f>
        <v/>
      </c>
      <c r="M766" s="57">
        <f>MIN(0.16,MAX(0.05,NORMINV(RAND(),$C$8,$D$8)))</f>
        <v/>
      </c>
      <c r="N766" s="59">
        <f>MIN(24,MAX(5,NORMINV(RAND(),$C$9,$D$9)))</f>
        <v/>
      </c>
      <c r="O766" s="65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57">
        <f>MAX(-0.05,NORMINV(RAND(),$C$6,$D$6))</f>
        <v/>
      </c>
      <c r="L767" s="57">
        <f>MAX(0.02,NORMINV(RAND(),$C$7,$D$7))</f>
        <v/>
      </c>
      <c r="M767" s="57">
        <f>MIN(0.16,MAX(0.05,NORMINV(RAND(),$C$8,$D$8)))</f>
        <v/>
      </c>
      <c r="N767" s="59">
        <f>MIN(24,MAX(5,NORMINV(RAND(),$C$9,$D$9)))</f>
        <v/>
      </c>
      <c r="O767" s="65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57">
        <f>MAX(-0.05,NORMINV(RAND(),$C$6,$D$6))</f>
        <v/>
      </c>
      <c r="L768" s="57">
        <f>MAX(0.02,NORMINV(RAND(),$C$7,$D$7))</f>
        <v/>
      </c>
      <c r="M768" s="57">
        <f>MIN(0.16,MAX(0.05,NORMINV(RAND(),$C$8,$D$8)))</f>
        <v/>
      </c>
      <c r="N768" s="59">
        <f>MIN(24,MAX(5,NORMINV(RAND(),$C$9,$D$9)))</f>
        <v/>
      </c>
      <c r="O768" s="65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57">
        <f>MAX(-0.05,NORMINV(RAND(),$C$6,$D$6))</f>
        <v/>
      </c>
      <c r="L769" s="57">
        <f>MAX(0.02,NORMINV(RAND(),$C$7,$D$7))</f>
        <v/>
      </c>
      <c r="M769" s="57">
        <f>MIN(0.16,MAX(0.05,NORMINV(RAND(),$C$8,$D$8)))</f>
        <v/>
      </c>
      <c r="N769" s="59">
        <f>MIN(24,MAX(5,NORMINV(RAND(),$C$9,$D$9)))</f>
        <v/>
      </c>
      <c r="O769" s="65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57">
        <f>MAX(-0.05,NORMINV(RAND(),$C$6,$D$6))</f>
        <v/>
      </c>
      <c r="L770" s="57">
        <f>MAX(0.02,NORMINV(RAND(),$C$7,$D$7))</f>
        <v/>
      </c>
      <c r="M770" s="57">
        <f>MIN(0.16,MAX(0.05,NORMINV(RAND(),$C$8,$D$8)))</f>
        <v/>
      </c>
      <c r="N770" s="59">
        <f>MIN(24,MAX(5,NORMINV(RAND(),$C$9,$D$9)))</f>
        <v/>
      </c>
      <c r="O770" s="65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57">
        <f>MAX(-0.05,NORMINV(RAND(),$C$6,$D$6))</f>
        <v/>
      </c>
      <c r="L771" s="57">
        <f>MAX(0.02,NORMINV(RAND(),$C$7,$D$7))</f>
        <v/>
      </c>
      <c r="M771" s="57">
        <f>MIN(0.16,MAX(0.05,NORMINV(RAND(),$C$8,$D$8)))</f>
        <v/>
      </c>
      <c r="N771" s="59">
        <f>MIN(24,MAX(5,NORMINV(RAND(),$C$9,$D$9)))</f>
        <v/>
      </c>
      <c r="O771" s="65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57">
        <f>MAX(-0.05,NORMINV(RAND(),$C$6,$D$6))</f>
        <v/>
      </c>
      <c r="L772" s="57">
        <f>MAX(0.02,NORMINV(RAND(),$C$7,$D$7))</f>
        <v/>
      </c>
      <c r="M772" s="57">
        <f>MIN(0.16,MAX(0.05,NORMINV(RAND(),$C$8,$D$8)))</f>
        <v/>
      </c>
      <c r="N772" s="59">
        <f>MIN(24,MAX(5,NORMINV(RAND(),$C$9,$D$9)))</f>
        <v/>
      </c>
      <c r="O772" s="65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57">
        <f>MAX(-0.05,NORMINV(RAND(),$C$6,$D$6))</f>
        <v/>
      </c>
      <c r="L773" s="57">
        <f>MAX(0.02,NORMINV(RAND(),$C$7,$D$7))</f>
        <v/>
      </c>
      <c r="M773" s="57">
        <f>MIN(0.16,MAX(0.05,NORMINV(RAND(),$C$8,$D$8)))</f>
        <v/>
      </c>
      <c r="N773" s="59">
        <f>MIN(24,MAX(5,NORMINV(RAND(),$C$9,$D$9)))</f>
        <v/>
      </c>
      <c r="O773" s="65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57">
        <f>MAX(-0.05,NORMINV(RAND(),$C$6,$D$6))</f>
        <v/>
      </c>
      <c r="L774" s="57">
        <f>MAX(0.02,NORMINV(RAND(),$C$7,$D$7))</f>
        <v/>
      </c>
      <c r="M774" s="57">
        <f>MIN(0.16,MAX(0.05,NORMINV(RAND(),$C$8,$D$8)))</f>
        <v/>
      </c>
      <c r="N774" s="59">
        <f>MIN(24,MAX(5,NORMINV(RAND(),$C$9,$D$9)))</f>
        <v/>
      </c>
      <c r="O774" s="65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57">
        <f>MAX(-0.05,NORMINV(RAND(),$C$6,$D$6))</f>
        <v/>
      </c>
      <c r="L775" s="57">
        <f>MAX(0.02,NORMINV(RAND(),$C$7,$D$7))</f>
        <v/>
      </c>
      <c r="M775" s="57">
        <f>MIN(0.16,MAX(0.05,NORMINV(RAND(),$C$8,$D$8)))</f>
        <v/>
      </c>
      <c r="N775" s="59">
        <f>MIN(24,MAX(5,NORMINV(RAND(),$C$9,$D$9)))</f>
        <v/>
      </c>
      <c r="O775" s="65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57">
        <f>MAX(-0.05,NORMINV(RAND(),$C$6,$D$6))</f>
        <v/>
      </c>
      <c r="L776" s="57">
        <f>MAX(0.02,NORMINV(RAND(),$C$7,$D$7))</f>
        <v/>
      </c>
      <c r="M776" s="57">
        <f>MIN(0.16,MAX(0.05,NORMINV(RAND(),$C$8,$D$8)))</f>
        <v/>
      </c>
      <c r="N776" s="59">
        <f>MIN(24,MAX(5,NORMINV(RAND(),$C$9,$D$9)))</f>
        <v/>
      </c>
      <c r="O776" s="65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57">
        <f>MAX(-0.05,NORMINV(RAND(),$C$6,$D$6))</f>
        <v/>
      </c>
      <c r="L777" s="57">
        <f>MAX(0.02,NORMINV(RAND(),$C$7,$D$7))</f>
        <v/>
      </c>
      <c r="M777" s="57">
        <f>MIN(0.16,MAX(0.05,NORMINV(RAND(),$C$8,$D$8)))</f>
        <v/>
      </c>
      <c r="N777" s="59">
        <f>MIN(24,MAX(5,NORMINV(RAND(),$C$9,$D$9)))</f>
        <v/>
      </c>
      <c r="O777" s="65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57">
        <f>MAX(-0.05,NORMINV(RAND(),$C$6,$D$6))</f>
        <v/>
      </c>
      <c r="L778" s="57">
        <f>MAX(0.02,NORMINV(RAND(),$C$7,$D$7))</f>
        <v/>
      </c>
      <c r="M778" s="57">
        <f>MIN(0.16,MAX(0.05,NORMINV(RAND(),$C$8,$D$8)))</f>
        <v/>
      </c>
      <c r="N778" s="59">
        <f>MIN(24,MAX(5,NORMINV(RAND(),$C$9,$D$9)))</f>
        <v/>
      </c>
      <c r="O778" s="65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57">
        <f>MAX(-0.05,NORMINV(RAND(),$C$6,$D$6))</f>
        <v/>
      </c>
      <c r="L779" s="57">
        <f>MAX(0.02,NORMINV(RAND(),$C$7,$D$7))</f>
        <v/>
      </c>
      <c r="M779" s="57">
        <f>MIN(0.16,MAX(0.05,NORMINV(RAND(),$C$8,$D$8)))</f>
        <v/>
      </c>
      <c r="N779" s="59">
        <f>MIN(24,MAX(5,NORMINV(RAND(),$C$9,$D$9)))</f>
        <v/>
      </c>
      <c r="O779" s="65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57">
        <f>MAX(-0.05,NORMINV(RAND(),$C$6,$D$6))</f>
        <v/>
      </c>
      <c r="L780" s="57">
        <f>MAX(0.02,NORMINV(RAND(),$C$7,$D$7))</f>
        <v/>
      </c>
      <c r="M780" s="57">
        <f>MIN(0.16,MAX(0.05,NORMINV(RAND(),$C$8,$D$8)))</f>
        <v/>
      </c>
      <c r="N780" s="59">
        <f>MIN(24,MAX(5,NORMINV(RAND(),$C$9,$D$9)))</f>
        <v/>
      </c>
      <c r="O780" s="65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57">
        <f>MAX(-0.05,NORMINV(RAND(),$C$6,$D$6))</f>
        <v/>
      </c>
      <c r="L781" s="57">
        <f>MAX(0.02,NORMINV(RAND(),$C$7,$D$7))</f>
        <v/>
      </c>
      <c r="M781" s="57">
        <f>MIN(0.16,MAX(0.05,NORMINV(RAND(),$C$8,$D$8)))</f>
        <v/>
      </c>
      <c r="N781" s="59">
        <f>MIN(24,MAX(5,NORMINV(RAND(),$C$9,$D$9)))</f>
        <v/>
      </c>
      <c r="O781" s="65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57">
        <f>MAX(-0.05,NORMINV(RAND(),$C$6,$D$6))</f>
        <v/>
      </c>
      <c r="L782" s="57">
        <f>MAX(0.02,NORMINV(RAND(),$C$7,$D$7))</f>
        <v/>
      </c>
      <c r="M782" s="57">
        <f>MIN(0.16,MAX(0.05,NORMINV(RAND(),$C$8,$D$8)))</f>
        <v/>
      </c>
      <c r="N782" s="59">
        <f>MIN(24,MAX(5,NORMINV(RAND(),$C$9,$D$9)))</f>
        <v/>
      </c>
      <c r="O782" s="65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57">
        <f>MAX(-0.05,NORMINV(RAND(),$C$6,$D$6))</f>
        <v/>
      </c>
      <c r="L783" s="57">
        <f>MAX(0.02,NORMINV(RAND(),$C$7,$D$7))</f>
        <v/>
      </c>
      <c r="M783" s="57">
        <f>MIN(0.16,MAX(0.05,NORMINV(RAND(),$C$8,$D$8)))</f>
        <v/>
      </c>
      <c r="N783" s="59">
        <f>MIN(24,MAX(5,NORMINV(RAND(),$C$9,$D$9)))</f>
        <v/>
      </c>
      <c r="O783" s="65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57">
        <f>MAX(-0.05,NORMINV(RAND(),$C$6,$D$6))</f>
        <v/>
      </c>
      <c r="L784" s="57">
        <f>MAX(0.02,NORMINV(RAND(),$C$7,$D$7))</f>
        <v/>
      </c>
      <c r="M784" s="57">
        <f>MIN(0.16,MAX(0.05,NORMINV(RAND(),$C$8,$D$8)))</f>
        <v/>
      </c>
      <c r="N784" s="59">
        <f>MIN(24,MAX(5,NORMINV(RAND(),$C$9,$D$9)))</f>
        <v/>
      </c>
      <c r="O784" s="65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57">
        <f>MAX(-0.05,NORMINV(RAND(),$C$6,$D$6))</f>
        <v/>
      </c>
      <c r="L785" s="57">
        <f>MAX(0.02,NORMINV(RAND(),$C$7,$D$7))</f>
        <v/>
      </c>
      <c r="M785" s="57">
        <f>MIN(0.16,MAX(0.05,NORMINV(RAND(),$C$8,$D$8)))</f>
        <v/>
      </c>
      <c r="N785" s="59">
        <f>MIN(24,MAX(5,NORMINV(RAND(),$C$9,$D$9)))</f>
        <v/>
      </c>
      <c r="O785" s="65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57">
        <f>MAX(-0.05,NORMINV(RAND(),$C$6,$D$6))</f>
        <v/>
      </c>
      <c r="L786" s="57">
        <f>MAX(0.02,NORMINV(RAND(),$C$7,$D$7))</f>
        <v/>
      </c>
      <c r="M786" s="57">
        <f>MIN(0.16,MAX(0.05,NORMINV(RAND(),$C$8,$D$8)))</f>
        <v/>
      </c>
      <c r="N786" s="59">
        <f>MIN(24,MAX(5,NORMINV(RAND(),$C$9,$D$9)))</f>
        <v/>
      </c>
      <c r="O786" s="65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57">
        <f>MAX(-0.05,NORMINV(RAND(),$C$6,$D$6))</f>
        <v/>
      </c>
      <c r="L787" s="57">
        <f>MAX(0.02,NORMINV(RAND(),$C$7,$D$7))</f>
        <v/>
      </c>
      <c r="M787" s="57">
        <f>MIN(0.16,MAX(0.05,NORMINV(RAND(),$C$8,$D$8)))</f>
        <v/>
      </c>
      <c r="N787" s="59">
        <f>MIN(24,MAX(5,NORMINV(RAND(),$C$9,$D$9)))</f>
        <v/>
      </c>
      <c r="O787" s="65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57">
        <f>MAX(-0.05,NORMINV(RAND(),$C$6,$D$6))</f>
        <v/>
      </c>
      <c r="L788" s="57">
        <f>MAX(0.02,NORMINV(RAND(),$C$7,$D$7))</f>
        <v/>
      </c>
      <c r="M788" s="57">
        <f>MIN(0.16,MAX(0.05,NORMINV(RAND(),$C$8,$D$8)))</f>
        <v/>
      </c>
      <c r="N788" s="59">
        <f>MIN(24,MAX(5,NORMINV(RAND(),$C$9,$D$9)))</f>
        <v/>
      </c>
      <c r="O788" s="65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57">
        <f>MAX(-0.05,NORMINV(RAND(),$C$6,$D$6))</f>
        <v/>
      </c>
      <c r="L789" s="57">
        <f>MAX(0.02,NORMINV(RAND(),$C$7,$D$7))</f>
        <v/>
      </c>
      <c r="M789" s="57">
        <f>MIN(0.16,MAX(0.05,NORMINV(RAND(),$C$8,$D$8)))</f>
        <v/>
      </c>
      <c r="N789" s="59">
        <f>MIN(24,MAX(5,NORMINV(RAND(),$C$9,$D$9)))</f>
        <v/>
      </c>
      <c r="O789" s="65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57">
        <f>MAX(-0.05,NORMINV(RAND(),$C$6,$D$6))</f>
        <v/>
      </c>
      <c r="L790" s="57">
        <f>MAX(0.02,NORMINV(RAND(),$C$7,$D$7))</f>
        <v/>
      </c>
      <c r="M790" s="57">
        <f>MIN(0.16,MAX(0.05,NORMINV(RAND(),$C$8,$D$8)))</f>
        <v/>
      </c>
      <c r="N790" s="59">
        <f>MIN(24,MAX(5,NORMINV(RAND(),$C$9,$D$9)))</f>
        <v/>
      </c>
      <c r="O790" s="65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57">
        <f>MAX(-0.05,NORMINV(RAND(),$C$6,$D$6))</f>
        <v/>
      </c>
      <c r="L791" s="57">
        <f>MAX(0.02,NORMINV(RAND(),$C$7,$D$7))</f>
        <v/>
      </c>
      <c r="M791" s="57">
        <f>MIN(0.16,MAX(0.05,NORMINV(RAND(),$C$8,$D$8)))</f>
        <v/>
      </c>
      <c r="N791" s="59">
        <f>MIN(24,MAX(5,NORMINV(RAND(),$C$9,$D$9)))</f>
        <v/>
      </c>
      <c r="O791" s="65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57">
        <f>MAX(-0.05,NORMINV(RAND(),$C$6,$D$6))</f>
        <v/>
      </c>
      <c r="L792" s="57">
        <f>MAX(0.02,NORMINV(RAND(),$C$7,$D$7))</f>
        <v/>
      </c>
      <c r="M792" s="57">
        <f>MIN(0.16,MAX(0.05,NORMINV(RAND(),$C$8,$D$8)))</f>
        <v/>
      </c>
      <c r="N792" s="59">
        <f>MIN(24,MAX(5,NORMINV(RAND(),$C$9,$D$9)))</f>
        <v/>
      </c>
      <c r="O792" s="65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57">
        <f>MAX(-0.05,NORMINV(RAND(),$C$6,$D$6))</f>
        <v/>
      </c>
      <c r="L793" s="57">
        <f>MAX(0.02,NORMINV(RAND(),$C$7,$D$7))</f>
        <v/>
      </c>
      <c r="M793" s="57">
        <f>MIN(0.16,MAX(0.05,NORMINV(RAND(),$C$8,$D$8)))</f>
        <v/>
      </c>
      <c r="N793" s="59">
        <f>MIN(24,MAX(5,NORMINV(RAND(),$C$9,$D$9)))</f>
        <v/>
      </c>
      <c r="O793" s="65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57">
        <f>MAX(-0.05,NORMINV(RAND(),$C$6,$D$6))</f>
        <v/>
      </c>
      <c r="L794" s="57">
        <f>MAX(0.02,NORMINV(RAND(),$C$7,$D$7))</f>
        <v/>
      </c>
      <c r="M794" s="57">
        <f>MIN(0.16,MAX(0.05,NORMINV(RAND(),$C$8,$D$8)))</f>
        <v/>
      </c>
      <c r="N794" s="59">
        <f>MIN(24,MAX(5,NORMINV(RAND(),$C$9,$D$9)))</f>
        <v/>
      </c>
      <c r="O794" s="65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57">
        <f>MAX(-0.05,NORMINV(RAND(),$C$6,$D$6))</f>
        <v/>
      </c>
      <c r="L795" s="57">
        <f>MAX(0.02,NORMINV(RAND(),$C$7,$D$7))</f>
        <v/>
      </c>
      <c r="M795" s="57">
        <f>MIN(0.16,MAX(0.05,NORMINV(RAND(),$C$8,$D$8)))</f>
        <v/>
      </c>
      <c r="N795" s="59">
        <f>MIN(24,MAX(5,NORMINV(RAND(),$C$9,$D$9)))</f>
        <v/>
      </c>
      <c r="O795" s="65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57">
        <f>MAX(-0.05,NORMINV(RAND(),$C$6,$D$6))</f>
        <v/>
      </c>
      <c r="L796" s="57">
        <f>MAX(0.02,NORMINV(RAND(),$C$7,$D$7))</f>
        <v/>
      </c>
      <c r="M796" s="57">
        <f>MIN(0.16,MAX(0.05,NORMINV(RAND(),$C$8,$D$8)))</f>
        <v/>
      </c>
      <c r="N796" s="59">
        <f>MIN(24,MAX(5,NORMINV(RAND(),$C$9,$D$9)))</f>
        <v/>
      </c>
      <c r="O796" s="65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57">
        <f>MAX(-0.05,NORMINV(RAND(),$C$6,$D$6))</f>
        <v/>
      </c>
      <c r="L797" s="57">
        <f>MAX(0.02,NORMINV(RAND(),$C$7,$D$7))</f>
        <v/>
      </c>
      <c r="M797" s="57">
        <f>MIN(0.16,MAX(0.05,NORMINV(RAND(),$C$8,$D$8)))</f>
        <v/>
      </c>
      <c r="N797" s="59">
        <f>MIN(24,MAX(5,NORMINV(RAND(),$C$9,$D$9)))</f>
        <v/>
      </c>
      <c r="O797" s="65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57">
        <f>MAX(-0.05,NORMINV(RAND(),$C$6,$D$6))</f>
        <v/>
      </c>
      <c r="L798" s="57">
        <f>MAX(0.02,NORMINV(RAND(),$C$7,$D$7))</f>
        <v/>
      </c>
      <c r="M798" s="57">
        <f>MIN(0.16,MAX(0.05,NORMINV(RAND(),$C$8,$D$8)))</f>
        <v/>
      </c>
      <c r="N798" s="59">
        <f>MIN(24,MAX(5,NORMINV(RAND(),$C$9,$D$9)))</f>
        <v/>
      </c>
      <c r="O798" s="65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57">
        <f>MAX(-0.05,NORMINV(RAND(),$C$6,$D$6))</f>
        <v/>
      </c>
      <c r="L799" s="57">
        <f>MAX(0.02,NORMINV(RAND(),$C$7,$D$7))</f>
        <v/>
      </c>
      <c r="M799" s="57">
        <f>MIN(0.16,MAX(0.05,NORMINV(RAND(),$C$8,$D$8)))</f>
        <v/>
      </c>
      <c r="N799" s="59">
        <f>MIN(24,MAX(5,NORMINV(RAND(),$C$9,$D$9)))</f>
        <v/>
      </c>
      <c r="O799" s="65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57">
        <f>MAX(-0.05,NORMINV(RAND(),$C$6,$D$6))</f>
        <v/>
      </c>
      <c r="L800" s="57">
        <f>MAX(0.02,NORMINV(RAND(),$C$7,$D$7))</f>
        <v/>
      </c>
      <c r="M800" s="57">
        <f>MIN(0.16,MAX(0.05,NORMINV(RAND(),$C$8,$D$8)))</f>
        <v/>
      </c>
      <c r="N800" s="59">
        <f>MIN(24,MAX(5,NORMINV(RAND(),$C$9,$D$9)))</f>
        <v/>
      </c>
      <c r="O800" s="65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57">
        <f>MAX(-0.05,NORMINV(RAND(),$C$6,$D$6))</f>
        <v/>
      </c>
      <c r="L801" s="57">
        <f>MAX(0.02,NORMINV(RAND(),$C$7,$D$7))</f>
        <v/>
      </c>
      <c r="M801" s="57">
        <f>MIN(0.16,MAX(0.05,NORMINV(RAND(),$C$8,$D$8)))</f>
        <v/>
      </c>
      <c r="N801" s="59">
        <f>MIN(24,MAX(5,NORMINV(RAND(),$C$9,$D$9)))</f>
        <v/>
      </c>
      <c r="O801" s="65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57">
        <f>MAX(-0.05,NORMINV(RAND(),$C$6,$D$6))</f>
        <v/>
      </c>
      <c r="L802" s="57">
        <f>MAX(0.02,NORMINV(RAND(),$C$7,$D$7))</f>
        <v/>
      </c>
      <c r="M802" s="57">
        <f>MIN(0.16,MAX(0.05,NORMINV(RAND(),$C$8,$D$8)))</f>
        <v/>
      </c>
      <c r="N802" s="59">
        <f>MIN(24,MAX(5,NORMINV(RAND(),$C$9,$D$9)))</f>
        <v/>
      </c>
      <c r="O802" s="65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57">
        <f>MAX(-0.05,NORMINV(RAND(),$C$6,$D$6))</f>
        <v/>
      </c>
      <c r="L803" s="57">
        <f>MAX(0.02,NORMINV(RAND(),$C$7,$D$7))</f>
        <v/>
      </c>
      <c r="M803" s="57">
        <f>MIN(0.16,MAX(0.05,NORMINV(RAND(),$C$8,$D$8)))</f>
        <v/>
      </c>
      <c r="N803" s="59">
        <f>MIN(24,MAX(5,NORMINV(RAND(),$C$9,$D$9)))</f>
        <v/>
      </c>
      <c r="O803" s="65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57">
        <f>MAX(-0.05,NORMINV(RAND(),$C$6,$D$6))</f>
        <v/>
      </c>
      <c r="L804" s="57">
        <f>MAX(0.02,NORMINV(RAND(),$C$7,$D$7))</f>
        <v/>
      </c>
      <c r="M804" s="57">
        <f>MIN(0.16,MAX(0.05,NORMINV(RAND(),$C$8,$D$8)))</f>
        <v/>
      </c>
      <c r="N804" s="59">
        <f>MIN(24,MAX(5,NORMINV(RAND(),$C$9,$D$9)))</f>
        <v/>
      </c>
      <c r="O804" s="65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57">
        <f>MAX(-0.05,NORMINV(RAND(),$C$6,$D$6))</f>
        <v/>
      </c>
      <c r="L805" s="57">
        <f>MAX(0.02,NORMINV(RAND(),$C$7,$D$7))</f>
        <v/>
      </c>
      <c r="M805" s="57">
        <f>MIN(0.16,MAX(0.05,NORMINV(RAND(),$C$8,$D$8)))</f>
        <v/>
      </c>
      <c r="N805" s="59">
        <f>MIN(24,MAX(5,NORMINV(RAND(),$C$9,$D$9)))</f>
        <v/>
      </c>
      <c r="O805" s="65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57">
        <f>MAX(-0.05,NORMINV(RAND(),$C$6,$D$6))</f>
        <v/>
      </c>
      <c r="L806" s="57">
        <f>MAX(0.02,NORMINV(RAND(),$C$7,$D$7))</f>
        <v/>
      </c>
      <c r="M806" s="57">
        <f>MIN(0.16,MAX(0.05,NORMINV(RAND(),$C$8,$D$8)))</f>
        <v/>
      </c>
      <c r="N806" s="59">
        <f>MIN(24,MAX(5,NORMINV(RAND(),$C$9,$D$9)))</f>
        <v/>
      </c>
      <c r="O806" s="65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57">
        <f>MAX(-0.05,NORMINV(RAND(),$C$6,$D$6))</f>
        <v/>
      </c>
      <c r="L807" s="57">
        <f>MAX(0.02,NORMINV(RAND(),$C$7,$D$7))</f>
        <v/>
      </c>
      <c r="M807" s="57">
        <f>MIN(0.16,MAX(0.05,NORMINV(RAND(),$C$8,$D$8)))</f>
        <v/>
      </c>
      <c r="N807" s="59">
        <f>MIN(24,MAX(5,NORMINV(RAND(),$C$9,$D$9)))</f>
        <v/>
      </c>
      <c r="O807" s="65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57">
        <f>MAX(-0.05,NORMINV(RAND(),$C$6,$D$6))</f>
        <v/>
      </c>
      <c r="L808" s="57">
        <f>MAX(0.02,NORMINV(RAND(),$C$7,$D$7))</f>
        <v/>
      </c>
      <c r="M808" s="57">
        <f>MIN(0.16,MAX(0.05,NORMINV(RAND(),$C$8,$D$8)))</f>
        <v/>
      </c>
      <c r="N808" s="59">
        <f>MIN(24,MAX(5,NORMINV(RAND(),$C$9,$D$9)))</f>
        <v/>
      </c>
      <c r="O808" s="65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57">
        <f>MAX(-0.05,NORMINV(RAND(),$C$6,$D$6))</f>
        <v/>
      </c>
      <c r="L809" s="57">
        <f>MAX(0.02,NORMINV(RAND(),$C$7,$D$7))</f>
        <v/>
      </c>
      <c r="M809" s="57">
        <f>MIN(0.16,MAX(0.05,NORMINV(RAND(),$C$8,$D$8)))</f>
        <v/>
      </c>
      <c r="N809" s="59">
        <f>MIN(24,MAX(5,NORMINV(RAND(),$C$9,$D$9)))</f>
        <v/>
      </c>
      <c r="O809" s="65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57">
        <f>MAX(-0.05,NORMINV(RAND(),$C$6,$D$6))</f>
        <v/>
      </c>
      <c r="L810" s="57">
        <f>MAX(0.02,NORMINV(RAND(),$C$7,$D$7))</f>
        <v/>
      </c>
      <c r="M810" s="57">
        <f>MIN(0.16,MAX(0.05,NORMINV(RAND(),$C$8,$D$8)))</f>
        <v/>
      </c>
      <c r="N810" s="59">
        <f>MIN(24,MAX(5,NORMINV(RAND(),$C$9,$D$9)))</f>
        <v/>
      </c>
      <c r="O810" s="65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57">
        <f>MAX(-0.05,NORMINV(RAND(),$C$6,$D$6))</f>
        <v/>
      </c>
      <c r="L811" s="57">
        <f>MAX(0.02,NORMINV(RAND(),$C$7,$D$7))</f>
        <v/>
      </c>
      <c r="M811" s="57">
        <f>MIN(0.16,MAX(0.05,NORMINV(RAND(),$C$8,$D$8)))</f>
        <v/>
      </c>
      <c r="N811" s="59">
        <f>MIN(24,MAX(5,NORMINV(RAND(),$C$9,$D$9)))</f>
        <v/>
      </c>
      <c r="O811" s="65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57">
        <f>MAX(-0.05,NORMINV(RAND(),$C$6,$D$6))</f>
        <v/>
      </c>
      <c r="L812" s="57">
        <f>MAX(0.02,NORMINV(RAND(),$C$7,$D$7))</f>
        <v/>
      </c>
      <c r="M812" s="57">
        <f>MIN(0.16,MAX(0.05,NORMINV(RAND(),$C$8,$D$8)))</f>
        <v/>
      </c>
      <c r="N812" s="59">
        <f>MIN(24,MAX(5,NORMINV(RAND(),$C$9,$D$9)))</f>
        <v/>
      </c>
      <c r="O812" s="65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57">
        <f>MAX(-0.05,NORMINV(RAND(),$C$6,$D$6))</f>
        <v/>
      </c>
      <c r="L813" s="57">
        <f>MAX(0.02,NORMINV(RAND(),$C$7,$D$7))</f>
        <v/>
      </c>
      <c r="M813" s="57">
        <f>MIN(0.16,MAX(0.05,NORMINV(RAND(),$C$8,$D$8)))</f>
        <v/>
      </c>
      <c r="N813" s="59">
        <f>MIN(24,MAX(5,NORMINV(RAND(),$C$9,$D$9)))</f>
        <v/>
      </c>
      <c r="O813" s="65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57">
        <f>MAX(-0.05,NORMINV(RAND(),$C$6,$D$6))</f>
        <v/>
      </c>
      <c r="L814" s="57">
        <f>MAX(0.02,NORMINV(RAND(),$C$7,$D$7))</f>
        <v/>
      </c>
      <c r="M814" s="57">
        <f>MIN(0.16,MAX(0.05,NORMINV(RAND(),$C$8,$D$8)))</f>
        <v/>
      </c>
      <c r="N814" s="59">
        <f>MIN(24,MAX(5,NORMINV(RAND(),$C$9,$D$9)))</f>
        <v/>
      </c>
      <c r="O814" s="65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57">
        <f>MAX(-0.05,NORMINV(RAND(),$C$6,$D$6))</f>
        <v/>
      </c>
      <c r="L815" s="57">
        <f>MAX(0.02,NORMINV(RAND(),$C$7,$D$7))</f>
        <v/>
      </c>
      <c r="M815" s="57">
        <f>MIN(0.16,MAX(0.05,NORMINV(RAND(),$C$8,$D$8)))</f>
        <v/>
      </c>
      <c r="N815" s="59">
        <f>MIN(24,MAX(5,NORMINV(RAND(),$C$9,$D$9)))</f>
        <v/>
      </c>
      <c r="O815" s="65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57">
        <f>MAX(-0.05,NORMINV(RAND(),$C$6,$D$6))</f>
        <v/>
      </c>
      <c r="L816" s="57">
        <f>MAX(0.02,NORMINV(RAND(),$C$7,$D$7))</f>
        <v/>
      </c>
      <c r="M816" s="57">
        <f>MIN(0.16,MAX(0.05,NORMINV(RAND(),$C$8,$D$8)))</f>
        <v/>
      </c>
      <c r="N816" s="59">
        <f>MIN(24,MAX(5,NORMINV(RAND(),$C$9,$D$9)))</f>
        <v/>
      </c>
      <c r="O816" s="65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57">
        <f>MAX(-0.05,NORMINV(RAND(),$C$6,$D$6))</f>
        <v/>
      </c>
      <c r="L817" s="57">
        <f>MAX(0.02,NORMINV(RAND(),$C$7,$D$7))</f>
        <v/>
      </c>
      <c r="M817" s="57">
        <f>MIN(0.16,MAX(0.05,NORMINV(RAND(),$C$8,$D$8)))</f>
        <v/>
      </c>
      <c r="N817" s="59">
        <f>MIN(24,MAX(5,NORMINV(RAND(),$C$9,$D$9)))</f>
        <v/>
      </c>
      <c r="O817" s="65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57">
        <f>MAX(-0.05,NORMINV(RAND(),$C$6,$D$6))</f>
        <v/>
      </c>
      <c r="L818" s="57">
        <f>MAX(0.02,NORMINV(RAND(),$C$7,$D$7))</f>
        <v/>
      </c>
      <c r="M818" s="57">
        <f>MIN(0.16,MAX(0.05,NORMINV(RAND(),$C$8,$D$8)))</f>
        <v/>
      </c>
      <c r="N818" s="59">
        <f>MIN(24,MAX(5,NORMINV(RAND(),$C$9,$D$9)))</f>
        <v/>
      </c>
      <c r="O818" s="65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57">
        <f>MAX(-0.05,NORMINV(RAND(),$C$6,$D$6))</f>
        <v/>
      </c>
      <c r="L819" s="57">
        <f>MAX(0.02,NORMINV(RAND(),$C$7,$D$7))</f>
        <v/>
      </c>
      <c r="M819" s="57">
        <f>MIN(0.16,MAX(0.05,NORMINV(RAND(),$C$8,$D$8)))</f>
        <v/>
      </c>
      <c r="N819" s="59">
        <f>MIN(24,MAX(5,NORMINV(RAND(),$C$9,$D$9)))</f>
        <v/>
      </c>
      <c r="O819" s="65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57">
        <f>MAX(-0.05,NORMINV(RAND(),$C$6,$D$6))</f>
        <v/>
      </c>
      <c r="L820" s="57">
        <f>MAX(0.02,NORMINV(RAND(),$C$7,$D$7))</f>
        <v/>
      </c>
      <c r="M820" s="57">
        <f>MIN(0.16,MAX(0.05,NORMINV(RAND(),$C$8,$D$8)))</f>
        <v/>
      </c>
      <c r="N820" s="59">
        <f>MIN(24,MAX(5,NORMINV(RAND(),$C$9,$D$9)))</f>
        <v/>
      </c>
      <c r="O820" s="65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57">
        <f>MAX(-0.05,NORMINV(RAND(),$C$6,$D$6))</f>
        <v/>
      </c>
      <c r="L821" s="57">
        <f>MAX(0.02,NORMINV(RAND(),$C$7,$D$7))</f>
        <v/>
      </c>
      <c r="M821" s="57">
        <f>MIN(0.16,MAX(0.05,NORMINV(RAND(),$C$8,$D$8)))</f>
        <v/>
      </c>
      <c r="N821" s="59">
        <f>MIN(24,MAX(5,NORMINV(RAND(),$C$9,$D$9)))</f>
        <v/>
      </c>
      <c r="O821" s="65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57">
        <f>MAX(-0.05,NORMINV(RAND(),$C$6,$D$6))</f>
        <v/>
      </c>
      <c r="L822" s="57">
        <f>MAX(0.02,NORMINV(RAND(),$C$7,$D$7))</f>
        <v/>
      </c>
      <c r="M822" s="57">
        <f>MIN(0.16,MAX(0.05,NORMINV(RAND(),$C$8,$D$8)))</f>
        <v/>
      </c>
      <c r="N822" s="59">
        <f>MIN(24,MAX(5,NORMINV(RAND(),$C$9,$D$9)))</f>
        <v/>
      </c>
      <c r="O822" s="65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57">
        <f>MAX(-0.05,NORMINV(RAND(),$C$6,$D$6))</f>
        <v/>
      </c>
      <c r="L823" s="57">
        <f>MAX(0.02,NORMINV(RAND(),$C$7,$D$7))</f>
        <v/>
      </c>
      <c r="M823" s="57">
        <f>MIN(0.16,MAX(0.05,NORMINV(RAND(),$C$8,$D$8)))</f>
        <v/>
      </c>
      <c r="N823" s="59">
        <f>MIN(24,MAX(5,NORMINV(RAND(),$C$9,$D$9)))</f>
        <v/>
      </c>
      <c r="O823" s="65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57">
        <f>MAX(-0.05,NORMINV(RAND(),$C$6,$D$6))</f>
        <v/>
      </c>
      <c r="L824" s="57">
        <f>MAX(0.02,NORMINV(RAND(),$C$7,$D$7))</f>
        <v/>
      </c>
      <c r="M824" s="57">
        <f>MIN(0.16,MAX(0.05,NORMINV(RAND(),$C$8,$D$8)))</f>
        <v/>
      </c>
      <c r="N824" s="59">
        <f>MIN(24,MAX(5,NORMINV(RAND(),$C$9,$D$9)))</f>
        <v/>
      </c>
      <c r="O824" s="65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57">
        <f>MAX(-0.05,NORMINV(RAND(),$C$6,$D$6))</f>
        <v/>
      </c>
      <c r="L825" s="57">
        <f>MAX(0.02,NORMINV(RAND(),$C$7,$D$7))</f>
        <v/>
      </c>
      <c r="M825" s="57">
        <f>MIN(0.16,MAX(0.05,NORMINV(RAND(),$C$8,$D$8)))</f>
        <v/>
      </c>
      <c r="N825" s="59">
        <f>MIN(24,MAX(5,NORMINV(RAND(),$C$9,$D$9)))</f>
        <v/>
      </c>
      <c r="O825" s="65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57">
        <f>MAX(-0.05,NORMINV(RAND(),$C$6,$D$6))</f>
        <v/>
      </c>
      <c r="L826" s="57">
        <f>MAX(0.02,NORMINV(RAND(),$C$7,$D$7))</f>
        <v/>
      </c>
      <c r="M826" s="57">
        <f>MIN(0.16,MAX(0.05,NORMINV(RAND(),$C$8,$D$8)))</f>
        <v/>
      </c>
      <c r="N826" s="59">
        <f>MIN(24,MAX(5,NORMINV(RAND(),$C$9,$D$9)))</f>
        <v/>
      </c>
      <c r="O826" s="65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57">
        <f>MAX(-0.05,NORMINV(RAND(),$C$6,$D$6))</f>
        <v/>
      </c>
      <c r="L827" s="57">
        <f>MAX(0.02,NORMINV(RAND(),$C$7,$D$7))</f>
        <v/>
      </c>
      <c r="M827" s="57">
        <f>MIN(0.16,MAX(0.05,NORMINV(RAND(),$C$8,$D$8)))</f>
        <v/>
      </c>
      <c r="N827" s="59">
        <f>MIN(24,MAX(5,NORMINV(RAND(),$C$9,$D$9)))</f>
        <v/>
      </c>
      <c r="O827" s="65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57">
        <f>MAX(-0.05,NORMINV(RAND(),$C$6,$D$6))</f>
        <v/>
      </c>
      <c r="L828" s="57">
        <f>MAX(0.02,NORMINV(RAND(),$C$7,$D$7))</f>
        <v/>
      </c>
      <c r="M828" s="57">
        <f>MIN(0.16,MAX(0.05,NORMINV(RAND(),$C$8,$D$8)))</f>
        <v/>
      </c>
      <c r="N828" s="59">
        <f>MIN(24,MAX(5,NORMINV(RAND(),$C$9,$D$9)))</f>
        <v/>
      </c>
      <c r="O828" s="65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57">
        <f>MAX(-0.05,NORMINV(RAND(),$C$6,$D$6))</f>
        <v/>
      </c>
      <c r="L829" s="57">
        <f>MAX(0.02,NORMINV(RAND(),$C$7,$D$7))</f>
        <v/>
      </c>
      <c r="M829" s="57">
        <f>MIN(0.16,MAX(0.05,NORMINV(RAND(),$C$8,$D$8)))</f>
        <v/>
      </c>
      <c r="N829" s="59">
        <f>MIN(24,MAX(5,NORMINV(RAND(),$C$9,$D$9)))</f>
        <v/>
      </c>
      <c r="O829" s="65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57">
        <f>MAX(-0.05,NORMINV(RAND(),$C$6,$D$6))</f>
        <v/>
      </c>
      <c r="L830" s="57">
        <f>MAX(0.02,NORMINV(RAND(),$C$7,$D$7))</f>
        <v/>
      </c>
      <c r="M830" s="57">
        <f>MIN(0.16,MAX(0.05,NORMINV(RAND(),$C$8,$D$8)))</f>
        <v/>
      </c>
      <c r="N830" s="59">
        <f>MIN(24,MAX(5,NORMINV(RAND(),$C$9,$D$9)))</f>
        <v/>
      </c>
      <c r="O830" s="65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57">
        <f>MAX(-0.05,NORMINV(RAND(),$C$6,$D$6))</f>
        <v/>
      </c>
      <c r="L831" s="57">
        <f>MAX(0.02,NORMINV(RAND(),$C$7,$D$7))</f>
        <v/>
      </c>
      <c r="M831" s="57">
        <f>MIN(0.16,MAX(0.05,NORMINV(RAND(),$C$8,$D$8)))</f>
        <v/>
      </c>
      <c r="N831" s="59">
        <f>MIN(24,MAX(5,NORMINV(RAND(),$C$9,$D$9)))</f>
        <v/>
      </c>
      <c r="O831" s="65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57">
        <f>MAX(-0.05,NORMINV(RAND(),$C$6,$D$6))</f>
        <v/>
      </c>
      <c r="L832" s="57">
        <f>MAX(0.02,NORMINV(RAND(),$C$7,$D$7))</f>
        <v/>
      </c>
      <c r="M832" s="57">
        <f>MIN(0.16,MAX(0.05,NORMINV(RAND(),$C$8,$D$8)))</f>
        <v/>
      </c>
      <c r="N832" s="59">
        <f>MIN(24,MAX(5,NORMINV(RAND(),$C$9,$D$9)))</f>
        <v/>
      </c>
      <c r="O832" s="65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57">
        <f>MAX(-0.05,NORMINV(RAND(),$C$6,$D$6))</f>
        <v/>
      </c>
      <c r="L833" s="57">
        <f>MAX(0.02,NORMINV(RAND(),$C$7,$D$7))</f>
        <v/>
      </c>
      <c r="M833" s="57">
        <f>MIN(0.16,MAX(0.05,NORMINV(RAND(),$C$8,$D$8)))</f>
        <v/>
      </c>
      <c r="N833" s="59">
        <f>MIN(24,MAX(5,NORMINV(RAND(),$C$9,$D$9)))</f>
        <v/>
      </c>
      <c r="O833" s="65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57">
        <f>MAX(-0.05,NORMINV(RAND(),$C$6,$D$6))</f>
        <v/>
      </c>
      <c r="L834" s="57">
        <f>MAX(0.02,NORMINV(RAND(),$C$7,$D$7))</f>
        <v/>
      </c>
      <c r="M834" s="57">
        <f>MIN(0.16,MAX(0.05,NORMINV(RAND(),$C$8,$D$8)))</f>
        <v/>
      </c>
      <c r="N834" s="59">
        <f>MIN(24,MAX(5,NORMINV(RAND(),$C$9,$D$9)))</f>
        <v/>
      </c>
      <c r="O834" s="65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57">
        <f>MAX(-0.05,NORMINV(RAND(),$C$6,$D$6))</f>
        <v/>
      </c>
      <c r="L835" s="57">
        <f>MAX(0.02,NORMINV(RAND(),$C$7,$D$7))</f>
        <v/>
      </c>
      <c r="M835" s="57">
        <f>MIN(0.16,MAX(0.05,NORMINV(RAND(),$C$8,$D$8)))</f>
        <v/>
      </c>
      <c r="N835" s="59">
        <f>MIN(24,MAX(5,NORMINV(RAND(),$C$9,$D$9)))</f>
        <v/>
      </c>
      <c r="O835" s="65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57">
        <f>MAX(-0.05,NORMINV(RAND(),$C$6,$D$6))</f>
        <v/>
      </c>
      <c r="L836" s="57">
        <f>MAX(0.02,NORMINV(RAND(),$C$7,$D$7))</f>
        <v/>
      </c>
      <c r="M836" s="57">
        <f>MIN(0.16,MAX(0.05,NORMINV(RAND(),$C$8,$D$8)))</f>
        <v/>
      </c>
      <c r="N836" s="59">
        <f>MIN(24,MAX(5,NORMINV(RAND(),$C$9,$D$9)))</f>
        <v/>
      </c>
      <c r="O836" s="65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57">
        <f>MAX(-0.05,NORMINV(RAND(),$C$6,$D$6))</f>
        <v/>
      </c>
      <c r="L837" s="57">
        <f>MAX(0.02,NORMINV(RAND(),$C$7,$D$7))</f>
        <v/>
      </c>
      <c r="M837" s="57">
        <f>MIN(0.16,MAX(0.05,NORMINV(RAND(),$C$8,$D$8)))</f>
        <v/>
      </c>
      <c r="N837" s="59">
        <f>MIN(24,MAX(5,NORMINV(RAND(),$C$9,$D$9)))</f>
        <v/>
      </c>
      <c r="O837" s="65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57">
        <f>MAX(-0.05,NORMINV(RAND(),$C$6,$D$6))</f>
        <v/>
      </c>
      <c r="L838" s="57">
        <f>MAX(0.02,NORMINV(RAND(),$C$7,$D$7))</f>
        <v/>
      </c>
      <c r="M838" s="57">
        <f>MIN(0.16,MAX(0.05,NORMINV(RAND(),$C$8,$D$8)))</f>
        <v/>
      </c>
      <c r="N838" s="59">
        <f>MIN(24,MAX(5,NORMINV(RAND(),$C$9,$D$9)))</f>
        <v/>
      </c>
      <c r="O838" s="65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57">
        <f>MAX(-0.05,NORMINV(RAND(),$C$6,$D$6))</f>
        <v/>
      </c>
      <c r="L839" s="57">
        <f>MAX(0.02,NORMINV(RAND(),$C$7,$D$7))</f>
        <v/>
      </c>
      <c r="M839" s="57">
        <f>MIN(0.16,MAX(0.05,NORMINV(RAND(),$C$8,$D$8)))</f>
        <v/>
      </c>
      <c r="N839" s="59">
        <f>MIN(24,MAX(5,NORMINV(RAND(),$C$9,$D$9)))</f>
        <v/>
      </c>
      <c r="O839" s="65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57">
        <f>MAX(-0.05,NORMINV(RAND(),$C$6,$D$6))</f>
        <v/>
      </c>
      <c r="L840" s="57">
        <f>MAX(0.02,NORMINV(RAND(),$C$7,$D$7))</f>
        <v/>
      </c>
      <c r="M840" s="57">
        <f>MIN(0.16,MAX(0.05,NORMINV(RAND(),$C$8,$D$8)))</f>
        <v/>
      </c>
      <c r="N840" s="59">
        <f>MIN(24,MAX(5,NORMINV(RAND(),$C$9,$D$9)))</f>
        <v/>
      </c>
      <c r="O840" s="65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57">
        <f>MAX(-0.05,NORMINV(RAND(),$C$6,$D$6))</f>
        <v/>
      </c>
      <c r="L841" s="57">
        <f>MAX(0.02,NORMINV(RAND(),$C$7,$D$7))</f>
        <v/>
      </c>
      <c r="M841" s="57">
        <f>MIN(0.16,MAX(0.05,NORMINV(RAND(),$C$8,$D$8)))</f>
        <v/>
      </c>
      <c r="N841" s="59">
        <f>MIN(24,MAX(5,NORMINV(RAND(),$C$9,$D$9)))</f>
        <v/>
      </c>
      <c r="O841" s="65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57">
        <f>MAX(-0.05,NORMINV(RAND(),$C$6,$D$6))</f>
        <v/>
      </c>
      <c r="L842" s="57">
        <f>MAX(0.02,NORMINV(RAND(),$C$7,$D$7))</f>
        <v/>
      </c>
      <c r="M842" s="57">
        <f>MIN(0.16,MAX(0.05,NORMINV(RAND(),$C$8,$D$8)))</f>
        <v/>
      </c>
      <c r="N842" s="59">
        <f>MIN(24,MAX(5,NORMINV(RAND(),$C$9,$D$9)))</f>
        <v/>
      </c>
      <c r="O842" s="65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57">
        <f>MAX(-0.05,NORMINV(RAND(),$C$6,$D$6))</f>
        <v/>
      </c>
      <c r="L843" s="57">
        <f>MAX(0.02,NORMINV(RAND(),$C$7,$D$7))</f>
        <v/>
      </c>
      <c r="M843" s="57">
        <f>MIN(0.16,MAX(0.05,NORMINV(RAND(),$C$8,$D$8)))</f>
        <v/>
      </c>
      <c r="N843" s="59">
        <f>MIN(24,MAX(5,NORMINV(RAND(),$C$9,$D$9)))</f>
        <v/>
      </c>
      <c r="O843" s="65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57">
        <f>MAX(-0.05,NORMINV(RAND(),$C$6,$D$6))</f>
        <v/>
      </c>
      <c r="L844" s="57">
        <f>MAX(0.02,NORMINV(RAND(),$C$7,$D$7))</f>
        <v/>
      </c>
      <c r="M844" s="57">
        <f>MIN(0.16,MAX(0.05,NORMINV(RAND(),$C$8,$D$8)))</f>
        <v/>
      </c>
      <c r="N844" s="59">
        <f>MIN(24,MAX(5,NORMINV(RAND(),$C$9,$D$9)))</f>
        <v/>
      </c>
      <c r="O844" s="65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57">
        <f>MAX(-0.05,NORMINV(RAND(),$C$6,$D$6))</f>
        <v/>
      </c>
      <c r="L845" s="57">
        <f>MAX(0.02,NORMINV(RAND(),$C$7,$D$7))</f>
        <v/>
      </c>
      <c r="M845" s="57">
        <f>MIN(0.16,MAX(0.05,NORMINV(RAND(),$C$8,$D$8)))</f>
        <v/>
      </c>
      <c r="N845" s="59">
        <f>MIN(24,MAX(5,NORMINV(RAND(),$C$9,$D$9)))</f>
        <v/>
      </c>
      <c r="O845" s="65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57">
        <f>MAX(-0.05,NORMINV(RAND(),$C$6,$D$6))</f>
        <v/>
      </c>
      <c r="L846" s="57">
        <f>MAX(0.02,NORMINV(RAND(),$C$7,$D$7))</f>
        <v/>
      </c>
      <c r="M846" s="57">
        <f>MIN(0.16,MAX(0.05,NORMINV(RAND(),$C$8,$D$8)))</f>
        <v/>
      </c>
      <c r="N846" s="59">
        <f>MIN(24,MAX(5,NORMINV(RAND(),$C$9,$D$9)))</f>
        <v/>
      </c>
      <c r="O846" s="65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57">
        <f>MAX(-0.05,NORMINV(RAND(),$C$6,$D$6))</f>
        <v/>
      </c>
      <c r="L847" s="57">
        <f>MAX(0.02,NORMINV(RAND(),$C$7,$D$7))</f>
        <v/>
      </c>
      <c r="M847" s="57">
        <f>MIN(0.16,MAX(0.05,NORMINV(RAND(),$C$8,$D$8)))</f>
        <v/>
      </c>
      <c r="N847" s="59">
        <f>MIN(24,MAX(5,NORMINV(RAND(),$C$9,$D$9)))</f>
        <v/>
      </c>
      <c r="O847" s="65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57">
        <f>MAX(-0.05,NORMINV(RAND(),$C$6,$D$6))</f>
        <v/>
      </c>
      <c r="L848" s="57">
        <f>MAX(0.02,NORMINV(RAND(),$C$7,$D$7))</f>
        <v/>
      </c>
      <c r="M848" s="57">
        <f>MIN(0.16,MAX(0.05,NORMINV(RAND(),$C$8,$D$8)))</f>
        <v/>
      </c>
      <c r="N848" s="59">
        <f>MIN(24,MAX(5,NORMINV(RAND(),$C$9,$D$9)))</f>
        <v/>
      </c>
      <c r="O848" s="65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57">
        <f>MAX(-0.05,NORMINV(RAND(),$C$6,$D$6))</f>
        <v/>
      </c>
      <c r="L849" s="57">
        <f>MAX(0.02,NORMINV(RAND(),$C$7,$D$7))</f>
        <v/>
      </c>
      <c r="M849" s="57">
        <f>MIN(0.16,MAX(0.05,NORMINV(RAND(),$C$8,$D$8)))</f>
        <v/>
      </c>
      <c r="N849" s="59">
        <f>MIN(24,MAX(5,NORMINV(RAND(),$C$9,$D$9)))</f>
        <v/>
      </c>
      <c r="O849" s="65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57">
        <f>MAX(-0.05,NORMINV(RAND(),$C$6,$D$6))</f>
        <v/>
      </c>
      <c r="L850" s="57">
        <f>MAX(0.02,NORMINV(RAND(),$C$7,$D$7))</f>
        <v/>
      </c>
      <c r="M850" s="57">
        <f>MIN(0.16,MAX(0.05,NORMINV(RAND(),$C$8,$D$8)))</f>
        <v/>
      </c>
      <c r="N850" s="59">
        <f>MIN(24,MAX(5,NORMINV(RAND(),$C$9,$D$9)))</f>
        <v/>
      </c>
      <c r="O850" s="65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57">
        <f>MAX(-0.05,NORMINV(RAND(),$C$6,$D$6))</f>
        <v/>
      </c>
      <c r="L851" s="57">
        <f>MAX(0.02,NORMINV(RAND(),$C$7,$D$7))</f>
        <v/>
      </c>
      <c r="M851" s="57">
        <f>MIN(0.16,MAX(0.05,NORMINV(RAND(),$C$8,$D$8)))</f>
        <v/>
      </c>
      <c r="N851" s="59">
        <f>MIN(24,MAX(5,NORMINV(RAND(),$C$9,$D$9)))</f>
        <v/>
      </c>
      <c r="O851" s="65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57">
        <f>MAX(-0.05,NORMINV(RAND(),$C$6,$D$6))</f>
        <v/>
      </c>
      <c r="L852" s="57">
        <f>MAX(0.02,NORMINV(RAND(),$C$7,$D$7))</f>
        <v/>
      </c>
      <c r="M852" s="57">
        <f>MIN(0.16,MAX(0.05,NORMINV(RAND(),$C$8,$D$8)))</f>
        <v/>
      </c>
      <c r="N852" s="59">
        <f>MIN(24,MAX(5,NORMINV(RAND(),$C$9,$D$9)))</f>
        <v/>
      </c>
      <c r="O852" s="65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57">
        <f>MAX(-0.05,NORMINV(RAND(),$C$6,$D$6))</f>
        <v/>
      </c>
      <c r="L853" s="57">
        <f>MAX(0.02,NORMINV(RAND(),$C$7,$D$7))</f>
        <v/>
      </c>
      <c r="M853" s="57">
        <f>MIN(0.16,MAX(0.05,NORMINV(RAND(),$C$8,$D$8)))</f>
        <v/>
      </c>
      <c r="N853" s="59">
        <f>MIN(24,MAX(5,NORMINV(RAND(),$C$9,$D$9)))</f>
        <v/>
      </c>
      <c r="O853" s="65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57">
        <f>MAX(-0.05,NORMINV(RAND(),$C$6,$D$6))</f>
        <v/>
      </c>
      <c r="L854" s="57">
        <f>MAX(0.02,NORMINV(RAND(),$C$7,$D$7))</f>
        <v/>
      </c>
      <c r="M854" s="57">
        <f>MIN(0.16,MAX(0.05,NORMINV(RAND(),$C$8,$D$8)))</f>
        <v/>
      </c>
      <c r="N854" s="59">
        <f>MIN(24,MAX(5,NORMINV(RAND(),$C$9,$D$9)))</f>
        <v/>
      </c>
      <c r="O854" s="65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57">
        <f>MAX(-0.05,NORMINV(RAND(),$C$6,$D$6))</f>
        <v/>
      </c>
      <c r="L855" s="57">
        <f>MAX(0.02,NORMINV(RAND(),$C$7,$D$7))</f>
        <v/>
      </c>
      <c r="M855" s="57">
        <f>MIN(0.16,MAX(0.05,NORMINV(RAND(),$C$8,$D$8)))</f>
        <v/>
      </c>
      <c r="N855" s="59">
        <f>MIN(24,MAX(5,NORMINV(RAND(),$C$9,$D$9)))</f>
        <v/>
      </c>
      <c r="O855" s="65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57">
        <f>MAX(-0.05,NORMINV(RAND(),$C$6,$D$6))</f>
        <v/>
      </c>
      <c r="L856" s="57">
        <f>MAX(0.02,NORMINV(RAND(),$C$7,$D$7))</f>
        <v/>
      </c>
      <c r="M856" s="57">
        <f>MIN(0.16,MAX(0.05,NORMINV(RAND(),$C$8,$D$8)))</f>
        <v/>
      </c>
      <c r="N856" s="59">
        <f>MIN(24,MAX(5,NORMINV(RAND(),$C$9,$D$9)))</f>
        <v/>
      </c>
      <c r="O856" s="65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57">
        <f>MAX(-0.05,NORMINV(RAND(),$C$6,$D$6))</f>
        <v/>
      </c>
      <c r="L857" s="57">
        <f>MAX(0.02,NORMINV(RAND(),$C$7,$D$7))</f>
        <v/>
      </c>
      <c r="M857" s="57">
        <f>MIN(0.16,MAX(0.05,NORMINV(RAND(),$C$8,$D$8)))</f>
        <v/>
      </c>
      <c r="N857" s="59">
        <f>MIN(24,MAX(5,NORMINV(RAND(),$C$9,$D$9)))</f>
        <v/>
      </c>
      <c r="O857" s="65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57">
        <f>MAX(-0.05,NORMINV(RAND(),$C$6,$D$6))</f>
        <v/>
      </c>
      <c r="L858" s="57">
        <f>MAX(0.02,NORMINV(RAND(),$C$7,$D$7))</f>
        <v/>
      </c>
      <c r="M858" s="57">
        <f>MIN(0.16,MAX(0.05,NORMINV(RAND(),$C$8,$D$8)))</f>
        <v/>
      </c>
      <c r="N858" s="59">
        <f>MIN(24,MAX(5,NORMINV(RAND(),$C$9,$D$9)))</f>
        <v/>
      </c>
      <c r="O858" s="65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57">
        <f>MAX(-0.05,NORMINV(RAND(),$C$6,$D$6))</f>
        <v/>
      </c>
      <c r="L859" s="57">
        <f>MAX(0.02,NORMINV(RAND(),$C$7,$D$7))</f>
        <v/>
      </c>
      <c r="M859" s="57">
        <f>MIN(0.16,MAX(0.05,NORMINV(RAND(),$C$8,$D$8)))</f>
        <v/>
      </c>
      <c r="N859" s="59">
        <f>MIN(24,MAX(5,NORMINV(RAND(),$C$9,$D$9)))</f>
        <v/>
      </c>
      <c r="O859" s="65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57">
        <f>MAX(-0.05,NORMINV(RAND(),$C$6,$D$6))</f>
        <v/>
      </c>
      <c r="L860" s="57">
        <f>MAX(0.02,NORMINV(RAND(),$C$7,$D$7))</f>
        <v/>
      </c>
      <c r="M860" s="57">
        <f>MIN(0.16,MAX(0.05,NORMINV(RAND(),$C$8,$D$8)))</f>
        <v/>
      </c>
      <c r="N860" s="59">
        <f>MIN(24,MAX(5,NORMINV(RAND(),$C$9,$D$9)))</f>
        <v/>
      </c>
      <c r="O860" s="65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57">
        <f>MAX(-0.05,NORMINV(RAND(),$C$6,$D$6))</f>
        <v/>
      </c>
      <c r="L861" s="57">
        <f>MAX(0.02,NORMINV(RAND(),$C$7,$D$7))</f>
        <v/>
      </c>
      <c r="M861" s="57">
        <f>MIN(0.16,MAX(0.05,NORMINV(RAND(),$C$8,$D$8)))</f>
        <v/>
      </c>
      <c r="N861" s="59">
        <f>MIN(24,MAX(5,NORMINV(RAND(),$C$9,$D$9)))</f>
        <v/>
      </c>
      <c r="O861" s="65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57">
        <f>MAX(-0.05,NORMINV(RAND(),$C$6,$D$6))</f>
        <v/>
      </c>
      <c r="L862" s="57">
        <f>MAX(0.02,NORMINV(RAND(),$C$7,$D$7))</f>
        <v/>
      </c>
      <c r="M862" s="57">
        <f>MIN(0.16,MAX(0.05,NORMINV(RAND(),$C$8,$D$8)))</f>
        <v/>
      </c>
      <c r="N862" s="59">
        <f>MIN(24,MAX(5,NORMINV(RAND(),$C$9,$D$9)))</f>
        <v/>
      </c>
      <c r="O862" s="65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57">
        <f>MAX(-0.05,NORMINV(RAND(),$C$6,$D$6))</f>
        <v/>
      </c>
      <c r="L863" s="57">
        <f>MAX(0.02,NORMINV(RAND(),$C$7,$D$7))</f>
        <v/>
      </c>
      <c r="M863" s="57">
        <f>MIN(0.16,MAX(0.05,NORMINV(RAND(),$C$8,$D$8)))</f>
        <v/>
      </c>
      <c r="N863" s="59">
        <f>MIN(24,MAX(5,NORMINV(RAND(),$C$9,$D$9)))</f>
        <v/>
      </c>
      <c r="O863" s="65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57">
        <f>MAX(-0.05,NORMINV(RAND(),$C$6,$D$6))</f>
        <v/>
      </c>
      <c r="L864" s="57">
        <f>MAX(0.02,NORMINV(RAND(),$C$7,$D$7))</f>
        <v/>
      </c>
      <c r="M864" s="57">
        <f>MIN(0.16,MAX(0.05,NORMINV(RAND(),$C$8,$D$8)))</f>
        <v/>
      </c>
      <c r="N864" s="59">
        <f>MIN(24,MAX(5,NORMINV(RAND(),$C$9,$D$9)))</f>
        <v/>
      </c>
      <c r="O864" s="65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57">
        <f>MAX(-0.05,NORMINV(RAND(),$C$6,$D$6))</f>
        <v/>
      </c>
      <c r="L865" s="57">
        <f>MAX(0.02,NORMINV(RAND(),$C$7,$D$7))</f>
        <v/>
      </c>
      <c r="M865" s="57">
        <f>MIN(0.16,MAX(0.05,NORMINV(RAND(),$C$8,$D$8)))</f>
        <v/>
      </c>
      <c r="N865" s="59">
        <f>MIN(24,MAX(5,NORMINV(RAND(),$C$9,$D$9)))</f>
        <v/>
      </c>
      <c r="O865" s="65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57">
        <f>MAX(-0.05,NORMINV(RAND(),$C$6,$D$6))</f>
        <v/>
      </c>
      <c r="L866" s="57">
        <f>MAX(0.02,NORMINV(RAND(),$C$7,$D$7))</f>
        <v/>
      </c>
      <c r="M866" s="57">
        <f>MIN(0.16,MAX(0.05,NORMINV(RAND(),$C$8,$D$8)))</f>
        <v/>
      </c>
      <c r="N866" s="59">
        <f>MIN(24,MAX(5,NORMINV(RAND(),$C$9,$D$9)))</f>
        <v/>
      </c>
      <c r="O866" s="65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57">
        <f>MAX(-0.05,NORMINV(RAND(),$C$6,$D$6))</f>
        <v/>
      </c>
      <c r="L867" s="57">
        <f>MAX(0.02,NORMINV(RAND(),$C$7,$D$7))</f>
        <v/>
      </c>
      <c r="M867" s="57">
        <f>MIN(0.16,MAX(0.05,NORMINV(RAND(),$C$8,$D$8)))</f>
        <v/>
      </c>
      <c r="N867" s="59">
        <f>MIN(24,MAX(5,NORMINV(RAND(),$C$9,$D$9)))</f>
        <v/>
      </c>
      <c r="O867" s="65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57">
        <f>MAX(-0.05,NORMINV(RAND(),$C$6,$D$6))</f>
        <v/>
      </c>
      <c r="L868" s="57">
        <f>MAX(0.02,NORMINV(RAND(),$C$7,$D$7))</f>
        <v/>
      </c>
      <c r="M868" s="57">
        <f>MIN(0.16,MAX(0.05,NORMINV(RAND(),$C$8,$D$8)))</f>
        <v/>
      </c>
      <c r="N868" s="59">
        <f>MIN(24,MAX(5,NORMINV(RAND(),$C$9,$D$9)))</f>
        <v/>
      </c>
      <c r="O868" s="65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57">
        <f>MAX(-0.05,NORMINV(RAND(),$C$6,$D$6))</f>
        <v/>
      </c>
      <c r="L869" s="57">
        <f>MAX(0.02,NORMINV(RAND(),$C$7,$D$7))</f>
        <v/>
      </c>
      <c r="M869" s="57">
        <f>MIN(0.16,MAX(0.05,NORMINV(RAND(),$C$8,$D$8)))</f>
        <v/>
      </c>
      <c r="N869" s="59">
        <f>MIN(24,MAX(5,NORMINV(RAND(),$C$9,$D$9)))</f>
        <v/>
      </c>
      <c r="O869" s="65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57">
        <f>MAX(-0.05,NORMINV(RAND(),$C$6,$D$6))</f>
        <v/>
      </c>
      <c r="L870" s="57">
        <f>MAX(0.02,NORMINV(RAND(),$C$7,$D$7))</f>
        <v/>
      </c>
      <c r="M870" s="57">
        <f>MIN(0.16,MAX(0.05,NORMINV(RAND(),$C$8,$D$8)))</f>
        <v/>
      </c>
      <c r="N870" s="59">
        <f>MIN(24,MAX(5,NORMINV(RAND(),$C$9,$D$9)))</f>
        <v/>
      </c>
      <c r="O870" s="65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57">
        <f>MAX(-0.05,NORMINV(RAND(),$C$6,$D$6))</f>
        <v/>
      </c>
      <c r="L871" s="57">
        <f>MAX(0.02,NORMINV(RAND(),$C$7,$D$7))</f>
        <v/>
      </c>
      <c r="M871" s="57">
        <f>MIN(0.16,MAX(0.05,NORMINV(RAND(),$C$8,$D$8)))</f>
        <v/>
      </c>
      <c r="N871" s="59">
        <f>MIN(24,MAX(5,NORMINV(RAND(),$C$9,$D$9)))</f>
        <v/>
      </c>
      <c r="O871" s="65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57">
        <f>MAX(-0.05,NORMINV(RAND(),$C$6,$D$6))</f>
        <v/>
      </c>
      <c r="L872" s="57">
        <f>MAX(0.02,NORMINV(RAND(),$C$7,$D$7))</f>
        <v/>
      </c>
      <c r="M872" s="57">
        <f>MIN(0.16,MAX(0.05,NORMINV(RAND(),$C$8,$D$8)))</f>
        <v/>
      </c>
      <c r="N872" s="59">
        <f>MIN(24,MAX(5,NORMINV(RAND(),$C$9,$D$9)))</f>
        <v/>
      </c>
      <c r="O872" s="65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57">
        <f>MAX(-0.05,NORMINV(RAND(),$C$6,$D$6))</f>
        <v/>
      </c>
      <c r="L873" s="57">
        <f>MAX(0.02,NORMINV(RAND(),$C$7,$D$7))</f>
        <v/>
      </c>
      <c r="M873" s="57">
        <f>MIN(0.16,MAX(0.05,NORMINV(RAND(),$C$8,$D$8)))</f>
        <v/>
      </c>
      <c r="N873" s="59">
        <f>MIN(24,MAX(5,NORMINV(RAND(),$C$9,$D$9)))</f>
        <v/>
      </c>
      <c r="O873" s="65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57">
        <f>MAX(-0.05,NORMINV(RAND(),$C$6,$D$6))</f>
        <v/>
      </c>
      <c r="L874" s="57">
        <f>MAX(0.02,NORMINV(RAND(),$C$7,$D$7))</f>
        <v/>
      </c>
      <c r="M874" s="57">
        <f>MIN(0.16,MAX(0.05,NORMINV(RAND(),$C$8,$D$8)))</f>
        <v/>
      </c>
      <c r="N874" s="59">
        <f>MIN(24,MAX(5,NORMINV(RAND(),$C$9,$D$9)))</f>
        <v/>
      </c>
      <c r="O874" s="65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57">
        <f>MAX(-0.05,NORMINV(RAND(),$C$6,$D$6))</f>
        <v/>
      </c>
      <c r="L875" s="57">
        <f>MAX(0.02,NORMINV(RAND(),$C$7,$D$7))</f>
        <v/>
      </c>
      <c r="M875" s="57">
        <f>MIN(0.16,MAX(0.05,NORMINV(RAND(),$C$8,$D$8)))</f>
        <v/>
      </c>
      <c r="N875" s="59">
        <f>MIN(24,MAX(5,NORMINV(RAND(),$C$9,$D$9)))</f>
        <v/>
      </c>
      <c r="O875" s="65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57">
        <f>MAX(-0.05,NORMINV(RAND(),$C$6,$D$6))</f>
        <v/>
      </c>
      <c r="L876" s="57">
        <f>MAX(0.02,NORMINV(RAND(),$C$7,$D$7))</f>
        <v/>
      </c>
      <c r="M876" s="57">
        <f>MIN(0.16,MAX(0.05,NORMINV(RAND(),$C$8,$D$8)))</f>
        <v/>
      </c>
      <c r="N876" s="59">
        <f>MIN(24,MAX(5,NORMINV(RAND(),$C$9,$D$9)))</f>
        <v/>
      </c>
      <c r="O876" s="65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57">
        <f>MAX(-0.05,NORMINV(RAND(),$C$6,$D$6))</f>
        <v/>
      </c>
      <c r="L877" s="57">
        <f>MAX(0.02,NORMINV(RAND(),$C$7,$D$7))</f>
        <v/>
      </c>
      <c r="M877" s="57">
        <f>MIN(0.16,MAX(0.05,NORMINV(RAND(),$C$8,$D$8)))</f>
        <v/>
      </c>
      <c r="N877" s="59">
        <f>MIN(24,MAX(5,NORMINV(RAND(),$C$9,$D$9)))</f>
        <v/>
      </c>
      <c r="O877" s="65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57">
        <f>MAX(-0.05,NORMINV(RAND(),$C$6,$D$6))</f>
        <v/>
      </c>
      <c r="L878" s="57">
        <f>MAX(0.02,NORMINV(RAND(),$C$7,$D$7))</f>
        <v/>
      </c>
      <c r="M878" s="57">
        <f>MIN(0.16,MAX(0.05,NORMINV(RAND(),$C$8,$D$8)))</f>
        <v/>
      </c>
      <c r="N878" s="59">
        <f>MIN(24,MAX(5,NORMINV(RAND(),$C$9,$D$9)))</f>
        <v/>
      </c>
      <c r="O878" s="65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57">
        <f>MAX(-0.05,NORMINV(RAND(),$C$6,$D$6))</f>
        <v/>
      </c>
      <c r="L879" s="57">
        <f>MAX(0.02,NORMINV(RAND(),$C$7,$D$7))</f>
        <v/>
      </c>
      <c r="M879" s="57">
        <f>MIN(0.16,MAX(0.05,NORMINV(RAND(),$C$8,$D$8)))</f>
        <v/>
      </c>
      <c r="N879" s="59">
        <f>MIN(24,MAX(5,NORMINV(RAND(),$C$9,$D$9)))</f>
        <v/>
      </c>
      <c r="O879" s="65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57">
        <f>MAX(-0.05,NORMINV(RAND(),$C$6,$D$6))</f>
        <v/>
      </c>
      <c r="L880" s="57">
        <f>MAX(0.02,NORMINV(RAND(),$C$7,$D$7))</f>
        <v/>
      </c>
      <c r="M880" s="57">
        <f>MIN(0.16,MAX(0.05,NORMINV(RAND(),$C$8,$D$8)))</f>
        <v/>
      </c>
      <c r="N880" s="59">
        <f>MIN(24,MAX(5,NORMINV(RAND(),$C$9,$D$9)))</f>
        <v/>
      </c>
      <c r="O880" s="65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57">
        <f>MAX(-0.05,NORMINV(RAND(),$C$6,$D$6))</f>
        <v/>
      </c>
      <c r="L881" s="57">
        <f>MAX(0.02,NORMINV(RAND(),$C$7,$D$7))</f>
        <v/>
      </c>
      <c r="M881" s="57">
        <f>MIN(0.16,MAX(0.05,NORMINV(RAND(),$C$8,$D$8)))</f>
        <v/>
      </c>
      <c r="N881" s="59">
        <f>MIN(24,MAX(5,NORMINV(RAND(),$C$9,$D$9)))</f>
        <v/>
      </c>
      <c r="O881" s="65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57">
        <f>MAX(-0.05,NORMINV(RAND(),$C$6,$D$6))</f>
        <v/>
      </c>
      <c r="L882" s="57">
        <f>MAX(0.02,NORMINV(RAND(),$C$7,$D$7))</f>
        <v/>
      </c>
      <c r="M882" s="57">
        <f>MIN(0.16,MAX(0.05,NORMINV(RAND(),$C$8,$D$8)))</f>
        <v/>
      </c>
      <c r="N882" s="59">
        <f>MIN(24,MAX(5,NORMINV(RAND(),$C$9,$D$9)))</f>
        <v/>
      </c>
      <c r="O882" s="65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57">
        <f>MAX(-0.05,NORMINV(RAND(),$C$6,$D$6))</f>
        <v/>
      </c>
      <c r="L883" s="57">
        <f>MAX(0.02,NORMINV(RAND(),$C$7,$D$7))</f>
        <v/>
      </c>
      <c r="M883" s="57">
        <f>MIN(0.16,MAX(0.05,NORMINV(RAND(),$C$8,$D$8)))</f>
        <v/>
      </c>
      <c r="N883" s="59">
        <f>MIN(24,MAX(5,NORMINV(RAND(),$C$9,$D$9)))</f>
        <v/>
      </c>
      <c r="O883" s="65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57">
        <f>MAX(-0.05,NORMINV(RAND(),$C$6,$D$6))</f>
        <v/>
      </c>
      <c r="L884" s="57">
        <f>MAX(0.02,NORMINV(RAND(),$C$7,$D$7))</f>
        <v/>
      </c>
      <c r="M884" s="57">
        <f>MIN(0.16,MAX(0.05,NORMINV(RAND(),$C$8,$D$8)))</f>
        <v/>
      </c>
      <c r="N884" s="59">
        <f>MIN(24,MAX(5,NORMINV(RAND(),$C$9,$D$9)))</f>
        <v/>
      </c>
      <c r="O884" s="65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57">
        <f>MAX(-0.05,NORMINV(RAND(),$C$6,$D$6))</f>
        <v/>
      </c>
      <c r="L885" s="57">
        <f>MAX(0.02,NORMINV(RAND(),$C$7,$D$7))</f>
        <v/>
      </c>
      <c r="M885" s="57">
        <f>MIN(0.16,MAX(0.05,NORMINV(RAND(),$C$8,$D$8)))</f>
        <v/>
      </c>
      <c r="N885" s="59">
        <f>MIN(24,MAX(5,NORMINV(RAND(),$C$9,$D$9)))</f>
        <v/>
      </c>
      <c r="O885" s="65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57">
        <f>MAX(-0.05,NORMINV(RAND(),$C$6,$D$6))</f>
        <v/>
      </c>
      <c r="L886" s="57">
        <f>MAX(0.02,NORMINV(RAND(),$C$7,$D$7))</f>
        <v/>
      </c>
      <c r="M886" s="57">
        <f>MIN(0.16,MAX(0.05,NORMINV(RAND(),$C$8,$D$8)))</f>
        <v/>
      </c>
      <c r="N886" s="59">
        <f>MIN(24,MAX(5,NORMINV(RAND(),$C$9,$D$9)))</f>
        <v/>
      </c>
      <c r="O886" s="65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57">
        <f>MAX(-0.05,NORMINV(RAND(),$C$6,$D$6))</f>
        <v/>
      </c>
      <c r="L887" s="57">
        <f>MAX(0.02,NORMINV(RAND(),$C$7,$D$7))</f>
        <v/>
      </c>
      <c r="M887" s="57">
        <f>MIN(0.16,MAX(0.05,NORMINV(RAND(),$C$8,$D$8)))</f>
        <v/>
      </c>
      <c r="N887" s="59">
        <f>MIN(24,MAX(5,NORMINV(RAND(),$C$9,$D$9)))</f>
        <v/>
      </c>
      <c r="O887" s="65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57">
        <f>MAX(-0.05,NORMINV(RAND(),$C$6,$D$6))</f>
        <v/>
      </c>
      <c r="L888" s="57">
        <f>MAX(0.02,NORMINV(RAND(),$C$7,$D$7))</f>
        <v/>
      </c>
      <c r="M888" s="57">
        <f>MIN(0.16,MAX(0.05,NORMINV(RAND(),$C$8,$D$8)))</f>
        <v/>
      </c>
      <c r="N888" s="59">
        <f>MIN(24,MAX(5,NORMINV(RAND(),$C$9,$D$9)))</f>
        <v/>
      </c>
      <c r="O888" s="65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57">
        <f>MAX(-0.05,NORMINV(RAND(),$C$6,$D$6))</f>
        <v/>
      </c>
      <c r="L889" s="57">
        <f>MAX(0.02,NORMINV(RAND(),$C$7,$D$7))</f>
        <v/>
      </c>
      <c r="M889" s="57">
        <f>MIN(0.16,MAX(0.05,NORMINV(RAND(),$C$8,$D$8)))</f>
        <v/>
      </c>
      <c r="N889" s="59">
        <f>MIN(24,MAX(5,NORMINV(RAND(),$C$9,$D$9)))</f>
        <v/>
      </c>
      <c r="O889" s="65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57">
        <f>MAX(-0.05,NORMINV(RAND(),$C$6,$D$6))</f>
        <v/>
      </c>
      <c r="L890" s="57">
        <f>MAX(0.02,NORMINV(RAND(),$C$7,$D$7))</f>
        <v/>
      </c>
      <c r="M890" s="57">
        <f>MIN(0.16,MAX(0.05,NORMINV(RAND(),$C$8,$D$8)))</f>
        <v/>
      </c>
      <c r="N890" s="59">
        <f>MIN(24,MAX(5,NORMINV(RAND(),$C$9,$D$9)))</f>
        <v/>
      </c>
      <c r="O890" s="65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57">
        <f>MAX(-0.05,NORMINV(RAND(),$C$6,$D$6))</f>
        <v/>
      </c>
      <c r="L891" s="57">
        <f>MAX(0.02,NORMINV(RAND(),$C$7,$D$7))</f>
        <v/>
      </c>
      <c r="M891" s="57">
        <f>MIN(0.16,MAX(0.05,NORMINV(RAND(),$C$8,$D$8)))</f>
        <v/>
      </c>
      <c r="N891" s="59">
        <f>MIN(24,MAX(5,NORMINV(RAND(),$C$9,$D$9)))</f>
        <v/>
      </c>
      <c r="O891" s="65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57">
        <f>MAX(-0.05,NORMINV(RAND(),$C$6,$D$6))</f>
        <v/>
      </c>
      <c r="L892" s="57">
        <f>MAX(0.02,NORMINV(RAND(),$C$7,$D$7))</f>
        <v/>
      </c>
      <c r="M892" s="57">
        <f>MIN(0.16,MAX(0.05,NORMINV(RAND(),$C$8,$D$8)))</f>
        <v/>
      </c>
      <c r="N892" s="59">
        <f>MIN(24,MAX(5,NORMINV(RAND(),$C$9,$D$9)))</f>
        <v/>
      </c>
      <c r="O892" s="65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57">
        <f>MAX(-0.05,NORMINV(RAND(),$C$6,$D$6))</f>
        <v/>
      </c>
      <c r="L893" s="57">
        <f>MAX(0.02,NORMINV(RAND(),$C$7,$D$7))</f>
        <v/>
      </c>
      <c r="M893" s="57">
        <f>MIN(0.16,MAX(0.05,NORMINV(RAND(),$C$8,$D$8)))</f>
        <v/>
      </c>
      <c r="N893" s="59">
        <f>MIN(24,MAX(5,NORMINV(RAND(),$C$9,$D$9)))</f>
        <v/>
      </c>
      <c r="O893" s="65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57">
        <f>MAX(-0.05,NORMINV(RAND(),$C$6,$D$6))</f>
        <v/>
      </c>
      <c r="L894" s="57">
        <f>MAX(0.02,NORMINV(RAND(),$C$7,$D$7))</f>
        <v/>
      </c>
      <c r="M894" s="57">
        <f>MIN(0.16,MAX(0.05,NORMINV(RAND(),$C$8,$D$8)))</f>
        <v/>
      </c>
      <c r="N894" s="59">
        <f>MIN(24,MAX(5,NORMINV(RAND(),$C$9,$D$9)))</f>
        <v/>
      </c>
      <c r="O894" s="65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57">
        <f>MAX(-0.05,NORMINV(RAND(),$C$6,$D$6))</f>
        <v/>
      </c>
      <c r="L895" s="57">
        <f>MAX(0.02,NORMINV(RAND(),$C$7,$D$7))</f>
        <v/>
      </c>
      <c r="M895" s="57">
        <f>MIN(0.16,MAX(0.05,NORMINV(RAND(),$C$8,$D$8)))</f>
        <v/>
      </c>
      <c r="N895" s="59">
        <f>MIN(24,MAX(5,NORMINV(RAND(),$C$9,$D$9)))</f>
        <v/>
      </c>
      <c r="O895" s="65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57">
        <f>MAX(-0.05,NORMINV(RAND(),$C$6,$D$6))</f>
        <v/>
      </c>
      <c r="L896" s="57">
        <f>MAX(0.02,NORMINV(RAND(),$C$7,$D$7))</f>
        <v/>
      </c>
      <c r="M896" s="57">
        <f>MIN(0.16,MAX(0.05,NORMINV(RAND(),$C$8,$D$8)))</f>
        <v/>
      </c>
      <c r="N896" s="59">
        <f>MIN(24,MAX(5,NORMINV(RAND(),$C$9,$D$9)))</f>
        <v/>
      </c>
      <c r="O896" s="65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57">
        <f>MAX(-0.05,NORMINV(RAND(),$C$6,$D$6))</f>
        <v/>
      </c>
      <c r="L897" s="57">
        <f>MAX(0.02,NORMINV(RAND(),$C$7,$D$7))</f>
        <v/>
      </c>
      <c r="M897" s="57">
        <f>MIN(0.16,MAX(0.05,NORMINV(RAND(),$C$8,$D$8)))</f>
        <v/>
      </c>
      <c r="N897" s="59">
        <f>MIN(24,MAX(5,NORMINV(RAND(),$C$9,$D$9)))</f>
        <v/>
      </c>
      <c r="O897" s="65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57">
        <f>MAX(-0.05,NORMINV(RAND(),$C$6,$D$6))</f>
        <v/>
      </c>
      <c r="L898" s="57">
        <f>MAX(0.02,NORMINV(RAND(),$C$7,$D$7))</f>
        <v/>
      </c>
      <c r="M898" s="57">
        <f>MIN(0.16,MAX(0.05,NORMINV(RAND(),$C$8,$D$8)))</f>
        <v/>
      </c>
      <c r="N898" s="59">
        <f>MIN(24,MAX(5,NORMINV(RAND(),$C$9,$D$9)))</f>
        <v/>
      </c>
      <c r="O898" s="65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57">
        <f>MAX(-0.05,NORMINV(RAND(),$C$6,$D$6))</f>
        <v/>
      </c>
      <c r="L899" s="57">
        <f>MAX(0.02,NORMINV(RAND(),$C$7,$D$7))</f>
        <v/>
      </c>
      <c r="M899" s="57">
        <f>MIN(0.16,MAX(0.05,NORMINV(RAND(),$C$8,$D$8)))</f>
        <v/>
      </c>
      <c r="N899" s="59">
        <f>MIN(24,MAX(5,NORMINV(RAND(),$C$9,$D$9)))</f>
        <v/>
      </c>
      <c r="O899" s="65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57">
        <f>MAX(-0.05,NORMINV(RAND(),$C$6,$D$6))</f>
        <v/>
      </c>
      <c r="L900" s="57">
        <f>MAX(0.02,NORMINV(RAND(),$C$7,$D$7))</f>
        <v/>
      </c>
      <c r="M900" s="57">
        <f>MIN(0.16,MAX(0.05,NORMINV(RAND(),$C$8,$D$8)))</f>
        <v/>
      </c>
      <c r="N900" s="59">
        <f>MIN(24,MAX(5,NORMINV(RAND(),$C$9,$D$9)))</f>
        <v/>
      </c>
      <c r="O900" s="65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57">
        <f>MAX(-0.05,NORMINV(RAND(),$C$6,$D$6))</f>
        <v/>
      </c>
      <c r="L901" s="57">
        <f>MAX(0.02,NORMINV(RAND(),$C$7,$D$7))</f>
        <v/>
      </c>
      <c r="M901" s="57">
        <f>MIN(0.16,MAX(0.05,NORMINV(RAND(),$C$8,$D$8)))</f>
        <v/>
      </c>
      <c r="N901" s="59">
        <f>MIN(24,MAX(5,NORMINV(RAND(),$C$9,$D$9)))</f>
        <v/>
      </c>
      <c r="O901" s="65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57">
        <f>MAX(-0.05,NORMINV(RAND(),$C$6,$D$6))</f>
        <v/>
      </c>
      <c r="L902" s="57">
        <f>MAX(0.02,NORMINV(RAND(),$C$7,$D$7))</f>
        <v/>
      </c>
      <c r="M902" s="57">
        <f>MIN(0.16,MAX(0.05,NORMINV(RAND(),$C$8,$D$8)))</f>
        <v/>
      </c>
      <c r="N902" s="59">
        <f>MIN(24,MAX(5,NORMINV(RAND(),$C$9,$D$9)))</f>
        <v/>
      </c>
      <c r="O902" s="65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57">
        <f>MAX(-0.05,NORMINV(RAND(),$C$6,$D$6))</f>
        <v/>
      </c>
      <c r="L903" s="57">
        <f>MAX(0.02,NORMINV(RAND(),$C$7,$D$7))</f>
        <v/>
      </c>
      <c r="M903" s="57">
        <f>MIN(0.16,MAX(0.05,NORMINV(RAND(),$C$8,$D$8)))</f>
        <v/>
      </c>
      <c r="N903" s="59">
        <f>MIN(24,MAX(5,NORMINV(RAND(),$C$9,$D$9)))</f>
        <v/>
      </c>
      <c r="O903" s="65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57">
        <f>MAX(-0.05,NORMINV(RAND(),$C$6,$D$6))</f>
        <v/>
      </c>
      <c r="L904" s="57">
        <f>MAX(0.02,NORMINV(RAND(),$C$7,$D$7))</f>
        <v/>
      </c>
      <c r="M904" s="57">
        <f>MIN(0.16,MAX(0.05,NORMINV(RAND(),$C$8,$D$8)))</f>
        <v/>
      </c>
      <c r="N904" s="59">
        <f>MIN(24,MAX(5,NORMINV(RAND(),$C$9,$D$9)))</f>
        <v/>
      </c>
      <c r="O904" s="65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57">
        <f>MAX(-0.05,NORMINV(RAND(),$C$6,$D$6))</f>
        <v/>
      </c>
      <c r="L905" s="57">
        <f>MAX(0.02,NORMINV(RAND(),$C$7,$D$7))</f>
        <v/>
      </c>
      <c r="M905" s="57">
        <f>MIN(0.16,MAX(0.05,NORMINV(RAND(),$C$8,$D$8)))</f>
        <v/>
      </c>
      <c r="N905" s="59">
        <f>MIN(24,MAX(5,NORMINV(RAND(),$C$9,$D$9)))</f>
        <v/>
      </c>
      <c r="O905" s="65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57">
        <f>MAX(-0.05,NORMINV(RAND(),$C$6,$D$6))</f>
        <v/>
      </c>
      <c r="L906" s="57">
        <f>MAX(0.02,NORMINV(RAND(),$C$7,$D$7))</f>
        <v/>
      </c>
      <c r="M906" s="57">
        <f>MIN(0.16,MAX(0.05,NORMINV(RAND(),$C$8,$D$8)))</f>
        <v/>
      </c>
      <c r="N906" s="59">
        <f>MIN(24,MAX(5,NORMINV(RAND(),$C$9,$D$9)))</f>
        <v/>
      </c>
      <c r="O906" s="65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57">
        <f>MAX(-0.05,NORMINV(RAND(),$C$6,$D$6))</f>
        <v/>
      </c>
      <c r="L907" s="57">
        <f>MAX(0.02,NORMINV(RAND(),$C$7,$D$7))</f>
        <v/>
      </c>
      <c r="M907" s="57">
        <f>MIN(0.16,MAX(0.05,NORMINV(RAND(),$C$8,$D$8)))</f>
        <v/>
      </c>
      <c r="N907" s="59">
        <f>MIN(24,MAX(5,NORMINV(RAND(),$C$9,$D$9)))</f>
        <v/>
      </c>
      <c r="O907" s="65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57">
        <f>MAX(-0.05,NORMINV(RAND(),$C$6,$D$6))</f>
        <v/>
      </c>
      <c r="L908" s="57">
        <f>MAX(0.02,NORMINV(RAND(),$C$7,$D$7))</f>
        <v/>
      </c>
      <c r="M908" s="57">
        <f>MIN(0.16,MAX(0.05,NORMINV(RAND(),$C$8,$D$8)))</f>
        <v/>
      </c>
      <c r="N908" s="59">
        <f>MIN(24,MAX(5,NORMINV(RAND(),$C$9,$D$9)))</f>
        <v/>
      </c>
      <c r="O908" s="65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57">
        <f>MAX(-0.05,NORMINV(RAND(),$C$6,$D$6))</f>
        <v/>
      </c>
      <c r="L909" s="57">
        <f>MAX(0.02,NORMINV(RAND(),$C$7,$D$7))</f>
        <v/>
      </c>
      <c r="M909" s="57">
        <f>MIN(0.16,MAX(0.05,NORMINV(RAND(),$C$8,$D$8)))</f>
        <v/>
      </c>
      <c r="N909" s="59">
        <f>MIN(24,MAX(5,NORMINV(RAND(),$C$9,$D$9)))</f>
        <v/>
      </c>
      <c r="O909" s="65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57">
        <f>MAX(-0.05,NORMINV(RAND(),$C$6,$D$6))</f>
        <v/>
      </c>
      <c r="L910" s="57">
        <f>MAX(0.02,NORMINV(RAND(),$C$7,$D$7))</f>
        <v/>
      </c>
      <c r="M910" s="57">
        <f>MIN(0.16,MAX(0.05,NORMINV(RAND(),$C$8,$D$8)))</f>
        <v/>
      </c>
      <c r="N910" s="59">
        <f>MIN(24,MAX(5,NORMINV(RAND(),$C$9,$D$9)))</f>
        <v/>
      </c>
      <c r="O910" s="65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57">
        <f>MAX(-0.05,NORMINV(RAND(),$C$6,$D$6))</f>
        <v/>
      </c>
      <c r="L911" s="57">
        <f>MAX(0.02,NORMINV(RAND(),$C$7,$D$7))</f>
        <v/>
      </c>
      <c r="M911" s="57">
        <f>MIN(0.16,MAX(0.05,NORMINV(RAND(),$C$8,$D$8)))</f>
        <v/>
      </c>
      <c r="N911" s="59">
        <f>MIN(24,MAX(5,NORMINV(RAND(),$C$9,$D$9)))</f>
        <v/>
      </c>
      <c r="O911" s="65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57">
        <f>MAX(-0.05,NORMINV(RAND(),$C$6,$D$6))</f>
        <v/>
      </c>
      <c r="L912" s="57">
        <f>MAX(0.02,NORMINV(RAND(),$C$7,$D$7))</f>
        <v/>
      </c>
      <c r="M912" s="57">
        <f>MIN(0.16,MAX(0.05,NORMINV(RAND(),$C$8,$D$8)))</f>
        <v/>
      </c>
      <c r="N912" s="59">
        <f>MIN(24,MAX(5,NORMINV(RAND(),$C$9,$D$9)))</f>
        <v/>
      </c>
      <c r="O912" s="65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57">
        <f>MAX(-0.05,NORMINV(RAND(),$C$6,$D$6))</f>
        <v/>
      </c>
      <c r="L913" s="57">
        <f>MAX(0.02,NORMINV(RAND(),$C$7,$D$7))</f>
        <v/>
      </c>
      <c r="M913" s="57">
        <f>MIN(0.16,MAX(0.05,NORMINV(RAND(),$C$8,$D$8)))</f>
        <v/>
      </c>
      <c r="N913" s="59">
        <f>MIN(24,MAX(5,NORMINV(RAND(),$C$9,$D$9)))</f>
        <v/>
      </c>
      <c r="O913" s="65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57">
        <f>MAX(-0.05,NORMINV(RAND(),$C$6,$D$6))</f>
        <v/>
      </c>
      <c r="L914" s="57">
        <f>MAX(0.02,NORMINV(RAND(),$C$7,$D$7))</f>
        <v/>
      </c>
      <c r="M914" s="57">
        <f>MIN(0.16,MAX(0.05,NORMINV(RAND(),$C$8,$D$8)))</f>
        <v/>
      </c>
      <c r="N914" s="59">
        <f>MIN(24,MAX(5,NORMINV(RAND(),$C$9,$D$9)))</f>
        <v/>
      </c>
      <c r="O914" s="65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57">
        <f>MAX(-0.05,NORMINV(RAND(),$C$6,$D$6))</f>
        <v/>
      </c>
      <c r="L915" s="57">
        <f>MAX(0.02,NORMINV(RAND(),$C$7,$D$7))</f>
        <v/>
      </c>
      <c r="M915" s="57">
        <f>MIN(0.16,MAX(0.05,NORMINV(RAND(),$C$8,$D$8)))</f>
        <v/>
      </c>
      <c r="N915" s="59">
        <f>MIN(24,MAX(5,NORMINV(RAND(),$C$9,$D$9)))</f>
        <v/>
      </c>
      <c r="O915" s="65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57">
        <f>MAX(-0.05,NORMINV(RAND(),$C$6,$D$6))</f>
        <v/>
      </c>
      <c r="L916" s="57">
        <f>MAX(0.02,NORMINV(RAND(),$C$7,$D$7))</f>
        <v/>
      </c>
      <c r="M916" s="57">
        <f>MIN(0.16,MAX(0.05,NORMINV(RAND(),$C$8,$D$8)))</f>
        <v/>
      </c>
      <c r="N916" s="59">
        <f>MIN(24,MAX(5,NORMINV(RAND(),$C$9,$D$9)))</f>
        <v/>
      </c>
      <c r="O916" s="65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57">
        <f>MAX(-0.05,NORMINV(RAND(),$C$6,$D$6))</f>
        <v/>
      </c>
      <c r="L917" s="57">
        <f>MAX(0.02,NORMINV(RAND(),$C$7,$D$7))</f>
        <v/>
      </c>
      <c r="M917" s="57">
        <f>MIN(0.16,MAX(0.05,NORMINV(RAND(),$C$8,$D$8)))</f>
        <v/>
      </c>
      <c r="N917" s="59">
        <f>MIN(24,MAX(5,NORMINV(RAND(),$C$9,$D$9)))</f>
        <v/>
      </c>
      <c r="O917" s="65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57">
        <f>MAX(-0.05,NORMINV(RAND(),$C$6,$D$6))</f>
        <v/>
      </c>
      <c r="L918" s="57">
        <f>MAX(0.02,NORMINV(RAND(),$C$7,$D$7))</f>
        <v/>
      </c>
      <c r="M918" s="57">
        <f>MIN(0.16,MAX(0.05,NORMINV(RAND(),$C$8,$D$8)))</f>
        <v/>
      </c>
      <c r="N918" s="59">
        <f>MIN(24,MAX(5,NORMINV(RAND(),$C$9,$D$9)))</f>
        <v/>
      </c>
      <c r="O918" s="65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57">
        <f>MAX(-0.05,NORMINV(RAND(),$C$6,$D$6))</f>
        <v/>
      </c>
      <c r="L919" s="57">
        <f>MAX(0.02,NORMINV(RAND(),$C$7,$D$7))</f>
        <v/>
      </c>
      <c r="M919" s="57">
        <f>MIN(0.16,MAX(0.05,NORMINV(RAND(),$C$8,$D$8)))</f>
        <v/>
      </c>
      <c r="N919" s="59">
        <f>MIN(24,MAX(5,NORMINV(RAND(),$C$9,$D$9)))</f>
        <v/>
      </c>
      <c r="O919" s="65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57">
        <f>MAX(-0.05,NORMINV(RAND(),$C$6,$D$6))</f>
        <v/>
      </c>
      <c r="L920" s="57">
        <f>MAX(0.02,NORMINV(RAND(),$C$7,$D$7))</f>
        <v/>
      </c>
      <c r="M920" s="57">
        <f>MIN(0.16,MAX(0.05,NORMINV(RAND(),$C$8,$D$8)))</f>
        <v/>
      </c>
      <c r="N920" s="59">
        <f>MIN(24,MAX(5,NORMINV(RAND(),$C$9,$D$9)))</f>
        <v/>
      </c>
      <c r="O920" s="65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57">
        <f>MAX(-0.05,NORMINV(RAND(),$C$6,$D$6))</f>
        <v/>
      </c>
      <c r="L921" s="57">
        <f>MAX(0.02,NORMINV(RAND(),$C$7,$D$7))</f>
        <v/>
      </c>
      <c r="M921" s="57">
        <f>MIN(0.16,MAX(0.05,NORMINV(RAND(),$C$8,$D$8)))</f>
        <v/>
      </c>
      <c r="N921" s="59">
        <f>MIN(24,MAX(5,NORMINV(RAND(),$C$9,$D$9)))</f>
        <v/>
      </c>
      <c r="O921" s="65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57">
        <f>MAX(-0.05,NORMINV(RAND(),$C$6,$D$6))</f>
        <v/>
      </c>
      <c r="L922" s="57">
        <f>MAX(0.02,NORMINV(RAND(),$C$7,$D$7))</f>
        <v/>
      </c>
      <c r="M922" s="57">
        <f>MIN(0.16,MAX(0.05,NORMINV(RAND(),$C$8,$D$8)))</f>
        <v/>
      </c>
      <c r="N922" s="59">
        <f>MIN(24,MAX(5,NORMINV(RAND(),$C$9,$D$9)))</f>
        <v/>
      </c>
      <c r="O922" s="65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57">
        <f>MAX(-0.05,NORMINV(RAND(),$C$6,$D$6))</f>
        <v/>
      </c>
      <c r="L923" s="57">
        <f>MAX(0.02,NORMINV(RAND(),$C$7,$D$7))</f>
        <v/>
      </c>
      <c r="M923" s="57">
        <f>MIN(0.16,MAX(0.05,NORMINV(RAND(),$C$8,$D$8)))</f>
        <v/>
      </c>
      <c r="N923" s="59">
        <f>MIN(24,MAX(5,NORMINV(RAND(),$C$9,$D$9)))</f>
        <v/>
      </c>
      <c r="O923" s="65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57">
        <f>MAX(-0.05,NORMINV(RAND(),$C$6,$D$6))</f>
        <v/>
      </c>
      <c r="L924" s="57">
        <f>MAX(0.02,NORMINV(RAND(),$C$7,$D$7))</f>
        <v/>
      </c>
      <c r="M924" s="57">
        <f>MIN(0.16,MAX(0.05,NORMINV(RAND(),$C$8,$D$8)))</f>
        <v/>
      </c>
      <c r="N924" s="59">
        <f>MIN(24,MAX(5,NORMINV(RAND(),$C$9,$D$9)))</f>
        <v/>
      </c>
      <c r="O924" s="65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57">
        <f>MAX(-0.05,NORMINV(RAND(),$C$6,$D$6))</f>
        <v/>
      </c>
      <c r="L925" s="57">
        <f>MAX(0.02,NORMINV(RAND(),$C$7,$D$7))</f>
        <v/>
      </c>
      <c r="M925" s="57">
        <f>MIN(0.16,MAX(0.05,NORMINV(RAND(),$C$8,$D$8)))</f>
        <v/>
      </c>
      <c r="N925" s="59">
        <f>MIN(24,MAX(5,NORMINV(RAND(),$C$9,$D$9)))</f>
        <v/>
      </c>
      <c r="O925" s="65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57">
        <f>MAX(-0.05,NORMINV(RAND(),$C$6,$D$6))</f>
        <v/>
      </c>
      <c r="L926" s="57">
        <f>MAX(0.02,NORMINV(RAND(),$C$7,$D$7))</f>
        <v/>
      </c>
      <c r="M926" s="57">
        <f>MIN(0.16,MAX(0.05,NORMINV(RAND(),$C$8,$D$8)))</f>
        <v/>
      </c>
      <c r="N926" s="59">
        <f>MIN(24,MAX(5,NORMINV(RAND(),$C$9,$D$9)))</f>
        <v/>
      </c>
      <c r="O926" s="65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57">
        <f>MAX(-0.05,NORMINV(RAND(),$C$6,$D$6))</f>
        <v/>
      </c>
      <c r="L927" s="57">
        <f>MAX(0.02,NORMINV(RAND(),$C$7,$D$7))</f>
        <v/>
      </c>
      <c r="M927" s="57">
        <f>MIN(0.16,MAX(0.05,NORMINV(RAND(),$C$8,$D$8)))</f>
        <v/>
      </c>
      <c r="N927" s="59">
        <f>MIN(24,MAX(5,NORMINV(RAND(),$C$9,$D$9)))</f>
        <v/>
      </c>
      <c r="O927" s="65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57">
        <f>MAX(-0.05,NORMINV(RAND(),$C$6,$D$6))</f>
        <v/>
      </c>
      <c r="L928" s="57">
        <f>MAX(0.02,NORMINV(RAND(),$C$7,$D$7))</f>
        <v/>
      </c>
      <c r="M928" s="57">
        <f>MIN(0.16,MAX(0.05,NORMINV(RAND(),$C$8,$D$8)))</f>
        <v/>
      </c>
      <c r="N928" s="59">
        <f>MIN(24,MAX(5,NORMINV(RAND(),$C$9,$D$9)))</f>
        <v/>
      </c>
      <c r="O928" s="65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57">
        <f>MAX(-0.05,NORMINV(RAND(),$C$6,$D$6))</f>
        <v/>
      </c>
      <c r="L929" s="57">
        <f>MAX(0.02,NORMINV(RAND(),$C$7,$D$7))</f>
        <v/>
      </c>
      <c r="M929" s="57">
        <f>MIN(0.16,MAX(0.05,NORMINV(RAND(),$C$8,$D$8)))</f>
        <v/>
      </c>
      <c r="N929" s="59">
        <f>MIN(24,MAX(5,NORMINV(RAND(),$C$9,$D$9)))</f>
        <v/>
      </c>
      <c r="O929" s="65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57">
        <f>MAX(-0.05,NORMINV(RAND(),$C$6,$D$6))</f>
        <v/>
      </c>
      <c r="L930" s="57">
        <f>MAX(0.02,NORMINV(RAND(),$C$7,$D$7))</f>
        <v/>
      </c>
      <c r="M930" s="57">
        <f>MIN(0.16,MAX(0.05,NORMINV(RAND(),$C$8,$D$8)))</f>
        <v/>
      </c>
      <c r="N930" s="59">
        <f>MIN(24,MAX(5,NORMINV(RAND(),$C$9,$D$9)))</f>
        <v/>
      </c>
      <c r="O930" s="65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57">
        <f>MAX(-0.05,NORMINV(RAND(),$C$6,$D$6))</f>
        <v/>
      </c>
      <c r="L931" s="57">
        <f>MAX(0.02,NORMINV(RAND(),$C$7,$D$7))</f>
        <v/>
      </c>
      <c r="M931" s="57">
        <f>MIN(0.16,MAX(0.05,NORMINV(RAND(),$C$8,$D$8)))</f>
        <v/>
      </c>
      <c r="N931" s="59">
        <f>MIN(24,MAX(5,NORMINV(RAND(),$C$9,$D$9)))</f>
        <v/>
      </c>
      <c r="O931" s="65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57">
        <f>MAX(-0.05,NORMINV(RAND(),$C$6,$D$6))</f>
        <v/>
      </c>
      <c r="L932" s="57">
        <f>MAX(0.02,NORMINV(RAND(),$C$7,$D$7))</f>
        <v/>
      </c>
      <c r="M932" s="57">
        <f>MIN(0.16,MAX(0.05,NORMINV(RAND(),$C$8,$D$8)))</f>
        <v/>
      </c>
      <c r="N932" s="59">
        <f>MIN(24,MAX(5,NORMINV(RAND(),$C$9,$D$9)))</f>
        <v/>
      </c>
      <c r="O932" s="65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57">
        <f>MAX(-0.05,NORMINV(RAND(),$C$6,$D$6))</f>
        <v/>
      </c>
      <c r="L933" s="57">
        <f>MAX(0.02,NORMINV(RAND(),$C$7,$D$7))</f>
        <v/>
      </c>
      <c r="M933" s="57">
        <f>MIN(0.16,MAX(0.05,NORMINV(RAND(),$C$8,$D$8)))</f>
        <v/>
      </c>
      <c r="N933" s="59">
        <f>MIN(24,MAX(5,NORMINV(RAND(),$C$9,$D$9)))</f>
        <v/>
      </c>
      <c r="O933" s="65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57">
        <f>MAX(-0.05,NORMINV(RAND(),$C$6,$D$6))</f>
        <v/>
      </c>
      <c r="L934" s="57">
        <f>MAX(0.02,NORMINV(RAND(),$C$7,$D$7))</f>
        <v/>
      </c>
      <c r="M934" s="57">
        <f>MIN(0.16,MAX(0.05,NORMINV(RAND(),$C$8,$D$8)))</f>
        <v/>
      </c>
      <c r="N934" s="59">
        <f>MIN(24,MAX(5,NORMINV(RAND(),$C$9,$D$9)))</f>
        <v/>
      </c>
      <c r="O934" s="65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57">
        <f>MAX(-0.05,NORMINV(RAND(),$C$6,$D$6))</f>
        <v/>
      </c>
      <c r="L935" s="57">
        <f>MAX(0.02,NORMINV(RAND(),$C$7,$D$7))</f>
        <v/>
      </c>
      <c r="M935" s="57">
        <f>MIN(0.16,MAX(0.05,NORMINV(RAND(),$C$8,$D$8)))</f>
        <v/>
      </c>
      <c r="N935" s="59">
        <f>MIN(24,MAX(5,NORMINV(RAND(),$C$9,$D$9)))</f>
        <v/>
      </c>
      <c r="O935" s="65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57">
        <f>MAX(-0.05,NORMINV(RAND(),$C$6,$D$6))</f>
        <v/>
      </c>
      <c r="L936" s="57">
        <f>MAX(0.02,NORMINV(RAND(),$C$7,$D$7))</f>
        <v/>
      </c>
      <c r="M936" s="57">
        <f>MIN(0.16,MAX(0.05,NORMINV(RAND(),$C$8,$D$8)))</f>
        <v/>
      </c>
      <c r="N936" s="59">
        <f>MIN(24,MAX(5,NORMINV(RAND(),$C$9,$D$9)))</f>
        <v/>
      </c>
      <c r="O936" s="65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57">
        <f>MAX(-0.05,NORMINV(RAND(),$C$6,$D$6))</f>
        <v/>
      </c>
      <c r="L937" s="57">
        <f>MAX(0.02,NORMINV(RAND(),$C$7,$D$7))</f>
        <v/>
      </c>
      <c r="M937" s="57">
        <f>MIN(0.16,MAX(0.05,NORMINV(RAND(),$C$8,$D$8)))</f>
        <v/>
      </c>
      <c r="N937" s="59">
        <f>MIN(24,MAX(5,NORMINV(RAND(),$C$9,$D$9)))</f>
        <v/>
      </c>
      <c r="O937" s="65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57">
        <f>MAX(-0.05,NORMINV(RAND(),$C$6,$D$6))</f>
        <v/>
      </c>
      <c r="L938" s="57">
        <f>MAX(0.02,NORMINV(RAND(),$C$7,$D$7))</f>
        <v/>
      </c>
      <c r="M938" s="57">
        <f>MIN(0.16,MAX(0.05,NORMINV(RAND(),$C$8,$D$8)))</f>
        <v/>
      </c>
      <c r="N938" s="59">
        <f>MIN(24,MAX(5,NORMINV(RAND(),$C$9,$D$9)))</f>
        <v/>
      </c>
      <c r="O938" s="65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57">
        <f>MAX(-0.05,NORMINV(RAND(),$C$6,$D$6))</f>
        <v/>
      </c>
      <c r="L939" s="57">
        <f>MAX(0.02,NORMINV(RAND(),$C$7,$D$7))</f>
        <v/>
      </c>
      <c r="M939" s="57">
        <f>MIN(0.16,MAX(0.05,NORMINV(RAND(),$C$8,$D$8)))</f>
        <v/>
      </c>
      <c r="N939" s="59">
        <f>MIN(24,MAX(5,NORMINV(RAND(),$C$9,$D$9)))</f>
        <v/>
      </c>
      <c r="O939" s="65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57">
        <f>MAX(-0.05,NORMINV(RAND(),$C$6,$D$6))</f>
        <v/>
      </c>
      <c r="L940" s="57">
        <f>MAX(0.02,NORMINV(RAND(),$C$7,$D$7))</f>
        <v/>
      </c>
      <c r="M940" s="57">
        <f>MIN(0.16,MAX(0.05,NORMINV(RAND(),$C$8,$D$8)))</f>
        <v/>
      </c>
      <c r="N940" s="59">
        <f>MIN(24,MAX(5,NORMINV(RAND(),$C$9,$D$9)))</f>
        <v/>
      </c>
      <c r="O940" s="65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57">
        <f>MAX(-0.05,NORMINV(RAND(),$C$6,$D$6))</f>
        <v/>
      </c>
      <c r="L941" s="57">
        <f>MAX(0.02,NORMINV(RAND(),$C$7,$D$7))</f>
        <v/>
      </c>
      <c r="M941" s="57">
        <f>MIN(0.16,MAX(0.05,NORMINV(RAND(),$C$8,$D$8)))</f>
        <v/>
      </c>
      <c r="N941" s="59">
        <f>MIN(24,MAX(5,NORMINV(RAND(),$C$9,$D$9)))</f>
        <v/>
      </c>
      <c r="O941" s="65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57">
        <f>MAX(-0.05,NORMINV(RAND(),$C$6,$D$6))</f>
        <v/>
      </c>
      <c r="L942" s="57">
        <f>MAX(0.02,NORMINV(RAND(),$C$7,$D$7))</f>
        <v/>
      </c>
      <c r="M942" s="57">
        <f>MIN(0.16,MAX(0.05,NORMINV(RAND(),$C$8,$D$8)))</f>
        <v/>
      </c>
      <c r="N942" s="59">
        <f>MIN(24,MAX(5,NORMINV(RAND(),$C$9,$D$9)))</f>
        <v/>
      </c>
      <c r="O942" s="65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57">
        <f>MAX(-0.05,NORMINV(RAND(),$C$6,$D$6))</f>
        <v/>
      </c>
      <c r="L943" s="57">
        <f>MAX(0.02,NORMINV(RAND(),$C$7,$D$7))</f>
        <v/>
      </c>
      <c r="M943" s="57">
        <f>MIN(0.16,MAX(0.05,NORMINV(RAND(),$C$8,$D$8)))</f>
        <v/>
      </c>
      <c r="N943" s="59">
        <f>MIN(24,MAX(5,NORMINV(RAND(),$C$9,$D$9)))</f>
        <v/>
      </c>
      <c r="O943" s="65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57">
        <f>MAX(-0.05,NORMINV(RAND(),$C$6,$D$6))</f>
        <v/>
      </c>
      <c r="L944" s="57">
        <f>MAX(0.02,NORMINV(RAND(),$C$7,$D$7))</f>
        <v/>
      </c>
      <c r="M944" s="57">
        <f>MIN(0.16,MAX(0.05,NORMINV(RAND(),$C$8,$D$8)))</f>
        <v/>
      </c>
      <c r="N944" s="59">
        <f>MIN(24,MAX(5,NORMINV(RAND(),$C$9,$D$9)))</f>
        <v/>
      </c>
      <c r="O944" s="65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57">
        <f>MAX(-0.05,NORMINV(RAND(),$C$6,$D$6))</f>
        <v/>
      </c>
      <c r="L945" s="57">
        <f>MAX(0.02,NORMINV(RAND(),$C$7,$D$7))</f>
        <v/>
      </c>
      <c r="M945" s="57">
        <f>MIN(0.16,MAX(0.05,NORMINV(RAND(),$C$8,$D$8)))</f>
        <v/>
      </c>
      <c r="N945" s="59">
        <f>MIN(24,MAX(5,NORMINV(RAND(),$C$9,$D$9)))</f>
        <v/>
      </c>
      <c r="O945" s="65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57">
        <f>MAX(-0.05,NORMINV(RAND(),$C$6,$D$6))</f>
        <v/>
      </c>
      <c r="L946" s="57">
        <f>MAX(0.02,NORMINV(RAND(),$C$7,$D$7))</f>
        <v/>
      </c>
      <c r="M946" s="57">
        <f>MIN(0.16,MAX(0.05,NORMINV(RAND(),$C$8,$D$8)))</f>
        <v/>
      </c>
      <c r="N946" s="59">
        <f>MIN(24,MAX(5,NORMINV(RAND(),$C$9,$D$9)))</f>
        <v/>
      </c>
      <c r="O946" s="65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57">
        <f>MAX(-0.05,NORMINV(RAND(),$C$6,$D$6))</f>
        <v/>
      </c>
      <c r="L947" s="57">
        <f>MAX(0.02,NORMINV(RAND(),$C$7,$D$7))</f>
        <v/>
      </c>
      <c r="M947" s="57">
        <f>MIN(0.16,MAX(0.05,NORMINV(RAND(),$C$8,$D$8)))</f>
        <v/>
      </c>
      <c r="N947" s="59">
        <f>MIN(24,MAX(5,NORMINV(RAND(),$C$9,$D$9)))</f>
        <v/>
      </c>
      <c r="O947" s="65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57">
        <f>MAX(-0.05,NORMINV(RAND(),$C$6,$D$6))</f>
        <v/>
      </c>
      <c r="L948" s="57">
        <f>MAX(0.02,NORMINV(RAND(),$C$7,$D$7))</f>
        <v/>
      </c>
      <c r="M948" s="57">
        <f>MIN(0.16,MAX(0.05,NORMINV(RAND(),$C$8,$D$8)))</f>
        <v/>
      </c>
      <c r="N948" s="59">
        <f>MIN(24,MAX(5,NORMINV(RAND(),$C$9,$D$9)))</f>
        <v/>
      </c>
      <c r="O948" s="65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57">
        <f>MAX(-0.05,NORMINV(RAND(),$C$6,$D$6))</f>
        <v/>
      </c>
      <c r="L949" s="57">
        <f>MAX(0.02,NORMINV(RAND(),$C$7,$D$7))</f>
        <v/>
      </c>
      <c r="M949" s="57">
        <f>MIN(0.16,MAX(0.05,NORMINV(RAND(),$C$8,$D$8)))</f>
        <v/>
      </c>
      <c r="N949" s="59">
        <f>MIN(24,MAX(5,NORMINV(RAND(),$C$9,$D$9)))</f>
        <v/>
      </c>
      <c r="O949" s="65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57">
        <f>MAX(-0.05,NORMINV(RAND(),$C$6,$D$6))</f>
        <v/>
      </c>
      <c r="L950" s="57">
        <f>MAX(0.02,NORMINV(RAND(),$C$7,$D$7))</f>
        <v/>
      </c>
      <c r="M950" s="57">
        <f>MIN(0.16,MAX(0.05,NORMINV(RAND(),$C$8,$D$8)))</f>
        <v/>
      </c>
      <c r="N950" s="59">
        <f>MIN(24,MAX(5,NORMINV(RAND(),$C$9,$D$9)))</f>
        <v/>
      </c>
      <c r="O950" s="65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57">
        <f>MAX(-0.05,NORMINV(RAND(),$C$6,$D$6))</f>
        <v/>
      </c>
      <c r="L951" s="57">
        <f>MAX(0.02,NORMINV(RAND(),$C$7,$D$7))</f>
        <v/>
      </c>
      <c r="M951" s="57">
        <f>MIN(0.16,MAX(0.05,NORMINV(RAND(),$C$8,$D$8)))</f>
        <v/>
      </c>
      <c r="N951" s="59">
        <f>MIN(24,MAX(5,NORMINV(RAND(),$C$9,$D$9)))</f>
        <v/>
      </c>
      <c r="O951" s="65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57">
        <f>MAX(-0.05,NORMINV(RAND(),$C$6,$D$6))</f>
        <v/>
      </c>
      <c r="L952" s="57">
        <f>MAX(0.02,NORMINV(RAND(),$C$7,$D$7))</f>
        <v/>
      </c>
      <c r="M952" s="57">
        <f>MIN(0.16,MAX(0.05,NORMINV(RAND(),$C$8,$D$8)))</f>
        <v/>
      </c>
      <c r="N952" s="59">
        <f>MIN(24,MAX(5,NORMINV(RAND(),$C$9,$D$9)))</f>
        <v/>
      </c>
      <c r="O952" s="65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57">
        <f>MAX(-0.05,NORMINV(RAND(),$C$6,$D$6))</f>
        <v/>
      </c>
      <c r="L953" s="57">
        <f>MAX(0.02,NORMINV(RAND(),$C$7,$D$7))</f>
        <v/>
      </c>
      <c r="M953" s="57">
        <f>MIN(0.16,MAX(0.05,NORMINV(RAND(),$C$8,$D$8)))</f>
        <v/>
      </c>
      <c r="N953" s="59">
        <f>MIN(24,MAX(5,NORMINV(RAND(),$C$9,$D$9)))</f>
        <v/>
      </c>
      <c r="O953" s="65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57">
        <f>MAX(-0.05,NORMINV(RAND(),$C$6,$D$6))</f>
        <v/>
      </c>
      <c r="L954" s="57">
        <f>MAX(0.02,NORMINV(RAND(),$C$7,$D$7))</f>
        <v/>
      </c>
      <c r="M954" s="57">
        <f>MIN(0.16,MAX(0.05,NORMINV(RAND(),$C$8,$D$8)))</f>
        <v/>
      </c>
      <c r="N954" s="59">
        <f>MIN(24,MAX(5,NORMINV(RAND(),$C$9,$D$9)))</f>
        <v/>
      </c>
      <c r="O954" s="65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57">
        <f>MAX(-0.05,NORMINV(RAND(),$C$6,$D$6))</f>
        <v/>
      </c>
      <c r="L955" s="57">
        <f>MAX(0.02,NORMINV(RAND(),$C$7,$D$7))</f>
        <v/>
      </c>
      <c r="M955" s="57">
        <f>MIN(0.16,MAX(0.05,NORMINV(RAND(),$C$8,$D$8)))</f>
        <v/>
      </c>
      <c r="N955" s="59">
        <f>MIN(24,MAX(5,NORMINV(RAND(),$C$9,$D$9)))</f>
        <v/>
      </c>
      <c r="O955" s="65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57">
        <f>MAX(-0.05,NORMINV(RAND(),$C$6,$D$6))</f>
        <v/>
      </c>
      <c r="L956" s="57">
        <f>MAX(0.02,NORMINV(RAND(),$C$7,$D$7))</f>
        <v/>
      </c>
      <c r="M956" s="57">
        <f>MIN(0.16,MAX(0.05,NORMINV(RAND(),$C$8,$D$8)))</f>
        <v/>
      </c>
      <c r="N956" s="59">
        <f>MIN(24,MAX(5,NORMINV(RAND(),$C$9,$D$9)))</f>
        <v/>
      </c>
      <c r="O956" s="65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57">
        <f>MAX(-0.05,NORMINV(RAND(),$C$6,$D$6))</f>
        <v/>
      </c>
      <c r="L957" s="57">
        <f>MAX(0.02,NORMINV(RAND(),$C$7,$D$7))</f>
        <v/>
      </c>
      <c r="M957" s="57">
        <f>MIN(0.16,MAX(0.05,NORMINV(RAND(),$C$8,$D$8)))</f>
        <v/>
      </c>
      <c r="N957" s="59">
        <f>MIN(24,MAX(5,NORMINV(RAND(),$C$9,$D$9)))</f>
        <v/>
      </c>
      <c r="O957" s="65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57">
        <f>MAX(-0.05,NORMINV(RAND(),$C$6,$D$6))</f>
        <v/>
      </c>
      <c r="L958" s="57">
        <f>MAX(0.02,NORMINV(RAND(),$C$7,$D$7))</f>
        <v/>
      </c>
      <c r="M958" s="57">
        <f>MIN(0.16,MAX(0.05,NORMINV(RAND(),$C$8,$D$8)))</f>
        <v/>
      </c>
      <c r="N958" s="59">
        <f>MIN(24,MAX(5,NORMINV(RAND(),$C$9,$D$9)))</f>
        <v/>
      </c>
      <c r="O958" s="65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57">
        <f>MAX(-0.05,NORMINV(RAND(),$C$6,$D$6))</f>
        <v/>
      </c>
      <c r="L959" s="57">
        <f>MAX(0.02,NORMINV(RAND(),$C$7,$D$7))</f>
        <v/>
      </c>
      <c r="M959" s="57">
        <f>MIN(0.16,MAX(0.05,NORMINV(RAND(),$C$8,$D$8)))</f>
        <v/>
      </c>
      <c r="N959" s="59">
        <f>MIN(24,MAX(5,NORMINV(RAND(),$C$9,$D$9)))</f>
        <v/>
      </c>
      <c r="O959" s="65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57">
        <f>MAX(-0.05,NORMINV(RAND(),$C$6,$D$6))</f>
        <v/>
      </c>
      <c r="L960" s="57">
        <f>MAX(0.02,NORMINV(RAND(),$C$7,$D$7))</f>
        <v/>
      </c>
      <c r="M960" s="57">
        <f>MIN(0.16,MAX(0.05,NORMINV(RAND(),$C$8,$D$8)))</f>
        <v/>
      </c>
      <c r="N960" s="59">
        <f>MIN(24,MAX(5,NORMINV(RAND(),$C$9,$D$9)))</f>
        <v/>
      </c>
      <c r="O960" s="65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57">
        <f>MAX(-0.05,NORMINV(RAND(),$C$6,$D$6))</f>
        <v/>
      </c>
      <c r="L961" s="57">
        <f>MAX(0.02,NORMINV(RAND(),$C$7,$D$7))</f>
        <v/>
      </c>
      <c r="M961" s="57">
        <f>MIN(0.16,MAX(0.05,NORMINV(RAND(),$C$8,$D$8)))</f>
        <v/>
      </c>
      <c r="N961" s="59">
        <f>MIN(24,MAX(5,NORMINV(RAND(),$C$9,$D$9)))</f>
        <v/>
      </c>
      <c r="O961" s="65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57">
        <f>MAX(-0.05,NORMINV(RAND(),$C$6,$D$6))</f>
        <v/>
      </c>
      <c r="L962" s="57">
        <f>MAX(0.02,NORMINV(RAND(),$C$7,$D$7))</f>
        <v/>
      </c>
      <c r="M962" s="57">
        <f>MIN(0.16,MAX(0.05,NORMINV(RAND(),$C$8,$D$8)))</f>
        <v/>
      </c>
      <c r="N962" s="59">
        <f>MIN(24,MAX(5,NORMINV(RAND(),$C$9,$D$9)))</f>
        <v/>
      </c>
      <c r="O962" s="65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57">
        <f>MAX(-0.05,NORMINV(RAND(),$C$6,$D$6))</f>
        <v/>
      </c>
      <c r="L963" s="57">
        <f>MAX(0.02,NORMINV(RAND(),$C$7,$D$7))</f>
        <v/>
      </c>
      <c r="M963" s="57">
        <f>MIN(0.16,MAX(0.05,NORMINV(RAND(),$C$8,$D$8)))</f>
        <v/>
      </c>
      <c r="N963" s="59">
        <f>MIN(24,MAX(5,NORMINV(RAND(),$C$9,$D$9)))</f>
        <v/>
      </c>
      <c r="O963" s="65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57">
        <f>MAX(-0.05,NORMINV(RAND(),$C$6,$D$6))</f>
        <v/>
      </c>
      <c r="L964" s="57">
        <f>MAX(0.02,NORMINV(RAND(),$C$7,$D$7))</f>
        <v/>
      </c>
      <c r="M964" s="57">
        <f>MIN(0.16,MAX(0.05,NORMINV(RAND(),$C$8,$D$8)))</f>
        <v/>
      </c>
      <c r="N964" s="59">
        <f>MIN(24,MAX(5,NORMINV(RAND(),$C$9,$D$9)))</f>
        <v/>
      </c>
      <c r="O964" s="65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57">
        <f>MAX(-0.05,NORMINV(RAND(),$C$6,$D$6))</f>
        <v/>
      </c>
      <c r="L965" s="57">
        <f>MAX(0.02,NORMINV(RAND(),$C$7,$D$7))</f>
        <v/>
      </c>
      <c r="M965" s="57">
        <f>MIN(0.16,MAX(0.05,NORMINV(RAND(),$C$8,$D$8)))</f>
        <v/>
      </c>
      <c r="N965" s="59">
        <f>MIN(24,MAX(5,NORMINV(RAND(),$C$9,$D$9)))</f>
        <v/>
      </c>
      <c r="O965" s="65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57">
        <f>MAX(-0.05,NORMINV(RAND(),$C$6,$D$6))</f>
        <v/>
      </c>
      <c r="L966" s="57">
        <f>MAX(0.02,NORMINV(RAND(),$C$7,$D$7))</f>
        <v/>
      </c>
      <c r="M966" s="57">
        <f>MIN(0.16,MAX(0.05,NORMINV(RAND(),$C$8,$D$8)))</f>
        <v/>
      </c>
      <c r="N966" s="59">
        <f>MIN(24,MAX(5,NORMINV(RAND(),$C$9,$D$9)))</f>
        <v/>
      </c>
      <c r="O966" s="65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57">
        <f>MAX(-0.05,NORMINV(RAND(),$C$6,$D$6))</f>
        <v/>
      </c>
      <c r="L967" s="57">
        <f>MAX(0.02,NORMINV(RAND(),$C$7,$D$7))</f>
        <v/>
      </c>
      <c r="M967" s="57">
        <f>MIN(0.16,MAX(0.05,NORMINV(RAND(),$C$8,$D$8)))</f>
        <v/>
      </c>
      <c r="N967" s="59">
        <f>MIN(24,MAX(5,NORMINV(RAND(),$C$9,$D$9)))</f>
        <v/>
      </c>
      <c r="O967" s="65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57">
        <f>MAX(-0.05,NORMINV(RAND(),$C$6,$D$6))</f>
        <v/>
      </c>
      <c r="L968" s="57">
        <f>MAX(0.02,NORMINV(RAND(),$C$7,$D$7))</f>
        <v/>
      </c>
      <c r="M968" s="57">
        <f>MIN(0.16,MAX(0.05,NORMINV(RAND(),$C$8,$D$8)))</f>
        <v/>
      </c>
      <c r="N968" s="59">
        <f>MIN(24,MAX(5,NORMINV(RAND(),$C$9,$D$9)))</f>
        <v/>
      </c>
      <c r="O968" s="65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57">
        <f>MAX(-0.05,NORMINV(RAND(),$C$6,$D$6))</f>
        <v/>
      </c>
      <c r="L969" s="57">
        <f>MAX(0.02,NORMINV(RAND(),$C$7,$D$7))</f>
        <v/>
      </c>
      <c r="M969" s="57">
        <f>MIN(0.16,MAX(0.05,NORMINV(RAND(),$C$8,$D$8)))</f>
        <v/>
      </c>
      <c r="N969" s="59">
        <f>MIN(24,MAX(5,NORMINV(RAND(),$C$9,$D$9)))</f>
        <v/>
      </c>
      <c r="O969" s="65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57">
        <f>MAX(-0.05,NORMINV(RAND(),$C$6,$D$6))</f>
        <v/>
      </c>
      <c r="L970" s="57">
        <f>MAX(0.02,NORMINV(RAND(),$C$7,$D$7))</f>
        <v/>
      </c>
      <c r="M970" s="57">
        <f>MIN(0.16,MAX(0.05,NORMINV(RAND(),$C$8,$D$8)))</f>
        <v/>
      </c>
      <c r="N970" s="59">
        <f>MIN(24,MAX(5,NORMINV(RAND(),$C$9,$D$9)))</f>
        <v/>
      </c>
      <c r="O970" s="65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57">
        <f>MAX(-0.05,NORMINV(RAND(),$C$6,$D$6))</f>
        <v/>
      </c>
      <c r="L971" s="57">
        <f>MAX(0.02,NORMINV(RAND(),$C$7,$D$7))</f>
        <v/>
      </c>
      <c r="M971" s="57">
        <f>MIN(0.16,MAX(0.05,NORMINV(RAND(),$C$8,$D$8)))</f>
        <v/>
      </c>
      <c r="N971" s="59">
        <f>MIN(24,MAX(5,NORMINV(RAND(),$C$9,$D$9)))</f>
        <v/>
      </c>
      <c r="O971" s="65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57">
        <f>MAX(-0.05,NORMINV(RAND(),$C$6,$D$6))</f>
        <v/>
      </c>
      <c r="L972" s="57">
        <f>MAX(0.02,NORMINV(RAND(),$C$7,$D$7))</f>
        <v/>
      </c>
      <c r="M972" s="57">
        <f>MIN(0.16,MAX(0.05,NORMINV(RAND(),$C$8,$D$8)))</f>
        <v/>
      </c>
      <c r="N972" s="59">
        <f>MIN(24,MAX(5,NORMINV(RAND(),$C$9,$D$9)))</f>
        <v/>
      </c>
      <c r="O972" s="65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57">
        <f>MAX(-0.05,NORMINV(RAND(),$C$6,$D$6))</f>
        <v/>
      </c>
      <c r="L973" s="57">
        <f>MAX(0.02,NORMINV(RAND(),$C$7,$D$7))</f>
        <v/>
      </c>
      <c r="M973" s="57">
        <f>MIN(0.16,MAX(0.05,NORMINV(RAND(),$C$8,$D$8)))</f>
        <v/>
      </c>
      <c r="N973" s="59">
        <f>MIN(24,MAX(5,NORMINV(RAND(),$C$9,$D$9)))</f>
        <v/>
      </c>
      <c r="O973" s="65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57">
        <f>MAX(-0.05,NORMINV(RAND(),$C$6,$D$6))</f>
        <v/>
      </c>
      <c r="L974" s="57">
        <f>MAX(0.02,NORMINV(RAND(),$C$7,$D$7))</f>
        <v/>
      </c>
      <c r="M974" s="57">
        <f>MIN(0.16,MAX(0.05,NORMINV(RAND(),$C$8,$D$8)))</f>
        <v/>
      </c>
      <c r="N974" s="59">
        <f>MIN(24,MAX(5,NORMINV(RAND(),$C$9,$D$9)))</f>
        <v/>
      </c>
      <c r="O974" s="65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57">
        <f>MAX(-0.05,NORMINV(RAND(),$C$6,$D$6))</f>
        <v/>
      </c>
      <c r="L975" s="57">
        <f>MAX(0.02,NORMINV(RAND(),$C$7,$D$7))</f>
        <v/>
      </c>
      <c r="M975" s="57">
        <f>MIN(0.16,MAX(0.05,NORMINV(RAND(),$C$8,$D$8)))</f>
        <v/>
      </c>
      <c r="N975" s="59">
        <f>MIN(24,MAX(5,NORMINV(RAND(),$C$9,$D$9)))</f>
        <v/>
      </c>
      <c r="O975" s="65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57">
        <f>MAX(-0.05,NORMINV(RAND(),$C$6,$D$6))</f>
        <v/>
      </c>
      <c r="L976" s="57">
        <f>MAX(0.02,NORMINV(RAND(),$C$7,$D$7))</f>
        <v/>
      </c>
      <c r="M976" s="57">
        <f>MIN(0.16,MAX(0.05,NORMINV(RAND(),$C$8,$D$8)))</f>
        <v/>
      </c>
      <c r="N976" s="59">
        <f>MIN(24,MAX(5,NORMINV(RAND(),$C$9,$D$9)))</f>
        <v/>
      </c>
      <c r="O976" s="65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57">
        <f>MAX(-0.05,NORMINV(RAND(),$C$6,$D$6))</f>
        <v/>
      </c>
      <c r="L977" s="57">
        <f>MAX(0.02,NORMINV(RAND(),$C$7,$D$7))</f>
        <v/>
      </c>
      <c r="M977" s="57">
        <f>MIN(0.16,MAX(0.05,NORMINV(RAND(),$C$8,$D$8)))</f>
        <v/>
      </c>
      <c r="N977" s="59">
        <f>MIN(24,MAX(5,NORMINV(RAND(),$C$9,$D$9)))</f>
        <v/>
      </c>
      <c r="O977" s="65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57">
        <f>MAX(-0.05,NORMINV(RAND(),$C$6,$D$6))</f>
        <v/>
      </c>
      <c r="L978" s="57">
        <f>MAX(0.02,NORMINV(RAND(),$C$7,$D$7))</f>
        <v/>
      </c>
      <c r="M978" s="57">
        <f>MIN(0.16,MAX(0.05,NORMINV(RAND(),$C$8,$D$8)))</f>
        <v/>
      </c>
      <c r="N978" s="59">
        <f>MIN(24,MAX(5,NORMINV(RAND(),$C$9,$D$9)))</f>
        <v/>
      </c>
      <c r="O978" s="65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57">
        <f>MAX(-0.05,NORMINV(RAND(),$C$6,$D$6))</f>
        <v/>
      </c>
      <c r="L979" s="57">
        <f>MAX(0.02,NORMINV(RAND(),$C$7,$D$7))</f>
        <v/>
      </c>
      <c r="M979" s="57">
        <f>MIN(0.16,MAX(0.05,NORMINV(RAND(),$C$8,$D$8)))</f>
        <v/>
      </c>
      <c r="N979" s="59">
        <f>MIN(24,MAX(5,NORMINV(RAND(),$C$9,$D$9)))</f>
        <v/>
      </c>
      <c r="O979" s="65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57">
        <f>MAX(-0.05,NORMINV(RAND(),$C$6,$D$6))</f>
        <v/>
      </c>
      <c r="L980" s="57">
        <f>MAX(0.02,NORMINV(RAND(),$C$7,$D$7))</f>
        <v/>
      </c>
      <c r="M980" s="57">
        <f>MIN(0.16,MAX(0.05,NORMINV(RAND(),$C$8,$D$8)))</f>
        <v/>
      </c>
      <c r="N980" s="59">
        <f>MIN(24,MAX(5,NORMINV(RAND(),$C$9,$D$9)))</f>
        <v/>
      </c>
      <c r="O980" s="65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57">
        <f>MAX(-0.05,NORMINV(RAND(),$C$6,$D$6))</f>
        <v/>
      </c>
      <c r="L981" s="57">
        <f>MAX(0.02,NORMINV(RAND(),$C$7,$D$7))</f>
        <v/>
      </c>
      <c r="M981" s="57">
        <f>MIN(0.16,MAX(0.05,NORMINV(RAND(),$C$8,$D$8)))</f>
        <v/>
      </c>
      <c r="N981" s="59">
        <f>MIN(24,MAX(5,NORMINV(RAND(),$C$9,$D$9)))</f>
        <v/>
      </c>
      <c r="O981" s="65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57">
        <f>MAX(-0.05,NORMINV(RAND(),$C$6,$D$6))</f>
        <v/>
      </c>
      <c r="L982" s="57">
        <f>MAX(0.02,NORMINV(RAND(),$C$7,$D$7))</f>
        <v/>
      </c>
      <c r="M982" s="57">
        <f>MIN(0.16,MAX(0.05,NORMINV(RAND(),$C$8,$D$8)))</f>
        <v/>
      </c>
      <c r="N982" s="59">
        <f>MIN(24,MAX(5,NORMINV(RAND(),$C$9,$D$9)))</f>
        <v/>
      </c>
      <c r="O982" s="65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57">
        <f>MAX(-0.05,NORMINV(RAND(),$C$6,$D$6))</f>
        <v/>
      </c>
      <c r="L983" s="57">
        <f>MAX(0.02,NORMINV(RAND(),$C$7,$D$7))</f>
        <v/>
      </c>
      <c r="M983" s="57">
        <f>MIN(0.16,MAX(0.05,NORMINV(RAND(),$C$8,$D$8)))</f>
        <v/>
      </c>
      <c r="N983" s="59">
        <f>MIN(24,MAX(5,NORMINV(RAND(),$C$9,$D$9)))</f>
        <v/>
      </c>
      <c r="O983" s="65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57">
        <f>MAX(-0.05,NORMINV(RAND(),$C$6,$D$6))</f>
        <v/>
      </c>
      <c r="L984" s="57">
        <f>MAX(0.02,NORMINV(RAND(),$C$7,$D$7))</f>
        <v/>
      </c>
      <c r="M984" s="57">
        <f>MIN(0.16,MAX(0.05,NORMINV(RAND(),$C$8,$D$8)))</f>
        <v/>
      </c>
      <c r="N984" s="59">
        <f>MIN(24,MAX(5,NORMINV(RAND(),$C$9,$D$9)))</f>
        <v/>
      </c>
      <c r="O984" s="65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57">
        <f>MAX(-0.05,NORMINV(RAND(),$C$6,$D$6))</f>
        <v/>
      </c>
      <c r="L985" s="57">
        <f>MAX(0.02,NORMINV(RAND(),$C$7,$D$7))</f>
        <v/>
      </c>
      <c r="M985" s="57">
        <f>MIN(0.16,MAX(0.05,NORMINV(RAND(),$C$8,$D$8)))</f>
        <v/>
      </c>
      <c r="N985" s="59">
        <f>MIN(24,MAX(5,NORMINV(RAND(),$C$9,$D$9)))</f>
        <v/>
      </c>
      <c r="O985" s="65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57">
        <f>MAX(-0.05,NORMINV(RAND(),$C$6,$D$6))</f>
        <v/>
      </c>
      <c r="L986" s="57">
        <f>MAX(0.02,NORMINV(RAND(),$C$7,$D$7))</f>
        <v/>
      </c>
      <c r="M986" s="57">
        <f>MIN(0.16,MAX(0.05,NORMINV(RAND(),$C$8,$D$8)))</f>
        <v/>
      </c>
      <c r="N986" s="59">
        <f>MIN(24,MAX(5,NORMINV(RAND(),$C$9,$D$9)))</f>
        <v/>
      </c>
      <c r="O986" s="65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57">
        <f>MAX(-0.05,NORMINV(RAND(),$C$6,$D$6))</f>
        <v/>
      </c>
      <c r="L987" s="57">
        <f>MAX(0.02,NORMINV(RAND(),$C$7,$D$7))</f>
        <v/>
      </c>
      <c r="M987" s="57">
        <f>MIN(0.16,MAX(0.05,NORMINV(RAND(),$C$8,$D$8)))</f>
        <v/>
      </c>
      <c r="N987" s="59">
        <f>MIN(24,MAX(5,NORMINV(RAND(),$C$9,$D$9)))</f>
        <v/>
      </c>
      <c r="O987" s="65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57">
        <f>MAX(-0.05,NORMINV(RAND(),$C$6,$D$6))</f>
        <v/>
      </c>
      <c r="L988" s="57">
        <f>MAX(0.02,NORMINV(RAND(),$C$7,$D$7))</f>
        <v/>
      </c>
      <c r="M988" s="57">
        <f>MIN(0.16,MAX(0.05,NORMINV(RAND(),$C$8,$D$8)))</f>
        <v/>
      </c>
      <c r="N988" s="59">
        <f>MIN(24,MAX(5,NORMINV(RAND(),$C$9,$D$9)))</f>
        <v/>
      </c>
      <c r="O988" s="65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57">
        <f>MAX(-0.05,NORMINV(RAND(),$C$6,$D$6))</f>
        <v/>
      </c>
      <c r="L989" s="57">
        <f>MAX(0.02,NORMINV(RAND(),$C$7,$D$7))</f>
        <v/>
      </c>
      <c r="M989" s="57">
        <f>MIN(0.16,MAX(0.05,NORMINV(RAND(),$C$8,$D$8)))</f>
        <v/>
      </c>
      <c r="N989" s="59">
        <f>MIN(24,MAX(5,NORMINV(RAND(),$C$9,$D$9)))</f>
        <v/>
      </c>
      <c r="O989" s="65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57">
        <f>MAX(-0.05,NORMINV(RAND(),$C$6,$D$6))</f>
        <v/>
      </c>
      <c r="L990" s="57">
        <f>MAX(0.02,NORMINV(RAND(),$C$7,$D$7))</f>
        <v/>
      </c>
      <c r="M990" s="57">
        <f>MIN(0.16,MAX(0.05,NORMINV(RAND(),$C$8,$D$8)))</f>
        <v/>
      </c>
      <c r="N990" s="59">
        <f>MIN(24,MAX(5,NORMINV(RAND(),$C$9,$D$9)))</f>
        <v/>
      </c>
      <c r="O990" s="65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57">
        <f>MAX(-0.05,NORMINV(RAND(),$C$6,$D$6))</f>
        <v/>
      </c>
      <c r="L991" s="57">
        <f>MAX(0.02,NORMINV(RAND(),$C$7,$D$7))</f>
        <v/>
      </c>
      <c r="M991" s="57">
        <f>MIN(0.16,MAX(0.05,NORMINV(RAND(),$C$8,$D$8)))</f>
        <v/>
      </c>
      <c r="N991" s="59">
        <f>MIN(24,MAX(5,NORMINV(RAND(),$C$9,$D$9)))</f>
        <v/>
      </c>
      <c r="O991" s="65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57">
        <f>MAX(-0.05,NORMINV(RAND(),$C$6,$D$6))</f>
        <v/>
      </c>
      <c r="L992" s="57">
        <f>MAX(0.02,NORMINV(RAND(),$C$7,$D$7))</f>
        <v/>
      </c>
      <c r="M992" s="57">
        <f>MIN(0.16,MAX(0.05,NORMINV(RAND(),$C$8,$D$8)))</f>
        <v/>
      </c>
      <c r="N992" s="59">
        <f>MIN(24,MAX(5,NORMINV(RAND(),$C$9,$D$9)))</f>
        <v/>
      </c>
      <c r="O992" s="65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57">
        <f>MAX(-0.05,NORMINV(RAND(),$C$6,$D$6))</f>
        <v/>
      </c>
      <c r="L993" s="57">
        <f>MAX(0.02,NORMINV(RAND(),$C$7,$D$7))</f>
        <v/>
      </c>
      <c r="M993" s="57">
        <f>MIN(0.16,MAX(0.05,NORMINV(RAND(),$C$8,$D$8)))</f>
        <v/>
      </c>
      <c r="N993" s="59">
        <f>MIN(24,MAX(5,NORMINV(RAND(),$C$9,$D$9)))</f>
        <v/>
      </c>
      <c r="O993" s="65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57">
        <f>MAX(-0.05,NORMINV(RAND(),$C$6,$D$6))</f>
        <v/>
      </c>
      <c r="L994" s="57">
        <f>MAX(0.02,NORMINV(RAND(),$C$7,$D$7))</f>
        <v/>
      </c>
      <c r="M994" s="57">
        <f>MIN(0.16,MAX(0.05,NORMINV(RAND(),$C$8,$D$8)))</f>
        <v/>
      </c>
      <c r="N994" s="59">
        <f>MIN(24,MAX(5,NORMINV(RAND(),$C$9,$D$9)))</f>
        <v/>
      </c>
      <c r="O994" s="65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57">
        <f>MAX(-0.05,NORMINV(RAND(),$C$6,$D$6))</f>
        <v/>
      </c>
      <c r="L995" s="57">
        <f>MAX(0.02,NORMINV(RAND(),$C$7,$D$7))</f>
        <v/>
      </c>
      <c r="M995" s="57">
        <f>MIN(0.16,MAX(0.05,NORMINV(RAND(),$C$8,$D$8)))</f>
        <v/>
      </c>
      <c r="N995" s="59">
        <f>MIN(24,MAX(5,NORMINV(RAND(),$C$9,$D$9)))</f>
        <v/>
      </c>
      <c r="O995" s="65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57">
        <f>MAX(-0.05,NORMINV(RAND(),$C$6,$D$6))</f>
        <v/>
      </c>
      <c r="L996" s="57">
        <f>MAX(0.02,NORMINV(RAND(),$C$7,$D$7))</f>
        <v/>
      </c>
      <c r="M996" s="57">
        <f>MIN(0.16,MAX(0.05,NORMINV(RAND(),$C$8,$D$8)))</f>
        <v/>
      </c>
      <c r="N996" s="59">
        <f>MIN(24,MAX(5,NORMINV(RAND(),$C$9,$D$9)))</f>
        <v/>
      </c>
      <c r="O996" s="65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57">
        <f>MAX(-0.05,NORMINV(RAND(),$C$6,$D$6))</f>
        <v/>
      </c>
      <c r="L997" s="57">
        <f>MAX(0.02,NORMINV(RAND(),$C$7,$D$7))</f>
        <v/>
      </c>
      <c r="M997" s="57">
        <f>MIN(0.16,MAX(0.05,NORMINV(RAND(),$C$8,$D$8)))</f>
        <v/>
      </c>
      <c r="N997" s="59">
        <f>MIN(24,MAX(5,NORMINV(RAND(),$C$9,$D$9)))</f>
        <v/>
      </c>
      <c r="O997" s="65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57">
        <f>MAX(-0.05,NORMINV(RAND(),$C$6,$D$6))</f>
        <v/>
      </c>
      <c r="L998" s="57">
        <f>MAX(0.02,NORMINV(RAND(),$C$7,$D$7))</f>
        <v/>
      </c>
      <c r="M998" s="57">
        <f>MIN(0.16,MAX(0.05,NORMINV(RAND(),$C$8,$D$8)))</f>
        <v/>
      </c>
      <c r="N998" s="59">
        <f>MIN(24,MAX(5,NORMINV(RAND(),$C$9,$D$9)))</f>
        <v/>
      </c>
      <c r="O998" s="65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57">
        <f>MAX(-0.05,NORMINV(RAND(),$C$6,$D$6))</f>
        <v/>
      </c>
      <c r="L999" s="57">
        <f>MAX(0.02,NORMINV(RAND(),$C$7,$D$7))</f>
        <v/>
      </c>
      <c r="M999" s="57">
        <f>MIN(0.16,MAX(0.05,NORMINV(RAND(),$C$8,$D$8)))</f>
        <v/>
      </c>
      <c r="N999" s="59">
        <f>MIN(24,MAX(5,NORMINV(RAND(),$C$9,$D$9)))</f>
        <v/>
      </c>
      <c r="O999" s="65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57">
        <f>MAX(-0.05,NORMINV(RAND(),$C$6,$D$6))</f>
        <v/>
      </c>
      <c r="L1000" s="57">
        <f>MAX(0.02,NORMINV(RAND(),$C$7,$D$7))</f>
        <v/>
      </c>
      <c r="M1000" s="57">
        <f>MIN(0.16,MAX(0.05,NORMINV(RAND(),$C$8,$D$8)))</f>
        <v/>
      </c>
      <c r="N1000" s="59">
        <f>MIN(24,MAX(5,NORMINV(RAND(),$C$9,$D$9)))</f>
        <v/>
      </c>
      <c r="O1000" s="65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57">
        <f>MAX(-0.05,NORMINV(RAND(),$C$6,$D$6))</f>
        <v/>
      </c>
      <c r="L1001" s="57">
        <f>MAX(0.02,NORMINV(RAND(),$C$7,$D$7))</f>
        <v/>
      </c>
      <c r="M1001" s="57">
        <f>MIN(0.16,MAX(0.05,NORMINV(RAND(),$C$8,$D$8)))</f>
        <v/>
      </c>
      <c r="N1001" s="59">
        <f>MIN(24,MAX(5,NORMINV(RAND(),$C$9,$D$9)))</f>
        <v/>
      </c>
      <c r="O1001" s="65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2026-06-07T22:24:21Z</dcterms:created>
  <dcterms:modified xmlns:dcterms="http://purl.org/dc/terms/" xmlns:xsi="http://www.w3.org/2001/XMLSchema-instance" xsi:type="dcterms:W3CDTF">2026-06-07T22:24:21Z</dcterms:modified>
</cp:coreProperties>
</file>