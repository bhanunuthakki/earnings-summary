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Broadcom Inc. (AVGO)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Broadcom is a scaled, highly profitable semiconductor-plus-software franchise riding two durable tailwinds: AI custom-silicon (ASIC/networking) demand and the monetization of VMware via subscription conversion and bundling. Near-term growth is exceptional as AI accelerator and infrastructure-software revenue ramps, but the law of large numbers and a maturing AI capex cycle force a fade toward GDP-like terminal growth. Margins stay elevated on a software-rich mix and operating leverage, with capex remaining light as a fabless designer, supporting strong, durable FCFF conversion.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Broadcom Inc. (AVGO)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Semiconductor Solutions</t>
        </is>
      </c>
      <c r="B20" s="50" t="n">
        <v>0.2</v>
      </c>
      <c r="C20" s="50" t="n">
        <v>0.04</v>
      </c>
      <c r="D20" s="51" t="n">
        <v>0.2</v>
      </c>
      <c r="E20" s="2" t="inlineStr"/>
    </row>
    <row r="21">
      <c r="A21" s="4" t="inlineStr">
        <is>
          <t>Infrastructure Software</t>
        </is>
      </c>
      <c r="B21" s="50" t="n">
        <v>0.15</v>
      </c>
      <c r="C21" s="50" t="n">
        <v>0.04</v>
      </c>
      <c r="D21" s="51" t="n">
        <v>0.15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0.42</v>
      </c>
      <c r="D29" s="51" t="n">
        <v>0.42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0.45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0.15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1242.789051192</v>
      </c>
      <c r="D34" s="18" t="n">
        <v>1242.789051192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1.44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16</v>
      </c>
    </row>
    <row r="46">
      <c r="A46" s="4" t="inlineStr">
        <is>
          <t>Terminal growth (g)</t>
        </is>
      </c>
      <c r="B46" s="50" t="n">
        <v>0.04</v>
      </c>
    </row>
    <row r="48">
      <c r="A48" s="4" t="inlineStr">
        <is>
          <t>Current price</t>
        </is>
      </c>
      <c r="B48" s="55" t="n">
        <v>385.7300109863281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Financials!AC41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Semiconductor Solutions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Infrastructure Software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57">
        <f>IFERROR(G8/F8-1,"")</f>
        <v/>
      </c>
      <c r="H9" s="57">
        <f>IFERROR(H8/G8-1,"")</f>
        <v/>
      </c>
      <c r="I9" s="57">
        <f>IFERROR(I8/H8-1,"")</f>
        <v/>
      </c>
      <c r="J9" s="57">
        <f>IFERROR(J8/I8-1,"")</f>
        <v/>
      </c>
      <c r="K9" s="57">
        <f>IFERROR(K8/J8-1,"")</f>
        <v/>
      </c>
      <c r="L9" s="57">
        <f>IFERROR(L8/K8-1,"")</f>
        <v/>
      </c>
      <c r="M9" s="57">
        <f>IFERROR(M8/L8-1,"")</f>
        <v/>
      </c>
      <c r="N9" s="57">
        <f>IFERROR(N8/M8-1,"")</f>
        <v/>
      </c>
      <c r="O9" s="57">
        <f>IFERROR(O8/N8-1,"")</f>
        <v/>
      </c>
      <c r="P9" s="5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57">
        <f>IFERROR(B12/B8,"")</f>
        <v/>
      </c>
      <c r="C13" s="57">
        <f>IFERROR(C12/C8,"")</f>
        <v/>
      </c>
      <c r="D13" s="57">
        <f>IFERROR(D12/D8,"")</f>
        <v/>
      </c>
      <c r="E13" s="57">
        <f>IFERROR(E12/E8,"")</f>
        <v/>
      </c>
      <c r="F13" s="57">
        <f>IFERROR(F12/F8,"")</f>
        <v/>
      </c>
      <c r="G13" s="50" t="n">
        <v>0.3223347472881807</v>
      </c>
      <c r="H13" s="50" t="n">
        <v>0.3223347472881807</v>
      </c>
      <c r="I13" s="50" t="n">
        <v>0.3223347472881807</v>
      </c>
      <c r="J13" s="50" t="n">
        <v>0.3223347472881807</v>
      </c>
      <c r="K13" s="50" t="n">
        <v>0.3223347472881807</v>
      </c>
      <c r="L13" s="50" t="n">
        <v>0.3223347472881807</v>
      </c>
      <c r="M13" s="50" t="n">
        <v>0.3223347472881807</v>
      </c>
      <c r="N13" s="50" t="n">
        <v>0.3223347472881807</v>
      </c>
      <c r="O13" s="50" t="n">
        <v>0.3223347472881807</v>
      </c>
      <c r="P13" s="50" t="n">
        <v>0.3223347472881807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57">
        <f>IFERROR(B14/B8,"")</f>
        <v/>
      </c>
      <c r="C15" s="57">
        <f>IFERROR(C14/C8,"")</f>
        <v/>
      </c>
      <c r="D15" s="57">
        <f>IFERROR(D14/D8,"")</f>
        <v/>
      </c>
      <c r="E15" s="57">
        <f>IFERROR(E14/E8,"")</f>
        <v/>
      </c>
      <c r="F15" s="57">
        <f>IFERROR(F14/F8,"")</f>
        <v/>
      </c>
      <c r="G15" s="50" t="n">
        <v>0.1718189929093556</v>
      </c>
      <c r="H15" s="50" t="n">
        <v>0.1718189929093556</v>
      </c>
      <c r="I15" s="50" t="n">
        <v>0.1718189929093556</v>
      </c>
      <c r="J15" s="50" t="n">
        <v>0.1718189929093556</v>
      </c>
      <c r="K15" s="50" t="n">
        <v>0.1718189929093556</v>
      </c>
      <c r="L15" s="50" t="n">
        <v>0.1718189929093556</v>
      </c>
      <c r="M15" s="50" t="n">
        <v>0.1718189929093556</v>
      </c>
      <c r="N15" s="50" t="n">
        <v>0.1718189929093556</v>
      </c>
      <c r="O15" s="50" t="n">
        <v>0.1718189929093556</v>
      </c>
      <c r="P15" s="50" t="n">
        <v>0.1718189929093556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57">
        <f>IFERROR(B16/B8,"")</f>
        <v/>
      </c>
      <c r="C17" s="57">
        <f>IFERROR(C16/C8,"")</f>
        <v/>
      </c>
      <c r="D17" s="57">
        <f>IFERROR(D16/D8,"")</f>
        <v/>
      </c>
      <c r="E17" s="57">
        <f>IFERROR(E16/E8,"")</f>
        <v/>
      </c>
      <c r="F17" s="57">
        <f>IFERROR(F16/F8,"")</f>
        <v/>
      </c>
      <c r="G17" s="50" t="n">
        <v>0.06591325308748258</v>
      </c>
      <c r="H17" s="50" t="n">
        <v>0.06591325308748258</v>
      </c>
      <c r="I17" s="50" t="n">
        <v>0.06591325308748258</v>
      </c>
      <c r="J17" s="50" t="n">
        <v>0.06591325308748258</v>
      </c>
      <c r="K17" s="50" t="n">
        <v>0.06591325308748258</v>
      </c>
      <c r="L17" s="50" t="n">
        <v>0.06591325308748258</v>
      </c>
      <c r="M17" s="50" t="n">
        <v>0.06591325308748258</v>
      </c>
      <c r="N17" s="50" t="n">
        <v>0.06591325308748258</v>
      </c>
      <c r="O17" s="50" t="n">
        <v>0.06591325308748258</v>
      </c>
      <c r="P17" s="50" t="n">
        <v>0.06591325308748258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57">
        <f>IFERROR(B18/B8,"")</f>
        <v/>
      </c>
      <c r="C19" s="57">
        <f>IFERROR(C18/C8,"")</f>
        <v/>
      </c>
      <c r="D19" s="57">
        <f>IFERROR(D18/D8,"")</f>
        <v/>
      </c>
      <c r="E19" s="57">
        <f>IFERROR(E18/E8,"")</f>
        <v/>
      </c>
      <c r="F19" s="57">
        <f>IFERROR(F18/F8,"")</f>
        <v/>
      </c>
      <c r="G19" s="57">
        <f>IFERROR(G18/G8,"")</f>
        <v/>
      </c>
      <c r="H19" s="57">
        <f>IFERROR(H18/H8,"")</f>
        <v/>
      </c>
      <c r="I19" s="57">
        <f>IFERROR(I18/I8,"")</f>
        <v/>
      </c>
      <c r="J19" s="57">
        <f>IFERROR(J18/J8,"")</f>
        <v/>
      </c>
      <c r="K19" s="57">
        <f>IFERROR(K18/K8,"")</f>
        <v/>
      </c>
      <c r="L19" s="57">
        <f>IFERROR(L18/L8,"")</f>
        <v/>
      </c>
      <c r="M19" s="57">
        <f>IFERROR(M18/M8,"")</f>
        <v/>
      </c>
      <c r="N19" s="57">
        <f>IFERROR(N18/N8,"")</f>
        <v/>
      </c>
      <c r="O19" s="57">
        <f>IFERROR(O18/O8,"")</f>
        <v/>
      </c>
      <c r="P19" s="5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57">
        <f>IFERROR(B21/B8,"")</f>
        <v/>
      </c>
      <c r="C22" s="57">
        <f>IFERROR(C21/C8,"")</f>
        <v/>
      </c>
      <c r="D22" s="57">
        <f>IFERROR(D21/D8,"")</f>
        <v/>
      </c>
      <c r="E22" s="57">
        <f>IFERROR(E21/E8,"")</f>
        <v/>
      </c>
      <c r="F22" s="57">
        <f>IFERROR(F21/F8,"")</f>
        <v/>
      </c>
      <c r="G22" s="57">
        <f>IFERROR(G21/G8,"")</f>
        <v/>
      </c>
      <c r="H22" s="57">
        <f>IFERROR(H21/H8,"")</f>
        <v/>
      </c>
      <c r="I22" s="57">
        <f>IFERROR(I21/I8,"")</f>
        <v/>
      </c>
      <c r="J22" s="57">
        <f>IFERROR(J21/J8,"")</f>
        <v/>
      </c>
      <c r="K22" s="57">
        <f>IFERROR(K21/K8,"")</f>
        <v/>
      </c>
      <c r="L22" s="57">
        <f>IFERROR(L21/L8,"")</f>
        <v/>
      </c>
      <c r="M22" s="57">
        <f>IFERROR(M21/M8,"")</f>
        <v/>
      </c>
      <c r="N22" s="57">
        <f>IFERROR(N21/N8,"")</f>
        <v/>
      </c>
      <c r="O22" s="57">
        <f>IFERROR(O21/O8,"")</f>
        <v/>
      </c>
      <c r="P22" s="5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SUM(Financials!I44:L44)</f>
        <v/>
      </c>
      <c r="C26" s="28">
        <f>SUM(Financials!M44:P44)</f>
        <v/>
      </c>
      <c r="D26" s="28">
        <f>SUM(Financials!Q44:T44)</f>
        <v/>
      </c>
      <c r="E26" s="28">
        <f>SUM(Financials!U44:X44)</f>
        <v/>
      </c>
      <c r="F26" s="28">
        <f>SUM(Financials!Y44:AB44)</f>
        <v/>
      </c>
      <c r="G26" s="32">
        <f>G8*0.1374</f>
        <v/>
      </c>
      <c r="H26" s="32">
        <f>H8*0.1374</f>
        <v/>
      </c>
      <c r="I26" s="32">
        <f>I8*0.1374</f>
        <v/>
      </c>
      <c r="J26" s="32">
        <f>J8*0.1374</f>
        <v/>
      </c>
      <c r="K26" s="32">
        <f>K8*0.1374</f>
        <v/>
      </c>
      <c r="L26" s="32">
        <f>L8*0.1374</f>
        <v/>
      </c>
      <c r="M26" s="32">
        <f>M8*0.1374</f>
        <v/>
      </c>
      <c r="N26" s="32">
        <f>N8*0.1374</f>
        <v/>
      </c>
      <c r="O26" s="32">
        <f>O8*0.1374</f>
        <v/>
      </c>
      <c r="P26" s="32">
        <f>P8*0.1374</f>
        <v/>
      </c>
    </row>
    <row r="27">
      <c r="A27" s="4" t="inlineStr">
        <is>
          <t>+ SBC (non-cash)</t>
        </is>
      </c>
      <c r="B27" s="28">
        <f>SUM(Financials!I45:L45)</f>
        <v/>
      </c>
      <c r="C27" s="28">
        <f>SUM(Financials!M45:P45)</f>
        <v/>
      </c>
      <c r="D27" s="28">
        <f>SUM(Financials!Q45:T45)</f>
        <v/>
      </c>
      <c r="E27" s="28">
        <f>SUM(Financials!U45:X45)</f>
        <v/>
      </c>
      <c r="F27" s="28">
        <f>SUM(Financials!Y45:AB45)</f>
        <v/>
      </c>
      <c r="G27" s="32">
        <f>G8*0.1185</f>
        <v/>
      </c>
      <c r="H27" s="32">
        <f>H8*0.1132</f>
        <v/>
      </c>
      <c r="I27" s="32">
        <f>I8*0.1079</f>
        <v/>
      </c>
      <c r="J27" s="32">
        <f>J8*0.1027</f>
        <v/>
      </c>
      <c r="K27" s="32">
        <f>K8*0.0974</f>
        <v/>
      </c>
      <c r="L27" s="32">
        <f>L8*0.0921</f>
        <v/>
      </c>
      <c r="M27" s="32">
        <f>M8*0.0869</f>
        <v/>
      </c>
      <c r="N27" s="32">
        <f>N8*0.0816</f>
        <v/>
      </c>
      <c r="O27" s="32">
        <f>O8*0.0763</f>
        <v/>
      </c>
      <c r="P27" s="32">
        <f>P8*0.0711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-SUM(Financials!I48:L48)</f>
        <v/>
      </c>
      <c r="C29" s="28">
        <f>-SUM(Financials!M48:P48)</f>
        <v/>
      </c>
      <c r="D29" s="28">
        <f>-SUM(Financials!Q48:T48)</f>
        <v/>
      </c>
      <c r="E29" s="28">
        <f>-SUM(Financials!U48:X48)</f>
        <v/>
      </c>
      <c r="F29" s="28">
        <f>-SUM(Financials!Y48:AB48)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59">
        <f>IFERROR(B29/B26,"")</f>
        <v/>
      </c>
      <c r="C30" s="59">
        <f>IFERROR(C29/C26,"")</f>
        <v/>
      </c>
      <c r="D30" s="59">
        <f>IFERROR(D29/D26,"")</f>
        <v/>
      </c>
      <c r="E30" s="59">
        <f>IFERROR(E29/E26,"")</f>
        <v/>
      </c>
      <c r="F30" s="59">
        <f>IFERROR(F29/F26,"")</f>
        <v/>
      </c>
      <c r="G30" s="49">
        <f>(Dashboard!$B$34/G26)+(Dashboard!$B$35-(Dashboard!$B$34/G26))*0/9</f>
        <v/>
      </c>
      <c r="H30" s="49">
        <f>(Dashboard!$B$34/G26)+(Dashboard!$B$35-(Dashboard!$B$34/G26))*1/9</f>
        <v/>
      </c>
      <c r="I30" s="49">
        <f>(Dashboard!$B$34/G26)+(Dashboard!$B$35-(Dashboard!$B$34/G26))*2/9</f>
        <v/>
      </c>
      <c r="J30" s="49">
        <f>(Dashboard!$B$34/G26)+(Dashboard!$B$35-(Dashboard!$B$34/G26))*3/9</f>
        <v/>
      </c>
      <c r="K30" s="49">
        <f>(Dashboard!$B$34/G26)+(Dashboard!$B$35-(Dashboard!$B$34/G26))*4/9</f>
        <v/>
      </c>
      <c r="L30" s="49">
        <f>(Dashboard!$B$34/G26)+(Dashboard!$B$35-(Dashboard!$B$34/G26))*5/9</f>
        <v/>
      </c>
      <c r="M30" s="49">
        <f>(Dashboard!$B$34/G26)+(Dashboard!$B$35-(Dashboard!$B$34/G26))*6/9</f>
        <v/>
      </c>
      <c r="N30" s="49">
        <f>(Dashboard!$B$34/G26)+(Dashboard!$B$35-(Dashboard!$B$34/G26))*7/9</f>
        <v/>
      </c>
      <c r="O30" s="49">
        <f>(Dashboard!$B$34/G26)+(Dashboard!$B$35-(Dashboard!$B$34/G26))*8/9</f>
        <v/>
      </c>
      <c r="P30" s="49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Financials!L42+Financials!L41-Financials!L36</f>
        <v/>
      </c>
      <c r="C36" s="28">
        <f>Financials!P42+Financials!P41-Financials!P36</f>
        <v/>
      </c>
      <c r="D36" s="28">
        <f>Financials!T42+Financials!T41-Financials!T36</f>
        <v/>
      </c>
      <c r="E36" s="28">
        <f>Financials!X42+Financials!X41-Financials!X36</f>
        <v/>
      </c>
      <c r="F36" s="28">
        <f>Financials!AB42+Financials!AB41-Financials!AB36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Financials!L42</f>
        <v/>
      </c>
      <c r="C37" s="28">
        <f>Financials!P42</f>
        <v/>
      </c>
      <c r="D37" s="28">
        <f>Financials!T42</f>
        <v/>
      </c>
      <c r="E37" s="28">
        <f>Financials!X42</f>
        <v/>
      </c>
      <c r="F37" s="28">
        <f>Financials!AB42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57">
        <f>IFERROR(C25/B36,"")</f>
        <v/>
      </c>
      <c r="D38" s="57">
        <f>IFERROR(D25/C36,"")</f>
        <v/>
      </c>
      <c r="E38" s="57">
        <f>IFERROR(E25/D36,"")</f>
        <v/>
      </c>
      <c r="F38" s="57">
        <f>IFERROR(F25/E36,"")</f>
        <v/>
      </c>
      <c r="G38" s="57">
        <f>IFERROR(G25/F36,"")</f>
        <v/>
      </c>
      <c r="H38" s="57">
        <f>IFERROR(H25/G36,"")</f>
        <v/>
      </c>
      <c r="I38" s="57">
        <f>IFERROR(I25/H36,"")</f>
        <v/>
      </c>
      <c r="J38" s="57">
        <f>IFERROR(J25/I36,"")</f>
        <v/>
      </c>
      <c r="K38" s="57">
        <f>IFERROR(K25/J36,"")</f>
        <v/>
      </c>
      <c r="L38" s="57">
        <f>IFERROR(L25/K36,"")</f>
        <v/>
      </c>
      <c r="M38" s="57">
        <f>IFERROR(M25/L36,"")</f>
        <v/>
      </c>
      <c r="N38" s="57">
        <f>IFERROR(N25/M36,"")</f>
        <v/>
      </c>
      <c r="O38" s="57">
        <f>IFERROR(O25/N36,"")</f>
        <v/>
      </c>
      <c r="P38" s="57">
        <f>IFERROR(P25/O36,"")</f>
        <v/>
      </c>
    </row>
    <row r="39">
      <c r="A39" s="3" t="inlineStr">
        <is>
          <t xml:space="preserve">  ROE (earnings / beg. equity)</t>
        </is>
      </c>
      <c r="C39" s="48">
        <f>IFERROR(SUM(Financials!M15:P15)/B37,"")</f>
        <v/>
      </c>
      <c r="D39" s="48">
        <f>IFERROR(SUM(Financials!Q15:T15)/C37,"")</f>
        <v/>
      </c>
      <c r="E39" s="48">
        <f>IFERROR(SUM(Financials!U15:X15)/D37,"")</f>
        <v/>
      </c>
      <c r="F39" s="48">
        <f>IFERROR(SUM(Financials!Y15:AB15)/E37,"")</f>
        <v/>
      </c>
      <c r="G39" s="57">
        <f>IFERROR(G25/F37,"")</f>
        <v/>
      </c>
      <c r="H39" s="57">
        <f>IFERROR(H25/G37,"")</f>
        <v/>
      </c>
      <c r="I39" s="57">
        <f>IFERROR(I25/H37,"")</f>
        <v/>
      </c>
      <c r="J39" s="57">
        <f>IFERROR(J25/I37,"")</f>
        <v/>
      </c>
      <c r="K39" s="57">
        <f>IFERROR(K25/J37,"")</f>
        <v/>
      </c>
      <c r="L39" s="57">
        <f>IFERROR(L25/K37,"")</f>
        <v/>
      </c>
      <c r="M39" s="57">
        <f>IFERROR(M25/L37,"")</f>
        <v/>
      </c>
      <c r="N39" s="57">
        <f>IFERROR(N25/M37,"")</f>
        <v/>
      </c>
      <c r="O39" s="57">
        <f>IFERROR(O25/N37,"")</f>
        <v/>
      </c>
      <c r="P39" s="57">
        <f>IFERROR(P25/O37,"")</f>
        <v/>
      </c>
    </row>
    <row r="40">
      <c r="A40" s="4" t="inlineStr">
        <is>
          <t xml:space="preserve">  ROIC - WACC spread (value created)</t>
        </is>
      </c>
      <c r="C40" s="48">
        <f>IFERROR(C38-WACC!$B$14,"")</f>
        <v/>
      </c>
      <c r="D40" s="48">
        <f>IFERROR(D38-WACC!$B$14,"")</f>
        <v/>
      </c>
      <c r="E40" s="48">
        <f>IFERROR(E38-WACC!$B$14,"")</f>
        <v/>
      </c>
      <c r="F40" s="48">
        <f>IFERROR(F38-WACC!$B$14,"")</f>
        <v/>
      </c>
      <c r="G40" s="48">
        <f>IFERROR(G38-WACC!$B$14,"")</f>
        <v/>
      </c>
      <c r="H40" s="48">
        <f>IFERROR(H38-WACC!$B$14,"")</f>
        <v/>
      </c>
      <c r="I40" s="48">
        <f>IFERROR(I38-WACC!$B$14,"")</f>
        <v/>
      </c>
      <c r="J40" s="48">
        <f>IFERROR(J38-WACC!$B$14,"")</f>
        <v/>
      </c>
      <c r="K40" s="48">
        <f>IFERROR(K38-WACC!$B$14,"")</f>
        <v/>
      </c>
      <c r="L40" s="48">
        <f>IFERROR(L38-WACC!$B$14,"")</f>
        <v/>
      </c>
      <c r="M40" s="48">
        <f>IFERROR(M38-WACC!$B$14,"")</f>
        <v/>
      </c>
      <c r="N40" s="48">
        <f>IFERROR(N38-WACC!$B$14,"")</f>
        <v/>
      </c>
      <c r="O40" s="48">
        <f>IFERROR(O38-WACC!$B$14,"")</f>
        <v/>
      </c>
      <c r="P40" s="48">
        <f>IFERROR(P38-WACC!$B$14,"")</f>
        <v/>
      </c>
    </row>
    <row r="41">
      <c r="A41" s="4" t="inlineStr">
        <is>
          <t xml:space="preserve">  Incremental op margin (ΔEBIT / ΔRev)</t>
        </is>
      </c>
      <c r="C41" s="57">
        <f>IFERROR((C21-B21)/(C8-B8),"")</f>
        <v/>
      </c>
      <c r="D41" s="57">
        <f>IFERROR((D21-C21)/(D8-C8),"")</f>
        <v/>
      </c>
      <c r="E41" s="57">
        <f>IFERROR((E21-D21)/(E8-D8),"")</f>
        <v/>
      </c>
      <c r="F41" s="57">
        <f>IFERROR((F21-E21)/(F8-E8),"")</f>
        <v/>
      </c>
      <c r="G41" s="57">
        <f>IFERROR((G21-F21)/(G8-F8),"")</f>
        <v/>
      </c>
      <c r="H41" s="57">
        <f>IFERROR((H21-G21)/(H8-G8),"")</f>
        <v/>
      </c>
      <c r="I41" s="57">
        <f>IFERROR((I21-H21)/(I8-H8),"")</f>
        <v/>
      </c>
      <c r="J41" s="57">
        <f>IFERROR((J21-I21)/(J8-I8),"")</f>
        <v/>
      </c>
      <c r="K41" s="57">
        <f>IFERROR((K21-J21)/(K8-J8),"")</f>
        <v/>
      </c>
      <c r="L41" s="57">
        <f>IFERROR((L21-K21)/(L8-K8),"")</f>
        <v/>
      </c>
      <c r="M41" s="57">
        <f>IFERROR((M21-L21)/(M8-L8),"")</f>
        <v/>
      </c>
      <c r="N41" s="57">
        <f>IFERROR((N21-M21)/(N8-M8),"")</f>
        <v/>
      </c>
      <c r="O41" s="57">
        <f>IFERROR((O21-N21)/(O8-N8),"")</f>
        <v/>
      </c>
      <c r="P41" s="57">
        <f>IFERROR((P21-O21)/(P8-O8),"")</f>
        <v/>
      </c>
    </row>
    <row r="42">
      <c r="A42" s="3" t="inlineStr">
        <is>
          <t xml:space="preserve">  ROIIC (ΔNOPAT / ΔInvested capital)</t>
        </is>
      </c>
      <c r="C42" s="57">
        <f>IFERROR((C25-B25)/(C36-B36),"")</f>
        <v/>
      </c>
      <c r="D42" s="57">
        <f>IFERROR((D25-C25)/(D36-C36),"")</f>
        <v/>
      </c>
      <c r="E42" s="57">
        <f>IFERROR((E25-D25)/(E36-D36),"")</f>
        <v/>
      </c>
      <c r="F42" s="57">
        <f>IFERROR((F25-E25)/(F36-E36),"")</f>
        <v/>
      </c>
      <c r="G42" s="57">
        <f>IFERROR((G25-F25)/(G36-F36),"")</f>
        <v/>
      </c>
      <c r="H42" s="57">
        <f>IFERROR((H25-G25)/(H36-G36),"")</f>
        <v/>
      </c>
      <c r="I42" s="57">
        <f>IFERROR((I25-H25)/(I36-H36),"")</f>
        <v/>
      </c>
      <c r="J42" s="57">
        <f>IFERROR((J25-I25)/(J36-I36),"")</f>
        <v/>
      </c>
      <c r="K42" s="57">
        <f>IFERROR((K25-J25)/(K36-J36),"")</f>
        <v/>
      </c>
      <c r="L42" s="57">
        <f>IFERROR((L25-K25)/(L36-K36),"")</f>
        <v/>
      </c>
      <c r="M42" s="57">
        <f>IFERROR((M25-L25)/(M36-L36),"")</f>
        <v/>
      </c>
      <c r="N42" s="57">
        <f>IFERROR((N25-M25)/(N36-M36),"")</f>
        <v/>
      </c>
      <c r="O42" s="57">
        <f>IFERROR((O25-N25)/(O36-N36),"")</f>
        <v/>
      </c>
      <c r="P42" s="5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60">
        <f>IFERROR((C8-B8)/(C36-B36),"")</f>
        <v/>
      </c>
      <c r="D43" s="60">
        <f>IFERROR((D8-C8)/(D36-C36),"")</f>
        <v/>
      </c>
      <c r="E43" s="60">
        <f>IFERROR((E8-D8)/(E36-D36),"")</f>
        <v/>
      </c>
      <c r="F43" s="60">
        <f>IFERROR((F8-E8)/(F36-E36),"")</f>
        <v/>
      </c>
      <c r="G43" s="60">
        <f>IFERROR((G8-F8)/(G36-F36),"")</f>
        <v/>
      </c>
      <c r="H43" s="60">
        <f>IFERROR((H8-G8)/(H36-G36),"")</f>
        <v/>
      </c>
      <c r="I43" s="60">
        <f>IFERROR((I8-H8)/(I36-H36),"")</f>
        <v/>
      </c>
      <c r="J43" s="60">
        <f>IFERROR((J8-I8)/(J36-I36),"")</f>
        <v/>
      </c>
      <c r="K43" s="60">
        <f>IFERROR((K8-J8)/(K36-J36),"")</f>
        <v/>
      </c>
      <c r="L43" s="60">
        <f>IFERROR((L8-K8)/(L36-K36),"")</f>
        <v/>
      </c>
      <c r="M43" s="60">
        <f>IFERROR((M8-L8)/(M36-L36),"")</f>
        <v/>
      </c>
      <c r="N43" s="60">
        <f>IFERROR((N8-M8)/(N36-M36),"")</f>
        <v/>
      </c>
      <c r="O43" s="60">
        <f>IFERROR((O8-N8)/(O36-N36),"")</f>
        <v/>
      </c>
      <c r="P43" s="60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57">
        <f>IFERROR((C36-B36)/C25,"")</f>
        <v/>
      </c>
      <c r="D44" s="57">
        <f>IFERROR((D36-C36)/D25,"")</f>
        <v/>
      </c>
      <c r="E44" s="57">
        <f>IFERROR((E36-D36)/E25,"")</f>
        <v/>
      </c>
      <c r="F44" s="57">
        <f>IFERROR((F36-E36)/F25,"")</f>
        <v/>
      </c>
      <c r="G44" s="57">
        <f>IFERROR((G36-F36)/G25,"")</f>
        <v/>
      </c>
      <c r="H44" s="57">
        <f>IFERROR((H36-G36)/H25,"")</f>
        <v/>
      </c>
      <c r="I44" s="57">
        <f>IFERROR((I36-H36)/I25,"")</f>
        <v/>
      </c>
      <c r="J44" s="57">
        <f>IFERROR((J36-I36)/J25,"")</f>
        <v/>
      </c>
      <c r="K44" s="57">
        <f>IFERROR((K36-J36)/K25,"")</f>
        <v/>
      </c>
      <c r="L44" s="57">
        <f>IFERROR((L36-K36)/L25,"")</f>
        <v/>
      </c>
      <c r="M44" s="57">
        <f>IFERROR((M36-L36)/M25,"")</f>
        <v/>
      </c>
      <c r="N44" s="57">
        <f>IFERROR((N36-M36)/N25,"")</f>
        <v/>
      </c>
      <c r="O44" s="57">
        <f>IFERROR((O36-N36)/O25,"")</f>
        <v/>
      </c>
      <c r="P44" s="5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5517</v>
      </c>
      <c r="C3" s="18" t="n">
        <v>5515</v>
      </c>
      <c r="D3" s="18" t="n">
        <v>5776</v>
      </c>
      <c r="E3" s="18" t="n">
        <v>5858</v>
      </c>
      <c r="F3" s="18" t="n">
        <v>5742</v>
      </c>
      <c r="G3" s="18" t="n">
        <v>5821</v>
      </c>
      <c r="H3" s="18" t="n">
        <v>6467</v>
      </c>
      <c r="I3" s="18" t="n">
        <v>6655</v>
      </c>
      <c r="J3" s="18" t="n">
        <v>6610</v>
      </c>
      <c r="K3" s="18" t="n">
        <v>6778</v>
      </c>
      <c r="L3" s="18" t="n">
        <v>7407</v>
      </c>
      <c r="M3" s="18" t="n">
        <v>7706</v>
      </c>
      <c r="N3" s="18" t="n">
        <v>8103</v>
      </c>
      <c r="O3" s="18" t="n">
        <v>8464</v>
      </c>
      <c r="P3" s="18" t="n">
        <v>8930</v>
      </c>
      <c r="Q3" s="18" t="n">
        <v>8915</v>
      </c>
      <c r="R3" s="18" t="n">
        <v>8733</v>
      </c>
      <c r="S3" s="18" t="n">
        <v>8876</v>
      </c>
      <c r="T3" s="18" t="n">
        <v>9295</v>
      </c>
      <c r="U3" s="18" t="n">
        <v>11961</v>
      </c>
      <c r="V3" s="18" t="n">
        <v>12487</v>
      </c>
      <c r="W3" s="18" t="n">
        <v>13072</v>
      </c>
      <c r="X3" s="18" t="n">
        <v>14054</v>
      </c>
      <c r="Y3" s="18" t="n">
        <v>14916</v>
      </c>
      <c r="Z3" s="18" t="n">
        <v>15004</v>
      </c>
      <c r="AA3" s="18" t="n">
        <v>15952</v>
      </c>
      <c r="AB3" s="18" t="n">
        <v>18015</v>
      </c>
      <c r="AC3" s="18" t="n">
        <v>19311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2428</v>
      </c>
      <c r="C5" s="18" t="n">
        <v>2481</v>
      </c>
      <c r="D5" s="18" t="n">
        <v>2624</v>
      </c>
      <c r="E5" s="18" t="n">
        <v>2594</v>
      </c>
      <c r="F5" s="18" t="n">
        <v>2553</v>
      </c>
      <c r="G5" s="18" t="n">
        <v>2505</v>
      </c>
      <c r="H5" s="18" t="n">
        <v>2720</v>
      </c>
      <c r="I5" s="18" t="n">
        <v>2703</v>
      </c>
      <c r="J5" s="18" t="n">
        <v>2553</v>
      </c>
      <c r="K5" s="18" t="n">
        <v>2581</v>
      </c>
      <c r="L5" s="18" t="n">
        <v>2769</v>
      </c>
      <c r="M5" s="18" t="n">
        <v>2657</v>
      </c>
      <c r="N5" s="18" t="n">
        <v>2664</v>
      </c>
      <c r="O5" s="18" t="n">
        <v>2783</v>
      </c>
      <c r="P5" s="18" t="n">
        <v>3004</v>
      </c>
      <c r="Q5" s="18" t="n">
        <v>2911</v>
      </c>
      <c r="R5" s="18" t="n">
        <v>2618</v>
      </c>
      <c r="S5" s="18" t="n">
        <v>2712</v>
      </c>
      <c r="T5" s="18" t="n">
        <v>2888</v>
      </c>
      <c r="U5" s="18" t="n">
        <v>4586</v>
      </c>
      <c r="V5" s="18" t="n">
        <v>4711</v>
      </c>
      <c r="W5" s="18" t="n">
        <v>4716</v>
      </c>
      <c r="X5" s="18" t="n">
        <v>5052</v>
      </c>
      <c r="Y5" s="18" t="n">
        <v>4771</v>
      </c>
      <c r="Z5" s="18" t="n">
        <v>4807</v>
      </c>
      <c r="AA5" s="18" t="n">
        <v>5249</v>
      </c>
      <c r="AB5" s="18" t="n">
        <v>5766</v>
      </c>
      <c r="AC5" s="18" t="n">
        <v>6648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1151</v>
      </c>
      <c r="C7" s="18" t="n">
        <v>1235</v>
      </c>
      <c r="D7" s="18" t="n">
        <v>1177</v>
      </c>
      <c r="E7" s="18" t="n">
        <v>1289</v>
      </c>
      <c r="F7" s="18" t="n">
        <v>1269</v>
      </c>
      <c r="G7" s="18" t="n">
        <v>1228</v>
      </c>
      <c r="H7" s="18" t="n">
        <v>1182</v>
      </c>
      <c r="I7" s="18" t="n">
        <v>1211</v>
      </c>
      <c r="J7" s="18" t="n">
        <v>1238</v>
      </c>
      <c r="K7" s="18" t="n">
        <v>1205</v>
      </c>
      <c r="L7" s="18" t="n">
        <v>1200</v>
      </c>
      <c r="M7" s="18" t="n">
        <v>1206</v>
      </c>
      <c r="N7" s="18" t="n">
        <v>1261</v>
      </c>
      <c r="O7" s="18" t="n">
        <v>1255</v>
      </c>
      <c r="P7" s="18" t="n">
        <v>1197</v>
      </c>
      <c r="Q7" s="18" t="n">
        <v>1195</v>
      </c>
      <c r="R7" s="18" t="n">
        <v>1312</v>
      </c>
      <c r="S7" s="18" t="n">
        <v>1358</v>
      </c>
      <c r="T7" s="18" t="n">
        <v>1388</v>
      </c>
      <c r="U7" s="18" t="n">
        <v>2308</v>
      </c>
      <c r="V7" s="18" t="n">
        <v>2415</v>
      </c>
      <c r="W7" s="18" t="n">
        <v>2353</v>
      </c>
      <c r="X7" s="18" t="n">
        <v>2234</v>
      </c>
      <c r="Y7" s="18" t="n">
        <v>2253</v>
      </c>
      <c r="Z7" s="18" t="n">
        <v>2693</v>
      </c>
      <c r="AA7" s="18" t="n">
        <v>3050</v>
      </c>
      <c r="AB7" s="18" t="n">
        <v>2981</v>
      </c>
      <c r="AC7" s="18" t="n">
        <v>2965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419</v>
      </c>
      <c r="C9" s="18" t="n">
        <v>410</v>
      </c>
      <c r="D9" s="18" t="n">
        <v>409</v>
      </c>
      <c r="E9" s="18" t="n">
        <v>601</v>
      </c>
      <c r="F9" s="18" t="n">
        <v>501</v>
      </c>
      <c r="G9" s="18" t="n">
        <v>428</v>
      </c>
      <c r="H9" s="18" t="n">
        <v>405</v>
      </c>
      <c r="I9" s="18" t="n">
        <v>339</v>
      </c>
      <c r="J9" s="18" t="n">
        <v>325</v>
      </c>
      <c r="K9" s="18" t="n">
        <v>346</v>
      </c>
      <c r="L9" s="18" t="n">
        <v>337</v>
      </c>
      <c r="M9" s="18" t="n">
        <v>321</v>
      </c>
      <c r="N9" s="18" t="n">
        <v>368</v>
      </c>
      <c r="O9" s="18" t="n">
        <v>323</v>
      </c>
      <c r="P9" s="18" t="n">
        <v>370</v>
      </c>
      <c r="Q9" s="18" t="n">
        <v>348</v>
      </c>
      <c r="R9" s="18" t="n">
        <v>438</v>
      </c>
      <c r="S9" s="18" t="n">
        <v>388</v>
      </c>
      <c r="T9" s="18" t="n">
        <v>418</v>
      </c>
      <c r="U9" s="18" t="n">
        <v>1572</v>
      </c>
      <c r="V9" s="18" t="n">
        <v>1277</v>
      </c>
      <c r="W9" s="18" t="n">
        <v>1100</v>
      </c>
      <c r="X9" s="18" t="n">
        <v>1010</v>
      </c>
      <c r="Y9" s="18" t="n">
        <v>949</v>
      </c>
      <c r="Z9" s="18" t="n">
        <v>1083</v>
      </c>
      <c r="AA9" s="18" t="n">
        <v>1072</v>
      </c>
      <c r="AB9" s="18" t="n">
        <v>1107</v>
      </c>
      <c r="AC9" s="18" t="n">
        <v>1017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3089</v>
      </c>
      <c r="C11" s="18" t="n">
        <v>3034</v>
      </c>
      <c r="D11" s="18" t="n">
        <v>3152</v>
      </c>
      <c r="E11" s="18" t="n">
        <v>3264</v>
      </c>
      <c r="F11" s="18" t="n">
        <v>3189</v>
      </c>
      <c r="G11" s="18" t="n">
        <v>3316</v>
      </c>
      <c r="H11" s="18" t="n">
        <v>3747</v>
      </c>
      <c r="I11" s="18" t="n">
        <v>3952</v>
      </c>
      <c r="J11" s="18" t="n">
        <v>4057</v>
      </c>
      <c r="K11" s="18" t="n">
        <v>4197</v>
      </c>
      <c r="L11" s="18" t="n">
        <v>4638</v>
      </c>
      <c r="M11" s="18" t="n">
        <v>5049</v>
      </c>
      <c r="N11" s="18" t="n">
        <v>5439</v>
      </c>
      <c r="O11" s="18" t="n">
        <v>5681</v>
      </c>
      <c r="P11" s="18" t="n">
        <v>5926</v>
      </c>
      <c r="Q11" s="18" t="n">
        <v>6004</v>
      </c>
      <c r="R11" s="18" t="n">
        <v>6115</v>
      </c>
      <c r="S11" s="18" t="n">
        <v>6164</v>
      </c>
      <c r="T11" s="18" t="n">
        <v>6407</v>
      </c>
      <c r="U11" s="18" t="n">
        <v>7375</v>
      </c>
      <c r="V11" s="18" t="n">
        <v>7776</v>
      </c>
      <c r="W11" s="18" t="n">
        <v>8356</v>
      </c>
      <c r="X11" s="18" t="n">
        <v>9002</v>
      </c>
      <c r="Y11" s="18" t="n">
        <v>10145</v>
      </c>
      <c r="Z11" s="18" t="n">
        <v>10197</v>
      </c>
      <c r="AA11" s="18" t="n">
        <v>10703</v>
      </c>
      <c r="AB11" s="18" t="n">
        <v>12249</v>
      </c>
      <c r="AC11" s="18" t="n">
        <v>12663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970</v>
      </c>
      <c r="C13" s="18" t="n">
        <v>865</v>
      </c>
      <c r="D13" s="18" t="n">
        <v>1054</v>
      </c>
      <c r="E13" s="18" t="n">
        <v>714</v>
      </c>
      <c r="F13" s="18" t="n">
        <v>766</v>
      </c>
      <c r="G13" s="18" t="n">
        <v>1008</v>
      </c>
      <c r="H13" s="18" t="n">
        <v>1526</v>
      </c>
      <c r="I13" s="18" t="n">
        <v>1837</v>
      </c>
      <c r="J13" s="18" t="n">
        <v>1975</v>
      </c>
      <c r="K13" s="18" t="n">
        <v>2126</v>
      </c>
      <c r="L13" s="18" t="n">
        <v>2581</v>
      </c>
      <c r="M13" s="18" t="n">
        <v>3127</v>
      </c>
      <c r="N13" s="18" t="n">
        <v>3413</v>
      </c>
      <c r="O13" s="18" t="n">
        <v>3737</v>
      </c>
      <c r="P13" s="18" t="n">
        <v>3986</v>
      </c>
      <c r="Q13" s="18" t="n">
        <v>4103</v>
      </c>
      <c r="R13" s="18" t="n">
        <v>4008</v>
      </c>
      <c r="S13" s="18" t="n">
        <v>3856</v>
      </c>
      <c r="T13" s="18" t="n">
        <v>4240</v>
      </c>
      <c r="U13" s="18" t="n">
        <v>2083</v>
      </c>
      <c r="V13" s="18" t="n">
        <v>2965</v>
      </c>
      <c r="W13" s="18" t="n">
        <v>3788</v>
      </c>
      <c r="X13" s="18" t="n">
        <v>4627</v>
      </c>
      <c r="Y13" s="18" t="n">
        <v>6260</v>
      </c>
      <c r="Z13" s="18" t="n">
        <v>5829</v>
      </c>
      <c r="AA13" s="18" t="n">
        <v>5887</v>
      </c>
      <c r="AB13" s="18" t="n">
        <v>7508</v>
      </c>
      <c r="AC13" s="18" t="n">
        <v>8681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691</v>
      </c>
      <c r="C15" s="18" t="n">
        <v>715</v>
      </c>
      <c r="D15" s="18" t="n">
        <v>847</v>
      </c>
      <c r="E15" s="18" t="n">
        <v>385</v>
      </c>
      <c r="F15" s="18" t="n">
        <v>563</v>
      </c>
      <c r="G15" s="18" t="n">
        <v>688</v>
      </c>
      <c r="H15" s="18" t="n">
        <v>1324</v>
      </c>
      <c r="I15" s="18" t="n">
        <v>1378</v>
      </c>
      <c r="J15" s="18" t="n">
        <v>1493</v>
      </c>
      <c r="K15" s="18" t="n">
        <v>1876</v>
      </c>
      <c r="L15" s="18" t="n">
        <v>1989</v>
      </c>
      <c r="M15" s="18" t="n">
        <v>2472</v>
      </c>
      <c r="N15" s="18" t="n">
        <v>2590</v>
      </c>
      <c r="O15" s="18" t="n">
        <v>3074</v>
      </c>
      <c r="P15" s="18" t="n">
        <v>3359</v>
      </c>
      <c r="Q15" s="18" t="n">
        <v>3774</v>
      </c>
      <c r="R15" s="18" t="n">
        <v>3481</v>
      </c>
      <c r="S15" s="18" t="n">
        <v>3303</v>
      </c>
      <c r="T15" s="18" t="n">
        <v>3524</v>
      </c>
      <c r="U15" s="18" t="n">
        <v>1325</v>
      </c>
      <c r="V15" s="18" t="n">
        <v>2121</v>
      </c>
      <c r="W15" s="18" t="n">
        <v>-1875</v>
      </c>
      <c r="X15" s="18" t="n">
        <v>4324</v>
      </c>
      <c r="Y15" s="18" t="n">
        <v>5503</v>
      </c>
      <c r="Z15" s="18" t="n">
        <v>4965</v>
      </c>
      <c r="AA15" s="18" t="n">
        <v>4140</v>
      </c>
      <c r="AB15" s="18" t="n">
        <v>8518</v>
      </c>
      <c r="AC15" s="18" t="n">
        <v>7349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4220</v>
      </c>
      <c r="C17" s="18" t="n">
        <v>4180</v>
      </c>
      <c r="D17" s="18" t="n">
        <v>4160</v>
      </c>
      <c r="E17" s="18" t="n">
        <v>4200</v>
      </c>
      <c r="F17" s="18" t="n">
        <v>4170</v>
      </c>
      <c r="G17" s="18" t="n">
        <v>4220</v>
      </c>
      <c r="H17" s="18" t="n">
        <v>4270.677</v>
      </c>
      <c r="I17" s="18" t="n">
        <v>4290.727</v>
      </c>
      <c r="J17" s="18" t="n">
        <v>4300.752</v>
      </c>
      <c r="K17" s="18" t="n">
        <v>4300.752</v>
      </c>
      <c r="L17" s="18" t="n">
        <v>4310.777</v>
      </c>
      <c r="M17" s="18" t="n">
        <v>4290</v>
      </c>
      <c r="N17" s="18" t="n">
        <v>4250.626</v>
      </c>
      <c r="O17" s="18" t="n">
        <v>4310.777</v>
      </c>
      <c r="P17" s="18" t="n">
        <v>4290</v>
      </c>
      <c r="Q17" s="18" t="n">
        <v>4290</v>
      </c>
      <c r="R17" s="18" t="n">
        <v>4270</v>
      </c>
      <c r="S17" s="18" t="n">
        <v>4270</v>
      </c>
      <c r="T17" s="18" t="n">
        <v>4270</v>
      </c>
      <c r="U17" s="18" t="n">
        <v>4670</v>
      </c>
      <c r="V17" s="18" t="n">
        <v>4800</v>
      </c>
      <c r="W17" s="18" t="n">
        <v>4663</v>
      </c>
      <c r="X17" s="18" t="n">
        <v>4828</v>
      </c>
      <c r="Y17" s="18" t="n">
        <v>4836</v>
      </c>
      <c r="Z17" s="18" t="n">
        <v>4826</v>
      </c>
      <c r="AA17" s="18" t="n">
        <v>4860</v>
      </c>
      <c r="AB17" s="18" t="n">
        <v>4889</v>
      </c>
      <c r="AC17" s="18" t="n">
        <v>4888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Semiconductor Solutions</t>
        </is>
      </c>
      <c r="B19" s="18" t="n">
        <v>4088</v>
      </c>
      <c r="C19" s="18" t="n">
        <v>4353</v>
      </c>
      <c r="D19" s="18" t="n">
        <v>4553</v>
      </c>
      <c r="E19" s="18" t="n">
        <v>4191</v>
      </c>
      <c r="F19" s="18" t="n">
        <v>4027</v>
      </c>
      <c r="G19" s="18" t="n">
        <v>4219</v>
      </c>
      <c r="H19" s="18" t="n">
        <v>4830</v>
      </c>
      <c r="I19" s="18" t="n">
        <v>4908</v>
      </c>
      <c r="J19" s="18" t="n">
        <v>4820</v>
      </c>
      <c r="K19" s="18" t="n">
        <v>5021</v>
      </c>
      <c r="L19" s="18" t="n">
        <v>5634</v>
      </c>
      <c r="M19" s="18" t="n">
        <v>5873</v>
      </c>
      <c r="N19" s="18" t="n">
        <v>6229</v>
      </c>
      <c r="O19" s="18" t="n">
        <v>6624</v>
      </c>
      <c r="P19" s="18" t="n">
        <v>7092</v>
      </c>
      <c r="Q19" s="18" t="n">
        <v>7107</v>
      </c>
      <c r="R19" s="18" t="n">
        <v>6808</v>
      </c>
      <c r="S19" s="18" t="n">
        <v>6941</v>
      </c>
      <c r="T19" s="18" t="n">
        <v>7326</v>
      </c>
      <c r="U19" s="18" t="n">
        <v>7390</v>
      </c>
      <c r="V19" s="18" t="n">
        <v>7202</v>
      </c>
      <c r="W19" s="18" t="n">
        <v>7274</v>
      </c>
      <c r="X19" s="18" t="n">
        <v>8230</v>
      </c>
      <c r="Y19" s="18" t="n">
        <v>8212</v>
      </c>
      <c r="Z19" s="18" t="n">
        <v>8408</v>
      </c>
      <c r="AA19" s="18" t="n">
        <v>9166</v>
      </c>
      <c r="AB19" s="18" t="n">
        <v>11072</v>
      </c>
      <c r="AC19" s="18" t="n">
        <v>12515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Infrastructure Software</t>
        </is>
      </c>
      <c r="B22" s="18" t="n">
        <v>1413</v>
      </c>
      <c r="C22" s="18" t="n">
        <v>1140</v>
      </c>
      <c r="D22" s="18" t="n">
        <v>1200</v>
      </c>
      <c r="E22" s="18" t="n">
        <v>1667</v>
      </c>
      <c r="F22" s="18" t="n">
        <v>1715</v>
      </c>
      <c r="G22" s="18" t="n">
        <v>1602</v>
      </c>
      <c r="H22" s="18" t="n">
        <v>1637</v>
      </c>
      <c r="I22" s="18" t="n">
        <v>1747</v>
      </c>
      <c r="J22" s="18" t="n">
        <v>1790</v>
      </c>
      <c r="K22" s="18" t="n">
        <v>1757</v>
      </c>
      <c r="L22" s="18" t="n">
        <v>1773</v>
      </c>
      <c r="M22" s="18" t="n">
        <v>1833</v>
      </c>
      <c r="N22" s="18" t="n">
        <v>1874</v>
      </c>
      <c r="O22" s="18" t="n">
        <v>1840</v>
      </c>
      <c r="P22" s="18" t="n">
        <v>1838</v>
      </c>
      <c r="Q22" s="18" t="n">
        <v>1808</v>
      </c>
      <c r="R22" s="18" t="n">
        <v>1925</v>
      </c>
      <c r="S22" s="18" t="n">
        <v>1935</v>
      </c>
      <c r="T22" s="18" t="n">
        <v>1969</v>
      </c>
      <c r="U22" s="18" t="n">
        <v>4571</v>
      </c>
      <c r="V22" s="18" t="n">
        <v>5285</v>
      </c>
      <c r="W22" s="18" t="n">
        <v>5798</v>
      </c>
      <c r="X22" s="18" t="n">
        <v>5824</v>
      </c>
      <c r="Y22" s="18" t="n">
        <v>6704</v>
      </c>
      <c r="Z22" s="18" t="n">
        <v>6596</v>
      </c>
      <c r="AA22" s="18" t="n">
        <v>6786</v>
      </c>
      <c r="AB22" s="18" t="n">
        <v>6943</v>
      </c>
      <c r="AC22" s="18" t="n">
        <v>6796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Asia Pacific</t>
        </is>
      </c>
      <c r="B26" s="18" t="n">
        <v>3473</v>
      </c>
      <c r="C26" s="18" t="n">
        <v>3706</v>
      </c>
      <c r="D26" s="18" t="n">
        <v>4218</v>
      </c>
      <c r="E26" s="18" t="n">
        <v>3620</v>
      </c>
      <c r="F26" s="18" t="n">
        <v>3600</v>
      </c>
      <c r="G26" s="18" t="n">
        <v>3742</v>
      </c>
      <c r="H26" s="18" t="n">
        <v>4361</v>
      </c>
      <c r="I26" s="18" t="n">
        <v>4511</v>
      </c>
      <c r="J26" s="18" t="n">
        <v>4228</v>
      </c>
      <c r="K26" s="18" t="n">
        <v>4321</v>
      </c>
      <c r="L26" s="18" t="n">
        <v>4918</v>
      </c>
      <c r="M26" s="18" t="n">
        <v>5112</v>
      </c>
      <c r="N26" s="18" t="n">
        <v>5385</v>
      </c>
      <c r="O26" s="18" t="n">
        <v>5845</v>
      </c>
      <c r="P26" s="18" t="n">
        <v>6163</v>
      </c>
      <c r="Q26" s="18" t="n">
        <v>6137</v>
      </c>
      <c r="R26" s="18" t="n">
        <v>5584</v>
      </c>
      <c r="S26" s="18" t="n">
        <v>5947</v>
      </c>
      <c r="T26" s="18" t="n">
        <v>6252</v>
      </c>
      <c r="U26" s="18" t="n">
        <v>6697</v>
      </c>
      <c r="V26" s="18" t="n">
        <v>6754</v>
      </c>
      <c r="W26" s="18" t="n">
        <v>7041</v>
      </c>
      <c r="X26" s="18" t="n">
        <v>7930</v>
      </c>
      <c r="Y26" s="18" t="n">
        <v>8032</v>
      </c>
      <c r="Z26" s="18" t="n">
        <v>8100</v>
      </c>
      <c r="AA26" s="18" t="n">
        <v>8960</v>
      </c>
      <c r="AB26" s="18" t="n">
        <v>10804</v>
      </c>
      <c r="AC26" s="18" t="n">
        <v>11615</v>
      </c>
    </row>
    <row r="27">
      <c r="A27" s="4" t="inlineStr">
        <is>
          <t xml:space="preserve">    % YoY</t>
        </is>
      </c>
      <c r="F27" s="57">
        <f>IFERROR(F26/B26-1,"")</f>
        <v/>
      </c>
      <c r="G27" s="57">
        <f>IFERROR(G26/C26-1,"")</f>
        <v/>
      </c>
      <c r="H27" s="57">
        <f>IFERROR(H26/D26-1,"")</f>
        <v/>
      </c>
      <c r="I27" s="57">
        <f>IFERROR(I26/E26-1,"")</f>
        <v/>
      </c>
      <c r="J27" s="57">
        <f>IFERROR(J26/F26-1,"")</f>
        <v/>
      </c>
      <c r="K27" s="57">
        <f>IFERROR(K26/G26-1,"")</f>
        <v/>
      </c>
      <c r="L27" s="57">
        <f>IFERROR(L26/H26-1,"")</f>
        <v/>
      </c>
      <c r="M27" s="57">
        <f>IFERROR(M26/I26-1,"")</f>
        <v/>
      </c>
      <c r="N27" s="57">
        <f>IFERROR(N26/J26-1,"")</f>
        <v/>
      </c>
      <c r="O27" s="57">
        <f>IFERROR(O26/K26-1,"")</f>
        <v/>
      </c>
      <c r="P27" s="57">
        <f>IFERROR(P26/L26-1,"")</f>
        <v/>
      </c>
      <c r="Q27" s="57">
        <f>IFERROR(Q26/M26-1,"")</f>
        <v/>
      </c>
      <c r="R27" s="57">
        <f>IFERROR(R26/N26-1,"")</f>
        <v/>
      </c>
      <c r="S27" s="57">
        <f>IFERROR(S26/O26-1,"")</f>
        <v/>
      </c>
      <c r="T27" s="57">
        <f>IFERROR(T26/P26-1,"")</f>
        <v/>
      </c>
      <c r="U27" s="57">
        <f>IFERROR(U26/Q26-1,"")</f>
        <v/>
      </c>
      <c r="V27" s="57">
        <f>IFERROR(V26/R26-1,"")</f>
        <v/>
      </c>
      <c r="W27" s="57">
        <f>IFERROR(W26/S26-1,"")</f>
        <v/>
      </c>
      <c r="X27" s="57">
        <f>IFERROR(X26/T26-1,"")</f>
        <v/>
      </c>
      <c r="Y27" s="57">
        <f>IFERROR(Y26/U26-1,"")</f>
        <v/>
      </c>
      <c r="Z27" s="57">
        <f>IFERROR(Z26/V26-1,"")</f>
        <v/>
      </c>
      <c r="AA27" s="57">
        <f>IFERROR(AA26/W26-1,"")</f>
        <v/>
      </c>
      <c r="AB27" s="57">
        <f>IFERROR(AB26/X26-1,"")</f>
        <v/>
      </c>
      <c r="AC27" s="57">
        <f>IFERROR(AC26/Y26-1,"")</f>
        <v/>
      </c>
    </row>
    <row r="28">
      <c r="A28" s="4" t="inlineStr">
        <is>
          <t xml:space="preserve">    % of revenue</t>
        </is>
      </c>
      <c r="B28" s="57">
        <f>IFERROR(B26/B3,"")</f>
        <v/>
      </c>
      <c r="C28" s="57">
        <f>IFERROR(C26/C3,"")</f>
        <v/>
      </c>
      <c r="D28" s="57">
        <f>IFERROR(D26/D3,"")</f>
        <v/>
      </c>
      <c r="E28" s="57">
        <f>IFERROR(E26/E3,"")</f>
        <v/>
      </c>
      <c r="F28" s="57">
        <f>IFERROR(F26/F3,"")</f>
        <v/>
      </c>
      <c r="G28" s="57">
        <f>IFERROR(G26/G3,"")</f>
        <v/>
      </c>
      <c r="H28" s="57">
        <f>IFERROR(H26/H3,"")</f>
        <v/>
      </c>
      <c r="I28" s="57">
        <f>IFERROR(I26/I3,"")</f>
        <v/>
      </c>
      <c r="J28" s="57">
        <f>IFERROR(J26/J3,"")</f>
        <v/>
      </c>
      <c r="K28" s="57">
        <f>IFERROR(K26/K3,"")</f>
        <v/>
      </c>
      <c r="L28" s="57">
        <f>IFERROR(L26/L3,"")</f>
        <v/>
      </c>
      <c r="M28" s="57">
        <f>IFERROR(M26/M3,"")</f>
        <v/>
      </c>
      <c r="N28" s="57">
        <f>IFERROR(N26/N3,"")</f>
        <v/>
      </c>
      <c r="O28" s="57">
        <f>IFERROR(O26/O3,"")</f>
        <v/>
      </c>
      <c r="P28" s="57">
        <f>IFERROR(P26/P3,"")</f>
        <v/>
      </c>
      <c r="Q28" s="57">
        <f>IFERROR(Q26/Q3,"")</f>
        <v/>
      </c>
      <c r="R28" s="57">
        <f>IFERROR(R26/R3,"")</f>
        <v/>
      </c>
      <c r="S28" s="57">
        <f>IFERROR(S26/S3,"")</f>
        <v/>
      </c>
      <c r="T28" s="57">
        <f>IFERROR(T26/T3,"")</f>
        <v/>
      </c>
      <c r="U28" s="57">
        <f>IFERROR(U26/U3,"")</f>
        <v/>
      </c>
      <c r="V28" s="57">
        <f>IFERROR(V26/V3,"")</f>
        <v/>
      </c>
      <c r="W28" s="57">
        <f>IFERROR(W26/W3,"")</f>
        <v/>
      </c>
      <c r="X28" s="57">
        <f>IFERROR(X26/X3,"")</f>
        <v/>
      </c>
      <c r="Y28" s="57">
        <f>IFERROR(Y26/Y3,"")</f>
        <v/>
      </c>
      <c r="Z28" s="57">
        <f>IFERROR(Z26/Z3,"")</f>
        <v/>
      </c>
      <c r="AA28" s="57">
        <f>IFERROR(AA26/AA3,"")</f>
        <v/>
      </c>
      <c r="AB28" s="57">
        <f>IFERROR(AB26/AB3,"")</f>
        <v/>
      </c>
      <c r="AC28" s="57">
        <f>IFERROR(AC26/AC3,"")</f>
        <v/>
      </c>
    </row>
    <row r="29">
      <c r="A29" s="4" t="inlineStr">
        <is>
          <t>Americas</t>
        </is>
      </c>
      <c r="B29" s="18" t="n">
        <v>1357</v>
      </c>
      <c r="C29" s="18" t="n">
        <v>1217</v>
      </c>
      <c r="D29" s="18" t="n">
        <v>1142</v>
      </c>
      <c r="E29" s="18" t="n">
        <v>1539</v>
      </c>
      <c r="F29" s="18" t="n">
        <v>1466</v>
      </c>
      <c r="G29" s="18" t="n">
        <v>1410</v>
      </c>
      <c r="H29" s="18" t="n">
        <v>1419</v>
      </c>
      <c r="I29" s="18" t="n">
        <v>1394</v>
      </c>
      <c r="J29" s="18" t="n">
        <v>1521</v>
      </c>
      <c r="K29" s="18" t="n">
        <v>1588</v>
      </c>
      <c r="L29" s="18" t="n">
        <v>1596</v>
      </c>
      <c r="M29" s="18" t="n">
        <v>1657</v>
      </c>
      <c r="N29" s="18" t="n">
        <v>1812</v>
      </c>
      <c r="O29" s="18" t="n">
        <v>1762</v>
      </c>
      <c r="P29" s="18" t="n">
        <v>1713</v>
      </c>
      <c r="Q29" s="18" t="n">
        <v>1839</v>
      </c>
      <c r="R29" s="18" t="n">
        <v>2234</v>
      </c>
      <c r="S29" s="18" t="n">
        <v>2089</v>
      </c>
      <c r="T29" s="18" t="n">
        <v>2117</v>
      </c>
      <c r="U29" s="18" t="n">
        <v>3085</v>
      </c>
      <c r="V29" s="18" t="n">
        <v>3874</v>
      </c>
      <c r="W29" s="18" t="n">
        <v>3991</v>
      </c>
      <c r="X29" s="18" t="n">
        <v>4020</v>
      </c>
      <c r="Y29" s="18" t="n">
        <v>4632</v>
      </c>
      <c r="Z29" s="18" t="n">
        <v>4706</v>
      </c>
      <c r="AA29" s="18" t="n">
        <v>4724</v>
      </c>
      <c r="AB29" s="18" t="n">
        <v>4877</v>
      </c>
      <c r="AC29" s="18" t="n">
        <v>5081</v>
      </c>
    </row>
    <row r="30">
      <c r="A30" s="4" t="inlineStr">
        <is>
          <t xml:space="preserve">    % YoY</t>
        </is>
      </c>
      <c r="F30" s="57">
        <f>IFERROR(F29/B29-1,"")</f>
        <v/>
      </c>
      <c r="G30" s="57">
        <f>IFERROR(G29/C29-1,"")</f>
        <v/>
      </c>
      <c r="H30" s="57">
        <f>IFERROR(H29/D29-1,"")</f>
        <v/>
      </c>
      <c r="I30" s="57">
        <f>IFERROR(I29/E29-1,"")</f>
        <v/>
      </c>
      <c r="J30" s="57">
        <f>IFERROR(J29/F29-1,"")</f>
        <v/>
      </c>
      <c r="K30" s="57">
        <f>IFERROR(K29/G29-1,"")</f>
        <v/>
      </c>
      <c r="L30" s="57">
        <f>IFERROR(L29/H29-1,"")</f>
        <v/>
      </c>
      <c r="M30" s="57">
        <f>IFERROR(M29/I29-1,"")</f>
        <v/>
      </c>
      <c r="N30" s="57">
        <f>IFERROR(N29/J29-1,"")</f>
        <v/>
      </c>
      <c r="O30" s="57">
        <f>IFERROR(O29/K29-1,"")</f>
        <v/>
      </c>
      <c r="P30" s="57">
        <f>IFERROR(P29/L29-1,"")</f>
        <v/>
      </c>
      <c r="Q30" s="57">
        <f>IFERROR(Q29/M29-1,"")</f>
        <v/>
      </c>
      <c r="R30" s="57">
        <f>IFERROR(R29/N29-1,"")</f>
        <v/>
      </c>
      <c r="S30" s="57">
        <f>IFERROR(S29/O29-1,"")</f>
        <v/>
      </c>
      <c r="T30" s="57">
        <f>IFERROR(T29/P29-1,"")</f>
        <v/>
      </c>
      <c r="U30" s="57">
        <f>IFERROR(U29/Q29-1,"")</f>
        <v/>
      </c>
      <c r="V30" s="57">
        <f>IFERROR(V29/R29-1,"")</f>
        <v/>
      </c>
      <c r="W30" s="57">
        <f>IFERROR(W29/S29-1,"")</f>
        <v/>
      </c>
      <c r="X30" s="57">
        <f>IFERROR(X29/T29-1,"")</f>
        <v/>
      </c>
      <c r="Y30" s="57">
        <f>IFERROR(Y29/U29-1,"")</f>
        <v/>
      </c>
      <c r="Z30" s="57">
        <f>IFERROR(Z29/V29-1,"")</f>
        <v/>
      </c>
      <c r="AA30" s="57">
        <f>IFERROR(AA29/W29-1,"")</f>
        <v/>
      </c>
      <c r="AB30" s="57">
        <f>IFERROR(AB29/X29-1,"")</f>
        <v/>
      </c>
      <c r="AC30" s="57">
        <f>IFERROR(AC29/Y29-1,"")</f>
        <v/>
      </c>
    </row>
    <row r="31">
      <c r="A31" s="4" t="inlineStr">
        <is>
          <t xml:space="preserve">    % of revenue</t>
        </is>
      </c>
      <c r="B31" s="57">
        <f>IFERROR(B29/B3,"")</f>
        <v/>
      </c>
      <c r="C31" s="57">
        <f>IFERROR(C29/C3,"")</f>
        <v/>
      </c>
      <c r="D31" s="57">
        <f>IFERROR(D29/D3,"")</f>
        <v/>
      </c>
      <c r="E31" s="57">
        <f>IFERROR(E29/E3,"")</f>
        <v/>
      </c>
      <c r="F31" s="57">
        <f>IFERROR(F29/F3,"")</f>
        <v/>
      </c>
      <c r="G31" s="57">
        <f>IFERROR(G29/G3,"")</f>
        <v/>
      </c>
      <c r="H31" s="57">
        <f>IFERROR(H29/H3,"")</f>
        <v/>
      </c>
      <c r="I31" s="57">
        <f>IFERROR(I29/I3,"")</f>
        <v/>
      </c>
      <c r="J31" s="57">
        <f>IFERROR(J29/J3,"")</f>
        <v/>
      </c>
      <c r="K31" s="57">
        <f>IFERROR(K29/K3,"")</f>
        <v/>
      </c>
      <c r="L31" s="57">
        <f>IFERROR(L29/L3,"")</f>
        <v/>
      </c>
      <c r="M31" s="57">
        <f>IFERROR(M29/M3,"")</f>
        <v/>
      </c>
      <c r="N31" s="57">
        <f>IFERROR(N29/N3,"")</f>
        <v/>
      </c>
      <c r="O31" s="57">
        <f>IFERROR(O29/O3,"")</f>
        <v/>
      </c>
      <c r="P31" s="57">
        <f>IFERROR(P29/P3,"")</f>
        <v/>
      </c>
      <c r="Q31" s="57">
        <f>IFERROR(Q29/Q3,"")</f>
        <v/>
      </c>
      <c r="R31" s="57">
        <f>IFERROR(R29/R3,"")</f>
        <v/>
      </c>
      <c r="S31" s="57">
        <f>IFERROR(S29/S3,"")</f>
        <v/>
      </c>
      <c r="T31" s="57">
        <f>IFERROR(T29/T3,"")</f>
        <v/>
      </c>
      <c r="U31" s="57">
        <f>IFERROR(U29/U3,"")</f>
        <v/>
      </c>
      <c r="V31" s="57">
        <f>IFERROR(V29/V3,"")</f>
        <v/>
      </c>
      <c r="W31" s="57">
        <f>IFERROR(W29/W3,"")</f>
        <v/>
      </c>
      <c r="X31" s="57">
        <f>IFERROR(X29/X3,"")</f>
        <v/>
      </c>
      <c r="Y31" s="57">
        <f>IFERROR(Y29/Y3,"")</f>
        <v/>
      </c>
      <c r="Z31" s="57">
        <f>IFERROR(Z29/Z3,"")</f>
        <v/>
      </c>
      <c r="AA31" s="57">
        <f>IFERROR(AA29/AA3,"")</f>
        <v/>
      </c>
      <c r="AB31" s="57">
        <f>IFERROR(AB29/AB3,"")</f>
        <v/>
      </c>
      <c r="AC31" s="57">
        <f>IFERROR(AC29/AC3,"")</f>
        <v/>
      </c>
    </row>
    <row r="32">
      <c r="A32" s="4" t="inlineStr">
        <is>
          <t>EMEA</t>
        </is>
      </c>
      <c r="B32" s="18" t="n">
        <v>687</v>
      </c>
      <c r="C32" s="18" t="n">
        <v>592</v>
      </c>
      <c r="D32" s="18" t="n">
        <v>416</v>
      </c>
      <c r="E32" s="18" t="n">
        <v>699</v>
      </c>
      <c r="F32" s="18" t="n">
        <v>676</v>
      </c>
      <c r="G32" s="18" t="n">
        <v>669</v>
      </c>
      <c r="H32" s="18" t="n">
        <v>687</v>
      </c>
      <c r="I32" s="18" t="n">
        <v>750</v>
      </c>
      <c r="J32" s="18" t="n">
        <v>861</v>
      </c>
      <c r="K32" s="18" t="n">
        <v>869</v>
      </c>
      <c r="L32" s="18" t="n">
        <v>893</v>
      </c>
      <c r="M32" s="18" t="n">
        <v>937</v>
      </c>
      <c r="N32" s="18" t="n">
        <v>906</v>
      </c>
      <c r="O32" s="18" t="n">
        <v>857</v>
      </c>
      <c r="P32" s="18" t="n">
        <v>1054</v>
      </c>
      <c r="Q32" s="18" t="n">
        <v>939</v>
      </c>
      <c r="R32" s="18" t="n">
        <v>915</v>
      </c>
      <c r="S32" s="18" t="n">
        <v>840</v>
      </c>
      <c r="T32" s="18" t="n">
        <v>926</v>
      </c>
      <c r="U32" s="18" t="n">
        <v>2179</v>
      </c>
      <c r="V32" s="18" t="n">
        <v>1859</v>
      </c>
      <c r="W32" s="18" t="n">
        <v>2040</v>
      </c>
      <c r="X32" s="18" t="n">
        <v>2104</v>
      </c>
      <c r="Y32" s="18" t="n">
        <v>2252</v>
      </c>
      <c r="Z32" s="18" t="n">
        <v>2198</v>
      </c>
      <c r="AA32" s="18" t="n">
        <v>2268</v>
      </c>
      <c r="AB32" s="18" t="n">
        <v>2334</v>
      </c>
      <c r="AC32" s="18" t="n">
        <v>2615</v>
      </c>
    </row>
    <row r="33">
      <c r="A33" s="4" t="inlineStr">
        <is>
          <t xml:space="preserve">    % YoY</t>
        </is>
      </c>
      <c r="F33" s="57">
        <f>IFERROR(F32/B32-1,"")</f>
        <v/>
      </c>
      <c r="G33" s="57">
        <f>IFERROR(G32/C32-1,"")</f>
        <v/>
      </c>
      <c r="H33" s="57">
        <f>IFERROR(H32/D32-1,"")</f>
        <v/>
      </c>
      <c r="I33" s="57">
        <f>IFERROR(I32/E32-1,"")</f>
        <v/>
      </c>
      <c r="J33" s="57">
        <f>IFERROR(J32/F32-1,"")</f>
        <v/>
      </c>
      <c r="K33" s="57">
        <f>IFERROR(K32/G32-1,"")</f>
        <v/>
      </c>
      <c r="L33" s="57">
        <f>IFERROR(L32/H32-1,"")</f>
        <v/>
      </c>
      <c r="M33" s="57">
        <f>IFERROR(M32/I32-1,"")</f>
        <v/>
      </c>
      <c r="N33" s="57">
        <f>IFERROR(N32/J32-1,"")</f>
        <v/>
      </c>
      <c r="O33" s="57">
        <f>IFERROR(O32/K32-1,"")</f>
        <v/>
      </c>
      <c r="P33" s="57">
        <f>IFERROR(P32/L32-1,"")</f>
        <v/>
      </c>
      <c r="Q33" s="57">
        <f>IFERROR(Q32/M32-1,"")</f>
        <v/>
      </c>
      <c r="R33" s="57">
        <f>IFERROR(R32/N32-1,"")</f>
        <v/>
      </c>
      <c r="S33" s="57">
        <f>IFERROR(S32/O32-1,"")</f>
        <v/>
      </c>
      <c r="T33" s="57">
        <f>IFERROR(T32/P32-1,"")</f>
        <v/>
      </c>
      <c r="U33" s="57">
        <f>IFERROR(U32/Q32-1,"")</f>
        <v/>
      </c>
      <c r="V33" s="57">
        <f>IFERROR(V32/R32-1,"")</f>
        <v/>
      </c>
      <c r="W33" s="57">
        <f>IFERROR(W32/S32-1,"")</f>
        <v/>
      </c>
      <c r="X33" s="57">
        <f>IFERROR(X32/T32-1,"")</f>
        <v/>
      </c>
      <c r="Y33" s="57">
        <f>IFERROR(Y32/U32-1,"")</f>
        <v/>
      </c>
      <c r="Z33" s="57">
        <f>IFERROR(Z32/V32-1,"")</f>
        <v/>
      </c>
      <c r="AA33" s="57">
        <f>IFERROR(AA32/W32-1,"")</f>
        <v/>
      </c>
      <c r="AB33" s="57">
        <f>IFERROR(AB32/X32-1,"")</f>
        <v/>
      </c>
      <c r="AC33" s="57">
        <f>IFERROR(AC32/Y32-1,"")</f>
        <v/>
      </c>
    </row>
    <row r="34">
      <c r="A34" s="4" t="inlineStr">
        <is>
          <t xml:space="preserve">    % of revenue</t>
        </is>
      </c>
      <c r="B34" s="57">
        <f>IFERROR(B32/B3,"")</f>
        <v/>
      </c>
      <c r="C34" s="57">
        <f>IFERROR(C32/C3,"")</f>
        <v/>
      </c>
      <c r="D34" s="57">
        <f>IFERROR(D32/D3,"")</f>
        <v/>
      </c>
      <c r="E34" s="57">
        <f>IFERROR(E32/E3,"")</f>
        <v/>
      </c>
      <c r="F34" s="57">
        <f>IFERROR(F32/F3,"")</f>
        <v/>
      </c>
      <c r="G34" s="57">
        <f>IFERROR(G32/G3,"")</f>
        <v/>
      </c>
      <c r="H34" s="57">
        <f>IFERROR(H32/H3,"")</f>
        <v/>
      </c>
      <c r="I34" s="57">
        <f>IFERROR(I32/I3,"")</f>
        <v/>
      </c>
      <c r="J34" s="57">
        <f>IFERROR(J32/J3,"")</f>
        <v/>
      </c>
      <c r="K34" s="57">
        <f>IFERROR(K32/K3,"")</f>
        <v/>
      </c>
      <c r="L34" s="57">
        <f>IFERROR(L32/L3,"")</f>
        <v/>
      </c>
      <c r="M34" s="57">
        <f>IFERROR(M32/M3,"")</f>
        <v/>
      </c>
      <c r="N34" s="57">
        <f>IFERROR(N32/N3,"")</f>
        <v/>
      </c>
      <c r="O34" s="57">
        <f>IFERROR(O32/O3,"")</f>
        <v/>
      </c>
      <c r="P34" s="57">
        <f>IFERROR(P32/P3,"")</f>
        <v/>
      </c>
      <c r="Q34" s="57">
        <f>IFERROR(Q32/Q3,"")</f>
        <v/>
      </c>
      <c r="R34" s="57">
        <f>IFERROR(R32/R3,"")</f>
        <v/>
      </c>
      <c r="S34" s="57">
        <f>IFERROR(S32/S3,"")</f>
        <v/>
      </c>
      <c r="T34" s="57">
        <f>IFERROR(T32/T3,"")</f>
        <v/>
      </c>
      <c r="U34" s="57">
        <f>IFERROR(U32/U3,"")</f>
        <v/>
      </c>
      <c r="V34" s="57">
        <f>IFERROR(V32/V3,"")</f>
        <v/>
      </c>
      <c r="W34" s="57">
        <f>IFERROR(W32/W3,"")</f>
        <v/>
      </c>
      <c r="X34" s="57">
        <f>IFERROR(X32/X3,"")</f>
        <v/>
      </c>
      <c r="Y34" s="57">
        <f>IFERROR(Y32/Y3,"")</f>
        <v/>
      </c>
      <c r="Z34" s="57">
        <f>IFERROR(Z32/Z3,"")</f>
        <v/>
      </c>
      <c r="AA34" s="57">
        <f>IFERROR(AA32/AA3,"")</f>
        <v/>
      </c>
      <c r="AB34" s="57">
        <f>IFERROR(AB32/AB3,"")</f>
        <v/>
      </c>
      <c r="AC34" s="57">
        <f>IFERROR(AC32/AC3,"")</f>
        <v/>
      </c>
    </row>
    <row r="35">
      <c r="A35" s="5" t="inlineStr">
        <is>
          <t xml:space="preserve">  BALANCE SHEET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4" t="inlineStr">
        <is>
          <t>Cash &amp; ST Investments</t>
        </is>
      </c>
      <c r="B36" s="18" t="n">
        <v>5328</v>
      </c>
      <c r="C36" s="18" t="n">
        <v>5462</v>
      </c>
      <c r="D36" s="18" t="n">
        <v>5055</v>
      </c>
      <c r="E36" s="18" t="n">
        <v>6444</v>
      </c>
      <c r="F36" s="18" t="n">
        <v>9207</v>
      </c>
      <c r="G36" s="18" t="n">
        <v>8857</v>
      </c>
      <c r="H36" s="18" t="n">
        <v>7618</v>
      </c>
      <c r="I36" s="18" t="n">
        <v>9552</v>
      </c>
      <c r="J36" s="18" t="n">
        <v>9518</v>
      </c>
      <c r="K36" s="18" t="n">
        <v>11105</v>
      </c>
      <c r="L36" s="18" t="n">
        <v>12163</v>
      </c>
      <c r="M36" s="18" t="n">
        <v>10219</v>
      </c>
      <c r="N36" s="18" t="n">
        <v>9005</v>
      </c>
      <c r="O36" s="18" t="n">
        <v>9977</v>
      </c>
      <c r="P36" s="18" t="n">
        <v>12416</v>
      </c>
      <c r="Q36" s="18" t="n">
        <v>12647</v>
      </c>
      <c r="R36" s="18" t="n">
        <v>11553</v>
      </c>
      <c r="S36" s="18" t="n">
        <v>12055</v>
      </c>
      <c r="T36" s="18" t="n">
        <v>14189</v>
      </c>
      <c r="U36" s="18" t="n">
        <v>11864</v>
      </c>
      <c r="V36" s="18" t="n">
        <v>9809</v>
      </c>
      <c r="W36" s="18" t="n">
        <v>9952</v>
      </c>
      <c r="X36" s="18" t="n">
        <v>9348</v>
      </c>
      <c r="Y36" s="18" t="n">
        <v>9307</v>
      </c>
      <c r="Z36" s="18" t="n">
        <v>9472</v>
      </c>
      <c r="AA36" s="18" t="n">
        <v>10718</v>
      </c>
      <c r="AB36" s="18" t="n">
        <v>16178</v>
      </c>
      <c r="AC36" s="18" t="n">
        <v>14174</v>
      </c>
    </row>
    <row r="37">
      <c r="A37" s="4" t="inlineStr">
        <is>
          <t>Total Current Assets</t>
        </is>
      </c>
      <c r="B37" s="18" t="n">
        <v>10677</v>
      </c>
      <c r="C37" s="18" t="n">
        <v>10898</v>
      </c>
      <c r="D37" s="18" t="n">
        <v>9917</v>
      </c>
      <c r="E37" s="18" t="n">
        <v>12109</v>
      </c>
      <c r="F37" s="18" t="n">
        <v>14222</v>
      </c>
      <c r="G37" s="18" t="n">
        <v>13681</v>
      </c>
      <c r="H37" s="18" t="n">
        <v>11895</v>
      </c>
      <c r="I37" s="18" t="n">
        <v>14300</v>
      </c>
      <c r="J37" s="18" t="n">
        <v>14245</v>
      </c>
      <c r="K37" s="18" t="n">
        <v>15636</v>
      </c>
      <c r="L37" s="18" t="n">
        <v>16586</v>
      </c>
      <c r="M37" s="18" t="n">
        <v>15341</v>
      </c>
      <c r="N37" s="18" t="n">
        <v>14810</v>
      </c>
      <c r="O37" s="18" t="n">
        <v>15561</v>
      </c>
      <c r="P37" s="18" t="n">
        <v>18504</v>
      </c>
      <c r="Q37" s="18" t="n">
        <v>18836</v>
      </c>
      <c r="R37" s="18" t="n">
        <v>17871</v>
      </c>
      <c r="S37" s="18" t="n">
        <v>18333</v>
      </c>
      <c r="T37" s="18" t="n">
        <v>20847</v>
      </c>
      <c r="U37" s="18" t="n">
        <v>27192</v>
      </c>
      <c r="V37" s="18" t="n">
        <v>25302</v>
      </c>
      <c r="W37" s="18" t="n">
        <v>19947</v>
      </c>
      <c r="X37" s="18" t="n">
        <v>19595</v>
      </c>
      <c r="Y37" s="18" t="n">
        <v>20990</v>
      </c>
      <c r="Z37" s="18" t="n">
        <v>22181</v>
      </c>
      <c r="AA37" s="18" t="n">
        <v>24998</v>
      </c>
      <c r="AB37" s="18" t="n">
        <v>31573</v>
      </c>
      <c r="AC37" s="18" t="n">
        <v>32062</v>
      </c>
    </row>
    <row r="38">
      <c r="A38" s="4" t="inlineStr">
        <is>
          <t>PP&amp;E (net)</t>
        </is>
      </c>
      <c r="B38" s="18" t="n">
        <v>2654</v>
      </c>
      <c r="C38" s="18" t="n">
        <v>2611</v>
      </c>
      <c r="D38" s="18" t="n">
        <v>2565</v>
      </c>
      <c r="E38" s="18" t="n">
        <v>2616</v>
      </c>
      <c r="F38" s="18" t="n">
        <v>2618</v>
      </c>
      <c r="G38" s="18" t="n">
        <v>2567</v>
      </c>
      <c r="H38" s="18" t="n">
        <v>2509</v>
      </c>
      <c r="I38" s="18" t="n">
        <v>2496</v>
      </c>
      <c r="J38" s="18" t="n">
        <v>2416</v>
      </c>
      <c r="K38" s="18" t="n">
        <v>2370</v>
      </c>
      <c r="L38" s="18" t="n">
        <v>2348</v>
      </c>
      <c r="M38" s="18" t="n">
        <v>2303</v>
      </c>
      <c r="N38" s="18" t="n">
        <v>2262</v>
      </c>
      <c r="O38" s="18" t="n">
        <v>2250</v>
      </c>
      <c r="P38" s="18" t="n">
        <v>2223</v>
      </c>
      <c r="Q38" s="18" t="n">
        <v>2201</v>
      </c>
      <c r="R38" s="18" t="n">
        <v>2209</v>
      </c>
      <c r="S38" s="18" t="n">
        <v>2180</v>
      </c>
      <c r="T38" s="18" t="n">
        <v>2154</v>
      </c>
      <c r="U38" s="18" t="n">
        <v>2662</v>
      </c>
      <c r="V38" s="18" t="n">
        <v>2668</v>
      </c>
      <c r="W38" s="18" t="n">
        <v>2602</v>
      </c>
      <c r="X38" s="18" t="n">
        <v>2521</v>
      </c>
      <c r="Y38" s="18" t="n">
        <v>2465</v>
      </c>
      <c r="Z38" s="18" t="n">
        <v>2462</v>
      </c>
      <c r="AA38" s="18" t="n">
        <v>2451</v>
      </c>
      <c r="AB38" s="18" t="n">
        <v>2530</v>
      </c>
      <c r="AC38" s="18" t="n">
        <v>2599</v>
      </c>
    </row>
    <row r="39">
      <c r="A39" s="4" t="inlineStr">
        <is>
          <t>Total Assets</t>
        </is>
      </c>
      <c r="B39" s="18" t="n">
        <v>70916</v>
      </c>
      <c r="C39" s="18" t="n">
        <v>69767</v>
      </c>
      <c r="D39" s="18" t="n">
        <v>67493</v>
      </c>
      <c r="E39" s="18" t="n">
        <v>81006</v>
      </c>
      <c r="F39" s="18" t="n">
        <v>81548</v>
      </c>
      <c r="G39" s="18" t="n">
        <v>79298</v>
      </c>
      <c r="H39" s="18" t="n">
        <v>75933</v>
      </c>
      <c r="I39" s="18" t="n">
        <v>76972</v>
      </c>
      <c r="J39" s="18" t="n">
        <v>75524</v>
      </c>
      <c r="K39" s="18" t="n">
        <v>75880</v>
      </c>
      <c r="L39" s="18" t="n">
        <v>75570</v>
      </c>
      <c r="M39" s="18" t="n">
        <v>73224</v>
      </c>
      <c r="N39" s="18" t="n">
        <v>71719</v>
      </c>
      <c r="O39" s="18" t="n">
        <v>71326</v>
      </c>
      <c r="P39" s="18" t="n">
        <v>73249</v>
      </c>
      <c r="Q39" s="18" t="n">
        <v>72976</v>
      </c>
      <c r="R39" s="18" t="n">
        <v>71667</v>
      </c>
      <c r="S39" s="18" t="n">
        <v>71595</v>
      </c>
      <c r="T39" s="18" t="n">
        <v>72861</v>
      </c>
      <c r="U39" s="18" t="n">
        <v>177870</v>
      </c>
      <c r="V39" s="18" t="n">
        <v>175211</v>
      </c>
      <c r="W39" s="18" t="n">
        <v>167966</v>
      </c>
      <c r="X39" s="18" t="n">
        <v>165645</v>
      </c>
      <c r="Y39" s="18" t="n">
        <v>165358</v>
      </c>
      <c r="Z39" s="18" t="n">
        <v>164630</v>
      </c>
      <c r="AA39" s="18" t="n">
        <v>165621</v>
      </c>
      <c r="AB39" s="18" t="n">
        <v>171092</v>
      </c>
      <c r="AC39" s="18" t="n">
        <v>169903</v>
      </c>
    </row>
    <row r="40">
      <c r="A40" s="4" t="inlineStr">
        <is>
          <t>Total Current Liabilities</t>
        </is>
      </c>
      <c r="B40" s="18" t="n">
        <v>8503</v>
      </c>
      <c r="C40" s="18" t="n">
        <v>8282</v>
      </c>
      <c r="D40" s="18" t="n">
        <v>6899</v>
      </c>
      <c r="E40" s="18" t="n">
        <v>7739</v>
      </c>
      <c r="F40" s="18" t="n">
        <v>6601</v>
      </c>
      <c r="G40" s="18" t="n">
        <v>6702</v>
      </c>
      <c r="H40" s="18" t="n">
        <v>6371</v>
      </c>
      <c r="I40" s="18" t="n">
        <v>6694</v>
      </c>
      <c r="J40" s="18" t="n">
        <v>6436</v>
      </c>
      <c r="K40" s="18" t="n">
        <v>6501</v>
      </c>
      <c r="L40" s="18" t="n">
        <v>6281</v>
      </c>
      <c r="M40" s="18" t="n">
        <v>6287</v>
      </c>
      <c r="N40" s="18" t="n">
        <v>6910</v>
      </c>
      <c r="O40" s="18" t="n">
        <v>6702</v>
      </c>
      <c r="P40" s="18" t="n">
        <v>7052</v>
      </c>
      <c r="Q40" s="18" t="n">
        <v>7483</v>
      </c>
      <c r="R40" s="18" t="n">
        <v>7511</v>
      </c>
      <c r="S40" s="18" t="n">
        <v>7345</v>
      </c>
      <c r="T40" s="18" t="n">
        <v>7405</v>
      </c>
      <c r="U40" s="18" t="n">
        <v>20369</v>
      </c>
      <c r="V40" s="18" t="n">
        <v>20171</v>
      </c>
      <c r="W40" s="18" t="n">
        <v>19221</v>
      </c>
      <c r="X40" s="18" t="n">
        <v>16697</v>
      </c>
      <c r="Y40" s="18" t="n">
        <v>20910</v>
      </c>
      <c r="Z40" s="18" t="n">
        <v>20597</v>
      </c>
      <c r="AA40" s="18" t="n">
        <v>16704</v>
      </c>
      <c r="AB40" s="18" t="n">
        <v>18514</v>
      </c>
      <c r="AC40" s="18" t="n">
        <v>16859</v>
      </c>
    </row>
    <row r="41">
      <c r="A41" s="4" t="inlineStr">
        <is>
          <t>Long-term Debt</t>
        </is>
      </c>
      <c r="B41" s="18" t="n">
        <v>34011</v>
      </c>
      <c r="C41" s="18" t="n">
        <v>34028</v>
      </c>
      <c r="D41" s="18" t="n">
        <v>30011</v>
      </c>
      <c r="E41" s="18" t="n">
        <v>42407</v>
      </c>
      <c r="F41" s="18" t="n">
        <v>45044</v>
      </c>
      <c r="G41" s="18" t="n">
        <v>43149</v>
      </c>
      <c r="H41" s="18" t="n">
        <v>40235</v>
      </c>
      <c r="I41" s="18" t="n">
        <v>41068</v>
      </c>
      <c r="J41" s="18" t="n">
        <v>40160</v>
      </c>
      <c r="K41" s="18" t="n">
        <v>40178</v>
      </c>
      <c r="L41" s="18" t="n">
        <v>39401</v>
      </c>
      <c r="M41" s="18" t="n">
        <v>39205</v>
      </c>
      <c r="N41" s="18" t="n">
        <v>39164</v>
      </c>
      <c r="O41" s="18" t="n">
        <v>39165</v>
      </c>
      <c r="P41" s="18" t="n">
        <v>39053</v>
      </c>
      <c r="Q41" s="18" t="n">
        <v>38150</v>
      </c>
      <c r="R41" s="18" t="n">
        <v>38194</v>
      </c>
      <c r="S41" s="18" t="n">
        <v>38222</v>
      </c>
      <c r="T41" s="18" t="n">
        <v>37617</v>
      </c>
      <c r="U41" s="18" t="n">
        <v>73429</v>
      </c>
      <c r="V41" s="18" t="n">
        <v>71569</v>
      </c>
      <c r="W41" s="18" t="n">
        <v>66781</v>
      </c>
      <c r="X41" s="18" t="n">
        <v>66295</v>
      </c>
      <c r="Y41" s="18" t="n">
        <v>60915</v>
      </c>
      <c r="Z41" s="18" t="n">
        <v>61744</v>
      </c>
      <c r="AA41" s="18" t="n">
        <v>62830</v>
      </c>
      <c r="AB41" s="18" t="n">
        <v>61984</v>
      </c>
      <c r="AC41" s="18" t="n">
        <v>63805</v>
      </c>
    </row>
    <row r="42">
      <c r="A42" s="4" t="inlineStr">
        <is>
          <t>Total Equity</t>
        </is>
      </c>
      <c r="B42" s="18" t="n">
        <v>22172</v>
      </c>
      <c r="C42" s="18" t="n">
        <v>21503</v>
      </c>
      <c r="D42" s="18" t="n">
        <v>24970</v>
      </c>
      <c r="E42" s="18" t="n">
        <v>24396</v>
      </c>
      <c r="F42" s="18" t="n">
        <v>23970</v>
      </c>
      <c r="G42" s="18" t="n">
        <v>23585</v>
      </c>
      <c r="H42" s="18" t="n">
        <v>23901</v>
      </c>
      <c r="I42" s="18" t="n">
        <v>23999</v>
      </c>
      <c r="J42" s="18" t="n">
        <v>23966</v>
      </c>
      <c r="K42" s="18" t="n">
        <v>24367</v>
      </c>
      <c r="L42" s="18" t="n">
        <v>24989</v>
      </c>
      <c r="M42" s="18" t="n">
        <v>22994</v>
      </c>
      <c r="N42" s="18" t="n">
        <v>20990</v>
      </c>
      <c r="O42" s="18" t="n">
        <v>20903</v>
      </c>
      <c r="P42" s="18" t="n">
        <v>22709</v>
      </c>
      <c r="Q42" s="18" t="n">
        <v>23310</v>
      </c>
      <c r="R42" s="18" t="n">
        <v>22007</v>
      </c>
      <c r="S42" s="18" t="n">
        <v>22079</v>
      </c>
      <c r="T42" s="18" t="n">
        <v>23988</v>
      </c>
      <c r="U42" s="18" t="n">
        <v>70284</v>
      </c>
      <c r="V42" s="18" t="n">
        <v>69961</v>
      </c>
      <c r="W42" s="18" t="n">
        <v>65651</v>
      </c>
      <c r="X42" s="18" t="n">
        <v>67678</v>
      </c>
      <c r="Y42" s="18" t="n">
        <v>69789</v>
      </c>
      <c r="Z42" s="18" t="n">
        <v>69586</v>
      </c>
      <c r="AA42" s="18" t="n">
        <v>73277</v>
      </c>
      <c r="AB42" s="18" t="n">
        <v>81292</v>
      </c>
      <c r="AC42" s="18" t="n">
        <v>79872</v>
      </c>
    </row>
    <row r="43">
      <c r="A43" s="5" t="inlineStr">
        <is>
          <t xml:space="preserve">  CASH FLOW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4" t="inlineStr">
        <is>
          <t>D&amp;A</t>
        </is>
      </c>
      <c r="B44" s="18" t="n">
        <v>1447</v>
      </c>
      <c r="C44" s="18" t="n">
        <v>1450</v>
      </c>
      <c r="D44" s="18" t="n">
        <v>1452</v>
      </c>
      <c r="E44" s="18" t="n">
        <v>1728</v>
      </c>
      <c r="F44" s="18" t="n">
        <v>1730</v>
      </c>
      <c r="G44" s="18" t="n">
        <v>1719</v>
      </c>
      <c r="H44" s="18" t="n">
        <v>1728</v>
      </c>
      <c r="I44" s="18" t="n">
        <v>1533</v>
      </c>
      <c r="J44" s="18" t="n">
        <v>1504</v>
      </c>
      <c r="K44" s="18" t="n">
        <v>1503</v>
      </c>
      <c r="L44" s="18" t="n">
        <v>1501</v>
      </c>
      <c r="M44" s="18" t="n">
        <v>1287</v>
      </c>
      <c r="N44" s="18" t="n">
        <v>1264</v>
      </c>
      <c r="O44" s="18" t="n">
        <v>1217</v>
      </c>
      <c r="P44" s="18" t="n">
        <v>1216</v>
      </c>
      <c r="Q44" s="18" t="n">
        <v>1032</v>
      </c>
      <c r="R44" s="18" t="n">
        <v>939</v>
      </c>
      <c r="S44" s="18" t="n">
        <v>932</v>
      </c>
      <c r="T44" s="18" t="n">
        <v>932</v>
      </c>
      <c r="U44" s="18" t="n">
        <v>2345</v>
      </c>
      <c r="V44" s="18" t="n">
        <v>2530</v>
      </c>
      <c r="W44" s="18" t="n">
        <v>2524</v>
      </c>
      <c r="X44" s="18" t="n">
        <v>2611</v>
      </c>
      <c r="Y44" s="18" t="n">
        <v>2174</v>
      </c>
      <c r="Z44" s="18" t="n">
        <v>2166</v>
      </c>
      <c r="AA44" s="18" t="n">
        <v>2202</v>
      </c>
      <c r="AB44" s="18" t="n">
        <v>2233</v>
      </c>
      <c r="AC44" s="18" t="n">
        <v>2153</v>
      </c>
    </row>
    <row r="45">
      <c r="A45" s="4" t="inlineStr">
        <is>
          <t>Stock-based Compensation</t>
        </is>
      </c>
      <c r="B45" s="18" t="n">
        <v>544</v>
      </c>
      <c r="C45" s="18" t="n">
        <v>632</v>
      </c>
      <c r="D45" s="18" t="n">
        <v>544</v>
      </c>
      <c r="E45" s="18" t="n">
        <v>545</v>
      </c>
      <c r="F45" s="18" t="n">
        <v>517</v>
      </c>
      <c r="G45" s="18" t="n">
        <v>465</v>
      </c>
      <c r="H45" s="18" t="n">
        <v>449</v>
      </c>
      <c r="I45" s="18" t="n">
        <v>444</v>
      </c>
      <c r="J45" s="18" t="n">
        <v>425</v>
      </c>
      <c r="K45" s="18" t="n">
        <v>421</v>
      </c>
      <c r="L45" s="18" t="n">
        <v>414</v>
      </c>
      <c r="M45" s="18" t="n">
        <v>387</v>
      </c>
      <c r="N45" s="18" t="n">
        <v>386</v>
      </c>
      <c r="O45" s="18" t="n">
        <v>373</v>
      </c>
      <c r="P45" s="18" t="n">
        <v>387</v>
      </c>
      <c r="Q45" s="18" t="n">
        <v>391</v>
      </c>
      <c r="R45" s="18" t="n">
        <v>513</v>
      </c>
      <c r="S45" s="18" t="n">
        <v>629</v>
      </c>
      <c r="T45" s="18" t="n">
        <v>638</v>
      </c>
      <c r="U45" s="18" t="n">
        <v>1582</v>
      </c>
      <c r="V45" s="18" t="n">
        <v>1457</v>
      </c>
      <c r="W45" s="18" t="n">
        <v>1388</v>
      </c>
      <c r="X45" s="18" t="n">
        <v>1314</v>
      </c>
      <c r="Y45" s="18" t="n">
        <v>1280</v>
      </c>
      <c r="Z45" s="18" t="n">
        <v>1771</v>
      </c>
      <c r="AA45" s="18" t="n">
        <v>2322</v>
      </c>
      <c r="AB45" s="18" t="n">
        <v>2195</v>
      </c>
      <c r="AC45" s="18" t="n">
        <v>2176</v>
      </c>
    </row>
    <row r="46">
      <c r="A46" s="4" t="inlineStr">
        <is>
          <t>Change in Working Capital</t>
        </is>
      </c>
      <c r="B46" s="18" t="n">
        <v>98</v>
      </c>
      <c r="C46" s="18" t="n">
        <v>-160</v>
      </c>
      <c r="D46" s="18" t="n">
        <v>-154</v>
      </c>
      <c r="E46" s="18" t="n">
        <v>-329</v>
      </c>
      <c r="F46" s="18" t="n">
        <v>456</v>
      </c>
      <c r="G46" s="18" t="n">
        <v>704</v>
      </c>
      <c r="H46" s="18" t="n">
        <v>262</v>
      </c>
      <c r="I46" s="18" t="n">
        <v>-178</v>
      </c>
      <c r="J46" s="18" t="n">
        <v>243</v>
      </c>
      <c r="K46" s="18" t="n">
        <v>141</v>
      </c>
      <c r="L46" s="18" t="n">
        <v>-333</v>
      </c>
      <c r="M46" s="18" t="n">
        <v>-777</v>
      </c>
      <c r="N46" s="18" t="n">
        <v>-240</v>
      </c>
      <c r="O46" s="18" t="n">
        <v>-284</v>
      </c>
      <c r="P46" s="18" t="n">
        <v>-353</v>
      </c>
      <c r="Q46" s="18" t="n">
        <v>-581</v>
      </c>
      <c r="R46" s="18" t="n">
        <v>-169</v>
      </c>
      <c r="S46" s="18" t="n">
        <v>73</v>
      </c>
      <c r="T46" s="18" t="n">
        <v>-966</v>
      </c>
      <c r="U46" s="18" t="n">
        <v>-283</v>
      </c>
      <c r="V46" s="18" t="n">
        <v>-1228</v>
      </c>
      <c r="W46" s="18" t="n">
        <v>-1068</v>
      </c>
      <c r="X46" s="18" t="n">
        <v>-2058</v>
      </c>
      <c r="Y46" s="18" t="n">
        <v>-2351</v>
      </c>
      <c r="Z46" s="18" t="n">
        <v>-1910</v>
      </c>
      <c r="AA46" s="18" t="n">
        <v>-1894</v>
      </c>
      <c r="AB46" s="18" t="n">
        <v>-2345</v>
      </c>
      <c r="AC46" s="18" t="n">
        <v>-3105</v>
      </c>
    </row>
    <row r="47">
      <c r="A47" s="4" t="inlineStr">
        <is>
          <t>Operating Cash Flow</t>
        </is>
      </c>
      <c r="B47" s="18" t="n">
        <v>2667</v>
      </c>
      <c r="C47" s="18" t="n">
        <v>2419</v>
      </c>
      <c r="D47" s="18" t="n">
        <v>2479</v>
      </c>
      <c r="E47" s="18" t="n">
        <v>2322</v>
      </c>
      <c r="F47" s="18" t="n">
        <v>3213</v>
      </c>
      <c r="G47" s="18" t="n">
        <v>3178</v>
      </c>
      <c r="H47" s="18" t="n">
        <v>3348</v>
      </c>
      <c r="I47" s="18" t="n">
        <v>3113</v>
      </c>
      <c r="J47" s="18" t="n">
        <v>3569</v>
      </c>
      <c r="K47" s="18" t="n">
        <v>3541</v>
      </c>
      <c r="L47" s="18" t="n">
        <v>3541</v>
      </c>
      <c r="M47" s="18" t="n">
        <v>3486</v>
      </c>
      <c r="N47" s="18" t="n">
        <v>4243</v>
      </c>
      <c r="O47" s="18" t="n">
        <v>4424</v>
      </c>
      <c r="P47" s="18" t="n">
        <v>4583</v>
      </c>
      <c r="Q47" s="18" t="n">
        <v>4036</v>
      </c>
      <c r="R47" s="18" t="n">
        <v>4502</v>
      </c>
      <c r="S47" s="18" t="n">
        <v>4719</v>
      </c>
      <c r="T47" s="18" t="n">
        <v>4828</v>
      </c>
      <c r="U47" s="18" t="n">
        <v>4815</v>
      </c>
      <c r="V47" s="18" t="n">
        <v>4580</v>
      </c>
      <c r="W47" s="18" t="n">
        <v>4963</v>
      </c>
      <c r="X47" s="18" t="n">
        <v>5604</v>
      </c>
      <c r="Y47" s="18" t="n">
        <v>6113</v>
      </c>
      <c r="Z47" s="18" t="n">
        <v>6555</v>
      </c>
      <c r="AA47" s="18" t="n">
        <v>7166</v>
      </c>
      <c r="AB47" s="18" t="n">
        <v>7703</v>
      </c>
      <c r="AC47" s="18" t="n">
        <v>8260</v>
      </c>
    </row>
    <row r="48">
      <c r="A48" s="4" t="inlineStr">
        <is>
          <t>Capex</t>
        </is>
      </c>
      <c r="B48" s="18" t="n">
        <v>-125</v>
      </c>
      <c r="C48" s="18" t="n">
        <v>-112</v>
      </c>
      <c r="D48" s="18" t="n">
        <v>-96</v>
      </c>
      <c r="E48" s="18" t="n">
        <v>-108</v>
      </c>
      <c r="F48" s="18" t="n">
        <v>-148</v>
      </c>
      <c r="G48" s="18" t="n">
        <v>-105</v>
      </c>
      <c r="H48" s="18" t="n">
        <v>-102</v>
      </c>
      <c r="I48" s="18" t="n">
        <v>-114</v>
      </c>
      <c r="J48" s="18" t="n">
        <v>-126</v>
      </c>
      <c r="K48" s="18" t="n">
        <v>-115</v>
      </c>
      <c r="L48" s="18" t="n">
        <v>-88</v>
      </c>
      <c r="M48" s="18" t="n">
        <v>-101</v>
      </c>
      <c r="N48" s="18" t="n">
        <v>-85</v>
      </c>
      <c r="O48" s="18" t="n">
        <v>-116</v>
      </c>
      <c r="P48" s="18" t="n">
        <v>-122</v>
      </c>
      <c r="Q48" s="18" t="n">
        <v>-103</v>
      </c>
      <c r="R48" s="18" t="n">
        <v>-122</v>
      </c>
      <c r="S48" s="18" t="n">
        <v>-122</v>
      </c>
      <c r="T48" s="18" t="n">
        <v>-105</v>
      </c>
      <c r="U48" s="18" t="n">
        <v>-122</v>
      </c>
      <c r="V48" s="18" t="n">
        <v>-132</v>
      </c>
      <c r="W48" s="18" t="n">
        <v>-172</v>
      </c>
      <c r="X48" s="18" t="n">
        <v>-122</v>
      </c>
      <c r="Y48" s="18" t="n">
        <v>-100</v>
      </c>
      <c r="Z48" s="18" t="n">
        <v>-144</v>
      </c>
      <c r="AA48" s="18" t="n">
        <v>-142</v>
      </c>
      <c r="AB48" s="18" t="n">
        <v>-237</v>
      </c>
      <c r="AC48" s="18" t="n">
        <v>-250</v>
      </c>
    </row>
    <row r="49">
      <c r="A49" s="4" t="inlineStr">
        <is>
          <t>Free Cash Flow</t>
        </is>
      </c>
      <c r="B49" s="18" t="n">
        <v>2542</v>
      </c>
      <c r="C49" s="18" t="n">
        <v>2307</v>
      </c>
      <c r="D49" s="18" t="n">
        <v>2383</v>
      </c>
      <c r="E49" s="18" t="n">
        <v>2214</v>
      </c>
      <c r="F49" s="18" t="n">
        <v>3065</v>
      </c>
      <c r="G49" s="18" t="n">
        <v>3073</v>
      </c>
      <c r="H49" s="18" t="n">
        <v>3246</v>
      </c>
      <c r="I49" s="18" t="n">
        <v>2999</v>
      </c>
      <c r="J49" s="18" t="n">
        <v>3443</v>
      </c>
      <c r="K49" s="18" t="n">
        <v>3426</v>
      </c>
      <c r="L49" s="18" t="n">
        <v>3453</v>
      </c>
      <c r="M49" s="18" t="n">
        <v>3385</v>
      </c>
      <c r="N49" s="18" t="n">
        <v>4158</v>
      </c>
      <c r="O49" s="18" t="n">
        <v>4308</v>
      </c>
      <c r="P49" s="18" t="n">
        <v>4461</v>
      </c>
      <c r="Q49" s="18" t="n">
        <v>3933</v>
      </c>
      <c r="R49" s="18" t="n">
        <v>4380</v>
      </c>
      <c r="S49" s="18" t="n">
        <v>4597</v>
      </c>
      <c r="T49" s="18" t="n">
        <v>4723</v>
      </c>
      <c r="U49" s="18" t="n">
        <v>4693</v>
      </c>
      <c r="V49" s="18" t="n">
        <v>4448</v>
      </c>
      <c r="W49" s="18" t="n">
        <v>4791</v>
      </c>
      <c r="X49" s="18" t="n">
        <v>5482</v>
      </c>
      <c r="Y49" s="18" t="n">
        <v>6013</v>
      </c>
      <c r="Z49" s="18" t="n">
        <v>6411</v>
      </c>
      <c r="AA49" s="18" t="n">
        <v>7024</v>
      </c>
      <c r="AB49" s="18" t="n">
        <v>7466</v>
      </c>
      <c r="AC49" s="18" t="n">
        <v>8010</v>
      </c>
    </row>
    <row r="51">
      <c r="A5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103565.754266</v>
      </c>
      <c r="C4" s="18" t="n">
        <v>161867.701749</v>
      </c>
      <c r="D4" s="18" t="n">
        <v>206032.777075</v>
      </c>
      <c r="E4" s="18" t="n">
        <v>230825.171161</v>
      </c>
      <c r="F4" s="18" t="n">
        <v>139000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55765.948405</v>
      </c>
      <c r="C8" s="18" t="n">
        <v>87159.17697099999</v>
      </c>
      <c r="D8" s="18" t="n">
        <v>110940.274588</v>
      </c>
      <c r="E8" s="18" t="n">
        <v>124289.970916</v>
      </c>
      <c r="F8" s="18" t="n">
        <v>74845.849221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39015.476169</v>
      </c>
      <c r="C12" s="18" t="n">
        <v>60979.090095</v>
      </c>
      <c r="D12" s="18" t="n">
        <v>77617.036259</v>
      </c>
      <c r="E12" s="18" t="n">
        <v>86956.87129900001</v>
      </c>
      <c r="F12" s="18" t="n">
        <v>52364.328594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6156.069023</v>
      </c>
      <c r="C16" s="18" t="n">
        <v>9621.604668</v>
      </c>
      <c r="D16" s="18" t="n">
        <v>12246.82817</v>
      </c>
      <c r="E16" s="18" t="n">
        <v>13720.516943</v>
      </c>
      <c r="F16" s="18" t="n">
        <v>8262.321849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56567.6599365</v>
      </c>
      <c r="C20" s="18" t="n">
        <v>70599.6495</v>
      </c>
      <c r="D20" s="18" t="n">
        <v>89388.96483</v>
      </c>
      <c r="E20" s="18" t="n">
        <v>95654.76533900001</v>
      </c>
      <c r="F20" s="18" t="n">
        <v>169855.000035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11.3345</v>
      </c>
      <c r="C24" s="62" t="n">
        <v>18.13206</v>
      </c>
      <c r="D24" s="62" t="n">
        <v>22.57666</v>
      </c>
      <c r="E24" s="62" t="n">
        <v>19.71044</v>
      </c>
      <c r="F24" s="62" t="n">
        <v>35</v>
      </c>
    </row>
    <row r="25">
      <c r="A25" s="4" t="inlineStr">
        <is>
          <t xml:space="preserve">  model</t>
        </is>
      </c>
      <c r="B25" s="46">
        <f>Model!G25/Financials!AC17</f>
        <v/>
      </c>
      <c r="C25" s="46">
        <f>Model!H25/Financials!AC17</f>
        <v/>
      </c>
      <c r="D25" s="46">
        <f>Model!I25/Financials!AC17</f>
        <v/>
      </c>
      <c r="E25" s="46">
        <f>Model!J25/Financials!AC17</f>
        <v/>
      </c>
      <c r="F25" s="46">
        <f>Model!K25/Financials!AC17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Broadcom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Financials!AC36</f>
        <v/>
      </c>
    </row>
    <row r="33">
      <c r="A33" s="4" t="inlineStr">
        <is>
          <t>- Long-term debt</t>
        </is>
      </c>
      <c r="B33" s="28">
        <f>-Financials!AC41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0.1373518869253526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0.0873668376068376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(Model!P8/Model!F8)^(1/10)-1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1.05508327042084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Financials!AC36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Financials!AC41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2026-06-07T22:23:45Z</dcterms:created>
  <dcterms:modified xmlns:dcterms="http://purl.org/dc/terms/" xmlns:xsi="http://www.w3.org/2001/XMLSchema-instance" xsi:type="dcterms:W3CDTF">2026-06-07T22:23:45Z</dcterms:modified>
</cp:coreProperties>
</file>