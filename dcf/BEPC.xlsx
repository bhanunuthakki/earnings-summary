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als" sheetId="1" state="visible" r:id="rId1"/>
    <sheet xmlns:r="http://schemas.openxmlformats.org/officeDocument/2006/relationships" name="Forecast" sheetId="2" state="visible" r:id="rId2"/>
    <sheet xmlns:r="http://schemas.openxmlformats.org/officeDocument/2006/relationships" name="Valu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FFF7DC"/>
        <bgColor rgb="00FFF7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2" borderId="0" pivotButton="0" quotePrefix="0" xfId="0"/>
    <xf numFmtId="1" fontId="0" fillId="2" borderId="0" pivotButton="0" quotePrefix="0" xfId="0"/>
    <xf numFmtId="10" fontId="0" fillId="2" borderId="0" pivotButton="0" quotePrefix="0" xfId="0"/>
    <xf numFmtId="2" fontId="0" fillId="2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</cols>
  <sheetData>
    <row r="1">
      <c r="A1" s="1" t="inlineStr">
        <is>
          <t>Line Item</t>
        </is>
      </c>
      <c r="B1" s="1" t="inlineStr">
        <is>
          <t>Q2 2021</t>
        </is>
      </c>
      <c r="C1" s="1" t="inlineStr">
        <is>
          <t>Q3 2021</t>
        </is>
      </c>
      <c r="D1" s="1" t="inlineStr">
        <is>
          <t>Q4 2021</t>
        </is>
      </c>
      <c r="E1" s="1" t="inlineStr">
        <is>
          <t>Q1 2022</t>
        </is>
      </c>
      <c r="F1" s="1" t="inlineStr">
        <is>
          <t>Q2 2022</t>
        </is>
      </c>
      <c r="G1" s="1" t="inlineStr">
        <is>
          <t>Q3 2022</t>
        </is>
      </c>
      <c r="H1" s="1" t="inlineStr">
        <is>
          <t>Q4 2022</t>
        </is>
      </c>
      <c r="I1" s="1" t="inlineStr">
        <is>
          <t>Q1 2023</t>
        </is>
      </c>
      <c r="J1" s="1" t="inlineStr">
        <is>
          <t>Q2 2023</t>
        </is>
      </c>
      <c r="K1" s="1" t="inlineStr">
        <is>
          <t>Q3 2023</t>
        </is>
      </c>
      <c r="L1" s="1" t="inlineStr">
        <is>
          <t>Q4 2023</t>
        </is>
      </c>
      <c r="M1" s="1" t="inlineStr">
        <is>
          <t>Q1 2024</t>
        </is>
      </c>
      <c r="N1" s="1" t="inlineStr">
        <is>
          <t>Q2 2024</t>
        </is>
      </c>
      <c r="O1" s="1" t="inlineStr">
        <is>
          <t>Q3 2024</t>
        </is>
      </c>
      <c r="P1" s="1" t="inlineStr">
        <is>
          <t>Q4 2024</t>
        </is>
      </c>
      <c r="Q1" s="1" t="inlineStr">
        <is>
          <t>Q1 2025</t>
        </is>
      </c>
      <c r="R1" s="1" t="inlineStr">
        <is>
          <t>Q2 2025</t>
        </is>
      </c>
      <c r="S1" s="1" t="inlineStr">
        <is>
          <t>Q3 2025</t>
        </is>
      </c>
      <c r="T1" s="1" t="inlineStr">
        <is>
          <t>Q4 2025</t>
        </is>
      </c>
      <c r="U1" s="1" t="inlineStr">
        <is>
          <t>Q1 2026</t>
        </is>
      </c>
    </row>
    <row r="2">
      <c r="A2" s="1" t="inlineStr">
        <is>
          <t>INCOME STATEMENT</t>
        </is>
      </c>
    </row>
    <row r="3">
      <c r="A3" t="inlineStr">
        <is>
          <t>Revenue</t>
        </is>
      </c>
      <c r="B3" t="n">
        <v>822</v>
      </c>
      <c r="C3" t="n">
        <v>835</v>
      </c>
      <c r="D3" t="n">
        <v>917</v>
      </c>
      <c r="E3" t="n">
        <v>993</v>
      </c>
      <c r="F3" t="n">
        <v>1003</v>
      </c>
      <c r="G3" t="n">
        <v>905</v>
      </c>
      <c r="H3" t="n">
        <v>970</v>
      </c>
      <c r="I3" t="n">
        <v>1079</v>
      </c>
      <c r="J3" t="n">
        <v>940</v>
      </c>
      <c r="K3" t="n">
        <v>1029</v>
      </c>
      <c r="L3" t="n">
        <v>919</v>
      </c>
      <c r="M3" t="n">
        <v>1125</v>
      </c>
      <c r="N3" t="n">
        <v>989</v>
      </c>
      <c r="O3" t="n">
        <v>1041</v>
      </c>
      <c r="P3" t="n">
        <v>987</v>
      </c>
      <c r="Q3" t="n">
        <v>907</v>
      </c>
      <c r="R3" t="n">
        <v>952</v>
      </c>
      <c r="S3" t="n">
        <v>931</v>
      </c>
      <c r="T3" t="n">
        <v>938</v>
      </c>
      <c r="U3" t="n">
        <v>1211.218107</v>
      </c>
    </row>
    <row r="4">
      <c r="A4" t="inlineStr">
        <is>
          <t>Cost of Revenue</t>
        </is>
      </c>
      <c r="B4" t="n">
        <v>249</v>
      </c>
      <c r="C4" t="n">
        <v>254</v>
      </c>
      <c r="D4" t="n">
        <v>344</v>
      </c>
      <c r="E4" t="n">
        <v>291</v>
      </c>
      <c r="F4" t="n">
        <v>296</v>
      </c>
      <c r="G4" t="n">
        <v>293</v>
      </c>
      <c r="H4" t="n">
        <v>294</v>
      </c>
      <c r="I4" t="n">
        <v>304</v>
      </c>
      <c r="J4" t="n">
        <v>308</v>
      </c>
      <c r="K4" t="n">
        <v>388</v>
      </c>
      <c r="L4" t="n">
        <v>466</v>
      </c>
      <c r="M4" t="n">
        <v>829</v>
      </c>
      <c r="N4" t="n">
        <v>419</v>
      </c>
      <c r="O4" t="n">
        <v>407</v>
      </c>
      <c r="P4" t="n">
        <v>457</v>
      </c>
      <c r="Q4" t="n">
        <v>368</v>
      </c>
      <c r="R4" t="n">
        <v>353</v>
      </c>
      <c r="S4" t="n">
        <v>370</v>
      </c>
      <c r="T4" t="n">
        <v>404</v>
      </c>
      <c r="U4" t="n">
        <v>972.540926</v>
      </c>
    </row>
    <row r="5">
      <c r="A5" t="inlineStr">
        <is>
          <t>Gross Profit</t>
        </is>
      </c>
      <c r="B5" t="n">
        <v>573</v>
      </c>
      <c r="C5" t="n">
        <v>581</v>
      </c>
      <c r="D5" t="n">
        <v>573</v>
      </c>
      <c r="E5" t="n">
        <v>702</v>
      </c>
      <c r="F5" t="n">
        <v>707</v>
      </c>
      <c r="G5" t="n">
        <v>612</v>
      </c>
      <c r="H5" t="n">
        <v>676</v>
      </c>
      <c r="I5" t="n">
        <v>775</v>
      </c>
      <c r="J5" t="n">
        <v>632</v>
      </c>
      <c r="K5" t="n">
        <v>641</v>
      </c>
      <c r="L5" t="n">
        <v>453</v>
      </c>
      <c r="M5" t="n">
        <v>296</v>
      </c>
      <c r="N5" t="n">
        <v>570</v>
      </c>
      <c r="O5" t="n">
        <v>634</v>
      </c>
      <c r="P5" t="n">
        <v>530</v>
      </c>
      <c r="Q5" t="n">
        <v>539</v>
      </c>
      <c r="R5" t="n">
        <v>599</v>
      </c>
      <c r="S5" t="n">
        <v>561</v>
      </c>
      <c r="T5" t="n">
        <v>534</v>
      </c>
      <c r="U5" t="n">
        <v>238.67718</v>
      </c>
    </row>
    <row r="6">
      <c r="A6" t="inlineStr">
        <is>
          <t>R&amp;D Expense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SG&amp;A Expense</t>
        </is>
      </c>
      <c r="B7" t="n">
        <v>47</v>
      </c>
      <c r="C7" t="n">
        <v>45</v>
      </c>
      <c r="D7" t="n">
        <v>28</v>
      </c>
      <c r="E7" t="n">
        <v>52</v>
      </c>
      <c r="F7" t="n">
        <v>43</v>
      </c>
      <c r="G7" t="n">
        <v>37</v>
      </c>
      <c r="H7" t="n">
        <v>37</v>
      </c>
      <c r="I7" t="n">
        <v>36</v>
      </c>
      <c r="J7" t="n">
        <v>32</v>
      </c>
      <c r="K7" t="n">
        <v>26</v>
      </c>
      <c r="L7" t="n">
        <v>6</v>
      </c>
      <c r="M7" t="n">
        <v>21</v>
      </c>
      <c r="N7" t="n">
        <v>0</v>
      </c>
      <c r="O7" t="n">
        <v>0</v>
      </c>
      <c r="P7" t="n">
        <v>0</v>
      </c>
      <c r="Q7" t="n">
        <v>23</v>
      </c>
      <c r="R7" t="n">
        <v>0</v>
      </c>
      <c r="S7" t="n">
        <v>26</v>
      </c>
      <c r="T7" t="n">
        <v>35</v>
      </c>
      <c r="U7" t="n">
        <v>63.098565</v>
      </c>
    </row>
    <row r="8">
      <c r="A8" t="inlineStr">
        <is>
          <t>Operating Expenses</t>
        </is>
      </c>
      <c r="B8" t="n">
        <v>47</v>
      </c>
      <c r="C8" t="n">
        <v>45</v>
      </c>
      <c r="D8" t="n">
        <v>28</v>
      </c>
      <c r="E8" t="n">
        <v>52</v>
      </c>
      <c r="F8" t="n">
        <v>43</v>
      </c>
      <c r="G8" t="n">
        <v>37</v>
      </c>
      <c r="H8" t="n">
        <v>37</v>
      </c>
      <c r="I8" t="n">
        <v>36</v>
      </c>
      <c r="J8" t="n">
        <v>32</v>
      </c>
      <c r="K8" t="n">
        <v>26</v>
      </c>
      <c r="L8" t="n">
        <v>6</v>
      </c>
      <c r="M8" t="n">
        <v>21</v>
      </c>
      <c r="N8" t="n">
        <v>334</v>
      </c>
      <c r="O8" t="n">
        <v>341</v>
      </c>
      <c r="P8" t="n">
        <v>327</v>
      </c>
      <c r="Q8" t="n">
        <v>330</v>
      </c>
      <c r="R8" t="n">
        <v>345</v>
      </c>
      <c r="S8" t="n">
        <v>339</v>
      </c>
      <c r="T8" t="n">
        <v>-904</v>
      </c>
      <c r="U8" t="n">
        <v>63.098565</v>
      </c>
    </row>
    <row r="9">
      <c r="A9" t="inlineStr">
        <is>
          <t>Operating Income</t>
        </is>
      </c>
      <c r="B9" t="n">
        <v>526</v>
      </c>
      <c r="C9" t="n">
        <v>536</v>
      </c>
      <c r="D9" t="n">
        <v>545</v>
      </c>
      <c r="E9" t="n">
        <v>650</v>
      </c>
      <c r="F9" t="n">
        <v>664</v>
      </c>
      <c r="G9" t="n">
        <v>575</v>
      </c>
      <c r="H9" t="n">
        <v>639</v>
      </c>
      <c r="I9" t="n">
        <v>739</v>
      </c>
      <c r="J9" t="n">
        <v>600</v>
      </c>
      <c r="K9" t="n">
        <v>615</v>
      </c>
      <c r="L9" t="n">
        <v>447</v>
      </c>
      <c r="M9" t="n">
        <v>275</v>
      </c>
      <c r="N9" t="n">
        <v>236</v>
      </c>
      <c r="O9" t="n">
        <v>293</v>
      </c>
      <c r="P9" t="n">
        <v>203</v>
      </c>
      <c r="Q9" t="n">
        <v>209</v>
      </c>
      <c r="R9" t="n">
        <v>254</v>
      </c>
      <c r="S9" t="n">
        <v>222</v>
      </c>
      <c r="T9" t="n">
        <v>1438</v>
      </c>
      <c r="U9" t="n">
        <v>175.578615</v>
      </c>
    </row>
    <row r="10">
      <c r="A10" t="inlineStr">
        <is>
          <t>Net Income</t>
        </is>
      </c>
      <c r="B10" t="n">
        <v>611</v>
      </c>
      <c r="C10" t="n">
        <v>214</v>
      </c>
      <c r="D10" t="n">
        <v>130</v>
      </c>
      <c r="E10" t="n">
        <v>-976</v>
      </c>
      <c r="F10" t="n">
        <v>1046</v>
      </c>
      <c r="G10" t="n">
        <v>480</v>
      </c>
      <c r="H10" t="n">
        <v>953</v>
      </c>
      <c r="I10" t="n">
        <v>-1065</v>
      </c>
      <c r="J10" t="n">
        <v>291</v>
      </c>
      <c r="K10" t="n">
        <v>1340</v>
      </c>
      <c r="L10" t="n">
        <v>-747</v>
      </c>
      <c r="M10" t="n">
        <v>491</v>
      </c>
      <c r="N10" t="n">
        <v>-342</v>
      </c>
      <c r="O10" t="n">
        <v>-674</v>
      </c>
      <c r="P10" t="n">
        <v>761</v>
      </c>
      <c r="Q10" t="n">
        <v>5</v>
      </c>
      <c r="R10" t="n">
        <v>-1410</v>
      </c>
      <c r="S10" t="n">
        <v>-233</v>
      </c>
      <c r="T10" t="n">
        <v>-706</v>
      </c>
      <c r="U10" t="n">
        <v>-2998.553549</v>
      </c>
    </row>
    <row r="11">
      <c r="A11" t="inlineStr">
        <is>
          <t>Diluted EPS</t>
        </is>
      </c>
      <c r="B11" t="n">
        <v>3.55</v>
      </c>
      <c r="C11" t="n">
        <v>1.24</v>
      </c>
      <c r="D11" t="n">
        <v>0.75</v>
      </c>
      <c r="E11" t="n">
        <v>-5.67</v>
      </c>
      <c r="F11" t="n">
        <v>6.07</v>
      </c>
      <c r="G11" t="n">
        <v>2.79</v>
      </c>
      <c r="H11" t="n">
        <v>5.53</v>
      </c>
      <c r="I11" t="n">
        <v>-6.18</v>
      </c>
      <c r="J11" t="n">
        <v>1.62</v>
      </c>
      <c r="K11" t="n">
        <v>7.46</v>
      </c>
      <c r="L11" t="n">
        <v>-4.16</v>
      </c>
      <c r="M11" t="n">
        <v>1.31</v>
      </c>
      <c r="N11" t="n">
        <v>-1.9</v>
      </c>
      <c r="O11" t="n">
        <v>-3.75</v>
      </c>
      <c r="P11" t="n">
        <v>4.24</v>
      </c>
      <c r="Q11" t="n">
        <v>0.035</v>
      </c>
      <c r="R11" t="n">
        <v>-10.86</v>
      </c>
      <c r="S11" t="n">
        <v>-1.3</v>
      </c>
      <c r="T11" t="n">
        <v>-3.93</v>
      </c>
      <c r="U11" t="n">
        <v>-16.44</v>
      </c>
    </row>
    <row r="12">
      <c r="A12" t="inlineStr">
        <is>
          <t>Diluted Shares (M)</t>
        </is>
      </c>
      <c r="B12" t="n">
        <v>172.209771</v>
      </c>
      <c r="C12" t="n">
        <v>172.205005</v>
      </c>
      <c r="D12" t="n">
        <v>172.203342</v>
      </c>
      <c r="E12" t="n">
        <v>172.227065</v>
      </c>
      <c r="F12" t="n">
        <v>172.222322</v>
      </c>
      <c r="G12" t="n">
        <v>172.218488</v>
      </c>
      <c r="H12" t="n">
        <v>172.218098</v>
      </c>
      <c r="I12" t="n">
        <v>172.228249</v>
      </c>
      <c r="J12" t="n">
        <v>179.657416</v>
      </c>
      <c r="K12" t="n">
        <v>179.652266</v>
      </c>
      <c r="L12" t="n">
        <v>179.651526</v>
      </c>
      <c r="M12" t="n">
        <v>179.648843</v>
      </c>
      <c r="N12" t="n">
        <v>179.641384</v>
      </c>
      <c r="O12" t="n">
        <v>179.641</v>
      </c>
      <c r="P12" t="n">
        <v>179.641</v>
      </c>
      <c r="Q12" t="n">
        <v>144.921</v>
      </c>
      <c r="R12" t="n">
        <v>179.649</v>
      </c>
      <c r="S12" t="n">
        <v>179.648454</v>
      </c>
      <c r="T12" t="n">
        <v>179.648454</v>
      </c>
      <c r="U12" t="n">
        <v>182.42525</v>
      </c>
    </row>
    <row r="14">
      <c r="A14" s="1" t="inlineStr">
        <is>
          <t>BALANCE SHEET</t>
        </is>
      </c>
    </row>
    <row r="15">
      <c r="A15" t="inlineStr">
        <is>
          <t>Cash &amp; ST Investments</t>
        </is>
      </c>
      <c r="B15" t="n">
        <v>396</v>
      </c>
      <c r="C15" t="n">
        <v>413</v>
      </c>
      <c r="D15" t="n">
        <v>410</v>
      </c>
      <c r="E15" t="n">
        <v>558</v>
      </c>
      <c r="F15" t="n">
        <v>650</v>
      </c>
      <c r="G15" t="n">
        <v>566</v>
      </c>
      <c r="H15" t="n">
        <v>435</v>
      </c>
      <c r="I15" t="n">
        <v>927.04475</v>
      </c>
      <c r="J15" t="n">
        <v>852.173</v>
      </c>
      <c r="K15" t="n">
        <v>624</v>
      </c>
      <c r="L15" t="n">
        <v>629</v>
      </c>
      <c r="M15" t="n">
        <v>513</v>
      </c>
      <c r="N15" t="n">
        <v>389</v>
      </c>
      <c r="O15" t="n">
        <v>495</v>
      </c>
      <c r="P15" t="n">
        <v>392</v>
      </c>
      <c r="Q15" t="n">
        <v>483</v>
      </c>
      <c r="R15" t="n">
        <v>523</v>
      </c>
      <c r="S15" t="n">
        <v>522</v>
      </c>
      <c r="T15" t="n">
        <v>963.6369999999999</v>
      </c>
      <c r="U15" t="n">
        <v>967.116</v>
      </c>
    </row>
    <row r="16">
      <c r="A16" t="inlineStr">
        <is>
          <t>Receivables</t>
        </is>
      </c>
      <c r="B16" t="n">
        <v>959</v>
      </c>
      <c r="C16" t="n">
        <v>1165</v>
      </c>
      <c r="D16" t="n">
        <v>1157</v>
      </c>
      <c r="E16" t="n">
        <v>872</v>
      </c>
      <c r="F16" t="n">
        <v>819</v>
      </c>
      <c r="G16" t="n">
        <v>788</v>
      </c>
      <c r="H16" t="n">
        <v>1262</v>
      </c>
      <c r="I16" t="n">
        <v>2224.9074</v>
      </c>
      <c r="J16" t="n">
        <v>2154.251</v>
      </c>
      <c r="K16" t="n">
        <v>1443</v>
      </c>
      <c r="L16" t="n">
        <v>1930</v>
      </c>
      <c r="M16" t="n">
        <v>1671</v>
      </c>
      <c r="N16" t="n">
        <v>1749</v>
      </c>
      <c r="O16" t="n">
        <v>1977</v>
      </c>
      <c r="P16" t="n">
        <v>1968</v>
      </c>
      <c r="Q16" t="n">
        <v>1794</v>
      </c>
      <c r="R16" t="n">
        <v>2686</v>
      </c>
      <c r="S16" t="n">
        <v>3521</v>
      </c>
      <c r="T16" t="n">
        <v>3178.769</v>
      </c>
      <c r="U16" t="n">
        <v>3780.545</v>
      </c>
    </row>
    <row r="17">
      <c r="A17" t="inlineStr">
        <is>
          <t>Inventory</t>
        </is>
      </c>
      <c r="B17" t="n">
        <v>22</v>
      </c>
      <c r="C17" t="n">
        <v>20</v>
      </c>
      <c r="D17" t="n">
        <v>20</v>
      </c>
      <c r="E17" t="n">
        <v>22</v>
      </c>
      <c r="F17" t="n">
        <v>21</v>
      </c>
      <c r="G17" t="n">
        <v>20</v>
      </c>
      <c r="H17" t="n">
        <v>18</v>
      </c>
      <c r="I17" t="n">
        <v>28.42035</v>
      </c>
      <c r="J17" t="n">
        <v>30.43475</v>
      </c>
      <c r="K17" t="n">
        <v>23</v>
      </c>
      <c r="L17" t="n">
        <v>65</v>
      </c>
      <c r="M17" t="n">
        <v>27</v>
      </c>
      <c r="N17" t="n">
        <v>24</v>
      </c>
      <c r="O17" t="n">
        <v>30</v>
      </c>
      <c r="P17" t="n">
        <v>35</v>
      </c>
      <c r="Q17" t="n">
        <v>38</v>
      </c>
      <c r="R17" t="n">
        <v>49</v>
      </c>
      <c r="S17" t="n">
        <v>51</v>
      </c>
      <c r="T17" t="n">
        <v>43.864</v>
      </c>
      <c r="U17" t="n">
        <v>46.053</v>
      </c>
    </row>
    <row r="18">
      <c r="A18" t="inlineStr">
        <is>
          <t>Total Current Assets</t>
        </is>
      </c>
      <c r="B18" t="n">
        <v>2802</v>
      </c>
      <c r="C18" t="n">
        <v>2365</v>
      </c>
      <c r="D18" t="n">
        <v>2336</v>
      </c>
      <c r="E18" t="n">
        <v>2484</v>
      </c>
      <c r="F18" t="n">
        <v>2642</v>
      </c>
      <c r="G18" t="n">
        <v>2722</v>
      </c>
      <c r="H18" t="n">
        <v>3426</v>
      </c>
      <c r="I18" t="n">
        <v>3809.68025</v>
      </c>
      <c r="J18" t="n">
        <v>4039.88225</v>
      </c>
      <c r="K18" t="n">
        <v>2716</v>
      </c>
      <c r="L18" t="n">
        <v>3298</v>
      </c>
      <c r="M18" t="n">
        <v>2769</v>
      </c>
      <c r="N18" t="n">
        <v>2948</v>
      </c>
      <c r="O18" t="n">
        <v>4446</v>
      </c>
      <c r="P18" t="n">
        <v>3114</v>
      </c>
      <c r="Q18" t="n">
        <v>2803</v>
      </c>
      <c r="R18" t="n">
        <v>3703</v>
      </c>
      <c r="S18" t="n">
        <v>5919</v>
      </c>
      <c r="T18" t="n">
        <v>5404.867</v>
      </c>
      <c r="U18" t="n">
        <v>8338.411</v>
      </c>
    </row>
    <row r="19">
      <c r="A19" t="inlineStr">
        <is>
          <t>PP&amp;E (net)</t>
        </is>
      </c>
      <c r="B19" t="n">
        <v>34248</v>
      </c>
      <c r="C19" t="n">
        <v>33660</v>
      </c>
      <c r="D19" t="n">
        <v>37915</v>
      </c>
      <c r="E19" t="n">
        <v>38654</v>
      </c>
      <c r="F19" t="n">
        <v>37258</v>
      </c>
      <c r="G19" t="n">
        <v>36158</v>
      </c>
      <c r="H19" t="n">
        <v>37828</v>
      </c>
      <c r="I19" t="n">
        <v>51784.5844</v>
      </c>
      <c r="J19" t="n">
        <v>51925.65325</v>
      </c>
      <c r="K19" t="n">
        <v>39205</v>
      </c>
      <c r="L19" t="n">
        <v>44038</v>
      </c>
      <c r="M19" t="n">
        <v>39485</v>
      </c>
      <c r="N19" t="n">
        <v>37760</v>
      </c>
      <c r="O19" t="n">
        <v>36678</v>
      </c>
      <c r="P19" t="n">
        <v>38696</v>
      </c>
      <c r="Q19" t="n">
        <v>39731</v>
      </c>
      <c r="R19" t="n">
        <v>40094</v>
      </c>
      <c r="S19" t="n">
        <v>38924</v>
      </c>
      <c r="T19" t="n">
        <v>54417.404</v>
      </c>
      <c r="U19" t="n">
        <v>53667.271</v>
      </c>
    </row>
    <row r="20">
      <c r="A20" t="inlineStr">
        <is>
          <t>Goodwill</t>
        </is>
      </c>
      <c r="B20" t="n">
        <v>896</v>
      </c>
      <c r="C20" t="n">
        <v>877</v>
      </c>
      <c r="D20" t="n">
        <v>849</v>
      </c>
      <c r="E20" t="n">
        <v>887</v>
      </c>
      <c r="F20" t="n">
        <v>813</v>
      </c>
      <c r="G20" t="n">
        <v>745</v>
      </c>
      <c r="H20" t="n">
        <v>723</v>
      </c>
      <c r="I20" t="n">
        <v>1010.95245</v>
      </c>
      <c r="J20" t="n">
        <v>1045.3675</v>
      </c>
      <c r="K20" t="n">
        <v>807</v>
      </c>
      <c r="L20" t="n">
        <v>854</v>
      </c>
      <c r="M20" t="n">
        <v>847</v>
      </c>
      <c r="N20" t="n">
        <v>794</v>
      </c>
      <c r="O20" t="n">
        <v>734</v>
      </c>
      <c r="P20" t="n">
        <v>692</v>
      </c>
      <c r="Q20" t="n">
        <v>727</v>
      </c>
      <c r="R20" t="n">
        <v>755</v>
      </c>
      <c r="S20" t="n">
        <v>783</v>
      </c>
      <c r="T20" t="n">
        <v>1108.937</v>
      </c>
      <c r="U20" t="n">
        <v>1151.329</v>
      </c>
    </row>
    <row r="21">
      <c r="A21" t="inlineStr">
        <is>
          <t>Total Assets</t>
        </is>
      </c>
      <c r="B21" t="n">
        <v>38805</v>
      </c>
      <c r="C21" t="n">
        <v>37762</v>
      </c>
      <c r="D21" t="n">
        <v>41986</v>
      </c>
      <c r="E21" t="n">
        <v>43073</v>
      </c>
      <c r="F21" t="n">
        <v>41769</v>
      </c>
      <c r="G21" t="n">
        <v>40805</v>
      </c>
      <c r="H21" t="n">
        <v>43288</v>
      </c>
      <c r="I21" t="n">
        <v>58532.3875</v>
      </c>
      <c r="J21" t="n">
        <v>58495.5895</v>
      </c>
      <c r="K21" t="n">
        <v>43801</v>
      </c>
      <c r="L21" t="n">
        <v>49421</v>
      </c>
      <c r="M21" t="n">
        <v>44240</v>
      </c>
      <c r="N21" t="n">
        <v>42613</v>
      </c>
      <c r="O21" t="n">
        <v>42875</v>
      </c>
      <c r="P21" t="n">
        <v>44129</v>
      </c>
      <c r="Q21" t="n">
        <v>44964</v>
      </c>
      <c r="R21" t="n">
        <v>46034</v>
      </c>
      <c r="S21" t="n">
        <v>47315</v>
      </c>
      <c r="T21" t="n">
        <v>63420.49</v>
      </c>
      <c r="U21" t="n">
        <v>65582.477</v>
      </c>
    </row>
    <row r="22">
      <c r="A22" t="inlineStr">
        <is>
          <t>Total Current Liabilities</t>
        </is>
      </c>
      <c r="B22" t="n">
        <v>9828</v>
      </c>
      <c r="C22" t="n">
        <v>9055</v>
      </c>
      <c r="D22" t="n">
        <v>8975</v>
      </c>
      <c r="E22" t="n">
        <v>10331</v>
      </c>
      <c r="F22" t="n">
        <v>8695</v>
      </c>
      <c r="G22" t="n">
        <v>8356</v>
      </c>
      <c r="H22" t="n">
        <v>7251</v>
      </c>
      <c r="I22" t="n">
        <v>11211.1514</v>
      </c>
      <c r="J22" t="n">
        <v>10396.77525</v>
      </c>
      <c r="K22" t="n">
        <v>6085</v>
      </c>
      <c r="L22" t="n">
        <v>8335</v>
      </c>
      <c r="M22" t="n">
        <v>7112</v>
      </c>
      <c r="N22" t="n">
        <v>7335</v>
      </c>
      <c r="O22" t="n">
        <v>8691</v>
      </c>
      <c r="P22" t="n">
        <v>11254</v>
      </c>
      <c r="Q22" t="n">
        <v>11237</v>
      </c>
      <c r="R22" t="n">
        <v>13714</v>
      </c>
      <c r="S22" t="n">
        <v>15104</v>
      </c>
      <c r="T22" t="n">
        <v>21182.2</v>
      </c>
      <c r="U22" t="n">
        <v>25033.376</v>
      </c>
    </row>
    <row r="23">
      <c r="A23" t="inlineStr">
        <is>
          <t>Long-term Debt</t>
        </is>
      </c>
      <c r="B23" t="n">
        <v>11981</v>
      </c>
      <c r="C23" t="n">
        <v>11954</v>
      </c>
      <c r="D23" t="n">
        <v>12060</v>
      </c>
      <c r="E23" t="n">
        <v>11940</v>
      </c>
      <c r="F23" t="n">
        <v>12581</v>
      </c>
      <c r="G23" t="n">
        <v>12229</v>
      </c>
      <c r="H23" t="n">
        <v>12416</v>
      </c>
      <c r="I23" t="n">
        <v>16849.2075</v>
      </c>
      <c r="J23" t="n">
        <v>16899.22575</v>
      </c>
      <c r="K23" t="n">
        <v>12743</v>
      </c>
      <c r="L23" t="n">
        <v>14181</v>
      </c>
      <c r="M23" t="n">
        <v>13095</v>
      </c>
      <c r="N23" t="n">
        <v>12840</v>
      </c>
      <c r="O23" t="n">
        <v>12606</v>
      </c>
      <c r="P23" t="n">
        <v>12493</v>
      </c>
      <c r="Q23" t="n">
        <v>12780</v>
      </c>
      <c r="R23" t="n">
        <v>12797</v>
      </c>
      <c r="S23" t="n">
        <v>12771</v>
      </c>
      <c r="T23" t="n">
        <v>17123.409</v>
      </c>
      <c r="U23" t="n">
        <v>17680.223</v>
      </c>
    </row>
    <row r="24">
      <c r="A24" t="inlineStr">
        <is>
          <t>Total Equity</t>
        </is>
      </c>
      <c r="B24" t="n">
        <v>1559</v>
      </c>
      <c r="C24" t="n">
        <v>1551</v>
      </c>
      <c r="D24" t="n">
        <v>3667</v>
      </c>
      <c r="E24" t="n">
        <v>3014</v>
      </c>
      <c r="F24" t="n">
        <v>3812</v>
      </c>
      <c r="G24" t="n">
        <v>4178</v>
      </c>
      <c r="H24" t="n">
        <v>5873</v>
      </c>
      <c r="I24" t="n">
        <v>6658.482</v>
      </c>
      <c r="J24" t="n">
        <v>7124.378</v>
      </c>
      <c r="K24" t="n">
        <v>6676</v>
      </c>
      <c r="L24" t="n">
        <v>5787</v>
      </c>
      <c r="M24" t="n">
        <v>6095</v>
      </c>
      <c r="N24" t="n">
        <v>5528</v>
      </c>
      <c r="O24" t="n">
        <v>4876</v>
      </c>
      <c r="P24" t="n">
        <v>1341</v>
      </c>
      <c r="Q24" t="n">
        <v>1436</v>
      </c>
      <c r="R24" t="n">
        <v>116</v>
      </c>
      <c r="S24" t="n">
        <v>-212</v>
      </c>
      <c r="T24" t="n">
        <v>-556.524</v>
      </c>
      <c r="U24" t="n">
        <v>-3673.088</v>
      </c>
    </row>
    <row r="26">
      <c r="A26" s="1" t="inlineStr">
        <is>
          <t>CASH FLOW</t>
        </is>
      </c>
    </row>
    <row r="27">
      <c r="A27" t="inlineStr">
        <is>
          <t>Net Income (CF)</t>
        </is>
      </c>
      <c r="B27" t="n">
        <v>750.182935</v>
      </c>
      <c r="C27" t="n">
        <v>269.656212</v>
      </c>
      <c r="D27" t="n">
        <v>180</v>
      </c>
      <c r="E27" t="n">
        <v>-882</v>
      </c>
      <c r="F27" t="n">
        <v>1137</v>
      </c>
      <c r="G27" t="n">
        <v>517</v>
      </c>
      <c r="H27" t="n">
        <v>1293.804712</v>
      </c>
      <c r="I27" t="n">
        <v>-920</v>
      </c>
      <c r="J27" t="n">
        <v>390.829368</v>
      </c>
      <c r="K27" t="n">
        <v>1797.2884</v>
      </c>
      <c r="L27" t="n">
        <v>-1017.423337</v>
      </c>
      <c r="M27" t="n">
        <v>491</v>
      </c>
      <c r="N27" t="n">
        <v>-342</v>
      </c>
      <c r="O27" t="n">
        <v>-919.317618</v>
      </c>
      <c r="P27" t="n">
        <v>1064.216352</v>
      </c>
      <c r="Q27" t="n">
        <v>7.174158</v>
      </c>
      <c r="R27" t="n">
        <v>-1951.305</v>
      </c>
      <c r="S27" t="n">
        <v>-320.914959</v>
      </c>
      <c r="T27" t="n">
        <v>-706</v>
      </c>
      <c r="U27" t="n">
        <v>-2998.553549</v>
      </c>
    </row>
    <row r="28">
      <c r="A28" t="inlineStr">
        <is>
          <t>D&amp;A</t>
        </is>
      </c>
      <c r="B28" t="n">
        <v>337.64371</v>
      </c>
      <c r="C28" t="n">
        <v>338.960378</v>
      </c>
      <c r="D28" t="n">
        <v>281</v>
      </c>
      <c r="E28" t="n">
        <v>296</v>
      </c>
      <c r="F28" t="n">
        <v>286</v>
      </c>
      <c r="G28" t="n">
        <v>288</v>
      </c>
      <c r="H28" t="n">
        <v>419.502262</v>
      </c>
      <c r="I28" t="n">
        <v>306</v>
      </c>
      <c r="J28" t="n">
        <v>439.179393</v>
      </c>
      <c r="K28" t="n">
        <v>429.2032</v>
      </c>
      <c r="L28" t="n">
        <v>529.822862</v>
      </c>
      <c r="M28" t="n">
        <v>345</v>
      </c>
      <c r="N28" t="n">
        <v>312</v>
      </c>
      <c r="O28" t="n">
        <v>426.923463</v>
      </c>
      <c r="P28" t="n">
        <v>408.345827</v>
      </c>
      <c r="Q28" t="n">
        <v>440.493346</v>
      </c>
      <c r="R28" t="n">
        <v>441.465</v>
      </c>
      <c r="S28" t="n">
        <v>431.100353</v>
      </c>
      <c r="T28" t="n">
        <v>301</v>
      </c>
      <c r="U28" t="n">
        <v>403.282133</v>
      </c>
    </row>
    <row r="29">
      <c r="A29" t="inlineStr">
        <is>
          <t>Stock-based Compensation</t>
        </is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Change in Working Capital</t>
        </is>
      </c>
      <c r="B30" t="n">
        <v>-464.130059</v>
      </c>
      <c r="C30" t="n">
        <v>-340.41877</v>
      </c>
      <c r="D30" t="n">
        <v>-87</v>
      </c>
      <c r="E30" t="n">
        <v>-116</v>
      </c>
      <c r="F30" t="n">
        <v>-109</v>
      </c>
      <c r="G30" t="n">
        <v>-57</v>
      </c>
      <c r="H30" t="n">
        <v>398.358298</v>
      </c>
      <c r="I30" t="n">
        <v>204</v>
      </c>
      <c r="J30" t="n">
        <v>-53.414097</v>
      </c>
      <c r="K30" t="n">
        <v>-13.595431</v>
      </c>
      <c r="L30" t="n">
        <v>371.52616</v>
      </c>
      <c r="M30" t="n">
        <v>-79</v>
      </c>
      <c r="N30" t="n">
        <v>-134</v>
      </c>
      <c r="O30" t="n">
        <v>59.471625</v>
      </c>
      <c r="P30" t="n">
        <v>-208.141483</v>
      </c>
      <c r="Q30" t="n">
        <v>25.826971</v>
      </c>
      <c r="R30" t="n">
        <v>-73.739</v>
      </c>
      <c r="S30" t="n">
        <v>60</v>
      </c>
      <c r="T30" t="n">
        <v>-100</v>
      </c>
      <c r="U30" t="n">
        <v>-119.33859</v>
      </c>
    </row>
    <row r="31">
      <c r="A31" t="inlineStr">
        <is>
          <t>Operating Cash Flow</t>
        </is>
      </c>
      <c r="B31" t="n">
        <v>-136.57786</v>
      </c>
      <c r="C31" t="n">
        <v>-26.17857</v>
      </c>
      <c r="D31" t="n">
        <v>230</v>
      </c>
      <c r="E31" t="n">
        <v>252</v>
      </c>
      <c r="F31" t="n">
        <v>323</v>
      </c>
      <c r="G31" t="n">
        <v>290</v>
      </c>
      <c r="H31" t="n">
        <v>727.284417</v>
      </c>
      <c r="I31" t="n">
        <v>592</v>
      </c>
      <c r="J31" t="n">
        <v>336.836104</v>
      </c>
      <c r="K31" t="n">
        <v>353.47265</v>
      </c>
      <c r="L31" t="n">
        <v>672.529387</v>
      </c>
      <c r="M31" t="n">
        <v>257</v>
      </c>
      <c r="N31" t="n">
        <v>140</v>
      </c>
      <c r="O31" t="n">
        <v>560.854015</v>
      </c>
      <c r="P31" t="n">
        <v>-205.745106</v>
      </c>
      <c r="Q31" t="n">
        <v>157.831492</v>
      </c>
      <c r="R31" t="n">
        <v>193.051</v>
      </c>
      <c r="S31" t="n">
        <v>359.441365</v>
      </c>
      <c r="T31" t="n">
        <v>-1</v>
      </c>
      <c r="U31" t="n">
        <v>78.187352</v>
      </c>
    </row>
    <row r="32">
      <c r="A32" t="inlineStr">
        <is>
          <t>Capex</t>
        </is>
      </c>
      <c r="B32" t="n">
        <v>-202.349529</v>
      </c>
      <c r="C32" t="n">
        <v>-201.278389</v>
      </c>
      <c r="D32" t="n">
        <v>-791</v>
      </c>
      <c r="E32" t="n">
        <v>-168</v>
      </c>
      <c r="F32" t="n">
        <v>-246</v>
      </c>
      <c r="G32" t="n">
        <v>-210</v>
      </c>
      <c r="H32" t="n">
        <v>-302.071577</v>
      </c>
      <c r="I32" t="n">
        <v>-162</v>
      </c>
      <c r="J32" t="n">
        <v>-212.183894</v>
      </c>
      <c r="K32" t="n">
        <v>-248.88761</v>
      </c>
      <c r="L32" t="n">
        <v>-707.293467</v>
      </c>
      <c r="M32" t="n">
        <v>-390</v>
      </c>
      <c r="N32" t="n">
        <v>-94</v>
      </c>
      <c r="O32" t="n">
        <v>-382.823915</v>
      </c>
      <c r="P32" t="n">
        <v>-1220.997533</v>
      </c>
      <c r="Q32" t="n">
        <v>-355.838272</v>
      </c>
      <c r="R32" t="n">
        <v>-419.204</v>
      </c>
      <c r="S32" t="n">
        <v>-329.595735</v>
      </c>
      <c r="T32" t="n">
        <v>-350</v>
      </c>
      <c r="U32" t="n">
        <v>-267.483052</v>
      </c>
    </row>
    <row r="33">
      <c r="A33" t="inlineStr">
        <is>
          <t>Free Cash Flow</t>
        </is>
      </c>
      <c r="B33" t="n">
        <v>-338.92739</v>
      </c>
      <c r="C33" t="n">
        <v>-227.45696</v>
      </c>
      <c r="D33" t="n">
        <v>-561</v>
      </c>
      <c r="E33" t="n">
        <v>84</v>
      </c>
      <c r="F33" t="n">
        <v>77</v>
      </c>
      <c r="G33" t="n">
        <v>80</v>
      </c>
      <c r="H33" t="n">
        <v>425.21284</v>
      </c>
      <c r="I33" t="n">
        <v>430</v>
      </c>
      <c r="J33" t="n">
        <v>124.65221</v>
      </c>
      <c r="K33" t="n">
        <v>104.58504</v>
      </c>
      <c r="L33" t="n">
        <v>-34.76408</v>
      </c>
      <c r="M33" t="n">
        <v>-133</v>
      </c>
      <c r="N33" t="n">
        <v>46</v>
      </c>
      <c r="O33" t="n">
        <v>178.0301</v>
      </c>
      <c r="P33" t="n">
        <v>-1426.74264</v>
      </c>
      <c r="Q33" t="n">
        <v>-198.00678</v>
      </c>
      <c r="R33" t="n">
        <v>-226.153</v>
      </c>
      <c r="S33" t="n">
        <v>29.84563</v>
      </c>
      <c r="T33" t="n">
        <v>-351</v>
      </c>
      <c r="U33" t="n">
        <v>-189.2957</v>
      </c>
    </row>
    <row r="34">
      <c r="A34" t="inlineStr">
        <is>
          <t>Net Stock Issuance</t>
        </is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338.771428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157.746412</v>
      </c>
    </row>
    <row r="35">
      <c r="A35" t="inlineStr">
        <is>
          <t>Dividends Paid</t>
        </is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-101.544572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-5</v>
      </c>
      <c r="S35" t="n">
        <v>-6.991378</v>
      </c>
      <c r="T35" t="n">
        <v>0</v>
      </c>
      <c r="U35" t="n">
        <v>0</v>
      </c>
    </row>
    <row r="36">
      <c r="A36" t="inlineStr">
        <is>
          <t>Net Change in Cash</t>
        </is>
      </c>
      <c r="B36" t="n">
        <v>164.88465</v>
      </c>
      <c r="C36" t="n">
        <v>81.6537</v>
      </c>
      <c r="D36" t="n">
        <v>-3</v>
      </c>
      <c r="E36" t="n">
        <v>169</v>
      </c>
      <c r="F36" t="n">
        <v>13</v>
      </c>
      <c r="G36" t="n">
        <v>-5</v>
      </c>
      <c r="H36" t="n">
        <v>-194.4772</v>
      </c>
      <c r="I36" t="n">
        <v>15</v>
      </c>
      <c r="J36" t="n">
        <v>-74.87175000000001</v>
      </c>
      <c r="K36" t="n">
        <v>-97.75700000000001</v>
      </c>
      <c r="L36" t="n">
        <v>289.9152</v>
      </c>
      <c r="M36" t="n">
        <v>-376.3312</v>
      </c>
      <c r="N36" t="n">
        <v>-24</v>
      </c>
      <c r="O36" t="n">
        <v>192.23805</v>
      </c>
      <c r="P36" t="n">
        <v>117.28855</v>
      </c>
      <c r="Q36" t="n">
        <v>-49.6776</v>
      </c>
      <c r="R36" t="n">
        <v>-102.887</v>
      </c>
      <c r="S36" t="n">
        <v>13.0075</v>
      </c>
      <c r="T36" t="n">
        <v>123</v>
      </c>
      <c r="U36" t="n">
        <v>3.4789</v>
      </c>
    </row>
    <row r="38">
      <c r="A38" s="2" t="inlineStr">
        <is>
          <t>Units: USD millions except per-share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FORECAST INPUTS - edit the yellow cells</t>
        </is>
      </c>
    </row>
    <row r="2">
      <c r="A2" s="3" t="inlineStr">
        <is>
          <t>(yellow = user-editable; one column per forecast year; refresh preserves your edits)</t>
        </is>
      </c>
    </row>
    <row r="3">
      <c r="A3" t="inlineStr">
        <is>
          <t>Base Revenue (TTM, $M)</t>
        </is>
      </c>
      <c r="B3" s="4" t="n">
        <v>4032.22</v>
      </c>
    </row>
    <row r="4">
      <c r="A4" t="inlineStr">
        <is>
          <t>Diluted Shares (M)</t>
        </is>
      </c>
      <c r="B4" s="4" t="n">
        <v>182.43</v>
      </c>
    </row>
    <row r="5">
      <c r="A5" t="inlineStr">
        <is>
          <t>Terminal FCF Multiple</t>
        </is>
      </c>
      <c r="B5" s="4" t="n">
        <v>15</v>
      </c>
    </row>
    <row r="6">
      <c r="A6" t="inlineStr">
        <is>
          <t>Forecast Years</t>
        </is>
      </c>
      <c r="B6" s="5" t="n">
        <v>5</v>
      </c>
    </row>
    <row r="8">
      <c r="A8" s="1" t="inlineStr">
        <is>
          <t>ASSUMPTIONS (per forecast year)</t>
        </is>
      </c>
      <c r="B8" s="1" t="inlineStr">
        <is>
          <t>TTM</t>
        </is>
      </c>
      <c r="C8" s="1" t="inlineStr">
        <is>
          <t>FY1</t>
        </is>
      </c>
      <c r="D8" s="1" t="inlineStr">
        <is>
          <t>FY2</t>
        </is>
      </c>
      <c r="E8" s="1" t="inlineStr">
        <is>
          <t>FY3</t>
        </is>
      </c>
      <c r="F8" s="1" t="inlineStr">
        <is>
          <t>FY4</t>
        </is>
      </c>
      <c r="G8" s="1" t="inlineStr">
        <is>
          <t>FY5</t>
        </is>
      </c>
    </row>
    <row r="9">
      <c r="A9" t="inlineStr">
        <is>
          <t>Revenue Growth %</t>
        </is>
      </c>
      <c r="C9" s="6" t="n">
        <v>0.0276</v>
      </c>
      <c r="D9" s="6" t="n">
        <v>0.0269</v>
      </c>
      <c r="E9" s="6" t="n">
        <v>0.0263</v>
      </c>
      <c r="F9" s="6" t="n">
        <v>0.0256</v>
      </c>
      <c r="G9" s="6" t="n">
        <v>0.025</v>
      </c>
    </row>
    <row r="10">
      <c r="A10" t="inlineStr">
        <is>
          <t>Gross Margin %</t>
        </is>
      </c>
      <c r="C10" s="6" t="n">
        <v>0.4793</v>
      </c>
      <c r="D10" s="6" t="n">
        <v>0.4793</v>
      </c>
      <c r="E10" s="6" t="n">
        <v>0.4793</v>
      </c>
      <c r="F10" s="6" t="n">
        <v>0.4793</v>
      </c>
      <c r="G10" s="6" t="n">
        <v>0.4793</v>
      </c>
    </row>
    <row r="11">
      <c r="A11" t="inlineStr">
        <is>
          <t>R&amp;D % of Revenue</t>
        </is>
      </c>
      <c r="C11" s="6" t="n">
        <v>0</v>
      </c>
      <c r="D11" s="6" t="n">
        <v>0</v>
      </c>
      <c r="E11" s="6" t="n">
        <v>0</v>
      </c>
      <c r="F11" s="6" t="n">
        <v>0</v>
      </c>
      <c r="G11" s="6" t="n">
        <v>0</v>
      </c>
    </row>
    <row r="12">
      <c r="A12" t="inlineStr">
        <is>
          <t>SG&amp;A % of Revenue</t>
        </is>
      </c>
      <c r="C12" s="6" t="n">
        <v>0.0308</v>
      </c>
      <c r="D12" s="6" t="n">
        <v>0.0308</v>
      </c>
      <c r="E12" s="6" t="n">
        <v>0.0308</v>
      </c>
      <c r="F12" s="6" t="n">
        <v>0.0308</v>
      </c>
      <c r="G12" s="6" t="n">
        <v>0.0308</v>
      </c>
    </row>
    <row r="13">
      <c r="A13" t="inlineStr">
        <is>
          <t>SBC % of Revenue</t>
        </is>
      </c>
      <c r="C13" s="6" t="n">
        <v>0</v>
      </c>
      <c r="D13" s="6" t="n">
        <v>0</v>
      </c>
      <c r="E13" s="6" t="n">
        <v>0</v>
      </c>
      <c r="F13" s="6" t="n">
        <v>0</v>
      </c>
      <c r="G13" s="6" t="n">
        <v>0</v>
      </c>
    </row>
    <row r="14">
      <c r="A14" t="inlineStr">
        <is>
          <t>D&amp;A % of Revenue</t>
        </is>
      </c>
      <c r="C14" s="6" t="n">
        <v>0.3911</v>
      </c>
      <c r="D14" s="6" t="n">
        <v>0.3911</v>
      </c>
      <c r="E14" s="6" t="n">
        <v>0.3911</v>
      </c>
      <c r="F14" s="6" t="n">
        <v>0.3911</v>
      </c>
      <c r="G14" s="6" t="n">
        <v>0.3911</v>
      </c>
    </row>
    <row r="15">
      <c r="A15" t="inlineStr">
        <is>
          <t>Capex / D&amp;A (x)</t>
        </is>
      </c>
      <c r="C15" s="7" t="n">
        <v>0.87</v>
      </c>
      <c r="D15" s="7" t="n">
        <v>0.87</v>
      </c>
      <c r="E15" s="7" t="n">
        <v>0.87</v>
      </c>
      <c r="F15" s="7" t="n">
        <v>0.87</v>
      </c>
      <c r="G15" s="7" t="n">
        <v>0.87</v>
      </c>
    </row>
    <row r="16">
      <c r="A16" t="inlineStr">
        <is>
          <t>DSO (days)</t>
        </is>
      </c>
      <c r="C16" s="5" t="n">
        <v>342.2</v>
      </c>
      <c r="D16" s="5" t="n">
        <v>342.2</v>
      </c>
      <c r="E16" s="5" t="n">
        <v>342.2</v>
      </c>
      <c r="F16" s="5" t="n">
        <v>342.2</v>
      </c>
      <c r="G16" s="5" t="n">
        <v>342.2</v>
      </c>
    </row>
    <row r="17">
      <c r="A17" t="inlineStr">
        <is>
          <t>DPO (days)</t>
        </is>
      </c>
      <c r="C17" s="5" t="n">
        <v>59.9</v>
      </c>
      <c r="D17" s="5" t="n">
        <v>59.9</v>
      </c>
      <c r="E17" s="5" t="n">
        <v>59.9</v>
      </c>
      <c r="F17" s="5" t="n">
        <v>59.9</v>
      </c>
      <c r="G17" s="5" t="n">
        <v>59.9</v>
      </c>
    </row>
    <row r="18">
      <c r="A18" t="inlineStr">
        <is>
          <t>Deferred Rev % of Revenue</t>
        </is>
      </c>
      <c r="C18" s="6" t="n">
        <v>0</v>
      </c>
      <c r="D18" s="6" t="n">
        <v>0</v>
      </c>
      <c r="E18" s="6" t="n">
        <v>0</v>
      </c>
      <c r="F18" s="6" t="n">
        <v>0</v>
      </c>
      <c r="G18" s="6" t="n">
        <v>0</v>
      </c>
    </row>
    <row r="19">
      <c r="A19" t="inlineStr">
        <is>
          <t>Tax Rate %</t>
        </is>
      </c>
      <c r="C19" s="6" t="n">
        <v>0.25</v>
      </c>
      <c r="D19" s="6" t="n">
        <v>0.25</v>
      </c>
      <c r="E19" s="6" t="n">
        <v>0.25</v>
      </c>
      <c r="F19" s="6" t="n">
        <v>0.25</v>
      </c>
      <c r="G19" s="6" t="n">
        <v>0.25</v>
      </c>
    </row>
    <row r="20">
      <c r="A20" t="inlineStr">
        <is>
          <t>Net Share Change %/yr</t>
        </is>
      </c>
      <c r="C20" s="6" t="n">
        <v>0.15</v>
      </c>
      <c r="D20" s="6" t="n">
        <v>0.15</v>
      </c>
      <c r="E20" s="6" t="n">
        <v>0.15</v>
      </c>
      <c r="F20" s="6" t="n">
        <v>0.15</v>
      </c>
      <c r="G20" s="6" t="n">
        <v>0.15</v>
      </c>
    </row>
    <row r="22">
      <c r="A22" s="1" t="inlineStr">
        <is>
          <t>PROJECTED - program-owned, recomputed each refresh from the inputs above</t>
        </is>
      </c>
    </row>
    <row r="23">
      <c r="A23" s="1" t="inlineStr">
        <is>
          <t>Year</t>
        </is>
      </c>
      <c r="C23" s="1" t="n">
        <v>2027</v>
      </c>
      <c r="D23" s="1" t="n">
        <v>2028</v>
      </c>
      <c r="E23" s="1" t="n">
        <v>2029</v>
      </c>
      <c r="F23" s="1" t="n">
        <v>2030</v>
      </c>
      <c r="G23" s="1" t="n">
        <v>2031</v>
      </c>
    </row>
    <row r="24">
      <c r="A24" t="inlineStr">
        <is>
          <t>Revenue ($M)</t>
        </is>
      </c>
      <c r="C24" s="8" t="n">
        <v>4143.509272</v>
      </c>
      <c r="D24" s="8" t="n">
        <v>4254.9696714168</v>
      </c>
      <c r="E24" s="8" t="n">
        <v>4366.875373775062</v>
      </c>
      <c r="F24" s="8" t="n">
        <v>4478.667383343704</v>
      </c>
      <c r="G24" s="8" t="n">
        <v>4590.634067927296</v>
      </c>
    </row>
    <row r="25">
      <c r="A25" t="inlineStr">
        <is>
          <t>Gross Profit ($M)</t>
        </is>
      </c>
      <c r="C25" s="8" t="n">
        <v>1985.9839940696</v>
      </c>
      <c r="D25" s="8" t="n">
        <v>2039.406963510073</v>
      </c>
      <c r="E25" s="8" t="n">
        <v>2093.043366650387</v>
      </c>
      <c r="F25" s="8" t="n">
        <v>2146.625276836638</v>
      </c>
      <c r="G25" s="8" t="n">
        <v>2200.290908757553</v>
      </c>
    </row>
    <row r="26">
      <c r="A26" t="inlineStr">
        <is>
          <t>R&amp;D ($M)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</row>
    <row r="27">
      <c r="A27" t="inlineStr">
        <is>
          <t>SG&amp;A ($M)</t>
        </is>
      </c>
      <c r="C27" s="8" t="n">
        <v>127.6200855776</v>
      </c>
      <c r="D27" s="8" t="n">
        <v>131.0530658796374</v>
      </c>
      <c r="E27" s="8" t="n">
        <v>134.4997615122719</v>
      </c>
      <c r="F27" s="8" t="n">
        <v>137.9429554069861</v>
      </c>
      <c r="G27" s="8" t="n">
        <v>141.3915292921607</v>
      </c>
    </row>
    <row r="28">
      <c r="A28" t="inlineStr">
        <is>
          <t>Operating Income ($M)</t>
        </is>
      </c>
      <c r="C28" s="8" t="n">
        <v>1858.363908492</v>
      </c>
      <c r="D28" s="8" t="n">
        <v>1908.353897630435</v>
      </c>
      <c r="E28" s="8" t="n">
        <v>1958.543605138115</v>
      </c>
      <c r="F28" s="8" t="n">
        <v>2008.682321429651</v>
      </c>
      <c r="G28" s="8" t="n">
        <v>2058.899379465392</v>
      </c>
    </row>
    <row r="29">
      <c r="A29" t="inlineStr">
        <is>
          <t>Operating Margin %</t>
        </is>
      </c>
      <c r="C29" s="9" t="n">
        <v>0.4485</v>
      </c>
      <c r="D29" s="9" t="n">
        <v>0.4485</v>
      </c>
      <c r="E29" s="9" t="n">
        <v>0.4485</v>
      </c>
      <c r="F29" s="9" t="n">
        <v>0.4485</v>
      </c>
      <c r="G29" s="9" t="n">
        <v>0.4485</v>
      </c>
    </row>
    <row r="30">
      <c r="A30" t="inlineStr">
        <is>
          <t>NOPAT ($M)</t>
        </is>
      </c>
      <c r="C30" s="8" t="n">
        <v>1393.772931369</v>
      </c>
      <c r="D30" s="8" t="n">
        <v>1431.265423222826</v>
      </c>
      <c r="E30" s="8" t="n">
        <v>1468.907703853587</v>
      </c>
      <c r="F30" s="8" t="n">
        <v>1506.511741072239</v>
      </c>
      <c r="G30" s="8" t="n">
        <v>1544.174534599044</v>
      </c>
    </row>
    <row r="31">
      <c r="A31" t="inlineStr">
        <is>
          <t>+ D&amp;A ($M)</t>
        </is>
      </c>
      <c r="C31" s="8" t="n">
        <v>1620.5264762792</v>
      </c>
      <c r="D31" s="8" t="n">
        <v>1664.118638491111</v>
      </c>
      <c r="E31" s="8" t="n">
        <v>1707.884958683427</v>
      </c>
      <c r="F31" s="8" t="n">
        <v>1751.606813625723</v>
      </c>
      <c r="G31" s="8" t="n">
        <v>1795.396983966365</v>
      </c>
    </row>
    <row r="32">
      <c r="A32" t="inlineStr">
        <is>
          <t>+ SBC ($M, non-cash)</t>
        </is>
      </c>
      <c r="C32" s="8" t="n">
        <v>0</v>
      </c>
      <c r="D32" s="8" t="n">
        <v>0</v>
      </c>
      <c r="E32" s="8" t="n">
        <v>0</v>
      </c>
      <c r="F32" s="8" t="n">
        <v>0</v>
      </c>
      <c r="G32" s="8" t="n">
        <v>0</v>
      </c>
    </row>
    <row r="33">
      <c r="A33" t="inlineStr">
        <is>
          <t>- Chg in NWC ($M)</t>
        </is>
      </c>
      <c r="C33" s="8" t="n">
        <v>94.8276281506005</v>
      </c>
      <c r="D33" s="8" t="n">
        <v>94.97344280779953</v>
      </c>
      <c r="E33" s="8" t="n">
        <v>95.35287759956827</v>
      </c>
      <c r="F33" s="8" t="n">
        <v>95.25600197639369</v>
      </c>
      <c r="G33" s="8" t="n">
        <v>95.40483947948223</v>
      </c>
    </row>
    <row r="34">
      <c r="A34">
        <f> CFO ($M)</f>
        <v/>
      </c>
      <c r="C34" s="8" t="n">
        <v>2919.4717794976</v>
      </c>
      <c r="D34" s="8" t="n">
        <v>3000.410618906137</v>
      </c>
      <c r="E34" s="8" t="n">
        <v>3081.439784937445</v>
      </c>
      <c r="F34" s="8" t="n">
        <v>3162.862552721568</v>
      </c>
      <c r="G34" s="8" t="n">
        <v>3244.166679085928</v>
      </c>
    </row>
    <row r="35">
      <c r="A35" t="inlineStr">
        <is>
          <t>- Capex ($M)</t>
        </is>
      </c>
      <c r="C35" s="8" t="n">
        <v>1409.858034362904</v>
      </c>
      <c r="D35" s="8" t="n">
        <v>1447.783215487266</v>
      </c>
      <c r="E35" s="8" t="n">
        <v>1485.859914054581</v>
      </c>
      <c r="F35" s="8" t="n">
        <v>1523.897927854379</v>
      </c>
      <c r="G35" s="8" t="n">
        <v>1561.995376050738</v>
      </c>
    </row>
    <row r="36">
      <c r="A36">
        <f> FCFF ($M)</f>
        <v/>
      </c>
      <c r="C36" s="8" t="n">
        <v>1509.613745134695</v>
      </c>
      <c r="D36" s="8" t="n">
        <v>1552.627403418871</v>
      </c>
      <c r="E36" s="8" t="n">
        <v>1595.579870882864</v>
      </c>
      <c r="F36" s="8" t="n">
        <v>1638.964624867189</v>
      </c>
      <c r="G36" s="8" t="n">
        <v>1682.17130303519</v>
      </c>
    </row>
    <row r="37">
      <c r="A37">
        <f> Valuation FCF ($M, SBC-charged)</f>
        <v/>
      </c>
      <c r="C37" s="8" t="n">
        <v>1509.613745134695</v>
      </c>
      <c r="D37" s="8" t="n">
        <v>1552.627403418871</v>
      </c>
      <c r="E37" s="8" t="n">
        <v>1595.579870882864</v>
      </c>
      <c r="F37" s="8" t="n">
        <v>1638.964624867189</v>
      </c>
      <c r="G37" s="8" t="n">
        <v>1682.17130303519</v>
      </c>
    </row>
    <row r="38">
      <c r="A38" t="inlineStr">
        <is>
          <t>Valuation FCF Margin %</t>
        </is>
      </c>
      <c r="C38" s="9" t="n">
        <v>0.3643321749841363</v>
      </c>
      <c r="D38" s="9" t="n">
        <v>0.3648974078120477</v>
      </c>
      <c r="E38" s="9" t="n">
        <v>0.3653825067839118</v>
      </c>
      <c r="F38" s="9" t="n">
        <v>0.3659491729532196</v>
      </c>
      <c r="G38" s="9" t="n">
        <v>0.36643550283996</v>
      </c>
    </row>
    <row r="39">
      <c r="A39" t="inlineStr">
        <is>
          <t>Diluted Shares (projected, M)</t>
        </is>
      </c>
      <c r="C39" s="8" t="n">
        <v>209.7945</v>
      </c>
      <c r="D39" s="8" t="n">
        <v>241.263675</v>
      </c>
      <c r="E39" s="8" t="n">
        <v>277.4532262499999</v>
      </c>
      <c r="F39" s="8" t="n">
        <v>319.0712101874999</v>
      </c>
      <c r="G39" s="8" t="n">
        <v>366.9318917156249</v>
      </c>
    </row>
    <row r="40"/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B1" s="1" t="n">
        <v>2026</v>
      </c>
      <c r="C1" s="1" t="n">
        <v>2027</v>
      </c>
      <c r="D1" s="1" t="n">
        <v>2028</v>
      </c>
      <c r="E1" s="1" t="n">
        <v>2029</v>
      </c>
      <c r="F1" s="1" t="n">
        <v>2030</v>
      </c>
      <c r="G1" s="1" t="n">
        <v>2031</v>
      </c>
    </row>
    <row r="2">
      <c r="A2" s="1" t="inlineStr">
        <is>
          <t>FCF</t>
        </is>
      </c>
      <c r="B2" s="8" t="n">
        <v>-736.60307</v>
      </c>
      <c r="C2" s="8" t="n">
        <v>1509.613745134695</v>
      </c>
      <c r="D2" s="8" t="n">
        <v>1552.627403418871</v>
      </c>
      <c r="E2" s="8" t="n">
        <v>1595.579870882864</v>
      </c>
      <c r="F2" s="8" t="n">
        <v>1638.964624867189</v>
      </c>
      <c r="G2" s="8" t="n">
        <v>1682.17130303519</v>
      </c>
    </row>
    <row r="3">
      <c r="A3" s="1" t="inlineStr">
        <is>
          <t>#diluted shares outstanding</t>
        </is>
      </c>
      <c r="B3" s="8" t="n">
        <v>182.43</v>
      </c>
      <c r="C3" s="8" t="n">
        <v>209.7945</v>
      </c>
      <c r="D3" s="8" t="n">
        <v>241.263675</v>
      </c>
      <c r="E3" s="8" t="n">
        <v>277.4532262499999</v>
      </c>
      <c r="F3" s="8" t="n">
        <v>319.0712101874999</v>
      </c>
      <c r="G3" s="8" t="n">
        <v>366.9318917156249</v>
      </c>
    </row>
    <row r="5">
      <c r="A5" s="3" t="inlineStr">
        <is>
          <t>Rewritten on every refresh from Forecast sheet inputs. Edit Forecast, not 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2026-06-04T13:32:10Z</dcterms:created>
  <dcterms:modified xmlns:dcterms="http://purl.org/dc/terms/" xmlns:xsi="http://www.w3.org/2001/XMLSchema-instance" xsi:type="dcterms:W3CDTF">2026-06-04T13:32:10Z</dcterms:modified>
</cp:coreProperties>
</file>