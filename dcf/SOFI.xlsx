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gments" sheetId="2" state="visible" r:id="rId2"/>
    <sheet xmlns:r="http://schemas.openxmlformats.org/officeDocument/2006/relationships" name="Corporate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Sce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x&quot;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374151"/>
    </font>
    <font>
      <color rgb="006B7280"/>
    </font>
    <font>
      <b val="1"/>
    </font>
    <font>
      <color rgb="00374151"/>
    </font>
    <font>
      <color rgb="001F4E79"/>
    </font>
    <font>
      <i val="1"/>
      <color rgb="006B7280"/>
    </font>
    <font/>
    <font>
      <color rgb="0037415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3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5" fontId="6" fillId="0" borderId="0" pivotButton="0" quotePrefix="0" xfId="0"/>
    <xf numFmtId="2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2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SOFI - Hybrid Sum-of-the-Parts | Dashboard</t>
        </is>
      </c>
    </row>
    <row r="2">
      <c r="A2" s="2" t="inlineStr">
        <is>
          <t>Segment contribution profit ($M, FY2025) x EV/CP multiple</t>
        </is>
      </c>
    </row>
    <row r="3">
      <c r="A3" s="3" t="inlineStr">
        <is>
          <t>Lending - contribution profit ($M)</t>
        </is>
      </c>
      <c r="B3" s="4" t="n">
        <v>1016.9</v>
      </c>
    </row>
    <row r="4">
      <c r="A4" s="3" t="inlineStr">
        <is>
          <t>Financial Services - contribution profit ($M)</t>
        </is>
      </c>
      <c r="B4" s="4" t="n">
        <v>792.9</v>
      </c>
    </row>
    <row r="5">
      <c r="A5" s="3" t="inlineStr">
        <is>
          <t>Technology Platform - contribution profit ($M)</t>
        </is>
      </c>
      <c r="B5" s="4" t="n">
        <v>144.4</v>
      </c>
    </row>
    <row r="6">
      <c r="A6" s="3" t="inlineStr">
        <is>
          <t>Lending - EV/CP multiple</t>
        </is>
      </c>
      <c r="B6" s="5" t="n">
        <v>6.5</v>
      </c>
    </row>
    <row r="7">
      <c r="A7" s="3" t="inlineStr">
        <is>
          <t>Financial Services - EV/CP multiple</t>
        </is>
      </c>
      <c r="B7" s="5" t="n">
        <v>13</v>
      </c>
    </row>
    <row r="8">
      <c r="A8" s="3" t="inlineStr">
        <is>
          <t>Technology Platform - EV/CP multiple</t>
        </is>
      </c>
      <c r="B8" s="5" t="n">
        <v>14</v>
      </c>
    </row>
    <row r="9">
      <c r="A9" s="3" t="inlineStr">
        <is>
          <t>Corporate overhead Y0 ($M/yr)</t>
        </is>
      </c>
      <c r="B9" s="4" t="n">
        <v>1000</v>
      </c>
    </row>
    <row r="10">
      <c r="A10" s="3" t="inlineStr">
        <is>
          <t>Corporate growth (vs faster segments)</t>
        </is>
      </c>
      <c r="B10" s="6" t="n">
        <v>0.02</v>
      </c>
    </row>
    <row r="11">
      <c r="A11" s="3" t="inlineStr">
        <is>
          <t>Corporate DCF horizon (yrs)</t>
        </is>
      </c>
      <c r="B11" s="7" t="n">
        <v>10</v>
      </c>
    </row>
    <row r="12">
      <c r="A12" s="3" t="inlineStr">
        <is>
          <t>Corporate terminal multiple</t>
        </is>
      </c>
      <c r="B12" s="5" t="n">
        <v>2</v>
      </c>
    </row>
    <row r="13">
      <c r="A13" s="3" t="inlineStr">
        <is>
          <t>Cost of equity Ke (discount rate)</t>
        </is>
      </c>
      <c r="B13" s="6" t="n">
        <v>0.133</v>
      </c>
    </row>
    <row r="14">
      <c r="A14" s="3" t="inlineStr">
        <is>
          <t>Net corporate debt ($M)</t>
        </is>
      </c>
      <c r="B14" s="4" t="n">
        <v>0</v>
      </c>
    </row>
    <row r="15">
      <c r="A15" s="3" t="inlineStr">
        <is>
          <t>Diluted shares (M)</t>
        </is>
      </c>
      <c r="B15" s="4" t="n">
        <v>1281</v>
      </c>
    </row>
    <row r="16">
      <c r="A16" s="3" t="inlineStr">
        <is>
          <t>Current price ($)</t>
        </is>
      </c>
      <c r="B16" s="8" t="n">
        <v>15.71</v>
      </c>
    </row>
    <row r="18">
      <c r="A18" s="1" t="inlineStr">
        <is>
          <t>OUTPUT</t>
        </is>
      </c>
    </row>
    <row r="19">
      <c r="A19" s="2" t="inlineStr">
        <is>
          <t>SOTP equity value ($M)</t>
        </is>
      </c>
      <c r="B19" s="9">
        <f>Valuation!$B$9</f>
        <v/>
      </c>
    </row>
    <row r="20">
      <c r="A20" s="2" t="inlineStr">
        <is>
          <t>Value per share ($)</t>
        </is>
      </c>
      <c r="B20" s="10">
        <f>Valuation!$B$10</f>
        <v/>
      </c>
    </row>
    <row r="21">
      <c r="A21" s="2" t="inlineStr">
        <is>
          <t>Upside vs price</t>
        </is>
      </c>
      <c r="B21" s="11">
        <f>Valuation!$B$11</f>
        <v/>
      </c>
    </row>
    <row r="22">
      <c r="A22" s="2" t="inlineStr">
        <is>
          <t>Implied blended EV/CP</t>
        </is>
      </c>
      <c r="B22" s="12">
        <f>Valuation!$B$12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SOFI - Segments (FY2025 actual, $M)</t>
        </is>
      </c>
    </row>
    <row r="2">
      <c r="A2" s="2" t="inlineStr">
        <is>
          <t>Segment</t>
        </is>
      </c>
      <c r="B2" s="2" t="inlineStr">
        <is>
          <t>Net revenue</t>
        </is>
      </c>
      <c r="C2" s="2" t="inlineStr">
        <is>
          <t>Contribution profit</t>
        </is>
      </c>
      <c r="D2" s="2" t="inlineStr">
        <is>
          <t>CP margin</t>
        </is>
      </c>
    </row>
    <row r="3">
      <c r="A3" s="13" t="inlineStr">
        <is>
          <t>Lending</t>
        </is>
      </c>
      <c r="B3" s="14" t="n">
        <v>1848.9</v>
      </c>
      <c r="C3" s="14" t="n">
        <v>1016.9</v>
      </c>
      <c r="D3" s="15" t="n">
        <v>0.5500027043106712</v>
      </c>
    </row>
    <row r="4">
      <c r="A4" s="13" t="inlineStr">
        <is>
          <t>Financial Services</t>
        </is>
      </c>
      <c r="B4" s="14" t="n">
        <v>1542</v>
      </c>
      <c r="C4" s="14" t="n">
        <v>792.9</v>
      </c>
      <c r="D4" s="15" t="n">
        <v>0.5142023346303501</v>
      </c>
    </row>
    <row r="5">
      <c r="A5" s="13" t="inlineStr">
        <is>
          <t>Technology Platform (Galileo)</t>
        </is>
      </c>
      <c r="B5" s="14" t="n">
        <v>450.2</v>
      </c>
      <c r="C5" s="14" t="n">
        <v>144.4</v>
      </c>
      <c r="D5" s="15" t="n">
        <v>0.320746334962239</v>
      </c>
    </row>
    <row r="6">
      <c r="A6" s="2" t="inlineStr">
        <is>
          <t>Reportable segments total</t>
        </is>
      </c>
      <c r="C6" s="9" t="n">
        <v>1954.2</v>
      </c>
    </row>
    <row r="8">
      <c r="A8" s="1" t="inlineStr">
        <is>
          <t>RECONCILIATION + DRIVERS (reference)</t>
        </is>
      </c>
    </row>
    <row r="9">
      <c r="A9" s="13" t="inlineStr">
        <is>
          <t>Corporate/Other net revenue ($M)</t>
        </is>
      </c>
      <c r="B9" s="14" t="n">
        <v>-227.8</v>
      </c>
    </row>
    <row r="10">
      <c r="A10" s="13" t="inlineStr">
        <is>
          <t>Adjusted EBITDA ($M, FY2025)</t>
        </is>
      </c>
      <c r="B10" s="14" t="n">
        <v>1050</v>
      </c>
    </row>
    <row r="11">
      <c r="A11" s="13" t="inlineStr">
        <is>
          <t>GAAP income before taxes ($M)</t>
        </is>
      </c>
      <c r="B11" s="14" t="n">
        <v>525.9</v>
      </c>
    </row>
    <row r="12">
      <c r="A12" s="13" t="inlineStr">
        <is>
          <t>Implied corporate/unallocated drag ($M)</t>
        </is>
      </c>
      <c r="B12" s="14" t="n">
        <v>1428.3</v>
      </c>
    </row>
    <row r="13">
      <c r="A13" s="13" t="inlineStr">
        <is>
          <t>Total deposits ($B, YE2025)</t>
        </is>
      </c>
      <c r="B13" s="16" t="n">
        <v>37.5</v>
      </c>
    </row>
    <row r="14">
      <c r="A14" s="13" t="inlineStr">
        <is>
          <t>Total members (M, YE2025)</t>
        </is>
      </c>
      <c r="B14" s="16" t="n">
        <v>13.7</v>
      </c>
    </row>
    <row r="15">
      <c r="A15" s="13" t="inlineStr">
        <is>
          <t>SoFi Invest AUM ($B)</t>
        </is>
      </c>
      <c r="B15" s="16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s="1" t="inlineStr">
        <is>
          <t>SOFI - Corporate overhead (tapering DCF, $M)</t>
        </is>
      </c>
    </row>
    <row r="2">
      <c r="A2" s="17" t="inlineStr">
        <is>
          <t>Corporate grows slower than the segments (operating leverage).</t>
        </is>
      </c>
    </row>
    <row r="4">
      <c r="B4" s="2" t="inlineStr">
        <is>
          <t>Year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B5" s="13" t="inlineStr">
        <is>
          <t>Corporate cost</t>
        </is>
      </c>
      <c r="C5" s="18">
        <f>Dashboard!$B$9*(1+Dashboard!$B$10)^C4</f>
        <v/>
      </c>
      <c r="D5" s="18">
        <f>Dashboard!$B$9*(1+Dashboard!$B$10)^D4</f>
        <v/>
      </c>
      <c r="E5" s="18">
        <f>Dashboard!$B$9*(1+Dashboard!$B$10)^E4</f>
        <v/>
      </c>
      <c r="F5" s="18">
        <f>Dashboard!$B$9*(1+Dashboard!$B$10)^F4</f>
        <v/>
      </c>
      <c r="G5" s="18">
        <f>Dashboard!$B$9*(1+Dashboard!$B$10)^G4</f>
        <v/>
      </c>
      <c r="H5" s="18">
        <f>Dashboard!$B$9*(1+Dashboard!$B$10)^H4</f>
        <v/>
      </c>
      <c r="I5" s="18">
        <f>Dashboard!$B$9*(1+Dashboard!$B$10)^I4</f>
        <v/>
      </c>
      <c r="J5" s="18">
        <f>Dashboard!$B$9*(1+Dashboard!$B$10)^J4</f>
        <v/>
      </c>
      <c r="K5" s="18">
        <f>Dashboard!$B$9*(1+Dashboard!$B$10)^K4</f>
        <v/>
      </c>
      <c r="L5" s="18">
        <f>Dashboard!$B$9*(1+Dashboard!$B$10)^L4</f>
        <v/>
      </c>
    </row>
    <row r="6">
      <c r="B6" s="13" t="inlineStr">
        <is>
          <t>Discount factor</t>
        </is>
      </c>
      <c r="C6" s="19">
        <f>1/(1+Dashboard!$B$13)^C4</f>
        <v/>
      </c>
      <c r="D6" s="19">
        <f>1/(1+Dashboard!$B$13)^D4</f>
        <v/>
      </c>
      <c r="E6" s="19">
        <f>1/(1+Dashboard!$B$13)^E4</f>
        <v/>
      </c>
      <c r="F6" s="19">
        <f>1/(1+Dashboard!$B$13)^F4</f>
        <v/>
      </c>
      <c r="G6" s="19">
        <f>1/(1+Dashboard!$B$13)^G4</f>
        <v/>
      </c>
      <c r="H6" s="19">
        <f>1/(1+Dashboard!$B$13)^H4</f>
        <v/>
      </c>
      <c r="I6" s="19">
        <f>1/(1+Dashboard!$B$13)^I4</f>
        <v/>
      </c>
      <c r="J6" s="19">
        <f>1/(1+Dashboard!$B$13)^J4</f>
        <v/>
      </c>
      <c r="K6" s="19">
        <f>1/(1+Dashboard!$B$13)^K4</f>
        <v/>
      </c>
      <c r="L6" s="19">
        <f>1/(1+Dashboard!$B$13)^L4</f>
        <v/>
      </c>
    </row>
    <row r="7">
      <c r="B7" s="13" t="inlineStr">
        <is>
          <t>PV corporate</t>
        </is>
      </c>
      <c r="C7" s="18">
        <f>C5*C6</f>
        <v/>
      </c>
      <c r="D7" s="18">
        <f>D5*D6</f>
        <v/>
      </c>
      <c r="E7" s="18">
        <f>E5*E6</f>
        <v/>
      </c>
      <c r="F7" s="18">
        <f>F5*F6</f>
        <v/>
      </c>
      <c r="G7" s="18">
        <f>G5*G6</f>
        <v/>
      </c>
      <c r="H7" s="18">
        <f>H5*H6</f>
        <v/>
      </c>
      <c r="I7" s="18">
        <f>I5*I6</f>
        <v/>
      </c>
      <c r="J7" s="18">
        <f>J5*J6</f>
        <v/>
      </c>
      <c r="K7" s="18">
        <f>K5*K6</f>
        <v/>
      </c>
      <c r="L7" s="18">
        <f>L5*L6</f>
        <v/>
      </c>
    </row>
    <row r="9">
      <c r="B9" t="inlineStr">
        <is>
          <t>PV corporate (yrs 1-N)</t>
        </is>
      </c>
      <c r="C9" s="18">
        <f>SUM(C7:L7)</f>
        <v/>
      </c>
    </row>
    <row r="10">
      <c r="B10" t="inlineStr">
        <is>
          <t>Terminal corporate PV</t>
        </is>
      </c>
      <c r="C10" s="18">
        <f>L5*Dashboard!$B$12*L6</f>
        <v/>
      </c>
    </row>
    <row r="11">
      <c r="B11" s="2" t="inlineStr">
        <is>
          <t>Total corporate drag</t>
        </is>
      </c>
      <c r="C11" s="9">
        <f>C9+C10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SOFI - Sum-of-the-Parts ($M)</t>
        </is>
      </c>
    </row>
    <row r="2">
      <c r="A2" s="13" t="inlineStr">
        <is>
          <t>(1) Lending value</t>
        </is>
      </c>
      <c r="B2" s="18">
        <f>Dashboard!$B$3*Dashboard!$B$6</f>
        <v/>
      </c>
    </row>
    <row r="3">
      <c r="A3" s="13" t="inlineStr">
        <is>
          <t>(2) Financial Services value</t>
        </is>
      </c>
      <c r="B3" s="18">
        <f>Dashboard!$B$4*Dashboard!$B$7</f>
        <v/>
      </c>
    </row>
    <row r="4">
      <c r="A4" s="13" t="inlineStr">
        <is>
          <t>(3) Technology Platform value</t>
        </is>
      </c>
      <c r="B4" s="18">
        <f>Dashboard!$B$5*Dashboard!$B$8</f>
        <v/>
      </c>
    </row>
    <row r="5">
      <c r="A5" s="13" t="inlineStr">
        <is>
          <t>Segment value subtotal</t>
        </is>
      </c>
      <c r="B5" s="18">
        <f>B2+B3+B4</f>
        <v/>
      </c>
    </row>
    <row r="6">
      <c r="A6" s="13" t="inlineStr">
        <is>
          <t>(4) Corporate overhead (tapering DCF)</t>
        </is>
      </c>
      <c r="B6" s="18">
        <f>Corporate!C11</f>
        <v/>
      </c>
    </row>
    <row r="7">
      <c r="A7" s="13" t="inlineStr">
        <is>
          <t>(5) Net corporate debt</t>
        </is>
      </c>
      <c r="B7" s="18">
        <f>Dashboard!$B$14</f>
        <v/>
      </c>
    </row>
    <row r="8">
      <c r="A8" s="13" t="inlineStr">
        <is>
          <t>Total contribution profit</t>
        </is>
      </c>
      <c r="B8" s="18">
        <f>Dashboard!$B$3+Dashboard!$B$4+Dashboard!$B$5</f>
        <v/>
      </c>
    </row>
    <row r="9">
      <c r="A9" s="2" t="inlineStr">
        <is>
          <t>SOTP equity value (= subtotal - corp - debt)</t>
        </is>
      </c>
      <c r="B9" s="9">
        <f>B5-B6-B7</f>
        <v/>
      </c>
    </row>
    <row r="10">
      <c r="A10" s="2" t="inlineStr">
        <is>
          <t>Value per share ($)</t>
        </is>
      </c>
      <c r="B10" s="10">
        <f>B9/Dashboard!$B$15</f>
        <v/>
      </c>
    </row>
    <row r="11">
      <c r="A11" s="13" t="inlineStr">
        <is>
          <t>Upside vs price</t>
        </is>
      </c>
      <c r="B11" s="20">
        <f>B10/Dashboard!$B$16-1</f>
        <v/>
      </c>
    </row>
    <row r="12">
      <c r="A12" s="13" t="inlineStr">
        <is>
          <t>Implied blended EV/CP (segments)</t>
        </is>
      </c>
      <c r="B12" s="21">
        <f>B5/B8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4" customWidth="1" min="1" max="1"/>
    <col width="26" customWidth="1" min="2" max="2"/>
  </cols>
  <sheetData>
    <row r="1">
      <c r="A1" s="1" t="inlineStr">
        <is>
          <t>Scenarios &amp; reverse-solve</t>
        </is>
      </c>
    </row>
    <row r="2">
      <c r="A2" s="2" t="inlineStr">
        <is>
          <t>Scenario</t>
        </is>
      </c>
      <c r="B2" s="2" t="inlineStr">
        <is>
          <t>Lending x</t>
        </is>
      </c>
      <c r="C2" s="2" t="inlineStr">
        <is>
          <t>FS x</t>
        </is>
      </c>
      <c r="D2" s="2" t="inlineStr">
        <is>
          <t>Tech x</t>
        </is>
      </c>
      <c r="E2" s="2" t="inlineStr">
        <is>
          <t>Value/share</t>
        </is>
      </c>
    </row>
    <row r="3">
      <c r="A3" s="13" t="inlineStr">
        <is>
          <t>Bear</t>
        </is>
      </c>
      <c r="B3" s="21" t="n">
        <v>5</v>
      </c>
      <c r="C3" s="21" t="n">
        <v>9</v>
      </c>
      <c r="D3" s="21" t="n">
        <v>10</v>
      </c>
      <c r="E3" s="22" t="n">
        <v>5.54</v>
      </c>
    </row>
    <row r="4">
      <c r="A4" s="2" t="inlineStr">
        <is>
          <t>Base</t>
        </is>
      </c>
      <c r="B4" s="21" t="n">
        <v>6.5</v>
      </c>
      <c r="C4" s="21" t="n">
        <v>13</v>
      </c>
      <c r="D4" s="21" t="n">
        <v>14</v>
      </c>
      <c r="E4" s="10" t="n">
        <v>9.66</v>
      </c>
    </row>
    <row r="5">
      <c r="A5" s="13" t="inlineStr">
        <is>
          <t>Bull</t>
        </is>
      </c>
      <c r="B5" s="21" t="n">
        <v>9</v>
      </c>
      <c r="C5" s="21" t="n">
        <v>18</v>
      </c>
      <c r="D5" s="21" t="n">
        <v>18</v>
      </c>
      <c r="E5" s="22" t="n">
        <v>15.19</v>
      </c>
    </row>
    <row r="7">
      <c r="A7" s="1" t="inlineStr">
        <is>
          <t>REVERSE-SOLVE - what the market price implies</t>
        </is>
      </c>
    </row>
    <row r="8">
      <c r="A8" s="13" t="inlineStr">
        <is>
          <t>Market equity value ($M)</t>
        </is>
      </c>
      <c r="B8" s="23" t="inlineStr">
        <is>
          <t>20,125</t>
        </is>
      </c>
    </row>
    <row r="9">
      <c r="A9" s="13" t="inlineStr">
        <is>
          <t>Model segment subtotal ($M)</t>
        </is>
      </c>
      <c r="B9" s="23" t="inlineStr">
        <is>
          <t>18,939</t>
        </is>
      </c>
    </row>
    <row r="10">
      <c r="A10" s="13" t="inlineStr">
        <is>
          <t>Implied segment value at price ($M)</t>
        </is>
      </c>
      <c r="B10" s="23" t="inlineStr">
        <is>
          <t>26,694</t>
        </is>
      </c>
    </row>
    <row r="11">
      <c r="A11" s="13" t="inlineStr">
        <is>
          <t>-&gt; segment multiples must be higher by</t>
        </is>
      </c>
      <c r="B11" s="23" t="inlineStr">
        <is>
          <t>+41%</t>
        </is>
      </c>
    </row>
    <row r="12">
      <c r="A12" s="13" t="inlineStr">
        <is>
          <t>-&gt; implied blended EV/CP</t>
        </is>
      </c>
      <c r="B12" s="23" t="inlineStr">
        <is>
          <t>13.7x  (model 9.7x)</t>
        </is>
      </c>
    </row>
    <row r="13">
      <c r="A13" s="13" t="inlineStr">
        <is>
          <t>...or corporate must shrink faster than modeled (operating leverage)</t>
        </is>
      </c>
      <c r="B13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2026-06-08T18:30:28Z</dcterms:created>
  <dcterms:modified xmlns:dcterms="http://purl.org/dc/terms/" xmlns:xsi="http://www.w3.org/2001/XMLSchema-instance" xsi:type="dcterms:W3CDTF">2026-06-08T18:30:28Z</dcterms:modified>
</cp:coreProperties>
</file>