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Opus: 8.5%</t>
      </text>
    </comment>
    <comment ref="B30" authorId="0" shapeId="0">
      <text>
        <t>Opus: 13.5%</t>
      </text>
    </comment>
    <comment ref="B31" authorId="0" shapeId="0">
      <text>
        <t>Opus: 23.0%</t>
      </text>
    </comment>
    <comment ref="B34" authorId="0" shapeId="0">
      <text>
        <t>Opus: —
set from Opus 3% of FY1E revenue; edits not tracked (unit differs from the JSON)</t>
      </text>
    </comment>
    <comment ref="B35" authorId="0" shapeId="0">
      <text>
        <t>User-edited — overridden from Opus 1.1x on 2026-06-12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11.0x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Ciena Corporation (CIEN)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2026-06-12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Ciena is a cyclical optical-networking supplier riding a multi-year cloud and AI datacenter interconnect capex wave, with WaveLogic 6 coherent optics driving share gains and a near-term revenue inflection consensus pegs at ~25-29% growth off the FY2025 base of $4.77B. As hyperscaler buildouts mature, growth fades toward GDP-like rates while a richening software/services mix and operating leverage lift operating margins from the mid-single-digit trough back toward the low-teens. The result is a credible re-rating story contingent on Ciena converting design wins into sustained, profitable scale.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Ciena Corporation (CIEN)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0.2591010803189354</v>
      </c>
      <c r="C20" s="15" t="n">
        <v>0.04999999999999999</v>
      </c>
      <c r="D20" s="16" t="n">
        <v>0.2591010803189354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0.08500000000000001</v>
      </c>
      <c r="D29" s="16" t="n">
        <v>0.08500000000000001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0.135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185.13111411</v>
      </c>
      <c r="D34" s="18" t="n">
        <v>185.13111411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1.245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11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422.4599914550781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143.9294747835453</v>
      </c>
      <c r="C58" s="28" t="n">
        <v>213.3070933561625</v>
      </c>
      <c r="D58" s="28" t="n">
        <v>93.80630083231559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CIEN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2026-06-12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Ciena is a cyclical optical-networking supplier riding a multi-year cloud and AI datacenter interconnect capex wave, with WaveLogic 6 coherent optics driving share gains and a near-term revenue inflection consensus pegs at ~25-29% growth off the FY2025 base of $4.77B. As hyperscaler buildouts mature, growth fades toward GDP-like rates while a richening software/services mix and operating leverage lift operating margins from the mid-single-digit trough back toward the low-teens. The result is a credible re-rating story contingent on Ciena converting design wins into sustained, profitable scale.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growth is anchored to Street consensus (front-loaded in Networking Platforms, the dominant segment), then faded sharply to a ~3% terminal as the AI-capex cycle normalizes. Terminal op margin of 13.5% sits above Ciena's historical 9-11% peak but is justified by software mix shift and scale, while EV/EBITDA at 11x reflects a mature hardware-plus-software hybrid rather than a pure-growth multiple; capex converges toward maintenance (capex/D&amp;A ~1.1x) and tax normalizes to 23%.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8.5%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13.5%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23.0%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2026-06-12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11.0x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3%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Financials!AC34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SUM(Financials!I3:L3)</f>
        <v/>
      </c>
      <c r="C4" s="34">
        <f>SUM(Financials!M3:P3)</f>
        <v/>
      </c>
      <c r="D4" s="34">
        <f>SUM(Financials!Q3:T3)</f>
        <v/>
      </c>
      <c r="E4" s="34">
        <f>SUM(Financials!U3:X3)</f>
        <v/>
      </c>
      <c r="F4" s="34">
        <f>SUM(Financials!Y3:AB3)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SUM(Financials!I5:L5)</f>
        <v/>
      </c>
      <c r="C10" s="34">
        <f>SUM(Financials!M5:P5)</f>
        <v/>
      </c>
      <c r="D10" s="34">
        <f>SUM(Financials!Q5:T5)</f>
        <v/>
      </c>
      <c r="E10" s="34">
        <f>SUM(Financials!U5:X5)</f>
        <v/>
      </c>
      <c r="F10" s="34">
        <f>SUM(Financials!Y5:AB5)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0.601107200387797</v>
      </c>
      <c r="H11" s="15" t="n">
        <v>0.601107200387797</v>
      </c>
      <c r="I11" s="15" t="n">
        <v>0.601107200387797</v>
      </c>
      <c r="J11" s="15" t="n">
        <v>0.601107200387797</v>
      </c>
      <c r="K11" s="15" t="n">
        <v>0.601107200387797</v>
      </c>
      <c r="L11" s="15" t="n">
        <v>0.601107200387797</v>
      </c>
      <c r="M11" s="15" t="n">
        <v>0.601107200387797</v>
      </c>
      <c r="N11" s="15" t="n">
        <v>0.601107200387797</v>
      </c>
      <c r="O11" s="15" t="n">
        <v>0.601107200387797</v>
      </c>
      <c r="P11" s="15" t="n">
        <v>0.601107200387797</v>
      </c>
    </row>
    <row r="12">
      <c r="A12" s="4" t="inlineStr">
        <is>
          <t>R&amp;D / Technology</t>
        </is>
      </c>
      <c r="B12" s="34">
        <f>SUM(Financials!I7:L7)</f>
        <v/>
      </c>
      <c r="C12" s="34">
        <f>SUM(Financials!M7:P7)</f>
        <v/>
      </c>
      <c r="D12" s="34">
        <f>SUM(Financials!Q7:T7)</f>
        <v/>
      </c>
      <c r="E12" s="34">
        <f>SUM(Financials!U7:X7)</f>
        <v/>
      </c>
      <c r="F12" s="34">
        <f>SUM(Financials!Y7:AB7)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0.1617970159179974</v>
      </c>
      <c r="H13" s="15" t="n">
        <v>0.1617970159179974</v>
      </c>
      <c r="I13" s="15" t="n">
        <v>0.1617970159179974</v>
      </c>
      <c r="J13" s="15" t="n">
        <v>0.1617970159179974</v>
      </c>
      <c r="K13" s="15" t="n">
        <v>0.1617970159179974</v>
      </c>
      <c r="L13" s="15" t="n">
        <v>0.1617970159179974</v>
      </c>
      <c r="M13" s="15" t="n">
        <v>0.1617970159179974</v>
      </c>
      <c r="N13" s="15" t="n">
        <v>0.1617970159179974</v>
      </c>
      <c r="O13" s="15" t="n">
        <v>0.1617970159179974</v>
      </c>
      <c r="P13" s="15" t="n">
        <v>0.1617970159179974</v>
      </c>
    </row>
    <row r="14">
      <c r="A14" s="4" t="inlineStr">
        <is>
          <t>SG&amp;A</t>
        </is>
      </c>
      <c r="B14" s="34">
        <f>SUM(Financials!I9:L9)</f>
        <v/>
      </c>
      <c r="C14" s="34">
        <f>SUM(Financials!M9:P9)</f>
        <v/>
      </c>
      <c r="D14" s="34">
        <f>SUM(Financials!Q9:T9)</f>
        <v/>
      </c>
      <c r="E14" s="34">
        <f>SUM(Financials!U9:X9)</f>
        <v/>
      </c>
      <c r="F14" s="34">
        <f>SUM(Financials!Y9:AB9)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0.1719334933358941</v>
      </c>
      <c r="H15" s="15" t="n">
        <v>0.1719334933358941</v>
      </c>
      <c r="I15" s="15" t="n">
        <v>0.1719334933358941</v>
      </c>
      <c r="J15" s="15" t="n">
        <v>0.1719334933358941</v>
      </c>
      <c r="K15" s="15" t="n">
        <v>0.1719334933358941</v>
      </c>
      <c r="L15" s="15" t="n">
        <v>0.1719334933358941</v>
      </c>
      <c r="M15" s="15" t="n">
        <v>0.1719334933358941</v>
      </c>
      <c r="N15" s="15" t="n">
        <v>0.1719334933358941</v>
      </c>
      <c r="O15" s="15" t="n">
        <v>0.1719334933358941</v>
      </c>
      <c r="P15" s="15" t="n">
        <v>0.1719334933358941</v>
      </c>
    </row>
    <row r="16">
      <c r="A16" s="4" t="inlineStr">
        <is>
          <t>Other opex (fulfilment, etc.)</t>
        </is>
      </c>
      <c r="B16" s="34">
        <f>B6-(B10+B12+B14)-SUM(Financials!I13:L13)</f>
        <v/>
      </c>
      <c r="C16" s="34">
        <f>C6-(C10+C12+C14)-SUM(Financials!M13:P13)</f>
        <v/>
      </c>
      <c r="D16" s="34">
        <f>D6-(D10+D12+D14)-SUM(Financials!Q13:T13)</f>
        <v/>
      </c>
      <c r="E16" s="34">
        <f>E6-(E10+E12+E14)-SUM(Financials!U13:X13)</f>
        <v/>
      </c>
      <c r="F16" s="34">
        <f>F6-(F10+F12+F14)-SUM(Financials!Y13:AB13)</f>
        <v/>
      </c>
      <c r="G16" s="34">
        <f>G6*(1-(Dashboard!$B$29+(Dashboard!$B$30-Dashboard!$B$29)*MIN(1,0/3)))-(G10+G12+G14)</f>
        <v/>
      </c>
      <c r="H16" s="34">
        <f>H6*(1-(Dashboard!$B$29+(Dashboard!$B$30-Dashboard!$B$29)*MIN(1,1/3)))-(H10+H12+H14)</f>
        <v/>
      </c>
      <c r="I16" s="34">
        <f>I6*(1-(Dashboard!$B$29+(Dashboard!$B$30-Dashboard!$B$29)*MIN(1,2/3)))-(I10+I12+I14)</f>
        <v/>
      </c>
      <c r="J16" s="34">
        <f>J6*(1-(Dashboard!$B$29+(Dashboard!$B$30-Dashboard!$B$29)*MIN(1,3/3)))-(J10+J12+J14)</f>
        <v/>
      </c>
      <c r="K16" s="34">
        <f>K6*(1-(Dashboard!$B$29+(Dashboard!$B$30-Dashboard!$B$29)*MIN(1,4/3)))-(K10+K12+K14)</f>
        <v/>
      </c>
      <c r="L16" s="34">
        <f>L6*(1-(Dashboard!$B$29+(Dashboard!$B$30-Dashboard!$B$29)*MIN(1,5/3)))-(L10+L12+L14)</f>
        <v/>
      </c>
      <c r="M16" s="34">
        <f>M6*(1-(Dashboard!$B$29+(Dashboard!$B$30-Dashboard!$B$29)*MIN(1,6/3)))-(M10+M12+M14)</f>
        <v/>
      </c>
      <c r="N16" s="34">
        <f>N6*(1-(Dashboard!$B$29+(Dashboard!$B$30-Dashboard!$B$29)*MIN(1,7/3)))-(N10+N12+N14)</f>
        <v/>
      </c>
      <c r="O16" s="34">
        <f>O6*(1-(Dashboard!$B$29+(Dashboard!$B$30-Dashboard!$B$29)*MIN(1,8/3)))-(O10+O12+O14)</f>
        <v/>
      </c>
      <c r="P16" s="34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SUM(Financials!I37:L37)</f>
        <v/>
      </c>
      <c r="C24" s="34">
        <f>SUM(Financials!M37:P37)</f>
        <v/>
      </c>
      <c r="D24" s="34">
        <f>SUM(Financials!Q37:T37)</f>
        <v/>
      </c>
      <c r="E24" s="34">
        <f>SUM(Financials!U37:X37)</f>
        <v/>
      </c>
      <c r="F24" s="34">
        <f>SUM(Financials!Y37:AB37)</f>
        <v/>
      </c>
      <c r="G24" s="42">
        <f>G6*0.0294</f>
        <v/>
      </c>
      <c r="H24" s="42">
        <f>H6*0.0294</f>
        <v/>
      </c>
      <c r="I24" s="42">
        <f>I6*0.0294</f>
        <v/>
      </c>
      <c r="J24" s="42">
        <f>J6*0.0294</f>
        <v/>
      </c>
      <c r="K24" s="42">
        <f>K6*0.0294</f>
        <v/>
      </c>
      <c r="L24" s="42">
        <f>L6*0.0294</f>
        <v/>
      </c>
      <c r="M24" s="42">
        <f>M6*0.0294</f>
        <v/>
      </c>
      <c r="N24" s="42">
        <f>N6*0.0294</f>
        <v/>
      </c>
      <c r="O24" s="42">
        <f>O6*0.0294</f>
        <v/>
      </c>
      <c r="P24" s="42">
        <f>P6*0.0294</f>
        <v/>
      </c>
    </row>
    <row r="25">
      <c r="A25" s="4" t="inlineStr">
        <is>
          <t>+ SBC (non-cash)</t>
        </is>
      </c>
      <c r="B25" s="34">
        <f>SUM(Financials!I38:L38)</f>
        <v/>
      </c>
      <c r="C25" s="34">
        <f>SUM(Financials!M38:P38)</f>
        <v/>
      </c>
      <c r="D25" s="34">
        <f>SUM(Financials!Q38:T38)</f>
        <v/>
      </c>
      <c r="E25" s="34">
        <f>SUM(Financials!U38:X38)</f>
        <v/>
      </c>
      <c r="F25" s="34">
        <f>SUM(Financials!Y38:AB38)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-SUM(Financials!I41:L41)</f>
        <v/>
      </c>
      <c r="C27" s="34">
        <f>-SUM(Financials!M41:P41)</f>
        <v/>
      </c>
      <c r="D27" s="34">
        <f>-SUM(Financials!Q41:T41)</f>
        <v/>
      </c>
      <c r="E27" s="34">
        <f>-SUM(Financials!U41:X41)</f>
        <v/>
      </c>
      <c r="F27" s="34">
        <f>-SUM(Financials!Y41:AB41)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Financials!L35+Financials!L34-Financials!L29</f>
        <v/>
      </c>
      <c r="C34" s="34">
        <f>Financials!P35+Financials!P34-Financials!P29</f>
        <v/>
      </c>
      <c r="D34" s="34">
        <f>Financials!T35+Financials!T34-Financials!T29</f>
        <v/>
      </c>
      <c r="E34" s="34">
        <f>Financials!X35+Financials!X34-Financials!X29</f>
        <v/>
      </c>
      <c r="F34" s="34">
        <f>Financials!AB35+Financials!AB34-Financials!AB29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Financials!L35</f>
        <v/>
      </c>
      <c r="C35" s="34">
        <f>Financials!P35</f>
        <v/>
      </c>
      <c r="D35" s="34">
        <f>Financials!T35</f>
        <v/>
      </c>
      <c r="E35" s="34">
        <f>Financials!X35</f>
        <v/>
      </c>
      <c r="F35" s="34">
        <f>Financials!AB35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865.011</v>
      </c>
      <c r="C3" s="18" t="n">
        <v>960.606</v>
      </c>
      <c r="D3" s="18" t="n">
        <v>967.987</v>
      </c>
      <c r="E3" s="18" t="n">
        <v>832.912</v>
      </c>
      <c r="F3" s="18" t="n">
        <v>894.053</v>
      </c>
      <c r="G3" s="18" t="n">
        <v>976.712</v>
      </c>
      <c r="H3" s="18" t="n">
        <v>828.48</v>
      </c>
      <c r="I3" s="18" t="n">
        <v>757.13</v>
      </c>
      <c r="J3" s="18" t="n">
        <v>833.927</v>
      </c>
      <c r="K3" s="18" t="n">
        <v>988.141</v>
      </c>
      <c r="L3" s="18" t="n">
        <v>1041.486</v>
      </c>
      <c r="M3" s="18" t="n">
        <v>844.443</v>
      </c>
      <c r="N3" s="18" t="n">
        <v>949.227</v>
      </c>
      <c r="O3" s="18" t="n">
        <v>867.981</v>
      </c>
      <c r="P3" s="18" t="n">
        <v>971.01</v>
      </c>
      <c r="Q3" s="18" t="n">
        <v>1056.521</v>
      </c>
      <c r="R3" s="18" t="n">
        <v>1132.655</v>
      </c>
      <c r="S3" s="18" t="n">
        <v>1067.886</v>
      </c>
      <c r="T3" s="18" t="n">
        <v>1129.487</v>
      </c>
      <c r="U3" s="18" t="n">
        <v>1037.709</v>
      </c>
      <c r="V3" s="18" t="n">
        <v>910.826</v>
      </c>
      <c r="W3" s="18" t="n">
        <v>942.308</v>
      </c>
      <c r="X3" s="18" t="n">
        <v>1124.112</v>
      </c>
      <c r="Y3" s="18" t="n">
        <v>1072.26</v>
      </c>
      <c r="Z3" s="18" t="n">
        <v>1125.878</v>
      </c>
      <c r="AA3" s="18" t="n">
        <v>1219.385</v>
      </c>
      <c r="AB3" s="18" t="n">
        <v>1351.984</v>
      </c>
      <c r="AC3" s="18" t="n">
        <v>1427.042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517.345</v>
      </c>
      <c r="C5" s="18" t="n">
        <v>563.859</v>
      </c>
      <c r="D5" s="18" t="n">
        <v>576.018</v>
      </c>
      <c r="E5" s="18" t="n">
        <v>494.012</v>
      </c>
      <c r="F5" s="18" t="n">
        <v>509.165</v>
      </c>
      <c r="G5" s="18" t="n">
        <v>539.86</v>
      </c>
      <c r="H5" s="18" t="n">
        <v>453.52</v>
      </c>
      <c r="I5" s="18" t="n">
        <v>428.337</v>
      </c>
      <c r="J5" s="18" t="n">
        <v>451.634</v>
      </c>
      <c r="K5" s="18" t="n">
        <v>544.181</v>
      </c>
      <c r="L5" s="18" t="n">
        <v>594.518</v>
      </c>
      <c r="M5" s="18" t="n">
        <v>492.827</v>
      </c>
      <c r="N5" s="18" t="n">
        <v>578.7430000000001</v>
      </c>
      <c r="O5" s="18" t="n">
        <v>558.371</v>
      </c>
      <c r="P5" s="18" t="n">
        <v>570.809</v>
      </c>
      <c r="Q5" s="18" t="n">
        <v>630.224</v>
      </c>
      <c r="R5" s="18" t="n">
        <v>678.5119999999999</v>
      </c>
      <c r="S5" s="18" t="n">
        <v>651.742</v>
      </c>
      <c r="T5" s="18" t="n">
        <v>677.135</v>
      </c>
      <c r="U5" s="18" t="n">
        <v>600.807</v>
      </c>
      <c r="V5" s="18" t="n">
        <v>553.3200000000001</v>
      </c>
      <c r="W5" s="18" t="n">
        <v>568.529</v>
      </c>
      <c r="X5" s="18" t="n">
        <v>695.124</v>
      </c>
      <c r="Y5" s="18" t="n">
        <v>631.663</v>
      </c>
      <c r="Z5" s="18" t="n">
        <v>704.677</v>
      </c>
      <c r="AA5" s="18" t="n">
        <v>749.728</v>
      </c>
      <c r="AB5" s="18" t="n">
        <v>780.917</v>
      </c>
      <c r="AC5" s="18" t="n">
        <v>806.258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116.487</v>
      </c>
      <c r="C7" s="18" t="n">
        <v>117.804</v>
      </c>
      <c r="D7" s="18" t="n">
        <v>119.152</v>
      </c>
      <c r="E7" s="18" t="n">
        <v>105.118</v>
      </c>
      <c r="F7" s="18" t="n">
        <v>108.931</v>
      </c>
      <c r="G7" s="18" t="n">
        <v>108.232</v>
      </c>
      <c r="H7" s="18" t="n">
        <v>113.699</v>
      </c>
      <c r="I7" s="18" t="n">
        <v>109.553</v>
      </c>
      <c r="J7" s="18" t="n">
        <v>86.139</v>
      </c>
      <c r="K7" s="18" t="n">
        <v>121.602</v>
      </c>
      <c r="L7" s="18" t="n">
        <v>123.139</v>
      </c>
      <c r="M7" s="18" t="n">
        <v>124.756</v>
      </c>
      <c r="N7" s="18" t="n">
        <v>136.947</v>
      </c>
      <c r="O7" s="18" t="n">
        <v>127.775</v>
      </c>
      <c r="P7" s="18" t="n">
        <v>139.256</v>
      </c>
      <c r="Q7" s="18" t="n">
        <v>159.522</v>
      </c>
      <c r="R7" s="18" t="n">
        <v>166.298</v>
      </c>
      <c r="S7" s="18" t="n">
        <v>166.082</v>
      </c>
      <c r="T7" s="18" t="n">
        <v>166.093</v>
      </c>
      <c r="U7" s="18" t="n">
        <v>164.461</v>
      </c>
      <c r="V7" s="18" t="n">
        <v>172.172</v>
      </c>
      <c r="W7" s="18" t="n">
        <v>165.907</v>
      </c>
      <c r="X7" s="18" t="n">
        <v>172.111</v>
      </c>
      <c r="Y7" s="18" t="n">
        <v>167.984</v>
      </c>
      <c r="Z7" s="18" t="n">
        <v>189.776</v>
      </c>
      <c r="AA7" s="18" t="n">
        <v>185.032</v>
      </c>
      <c r="AB7" s="18" t="n">
        <v>228.9</v>
      </c>
      <c r="AC7" s="18" t="n">
        <v>221.458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145.656</v>
      </c>
      <c r="C9" s="18" t="n">
        <v>146.925</v>
      </c>
      <c r="D9" s="18" t="n">
        <v>167.508</v>
      </c>
      <c r="E9" s="18" t="n">
        <v>149.534</v>
      </c>
      <c r="F9" s="18" t="n">
        <v>143.244</v>
      </c>
      <c r="G9" s="18" t="n">
        <v>136.398</v>
      </c>
      <c r="H9" s="18" t="n">
        <v>156.797</v>
      </c>
      <c r="I9" s="18" t="n">
        <v>137.271</v>
      </c>
      <c r="J9" s="18" t="n">
        <v>154.022</v>
      </c>
      <c r="K9" s="18" t="n">
        <v>163.787</v>
      </c>
      <c r="L9" s="18" t="n">
        <v>179.008</v>
      </c>
      <c r="M9" s="18" t="n">
        <v>163.379</v>
      </c>
      <c r="N9" s="18" t="n">
        <v>165.511</v>
      </c>
      <c r="O9" s="18" t="n">
        <v>147.001</v>
      </c>
      <c r="P9" s="18" t="n">
        <v>170.056</v>
      </c>
      <c r="Q9" s="18" t="n">
        <v>174.703</v>
      </c>
      <c r="R9" s="18" t="n">
        <v>176.022</v>
      </c>
      <c r="S9" s="18" t="n">
        <v>167.615</v>
      </c>
      <c r="T9" s="18" t="n">
        <v>187.748</v>
      </c>
      <c r="U9" s="18" t="n">
        <v>182.841</v>
      </c>
      <c r="V9" s="18" t="n">
        <v>173.644</v>
      </c>
      <c r="W9" s="18" t="n">
        <v>179.768</v>
      </c>
      <c r="X9" s="18" t="n">
        <v>195.062</v>
      </c>
      <c r="Y9" s="18" t="n">
        <v>190.406</v>
      </c>
      <c r="Z9" s="18" t="n">
        <v>196.635</v>
      </c>
      <c r="AA9" s="18" t="n">
        <v>209.32</v>
      </c>
      <c r="AB9" s="18" t="n">
        <v>223.677</v>
      </c>
      <c r="AC9" s="18" t="n">
        <v>208.11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347.666</v>
      </c>
      <c r="C11" s="18" t="n">
        <v>396.747</v>
      </c>
      <c r="D11" s="18" t="n">
        <v>391.969</v>
      </c>
      <c r="E11" s="18" t="n">
        <v>338.9</v>
      </c>
      <c r="F11" s="18" t="n">
        <v>384.888</v>
      </c>
      <c r="G11" s="18" t="n">
        <v>436.852</v>
      </c>
      <c r="H11" s="18" t="n">
        <v>374.96</v>
      </c>
      <c r="I11" s="18" t="n">
        <v>328.793</v>
      </c>
      <c r="J11" s="18" t="n">
        <v>382.293</v>
      </c>
      <c r="K11" s="18" t="n">
        <v>443.96</v>
      </c>
      <c r="L11" s="18" t="n">
        <v>446.968</v>
      </c>
      <c r="M11" s="18" t="n">
        <v>351.616</v>
      </c>
      <c r="N11" s="18" t="n">
        <v>370.484</v>
      </c>
      <c r="O11" s="18" t="n">
        <v>309.61</v>
      </c>
      <c r="P11" s="18" t="n">
        <v>400.201</v>
      </c>
      <c r="Q11" s="18" t="n">
        <v>426.297</v>
      </c>
      <c r="R11" s="18" t="n">
        <v>454.143</v>
      </c>
      <c r="S11" s="18" t="n">
        <v>416.144</v>
      </c>
      <c r="T11" s="18" t="n">
        <v>452.352</v>
      </c>
      <c r="U11" s="18" t="n">
        <v>436.902</v>
      </c>
      <c r="V11" s="18" t="n">
        <v>357.506</v>
      </c>
      <c r="W11" s="18" t="n">
        <v>373.779</v>
      </c>
      <c r="X11" s="18" t="n">
        <v>428.988</v>
      </c>
      <c r="Y11" s="18" t="n">
        <v>440.597</v>
      </c>
      <c r="Z11" s="18" t="n">
        <v>421.201</v>
      </c>
      <c r="AA11" s="18" t="n">
        <v>469.657</v>
      </c>
      <c r="AB11" s="18" t="n">
        <v>571.067</v>
      </c>
      <c r="AC11" s="18" t="n">
        <v>620.784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85.523</v>
      </c>
      <c r="C13" s="18" t="n">
        <v>132.018</v>
      </c>
      <c r="D13" s="18" t="n">
        <v>105.309</v>
      </c>
      <c r="E13" s="18" t="n">
        <v>84.248</v>
      </c>
      <c r="F13" s="18" t="n">
        <v>132.713</v>
      </c>
      <c r="G13" s="18" t="n">
        <v>192.222</v>
      </c>
      <c r="H13" s="18" t="n">
        <v>104.464</v>
      </c>
      <c r="I13" s="18" t="n">
        <v>81.96899999999999</v>
      </c>
      <c r="J13" s="18" t="n">
        <v>142.132</v>
      </c>
      <c r="K13" s="18" t="n">
        <v>158.571</v>
      </c>
      <c r="L13" s="18" t="n">
        <v>144.821</v>
      </c>
      <c r="M13" s="18" t="n">
        <v>63.481</v>
      </c>
      <c r="N13" s="18" t="n">
        <v>68.026</v>
      </c>
      <c r="O13" s="18" t="n">
        <v>34.834</v>
      </c>
      <c r="P13" s="18" t="n">
        <v>90.889</v>
      </c>
      <c r="Q13" s="18" t="n">
        <v>92.072</v>
      </c>
      <c r="R13" s="18" t="n">
        <v>111.823</v>
      </c>
      <c r="S13" s="18" t="n">
        <v>82.447</v>
      </c>
      <c r="T13" s="18" t="n">
        <v>98.511</v>
      </c>
      <c r="U13" s="18" t="n">
        <v>89.59999999999999</v>
      </c>
      <c r="V13" s="18" t="n">
        <v>11.69</v>
      </c>
      <c r="W13" s="18" t="n">
        <v>28.104</v>
      </c>
      <c r="X13" s="18" t="n">
        <v>61.815</v>
      </c>
      <c r="Y13" s="18" t="n">
        <v>82.20699999999999</v>
      </c>
      <c r="Z13" s="18" t="n">
        <v>34.79</v>
      </c>
      <c r="AA13" s="18" t="n">
        <v>75.30500000000001</v>
      </c>
      <c r="AB13" s="18" t="n">
        <v>118.49</v>
      </c>
      <c r="AC13" s="18" t="n">
        <v>191.216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52.738</v>
      </c>
      <c r="C15" s="18" t="n">
        <v>86.749</v>
      </c>
      <c r="D15" s="18" t="n">
        <v>80.331</v>
      </c>
      <c r="E15" s="18" t="n">
        <v>62.328</v>
      </c>
      <c r="F15" s="18" t="n">
        <v>91.655</v>
      </c>
      <c r="G15" s="18" t="n">
        <v>142.267</v>
      </c>
      <c r="H15" s="18" t="n">
        <v>65.041</v>
      </c>
      <c r="I15" s="18" t="n">
        <v>55.348</v>
      </c>
      <c r="J15" s="18" t="n">
        <v>103.117</v>
      </c>
      <c r="K15" s="18" t="n">
        <v>238.232</v>
      </c>
      <c r="L15" s="18" t="n">
        <v>103.499</v>
      </c>
      <c r="M15" s="18" t="n">
        <v>45.823</v>
      </c>
      <c r="N15" s="18" t="n">
        <v>38.922</v>
      </c>
      <c r="O15" s="18" t="n">
        <v>10.512</v>
      </c>
      <c r="P15" s="18" t="n">
        <v>57.645</v>
      </c>
      <c r="Q15" s="18" t="n">
        <v>76.241</v>
      </c>
      <c r="R15" s="18" t="n">
        <v>57.654</v>
      </c>
      <c r="S15" s="18" t="n">
        <v>29.733</v>
      </c>
      <c r="T15" s="18" t="n">
        <v>91.199</v>
      </c>
      <c r="U15" s="18" t="n">
        <v>49.547</v>
      </c>
      <c r="V15" s="18" t="n">
        <v>-16.849</v>
      </c>
      <c r="W15" s="18" t="n">
        <v>14.23</v>
      </c>
      <c r="X15" s="18" t="n">
        <v>37.028</v>
      </c>
      <c r="Y15" s="18" t="n">
        <v>44.572</v>
      </c>
      <c r="Z15" s="18" t="n">
        <v>8.968999999999999</v>
      </c>
      <c r="AA15" s="18" t="n">
        <v>50.308</v>
      </c>
      <c r="AB15" s="18" t="n">
        <v>19.489</v>
      </c>
      <c r="AC15" s="18" t="n">
        <v>150.283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158.289</v>
      </c>
      <c r="C17" s="18" t="n">
        <v>157.455</v>
      </c>
      <c r="D17" s="18" t="n">
        <v>156.612</v>
      </c>
      <c r="E17" s="18" t="n">
        <v>155.738</v>
      </c>
      <c r="F17" s="18" t="n">
        <v>155.141</v>
      </c>
      <c r="G17" s="18" t="n">
        <v>156.318</v>
      </c>
      <c r="H17" s="18" t="n">
        <v>156.563</v>
      </c>
      <c r="I17" s="18" t="n">
        <v>156.583</v>
      </c>
      <c r="J17" s="18" t="n">
        <v>156.876</v>
      </c>
      <c r="K17" s="18" t="n">
        <v>156.744</v>
      </c>
      <c r="L17" s="18" t="n">
        <v>156.689</v>
      </c>
      <c r="M17" s="18" t="n">
        <v>155.807</v>
      </c>
      <c r="N17" s="18" t="n">
        <v>153.344</v>
      </c>
      <c r="O17" s="18" t="n">
        <v>150.463</v>
      </c>
      <c r="P17" s="18" t="n">
        <v>149.111</v>
      </c>
      <c r="Q17" s="18" t="n">
        <v>149.551</v>
      </c>
      <c r="R17" s="18" t="n">
        <v>150.147</v>
      </c>
      <c r="S17" s="18" t="n">
        <v>149.977</v>
      </c>
      <c r="T17" s="18" t="n">
        <v>147.891</v>
      </c>
      <c r="U17" s="18" t="n">
        <v>145.848</v>
      </c>
      <c r="V17" s="18" t="n">
        <v>144.914</v>
      </c>
      <c r="W17" s="18" t="n">
        <v>145.361</v>
      </c>
      <c r="X17" s="18" t="n">
        <v>145.964</v>
      </c>
      <c r="Y17" s="18" t="n">
        <v>145.944</v>
      </c>
      <c r="Z17" s="18" t="n">
        <v>144.972</v>
      </c>
      <c r="AA17" s="18" t="n">
        <v>144.499</v>
      </c>
      <c r="AB17" s="18" t="n">
        <v>145.47</v>
      </c>
      <c r="AC17" s="18" t="n">
        <v>145.799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North America</t>
        </is>
      </c>
      <c r="C19" s="18" t="n">
        <v>617</v>
      </c>
      <c r="O19" s="18" t="n">
        <v>617.366</v>
      </c>
      <c r="Q19" s="18" t="n">
        <v>765.096</v>
      </c>
      <c r="R19" s="18" t="n">
        <v>794.359</v>
      </c>
      <c r="S19" s="18" t="n">
        <v>749.479</v>
      </c>
      <c r="T19" s="18" t="n">
        <v>801.413</v>
      </c>
      <c r="U19" s="18" t="n">
        <v>718.198</v>
      </c>
      <c r="V19" s="18" t="n">
        <v>662.877</v>
      </c>
      <c r="W19" s="18" t="n">
        <v>718.605</v>
      </c>
      <c r="X19" s="18" t="n">
        <v>852.235</v>
      </c>
      <c r="Y19" s="18" t="n">
        <v>795.6319999999999</v>
      </c>
      <c r="Z19" s="18" t="n">
        <v>833.822</v>
      </c>
      <c r="AA19" s="18" t="n">
        <v>923.627</v>
      </c>
      <c r="AC19" s="18" t="n">
        <v>1118.223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EMEA</t>
        </is>
      </c>
      <c r="B22" s="18" t="n">
        <v>114.993</v>
      </c>
      <c r="C22" s="18" t="n">
        <v>169.532</v>
      </c>
      <c r="D22" s="18" t="n">
        <v>153.003</v>
      </c>
      <c r="E22" s="18" t="n">
        <v>129.965</v>
      </c>
      <c r="F22" s="18" t="n">
        <v>141.431</v>
      </c>
      <c r="G22" s="18" t="n">
        <v>162.465</v>
      </c>
      <c r="H22" s="18" t="n">
        <v>157.607</v>
      </c>
      <c r="I22" s="18" t="n">
        <v>155.418</v>
      </c>
      <c r="J22" s="18" t="n">
        <v>155.054</v>
      </c>
      <c r="K22" s="18" t="n">
        <v>189.18</v>
      </c>
      <c r="L22" s="18" t="n">
        <v>170.81</v>
      </c>
      <c r="M22" s="18" t="n">
        <v>150.785</v>
      </c>
      <c r="N22" s="18" t="n">
        <v>145.106</v>
      </c>
      <c r="O22" s="18" t="n">
        <v>124.185</v>
      </c>
      <c r="P22" s="18" t="n">
        <v>135.139</v>
      </c>
      <c r="Q22" s="18" t="n">
        <v>152.804</v>
      </c>
      <c r="R22" s="18" t="n">
        <v>173.414</v>
      </c>
      <c r="S22" s="18" t="n">
        <v>152.834</v>
      </c>
      <c r="T22" s="18" t="n">
        <v>164.09</v>
      </c>
      <c r="U22" s="18" t="n">
        <v>207.413</v>
      </c>
      <c r="V22" s="18" t="n">
        <v>155.791</v>
      </c>
      <c r="W22" s="18" t="n">
        <v>135.009</v>
      </c>
      <c r="X22" s="18" t="n">
        <v>150.657</v>
      </c>
      <c r="Y22" s="18" t="n">
        <v>157.916</v>
      </c>
      <c r="Z22" s="18" t="n">
        <v>191.585</v>
      </c>
      <c r="AA22" s="18" t="n">
        <v>186.018</v>
      </c>
      <c r="AC22" s="18" t="n">
        <v>200.587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Asia Pacific</t>
        </is>
      </c>
      <c r="E25" s="18" t="n">
        <v>128.943</v>
      </c>
      <c r="F25" s="18" t="n">
        <v>102.241</v>
      </c>
      <c r="G25" s="18" t="n">
        <v>100.907</v>
      </c>
      <c r="H25" s="18" t="n">
        <v>139.32</v>
      </c>
      <c r="I25" s="18" t="n">
        <v>105.101</v>
      </c>
      <c r="J25" s="18" t="n">
        <v>91.398</v>
      </c>
      <c r="K25" s="18" t="n">
        <v>106.108</v>
      </c>
      <c r="L25" s="18" t="n">
        <v>121.996</v>
      </c>
      <c r="M25" s="18" t="n">
        <v>98.514</v>
      </c>
      <c r="N25" s="18" t="n">
        <v>103.281</v>
      </c>
      <c r="O25" s="18" t="n">
        <v>126.43</v>
      </c>
      <c r="P25" s="18" t="n">
        <v>112.381</v>
      </c>
      <c r="Q25" s="18" t="n">
        <v>138.621</v>
      </c>
      <c r="R25" s="18" t="n">
        <v>164.882</v>
      </c>
      <c r="S25" s="18" t="n">
        <v>165.573</v>
      </c>
      <c r="T25" s="18" t="n">
        <v>163.984</v>
      </c>
      <c r="U25" s="18" t="n">
        <v>112.098</v>
      </c>
      <c r="V25" s="18" t="n">
        <v>92.158</v>
      </c>
      <c r="W25" s="18" t="n">
        <v>88.694</v>
      </c>
      <c r="X25" s="18" t="n">
        <v>121.22</v>
      </c>
      <c r="Y25" s="18" t="n">
        <v>118.712</v>
      </c>
      <c r="Z25" s="18" t="n">
        <v>100.471</v>
      </c>
      <c r="AA25" s="18" t="n">
        <v>109.74</v>
      </c>
      <c r="AC25" s="18" t="n">
        <v>108.232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818.475</v>
      </c>
      <c r="C29" s="18" t="n">
        <v>842.899</v>
      </c>
      <c r="D29" s="18" t="n">
        <v>1013.985</v>
      </c>
      <c r="E29" s="18" t="n">
        <v>947.353</v>
      </c>
      <c r="F29" s="18" t="n">
        <v>988.474</v>
      </c>
      <c r="G29" s="18" t="n">
        <v>1164.153</v>
      </c>
      <c r="H29" s="18" t="n">
        <v>1239.291</v>
      </c>
      <c r="I29" s="18" t="n">
        <v>1180.671</v>
      </c>
      <c r="J29" s="18" t="n">
        <v>1354.79</v>
      </c>
      <c r="K29" s="18" t="n">
        <v>1412.451</v>
      </c>
      <c r="L29" s="18" t="n">
        <v>1604.029</v>
      </c>
      <c r="M29" s="18" t="n">
        <v>1579.004</v>
      </c>
      <c r="N29" s="18" t="n">
        <v>1549.415</v>
      </c>
      <c r="O29" s="18" t="n">
        <v>1181.51</v>
      </c>
      <c r="P29" s="18" t="n">
        <v>1148.341</v>
      </c>
      <c r="Q29" s="18" t="n">
        <v>1154.973</v>
      </c>
      <c r="R29" s="18" t="n">
        <v>1318.159</v>
      </c>
      <c r="S29" s="18" t="n">
        <v>1259.765</v>
      </c>
      <c r="T29" s="18" t="n">
        <v>1115.371</v>
      </c>
      <c r="U29" s="18" t="n">
        <v>1371.429</v>
      </c>
      <c r="V29" s="18" t="n">
        <v>1256.909</v>
      </c>
      <c r="W29" s="18" t="n">
        <v>1101.175</v>
      </c>
      <c r="X29" s="18" t="n">
        <v>1251.206</v>
      </c>
      <c r="Y29" s="18" t="n">
        <v>1212.069</v>
      </c>
      <c r="Z29" s="18" t="n">
        <v>1253.948</v>
      </c>
      <c r="AA29" s="18" t="n">
        <v>1326.356</v>
      </c>
      <c r="AB29" s="18" t="n">
        <v>1308.1</v>
      </c>
      <c r="AC29" s="18" t="n">
        <v>1299.728</v>
      </c>
    </row>
    <row r="30">
      <c r="A30" s="4" t="inlineStr">
        <is>
          <t>Total Current Assets</t>
        </is>
      </c>
      <c r="B30" s="18" t="n">
        <v>2178.168</v>
      </c>
      <c r="C30" s="18" t="n">
        <v>2291.232</v>
      </c>
      <c r="D30" s="18" t="n">
        <v>2370</v>
      </c>
      <c r="E30" s="18" t="n">
        <v>2256.735</v>
      </c>
      <c r="F30" s="18" t="n">
        <v>2330.164</v>
      </c>
      <c r="G30" s="18" t="n">
        <v>2558.197</v>
      </c>
      <c r="H30" s="18" t="n">
        <v>2599.259</v>
      </c>
      <c r="I30" s="18" t="n">
        <v>2585.322</v>
      </c>
      <c r="J30" s="18" t="n">
        <v>2794.032</v>
      </c>
      <c r="K30" s="18" t="n">
        <v>2983.797</v>
      </c>
      <c r="L30" s="18" t="n">
        <v>3166.889</v>
      </c>
      <c r="M30" s="18" t="n">
        <v>3164.114</v>
      </c>
      <c r="N30" s="18" t="n">
        <v>3228.244</v>
      </c>
      <c r="O30" s="18" t="n">
        <v>3187.802</v>
      </c>
      <c r="P30" s="18" t="n">
        <v>3385.896</v>
      </c>
      <c r="Q30" s="18" t="n">
        <v>3762.569</v>
      </c>
      <c r="R30" s="18" t="n">
        <v>3868.626</v>
      </c>
      <c r="S30" s="18" t="n">
        <v>3785.598</v>
      </c>
      <c r="T30" s="18" t="n">
        <v>3551.283</v>
      </c>
      <c r="U30" s="18" t="n">
        <v>3585.81</v>
      </c>
      <c r="V30" s="18" t="n">
        <v>3521.326</v>
      </c>
      <c r="W30" s="18" t="n">
        <v>3518.621</v>
      </c>
      <c r="X30" s="18" t="n">
        <v>3523.51</v>
      </c>
      <c r="Y30" s="18" t="n">
        <v>3491.711</v>
      </c>
      <c r="Z30" s="18" t="n">
        <v>3564.325</v>
      </c>
      <c r="AA30" s="18" t="n">
        <v>3686.223</v>
      </c>
      <c r="AB30" s="18" t="n">
        <v>3565.507</v>
      </c>
      <c r="AC30" s="18" t="n">
        <v>3540.877</v>
      </c>
    </row>
    <row r="31">
      <c r="A31" s="4" t="inlineStr">
        <is>
          <t>PP&amp;E (net)</t>
        </is>
      </c>
      <c r="B31" s="18" t="n">
        <v>282.022</v>
      </c>
      <c r="C31" s="18" t="n">
        <v>280.63</v>
      </c>
      <c r="D31" s="18" t="n">
        <v>286.884</v>
      </c>
      <c r="E31" s="18" t="n">
        <v>327.887</v>
      </c>
      <c r="F31" s="18" t="n">
        <v>308.731</v>
      </c>
      <c r="G31" s="18" t="n">
        <v>315.569</v>
      </c>
      <c r="H31" s="18" t="n">
        <v>329.403</v>
      </c>
      <c r="I31" s="18" t="n">
        <v>335.472</v>
      </c>
      <c r="J31" s="18" t="n">
        <v>349.326</v>
      </c>
      <c r="K31" s="18" t="n">
        <v>337.874</v>
      </c>
      <c r="L31" s="18" t="n">
        <v>329.253</v>
      </c>
      <c r="M31" s="18" t="n">
        <v>319.46</v>
      </c>
      <c r="N31" s="18" t="n">
        <v>324.215</v>
      </c>
      <c r="O31" s="18" t="n">
        <v>327.142</v>
      </c>
      <c r="P31" s="18" t="n">
        <v>312.887</v>
      </c>
      <c r="Q31" s="18" t="n">
        <v>327.423</v>
      </c>
      <c r="R31" s="18" t="n">
        <v>319.463</v>
      </c>
      <c r="S31" s="18" t="n">
        <v>327.937</v>
      </c>
      <c r="T31" s="18" t="n">
        <v>315.287</v>
      </c>
      <c r="U31" s="18" t="n">
        <v>316.036</v>
      </c>
      <c r="V31" s="18" t="n">
        <v>304.563</v>
      </c>
      <c r="W31" s="18" t="n">
        <v>327.878</v>
      </c>
      <c r="X31" s="18" t="n">
        <v>365.139</v>
      </c>
      <c r="Y31" s="18" t="n">
        <v>25.113</v>
      </c>
      <c r="Z31" s="18" t="n">
        <v>388.004</v>
      </c>
      <c r="AA31" s="18" t="n">
        <v>40.347</v>
      </c>
      <c r="AB31" s="18" t="n">
        <v>38.613</v>
      </c>
      <c r="AC31" s="18" t="n">
        <v>40.484</v>
      </c>
    </row>
    <row r="32">
      <c r="A32" s="4" t="inlineStr">
        <is>
          <t>Total Assets</t>
        </is>
      </c>
      <c r="B32" s="18" t="n">
        <v>3686.778</v>
      </c>
      <c r="C32" s="18" t="n">
        <v>3775.708</v>
      </c>
      <c r="D32" s="18" t="n">
        <v>3893.346</v>
      </c>
      <c r="E32" s="18" t="n">
        <v>3830.887</v>
      </c>
      <c r="F32" s="18" t="n">
        <v>3856.762</v>
      </c>
      <c r="G32" s="18" t="n">
        <v>4055.188</v>
      </c>
      <c r="H32" s="18" t="n">
        <v>4180.917</v>
      </c>
      <c r="I32" s="18" t="n">
        <v>4186.897</v>
      </c>
      <c r="J32" s="18" t="n">
        <v>4388.013</v>
      </c>
      <c r="K32" s="18" t="n">
        <v>4655.868</v>
      </c>
      <c r="L32" s="18" t="n">
        <v>4865.227</v>
      </c>
      <c r="M32" s="18" t="n">
        <v>4900.362</v>
      </c>
      <c r="N32" s="18" t="n">
        <v>4964.129</v>
      </c>
      <c r="O32" s="18" t="n">
        <v>4900.782</v>
      </c>
      <c r="P32" s="18" t="n">
        <v>5069.632</v>
      </c>
      <c r="Q32" s="18" t="n">
        <v>5672.497</v>
      </c>
      <c r="R32" s="18" t="n">
        <v>5775.638</v>
      </c>
      <c r="S32" s="18" t="n">
        <v>5723.214</v>
      </c>
      <c r="T32" s="18" t="n">
        <v>5601.495</v>
      </c>
      <c r="U32" s="18" t="n">
        <v>5593.21</v>
      </c>
      <c r="V32" s="18" t="n">
        <v>5614.803</v>
      </c>
      <c r="W32" s="18" t="n">
        <v>5575.13</v>
      </c>
      <c r="X32" s="18" t="n">
        <v>5641.337</v>
      </c>
      <c r="Y32" s="18" t="n">
        <v>5572.902</v>
      </c>
      <c r="Z32" s="18" t="n">
        <v>5659.366</v>
      </c>
      <c r="AA32" s="18" t="n">
        <v>5748.778</v>
      </c>
      <c r="AB32" s="18" t="n">
        <v>5864.667</v>
      </c>
      <c r="AC32" s="18" t="n">
        <v>5892.359</v>
      </c>
    </row>
    <row r="33">
      <c r="A33" s="4" t="inlineStr">
        <is>
          <t>Total Current Liabilities</t>
        </is>
      </c>
      <c r="B33" s="18" t="n">
        <v>769.379</v>
      </c>
      <c r="C33" s="18" t="n">
        <v>791.035</v>
      </c>
      <c r="D33" s="18" t="n">
        <v>845.9400000000001</v>
      </c>
      <c r="E33" s="18" t="n">
        <v>733.086</v>
      </c>
      <c r="F33" s="18" t="n">
        <v>712.986</v>
      </c>
      <c r="G33" s="18" t="n">
        <v>720.491</v>
      </c>
      <c r="H33" s="18" t="n">
        <v>760.701</v>
      </c>
      <c r="I33" s="18" t="n">
        <v>684.7670000000001</v>
      </c>
      <c r="J33" s="18" t="n">
        <v>782.676</v>
      </c>
      <c r="K33" s="18" t="n">
        <v>827.091</v>
      </c>
      <c r="L33" s="18" t="n">
        <v>909.03</v>
      </c>
      <c r="M33" s="18" t="n">
        <v>760.328</v>
      </c>
      <c r="N33" s="18" t="n">
        <v>868.758</v>
      </c>
      <c r="O33" s="18" t="n">
        <v>915.342</v>
      </c>
      <c r="P33" s="18" t="n">
        <v>1040.583</v>
      </c>
      <c r="Q33" s="18" t="n">
        <v>1018.21</v>
      </c>
      <c r="R33" s="18" t="n">
        <v>1057.929</v>
      </c>
      <c r="S33" s="18" t="n">
        <v>965.741</v>
      </c>
      <c r="T33" s="18" t="n">
        <v>932.021</v>
      </c>
      <c r="U33" s="18" t="n">
        <v>841.306</v>
      </c>
      <c r="V33" s="18" t="n">
        <v>912.191</v>
      </c>
      <c r="W33" s="18" t="n">
        <v>870.559</v>
      </c>
      <c r="X33" s="18" t="n">
        <v>999.84</v>
      </c>
      <c r="Y33" s="18" t="n">
        <v>956.5170000000001</v>
      </c>
      <c r="Z33" s="18" t="n">
        <v>1047.06</v>
      </c>
      <c r="AA33" s="18" t="n">
        <v>1123.479</v>
      </c>
      <c r="AB33" s="18" t="n">
        <v>1308.394</v>
      </c>
      <c r="AC33" s="18" t="n">
        <v>1258.373</v>
      </c>
    </row>
    <row r="34">
      <c r="A34" s="4" t="inlineStr">
        <is>
          <t>Long-term Debt</t>
        </is>
      </c>
      <c r="B34" s="18" t="n">
        <v>683.429</v>
      </c>
      <c r="C34" s="18" t="n">
        <v>681.918</v>
      </c>
      <c r="D34" s="18" t="n">
        <v>680.4059999999999</v>
      </c>
      <c r="E34" s="18" t="n">
        <v>680.7859999999999</v>
      </c>
      <c r="F34" s="18" t="n">
        <v>679.356</v>
      </c>
      <c r="G34" s="18" t="n">
        <v>677.856</v>
      </c>
      <c r="H34" s="18" t="n">
        <v>676.356</v>
      </c>
      <c r="I34" s="18" t="n">
        <v>674.856</v>
      </c>
      <c r="J34" s="18" t="n">
        <v>673.355</v>
      </c>
      <c r="K34" s="18" t="n">
        <v>671.855</v>
      </c>
      <c r="L34" s="18" t="n">
        <v>670.355</v>
      </c>
      <c r="M34" s="18" t="n">
        <v>1065.263</v>
      </c>
      <c r="N34" s="18" t="n">
        <v>1062.182</v>
      </c>
      <c r="O34" s="18" t="n">
        <v>1062.453</v>
      </c>
      <c r="P34" s="18" t="n">
        <v>1061.125</v>
      </c>
      <c r="Q34" s="18" t="n">
        <v>1547.495</v>
      </c>
      <c r="R34" s="18" t="n">
        <v>1546.4</v>
      </c>
      <c r="S34" s="18" t="n">
        <v>1543.9</v>
      </c>
      <c r="T34" s="18" t="n">
        <v>1543.406</v>
      </c>
      <c r="U34" s="18" t="n">
        <v>1543.118</v>
      </c>
      <c r="V34" s="18" t="n">
        <v>1540.639</v>
      </c>
      <c r="W34" s="18" t="n">
        <v>1538.315</v>
      </c>
      <c r="X34" s="18" t="n">
        <v>1533.074</v>
      </c>
      <c r="Y34" s="18" t="n">
        <v>1531.084</v>
      </c>
      <c r="Z34" s="18" t="n">
        <v>1528.776</v>
      </c>
      <c r="AA34" s="18" t="n">
        <v>1526.467</v>
      </c>
      <c r="AB34" s="18" t="n">
        <v>1524.158</v>
      </c>
      <c r="AC34" s="18" t="n">
        <v>1524.744</v>
      </c>
    </row>
    <row r="35">
      <c r="A35" s="4" t="inlineStr">
        <is>
          <t>Total Equity</t>
        </is>
      </c>
      <c r="B35" s="18" t="n">
        <v>2063.199</v>
      </c>
      <c r="C35" s="18" t="n">
        <v>2119.384</v>
      </c>
      <c r="D35" s="18" t="n">
        <v>2172.761</v>
      </c>
      <c r="E35" s="18" t="n">
        <v>2193.65</v>
      </c>
      <c r="F35" s="18" t="n">
        <v>2240.576</v>
      </c>
      <c r="G35" s="18" t="n">
        <v>2428.867</v>
      </c>
      <c r="H35" s="18" t="n">
        <v>2509.597</v>
      </c>
      <c r="I35" s="18" t="n">
        <v>2586.513</v>
      </c>
      <c r="J35" s="18" t="n">
        <v>2693.263</v>
      </c>
      <c r="K35" s="18" t="n">
        <v>2924.236</v>
      </c>
      <c r="L35" s="18" t="n">
        <v>3020.018</v>
      </c>
      <c r="M35" s="18" t="n">
        <v>2814.79</v>
      </c>
      <c r="N35" s="18" t="n">
        <v>2782.422</v>
      </c>
      <c r="O35" s="18" t="n">
        <v>2667.736</v>
      </c>
      <c r="P35" s="18" t="n">
        <v>2712.861</v>
      </c>
      <c r="Q35" s="18" t="n">
        <v>2838.295</v>
      </c>
      <c r="R35" s="18" t="n">
        <v>2908.653</v>
      </c>
      <c r="S35" s="18" t="n">
        <v>2947.007</v>
      </c>
      <c r="T35" s="18" t="n">
        <v>2848.361</v>
      </c>
      <c r="U35" s="18" t="n">
        <v>2923.499</v>
      </c>
      <c r="V35" s="18" t="n">
        <v>2880.256</v>
      </c>
      <c r="W35" s="18" t="n">
        <v>2890.872</v>
      </c>
      <c r="X35" s="18" t="n">
        <v>2816.138</v>
      </c>
      <c r="Y35" s="18" t="n">
        <v>2793.379</v>
      </c>
      <c r="Z35" s="18" t="n">
        <v>2776.379</v>
      </c>
      <c r="AA35" s="18" t="n">
        <v>2787.301</v>
      </c>
      <c r="AB35" s="18" t="n">
        <v>2729.323</v>
      </c>
      <c r="AC35" s="18" t="n">
        <v>2792.358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30.313</v>
      </c>
      <c r="C37" s="18" t="n">
        <v>30.908</v>
      </c>
      <c r="D37" s="18" t="n">
        <v>31.031</v>
      </c>
      <c r="E37" s="18" t="n">
        <v>35.469</v>
      </c>
      <c r="F37" s="18" t="n">
        <v>32.273</v>
      </c>
      <c r="G37" s="18" t="n">
        <v>31.663</v>
      </c>
      <c r="H37" s="18" t="n">
        <v>33.122</v>
      </c>
      <c r="I37" s="18" t="n">
        <v>32.83</v>
      </c>
      <c r="J37" s="18" t="n">
        <v>32.982</v>
      </c>
      <c r="K37" s="18" t="n">
        <v>33.447</v>
      </c>
      <c r="L37" s="18" t="n">
        <v>33.007</v>
      </c>
      <c r="M37" s="18" t="n">
        <v>35.883</v>
      </c>
      <c r="N37" s="18" t="n">
        <v>34.61</v>
      </c>
      <c r="O37" s="18" t="n">
        <v>34.308</v>
      </c>
      <c r="P37" s="18" t="n">
        <v>35.402</v>
      </c>
      <c r="Q37" s="18" t="n">
        <v>32.533</v>
      </c>
      <c r="R37" s="18" t="n">
        <v>36.97</v>
      </c>
      <c r="S37" s="18" t="n">
        <v>35.984</v>
      </c>
      <c r="T37" s="18" t="n">
        <v>36.693</v>
      </c>
      <c r="U37" s="18" t="n">
        <v>32.824</v>
      </c>
      <c r="V37" s="18" t="n">
        <v>33.918</v>
      </c>
      <c r="W37" s="18" t="n">
        <v>32.93</v>
      </c>
      <c r="X37" s="18" t="n">
        <v>33.798</v>
      </c>
      <c r="Y37" s="18" t="n">
        <v>33.457</v>
      </c>
      <c r="Z37" s="18" t="n">
        <v>33.869</v>
      </c>
      <c r="AA37" s="18" t="n">
        <v>35.654</v>
      </c>
      <c r="AB37" s="18" t="n">
        <v>37.358</v>
      </c>
      <c r="AC37" s="18" t="n">
        <v>43.83</v>
      </c>
    </row>
    <row r="38">
      <c r="A38" s="4" t="inlineStr">
        <is>
          <t>Stock-based Compensation</t>
        </is>
      </c>
      <c r="B38" s="18" t="n">
        <v>15.607</v>
      </c>
      <c r="C38" s="18" t="n">
        <v>15.084</v>
      </c>
      <c r="D38" s="18" t="n">
        <v>15.29</v>
      </c>
      <c r="E38" s="18" t="n">
        <v>15.602</v>
      </c>
      <c r="F38" s="18" t="n">
        <v>17.977</v>
      </c>
      <c r="G38" s="18" t="n">
        <v>17.259</v>
      </c>
      <c r="H38" s="18" t="n">
        <v>16.92</v>
      </c>
      <c r="I38" s="18" t="n">
        <v>18.964</v>
      </c>
      <c r="J38" s="18" t="n">
        <v>21.535</v>
      </c>
      <c r="K38" s="18" t="n">
        <v>22.471</v>
      </c>
      <c r="L38" s="18" t="n">
        <v>21.366</v>
      </c>
      <c r="M38" s="18" t="n">
        <v>24.297</v>
      </c>
      <c r="N38" s="18" t="n">
        <v>26.673</v>
      </c>
      <c r="O38" s="18" t="n">
        <v>26.857</v>
      </c>
      <c r="P38" s="18" t="n">
        <v>27.304</v>
      </c>
      <c r="Q38" s="18" t="n">
        <v>30.512</v>
      </c>
      <c r="R38" s="18" t="n">
        <v>31.86</v>
      </c>
      <c r="S38" s="18" t="n">
        <v>33.033</v>
      </c>
      <c r="T38" s="18" t="n">
        <v>35.05</v>
      </c>
      <c r="U38" s="18" t="n">
        <v>37.827</v>
      </c>
      <c r="V38" s="18" t="n">
        <v>40.248</v>
      </c>
      <c r="W38" s="18" t="n">
        <v>37.358</v>
      </c>
      <c r="X38" s="18" t="n">
        <v>40.971</v>
      </c>
      <c r="Y38" s="18" t="n">
        <v>40.806</v>
      </c>
      <c r="Z38" s="18" t="n">
        <v>47.961</v>
      </c>
      <c r="AA38" s="18" t="n">
        <v>46.929</v>
      </c>
      <c r="AB38" s="18" t="n">
        <v>-135.696</v>
      </c>
      <c r="AC38" s="18" t="n">
        <v>49.827</v>
      </c>
    </row>
    <row r="39">
      <c r="A39" s="4" t="inlineStr">
        <is>
          <t>Change in Working Capital</t>
        </is>
      </c>
      <c r="B39" s="18" t="n">
        <v>-13.139</v>
      </c>
      <c r="C39" s="18" t="n">
        <v>-85.529</v>
      </c>
      <c r="D39" s="18" t="n">
        <v>107.934</v>
      </c>
      <c r="E39" s="18" t="n">
        <v>-103.56</v>
      </c>
      <c r="F39" s="18" t="n">
        <v>-88.857</v>
      </c>
      <c r="G39" s="18" t="n">
        <v>-59.786</v>
      </c>
      <c r="H39" s="18" t="n">
        <v>52.341</v>
      </c>
      <c r="I39" s="18" t="n">
        <v>-126.977</v>
      </c>
      <c r="J39" s="18" t="n">
        <v>65.199</v>
      </c>
      <c r="K39" s="18" t="n">
        <v>-103.385</v>
      </c>
      <c r="L39" s="18" t="n">
        <v>97.012</v>
      </c>
      <c r="M39" s="18" t="n">
        <v>-157.649</v>
      </c>
      <c r="N39" s="18" t="n">
        <v>7.174</v>
      </c>
      <c r="O39" s="18" t="n">
        <v>-284.847</v>
      </c>
      <c r="P39" s="18" t="n">
        <v>-136.792</v>
      </c>
      <c r="Q39" s="18" t="n">
        <v>-392.281</v>
      </c>
      <c r="R39" s="18" t="n">
        <v>81.673</v>
      </c>
      <c r="S39" s="18" t="n">
        <v>-42</v>
      </c>
      <c r="T39" s="18" t="n">
        <v>-44.143</v>
      </c>
      <c r="U39" s="18" t="n">
        <v>130.004</v>
      </c>
      <c r="V39" s="18" t="n">
        <v>-17.314</v>
      </c>
      <c r="W39" s="18" t="n">
        <v>-251.718</v>
      </c>
      <c r="X39" s="18" t="n">
        <v>241.788</v>
      </c>
      <c r="Y39" s="18" t="n">
        <v>-7.987</v>
      </c>
      <c r="Z39" s="18" t="n">
        <v>41.702</v>
      </c>
      <c r="AA39" s="18" t="n">
        <v>31.836</v>
      </c>
      <c r="AB39" s="18" t="n">
        <v>154.284</v>
      </c>
      <c r="AC39" s="18" t="n">
        <v>-37.724</v>
      </c>
    </row>
    <row r="40">
      <c r="A40" s="4" t="inlineStr">
        <is>
          <t>Operating Cash Flow</t>
        </is>
      </c>
      <c r="B40" s="18" t="n">
        <v>104.117</v>
      </c>
      <c r="C40" s="18" t="n">
        <v>83.11499999999999</v>
      </c>
      <c r="D40" s="18" t="n">
        <v>240.013</v>
      </c>
      <c r="E40" s="18" t="n">
        <v>39.764</v>
      </c>
      <c r="F40" s="18" t="n">
        <v>91.166</v>
      </c>
      <c r="G40" s="18" t="n">
        <v>175.429</v>
      </c>
      <c r="H40" s="18" t="n">
        <v>187.295</v>
      </c>
      <c r="I40" s="18" t="n">
        <v>-7.319</v>
      </c>
      <c r="J40" s="18" t="n">
        <v>224.978</v>
      </c>
      <c r="K40" s="18" t="n">
        <v>69.09699999999999</v>
      </c>
      <c r="L40" s="18" t="n">
        <v>254.89</v>
      </c>
      <c r="M40" s="18" t="n">
        <v>-54.411</v>
      </c>
      <c r="N40" s="18" t="n">
        <v>106.552</v>
      </c>
      <c r="O40" s="18" t="n">
        <v>-205.39</v>
      </c>
      <c r="P40" s="18" t="n">
        <v>-14.507</v>
      </c>
      <c r="Q40" s="18" t="n">
        <v>-265.639</v>
      </c>
      <c r="R40" s="18" t="n">
        <v>229.811</v>
      </c>
      <c r="S40" s="18" t="n">
        <v>8.688000000000001</v>
      </c>
      <c r="T40" s="18" t="n">
        <v>195.472</v>
      </c>
      <c r="U40" s="18" t="n">
        <v>263.674</v>
      </c>
      <c r="V40" s="18" t="n">
        <v>58.321</v>
      </c>
      <c r="W40" s="18" t="n">
        <v>-159.377</v>
      </c>
      <c r="X40" s="18" t="n">
        <v>349.36</v>
      </c>
      <c r="Y40" s="18" t="n">
        <v>103.723</v>
      </c>
      <c r="Z40" s="18" t="n">
        <v>156.946</v>
      </c>
      <c r="AA40" s="18" t="n">
        <v>174.347</v>
      </c>
      <c r="AB40" s="18" t="n">
        <v>371.077</v>
      </c>
      <c r="AC40" s="18" t="n">
        <v>227.645</v>
      </c>
    </row>
    <row r="41">
      <c r="A41" s="4" t="inlineStr">
        <is>
          <t>Capex</t>
        </is>
      </c>
      <c r="B41" s="18" t="n">
        <v>-19.944</v>
      </c>
      <c r="C41" s="18" t="n">
        <v>-13.774</v>
      </c>
      <c r="D41" s="18" t="n">
        <v>-13.516</v>
      </c>
      <c r="E41" s="18" t="n">
        <v>-26.82</v>
      </c>
      <c r="F41" s="18" t="n">
        <v>-18.638</v>
      </c>
      <c r="G41" s="18" t="n">
        <v>-15.875</v>
      </c>
      <c r="H41" s="18" t="n">
        <v>-21.334</v>
      </c>
      <c r="I41" s="18" t="n">
        <v>-20.868</v>
      </c>
      <c r="J41" s="18" t="n">
        <v>-30.783</v>
      </c>
      <c r="K41" s="18" t="n">
        <v>-15.639</v>
      </c>
      <c r="L41" s="18" t="n">
        <v>-12.26</v>
      </c>
      <c r="M41" s="18" t="n">
        <v>-25.804</v>
      </c>
      <c r="N41" s="18" t="n">
        <v>-19.445</v>
      </c>
      <c r="O41" s="18" t="n">
        <v>-21.659</v>
      </c>
      <c r="P41" s="18" t="n">
        <v>-23.91</v>
      </c>
      <c r="Q41" s="18" t="n">
        <v>-30.03</v>
      </c>
      <c r="R41" s="18" t="n">
        <v>-28.004</v>
      </c>
      <c r="S41" s="18" t="n">
        <v>-25.388</v>
      </c>
      <c r="T41" s="18" t="n">
        <v>-22.775</v>
      </c>
      <c r="U41" s="18" t="n">
        <v>-16.599</v>
      </c>
      <c r="V41" s="18" t="n">
        <v>-16.901</v>
      </c>
      <c r="W41" s="18" t="n">
        <v>-19.598</v>
      </c>
      <c r="X41" s="18" t="n">
        <v>-83.54300000000001</v>
      </c>
      <c r="Y41" s="18" t="n">
        <v>-26.884</v>
      </c>
      <c r="Z41" s="18" t="n">
        <v>-28.738</v>
      </c>
      <c r="AA41" s="18" t="n">
        <v>55.622</v>
      </c>
      <c r="AB41" s="18" t="n">
        <v>-140.801</v>
      </c>
      <c r="AC41" s="18" t="n">
        <v>-73.88500000000001</v>
      </c>
    </row>
    <row r="42">
      <c r="A42" s="4" t="inlineStr">
        <is>
          <t>Free Cash Flow</t>
        </is>
      </c>
      <c r="B42" s="18" t="n">
        <v>84.173</v>
      </c>
      <c r="C42" s="18" t="n">
        <v>69.34099999999999</v>
      </c>
      <c r="D42" s="18" t="n">
        <v>226.497</v>
      </c>
      <c r="E42" s="18" t="n">
        <v>12.944</v>
      </c>
      <c r="F42" s="18" t="n">
        <v>72.52800000000001</v>
      </c>
      <c r="G42" s="18" t="n">
        <v>159.554</v>
      </c>
      <c r="H42" s="18" t="n">
        <v>165.961</v>
      </c>
      <c r="I42" s="18" t="n">
        <v>-28.187</v>
      </c>
      <c r="J42" s="18" t="n">
        <v>194.195</v>
      </c>
      <c r="K42" s="18" t="n">
        <v>53.458</v>
      </c>
      <c r="L42" s="18" t="n">
        <v>242.63</v>
      </c>
      <c r="M42" s="18" t="n">
        <v>-80.215</v>
      </c>
      <c r="N42" s="18" t="n">
        <v>87.107</v>
      </c>
      <c r="O42" s="18" t="n">
        <v>-227.049</v>
      </c>
      <c r="P42" s="18" t="n">
        <v>-38.417</v>
      </c>
      <c r="Q42" s="18" t="n">
        <v>-295.669</v>
      </c>
      <c r="R42" s="18" t="n">
        <v>201.807</v>
      </c>
      <c r="S42" s="18" t="n">
        <v>-16.7</v>
      </c>
      <c r="T42" s="18" t="n">
        <v>172.697</v>
      </c>
      <c r="U42" s="18" t="n">
        <v>247.075</v>
      </c>
      <c r="V42" s="18" t="n">
        <v>41.42</v>
      </c>
      <c r="W42" s="18" t="n">
        <v>-178.975</v>
      </c>
      <c r="X42" s="18" t="n">
        <v>265.817</v>
      </c>
      <c r="Y42" s="18" t="n">
        <v>76.839</v>
      </c>
      <c r="Z42" s="18" t="n">
        <v>128.208</v>
      </c>
      <c r="AA42" s="18" t="n">
        <v>229.969</v>
      </c>
      <c r="AB42" s="18" t="n">
        <v>230.276</v>
      </c>
      <c r="AC42" s="18" t="n">
        <v>153.76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6171.037137</v>
      </c>
      <c r="C4" s="18" t="n">
        <v>7526.933688</v>
      </c>
      <c r="D4" s="18" t="n">
        <v>9560.556210999999</v>
      </c>
      <c r="E4" s="18" t="n">
        <v>11976.062386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  <c r="E5" s="34">
        <f>Model!J6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</row>
    <row r="8">
      <c r="A8" s="3" t="inlineStr">
        <is>
          <t>EBITDA* — consensus</t>
        </is>
      </c>
      <c r="B8" s="18" t="n">
        <v>702.768109</v>
      </c>
      <c r="C8" s="18" t="n">
        <v>857.179893</v>
      </c>
      <c r="D8" s="18" t="n">
        <v>1088.772253</v>
      </c>
      <c r="E8" s="18" t="n">
        <v>1363.854168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  <c r="E9" s="34">
        <f>Model!J19+Model!J24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</row>
    <row r="12">
      <c r="A12" s="3" t="inlineStr">
        <is>
          <t>EBIT* — consensus</t>
        </is>
      </c>
      <c r="B12" s="18" t="n">
        <v>492.698932</v>
      </c>
      <c r="C12" s="18" t="n">
        <v>600.954443</v>
      </c>
      <c r="D12" s="18" t="n">
        <v>763.319962</v>
      </c>
      <c r="E12" s="18" t="n">
        <v>956.175278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  <c r="E13" s="34">
        <f>Model!J19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</row>
    <row r="16">
      <c r="A16" s="3" t="inlineStr">
        <is>
          <t>SG&amp;A — consensus</t>
        </is>
      </c>
      <c r="B16" s="18" t="n">
        <v>1071.284257</v>
      </c>
      <c r="C16" s="18" t="n">
        <v>1306.666187</v>
      </c>
      <c r="D16" s="18" t="n">
        <v>1659.70049</v>
      </c>
      <c r="E16" s="18" t="n">
        <v>2079.029313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  <c r="E17" s="34">
        <f>Model!J14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</row>
    <row r="20">
      <c r="A20" s="3" t="inlineStr">
        <is>
          <t>Net income (NOPAT) — consensus</t>
        </is>
      </c>
      <c r="B20" s="18" t="n">
        <v>892.2185265000001</v>
      </c>
      <c r="C20" s="18" t="n">
        <v>1289.4492955</v>
      </c>
      <c r="D20" s="18" t="n">
        <v>1990.354418</v>
      </c>
      <c r="E20" s="18" t="n">
        <v>0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  <c r="E21" s="34">
        <f>Model!J23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</row>
    <row r="24">
      <c r="A24" s="3" t="inlineStr">
        <is>
          <t>EPS — consensus</t>
        </is>
      </c>
      <c r="B24" s="48" t="n">
        <v>6.15772</v>
      </c>
      <c r="C24" s="48" t="n">
        <v>8.60796</v>
      </c>
      <c r="D24" s="48" t="n">
        <v>12.68006</v>
      </c>
      <c r="E24" s="48" t="n">
        <v>0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Ciena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Financials!AC29</f>
        <v/>
      </c>
    </row>
    <row r="33">
      <c r="A33" s="4" t="inlineStr">
        <is>
          <t>- Long-term debt</t>
        </is>
      </c>
      <c r="B33" s="34">
        <f>-Financials!AC34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0.08246991495106738</v>
      </c>
      <c r="C4" s="52" t="n">
        <v>0.08746991495106739</v>
      </c>
      <c r="D4" s="52" t="n">
        <v>0.09246991495106738</v>
      </c>
      <c r="E4" s="52" t="n">
        <v>0.09746991495106738</v>
      </c>
      <c r="F4" s="52" t="n">
        <v>0.1024699149510674</v>
      </c>
      <c r="G4" s="52" t="n">
        <v>0.1074699149510674</v>
      </c>
      <c r="H4" s="52" t="n">
        <v>0.1124699149510674</v>
      </c>
    </row>
    <row r="5">
      <c r="A5" s="53" t="n">
        <v>8</v>
      </c>
      <c r="B5" s="54" t="n">
        <v>132.242965561028</v>
      </c>
      <c r="C5" s="54" t="n">
        <v>127.1255870176897</v>
      </c>
      <c r="D5" s="54" t="n">
        <v>122.2427448871171</v>
      </c>
      <c r="E5" s="54" t="n">
        <v>117.5823932937195</v>
      </c>
      <c r="F5" s="54" t="n">
        <v>113.133163580668</v>
      </c>
      <c r="G5" s="54" t="n">
        <v>108.8843231545747</v>
      </c>
      <c r="H5" s="54" t="n">
        <v>104.8257370113614</v>
      </c>
    </row>
    <row r="6">
      <c r="A6" s="53" t="n">
        <v>9</v>
      </c>
      <c r="B6" s="54" t="n">
        <v>142.3210768211119</v>
      </c>
      <c r="C6" s="54" t="n">
        <v>136.7497947320567</v>
      </c>
      <c r="D6" s="54" t="n">
        <v>131.4354353668109</v>
      </c>
      <c r="E6" s="54" t="n">
        <v>126.3647537903281</v>
      </c>
      <c r="F6" s="54" t="n">
        <v>121.525251552372</v>
      </c>
      <c r="G6" s="54" t="n">
        <v>116.9051312422399</v>
      </c>
      <c r="H6" s="54" t="n">
        <v>112.4932540080919</v>
      </c>
    </row>
    <row r="7">
      <c r="A7" s="53" t="n">
        <v>10</v>
      </c>
      <c r="B7" s="54" t="n">
        <v>152.3991880811957</v>
      </c>
      <c r="C7" s="54" t="n">
        <v>146.3740024464236</v>
      </c>
      <c r="D7" s="54" t="n">
        <v>140.6281258465048</v>
      </c>
      <c r="E7" s="54" t="n">
        <v>135.1471142869367</v>
      </c>
      <c r="F7" s="54" t="n">
        <v>129.9173395240759</v>
      </c>
      <c r="G7" s="54" t="n">
        <v>124.9259393299052</v>
      </c>
      <c r="H7" s="54" t="n">
        <v>120.1607710048223</v>
      </c>
    </row>
    <row r="8">
      <c r="A8" s="53" t="n">
        <v>11</v>
      </c>
      <c r="B8" s="54" t="n">
        <v>162.4772993412796</v>
      </c>
      <c r="C8" s="54" t="n">
        <v>155.9982101607906</v>
      </c>
      <c r="D8" s="54" t="n">
        <v>149.8208163261987</v>
      </c>
      <c r="E8" s="55" t="n">
        <v>143.9294747835453</v>
      </c>
      <c r="F8" s="54" t="n">
        <v>138.3094274957799</v>
      </c>
      <c r="G8" s="54" t="n">
        <v>132.9467474175704</v>
      </c>
      <c r="H8" s="54" t="n">
        <v>127.8282880015528</v>
      </c>
    </row>
    <row r="9">
      <c r="A9" s="53" t="n">
        <v>12</v>
      </c>
      <c r="B9" s="54" t="n">
        <v>172.5554106013635</v>
      </c>
      <c r="C9" s="54" t="n">
        <v>165.6224178751576</v>
      </c>
      <c r="D9" s="54" t="n">
        <v>159.0135068058926</v>
      </c>
      <c r="E9" s="54" t="n">
        <v>152.711835280154</v>
      </c>
      <c r="F9" s="54" t="n">
        <v>146.7015154674838</v>
      </c>
      <c r="G9" s="54" t="n">
        <v>140.9675555052356</v>
      </c>
      <c r="H9" s="54" t="n">
        <v>135.4958049982833</v>
      </c>
    </row>
    <row r="10">
      <c r="A10" s="53" t="n">
        <v>13</v>
      </c>
      <c r="B10" s="54" t="n">
        <v>182.6335218614473</v>
      </c>
      <c r="C10" s="54" t="n">
        <v>175.2466255895245</v>
      </c>
      <c r="D10" s="54" t="n">
        <v>168.2061972855864</v>
      </c>
      <c r="E10" s="54" t="n">
        <v>161.4941957767626</v>
      </c>
      <c r="F10" s="54" t="n">
        <v>155.0936034391878</v>
      </c>
      <c r="G10" s="54" t="n">
        <v>148.9883635929008</v>
      </c>
      <c r="H10" s="54" t="n">
        <v>143.1633219950138</v>
      </c>
    </row>
    <row r="11">
      <c r="A11" s="53" t="n">
        <v>14</v>
      </c>
      <c r="B11" s="54" t="n">
        <v>192.7116331215312</v>
      </c>
      <c r="C11" s="54" t="n">
        <v>184.8708333038915</v>
      </c>
      <c r="D11" s="54" t="n">
        <v>177.3988877652803</v>
      </c>
      <c r="E11" s="54" t="n">
        <v>170.2765562733712</v>
      </c>
      <c r="F11" s="54" t="n">
        <v>163.4856914108918</v>
      </c>
      <c r="G11" s="54" t="n">
        <v>157.009171680566</v>
      </c>
      <c r="H11" s="54" t="n">
        <v>150.8308389917443</v>
      </c>
    </row>
    <row r="13">
      <c r="A13" s="3" t="inlineStr">
        <is>
          <t>Current price</t>
        </is>
      </c>
      <c r="B13" s="54" t="n">
        <v>422.4599914550781</v>
      </c>
    </row>
    <row r="14">
      <c r="A14" s="3" t="inlineStr">
        <is>
          <t>Base WACC / multiple</t>
        </is>
      </c>
      <c r="B14" s="56" t="n">
        <v>0.09746991495106738</v>
      </c>
      <c r="C14" s="57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0.02942400545800646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1.019575667317476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1.110889048660907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2026-07-06T20:34:31Z</dcterms:created>
  <dcterms:modified xmlns:dcterms="http://purl.org/dc/terms/" xmlns:xsi="http://www.w3.org/2001/XMLSchema-instance" xsi:type="dcterms:W3CDTF">2026-07-06T20:34:31Z</dcterms:modified>
</cp:coreProperties>
</file>