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Ciena Corporation (CIEN)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2026-06-07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2026-06-07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Ciena is a cyclical optical-networking supplier riding a multi-year cloud and AI datacenter interconnect capex wave, with WaveLogic 6 coherent optics driving share gains and a near-term revenue inflection consensus pegs at ~25-29% growth off the FY2025 base of $4.77B. As hyperscaler buildouts mature, growth fades toward GDP-like rates while a richening software/services mix and operating leverage lift operating margins from the mid-single-digit trough back toward the low-teens. The result is a credible re-rating story contingent on Ciena converting design wins into sustained, profitable scale.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Ciena Corporation (CIEN)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Model!G42-WACC!B14</f>
        <v/>
      </c>
      <c r="C15" s="10">
        <f>IF(Model!G42-WACC!B14&lt;0,"!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Networking Platforms Segment</t>
        </is>
      </c>
      <c r="B20" s="50" t="n">
        <v>0.22</v>
      </c>
      <c r="C20" s="50" t="n">
        <v>0.03</v>
      </c>
      <c r="D20" s="51" t="n">
        <v>0.22</v>
      </c>
      <c r="E20" s="2" t="inlineStr"/>
    </row>
    <row r="21">
      <c r="A21" s="4" t="inlineStr">
        <is>
          <t>Global Services</t>
        </is>
      </c>
      <c r="B21" s="50" t="n">
        <v>0.1</v>
      </c>
      <c r="C21" s="50" t="n">
        <v>0.025</v>
      </c>
      <c r="D21" s="51" t="n">
        <v>0.1</v>
      </c>
      <c r="E21" s="2" t="inlineStr"/>
    </row>
    <row r="22">
      <c r="A22" s="4" t="inlineStr">
        <is>
          <t>Platform Software and Services Segment</t>
        </is>
      </c>
      <c r="B22" s="50" t="n">
        <v>0.12</v>
      </c>
      <c r="C22" s="50" t="n">
        <v>0.03</v>
      </c>
      <c r="D22" s="51" t="n">
        <v>0.12</v>
      </c>
      <c r="E22" s="2" t="inlineStr"/>
    </row>
    <row r="23">
      <c r="A23" s="4" t="inlineStr">
        <is>
          <t>Blue Planet Automation Software and Services Segment</t>
        </is>
      </c>
      <c r="B23" s="50" t="n">
        <v>0.15</v>
      </c>
      <c r="C23" s="50" t="n">
        <v>0.04</v>
      </c>
      <c r="D23" s="51" t="n">
        <v>0.15</v>
      </c>
      <c r="E23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0.08500000000000001</v>
      </c>
      <c r="D29" s="51" t="n">
        <v>0.08500000000000001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0.135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0.23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185.13111411</v>
      </c>
      <c r="D34" s="18" t="n">
        <v>185.13111411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1.245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11</v>
      </c>
    </row>
    <row r="46">
      <c r="A46" s="4" t="inlineStr">
        <is>
          <t>Terminal growth (g)</t>
        </is>
      </c>
      <c r="B46" s="50" t="n">
        <v>0.04</v>
      </c>
    </row>
    <row r="48">
      <c r="A48" s="4" t="inlineStr">
        <is>
          <t>Current price</t>
        </is>
      </c>
      <c r="B48" s="55" t="n">
        <v>488.2099914550781</v>
      </c>
    </row>
  </sheetData>
  <conditionalFormatting sqref="B20:B23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Financials!AC47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0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Networking Platforms Segment</t>
        </is>
      </c>
      <c r="B4" s="28">
        <f>SUM(Financials!I19:L19)</f>
        <v/>
      </c>
      <c r="C4" s="28">
        <f>SUM(Financials!M19:P19)</f>
        <v/>
      </c>
      <c r="D4" s="28">
        <f>SUM(Financials!Q19:T19)</f>
        <v/>
      </c>
      <c r="E4" s="28">
        <f>SUM(Financials!U19:X19)</f>
        <v/>
      </c>
      <c r="F4" s="28">
        <f>SUM(Financials!Y19:AB19)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4" t="inlineStr">
        <is>
          <t>Global Services</t>
        </is>
      </c>
      <c r="B6" s="28">
        <f>SUM(Financials!I22:L22)</f>
        <v/>
      </c>
      <c r="C6" s="28">
        <f>SUM(Financials!M22:P22)</f>
        <v/>
      </c>
      <c r="D6" s="28">
        <f>SUM(Financials!Q22:T22)</f>
        <v/>
      </c>
      <c r="E6" s="28">
        <f>SUM(Financials!U22:X22)</f>
        <v/>
      </c>
      <c r="F6" s="28">
        <f>SUM(Financials!Y22:AB22)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48">
        <f>Dashboard!$B$21+(Dashboard!$C$21-Dashboard!$B$21)*MAX(0,0-2)/7</f>
        <v/>
      </c>
      <c r="H7" s="48">
        <f>Dashboard!$B$21+(Dashboard!$C$21-Dashboard!$B$21)*MAX(0,1-2)/7</f>
        <v/>
      </c>
      <c r="I7" s="48">
        <f>Dashboard!$B$21+(Dashboard!$C$21-Dashboard!$B$21)*MAX(0,2-2)/7</f>
        <v/>
      </c>
      <c r="J7" s="48">
        <f>Dashboard!$B$21+(Dashboard!$C$21-Dashboard!$B$21)*MAX(0,3-2)/7</f>
        <v/>
      </c>
      <c r="K7" s="48">
        <f>Dashboard!$B$21+(Dashboard!$C$21-Dashboard!$B$21)*MAX(0,4-2)/7</f>
        <v/>
      </c>
      <c r="L7" s="48">
        <f>Dashboard!$B$21+(Dashboard!$C$21-Dashboard!$B$21)*MAX(0,5-2)/7</f>
        <v/>
      </c>
      <c r="M7" s="48">
        <f>Dashboard!$B$21+(Dashboard!$C$21-Dashboard!$B$21)*MAX(0,6-2)/7</f>
        <v/>
      </c>
      <c r="N7" s="48">
        <f>Dashboard!$B$21+(Dashboard!$C$21-Dashboard!$B$21)*MAX(0,7-2)/7</f>
        <v/>
      </c>
      <c r="O7" s="48">
        <f>Dashboard!$B$21+(Dashboard!$C$21-Dashboard!$B$21)*MAX(0,8-2)/7</f>
        <v/>
      </c>
      <c r="P7" s="48">
        <f>Dashboard!$B$21+(Dashboard!$C$21-Dashboard!$B$21)*MAX(0,9-2)/7</f>
        <v/>
      </c>
    </row>
    <row r="8">
      <c r="A8" s="4" t="inlineStr">
        <is>
          <t>Platform Software and Services Segment</t>
        </is>
      </c>
      <c r="B8" s="28">
        <f>SUM(Financials!I25:L25)</f>
        <v/>
      </c>
      <c r="C8" s="28">
        <f>SUM(Financials!M25:P25)</f>
        <v/>
      </c>
      <c r="D8" s="28">
        <f>SUM(Financials!Q25:T25)</f>
        <v/>
      </c>
      <c r="E8" s="28">
        <f>SUM(Financials!U25:X25)</f>
        <v/>
      </c>
      <c r="F8" s="28">
        <f>SUM(Financials!Y25:AB25)</f>
        <v/>
      </c>
      <c r="G8" s="32">
        <f>F8*(1+G9)</f>
        <v/>
      </c>
      <c r="H8" s="32">
        <f>G8*(1+H9)</f>
        <v/>
      </c>
      <c r="I8" s="32">
        <f>H8*(1+I9)</f>
        <v/>
      </c>
      <c r="J8" s="32">
        <f>I8*(1+J9)</f>
        <v/>
      </c>
      <c r="K8" s="32">
        <f>J8*(1+K9)</f>
        <v/>
      </c>
      <c r="L8" s="32">
        <f>K8*(1+L9)</f>
        <v/>
      </c>
      <c r="M8" s="32">
        <f>L8*(1+M9)</f>
        <v/>
      </c>
      <c r="N8" s="32">
        <f>M8*(1+N9)</f>
        <v/>
      </c>
      <c r="O8" s="32">
        <f>N8*(1+O9)</f>
        <v/>
      </c>
      <c r="P8" s="32">
        <f>O8*(1+P9)</f>
        <v/>
      </c>
    </row>
    <row r="9">
      <c r="A9" s="4" t="inlineStr">
        <is>
          <t xml:space="preserve">    growth % (interpolated from Dashboard)</t>
        </is>
      </c>
      <c r="C9" s="57">
        <f>IFERROR(C8/B8-1,"")</f>
        <v/>
      </c>
      <c r="D9" s="57">
        <f>IFERROR(D8/C8-1,"")</f>
        <v/>
      </c>
      <c r="E9" s="57">
        <f>IFERROR(E8/D8-1,"")</f>
        <v/>
      </c>
      <c r="F9" s="57">
        <f>IFERROR(F8/E8-1,"")</f>
        <v/>
      </c>
      <c r="G9" s="48">
        <f>Dashboard!$B$22+(Dashboard!$C$22-Dashboard!$B$22)*MAX(0,0-2)/7</f>
        <v/>
      </c>
      <c r="H9" s="48">
        <f>Dashboard!$B$22+(Dashboard!$C$22-Dashboard!$B$22)*MAX(0,1-2)/7</f>
        <v/>
      </c>
      <c r="I9" s="48">
        <f>Dashboard!$B$22+(Dashboard!$C$22-Dashboard!$B$22)*MAX(0,2-2)/7</f>
        <v/>
      </c>
      <c r="J9" s="48">
        <f>Dashboard!$B$22+(Dashboard!$C$22-Dashboard!$B$22)*MAX(0,3-2)/7</f>
        <v/>
      </c>
      <c r="K9" s="48">
        <f>Dashboard!$B$22+(Dashboard!$C$22-Dashboard!$B$22)*MAX(0,4-2)/7</f>
        <v/>
      </c>
      <c r="L9" s="48">
        <f>Dashboard!$B$22+(Dashboard!$C$22-Dashboard!$B$22)*MAX(0,5-2)/7</f>
        <v/>
      </c>
      <c r="M9" s="48">
        <f>Dashboard!$B$22+(Dashboard!$C$22-Dashboard!$B$22)*MAX(0,6-2)/7</f>
        <v/>
      </c>
      <c r="N9" s="48">
        <f>Dashboard!$B$22+(Dashboard!$C$22-Dashboard!$B$22)*MAX(0,7-2)/7</f>
        <v/>
      </c>
      <c r="O9" s="48">
        <f>Dashboard!$B$22+(Dashboard!$C$22-Dashboard!$B$22)*MAX(0,8-2)/7</f>
        <v/>
      </c>
      <c r="P9" s="48">
        <f>Dashboard!$B$22+(Dashboard!$C$22-Dashboard!$B$22)*MAX(0,9-2)/7</f>
        <v/>
      </c>
    </row>
    <row r="10">
      <c r="A10" s="4" t="inlineStr">
        <is>
          <t>Blue Planet Automation Software and Services Segment</t>
        </is>
      </c>
      <c r="B10" s="28">
        <f>SUM(Financials!I28:L28)</f>
        <v/>
      </c>
      <c r="C10" s="28">
        <f>SUM(Financials!M28:P28)</f>
        <v/>
      </c>
      <c r="D10" s="28">
        <f>SUM(Financials!Q28:T28)</f>
        <v/>
      </c>
      <c r="E10" s="28">
        <f>SUM(Financials!U28:X28)</f>
        <v/>
      </c>
      <c r="F10" s="28">
        <f>SUM(Financials!Y28:AB28)</f>
        <v/>
      </c>
      <c r="G10" s="32">
        <f>F10*(1+G11)</f>
        <v/>
      </c>
      <c r="H10" s="32">
        <f>G10*(1+H11)</f>
        <v/>
      </c>
      <c r="I10" s="32">
        <f>H10*(1+I11)</f>
        <v/>
      </c>
      <c r="J10" s="32">
        <f>I10*(1+J11)</f>
        <v/>
      </c>
      <c r="K10" s="32">
        <f>J10*(1+K11)</f>
        <v/>
      </c>
      <c r="L10" s="32">
        <f>K10*(1+L11)</f>
        <v/>
      </c>
      <c r="M10" s="32">
        <f>L10*(1+M11)</f>
        <v/>
      </c>
      <c r="N10" s="32">
        <f>M10*(1+N11)</f>
        <v/>
      </c>
      <c r="O10" s="32">
        <f>N10*(1+O11)</f>
        <v/>
      </c>
      <c r="P10" s="32">
        <f>O10*(1+P11)</f>
        <v/>
      </c>
    </row>
    <row r="11">
      <c r="A11" s="4" t="inlineStr">
        <is>
          <t xml:space="preserve">    growth % (interpolated from Dashboard)</t>
        </is>
      </c>
      <c r="C11" s="57">
        <f>IFERROR(C10/B10-1,"")</f>
        <v/>
      </c>
      <c r="D11" s="57">
        <f>IFERROR(D10/C10-1,"")</f>
        <v/>
      </c>
      <c r="E11" s="57">
        <f>IFERROR(E10/D10-1,"")</f>
        <v/>
      </c>
      <c r="F11" s="57">
        <f>IFERROR(F10/E10-1,"")</f>
        <v/>
      </c>
      <c r="G11" s="48">
        <f>Dashboard!$B$23+(Dashboard!$C$23-Dashboard!$B$23)*MAX(0,0-2)/7</f>
        <v/>
      </c>
      <c r="H11" s="48">
        <f>Dashboard!$B$23+(Dashboard!$C$23-Dashboard!$B$23)*MAX(0,1-2)/7</f>
        <v/>
      </c>
      <c r="I11" s="48">
        <f>Dashboard!$B$23+(Dashboard!$C$23-Dashboard!$B$23)*MAX(0,2-2)/7</f>
        <v/>
      </c>
      <c r="J11" s="48">
        <f>Dashboard!$B$23+(Dashboard!$C$23-Dashboard!$B$23)*MAX(0,3-2)/7</f>
        <v/>
      </c>
      <c r="K11" s="48">
        <f>Dashboard!$B$23+(Dashboard!$C$23-Dashboard!$B$23)*MAX(0,4-2)/7</f>
        <v/>
      </c>
      <c r="L11" s="48">
        <f>Dashboard!$B$23+(Dashboard!$C$23-Dashboard!$B$23)*MAX(0,5-2)/7</f>
        <v/>
      </c>
      <c r="M11" s="48">
        <f>Dashboard!$B$23+(Dashboard!$C$23-Dashboard!$B$23)*MAX(0,6-2)/7</f>
        <v/>
      </c>
      <c r="N11" s="48">
        <f>Dashboard!$B$23+(Dashboard!$C$23-Dashboard!$B$23)*MAX(0,7-2)/7</f>
        <v/>
      </c>
      <c r="O11" s="48">
        <f>Dashboard!$B$23+(Dashboard!$C$23-Dashboard!$B$23)*MAX(0,8-2)/7</f>
        <v/>
      </c>
      <c r="P11" s="48">
        <f>Dashboard!$B$23+(Dashboard!$C$23-Dashboard!$B$23)*MAX(0,9-2)/7</f>
        <v/>
      </c>
    </row>
    <row r="12">
      <c r="A12" s="3" t="inlineStr">
        <is>
          <t>Total revenue</t>
        </is>
      </c>
      <c r="B12" s="33">
        <f>B4+B6+B8+B10</f>
        <v/>
      </c>
      <c r="C12" s="33">
        <f>C4+C6+C8+C10</f>
        <v/>
      </c>
      <c r="D12" s="33">
        <f>D4+D6+D8+D10</f>
        <v/>
      </c>
      <c r="E12" s="33">
        <f>E4+E6+E8+E10</f>
        <v/>
      </c>
      <c r="F12" s="33">
        <f>F4+F6+F8+F10</f>
        <v/>
      </c>
      <c r="G12" s="33">
        <f>G4+G6+G8+G10</f>
        <v/>
      </c>
      <c r="H12" s="33">
        <f>H4+H6+H8+H10</f>
        <v/>
      </c>
      <c r="I12" s="33">
        <f>I4+I6+I8+I10</f>
        <v/>
      </c>
      <c r="J12" s="33">
        <f>J4+J6+J8+J10</f>
        <v/>
      </c>
      <c r="K12" s="33">
        <f>K4+K6+K8+K10</f>
        <v/>
      </c>
      <c r="L12" s="33">
        <f>L4+L6+L8+L10</f>
        <v/>
      </c>
      <c r="M12" s="33">
        <f>M4+M6+M8+M10</f>
        <v/>
      </c>
      <c r="N12" s="33">
        <f>N4+N6+N8+N10</f>
        <v/>
      </c>
      <c r="O12" s="33">
        <f>O4+O6+O8+O10</f>
        <v/>
      </c>
      <c r="P12" s="33">
        <f>P4+P6+P8+P10</f>
        <v/>
      </c>
    </row>
    <row r="13">
      <c r="A13" s="4" t="inlineStr">
        <is>
          <t xml:space="preserve">    growth %</t>
        </is>
      </c>
      <c r="C13" s="57">
        <f>IFERROR(C12/B12-1,"")</f>
        <v/>
      </c>
      <c r="D13" s="57">
        <f>IFERROR(D12/C12-1,"")</f>
        <v/>
      </c>
      <c r="E13" s="57">
        <f>IFERROR(E12/D12-1,"")</f>
        <v/>
      </c>
      <c r="F13" s="57">
        <f>IFERROR(F12/E12-1,"")</f>
        <v/>
      </c>
      <c r="G13" s="57">
        <f>IFERROR(G12/F12-1,"")</f>
        <v/>
      </c>
      <c r="H13" s="57">
        <f>IFERROR(H12/G12-1,"")</f>
        <v/>
      </c>
      <c r="I13" s="57">
        <f>IFERROR(I12/H12-1,"")</f>
        <v/>
      </c>
      <c r="J13" s="57">
        <f>IFERROR(J12/I12-1,"")</f>
        <v/>
      </c>
      <c r="K13" s="57">
        <f>IFERROR(K12/J12-1,"")</f>
        <v/>
      </c>
      <c r="L13" s="57">
        <f>IFERROR(L12/K12-1,"")</f>
        <v/>
      </c>
      <c r="M13" s="57">
        <f>IFERROR(M12/L12-1,"")</f>
        <v/>
      </c>
      <c r="N13" s="57">
        <f>IFERROR(N12/M12-1,"")</f>
        <v/>
      </c>
      <c r="O13" s="57">
        <f>IFERROR(O12/N12-1,"")</f>
        <v/>
      </c>
      <c r="P13" s="57">
        <f>IFERROR(P12/O12-1,"")</f>
        <v/>
      </c>
    </row>
    <row r="15">
      <c r="A15" s="5" t="inlineStr">
        <is>
          <t xml:space="preserve">  COST STRUCTURE (yellow = % of revenue)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>
      <c r="A16" s="4" t="inlineStr">
        <is>
          <t>Cost of revenue</t>
        </is>
      </c>
      <c r="B16" s="28">
        <f>SUM(Financials!I5:L5)</f>
        <v/>
      </c>
      <c r="C16" s="28">
        <f>SUM(Financials!M5:P5)</f>
        <v/>
      </c>
      <c r="D16" s="28">
        <f>SUM(Financials!Q5:T5)</f>
        <v/>
      </c>
      <c r="E16" s="28">
        <f>SUM(Financials!U5:X5)</f>
        <v/>
      </c>
      <c r="F16" s="28">
        <f>SUM(Financials!Y5:AB5)</f>
        <v/>
      </c>
      <c r="G16" s="32">
        <f>G12*G17</f>
        <v/>
      </c>
      <c r="H16" s="32">
        <f>H12*H17</f>
        <v/>
      </c>
      <c r="I16" s="32">
        <f>I12*I17</f>
        <v/>
      </c>
      <c r="J16" s="32">
        <f>J12*J17</f>
        <v/>
      </c>
      <c r="K16" s="32">
        <f>K12*K17</f>
        <v/>
      </c>
      <c r="L16" s="32">
        <f>L12*L17</f>
        <v/>
      </c>
      <c r="M16" s="32">
        <f>M12*M17</f>
        <v/>
      </c>
      <c r="N16" s="32">
        <f>N12*N17</f>
        <v/>
      </c>
      <c r="O16" s="32">
        <f>O12*O17</f>
        <v/>
      </c>
      <c r="P16" s="32">
        <f>P12*P17</f>
        <v/>
      </c>
    </row>
    <row r="17">
      <c r="A17" s="4" t="inlineStr">
        <is>
          <t xml:space="preserve">    % of revenue</t>
        </is>
      </c>
      <c r="B17" s="57">
        <f>IFERROR(B16/B12,"")</f>
        <v/>
      </c>
      <c r="C17" s="57">
        <f>IFERROR(C16/C12,"")</f>
        <v/>
      </c>
      <c r="D17" s="57">
        <f>IFERROR(D16/D12,"")</f>
        <v/>
      </c>
      <c r="E17" s="57">
        <f>IFERROR(E16/E12,"")</f>
        <v/>
      </c>
      <c r="F17" s="57">
        <f>IFERROR(F16/F12,"")</f>
        <v/>
      </c>
      <c r="G17" s="50" t="n">
        <v>0.601107200387797</v>
      </c>
      <c r="H17" s="50" t="n">
        <v>0.601107200387797</v>
      </c>
      <c r="I17" s="50" t="n">
        <v>0.601107200387797</v>
      </c>
      <c r="J17" s="50" t="n">
        <v>0.601107200387797</v>
      </c>
      <c r="K17" s="50" t="n">
        <v>0.601107200387797</v>
      </c>
      <c r="L17" s="50" t="n">
        <v>0.601107200387797</v>
      </c>
      <c r="M17" s="50" t="n">
        <v>0.601107200387797</v>
      </c>
      <c r="N17" s="50" t="n">
        <v>0.601107200387797</v>
      </c>
      <c r="O17" s="50" t="n">
        <v>0.601107200387797</v>
      </c>
      <c r="P17" s="50" t="n">
        <v>0.601107200387797</v>
      </c>
    </row>
    <row r="18">
      <c r="A18" s="4" t="inlineStr">
        <is>
          <t>R&amp;D / Technology</t>
        </is>
      </c>
      <c r="B18" s="28">
        <f>SUM(Financials!I7:L7)</f>
        <v/>
      </c>
      <c r="C18" s="28">
        <f>SUM(Financials!M7:P7)</f>
        <v/>
      </c>
      <c r="D18" s="28">
        <f>SUM(Financials!Q7:T7)</f>
        <v/>
      </c>
      <c r="E18" s="28">
        <f>SUM(Financials!U7:X7)</f>
        <v/>
      </c>
      <c r="F18" s="28">
        <f>SUM(Financials!Y7:AB7)</f>
        <v/>
      </c>
      <c r="G18" s="32">
        <f>G12*G19</f>
        <v/>
      </c>
      <c r="H18" s="32">
        <f>H12*H19</f>
        <v/>
      </c>
      <c r="I18" s="32">
        <f>I12*I19</f>
        <v/>
      </c>
      <c r="J18" s="32">
        <f>J12*J19</f>
        <v/>
      </c>
      <c r="K18" s="32">
        <f>K12*K19</f>
        <v/>
      </c>
      <c r="L18" s="32">
        <f>L12*L19</f>
        <v/>
      </c>
      <c r="M18" s="32">
        <f>M12*M19</f>
        <v/>
      </c>
      <c r="N18" s="32">
        <f>N12*N19</f>
        <v/>
      </c>
      <c r="O18" s="32">
        <f>O12*O19</f>
        <v/>
      </c>
      <c r="P18" s="32">
        <f>P12*P19</f>
        <v/>
      </c>
    </row>
    <row r="19">
      <c r="A19" s="4" t="inlineStr">
        <is>
          <t xml:space="preserve">    % of revenue</t>
        </is>
      </c>
      <c r="B19" s="57">
        <f>IFERROR(B18/B12,"")</f>
        <v/>
      </c>
      <c r="C19" s="57">
        <f>IFERROR(C18/C12,"")</f>
        <v/>
      </c>
      <c r="D19" s="57">
        <f>IFERROR(D18/D12,"")</f>
        <v/>
      </c>
      <c r="E19" s="57">
        <f>IFERROR(E18/E12,"")</f>
        <v/>
      </c>
      <c r="F19" s="57">
        <f>IFERROR(F18/F12,"")</f>
        <v/>
      </c>
      <c r="G19" s="50" t="n">
        <v>0.1617970159179974</v>
      </c>
      <c r="H19" s="50" t="n">
        <v>0.1617970159179974</v>
      </c>
      <c r="I19" s="50" t="n">
        <v>0.1617970159179974</v>
      </c>
      <c r="J19" s="50" t="n">
        <v>0.1617970159179974</v>
      </c>
      <c r="K19" s="50" t="n">
        <v>0.1617970159179974</v>
      </c>
      <c r="L19" s="50" t="n">
        <v>0.1617970159179974</v>
      </c>
      <c r="M19" s="50" t="n">
        <v>0.1617970159179974</v>
      </c>
      <c r="N19" s="50" t="n">
        <v>0.1617970159179974</v>
      </c>
      <c r="O19" s="50" t="n">
        <v>0.1617970159179974</v>
      </c>
      <c r="P19" s="50" t="n">
        <v>0.1617970159179974</v>
      </c>
    </row>
    <row r="20">
      <c r="A20" s="4" t="inlineStr">
        <is>
          <t>SG&amp;A</t>
        </is>
      </c>
      <c r="B20" s="28">
        <f>SUM(Financials!I9:L9)</f>
        <v/>
      </c>
      <c r="C20" s="28">
        <f>SUM(Financials!M9:P9)</f>
        <v/>
      </c>
      <c r="D20" s="28">
        <f>SUM(Financials!Q9:T9)</f>
        <v/>
      </c>
      <c r="E20" s="28">
        <f>SUM(Financials!U9:X9)</f>
        <v/>
      </c>
      <c r="F20" s="28">
        <f>SUM(Financials!Y9:AB9)</f>
        <v/>
      </c>
      <c r="G20" s="32">
        <f>G12*G21</f>
        <v/>
      </c>
      <c r="H20" s="32">
        <f>H12*H21</f>
        <v/>
      </c>
      <c r="I20" s="32">
        <f>I12*I21</f>
        <v/>
      </c>
      <c r="J20" s="32">
        <f>J12*J21</f>
        <v/>
      </c>
      <c r="K20" s="32">
        <f>K12*K21</f>
        <v/>
      </c>
      <c r="L20" s="32">
        <f>L12*L21</f>
        <v/>
      </c>
      <c r="M20" s="32">
        <f>M12*M21</f>
        <v/>
      </c>
      <c r="N20" s="32">
        <f>N12*N21</f>
        <v/>
      </c>
      <c r="O20" s="32">
        <f>O12*O21</f>
        <v/>
      </c>
      <c r="P20" s="32">
        <f>P12*P21</f>
        <v/>
      </c>
    </row>
    <row r="21">
      <c r="A21" s="4" t="inlineStr">
        <is>
          <t xml:space="preserve">    % of revenue</t>
        </is>
      </c>
      <c r="B21" s="57">
        <f>IFERROR(B20/B12,"")</f>
        <v/>
      </c>
      <c r="C21" s="57">
        <f>IFERROR(C20/C12,"")</f>
        <v/>
      </c>
      <c r="D21" s="57">
        <f>IFERROR(D20/D12,"")</f>
        <v/>
      </c>
      <c r="E21" s="57">
        <f>IFERROR(E20/E12,"")</f>
        <v/>
      </c>
      <c r="F21" s="57">
        <f>IFERROR(F20/F12,"")</f>
        <v/>
      </c>
      <c r="G21" s="50" t="n">
        <v>0.1719334933358941</v>
      </c>
      <c r="H21" s="50" t="n">
        <v>0.1719334933358941</v>
      </c>
      <c r="I21" s="50" t="n">
        <v>0.1719334933358941</v>
      </c>
      <c r="J21" s="50" t="n">
        <v>0.1719334933358941</v>
      </c>
      <c r="K21" s="50" t="n">
        <v>0.1719334933358941</v>
      </c>
      <c r="L21" s="50" t="n">
        <v>0.1719334933358941</v>
      </c>
      <c r="M21" s="50" t="n">
        <v>0.1719334933358941</v>
      </c>
      <c r="N21" s="50" t="n">
        <v>0.1719334933358941</v>
      </c>
      <c r="O21" s="50" t="n">
        <v>0.1719334933358941</v>
      </c>
      <c r="P21" s="50" t="n">
        <v>0.1719334933358941</v>
      </c>
    </row>
    <row r="22">
      <c r="A22" s="4" t="inlineStr">
        <is>
          <t>Other opex (fulfilment, etc.)</t>
        </is>
      </c>
      <c r="B22" s="28">
        <f>B12-(B16+B18+B20)-SUM(Financials!I13:L13)</f>
        <v/>
      </c>
      <c r="C22" s="28">
        <f>C12-(C16+C18+C20)-SUM(Financials!M13:P13)</f>
        <v/>
      </c>
      <c r="D22" s="28">
        <f>D12-(D16+D18+D20)-SUM(Financials!Q13:T13)</f>
        <v/>
      </c>
      <c r="E22" s="28">
        <f>E12-(E16+E18+E20)-SUM(Financials!U13:X13)</f>
        <v/>
      </c>
      <c r="F22" s="28">
        <f>F12-(F16+F18+F20)-SUM(Financials!Y13:AB13)</f>
        <v/>
      </c>
      <c r="G22" s="28">
        <f>G12*(1-(Dashboard!$B$29+(Dashboard!$B$30-Dashboard!$B$29)*MIN(1,0/3)))-(G16+G18+G20)</f>
        <v/>
      </c>
      <c r="H22" s="28">
        <f>H12*(1-(Dashboard!$B$29+(Dashboard!$B$30-Dashboard!$B$29)*MIN(1,1/3)))-(H16+H18+H20)</f>
        <v/>
      </c>
      <c r="I22" s="28">
        <f>I12*(1-(Dashboard!$B$29+(Dashboard!$B$30-Dashboard!$B$29)*MIN(1,2/3)))-(I16+I18+I20)</f>
        <v/>
      </c>
      <c r="J22" s="28">
        <f>J12*(1-(Dashboard!$B$29+(Dashboard!$B$30-Dashboard!$B$29)*MIN(1,3/3)))-(J16+J18+J20)</f>
        <v/>
      </c>
      <c r="K22" s="28">
        <f>K12*(1-(Dashboard!$B$29+(Dashboard!$B$30-Dashboard!$B$29)*MIN(1,4/3)))-(K16+K18+K20)</f>
        <v/>
      </c>
      <c r="L22" s="28">
        <f>L12*(1-(Dashboard!$B$29+(Dashboard!$B$30-Dashboard!$B$29)*MIN(1,5/3)))-(L16+L18+L20)</f>
        <v/>
      </c>
      <c r="M22" s="28">
        <f>M12*(1-(Dashboard!$B$29+(Dashboard!$B$30-Dashboard!$B$29)*MIN(1,6/3)))-(M16+M18+M20)</f>
        <v/>
      </c>
      <c r="N22" s="28">
        <f>N12*(1-(Dashboard!$B$29+(Dashboard!$B$30-Dashboard!$B$29)*MIN(1,7/3)))-(N16+N18+N20)</f>
        <v/>
      </c>
      <c r="O22" s="28">
        <f>O12*(1-(Dashboard!$B$29+(Dashboard!$B$30-Dashboard!$B$29)*MIN(1,8/3)))-(O16+O18+O20)</f>
        <v/>
      </c>
      <c r="P22" s="28">
        <f>P12*(1-(Dashboard!$B$29+(Dashboard!$B$30-Dashboard!$B$29)*MIN(1,9/3)))-(P16+P18+P20)</f>
        <v/>
      </c>
    </row>
    <row r="23">
      <c r="A23" s="4" t="inlineStr">
        <is>
          <t xml:space="preserve">    % of revenue</t>
        </is>
      </c>
      <c r="B23" s="57">
        <f>IFERROR(B22/B12,"")</f>
        <v/>
      </c>
      <c r="C23" s="57">
        <f>IFERROR(C22/C12,"")</f>
        <v/>
      </c>
      <c r="D23" s="57">
        <f>IFERROR(D22/D12,"")</f>
        <v/>
      </c>
      <c r="E23" s="57">
        <f>IFERROR(E22/E12,"")</f>
        <v/>
      </c>
      <c r="F23" s="57">
        <f>IFERROR(F22/F12,"")</f>
        <v/>
      </c>
      <c r="G23" s="57">
        <f>IFERROR(G22/G12,"")</f>
        <v/>
      </c>
      <c r="H23" s="57">
        <f>IFERROR(H22/H12,"")</f>
        <v/>
      </c>
      <c r="I23" s="57">
        <f>IFERROR(I22/I12,"")</f>
        <v/>
      </c>
      <c r="J23" s="57">
        <f>IFERROR(J22/J12,"")</f>
        <v/>
      </c>
      <c r="K23" s="57">
        <f>IFERROR(K22/K12,"")</f>
        <v/>
      </c>
      <c r="L23" s="57">
        <f>IFERROR(L22/L12,"")</f>
        <v/>
      </c>
      <c r="M23" s="57">
        <f>IFERROR(M22/M12,"")</f>
        <v/>
      </c>
      <c r="N23" s="57">
        <f>IFERROR(N22/N12,"")</f>
        <v/>
      </c>
      <c r="O23" s="57">
        <f>IFERROR(O22/O12,"")</f>
        <v/>
      </c>
      <c r="P23" s="57">
        <f>IFERROR(P22/P12,"")</f>
        <v/>
      </c>
    </row>
    <row r="25">
      <c r="A25" s="3" t="inlineStr">
        <is>
          <t>Operating income (EBIT)</t>
        </is>
      </c>
      <c r="B25" s="33">
        <f>B12-(B16+B18+B20)-B22</f>
        <v/>
      </c>
      <c r="C25" s="33">
        <f>C12-(C16+C18+C20)-C22</f>
        <v/>
      </c>
      <c r="D25" s="33">
        <f>D12-(D16+D18+D20)-D22</f>
        <v/>
      </c>
      <c r="E25" s="33">
        <f>E12-(E16+E18+E20)-E22</f>
        <v/>
      </c>
      <c r="F25" s="33">
        <f>F12-(F16+F18+F20)-F22</f>
        <v/>
      </c>
      <c r="G25" s="33">
        <f>G12-(G16+G18+G20)-G22</f>
        <v/>
      </c>
      <c r="H25" s="33">
        <f>H12-(H16+H18+H20)-H22</f>
        <v/>
      </c>
      <c r="I25" s="33">
        <f>I12-(I16+I18+I20)-I22</f>
        <v/>
      </c>
      <c r="J25" s="33">
        <f>J12-(J16+J18+J20)-J22</f>
        <v/>
      </c>
      <c r="K25" s="33">
        <f>K12-(K16+K18+K20)-K22</f>
        <v/>
      </c>
      <c r="L25" s="33">
        <f>L12-(L16+L18+L20)-L22</f>
        <v/>
      </c>
      <c r="M25" s="33">
        <f>M12-(M16+M18+M20)-M22</f>
        <v/>
      </c>
      <c r="N25" s="33">
        <f>N12-(N16+N18+N20)-N22</f>
        <v/>
      </c>
      <c r="O25" s="33">
        <f>O12-(O16+O18+O20)-O22</f>
        <v/>
      </c>
      <c r="P25" s="33">
        <f>P12-(P16+P18+P20)-P22</f>
        <v/>
      </c>
    </row>
    <row r="26">
      <c r="A26" s="4" t="inlineStr">
        <is>
          <t xml:space="preserve">    operating margin</t>
        </is>
      </c>
      <c r="B26" s="57">
        <f>IFERROR(B25/B12,"")</f>
        <v/>
      </c>
      <c r="C26" s="57">
        <f>IFERROR(C25/C12,"")</f>
        <v/>
      </c>
      <c r="D26" s="57">
        <f>IFERROR(D25/D12,"")</f>
        <v/>
      </c>
      <c r="E26" s="57">
        <f>IFERROR(E25/E12,"")</f>
        <v/>
      </c>
      <c r="F26" s="57">
        <f>IFERROR(F25/F12,"")</f>
        <v/>
      </c>
      <c r="G26" s="57">
        <f>IFERROR(G25/G12,"")</f>
        <v/>
      </c>
      <c r="H26" s="57">
        <f>IFERROR(H25/H12,"")</f>
        <v/>
      </c>
      <c r="I26" s="57">
        <f>IFERROR(I25/I12,"")</f>
        <v/>
      </c>
      <c r="J26" s="57">
        <f>IFERROR(J25/J12,"")</f>
        <v/>
      </c>
      <c r="K26" s="57">
        <f>IFERROR(K25/K12,"")</f>
        <v/>
      </c>
      <c r="L26" s="57">
        <f>IFERROR(L25/L12,"")</f>
        <v/>
      </c>
      <c r="M26" s="57">
        <f>IFERROR(M25/M12,"")</f>
        <v/>
      </c>
      <c r="N26" s="57">
        <f>IFERROR(N25/N12,"")</f>
        <v/>
      </c>
      <c r="O26" s="57">
        <f>IFERROR(O25/O12,"")</f>
        <v/>
      </c>
      <c r="P26" s="57">
        <f>IFERROR(P25/P12,"")</f>
        <v/>
      </c>
    </row>
    <row r="28">
      <c r="A28" s="5" t="inlineStr">
        <is>
          <t xml:space="preserve">  FCF BRIDGE (NOPAT + D&amp;A + SBC - dNWC - Capex)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4" t="inlineStr">
        <is>
          <t>NOPAT = EBIT x (1 - tax)</t>
        </is>
      </c>
      <c r="B29" s="28">
        <f>B25*(1-Valuation!$B$5)</f>
        <v/>
      </c>
      <c r="C29" s="28">
        <f>C25*(1-Valuation!$B$5)</f>
        <v/>
      </c>
      <c r="D29" s="28">
        <f>D25*(1-Valuation!$B$5)</f>
        <v/>
      </c>
      <c r="E29" s="28">
        <f>E25*(1-Valuation!$B$5)</f>
        <v/>
      </c>
      <c r="F29" s="28">
        <f>F25*(1-Valuation!$B$5)</f>
        <v/>
      </c>
      <c r="G29" s="28">
        <f>G25*(1-Valuation!$B$5)</f>
        <v/>
      </c>
      <c r="H29" s="28">
        <f>H25*(1-Valuation!$B$5)</f>
        <v/>
      </c>
      <c r="I29" s="28">
        <f>I25*(1-Valuation!$B$5)</f>
        <v/>
      </c>
      <c r="J29" s="28">
        <f>J25*(1-Valuation!$B$5)</f>
        <v/>
      </c>
      <c r="K29" s="28">
        <f>K25*(1-Valuation!$B$5)</f>
        <v/>
      </c>
      <c r="L29" s="28">
        <f>L25*(1-Valuation!$B$5)</f>
        <v/>
      </c>
      <c r="M29" s="28">
        <f>M25*(1-Valuation!$B$5)</f>
        <v/>
      </c>
      <c r="N29" s="28">
        <f>N25*(1-Valuation!$B$5)</f>
        <v/>
      </c>
      <c r="O29" s="28">
        <f>O25*(1-Valuation!$B$5)</f>
        <v/>
      </c>
      <c r="P29" s="28">
        <f>P25*(1-Valuation!$B$5)</f>
        <v/>
      </c>
    </row>
    <row r="30">
      <c r="A30" s="4" t="inlineStr">
        <is>
          <t>+ D&amp;A</t>
        </is>
      </c>
      <c r="B30" s="28">
        <f>SUM(Financials!I50:L50)</f>
        <v/>
      </c>
      <c r="C30" s="28">
        <f>SUM(Financials!M50:P50)</f>
        <v/>
      </c>
      <c r="D30" s="28">
        <f>SUM(Financials!Q50:T50)</f>
        <v/>
      </c>
      <c r="E30" s="28">
        <f>SUM(Financials!U50:X50)</f>
        <v/>
      </c>
      <c r="F30" s="28">
        <f>SUM(Financials!Y50:AB50)</f>
        <v/>
      </c>
      <c r="G30" s="32">
        <f>G12*0.0294</f>
        <v/>
      </c>
      <c r="H30" s="32">
        <f>H12*0.0294</f>
        <v/>
      </c>
      <c r="I30" s="32">
        <f>I12*0.0294</f>
        <v/>
      </c>
      <c r="J30" s="32">
        <f>J12*0.0294</f>
        <v/>
      </c>
      <c r="K30" s="32">
        <f>K12*0.0294</f>
        <v/>
      </c>
      <c r="L30" s="32">
        <f>L12*0.0294</f>
        <v/>
      </c>
      <c r="M30" s="32">
        <f>M12*0.0294</f>
        <v/>
      </c>
      <c r="N30" s="32">
        <f>N12*0.0294</f>
        <v/>
      </c>
      <c r="O30" s="32">
        <f>O12*0.0294</f>
        <v/>
      </c>
      <c r="P30" s="32">
        <f>P12*0.0294</f>
        <v/>
      </c>
    </row>
    <row r="31">
      <c r="A31" s="4" t="inlineStr">
        <is>
          <t>+ SBC (non-cash)</t>
        </is>
      </c>
      <c r="B31" s="28">
        <f>SUM(Financials!I51:L51)</f>
        <v/>
      </c>
      <c r="C31" s="28">
        <f>SUM(Financials!M51:P51)</f>
        <v/>
      </c>
      <c r="D31" s="28">
        <f>SUM(Financials!Q51:T51)</f>
        <v/>
      </c>
      <c r="E31" s="28">
        <f>SUM(Financials!U51:X51)</f>
        <v/>
      </c>
      <c r="F31" s="28">
        <f>SUM(Financials!Y51:AB51)</f>
        <v/>
      </c>
      <c r="G31" s="32">
        <f>G12*0.0000</f>
        <v/>
      </c>
      <c r="H31" s="32">
        <f>H12*0.0000</f>
        <v/>
      </c>
      <c r="I31" s="32">
        <f>I12*0.0000</f>
        <v/>
      </c>
      <c r="J31" s="32">
        <f>J12*0.0000</f>
        <v/>
      </c>
      <c r="K31" s="32">
        <f>K12*0.0000</f>
        <v/>
      </c>
      <c r="L31" s="32">
        <f>L12*0.0000</f>
        <v/>
      </c>
      <c r="M31" s="32">
        <f>M12*0.0000</f>
        <v/>
      </c>
      <c r="N31" s="32">
        <f>N12*0.0000</f>
        <v/>
      </c>
      <c r="O31" s="32">
        <f>O12*0.0000</f>
        <v/>
      </c>
      <c r="P31" s="32">
        <f>P12*0.0000</f>
        <v/>
      </c>
    </row>
    <row r="32">
      <c r="A32" s="4" t="inlineStr">
        <is>
          <t>- dNWC</t>
        </is>
      </c>
      <c r="G32" s="32">
        <f>(G12-F12)*0.0050</f>
        <v/>
      </c>
      <c r="H32" s="32">
        <f>(H12-G12)*0.0050</f>
        <v/>
      </c>
      <c r="I32" s="32">
        <f>(I12-H12)*0.0050</f>
        <v/>
      </c>
      <c r="J32" s="32">
        <f>(J12-I12)*0.0050</f>
        <v/>
      </c>
      <c r="K32" s="32">
        <f>(K12-J12)*0.0050</f>
        <v/>
      </c>
      <c r="L32" s="32">
        <f>(L12-K12)*0.0050</f>
        <v/>
      </c>
      <c r="M32" s="32">
        <f>(M12-L12)*0.0050</f>
        <v/>
      </c>
      <c r="N32" s="32">
        <f>(N12-M12)*0.0050</f>
        <v/>
      </c>
      <c r="O32" s="32">
        <f>(O12-N12)*0.0050</f>
        <v/>
      </c>
      <c r="P32" s="32">
        <f>(P12-O12)*0.0050</f>
        <v/>
      </c>
    </row>
    <row r="33">
      <c r="A33" s="4" t="inlineStr">
        <is>
          <t>- Capex</t>
        </is>
      </c>
      <c r="B33" s="28">
        <f>-SUM(Financials!I54:L54)</f>
        <v/>
      </c>
      <c r="C33" s="28">
        <f>-SUM(Financials!M54:P54)</f>
        <v/>
      </c>
      <c r="D33" s="28">
        <f>-SUM(Financials!Q54:T54)</f>
        <v/>
      </c>
      <c r="E33" s="28">
        <f>-SUM(Financials!U54:X54)</f>
        <v/>
      </c>
      <c r="F33" s="28">
        <f>-SUM(Financials!Y54:AB54)</f>
        <v/>
      </c>
      <c r="G33" s="32">
        <f>G30*G34</f>
        <v/>
      </c>
      <c r="H33" s="32">
        <f>H30*H34</f>
        <v/>
      </c>
      <c r="I33" s="32">
        <f>I30*I34</f>
        <v/>
      </c>
      <c r="J33" s="32">
        <f>J30*J34</f>
        <v/>
      </c>
      <c r="K33" s="32">
        <f>K30*K34</f>
        <v/>
      </c>
      <c r="L33" s="32">
        <f>L30*L34</f>
        <v/>
      </c>
      <c r="M33" s="32">
        <f>M30*M34</f>
        <v/>
      </c>
      <c r="N33" s="32">
        <f>N30*N34</f>
        <v/>
      </c>
      <c r="O33" s="32">
        <f>O30*O34</f>
        <v/>
      </c>
      <c r="P33" s="32">
        <f>P30*P34</f>
        <v/>
      </c>
    </row>
    <row r="34">
      <c r="A34" s="4" t="inlineStr">
        <is>
          <t xml:space="preserve">    Capex / D&amp;A  (from Dashboard: $cap'26 -&gt; terminal)</t>
        </is>
      </c>
      <c r="B34" s="59">
        <f>IFERROR(B33/B30,"")</f>
        <v/>
      </c>
      <c r="C34" s="59">
        <f>IFERROR(C33/C30,"")</f>
        <v/>
      </c>
      <c r="D34" s="59">
        <f>IFERROR(D33/D30,"")</f>
        <v/>
      </c>
      <c r="E34" s="59">
        <f>IFERROR(E33/E30,"")</f>
        <v/>
      </c>
      <c r="F34" s="59">
        <f>IFERROR(F33/F30,"")</f>
        <v/>
      </c>
      <c r="G34" s="49">
        <f>(Dashboard!$B$34/G30)+(Dashboard!$B$35-(Dashboard!$B$34/G30))*0/9</f>
        <v/>
      </c>
      <c r="H34" s="49">
        <f>(Dashboard!$B$34/G30)+(Dashboard!$B$35-(Dashboard!$B$34/G30))*1/9</f>
        <v/>
      </c>
      <c r="I34" s="49">
        <f>(Dashboard!$B$34/G30)+(Dashboard!$B$35-(Dashboard!$B$34/G30))*2/9</f>
        <v/>
      </c>
      <c r="J34" s="49">
        <f>(Dashboard!$B$34/G30)+(Dashboard!$B$35-(Dashboard!$B$34/G30))*3/9</f>
        <v/>
      </c>
      <c r="K34" s="49">
        <f>(Dashboard!$B$34/G30)+(Dashboard!$B$35-(Dashboard!$B$34/G30))*4/9</f>
        <v/>
      </c>
      <c r="L34" s="49">
        <f>(Dashboard!$B$34/G30)+(Dashboard!$B$35-(Dashboard!$B$34/G30))*5/9</f>
        <v/>
      </c>
      <c r="M34" s="49">
        <f>(Dashboard!$B$34/G30)+(Dashboard!$B$35-(Dashboard!$B$34/G30))*6/9</f>
        <v/>
      </c>
      <c r="N34" s="49">
        <f>(Dashboard!$B$34/G30)+(Dashboard!$B$35-(Dashboard!$B$34/G30))*7/9</f>
        <v/>
      </c>
      <c r="O34" s="49">
        <f>(Dashboard!$B$34/G30)+(Dashboard!$B$35-(Dashboard!$B$34/G30))*8/9</f>
        <v/>
      </c>
      <c r="P34" s="49">
        <f>(Dashboard!$B$34/G30)+(Dashboard!$B$35-(Dashboard!$B$34/G30))*9/9</f>
        <v/>
      </c>
    </row>
    <row r="36">
      <c r="A36" s="3" t="inlineStr">
        <is>
          <t>FCFF (firm)</t>
        </is>
      </c>
      <c r="B36" s="33">
        <f>B29+B30+B31-B32-B33</f>
        <v/>
      </c>
      <c r="C36" s="33">
        <f>C29+C30+C31-C32-C33</f>
        <v/>
      </c>
      <c r="D36" s="33">
        <f>D29+D30+D31-D32-D33</f>
        <v/>
      </c>
      <c r="E36" s="33">
        <f>E29+E30+E31-E32-E33</f>
        <v/>
      </c>
      <c r="F36" s="33">
        <f>F29+F30+F31-F32-F33</f>
        <v/>
      </c>
      <c r="G36" s="33">
        <f>G29+G30+G31-G32-G33</f>
        <v/>
      </c>
      <c r="H36" s="33">
        <f>H29+H30+H31-H32-H33</f>
        <v/>
      </c>
      <c r="I36" s="33">
        <f>I29+I30+I31-I32-I33</f>
        <v/>
      </c>
      <c r="J36" s="33">
        <f>J29+J30+J31-J32-J33</f>
        <v/>
      </c>
      <c r="K36" s="33">
        <f>K29+K30+K31-K32-K33</f>
        <v/>
      </c>
      <c r="L36" s="33">
        <f>L29+L30+L31-L32-L33</f>
        <v/>
      </c>
      <c r="M36" s="33">
        <f>M29+M30+M31-M32-M33</f>
        <v/>
      </c>
      <c r="N36" s="33">
        <f>N29+N30+N31-N32-N33</f>
        <v/>
      </c>
      <c r="O36" s="33">
        <f>O29+O30+O31-O32-O33</f>
        <v/>
      </c>
      <c r="P36" s="33">
        <f>P29+P30+P31-P32-P33</f>
        <v/>
      </c>
    </row>
    <row r="37">
      <c r="A37" s="3" t="inlineStr">
        <is>
          <t>Valuation FCF (FCFF - SBC)</t>
        </is>
      </c>
      <c r="B37" s="33">
        <f>B36-B31</f>
        <v/>
      </c>
      <c r="C37" s="33">
        <f>C36-C31</f>
        <v/>
      </c>
      <c r="D37" s="33">
        <f>D36-D31</f>
        <v/>
      </c>
      <c r="E37" s="33">
        <f>E36-E31</f>
        <v/>
      </c>
      <c r="F37" s="33">
        <f>F36-F31</f>
        <v/>
      </c>
      <c r="G37" s="33">
        <f>G36-G31</f>
        <v/>
      </c>
      <c r="H37" s="33">
        <f>H36-H31</f>
        <v/>
      </c>
      <c r="I37" s="33">
        <f>I36-I31</f>
        <v/>
      </c>
      <c r="J37" s="33">
        <f>J36-J31</f>
        <v/>
      </c>
      <c r="K37" s="33">
        <f>K36-K31</f>
        <v/>
      </c>
      <c r="L37" s="33">
        <f>L36-L31</f>
        <v/>
      </c>
      <c r="M37" s="33">
        <f>M36-M31</f>
        <v/>
      </c>
      <c r="N37" s="33">
        <f>N36-N31</f>
        <v/>
      </c>
      <c r="O37" s="33">
        <f>O36-O31</f>
        <v/>
      </c>
      <c r="P37" s="33">
        <f>P36-P31</f>
        <v/>
      </c>
    </row>
    <row r="39">
      <c r="A39" s="5" t="inlineStr">
        <is>
          <t xml:space="preserve">  RETURNS ON CAPITAL &amp; EFFICIENCY  (is new revenue/capital earning its keep?)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4" t="inlineStr">
        <is>
          <t>Invested capital (debt + equity - cash)</t>
        </is>
      </c>
      <c r="B40" s="28">
        <f>Financials!L48+Financials!L47-Financials!L42</f>
        <v/>
      </c>
      <c r="C40" s="28">
        <f>Financials!P48+Financials!P47-Financials!P42</f>
        <v/>
      </c>
      <c r="D40" s="28">
        <f>Financials!T48+Financials!T47-Financials!T42</f>
        <v/>
      </c>
      <c r="E40" s="28">
        <f>Financials!X48+Financials!X47-Financials!X42</f>
        <v/>
      </c>
      <c r="F40" s="28">
        <f>Financials!AB48+Financials!AB47-Financials!AB42</f>
        <v/>
      </c>
      <c r="G40" s="32">
        <f>F40+G33-G30+G32</f>
        <v/>
      </c>
      <c r="H40" s="32">
        <f>G40+H33-H30+H32</f>
        <v/>
      </c>
      <c r="I40" s="32">
        <f>H40+I33-I30+I32</f>
        <v/>
      </c>
      <c r="J40" s="32">
        <f>I40+J33-J30+J32</f>
        <v/>
      </c>
      <c r="K40" s="32">
        <f>J40+K33-K30+K32</f>
        <v/>
      </c>
      <c r="L40" s="32">
        <f>K40+L33-L30+L32</f>
        <v/>
      </c>
      <c r="M40" s="32">
        <f>L40+M33-M30+M32</f>
        <v/>
      </c>
      <c r="N40" s="32">
        <f>M40+N33-N30+N32</f>
        <v/>
      </c>
      <c r="O40" s="32">
        <f>N40+O33-O30+O32</f>
        <v/>
      </c>
      <c r="P40" s="32">
        <f>O40+P33-P30+P32</f>
        <v/>
      </c>
    </row>
    <row r="41">
      <c r="A41" s="4" t="inlineStr">
        <is>
          <t>Book equity (year-end)</t>
        </is>
      </c>
      <c r="B41" s="28">
        <f>Financials!L48</f>
        <v/>
      </c>
      <c r="C41" s="28">
        <f>Financials!P48</f>
        <v/>
      </c>
      <c r="D41" s="28">
        <f>Financials!T48</f>
        <v/>
      </c>
      <c r="E41" s="28">
        <f>Financials!X48</f>
        <v/>
      </c>
      <c r="F41" s="28">
        <f>Financials!AB48</f>
        <v/>
      </c>
      <c r="G41" s="32">
        <f>F41+G29</f>
        <v/>
      </c>
      <c r="H41" s="32">
        <f>G41+H29</f>
        <v/>
      </c>
      <c r="I41" s="32">
        <f>H41+I29</f>
        <v/>
      </c>
      <c r="J41" s="32">
        <f>I41+J29</f>
        <v/>
      </c>
      <c r="K41" s="32">
        <f>J41+K29</f>
        <v/>
      </c>
      <c r="L41" s="32">
        <f>K41+L29</f>
        <v/>
      </c>
      <c r="M41" s="32">
        <f>L41+M29</f>
        <v/>
      </c>
      <c r="N41" s="32">
        <f>M41+N29</f>
        <v/>
      </c>
      <c r="O41" s="32">
        <f>N41+O29</f>
        <v/>
      </c>
      <c r="P41" s="32">
        <f>O41+P29</f>
        <v/>
      </c>
    </row>
    <row r="42">
      <c r="A42" s="3" t="inlineStr">
        <is>
          <t xml:space="preserve">  ROIC (NOPAT / beg. invested capital)</t>
        </is>
      </c>
      <c r="C42" s="57">
        <f>IFERROR(C29/B40,"")</f>
        <v/>
      </c>
      <c r="D42" s="57">
        <f>IFERROR(D29/C40,"")</f>
        <v/>
      </c>
      <c r="E42" s="57">
        <f>IFERROR(E29/D40,"")</f>
        <v/>
      </c>
      <c r="F42" s="57">
        <f>IFERROR(F29/E40,"")</f>
        <v/>
      </c>
      <c r="G42" s="57">
        <f>IFERROR(G29/F40,"")</f>
        <v/>
      </c>
      <c r="H42" s="57">
        <f>IFERROR(H29/G40,"")</f>
        <v/>
      </c>
      <c r="I42" s="57">
        <f>IFERROR(I29/H40,"")</f>
        <v/>
      </c>
      <c r="J42" s="57">
        <f>IFERROR(J29/I40,"")</f>
        <v/>
      </c>
      <c r="K42" s="57">
        <f>IFERROR(K29/J40,"")</f>
        <v/>
      </c>
      <c r="L42" s="57">
        <f>IFERROR(L29/K40,"")</f>
        <v/>
      </c>
      <c r="M42" s="57">
        <f>IFERROR(M29/L40,"")</f>
        <v/>
      </c>
      <c r="N42" s="57">
        <f>IFERROR(N29/M40,"")</f>
        <v/>
      </c>
      <c r="O42" s="57">
        <f>IFERROR(O29/N40,"")</f>
        <v/>
      </c>
      <c r="P42" s="57">
        <f>IFERROR(P29/O40,"")</f>
        <v/>
      </c>
    </row>
    <row r="43">
      <c r="A43" s="3" t="inlineStr">
        <is>
          <t xml:space="preserve">  ROE (earnings / beg. equity)</t>
        </is>
      </c>
      <c r="C43" s="48">
        <f>IFERROR(SUM(Financials!M15:P15)/B41,"")</f>
        <v/>
      </c>
      <c r="D43" s="48">
        <f>IFERROR(SUM(Financials!Q15:T15)/C41,"")</f>
        <v/>
      </c>
      <c r="E43" s="48">
        <f>IFERROR(SUM(Financials!U15:X15)/D41,"")</f>
        <v/>
      </c>
      <c r="F43" s="48">
        <f>IFERROR(SUM(Financials!Y15:AB15)/E41,"")</f>
        <v/>
      </c>
      <c r="G43" s="57">
        <f>IFERROR(G29/F41,"")</f>
        <v/>
      </c>
      <c r="H43" s="57">
        <f>IFERROR(H29/G41,"")</f>
        <v/>
      </c>
      <c r="I43" s="57">
        <f>IFERROR(I29/H41,"")</f>
        <v/>
      </c>
      <c r="J43" s="57">
        <f>IFERROR(J29/I41,"")</f>
        <v/>
      </c>
      <c r="K43" s="57">
        <f>IFERROR(K29/J41,"")</f>
        <v/>
      </c>
      <c r="L43" s="57">
        <f>IFERROR(L29/K41,"")</f>
        <v/>
      </c>
      <c r="M43" s="57">
        <f>IFERROR(M29/L41,"")</f>
        <v/>
      </c>
      <c r="N43" s="57">
        <f>IFERROR(N29/M41,"")</f>
        <v/>
      </c>
      <c r="O43" s="57">
        <f>IFERROR(O29/N41,"")</f>
        <v/>
      </c>
      <c r="P43" s="57">
        <f>IFERROR(P29/O41,"")</f>
        <v/>
      </c>
    </row>
    <row r="44">
      <c r="A44" s="4" t="inlineStr">
        <is>
          <t xml:space="preserve">  ROIC - WACC spread (value created)</t>
        </is>
      </c>
      <c r="C44" s="48">
        <f>IFERROR(C42-WACC!$B$14,"")</f>
        <v/>
      </c>
      <c r="D44" s="48">
        <f>IFERROR(D42-WACC!$B$14,"")</f>
        <v/>
      </c>
      <c r="E44" s="48">
        <f>IFERROR(E42-WACC!$B$14,"")</f>
        <v/>
      </c>
      <c r="F44" s="48">
        <f>IFERROR(F42-WACC!$B$14,"")</f>
        <v/>
      </c>
      <c r="G44" s="48">
        <f>IFERROR(G42-WACC!$B$14,"")</f>
        <v/>
      </c>
      <c r="H44" s="48">
        <f>IFERROR(H42-WACC!$B$14,"")</f>
        <v/>
      </c>
      <c r="I44" s="48">
        <f>IFERROR(I42-WACC!$B$14,"")</f>
        <v/>
      </c>
      <c r="J44" s="48">
        <f>IFERROR(J42-WACC!$B$14,"")</f>
        <v/>
      </c>
      <c r="K44" s="48">
        <f>IFERROR(K42-WACC!$B$14,"")</f>
        <v/>
      </c>
      <c r="L44" s="48">
        <f>IFERROR(L42-WACC!$B$14,"")</f>
        <v/>
      </c>
      <c r="M44" s="48">
        <f>IFERROR(M42-WACC!$B$14,"")</f>
        <v/>
      </c>
      <c r="N44" s="48">
        <f>IFERROR(N42-WACC!$B$14,"")</f>
        <v/>
      </c>
      <c r="O44" s="48">
        <f>IFERROR(O42-WACC!$B$14,"")</f>
        <v/>
      </c>
      <c r="P44" s="48">
        <f>IFERROR(P42-WACC!$B$14,"")</f>
        <v/>
      </c>
    </row>
    <row r="45">
      <c r="A45" s="4" t="inlineStr">
        <is>
          <t xml:space="preserve">  Incremental op margin (ΔEBIT / ΔRev)</t>
        </is>
      </c>
      <c r="C45" s="57">
        <f>IFERROR((C25-B25)/(C12-B12),"")</f>
        <v/>
      </c>
      <c r="D45" s="57">
        <f>IFERROR((D25-C25)/(D12-C12),"")</f>
        <v/>
      </c>
      <c r="E45" s="57">
        <f>IFERROR((E25-D25)/(E12-D12),"")</f>
        <v/>
      </c>
      <c r="F45" s="57">
        <f>IFERROR((F25-E25)/(F12-E12),"")</f>
        <v/>
      </c>
      <c r="G45" s="57">
        <f>IFERROR((G25-F25)/(G12-F12),"")</f>
        <v/>
      </c>
      <c r="H45" s="57">
        <f>IFERROR((H25-G25)/(H12-G12),"")</f>
        <v/>
      </c>
      <c r="I45" s="57">
        <f>IFERROR((I25-H25)/(I12-H12),"")</f>
        <v/>
      </c>
      <c r="J45" s="57">
        <f>IFERROR((J25-I25)/(J12-I12),"")</f>
        <v/>
      </c>
      <c r="K45" s="57">
        <f>IFERROR((K25-J25)/(K12-J12),"")</f>
        <v/>
      </c>
      <c r="L45" s="57">
        <f>IFERROR((L25-K25)/(L12-K12),"")</f>
        <v/>
      </c>
      <c r="M45" s="57">
        <f>IFERROR((M25-L25)/(M12-L12),"")</f>
        <v/>
      </c>
      <c r="N45" s="57">
        <f>IFERROR((N25-M25)/(N12-M12),"")</f>
        <v/>
      </c>
      <c r="O45" s="57">
        <f>IFERROR((O25-N25)/(O12-N12),"")</f>
        <v/>
      </c>
      <c r="P45" s="57">
        <f>IFERROR((P25-O25)/(P12-O12),"")</f>
        <v/>
      </c>
    </row>
    <row r="46">
      <c r="A46" s="3" t="inlineStr">
        <is>
          <t xml:space="preserve">  ROIIC (ΔNOPAT / ΔInvested capital)</t>
        </is>
      </c>
      <c r="C46" s="57">
        <f>IFERROR((C29-B29)/(C40-B40),"")</f>
        <v/>
      </c>
      <c r="D46" s="57">
        <f>IFERROR((D29-C29)/(D40-C40),"")</f>
        <v/>
      </c>
      <c r="E46" s="57">
        <f>IFERROR((E29-D29)/(E40-D40),"")</f>
        <v/>
      </c>
      <c r="F46" s="57">
        <f>IFERROR((F29-E29)/(F40-E40),"")</f>
        <v/>
      </c>
      <c r="G46" s="57">
        <f>IFERROR((G29-F29)/(G40-F40),"")</f>
        <v/>
      </c>
      <c r="H46" s="57">
        <f>IFERROR((H29-G29)/(H40-G40),"")</f>
        <v/>
      </c>
      <c r="I46" s="57">
        <f>IFERROR((I29-H29)/(I40-H40),"")</f>
        <v/>
      </c>
      <c r="J46" s="57">
        <f>IFERROR((J29-I29)/(J40-I40),"")</f>
        <v/>
      </c>
      <c r="K46" s="57">
        <f>IFERROR((K29-J29)/(K40-J40),"")</f>
        <v/>
      </c>
      <c r="L46" s="57">
        <f>IFERROR((L29-K29)/(L40-K40),"")</f>
        <v/>
      </c>
      <c r="M46" s="57">
        <f>IFERROR((M29-L29)/(M40-L40),"")</f>
        <v/>
      </c>
      <c r="N46" s="57">
        <f>IFERROR((N29-M29)/(N40-M40),"")</f>
        <v/>
      </c>
      <c r="O46" s="57">
        <f>IFERROR((O29-N29)/(O40-N40),"")</f>
        <v/>
      </c>
      <c r="P46" s="57">
        <f>IFERROR((P29-O29)/(P40-O40),"")</f>
        <v/>
      </c>
    </row>
    <row r="47">
      <c r="A47" s="4" t="inlineStr">
        <is>
          <t xml:space="preserve">  Sales-to-capital (ΔRev / ΔInvested capital)</t>
        </is>
      </c>
      <c r="C47" s="60">
        <f>IFERROR((C12-B12)/(C40-B40),"")</f>
        <v/>
      </c>
      <c r="D47" s="60">
        <f>IFERROR((D12-C12)/(D40-C40),"")</f>
        <v/>
      </c>
      <c r="E47" s="60">
        <f>IFERROR((E12-D12)/(E40-D40),"")</f>
        <v/>
      </c>
      <c r="F47" s="60">
        <f>IFERROR((F12-E12)/(F40-E40),"")</f>
        <v/>
      </c>
      <c r="G47" s="60">
        <f>IFERROR((G12-F12)/(G40-F40),"")</f>
        <v/>
      </c>
      <c r="H47" s="60">
        <f>IFERROR((H12-G12)/(H40-G40),"")</f>
        <v/>
      </c>
      <c r="I47" s="60">
        <f>IFERROR((I12-H12)/(I40-H40),"")</f>
        <v/>
      </c>
      <c r="J47" s="60">
        <f>IFERROR((J12-I12)/(J40-I40),"")</f>
        <v/>
      </c>
      <c r="K47" s="60">
        <f>IFERROR((K12-J12)/(K40-J40),"")</f>
        <v/>
      </c>
      <c r="L47" s="60">
        <f>IFERROR((L12-K12)/(L40-K40),"")</f>
        <v/>
      </c>
      <c r="M47" s="60">
        <f>IFERROR((M12-L12)/(M40-L40),"")</f>
        <v/>
      </c>
      <c r="N47" s="60">
        <f>IFERROR((N12-M12)/(N40-M40),"")</f>
        <v/>
      </c>
      <c r="O47" s="60">
        <f>IFERROR((O12-N12)/(O40-N40),"")</f>
        <v/>
      </c>
      <c r="P47" s="60">
        <f>IFERROR((P12-O12)/(P40-O40),"")</f>
        <v/>
      </c>
    </row>
    <row r="48">
      <c r="A48" s="4" t="inlineStr">
        <is>
          <t xml:space="preserve">  Reinvestment rate (ΔInvested capital / NOPAT)</t>
        </is>
      </c>
      <c r="C48" s="57">
        <f>IFERROR((C40-B40)/C29,"")</f>
        <v/>
      </c>
      <c r="D48" s="57">
        <f>IFERROR((D40-C40)/D29,"")</f>
        <v/>
      </c>
      <c r="E48" s="57">
        <f>IFERROR((E40-D40)/E29,"")</f>
        <v/>
      </c>
      <c r="F48" s="57">
        <f>IFERROR((F40-E40)/F29,"")</f>
        <v/>
      </c>
      <c r="G48" s="57">
        <f>IFERROR((G40-F40)/G29,"")</f>
        <v/>
      </c>
      <c r="H48" s="57">
        <f>IFERROR((H40-G40)/H29,"")</f>
        <v/>
      </c>
      <c r="I48" s="57">
        <f>IFERROR((I40-H40)/I29,"")</f>
        <v/>
      </c>
      <c r="J48" s="57">
        <f>IFERROR((J40-I40)/J29,"")</f>
        <v/>
      </c>
      <c r="K48" s="57">
        <f>IFERROR((K40-J40)/K29,"")</f>
        <v/>
      </c>
      <c r="L48" s="57">
        <f>IFERROR((L40-K40)/L29,"")</f>
        <v/>
      </c>
      <c r="M48" s="57">
        <f>IFERROR((M40-L40)/M29,"")</f>
        <v/>
      </c>
      <c r="N48" s="57">
        <f>IFERROR((N40-M40)/N29,"")</f>
        <v/>
      </c>
      <c r="O48" s="57">
        <f>IFERROR((O40-N40)/O29,"")</f>
        <v/>
      </c>
      <c r="P48" s="57">
        <f>IFERROR((P40-O40)/P29,"")</f>
        <v/>
      </c>
    </row>
    <row r="50">
      <c r="A50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865.011</v>
      </c>
      <c r="C3" s="18" t="n">
        <v>960.606</v>
      </c>
      <c r="D3" s="18" t="n">
        <v>967.987</v>
      </c>
      <c r="E3" s="18" t="n">
        <v>832.912</v>
      </c>
      <c r="F3" s="18" t="n">
        <v>894.053</v>
      </c>
      <c r="G3" s="18" t="n">
        <v>976.712</v>
      </c>
      <c r="H3" s="18" t="n">
        <v>828.48</v>
      </c>
      <c r="I3" s="18" t="n">
        <v>757.13</v>
      </c>
      <c r="J3" s="18" t="n">
        <v>833.927</v>
      </c>
      <c r="K3" s="18" t="n">
        <v>988.141</v>
      </c>
      <c r="L3" s="18" t="n">
        <v>1041.486</v>
      </c>
      <c r="M3" s="18" t="n">
        <v>844.443</v>
      </c>
      <c r="N3" s="18" t="n">
        <v>949.227</v>
      </c>
      <c r="O3" s="18" t="n">
        <v>867.981</v>
      </c>
      <c r="P3" s="18" t="n">
        <v>971.01</v>
      </c>
      <c r="Q3" s="18" t="n">
        <v>1056.521</v>
      </c>
      <c r="R3" s="18" t="n">
        <v>1132.655</v>
      </c>
      <c r="S3" s="18" t="n">
        <v>1067.886</v>
      </c>
      <c r="T3" s="18" t="n">
        <v>1129.487</v>
      </c>
      <c r="U3" s="18" t="n">
        <v>1037.709</v>
      </c>
      <c r="V3" s="18" t="n">
        <v>910.826</v>
      </c>
      <c r="W3" s="18" t="n">
        <v>942.308</v>
      </c>
      <c r="X3" s="18" t="n">
        <v>1124.112</v>
      </c>
      <c r="Y3" s="18" t="n">
        <v>1072.26</v>
      </c>
      <c r="Z3" s="18" t="n">
        <v>1125.878</v>
      </c>
      <c r="AA3" s="18" t="n">
        <v>1219.385</v>
      </c>
      <c r="AB3" s="18" t="n">
        <v>1351.984</v>
      </c>
      <c r="AC3" s="18" t="n">
        <v>1427.042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517.345</v>
      </c>
      <c r="C5" s="18" t="n">
        <v>563.859</v>
      </c>
      <c r="D5" s="18" t="n">
        <v>576.018</v>
      </c>
      <c r="E5" s="18" t="n">
        <v>494.012</v>
      </c>
      <c r="F5" s="18" t="n">
        <v>509.165</v>
      </c>
      <c r="G5" s="18" t="n">
        <v>539.86</v>
      </c>
      <c r="H5" s="18" t="n">
        <v>453.52</v>
      </c>
      <c r="I5" s="18" t="n">
        <v>428.337</v>
      </c>
      <c r="J5" s="18" t="n">
        <v>451.634</v>
      </c>
      <c r="K5" s="18" t="n">
        <v>544.181</v>
      </c>
      <c r="L5" s="18" t="n">
        <v>594.518</v>
      </c>
      <c r="M5" s="18" t="n">
        <v>492.827</v>
      </c>
      <c r="N5" s="18" t="n">
        <v>578.7430000000001</v>
      </c>
      <c r="O5" s="18" t="n">
        <v>558.371</v>
      </c>
      <c r="P5" s="18" t="n">
        <v>570.809</v>
      </c>
      <c r="Q5" s="18" t="n">
        <v>630.224</v>
      </c>
      <c r="R5" s="18" t="n">
        <v>678.5119999999999</v>
      </c>
      <c r="S5" s="18" t="n">
        <v>651.742</v>
      </c>
      <c r="T5" s="18" t="n">
        <v>677.135</v>
      </c>
      <c r="U5" s="18" t="n">
        <v>600.807</v>
      </c>
      <c r="V5" s="18" t="n">
        <v>553.3200000000001</v>
      </c>
      <c r="W5" s="18" t="n">
        <v>568.529</v>
      </c>
      <c r="X5" s="18" t="n">
        <v>695.124</v>
      </c>
      <c r="Y5" s="18" t="n">
        <v>631.663</v>
      </c>
      <c r="Z5" s="18" t="n">
        <v>704.677</v>
      </c>
      <c r="AA5" s="18" t="n">
        <v>749.728</v>
      </c>
      <c r="AB5" s="18" t="n">
        <v>780.917</v>
      </c>
      <c r="AC5" s="18" t="n">
        <v>806.258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116.487</v>
      </c>
      <c r="C7" s="18" t="n">
        <v>117.804</v>
      </c>
      <c r="D7" s="18" t="n">
        <v>119.152</v>
      </c>
      <c r="E7" s="18" t="n">
        <v>105.118</v>
      </c>
      <c r="F7" s="18" t="n">
        <v>108.931</v>
      </c>
      <c r="G7" s="18" t="n">
        <v>108.232</v>
      </c>
      <c r="H7" s="18" t="n">
        <v>113.699</v>
      </c>
      <c r="I7" s="18" t="n">
        <v>109.553</v>
      </c>
      <c r="J7" s="18" t="n">
        <v>86.139</v>
      </c>
      <c r="K7" s="18" t="n">
        <v>121.602</v>
      </c>
      <c r="L7" s="18" t="n">
        <v>123.139</v>
      </c>
      <c r="M7" s="18" t="n">
        <v>124.756</v>
      </c>
      <c r="N7" s="18" t="n">
        <v>136.947</v>
      </c>
      <c r="O7" s="18" t="n">
        <v>127.775</v>
      </c>
      <c r="P7" s="18" t="n">
        <v>139.256</v>
      </c>
      <c r="Q7" s="18" t="n">
        <v>159.522</v>
      </c>
      <c r="R7" s="18" t="n">
        <v>166.298</v>
      </c>
      <c r="S7" s="18" t="n">
        <v>166.082</v>
      </c>
      <c r="T7" s="18" t="n">
        <v>166.093</v>
      </c>
      <c r="U7" s="18" t="n">
        <v>164.461</v>
      </c>
      <c r="V7" s="18" t="n">
        <v>172.172</v>
      </c>
      <c r="W7" s="18" t="n">
        <v>165.907</v>
      </c>
      <c r="X7" s="18" t="n">
        <v>172.111</v>
      </c>
      <c r="Y7" s="18" t="n">
        <v>167.984</v>
      </c>
      <c r="Z7" s="18" t="n">
        <v>189.776</v>
      </c>
      <c r="AA7" s="18" t="n">
        <v>185.032</v>
      </c>
      <c r="AB7" s="18" t="n">
        <v>228.9</v>
      </c>
      <c r="AC7" s="18" t="n">
        <v>221.458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145.656</v>
      </c>
      <c r="C9" s="18" t="n">
        <v>146.925</v>
      </c>
      <c r="D9" s="18" t="n">
        <v>167.508</v>
      </c>
      <c r="E9" s="18" t="n">
        <v>149.534</v>
      </c>
      <c r="F9" s="18" t="n">
        <v>143.244</v>
      </c>
      <c r="G9" s="18" t="n">
        <v>136.398</v>
      </c>
      <c r="H9" s="18" t="n">
        <v>156.797</v>
      </c>
      <c r="I9" s="18" t="n">
        <v>137.271</v>
      </c>
      <c r="J9" s="18" t="n">
        <v>154.022</v>
      </c>
      <c r="K9" s="18" t="n">
        <v>163.787</v>
      </c>
      <c r="L9" s="18" t="n">
        <v>179.008</v>
      </c>
      <c r="M9" s="18" t="n">
        <v>163.379</v>
      </c>
      <c r="N9" s="18" t="n">
        <v>165.511</v>
      </c>
      <c r="O9" s="18" t="n">
        <v>147.001</v>
      </c>
      <c r="P9" s="18" t="n">
        <v>170.056</v>
      </c>
      <c r="Q9" s="18" t="n">
        <v>174.703</v>
      </c>
      <c r="R9" s="18" t="n">
        <v>176.022</v>
      </c>
      <c r="S9" s="18" t="n">
        <v>167.615</v>
      </c>
      <c r="T9" s="18" t="n">
        <v>187.748</v>
      </c>
      <c r="U9" s="18" t="n">
        <v>182.841</v>
      </c>
      <c r="V9" s="18" t="n">
        <v>173.644</v>
      </c>
      <c r="W9" s="18" t="n">
        <v>179.768</v>
      </c>
      <c r="X9" s="18" t="n">
        <v>195.062</v>
      </c>
      <c r="Y9" s="18" t="n">
        <v>190.406</v>
      </c>
      <c r="Z9" s="18" t="n">
        <v>196.635</v>
      </c>
      <c r="AA9" s="18" t="n">
        <v>209.32</v>
      </c>
      <c r="AB9" s="18" t="n">
        <v>223.677</v>
      </c>
      <c r="AC9" s="18" t="n">
        <v>208.11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347.666</v>
      </c>
      <c r="C11" s="18" t="n">
        <v>396.747</v>
      </c>
      <c r="D11" s="18" t="n">
        <v>391.969</v>
      </c>
      <c r="E11" s="18" t="n">
        <v>338.9</v>
      </c>
      <c r="F11" s="18" t="n">
        <v>384.888</v>
      </c>
      <c r="G11" s="18" t="n">
        <v>436.852</v>
      </c>
      <c r="H11" s="18" t="n">
        <v>374.96</v>
      </c>
      <c r="I11" s="18" t="n">
        <v>328.793</v>
      </c>
      <c r="J11" s="18" t="n">
        <v>382.293</v>
      </c>
      <c r="K11" s="18" t="n">
        <v>443.96</v>
      </c>
      <c r="L11" s="18" t="n">
        <v>446.968</v>
      </c>
      <c r="M11" s="18" t="n">
        <v>351.616</v>
      </c>
      <c r="N11" s="18" t="n">
        <v>370.484</v>
      </c>
      <c r="O11" s="18" t="n">
        <v>309.61</v>
      </c>
      <c r="P11" s="18" t="n">
        <v>400.201</v>
      </c>
      <c r="Q11" s="18" t="n">
        <v>426.297</v>
      </c>
      <c r="R11" s="18" t="n">
        <v>454.143</v>
      </c>
      <c r="S11" s="18" t="n">
        <v>416.144</v>
      </c>
      <c r="T11" s="18" t="n">
        <v>452.352</v>
      </c>
      <c r="U11" s="18" t="n">
        <v>436.902</v>
      </c>
      <c r="V11" s="18" t="n">
        <v>357.506</v>
      </c>
      <c r="W11" s="18" t="n">
        <v>373.779</v>
      </c>
      <c r="X11" s="18" t="n">
        <v>428.988</v>
      </c>
      <c r="Y11" s="18" t="n">
        <v>440.597</v>
      </c>
      <c r="Z11" s="18" t="n">
        <v>421.201</v>
      </c>
      <c r="AA11" s="18" t="n">
        <v>469.657</v>
      </c>
      <c r="AB11" s="18" t="n">
        <v>571.067</v>
      </c>
      <c r="AC11" s="18" t="n">
        <v>620.784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85.523</v>
      </c>
      <c r="C13" s="18" t="n">
        <v>132.018</v>
      </c>
      <c r="D13" s="18" t="n">
        <v>105.309</v>
      </c>
      <c r="E13" s="18" t="n">
        <v>84.248</v>
      </c>
      <c r="F13" s="18" t="n">
        <v>132.713</v>
      </c>
      <c r="G13" s="18" t="n">
        <v>192.222</v>
      </c>
      <c r="H13" s="18" t="n">
        <v>104.464</v>
      </c>
      <c r="I13" s="18" t="n">
        <v>81.96899999999999</v>
      </c>
      <c r="J13" s="18" t="n">
        <v>142.132</v>
      </c>
      <c r="K13" s="18" t="n">
        <v>158.571</v>
      </c>
      <c r="L13" s="18" t="n">
        <v>144.821</v>
      </c>
      <c r="M13" s="18" t="n">
        <v>63.481</v>
      </c>
      <c r="N13" s="18" t="n">
        <v>68.026</v>
      </c>
      <c r="O13" s="18" t="n">
        <v>34.834</v>
      </c>
      <c r="P13" s="18" t="n">
        <v>90.889</v>
      </c>
      <c r="Q13" s="18" t="n">
        <v>92.072</v>
      </c>
      <c r="R13" s="18" t="n">
        <v>111.823</v>
      </c>
      <c r="S13" s="18" t="n">
        <v>82.447</v>
      </c>
      <c r="T13" s="18" t="n">
        <v>98.511</v>
      </c>
      <c r="U13" s="18" t="n">
        <v>89.59999999999999</v>
      </c>
      <c r="V13" s="18" t="n">
        <v>11.69</v>
      </c>
      <c r="W13" s="18" t="n">
        <v>28.104</v>
      </c>
      <c r="X13" s="18" t="n">
        <v>61.815</v>
      </c>
      <c r="Y13" s="18" t="n">
        <v>82.20699999999999</v>
      </c>
      <c r="Z13" s="18" t="n">
        <v>34.79</v>
      </c>
      <c r="AA13" s="18" t="n">
        <v>75.30500000000001</v>
      </c>
      <c r="AB13" s="18" t="n">
        <v>118.49</v>
      </c>
      <c r="AC13" s="18" t="n">
        <v>191.216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52.738</v>
      </c>
      <c r="C15" s="18" t="n">
        <v>86.749</v>
      </c>
      <c r="D15" s="18" t="n">
        <v>80.331</v>
      </c>
      <c r="E15" s="18" t="n">
        <v>62.328</v>
      </c>
      <c r="F15" s="18" t="n">
        <v>91.655</v>
      </c>
      <c r="G15" s="18" t="n">
        <v>142.267</v>
      </c>
      <c r="H15" s="18" t="n">
        <v>65.041</v>
      </c>
      <c r="I15" s="18" t="n">
        <v>55.348</v>
      </c>
      <c r="J15" s="18" t="n">
        <v>103.117</v>
      </c>
      <c r="K15" s="18" t="n">
        <v>238.232</v>
      </c>
      <c r="L15" s="18" t="n">
        <v>103.499</v>
      </c>
      <c r="M15" s="18" t="n">
        <v>45.823</v>
      </c>
      <c r="N15" s="18" t="n">
        <v>38.922</v>
      </c>
      <c r="O15" s="18" t="n">
        <v>10.512</v>
      </c>
      <c r="P15" s="18" t="n">
        <v>57.645</v>
      </c>
      <c r="Q15" s="18" t="n">
        <v>76.241</v>
      </c>
      <c r="R15" s="18" t="n">
        <v>57.654</v>
      </c>
      <c r="S15" s="18" t="n">
        <v>29.733</v>
      </c>
      <c r="T15" s="18" t="n">
        <v>91.199</v>
      </c>
      <c r="U15" s="18" t="n">
        <v>49.547</v>
      </c>
      <c r="V15" s="18" t="n">
        <v>-16.849</v>
      </c>
      <c r="W15" s="18" t="n">
        <v>14.23</v>
      </c>
      <c r="X15" s="18" t="n">
        <v>37.028</v>
      </c>
      <c r="Y15" s="18" t="n">
        <v>44.572</v>
      </c>
      <c r="Z15" s="18" t="n">
        <v>8.968999999999999</v>
      </c>
      <c r="AA15" s="18" t="n">
        <v>50.308</v>
      </c>
      <c r="AB15" s="18" t="n">
        <v>19.489</v>
      </c>
      <c r="AC15" s="18" t="n">
        <v>150.283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158.289</v>
      </c>
      <c r="C17" s="18" t="n">
        <v>157.455</v>
      </c>
      <c r="D17" s="18" t="n">
        <v>156.612</v>
      </c>
      <c r="E17" s="18" t="n">
        <v>155.738</v>
      </c>
      <c r="F17" s="18" t="n">
        <v>155.141</v>
      </c>
      <c r="G17" s="18" t="n">
        <v>156.318</v>
      </c>
      <c r="H17" s="18" t="n">
        <v>156.563</v>
      </c>
      <c r="I17" s="18" t="n">
        <v>156.583</v>
      </c>
      <c r="J17" s="18" t="n">
        <v>156.876</v>
      </c>
      <c r="K17" s="18" t="n">
        <v>156.744</v>
      </c>
      <c r="L17" s="18" t="n">
        <v>156.689</v>
      </c>
      <c r="M17" s="18" t="n">
        <v>155.807</v>
      </c>
      <c r="N17" s="18" t="n">
        <v>153.344</v>
      </c>
      <c r="O17" s="18" t="n">
        <v>150.463</v>
      </c>
      <c r="P17" s="18" t="n">
        <v>149.111</v>
      </c>
      <c r="Q17" s="18" t="n">
        <v>149.551</v>
      </c>
      <c r="R17" s="18" t="n">
        <v>150.147</v>
      </c>
      <c r="S17" s="18" t="n">
        <v>149.977</v>
      </c>
      <c r="T17" s="18" t="n">
        <v>147.891</v>
      </c>
      <c r="U17" s="18" t="n">
        <v>145.848</v>
      </c>
      <c r="V17" s="18" t="n">
        <v>144.914</v>
      </c>
      <c r="W17" s="18" t="n">
        <v>145.361</v>
      </c>
      <c r="X17" s="18" t="n">
        <v>145.964</v>
      </c>
      <c r="Y17" s="18" t="n">
        <v>145.944</v>
      </c>
      <c r="Z17" s="18" t="n">
        <v>144.972</v>
      </c>
      <c r="AA17" s="18" t="n">
        <v>144.499</v>
      </c>
      <c r="AB17" s="18" t="n">
        <v>145.47</v>
      </c>
      <c r="AC17" s="18" t="n">
        <v>145.799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Networking Platforms Segment</t>
        </is>
      </c>
      <c r="O19" s="18" t="n">
        <v>664.578</v>
      </c>
      <c r="Q19" s="18" t="n">
        <v>855.139</v>
      </c>
      <c r="R19" s="18" t="n">
        <v>914.859</v>
      </c>
      <c r="S19" s="18" t="n">
        <v>846.5599999999999</v>
      </c>
      <c r="T19" s="18" t="n">
        <v>876.934</v>
      </c>
      <c r="U19" s="18" t="n">
        <v>807.236</v>
      </c>
      <c r="V19" s="18" t="n">
        <v>676.258</v>
      </c>
      <c r="W19" s="18" t="n">
        <v>699.537</v>
      </c>
      <c r="X19" s="18" t="n">
        <v>859.024</v>
      </c>
      <c r="Y19" s="18" t="n">
        <v>821.1420000000001</v>
      </c>
      <c r="Z19" s="18" t="n">
        <v>866.3150000000001</v>
      </c>
      <c r="AA19" s="18" t="n">
        <v>941.354</v>
      </c>
      <c r="AC19" s="18" t="n">
        <v>1149.168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Global Services</t>
        </is>
      </c>
      <c r="O22" s="18" t="n">
        <v>122.578</v>
      </c>
      <c r="Q22" s="18" t="n">
        <v>112.532</v>
      </c>
      <c r="R22" s="18" t="n">
        <v>127.786</v>
      </c>
      <c r="S22" s="18" t="n">
        <v>129.279</v>
      </c>
      <c r="T22" s="18" t="n">
        <v>150.417</v>
      </c>
      <c r="U22" s="18" t="n">
        <v>126.786</v>
      </c>
      <c r="V22" s="18" t="n">
        <v>134.689</v>
      </c>
      <c r="W22" s="18" t="n">
        <v>133.768</v>
      </c>
      <c r="X22" s="18" t="n">
        <v>141.976</v>
      </c>
      <c r="Y22" s="18" t="n">
        <v>130.019</v>
      </c>
      <c r="Z22" s="18" t="n">
        <v>146.171</v>
      </c>
      <c r="AA22" s="18" t="n">
        <v>160.265</v>
      </c>
      <c r="AC22" s="18" t="n">
        <v>164.07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4" t="inlineStr">
        <is>
          <t>Platform Software and Services Segment</t>
        </is>
      </c>
      <c r="C25" s="18" t="n">
        <v>37.312</v>
      </c>
      <c r="O25" s="18" t="n">
        <v>63.483</v>
      </c>
      <c r="Q25" s="18" t="n">
        <v>73.44499999999999</v>
      </c>
      <c r="R25" s="18" t="n">
        <v>69.443</v>
      </c>
      <c r="S25" s="18" t="n">
        <v>78.88</v>
      </c>
      <c r="T25" s="18" t="n">
        <v>82.105</v>
      </c>
      <c r="U25" s="18" t="n">
        <v>89.745</v>
      </c>
      <c r="V25" s="18" t="n">
        <v>85.44499999999999</v>
      </c>
      <c r="W25" s="18" t="n">
        <v>83.212</v>
      </c>
      <c r="X25" s="18" t="n">
        <v>99.66</v>
      </c>
      <c r="Y25" s="18" t="n">
        <v>95.06699999999999</v>
      </c>
      <c r="Z25" s="18" t="n">
        <v>85.441</v>
      </c>
      <c r="AA25" s="18" t="n">
        <v>89.961</v>
      </c>
      <c r="AC25" s="18" t="n">
        <v>93.384</v>
      </c>
    </row>
    <row r="26">
      <c r="A26" s="4" t="inlineStr">
        <is>
          <t xml:space="preserve">    % YoY</t>
        </is>
      </c>
      <c r="F26" s="57">
        <f>IFERROR(F25/B25-1,"")</f>
        <v/>
      </c>
      <c r="G26" s="57">
        <f>IFERROR(G25/C25-1,"")</f>
        <v/>
      </c>
      <c r="H26" s="57">
        <f>IFERROR(H25/D25-1,"")</f>
        <v/>
      </c>
      <c r="I26" s="57">
        <f>IFERROR(I25/E25-1,"")</f>
        <v/>
      </c>
      <c r="J26" s="57">
        <f>IFERROR(J25/F25-1,"")</f>
        <v/>
      </c>
      <c r="K26" s="57">
        <f>IFERROR(K25/G25-1,"")</f>
        <v/>
      </c>
      <c r="L26" s="57">
        <f>IFERROR(L25/H25-1,"")</f>
        <v/>
      </c>
      <c r="M26" s="57">
        <f>IFERROR(M25/I25-1,"")</f>
        <v/>
      </c>
      <c r="N26" s="57">
        <f>IFERROR(N25/J25-1,"")</f>
        <v/>
      </c>
      <c r="O26" s="57">
        <f>IFERROR(O25/K25-1,"")</f>
        <v/>
      </c>
      <c r="P26" s="57">
        <f>IFERROR(P25/L25-1,"")</f>
        <v/>
      </c>
      <c r="Q26" s="57">
        <f>IFERROR(Q25/M25-1,"")</f>
        <v/>
      </c>
      <c r="R26" s="57">
        <f>IFERROR(R25/N25-1,"")</f>
        <v/>
      </c>
      <c r="S26" s="57">
        <f>IFERROR(S25/O25-1,"")</f>
        <v/>
      </c>
      <c r="T26" s="57">
        <f>IFERROR(T25/P25-1,"")</f>
        <v/>
      </c>
      <c r="U26" s="57">
        <f>IFERROR(U25/Q25-1,"")</f>
        <v/>
      </c>
      <c r="V26" s="57">
        <f>IFERROR(V25/R25-1,"")</f>
        <v/>
      </c>
      <c r="W26" s="57">
        <f>IFERROR(W25/S25-1,"")</f>
        <v/>
      </c>
      <c r="X26" s="57">
        <f>IFERROR(X25/T25-1,"")</f>
        <v/>
      </c>
      <c r="Y26" s="57">
        <f>IFERROR(Y25/U25-1,"")</f>
        <v/>
      </c>
      <c r="Z26" s="57">
        <f>IFERROR(Z25/V25-1,"")</f>
        <v/>
      </c>
      <c r="AA26" s="57">
        <f>IFERROR(AA25/W25-1,"")</f>
        <v/>
      </c>
      <c r="AB26" s="57">
        <f>IFERROR(AB25/X25-1,"")</f>
        <v/>
      </c>
      <c r="AC26" s="57">
        <f>IFERROR(AC25/Y25-1,"")</f>
        <v/>
      </c>
    </row>
    <row r="27">
      <c r="A27" s="4" t="inlineStr">
        <is>
          <t xml:space="preserve">    % of revenue</t>
        </is>
      </c>
      <c r="B27" s="57">
        <f>IFERROR(B25/B3,"")</f>
        <v/>
      </c>
      <c r="C27" s="57">
        <f>IFERROR(C25/C3,"")</f>
        <v/>
      </c>
      <c r="D27" s="57">
        <f>IFERROR(D25/D3,"")</f>
        <v/>
      </c>
      <c r="E27" s="57">
        <f>IFERROR(E25/E3,"")</f>
        <v/>
      </c>
      <c r="F27" s="57">
        <f>IFERROR(F25/F3,"")</f>
        <v/>
      </c>
      <c r="G27" s="57">
        <f>IFERROR(G25/G3,"")</f>
        <v/>
      </c>
      <c r="H27" s="57">
        <f>IFERROR(H25/H3,"")</f>
        <v/>
      </c>
      <c r="I27" s="57">
        <f>IFERROR(I25/I3,"")</f>
        <v/>
      </c>
      <c r="J27" s="57">
        <f>IFERROR(J25/J3,"")</f>
        <v/>
      </c>
      <c r="K27" s="57">
        <f>IFERROR(K25/K3,"")</f>
        <v/>
      </c>
      <c r="L27" s="57">
        <f>IFERROR(L25/L3,"")</f>
        <v/>
      </c>
      <c r="M27" s="57">
        <f>IFERROR(M25/M3,"")</f>
        <v/>
      </c>
      <c r="N27" s="57">
        <f>IFERROR(N25/N3,"")</f>
        <v/>
      </c>
      <c r="O27" s="57">
        <f>IFERROR(O25/O3,"")</f>
        <v/>
      </c>
      <c r="P27" s="57">
        <f>IFERROR(P25/P3,"")</f>
        <v/>
      </c>
      <c r="Q27" s="57">
        <f>IFERROR(Q25/Q3,"")</f>
        <v/>
      </c>
      <c r="R27" s="57">
        <f>IFERROR(R25/R3,"")</f>
        <v/>
      </c>
      <c r="S27" s="57">
        <f>IFERROR(S25/S3,"")</f>
        <v/>
      </c>
      <c r="T27" s="57">
        <f>IFERROR(T25/T3,"")</f>
        <v/>
      </c>
      <c r="U27" s="57">
        <f>IFERROR(U25/U3,"")</f>
        <v/>
      </c>
      <c r="V27" s="57">
        <f>IFERROR(V25/V3,"")</f>
        <v/>
      </c>
      <c r="W27" s="57">
        <f>IFERROR(W25/W3,"")</f>
        <v/>
      </c>
      <c r="X27" s="57">
        <f>IFERROR(X25/X3,"")</f>
        <v/>
      </c>
      <c r="Y27" s="57">
        <f>IFERROR(Y25/Y3,"")</f>
        <v/>
      </c>
      <c r="Z27" s="57">
        <f>IFERROR(Z25/Z3,"")</f>
        <v/>
      </c>
      <c r="AA27" s="57">
        <f>IFERROR(AA25/AA3,"")</f>
        <v/>
      </c>
      <c r="AB27" s="57">
        <f>IFERROR(AB25/AB3,"")</f>
        <v/>
      </c>
      <c r="AC27" s="57">
        <f>IFERROR(AC25/AC3,"")</f>
        <v/>
      </c>
    </row>
    <row r="28">
      <c r="A28" s="4" t="inlineStr">
        <is>
          <t>Blue Planet Automation Software and Services Segment</t>
        </is>
      </c>
      <c r="C28" s="18" t="n">
        <v>10.53</v>
      </c>
      <c r="O28" s="18" t="n">
        <v>17.342</v>
      </c>
      <c r="Q28" s="18" t="n">
        <v>15.405</v>
      </c>
      <c r="R28" s="18" t="n">
        <v>20.567</v>
      </c>
      <c r="S28" s="18" t="n">
        <v>13.167</v>
      </c>
      <c r="T28" s="18" t="n">
        <v>20.031</v>
      </c>
      <c r="U28" s="18" t="n">
        <v>13.942</v>
      </c>
      <c r="V28" s="18" t="n">
        <v>14.434</v>
      </c>
      <c r="W28" s="18" t="n">
        <v>25.791</v>
      </c>
      <c r="X28" s="18" t="n">
        <v>23.452</v>
      </c>
      <c r="Y28" s="18" t="n">
        <v>26.032</v>
      </c>
      <c r="Z28" s="18" t="n">
        <v>27.951</v>
      </c>
      <c r="AA28" s="18" t="n">
        <v>27.805</v>
      </c>
      <c r="AC28" s="18" t="n">
        <v>20.42</v>
      </c>
    </row>
    <row r="29">
      <c r="A29" s="4" t="inlineStr">
        <is>
          <t xml:space="preserve">    % YoY</t>
        </is>
      </c>
      <c r="F29" s="57">
        <f>IFERROR(F28/B28-1,"")</f>
        <v/>
      </c>
      <c r="G29" s="57">
        <f>IFERROR(G28/C28-1,"")</f>
        <v/>
      </c>
      <c r="H29" s="57">
        <f>IFERROR(H28/D28-1,"")</f>
        <v/>
      </c>
      <c r="I29" s="57">
        <f>IFERROR(I28/E28-1,"")</f>
        <v/>
      </c>
      <c r="J29" s="57">
        <f>IFERROR(J28/F28-1,"")</f>
        <v/>
      </c>
      <c r="K29" s="57">
        <f>IFERROR(K28/G28-1,"")</f>
        <v/>
      </c>
      <c r="L29" s="57">
        <f>IFERROR(L28/H28-1,"")</f>
        <v/>
      </c>
      <c r="M29" s="57">
        <f>IFERROR(M28/I28-1,"")</f>
        <v/>
      </c>
      <c r="N29" s="57">
        <f>IFERROR(N28/J28-1,"")</f>
        <v/>
      </c>
      <c r="O29" s="57">
        <f>IFERROR(O28/K28-1,"")</f>
        <v/>
      </c>
      <c r="P29" s="57">
        <f>IFERROR(P28/L28-1,"")</f>
        <v/>
      </c>
      <c r="Q29" s="57">
        <f>IFERROR(Q28/M28-1,"")</f>
        <v/>
      </c>
      <c r="R29" s="57">
        <f>IFERROR(R28/N28-1,"")</f>
        <v/>
      </c>
      <c r="S29" s="57">
        <f>IFERROR(S28/O28-1,"")</f>
        <v/>
      </c>
      <c r="T29" s="57">
        <f>IFERROR(T28/P28-1,"")</f>
        <v/>
      </c>
      <c r="U29" s="57">
        <f>IFERROR(U28/Q28-1,"")</f>
        <v/>
      </c>
      <c r="V29" s="57">
        <f>IFERROR(V28/R28-1,"")</f>
        <v/>
      </c>
      <c r="W29" s="57">
        <f>IFERROR(W28/S28-1,"")</f>
        <v/>
      </c>
      <c r="X29" s="57">
        <f>IFERROR(X28/T28-1,"")</f>
        <v/>
      </c>
      <c r="Y29" s="57">
        <f>IFERROR(Y28/U28-1,"")</f>
        <v/>
      </c>
      <c r="Z29" s="57">
        <f>IFERROR(Z28/V28-1,"")</f>
        <v/>
      </c>
      <c r="AA29" s="57">
        <f>IFERROR(AA28/W28-1,"")</f>
        <v/>
      </c>
      <c r="AB29" s="57">
        <f>IFERROR(AB28/X28-1,"")</f>
        <v/>
      </c>
      <c r="AC29" s="57">
        <f>IFERROR(AC28/Y28-1,"")</f>
        <v/>
      </c>
    </row>
    <row r="30">
      <c r="A30" s="4" t="inlineStr">
        <is>
          <t xml:space="preserve">    % of revenue</t>
        </is>
      </c>
      <c r="B30" s="57">
        <f>IFERROR(B28/B3,"")</f>
        <v/>
      </c>
      <c r="C30" s="57">
        <f>IFERROR(C28/C3,"")</f>
        <v/>
      </c>
      <c r="D30" s="57">
        <f>IFERROR(D28/D3,"")</f>
        <v/>
      </c>
      <c r="E30" s="57">
        <f>IFERROR(E28/E3,"")</f>
        <v/>
      </c>
      <c r="F30" s="57">
        <f>IFERROR(F28/F3,"")</f>
        <v/>
      </c>
      <c r="G30" s="57">
        <f>IFERROR(G28/G3,"")</f>
        <v/>
      </c>
      <c r="H30" s="57">
        <f>IFERROR(H28/H3,"")</f>
        <v/>
      </c>
      <c r="I30" s="57">
        <f>IFERROR(I28/I3,"")</f>
        <v/>
      </c>
      <c r="J30" s="57">
        <f>IFERROR(J28/J3,"")</f>
        <v/>
      </c>
      <c r="K30" s="57">
        <f>IFERROR(K28/K3,"")</f>
        <v/>
      </c>
      <c r="L30" s="57">
        <f>IFERROR(L28/L3,"")</f>
        <v/>
      </c>
      <c r="M30" s="57">
        <f>IFERROR(M28/M3,"")</f>
        <v/>
      </c>
      <c r="N30" s="57">
        <f>IFERROR(N28/N3,"")</f>
        <v/>
      </c>
      <c r="O30" s="57">
        <f>IFERROR(O28/O3,"")</f>
        <v/>
      </c>
      <c r="P30" s="57">
        <f>IFERROR(P28/P3,"")</f>
        <v/>
      </c>
      <c r="Q30" s="57">
        <f>IFERROR(Q28/Q3,"")</f>
        <v/>
      </c>
      <c r="R30" s="57">
        <f>IFERROR(R28/R3,"")</f>
        <v/>
      </c>
      <c r="S30" s="57">
        <f>IFERROR(S28/S3,"")</f>
        <v/>
      </c>
      <c r="T30" s="57">
        <f>IFERROR(T28/T3,"")</f>
        <v/>
      </c>
      <c r="U30" s="57">
        <f>IFERROR(U28/U3,"")</f>
        <v/>
      </c>
      <c r="V30" s="57">
        <f>IFERROR(V28/V3,"")</f>
        <v/>
      </c>
      <c r="W30" s="57">
        <f>IFERROR(W28/W3,"")</f>
        <v/>
      </c>
      <c r="X30" s="57">
        <f>IFERROR(X28/X3,"")</f>
        <v/>
      </c>
      <c r="Y30" s="57">
        <f>IFERROR(Y28/Y3,"")</f>
        <v/>
      </c>
      <c r="Z30" s="57">
        <f>IFERROR(Z28/Z3,"")</f>
        <v/>
      </c>
      <c r="AA30" s="57">
        <f>IFERROR(AA28/AA3,"")</f>
        <v/>
      </c>
      <c r="AB30" s="57">
        <f>IFERROR(AB28/AB3,"")</f>
        <v/>
      </c>
      <c r="AC30" s="57">
        <f>IFERROR(AC28/AC3,"")</f>
        <v/>
      </c>
    </row>
    <row r="31">
      <c r="A31" s="5" t="inlineStr">
        <is>
          <t xml:space="preserve">  REVENUE BY SEGMENT — GEOGRAPHY (% YoY, % of revenue)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</row>
    <row r="32">
      <c r="A32" s="4" t="inlineStr">
        <is>
          <t>North America</t>
        </is>
      </c>
      <c r="C32" s="18" t="n">
        <v>617</v>
      </c>
      <c r="O32" s="18" t="n">
        <v>617.366</v>
      </c>
      <c r="Q32" s="18" t="n">
        <v>765.096</v>
      </c>
      <c r="R32" s="18" t="n">
        <v>794.359</v>
      </c>
      <c r="S32" s="18" t="n">
        <v>749.479</v>
      </c>
      <c r="T32" s="18" t="n">
        <v>801.413</v>
      </c>
      <c r="U32" s="18" t="n">
        <v>718.198</v>
      </c>
      <c r="V32" s="18" t="n">
        <v>662.877</v>
      </c>
      <c r="W32" s="18" t="n">
        <v>718.605</v>
      </c>
      <c r="X32" s="18" t="n">
        <v>852.235</v>
      </c>
      <c r="Y32" s="18" t="n">
        <v>795.6319999999999</v>
      </c>
      <c r="Z32" s="18" t="n">
        <v>833.822</v>
      </c>
      <c r="AA32" s="18" t="n">
        <v>923.627</v>
      </c>
      <c r="AC32" s="18" t="n">
        <v>1118.223</v>
      </c>
    </row>
    <row r="33">
      <c r="A33" s="4" t="inlineStr">
        <is>
          <t xml:space="preserve">    % YoY</t>
        </is>
      </c>
      <c r="F33" s="57">
        <f>IFERROR(F32/B32-1,"")</f>
        <v/>
      </c>
      <c r="G33" s="57">
        <f>IFERROR(G32/C32-1,"")</f>
        <v/>
      </c>
      <c r="H33" s="57">
        <f>IFERROR(H32/D32-1,"")</f>
        <v/>
      </c>
      <c r="I33" s="57">
        <f>IFERROR(I32/E32-1,"")</f>
        <v/>
      </c>
      <c r="J33" s="57">
        <f>IFERROR(J32/F32-1,"")</f>
        <v/>
      </c>
      <c r="K33" s="57">
        <f>IFERROR(K32/G32-1,"")</f>
        <v/>
      </c>
      <c r="L33" s="57">
        <f>IFERROR(L32/H32-1,"")</f>
        <v/>
      </c>
      <c r="M33" s="57">
        <f>IFERROR(M32/I32-1,"")</f>
        <v/>
      </c>
      <c r="N33" s="57">
        <f>IFERROR(N32/J32-1,"")</f>
        <v/>
      </c>
      <c r="O33" s="57">
        <f>IFERROR(O32/K32-1,"")</f>
        <v/>
      </c>
      <c r="P33" s="57">
        <f>IFERROR(P32/L32-1,"")</f>
        <v/>
      </c>
      <c r="Q33" s="57">
        <f>IFERROR(Q32/M32-1,"")</f>
        <v/>
      </c>
      <c r="R33" s="57">
        <f>IFERROR(R32/N32-1,"")</f>
        <v/>
      </c>
      <c r="S33" s="57">
        <f>IFERROR(S32/O32-1,"")</f>
        <v/>
      </c>
      <c r="T33" s="57">
        <f>IFERROR(T32/P32-1,"")</f>
        <v/>
      </c>
      <c r="U33" s="57">
        <f>IFERROR(U32/Q32-1,"")</f>
        <v/>
      </c>
      <c r="V33" s="57">
        <f>IFERROR(V32/R32-1,"")</f>
        <v/>
      </c>
      <c r="W33" s="57">
        <f>IFERROR(W32/S32-1,"")</f>
        <v/>
      </c>
      <c r="X33" s="57">
        <f>IFERROR(X32/T32-1,"")</f>
        <v/>
      </c>
      <c r="Y33" s="57">
        <f>IFERROR(Y32/U32-1,"")</f>
        <v/>
      </c>
      <c r="Z33" s="57">
        <f>IFERROR(Z32/V32-1,"")</f>
        <v/>
      </c>
      <c r="AA33" s="57">
        <f>IFERROR(AA32/W32-1,"")</f>
        <v/>
      </c>
      <c r="AB33" s="57">
        <f>IFERROR(AB32/X32-1,"")</f>
        <v/>
      </c>
      <c r="AC33" s="57">
        <f>IFERROR(AC32/Y32-1,"")</f>
        <v/>
      </c>
    </row>
    <row r="34">
      <c r="A34" s="4" t="inlineStr">
        <is>
          <t xml:space="preserve">    % of revenue</t>
        </is>
      </c>
      <c r="B34" s="57">
        <f>IFERROR(B32/B3,"")</f>
        <v/>
      </c>
      <c r="C34" s="57">
        <f>IFERROR(C32/C3,"")</f>
        <v/>
      </c>
      <c r="D34" s="57">
        <f>IFERROR(D32/D3,"")</f>
        <v/>
      </c>
      <c r="E34" s="57">
        <f>IFERROR(E32/E3,"")</f>
        <v/>
      </c>
      <c r="F34" s="57">
        <f>IFERROR(F32/F3,"")</f>
        <v/>
      </c>
      <c r="G34" s="57">
        <f>IFERROR(G32/G3,"")</f>
        <v/>
      </c>
      <c r="H34" s="57">
        <f>IFERROR(H32/H3,"")</f>
        <v/>
      </c>
      <c r="I34" s="57">
        <f>IFERROR(I32/I3,"")</f>
        <v/>
      </c>
      <c r="J34" s="57">
        <f>IFERROR(J32/J3,"")</f>
        <v/>
      </c>
      <c r="K34" s="57">
        <f>IFERROR(K32/K3,"")</f>
        <v/>
      </c>
      <c r="L34" s="57">
        <f>IFERROR(L32/L3,"")</f>
        <v/>
      </c>
      <c r="M34" s="57">
        <f>IFERROR(M32/M3,"")</f>
        <v/>
      </c>
      <c r="N34" s="57">
        <f>IFERROR(N32/N3,"")</f>
        <v/>
      </c>
      <c r="O34" s="57">
        <f>IFERROR(O32/O3,"")</f>
        <v/>
      </c>
      <c r="P34" s="57">
        <f>IFERROR(P32/P3,"")</f>
        <v/>
      </c>
      <c r="Q34" s="57">
        <f>IFERROR(Q32/Q3,"")</f>
        <v/>
      </c>
      <c r="R34" s="57">
        <f>IFERROR(R32/R3,"")</f>
        <v/>
      </c>
      <c r="S34" s="57">
        <f>IFERROR(S32/S3,"")</f>
        <v/>
      </c>
      <c r="T34" s="57">
        <f>IFERROR(T32/T3,"")</f>
        <v/>
      </c>
      <c r="U34" s="57">
        <f>IFERROR(U32/U3,"")</f>
        <v/>
      </c>
      <c r="V34" s="57">
        <f>IFERROR(V32/V3,"")</f>
        <v/>
      </c>
      <c r="W34" s="57">
        <f>IFERROR(W32/W3,"")</f>
        <v/>
      </c>
      <c r="X34" s="57">
        <f>IFERROR(X32/X3,"")</f>
        <v/>
      </c>
      <c r="Y34" s="57">
        <f>IFERROR(Y32/Y3,"")</f>
        <v/>
      </c>
      <c r="Z34" s="57">
        <f>IFERROR(Z32/Z3,"")</f>
        <v/>
      </c>
      <c r="AA34" s="57">
        <f>IFERROR(AA32/AA3,"")</f>
        <v/>
      </c>
      <c r="AB34" s="57">
        <f>IFERROR(AB32/AB3,"")</f>
        <v/>
      </c>
      <c r="AC34" s="57">
        <f>IFERROR(AC32/AC3,"")</f>
        <v/>
      </c>
    </row>
    <row r="35">
      <c r="A35" s="4" t="inlineStr">
        <is>
          <t>EMEA</t>
        </is>
      </c>
      <c r="B35" s="18" t="n">
        <v>114.993</v>
      </c>
      <c r="C35" s="18" t="n">
        <v>169.532</v>
      </c>
      <c r="D35" s="18" t="n">
        <v>153.003</v>
      </c>
      <c r="E35" s="18" t="n">
        <v>129.965</v>
      </c>
      <c r="F35" s="18" t="n">
        <v>141.431</v>
      </c>
      <c r="G35" s="18" t="n">
        <v>162.465</v>
      </c>
      <c r="H35" s="18" t="n">
        <v>157.607</v>
      </c>
      <c r="I35" s="18" t="n">
        <v>155.418</v>
      </c>
      <c r="J35" s="18" t="n">
        <v>155.054</v>
      </c>
      <c r="K35" s="18" t="n">
        <v>189.18</v>
      </c>
      <c r="L35" s="18" t="n">
        <v>170.81</v>
      </c>
      <c r="M35" s="18" t="n">
        <v>150.785</v>
      </c>
      <c r="N35" s="18" t="n">
        <v>145.106</v>
      </c>
      <c r="O35" s="18" t="n">
        <v>124.185</v>
      </c>
      <c r="P35" s="18" t="n">
        <v>135.139</v>
      </c>
      <c r="Q35" s="18" t="n">
        <v>152.804</v>
      </c>
      <c r="R35" s="18" t="n">
        <v>173.414</v>
      </c>
      <c r="S35" s="18" t="n">
        <v>152.834</v>
      </c>
      <c r="T35" s="18" t="n">
        <v>164.09</v>
      </c>
      <c r="U35" s="18" t="n">
        <v>207.413</v>
      </c>
      <c r="V35" s="18" t="n">
        <v>155.791</v>
      </c>
      <c r="W35" s="18" t="n">
        <v>135.009</v>
      </c>
      <c r="X35" s="18" t="n">
        <v>150.657</v>
      </c>
      <c r="Y35" s="18" t="n">
        <v>157.916</v>
      </c>
      <c r="Z35" s="18" t="n">
        <v>191.585</v>
      </c>
      <c r="AA35" s="18" t="n">
        <v>186.018</v>
      </c>
      <c r="AC35" s="18" t="n">
        <v>200.587</v>
      </c>
    </row>
    <row r="36">
      <c r="A36" s="4" t="inlineStr">
        <is>
          <t xml:space="preserve">    % YoY</t>
        </is>
      </c>
      <c r="F36" s="57">
        <f>IFERROR(F35/B35-1,"")</f>
        <v/>
      </c>
      <c r="G36" s="57">
        <f>IFERROR(G35/C35-1,"")</f>
        <v/>
      </c>
      <c r="H36" s="57">
        <f>IFERROR(H35/D35-1,"")</f>
        <v/>
      </c>
      <c r="I36" s="57">
        <f>IFERROR(I35/E35-1,"")</f>
        <v/>
      </c>
      <c r="J36" s="57">
        <f>IFERROR(J35/F35-1,"")</f>
        <v/>
      </c>
      <c r="K36" s="57">
        <f>IFERROR(K35/G35-1,"")</f>
        <v/>
      </c>
      <c r="L36" s="57">
        <f>IFERROR(L35/H35-1,"")</f>
        <v/>
      </c>
      <c r="M36" s="57">
        <f>IFERROR(M35/I35-1,"")</f>
        <v/>
      </c>
      <c r="N36" s="57">
        <f>IFERROR(N35/J35-1,"")</f>
        <v/>
      </c>
      <c r="O36" s="57">
        <f>IFERROR(O35/K35-1,"")</f>
        <v/>
      </c>
      <c r="P36" s="57">
        <f>IFERROR(P35/L35-1,"")</f>
        <v/>
      </c>
      <c r="Q36" s="57">
        <f>IFERROR(Q35/M35-1,"")</f>
        <v/>
      </c>
      <c r="R36" s="57">
        <f>IFERROR(R35/N35-1,"")</f>
        <v/>
      </c>
      <c r="S36" s="57">
        <f>IFERROR(S35/O35-1,"")</f>
        <v/>
      </c>
      <c r="T36" s="57">
        <f>IFERROR(T35/P35-1,"")</f>
        <v/>
      </c>
      <c r="U36" s="57">
        <f>IFERROR(U35/Q35-1,"")</f>
        <v/>
      </c>
      <c r="V36" s="57">
        <f>IFERROR(V35/R35-1,"")</f>
        <v/>
      </c>
      <c r="W36" s="57">
        <f>IFERROR(W35/S35-1,"")</f>
        <v/>
      </c>
      <c r="X36" s="57">
        <f>IFERROR(X35/T35-1,"")</f>
        <v/>
      </c>
      <c r="Y36" s="57">
        <f>IFERROR(Y35/U35-1,"")</f>
        <v/>
      </c>
      <c r="Z36" s="57">
        <f>IFERROR(Z35/V35-1,"")</f>
        <v/>
      </c>
      <c r="AA36" s="57">
        <f>IFERROR(AA35/W35-1,"")</f>
        <v/>
      </c>
      <c r="AB36" s="57">
        <f>IFERROR(AB35/X35-1,"")</f>
        <v/>
      </c>
      <c r="AC36" s="57">
        <f>IFERROR(AC35/Y35-1,"")</f>
        <v/>
      </c>
    </row>
    <row r="37">
      <c r="A37" s="4" t="inlineStr">
        <is>
          <t xml:space="preserve">    % of revenue</t>
        </is>
      </c>
      <c r="B37" s="57">
        <f>IFERROR(B35/B3,"")</f>
        <v/>
      </c>
      <c r="C37" s="57">
        <f>IFERROR(C35/C3,"")</f>
        <v/>
      </c>
      <c r="D37" s="57">
        <f>IFERROR(D35/D3,"")</f>
        <v/>
      </c>
      <c r="E37" s="57">
        <f>IFERROR(E35/E3,"")</f>
        <v/>
      </c>
      <c r="F37" s="57">
        <f>IFERROR(F35/F3,"")</f>
        <v/>
      </c>
      <c r="G37" s="57">
        <f>IFERROR(G35/G3,"")</f>
        <v/>
      </c>
      <c r="H37" s="57">
        <f>IFERROR(H35/H3,"")</f>
        <v/>
      </c>
      <c r="I37" s="57">
        <f>IFERROR(I35/I3,"")</f>
        <v/>
      </c>
      <c r="J37" s="57">
        <f>IFERROR(J35/J3,"")</f>
        <v/>
      </c>
      <c r="K37" s="57">
        <f>IFERROR(K35/K3,"")</f>
        <v/>
      </c>
      <c r="L37" s="57">
        <f>IFERROR(L35/L3,"")</f>
        <v/>
      </c>
      <c r="M37" s="57">
        <f>IFERROR(M35/M3,"")</f>
        <v/>
      </c>
      <c r="N37" s="57">
        <f>IFERROR(N35/N3,"")</f>
        <v/>
      </c>
      <c r="O37" s="57">
        <f>IFERROR(O35/O3,"")</f>
        <v/>
      </c>
      <c r="P37" s="57">
        <f>IFERROR(P35/P3,"")</f>
        <v/>
      </c>
      <c r="Q37" s="57">
        <f>IFERROR(Q35/Q3,"")</f>
        <v/>
      </c>
      <c r="R37" s="57">
        <f>IFERROR(R35/R3,"")</f>
        <v/>
      </c>
      <c r="S37" s="57">
        <f>IFERROR(S35/S3,"")</f>
        <v/>
      </c>
      <c r="T37" s="57">
        <f>IFERROR(T35/T3,"")</f>
        <v/>
      </c>
      <c r="U37" s="57">
        <f>IFERROR(U35/U3,"")</f>
        <v/>
      </c>
      <c r="V37" s="57">
        <f>IFERROR(V35/V3,"")</f>
        <v/>
      </c>
      <c r="W37" s="57">
        <f>IFERROR(W35/W3,"")</f>
        <v/>
      </c>
      <c r="X37" s="57">
        <f>IFERROR(X35/X3,"")</f>
        <v/>
      </c>
      <c r="Y37" s="57">
        <f>IFERROR(Y35/Y3,"")</f>
        <v/>
      </c>
      <c r="Z37" s="57">
        <f>IFERROR(Z35/Z3,"")</f>
        <v/>
      </c>
      <c r="AA37" s="57">
        <f>IFERROR(AA35/AA3,"")</f>
        <v/>
      </c>
      <c r="AB37" s="57">
        <f>IFERROR(AB35/AB3,"")</f>
        <v/>
      </c>
      <c r="AC37" s="57">
        <f>IFERROR(AC35/AC3,"")</f>
        <v/>
      </c>
    </row>
    <row r="38">
      <c r="A38" s="4" t="inlineStr">
        <is>
          <t>Asia Pacific</t>
        </is>
      </c>
      <c r="E38" s="18" t="n">
        <v>128.943</v>
      </c>
      <c r="F38" s="18" t="n">
        <v>102.241</v>
      </c>
      <c r="G38" s="18" t="n">
        <v>100.907</v>
      </c>
      <c r="H38" s="18" t="n">
        <v>139.32</v>
      </c>
      <c r="I38" s="18" t="n">
        <v>105.101</v>
      </c>
      <c r="J38" s="18" t="n">
        <v>91.398</v>
      </c>
      <c r="K38" s="18" t="n">
        <v>106.108</v>
      </c>
      <c r="L38" s="18" t="n">
        <v>121.996</v>
      </c>
      <c r="M38" s="18" t="n">
        <v>98.514</v>
      </c>
      <c r="N38" s="18" t="n">
        <v>103.281</v>
      </c>
      <c r="O38" s="18" t="n">
        <v>126.43</v>
      </c>
      <c r="P38" s="18" t="n">
        <v>112.381</v>
      </c>
      <c r="Q38" s="18" t="n">
        <v>138.621</v>
      </c>
      <c r="R38" s="18" t="n">
        <v>164.882</v>
      </c>
      <c r="S38" s="18" t="n">
        <v>165.573</v>
      </c>
      <c r="T38" s="18" t="n">
        <v>163.984</v>
      </c>
      <c r="U38" s="18" t="n">
        <v>112.098</v>
      </c>
      <c r="V38" s="18" t="n">
        <v>92.158</v>
      </c>
      <c r="W38" s="18" t="n">
        <v>88.694</v>
      </c>
      <c r="X38" s="18" t="n">
        <v>121.22</v>
      </c>
      <c r="Y38" s="18" t="n">
        <v>118.712</v>
      </c>
      <c r="Z38" s="18" t="n">
        <v>100.471</v>
      </c>
      <c r="AA38" s="18" t="n">
        <v>109.74</v>
      </c>
      <c r="AC38" s="18" t="n">
        <v>108.232</v>
      </c>
    </row>
    <row r="39">
      <c r="A39" s="4" t="inlineStr">
        <is>
          <t xml:space="preserve">    % YoY</t>
        </is>
      </c>
      <c r="F39" s="57">
        <f>IFERROR(F38/B38-1,"")</f>
        <v/>
      </c>
      <c r="G39" s="57">
        <f>IFERROR(G38/C38-1,"")</f>
        <v/>
      </c>
      <c r="H39" s="57">
        <f>IFERROR(H38/D38-1,"")</f>
        <v/>
      </c>
      <c r="I39" s="57">
        <f>IFERROR(I38/E38-1,"")</f>
        <v/>
      </c>
      <c r="J39" s="57">
        <f>IFERROR(J38/F38-1,"")</f>
        <v/>
      </c>
      <c r="K39" s="57">
        <f>IFERROR(K38/G38-1,"")</f>
        <v/>
      </c>
      <c r="L39" s="57">
        <f>IFERROR(L38/H38-1,"")</f>
        <v/>
      </c>
      <c r="M39" s="57">
        <f>IFERROR(M38/I38-1,"")</f>
        <v/>
      </c>
      <c r="N39" s="57">
        <f>IFERROR(N38/J38-1,"")</f>
        <v/>
      </c>
      <c r="O39" s="57">
        <f>IFERROR(O38/K38-1,"")</f>
        <v/>
      </c>
      <c r="P39" s="57">
        <f>IFERROR(P38/L38-1,"")</f>
        <v/>
      </c>
      <c r="Q39" s="57">
        <f>IFERROR(Q38/M38-1,"")</f>
        <v/>
      </c>
      <c r="R39" s="57">
        <f>IFERROR(R38/N38-1,"")</f>
        <v/>
      </c>
      <c r="S39" s="57">
        <f>IFERROR(S38/O38-1,"")</f>
        <v/>
      </c>
      <c r="T39" s="57">
        <f>IFERROR(T38/P38-1,"")</f>
        <v/>
      </c>
      <c r="U39" s="57">
        <f>IFERROR(U38/Q38-1,"")</f>
        <v/>
      </c>
      <c r="V39" s="57">
        <f>IFERROR(V38/R38-1,"")</f>
        <v/>
      </c>
      <c r="W39" s="57">
        <f>IFERROR(W38/S38-1,"")</f>
        <v/>
      </c>
      <c r="X39" s="57">
        <f>IFERROR(X38/T38-1,"")</f>
        <v/>
      </c>
      <c r="Y39" s="57">
        <f>IFERROR(Y38/U38-1,"")</f>
        <v/>
      </c>
      <c r="Z39" s="57">
        <f>IFERROR(Z38/V38-1,"")</f>
        <v/>
      </c>
      <c r="AA39" s="57">
        <f>IFERROR(AA38/W38-1,"")</f>
        <v/>
      </c>
      <c r="AB39" s="57">
        <f>IFERROR(AB38/X38-1,"")</f>
        <v/>
      </c>
      <c r="AC39" s="57">
        <f>IFERROR(AC38/Y38-1,"")</f>
        <v/>
      </c>
    </row>
    <row r="40">
      <c r="A40" s="4" t="inlineStr">
        <is>
          <t xml:space="preserve">    % of revenue</t>
        </is>
      </c>
      <c r="B40" s="57">
        <f>IFERROR(B38/B3,"")</f>
        <v/>
      </c>
      <c r="C40" s="57">
        <f>IFERROR(C38/C3,"")</f>
        <v/>
      </c>
      <c r="D40" s="57">
        <f>IFERROR(D38/D3,"")</f>
        <v/>
      </c>
      <c r="E40" s="57">
        <f>IFERROR(E38/E3,"")</f>
        <v/>
      </c>
      <c r="F40" s="57">
        <f>IFERROR(F38/F3,"")</f>
        <v/>
      </c>
      <c r="G40" s="57">
        <f>IFERROR(G38/G3,"")</f>
        <v/>
      </c>
      <c r="H40" s="57">
        <f>IFERROR(H38/H3,"")</f>
        <v/>
      </c>
      <c r="I40" s="57">
        <f>IFERROR(I38/I3,"")</f>
        <v/>
      </c>
      <c r="J40" s="57">
        <f>IFERROR(J38/J3,"")</f>
        <v/>
      </c>
      <c r="K40" s="57">
        <f>IFERROR(K38/K3,"")</f>
        <v/>
      </c>
      <c r="L40" s="57">
        <f>IFERROR(L38/L3,"")</f>
        <v/>
      </c>
      <c r="M40" s="57">
        <f>IFERROR(M38/M3,"")</f>
        <v/>
      </c>
      <c r="N40" s="57">
        <f>IFERROR(N38/N3,"")</f>
        <v/>
      </c>
      <c r="O40" s="57">
        <f>IFERROR(O38/O3,"")</f>
        <v/>
      </c>
      <c r="P40" s="57">
        <f>IFERROR(P38/P3,"")</f>
        <v/>
      </c>
      <c r="Q40" s="57">
        <f>IFERROR(Q38/Q3,"")</f>
        <v/>
      </c>
      <c r="R40" s="57">
        <f>IFERROR(R38/R3,"")</f>
        <v/>
      </c>
      <c r="S40" s="57">
        <f>IFERROR(S38/S3,"")</f>
        <v/>
      </c>
      <c r="T40" s="57">
        <f>IFERROR(T38/T3,"")</f>
        <v/>
      </c>
      <c r="U40" s="57">
        <f>IFERROR(U38/U3,"")</f>
        <v/>
      </c>
      <c r="V40" s="57">
        <f>IFERROR(V38/V3,"")</f>
        <v/>
      </c>
      <c r="W40" s="57">
        <f>IFERROR(W38/W3,"")</f>
        <v/>
      </c>
      <c r="X40" s="57">
        <f>IFERROR(X38/X3,"")</f>
        <v/>
      </c>
      <c r="Y40" s="57">
        <f>IFERROR(Y38/Y3,"")</f>
        <v/>
      </c>
      <c r="Z40" s="57">
        <f>IFERROR(Z38/Z3,"")</f>
        <v/>
      </c>
      <c r="AA40" s="57">
        <f>IFERROR(AA38/AA3,"")</f>
        <v/>
      </c>
      <c r="AB40" s="57">
        <f>IFERROR(AB38/AB3,"")</f>
        <v/>
      </c>
      <c r="AC40" s="57">
        <f>IFERROR(AC38/AC3,"")</f>
        <v/>
      </c>
    </row>
    <row r="41">
      <c r="A41" s="5" t="inlineStr">
        <is>
          <t xml:space="preserve">  BALANCE SHEET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</row>
    <row r="42">
      <c r="A42" s="4" t="inlineStr">
        <is>
          <t>Cash &amp; ST Investments</t>
        </is>
      </c>
      <c r="B42" s="18" t="n">
        <v>818.475</v>
      </c>
      <c r="C42" s="18" t="n">
        <v>842.899</v>
      </c>
      <c r="D42" s="18" t="n">
        <v>1013.985</v>
      </c>
      <c r="E42" s="18" t="n">
        <v>947.353</v>
      </c>
      <c r="F42" s="18" t="n">
        <v>988.474</v>
      </c>
      <c r="G42" s="18" t="n">
        <v>1164.153</v>
      </c>
      <c r="H42" s="18" t="n">
        <v>1239.291</v>
      </c>
      <c r="I42" s="18" t="n">
        <v>1180.671</v>
      </c>
      <c r="J42" s="18" t="n">
        <v>1354.79</v>
      </c>
      <c r="K42" s="18" t="n">
        <v>1412.451</v>
      </c>
      <c r="L42" s="18" t="n">
        <v>1604.029</v>
      </c>
      <c r="M42" s="18" t="n">
        <v>1579.004</v>
      </c>
      <c r="N42" s="18" t="n">
        <v>1549.415</v>
      </c>
      <c r="O42" s="18" t="n">
        <v>1181.51</v>
      </c>
      <c r="P42" s="18" t="n">
        <v>1148.341</v>
      </c>
      <c r="Q42" s="18" t="n">
        <v>1154.973</v>
      </c>
      <c r="R42" s="18" t="n">
        <v>1318.159</v>
      </c>
      <c r="S42" s="18" t="n">
        <v>1259.765</v>
      </c>
      <c r="T42" s="18" t="n">
        <v>1115.371</v>
      </c>
      <c r="U42" s="18" t="n">
        <v>1371.429</v>
      </c>
      <c r="V42" s="18" t="n">
        <v>1256.909</v>
      </c>
      <c r="W42" s="18" t="n">
        <v>1101.175</v>
      </c>
      <c r="X42" s="18" t="n">
        <v>1251.206</v>
      </c>
      <c r="Y42" s="18" t="n">
        <v>1212.069</v>
      </c>
      <c r="Z42" s="18" t="n">
        <v>1253.948</v>
      </c>
      <c r="AA42" s="18" t="n">
        <v>1326.356</v>
      </c>
      <c r="AB42" s="18" t="n">
        <v>1308.1</v>
      </c>
      <c r="AC42" s="18" t="n">
        <v>1299.728</v>
      </c>
    </row>
    <row r="43">
      <c r="A43" s="4" t="inlineStr">
        <is>
          <t>Total Current Assets</t>
        </is>
      </c>
      <c r="B43" s="18" t="n">
        <v>2178.168</v>
      </c>
      <c r="C43" s="18" t="n">
        <v>2291.232</v>
      </c>
      <c r="D43" s="18" t="n">
        <v>2370</v>
      </c>
      <c r="E43" s="18" t="n">
        <v>2256.735</v>
      </c>
      <c r="F43" s="18" t="n">
        <v>2330.164</v>
      </c>
      <c r="G43" s="18" t="n">
        <v>2558.197</v>
      </c>
      <c r="H43" s="18" t="n">
        <v>2599.259</v>
      </c>
      <c r="I43" s="18" t="n">
        <v>2585.322</v>
      </c>
      <c r="J43" s="18" t="n">
        <v>2794.032</v>
      </c>
      <c r="K43" s="18" t="n">
        <v>2983.797</v>
      </c>
      <c r="L43" s="18" t="n">
        <v>3166.889</v>
      </c>
      <c r="M43" s="18" t="n">
        <v>3164.114</v>
      </c>
      <c r="N43" s="18" t="n">
        <v>3228.244</v>
      </c>
      <c r="O43" s="18" t="n">
        <v>3187.802</v>
      </c>
      <c r="P43" s="18" t="n">
        <v>3385.896</v>
      </c>
      <c r="Q43" s="18" t="n">
        <v>3762.569</v>
      </c>
      <c r="R43" s="18" t="n">
        <v>3868.626</v>
      </c>
      <c r="S43" s="18" t="n">
        <v>3785.598</v>
      </c>
      <c r="T43" s="18" t="n">
        <v>3551.283</v>
      </c>
      <c r="U43" s="18" t="n">
        <v>3585.81</v>
      </c>
      <c r="V43" s="18" t="n">
        <v>3521.326</v>
      </c>
      <c r="W43" s="18" t="n">
        <v>3518.621</v>
      </c>
      <c r="X43" s="18" t="n">
        <v>3523.51</v>
      </c>
      <c r="Y43" s="18" t="n">
        <v>3491.711</v>
      </c>
      <c r="Z43" s="18" t="n">
        <v>3564.325</v>
      </c>
      <c r="AA43" s="18" t="n">
        <v>3686.223</v>
      </c>
      <c r="AB43" s="18" t="n">
        <v>3565.507</v>
      </c>
      <c r="AC43" s="18" t="n">
        <v>3540.877</v>
      </c>
    </row>
    <row r="44">
      <c r="A44" s="4" t="inlineStr">
        <is>
          <t>PP&amp;E (net)</t>
        </is>
      </c>
      <c r="B44" s="18" t="n">
        <v>282.022</v>
      </c>
      <c r="C44" s="18" t="n">
        <v>280.63</v>
      </c>
      <c r="D44" s="18" t="n">
        <v>286.884</v>
      </c>
      <c r="E44" s="18" t="n">
        <v>327.887</v>
      </c>
      <c r="F44" s="18" t="n">
        <v>308.731</v>
      </c>
      <c r="G44" s="18" t="n">
        <v>315.569</v>
      </c>
      <c r="H44" s="18" t="n">
        <v>329.403</v>
      </c>
      <c r="I44" s="18" t="n">
        <v>335.472</v>
      </c>
      <c r="J44" s="18" t="n">
        <v>349.326</v>
      </c>
      <c r="K44" s="18" t="n">
        <v>337.874</v>
      </c>
      <c r="L44" s="18" t="n">
        <v>329.253</v>
      </c>
      <c r="M44" s="18" t="n">
        <v>319.46</v>
      </c>
      <c r="N44" s="18" t="n">
        <v>324.215</v>
      </c>
      <c r="O44" s="18" t="n">
        <v>327.142</v>
      </c>
      <c r="P44" s="18" t="n">
        <v>312.887</v>
      </c>
      <c r="Q44" s="18" t="n">
        <v>327.423</v>
      </c>
      <c r="R44" s="18" t="n">
        <v>319.463</v>
      </c>
      <c r="S44" s="18" t="n">
        <v>327.937</v>
      </c>
      <c r="T44" s="18" t="n">
        <v>315.287</v>
      </c>
      <c r="U44" s="18" t="n">
        <v>316.036</v>
      </c>
      <c r="V44" s="18" t="n">
        <v>304.563</v>
      </c>
      <c r="W44" s="18" t="n">
        <v>327.878</v>
      </c>
      <c r="X44" s="18" t="n">
        <v>365.139</v>
      </c>
      <c r="Y44" s="18" t="n">
        <v>25.113</v>
      </c>
      <c r="Z44" s="18" t="n">
        <v>388.004</v>
      </c>
      <c r="AA44" s="18" t="n">
        <v>40.347</v>
      </c>
      <c r="AB44" s="18" t="n">
        <v>38.613</v>
      </c>
      <c r="AC44" s="18" t="n">
        <v>40.484</v>
      </c>
    </row>
    <row r="45">
      <c r="A45" s="4" t="inlineStr">
        <is>
          <t>Total Assets</t>
        </is>
      </c>
      <c r="B45" s="18" t="n">
        <v>3686.778</v>
      </c>
      <c r="C45" s="18" t="n">
        <v>3775.708</v>
      </c>
      <c r="D45" s="18" t="n">
        <v>3893.346</v>
      </c>
      <c r="E45" s="18" t="n">
        <v>3830.887</v>
      </c>
      <c r="F45" s="18" t="n">
        <v>3856.762</v>
      </c>
      <c r="G45" s="18" t="n">
        <v>4055.188</v>
      </c>
      <c r="H45" s="18" t="n">
        <v>4180.917</v>
      </c>
      <c r="I45" s="18" t="n">
        <v>4186.897</v>
      </c>
      <c r="J45" s="18" t="n">
        <v>4388.013</v>
      </c>
      <c r="K45" s="18" t="n">
        <v>4655.868</v>
      </c>
      <c r="L45" s="18" t="n">
        <v>4865.227</v>
      </c>
      <c r="M45" s="18" t="n">
        <v>4900.362</v>
      </c>
      <c r="N45" s="18" t="n">
        <v>4964.129</v>
      </c>
      <c r="O45" s="18" t="n">
        <v>4900.782</v>
      </c>
      <c r="P45" s="18" t="n">
        <v>5069.632</v>
      </c>
      <c r="Q45" s="18" t="n">
        <v>5672.497</v>
      </c>
      <c r="R45" s="18" t="n">
        <v>5775.638</v>
      </c>
      <c r="S45" s="18" t="n">
        <v>5723.214</v>
      </c>
      <c r="T45" s="18" t="n">
        <v>5601.495</v>
      </c>
      <c r="U45" s="18" t="n">
        <v>5593.21</v>
      </c>
      <c r="V45" s="18" t="n">
        <v>5614.803</v>
      </c>
      <c r="W45" s="18" t="n">
        <v>5575.13</v>
      </c>
      <c r="X45" s="18" t="n">
        <v>5641.337</v>
      </c>
      <c r="Y45" s="18" t="n">
        <v>5572.902</v>
      </c>
      <c r="Z45" s="18" t="n">
        <v>5659.366</v>
      </c>
      <c r="AA45" s="18" t="n">
        <v>5748.778</v>
      </c>
      <c r="AB45" s="18" t="n">
        <v>5864.667</v>
      </c>
      <c r="AC45" s="18" t="n">
        <v>5892.359</v>
      </c>
    </row>
    <row r="46">
      <c r="A46" s="4" t="inlineStr">
        <is>
          <t>Total Current Liabilities</t>
        </is>
      </c>
      <c r="B46" s="18" t="n">
        <v>769.379</v>
      </c>
      <c r="C46" s="18" t="n">
        <v>791.035</v>
      </c>
      <c r="D46" s="18" t="n">
        <v>845.9400000000001</v>
      </c>
      <c r="E46" s="18" t="n">
        <v>733.086</v>
      </c>
      <c r="F46" s="18" t="n">
        <v>712.986</v>
      </c>
      <c r="G46" s="18" t="n">
        <v>720.491</v>
      </c>
      <c r="H46" s="18" t="n">
        <v>760.701</v>
      </c>
      <c r="I46" s="18" t="n">
        <v>684.7670000000001</v>
      </c>
      <c r="J46" s="18" t="n">
        <v>782.676</v>
      </c>
      <c r="K46" s="18" t="n">
        <v>827.091</v>
      </c>
      <c r="L46" s="18" t="n">
        <v>909.03</v>
      </c>
      <c r="M46" s="18" t="n">
        <v>760.328</v>
      </c>
      <c r="N46" s="18" t="n">
        <v>868.758</v>
      </c>
      <c r="O46" s="18" t="n">
        <v>915.342</v>
      </c>
      <c r="P46" s="18" t="n">
        <v>1040.583</v>
      </c>
      <c r="Q46" s="18" t="n">
        <v>1018.21</v>
      </c>
      <c r="R46" s="18" t="n">
        <v>1057.929</v>
      </c>
      <c r="S46" s="18" t="n">
        <v>965.741</v>
      </c>
      <c r="T46" s="18" t="n">
        <v>932.021</v>
      </c>
      <c r="U46" s="18" t="n">
        <v>841.306</v>
      </c>
      <c r="V46" s="18" t="n">
        <v>912.191</v>
      </c>
      <c r="W46" s="18" t="n">
        <v>870.559</v>
      </c>
      <c r="X46" s="18" t="n">
        <v>999.84</v>
      </c>
      <c r="Y46" s="18" t="n">
        <v>956.5170000000001</v>
      </c>
      <c r="Z46" s="18" t="n">
        <v>1047.06</v>
      </c>
      <c r="AA46" s="18" t="n">
        <v>1123.479</v>
      </c>
      <c r="AB46" s="18" t="n">
        <v>1308.394</v>
      </c>
      <c r="AC46" s="18" t="n">
        <v>1258.373</v>
      </c>
    </row>
    <row r="47">
      <c r="A47" s="4" t="inlineStr">
        <is>
          <t>Long-term Debt</t>
        </is>
      </c>
      <c r="B47" s="18" t="n">
        <v>683.429</v>
      </c>
      <c r="C47" s="18" t="n">
        <v>681.918</v>
      </c>
      <c r="D47" s="18" t="n">
        <v>680.4059999999999</v>
      </c>
      <c r="E47" s="18" t="n">
        <v>680.7859999999999</v>
      </c>
      <c r="F47" s="18" t="n">
        <v>679.356</v>
      </c>
      <c r="G47" s="18" t="n">
        <v>677.856</v>
      </c>
      <c r="H47" s="18" t="n">
        <v>676.356</v>
      </c>
      <c r="I47" s="18" t="n">
        <v>674.856</v>
      </c>
      <c r="J47" s="18" t="n">
        <v>673.355</v>
      </c>
      <c r="K47" s="18" t="n">
        <v>671.855</v>
      </c>
      <c r="L47" s="18" t="n">
        <v>670.355</v>
      </c>
      <c r="M47" s="18" t="n">
        <v>1065.263</v>
      </c>
      <c r="N47" s="18" t="n">
        <v>1062.182</v>
      </c>
      <c r="O47" s="18" t="n">
        <v>1062.453</v>
      </c>
      <c r="P47" s="18" t="n">
        <v>1061.125</v>
      </c>
      <c r="Q47" s="18" t="n">
        <v>1547.495</v>
      </c>
      <c r="R47" s="18" t="n">
        <v>1546.4</v>
      </c>
      <c r="S47" s="18" t="n">
        <v>1543.9</v>
      </c>
      <c r="T47" s="18" t="n">
        <v>1543.406</v>
      </c>
      <c r="U47" s="18" t="n">
        <v>1543.118</v>
      </c>
      <c r="V47" s="18" t="n">
        <v>1540.639</v>
      </c>
      <c r="W47" s="18" t="n">
        <v>1538.315</v>
      </c>
      <c r="X47" s="18" t="n">
        <v>1533.074</v>
      </c>
      <c r="Y47" s="18" t="n">
        <v>1531.084</v>
      </c>
      <c r="Z47" s="18" t="n">
        <v>1528.776</v>
      </c>
      <c r="AA47" s="18" t="n">
        <v>1526.467</v>
      </c>
      <c r="AB47" s="18" t="n">
        <v>1524.158</v>
      </c>
      <c r="AC47" s="18" t="n">
        <v>1524.744</v>
      </c>
    </row>
    <row r="48">
      <c r="A48" s="4" t="inlineStr">
        <is>
          <t>Total Equity</t>
        </is>
      </c>
      <c r="B48" s="18" t="n">
        <v>2063.199</v>
      </c>
      <c r="C48" s="18" t="n">
        <v>2119.384</v>
      </c>
      <c r="D48" s="18" t="n">
        <v>2172.761</v>
      </c>
      <c r="E48" s="18" t="n">
        <v>2193.65</v>
      </c>
      <c r="F48" s="18" t="n">
        <v>2240.576</v>
      </c>
      <c r="G48" s="18" t="n">
        <v>2428.867</v>
      </c>
      <c r="H48" s="18" t="n">
        <v>2509.597</v>
      </c>
      <c r="I48" s="18" t="n">
        <v>2586.513</v>
      </c>
      <c r="J48" s="18" t="n">
        <v>2693.263</v>
      </c>
      <c r="K48" s="18" t="n">
        <v>2924.236</v>
      </c>
      <c r="L48" s="18" t="n">
        <v>3020.018</v>
      </c>
      <c r="M48" s="18" t="n">
        <v>2814.79</v>
      </c>
      <c r="N48" s="18" t="n">
        <v>2782.422</v>
      </c>
      <c r="O48" s="18" t="n">
        <v>2667.736</v>
      </c>
      <c r="P48" s="18" t="n">
        <v>2712.861</v>
      </c>
      <c r="Q48" s="18" t="n">
        <v>2838.295</v>
      </c>
      <c r="R48" s="18" t="n">
        <v>2908.653</v>
      </c>
      <c r="S48" s="18" t="n">
        <v>2947.007</v>
      </c>
      <c r="T48" s="18" t="n">
        <v>2848.361</v>
      </c>
      <c r="U48" s="18" t="n">
        <v>2923.499</v>
      </c>
      <c r="V48" s="18" t="n">
        <v>2880.256</v>
      </c>
      <c r="W48" s="18" t="n">
        <v>2890.872</v>
      </c>
      <c r="X48" s="18" t="n">
        <v>2816.138</v>
      </c>
      <c r="Y48" s="18" t="n">
        <v>2793.379</v>
      </c>
      <c r="Z48" s="18" t="n">
        <v>2776.379</v>
      </c>
      <c r="AA48" s="18" t="n">
        <v>2787.301</v>
      </c>
      <c r="AB48" s="18" t="n">
        <v>2729.323</v>
      </c>
      <c r="AC48" s="18" t="n">
        <v>2792.358</v>
      </c>
    </row>
    <row r="49">
      <c r="A49" s="5" t="inlineStr">
        <is>
          <t xml:space="preserve">  CASH FLOW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</row>
    <row r="50">
      <c r="A50" s="4" t="inlineStr">
        <is>
          <t>D&amp;A</t>
        </is>
      </c>
      <c r="B50" s="18" t="n">
        <v>30.313</v>
      </c>
      <c r="C50" s="18" t="n">
        <v>30.908</v>
      </c>
      <c r="D50" s="18" t="n">
        <v>31.031</v>
      </c>
      <c r="E50" s="18" t="n">
        <v>35.469</v>
      </c>
      <c r="F50" s="18" t="n">
        <v>32.273</v>
      </c>
      <c r="G50" s="18" t="n">
        <v>31.663</v>
      </c>
      <c r="H50" s="18" t="n">
        <v>33.122</v>
      </c>
      <c r="I50" s="18" t="n">
        <v>32.83</v>
      </c>
      <c r="J50" s="18" t="n">
        <v>32.982</v>
      </c>
      <c r="K50" s="18" t="n">
        <v>33.447</v>
      </c>
      <c r="L50" s="18" t="n">
        <v>33.007</v>
      </c>
      <c r="M50" s="18" t="n">
        <v>35.883</v>
      </c>
      <c r="N50" s="18" t="n">
        <v>34.61</v>
      </c>
      <c r="O50" s="18" t="n">
        <v>34.308</v>
      </c>
      <c r="P50" s="18" t="n">
        <v>35.402</v>
      </c>
      <c r="Q50" s="18" t="n">
        <v>32.533</v>
      </c>
      <c r="R50" s="18" t="n">
        <v>36.97</v>
      </c>
      <c r="S50" s="18" t="n">
        <v>35.984</v>
      </c>
      <c r="T50" s="18" t="n">
        <v>36.693</v>
      </c>
      <c r="U50" s="18" t="n">
        <v>32.824</v>
      </c>
      <c r="V50" s="18" t="n">
        <v>33.918</v>
      </c>
      <c r="W50" s="18" t="n">
        <v>32.93</v>
      </c>
      <c r="X50" s="18" t="n">
        <v>33.798</v>
      </c>
      <c r="Y50" s="18" t="n">
        <v>33.457</v>
      </c>
      <c r="Z50" s="18" t="n">
        <v>33.869</v>
      </c>
      <c r="AA50" s="18" t="n">
        <v>35.654</v>
      </c>
      <c r="AB50" s="18" t="n">
        <v>37.358</v>
      </c>
      <c r="AC50" s="18" t="n">
        <v>43.83</v>
      </c>
    </row>
    <row r="51">
      <c r="A51" s="4" t="inlineStr">
        <is>
          <t>Stock-based Compensation</t>
        </is>
      </c>
      <c r="B51" s="18" t="n">
        <v>15.607</v>
      </c>
      <c r="C51" s="18" t="n">
        <v>15.084</v>
      </c>
      <c r="D51" s="18" t="n">
        <v>15.29</v>
      </c>
      <c r="E51" s="18" t="n">
        <v>15.602</v>
      </c>
      <c r="F51" s="18" t="n">
        <v>17.977</v>
      </c>
      <c r="G51" s="18" t="n">
        <v>17.259</v>
      </c>
      <c r="H51" s="18" t="n">
        <v>16.92</v>
      </c>
      <c r="I51" s="18" t="n">
        <v>18.964</v>
      </c>
      <c r="J51" s="18" t="n">
        <v>21.535</v>
      </c>
      <c r="K51" s="18" t="n">
        <v>22.471</v>
      </c>
      <c r="L51" s="18" t="n">
        <v>21.366</v>
      </c>
      <c r="M51" s="18" t="n">
        <v>24.297</v>
      </c>
      <c r="N51" s="18" t="n">
        <v>26.673</v>
      </c>
      <c r="O51" s="18" t="n">
        <v>26.857</v>
      </c>
      <c r="P51" s="18" t="n">
        <v>27.304</v>
      </c>
      <c r="Q51" s="18" t="n">
        <v>30.512</v>
      </c>
      <c r="R51" s="18" t="n">
        <v>31.86</v>
      </c>
      <c r="S51" s="18" t="n">
        <v>33.033</v>
      </c>
      <c r="T51" s="18" t="n">
        <v>35.05</v>
      </c>
      <c r="U51" s="18" t="n">
        <v>37.827</v>
      </c>
      <c r="V51" s="18" t="n">
        <v>40.248</v>
      </c>
      <c r="W51" s="18" t="n">
        <v>37.358</v>
      </c>
      <c r="X51" s="18" t="n">
        <v>40.971</v>
      </c>
      <c r="Y51" s="18" t="n">
        <v>40.806</v>
      </c>
      <c r="Z51" s="18" t="n">
        <v>47.961</v>
      </c>
      <c r="AA51" s="18" t="n">
        <v>46.929</v>
      </c>
      <c r="AB51" s="18" t="n">
        <v>-135.696</v>
      </c>
      <c r="AC51" s="18" t="n">
        <v>49.827</v>
      </c>
    </row>
    <row r="52">
      <c r="A52" s="4" t="inlineStr">
        <is>
          <t>Change in Working Capital</t>
        </is>
      </c>
      <c r="B52" s="18" t="n">
        <v>-13.139</v>
      </c>
      <c r="C52" s="18" t="n">
        <v>-85.529</v>
      </c>
      <c r="D52" s="18" t="n">
        <v>107.934</v>
      </c>
      <c r="E52" s="18" t="n">
        <v>-103.56</v>
      </c>
      <c r="F52" s="18" t="n">
        <v>-88.857</v>
      </c>
      <c r="G52" s="18" t="n">
        <v>-59.786</v>
      </c>
      <c r="H52" s="18" t="n">
        <v>52.341</v>
      </c>
      <c r="I52" s="18" t="n">
        <v>-126.977</v>
      </c>
      <c r="J52" s="18" t="n">
        <v>65.199</v>
      </c>
      <c r="K52" s="18" t="n">
        <v>-103.385</v>
      </c>
      <c r="L52" s="18" t="n">
        <v>97.012</v>
      </c>
      <c r="M52" s="18" t="n">
        <v>-157.649</v>
      </c>
      <c r="N52" s="18" t="n">
        <v>7.174</v>
      </c>
      <c r="O52" s="18" t="n">
        <v>-284.847</v>
      </c>
      <c r="P52" s="18" t="n">
        <v>-136.792</v>
      </c>
      <c r="Q52" s="18" t="n">
        <v>-392.281</v>
      </c>
      <c r="R52" s="18" t="n">
        <v>81.673</v>
      </c>
      <c r="S52" s="18" t="n">
        <v>-42</v>
      </c>
      <c r="T52" s="18" t="n">
        <v>-44.143</v>
      </c>
      <c r="U52" s="18" t="n">
        <v>130.004</v>
      </c>
      <c r="V52" s="18" t="n">
        <v>-17.314</v>
      </c>
      <c r="W52" s="18" t="n">
        <v>-251.718</v>
      </c>
      <c r="X52" s="18" t="n">
        <v>241.788</v>
      </c>
      <c r="Y52" s="18" t="n">
        <v>-7.987</v>
      </c>
      <c r="Z52" s="18" t="n">
        <v>41.702</v>
      </c>
      <c r="AA52" s="18" t="n">
        <v>31.836</v>
      </c>
      <c r="AB52" s="18" t="n">
        <v>154.284</v>
      </c>
      <c r="AC52" s="18" t="n">
        <v>-37.724</v>
      </c>
    </row>
    <row r="53">
      <c r="A53" s="4" t="inlineStr">
        <is>
          <t>Operating Cash Flow</t>
        </is>
      </c>
      <c r="B53" s="18" t="n">
        <v>104.117</v>
      </c>
      <c r="C53" s="18" t="n">
        <v>83.11499999999999</v>
      </c>
      <c r="D53" s="18" t="n">
        <v>240.013</v>
      </c>
      <c r="E53" s="18" t="n">
        <v>39.764</v>
      </c>
      <c r="F53" s="18" t="n">
        <v>91.166</v>
      </c>
      <c r="G53" s="18" t="n">
        <v>175.429</v>
      </c>
      <c r="H53" s="18" t="n">
        <v>187.295</v>
      </c>
      <c r="I53" s="18" t="n">
        <v>-7.319</v>
      </c>
      <c r="J53" s="18" t="n">
        <v>224.978</v>
      </c>
      <c r="K53" s="18" t="n">
        <v>69.09699999999999</v>
      </c>
      <c r="L53" s="18" t="n">
        <v>254.89</v>
      </c>
      <c r="M53" s="18" t="n">
        <v>-54.411</v>
      </c>
      <c r="N53" s="18" t="n">
        <v>106.552</v>
      </c>
      <c r="O53" s="18" t="n">
        <v>-205.39</v>
      </c>
      <c r="P53" s="18" t="n">
        <v>-14.507</v>
      </c>
      <c r="Q53" s="18" t="n">
        <v>-265.639</v>
      </c>
      <c r="R53" s="18" t="n">
        <v>229.811</v>
      </c>
      <c r="S53" s="18" t="n">
        <v>8.688000000000001</v>
      </c>
      <c r="T53" s="18" t="n">
        <v>195.472</v>
      </c>
      <c r="U53" s="18" t="n">
        <v>263.674</v>
      </c>
      <c r="V53" s="18" t="n">
        <v>58.321</v>
      </c>
      <c r="W53" s="18" t="n">
        <v>-159.377</v>
      </c>
      <c r="X53" s="18" t="n">
        <v>349.36</v>
      </c>
      <c r="Y53" s="18" t="n">
        <v>103.723</v>
      </c>
      <c r="Z53" s="18" t="n">
        <v>156.946</v>
      </c>
      <c r="AA53" s="18" t="n">
        <v>174.347</v>
      </c>
      <c r="AB53" s="18" t="n">
        <v>371.077</v>
      </c>
      <c r="AC53" s="18" t="n">
        <v>227.645</v>
      </c>
    </row>
    <row r="54">
      <c r="A54" s="4" t="inlineStr">
        <is>
          <t>Capex</t>
        </is>
      </c>
      <c r="B54" s="18" t="n">
        <v>-19.944</v>
      </c>
      <c r="C54" s="18" t="n">
        <v>-13.774</v>
      </c>
      <c r="D54" s="18" t="n">
        <v>-13.516</v>
      </c>
      <c r="E54" s="18" t="n">
        <v>-26.82</v>
      </c>
      <c r="F54" s="18" t="n">
        <v>-18.638</v>
      </c>
      <c r="G54" s="18" t="n">
        <v>-15.875</v>
      </c>
      <c r="H54" s="18" t="n">
        <v>-21.334</v>
      </c>
      <c r="I54" s="18" t="n">
        <v>-20.868</v>
      </c>
      <c r="J54" s="18" t="n">
        <v>-30.783</v>
      </c>
      <c r="K54" s="18" t="n">
        <v>-15.639</v>
      </c>
      <c r="L54" s="18" t="n">
        <v>-12.26</v>
      </c>
      <c r="M54" s="18" t="n">
        <v>-25.804</v>
      </c>
      <c r="N54" s="18" t="n">
        <v>-19.445</v>
      </c>
      <c r="O54" s="18" t="n">
        <v>-21.659</v>
      </c>
      <c r="P54" s="18" t="n">
        <v>-23.91</v>
      </c>
      <c r="Q54" s="18" t="n">
        <v>-30.03</v>
      </c>
      <c r="R54" s="18" t="n">
        <v>-28.004</v>
      </c>
      <c r="S54" s="18" t="n">
        <v>-25.388</v>
      </c>
      <c r="T54" s="18" t="n">
        <v>-22.775</v>
      </c>
      <c r="U54" s="18" t="n">
        <v>-16.599</v>
      </c>
      <c r="V54" s="18" t="n">
        <v>-16.901</v>
      </c>
      <c r="W54" s="18" t="n">
        <v>-19.598</v>
      </c>
      <c r="X54" s="18" t="n">
        <v>-83.54300000000001</v>
      </c>
      <c r="Y54" s="18" t="n">
        <v>-26.884</v>
      </c>
      <c r="Z54" s="18" t="n">
        <v>-28.738</v>
      </c>
      <c r="AA54" s="18" t="n">
        <v>55.622</v>
      </c>
      <c r="AB54" s="18" t="n">
        <v>-140.801</v>
      </c>
      <c r="AC54" s="18" t="n">
        <v>-73.88500000000001</v>
      </c>
    </row>
    <row r="55">
      <c r="A55" s="4" t="inlineStr">
        <is>
          <t>Free Cash Flow</t>
        </is>
      </c>
      <c r="B55" s="18" t="n">
        <v>84.173</v>
      </c>
      <c r="C55" s="18" t="n">
        <v>69.34099999999999</v>
      </c>
      <c r="D55" s="18" t="n">
        <v>226.497</v>
      </c>
      <c r="E55" s="18" t="n">
        <v>12.944</v>
      </c>
      <c r="F55" s="18" t="n">
        <v>72.52800000000001</v>
      </c>
      <c r="G55" s="18" t="n">
        <v>159.554</v>
      </c>
      <c r="H55" s="18" t="n">
        <v>165.961</v>
      </c>
      <c r="I55" s="18" t="n">
        <v>-28.187</v>
      </c>
      <c r="J55" s="18" t="n">
        <v>194.195</v>
      </c>
      <c r="K55" s="18" t="n">
        <v>53.458</v>
      </c>
      <c r="L55" s="18" t="n">
        <v>242.63</v>
      </c>
      <c r="M55" s="18" t="n">
        <v>-80.215</v>
      </c>
      <c r="N55" s="18" t="n">
        <v>87.107</v>
      </c>
      <c r="O55" s="18" t="n">
        <v>-227.049</v>
      </c>
      <c r="P55" s="18" t="n">
        <v>-38.417</v>
      </c>
      <c r="Q55" s="18" t="n">
        <v>-295.669</v>
      </c>
      <c r="R55" s="18" t="n">
        <v>201.807</v>
      </c>
      <c r="S55" s="18" t="n">
        <v>-16.7</v>
      </c>
      <c r="T55" s="18" t="n">
        <v>172.697</v>
      </c>
      <c r="U55" s="18" t="n">
        <v>247.075</v>
      </c>
      <c r="V55" s="18" t="n">
        <v>41.42</v>
      </c>
      <c r="W55" s="18" t="n">
        <v>-178.975</v>
      </c>
      <c r="X55" s="18" t="n">
        <v>265.817</v>
      </c>
      <c r="Y55" s="18" t="n">
        <v>76.839</v>
      </c>
      <c r="Z55" s="18" t="n">
        <v>128.208</v>
      </c>
      <c r="AA55" s="18" t="n">
        <v>229.969</v>
      </c>
      <c r="AB55" s="18" t="n">
        <v>230.276</v>
      </c>
      <c r="AC55" s="18" t="n">
        <v>153.76</v>
      </c>
    </row>
    <row r="57">
      <c r="A57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6171.037137</v>
      </c>
      <c r="C4" s="18" t="n">
        <v>7526.933688</v>
      </c>
      <c r="D4" s="18" t="n">
        <v>9560.556210999999</v>
      </c>
      <c r="E4" s="18" t="n">
        <v>11976.062386</v>
      </c>
    </row>
    <row r="5">
      <c r="A5" s="4" t="inlineStr">
        <is>
          <t xml:space="preserve">  model</t>
        </is>
      </c>
      <c r="B5" s="28">
        <f>Model!G12</f>
        <v/>
      </c>
      <c r="C5" s="28">
        <f>Model!H12</f>
        <v/>
      </c>
      <c r="D5" s="28">
        <f>Model!I12</f>
        <v/>
      </c>
      <c r="E5" s="28">
        <f>Model!J12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</row>
    <row r="8">
      <c r="A8" s="3" t="inlineStr">
        <is>
          <t>EBITDA* — consensus</t>
        </is>
      </c>
      <c r="B8" s="18" t="n">
        <v>702.768109</v>
      </c>
      <c r="C8" s="18" t="n">
        <v>857.179893</v>
      </c>
      <c r="D8" s="18" t="n">
        <v>1088.772253</v>
      </c>
      <c r="E8" s="18" t="n">
        <v>1363.854168</v>
      </c>
    </row>
    <row r="9">
      <c r="A9" s="4" t="inlineStr">
        <is>
          <t xml:space="preserve">  model</t>
        </is>
      </c>
      <c r="B9" s="28">
        <f>Model!G25+Model!G30</f>
        <v/>
      </c>
      <c r="C9" s="28">
        <f>Model!H25+Model!H30</f>
        <v/>
      </c>
      <c r="D9" s="28">
        <f>Model!I25+Model!I30</f>
        <v/>
      </c>
      <c r="E9" s="28">
        <f>Model!J25+Model!J30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</row>
    <row r="12">
      <c r="A12" s="3" t="inlineStr">
        <is>
          <t>EBIT* — consensus</t>
        </is>
      </c>
      <c r="B12" s="18" t="n">
        <v>492.698932</v>
      </c>
      <c r="C12" s="18" t="n">
        <v>600.954443</v>
      </c>
      <c r="D12" s="18" t="n">
        <v>763.319962</v>
      </c>
      <c r="E12" s="18" t="n">
        <v>956.175278</v>
      </c>
    </row>
    <row r="13">
      <c r="A13" s="4" t="inlineStr">
        <is>
          <t xml:space="preserve">  model</t>
        </is>
      </c>
      <c r="B13" s="28">
        <f>Model!G25</f>
        <v/>
      </c>
      <c r="C13" s="28">
        <f>Model!H25</f>
        <v/>
      </c>
      <c r="D13" s="28">
        <f>Model!I25</f>
        <v/>
      </c>
      <c r="E13" s="28">
        <f>Model!J25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</row>
    <row r="16">
      <c r="A16" s="3" t="inlineStr">
        <is>
          <t>SG&amp;A — consensus</t>
        </is>
      </c>
      <c r="B16" s="18" t="n">
        <v>1071.284257</v>
      </c>
      <c r="C16" s="18" t="n">
        <v>1306.666187</v>
      </c>
      <c r="D16" s="18" t="n">
        <v>1659.70049</v>
      </c>
      <c r="E16" s="18" t="n">
        <v>2079.029313</v>
      </c>
    </row>
    <row r="17">
      <c r="A17" s="4" t="inlineStr">
        <is>
          <t xml:space="preserve">  model</t>
        </is>
      </c>
      <c r="B17" s="28">
        <f>Model!G20</f>
        <v/>
      </c>
      <c r="C17" s="28">
        <f>Model!H20</f>
        <v/>
      </c>
      <c r="D17" s="28">
        <f>Model!I20</f>
        <v/>
      </c>
      <c r="E17" s="28">
        <f>Model!J20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</row>
    <row r="20">
      <c r="A20" s="3" t="inlineStr">
        <is>
          <t>Net income (NOPAT) — consensus</t>
        </is>
      </c>
      <c r="B20" s="18" t="n">
        <v>892.2185265000001</v>
      </c>
      <c r="C20" s="18" t="n">
        <v>1289.4492955</v>
      </c>
      <c r="D20" s="18" t="n">
        <v>1990.354418</v>
      </c>
      <c r="E20" s="18" t="n">
        <v>0</v>
      </c>
    </row>
    <row r="21">
      <c r="A21" s="4" t="inlineStr">
        <is>
          <t xml:space="preserve">  model</t>
        </is>
      </c>
      <c r="B21" s="28">
        <f>Model!G29</f>
        <v/>
      </c>
      <c r="C21" s="28">
        <f>Model!H29</f>
        <v/>
      </c>
      <c r="D21" s="28">
        <f>Model!I29</f>
        <v/>
      </c>
      <c r="E21" s="28">
        <f>Model!J29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</row>
    <row r="24">
      <c r="A24" s="3" t="inlineStr">
        <is>
          <t>EPS — consensus</t>
        </is>
      </c>
      <c r="B24" s="62" t="n">
        <v>6.15772</v>
      </c>
      <c r="C24" s="62" t="n">
        <v>8.60796</v>
      </c>
      <c r="D24" s="62" t="n">
        <v>12.68006</v>
      </c>
      <c r="E24" s="62" t="n">
        <v>0</v>
      </c>
    </row>
    <row r="25">
      <c r="A25" s="4" t="inlineStr">
        <is>
          <t xml:space="preserve">  model</t>
        </is>
      </c>
      <c r="B25" s="46">
        <f>Model!G29/Financials!AC17</f>
        <v/>
      </c>
      <c r="C25" s="46">
        <f>Model!H29/Financials!AC17</f>
        <v/>
      </c>
      <c r="D25" s="46">
        <f>Model!I29/Financials!AC17</f>
        <v/>
      </c>
      <c r="E25" s="46">
        <f>Model!J29/Financials!AC17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Ciena Corporation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Model!G37</f>
        <v/>
      </c>
      <c r="D12" s="28">
        <f>Model!H37</f>
        <v/>
      </c>
      <c r="E12" s="28">
        <f>Model!I37</f>
        <v/>
      </c>
      <c r="F12" s="28">
        <f>Model!J37</f>
        <v/>
      </c>
      <c r="G12" s="28">
        <f>Model!K37</f>
        <v/>
      </c>
      <c r="H12" s="28">
        <f>Model!L37</f>
        <v/>
      </c>
      <c r="I12" s="28">
        <f>Model!M37</f>
        <v/>
      </c>
      <c r="J12" s="28">
        <f>Model!N37</f>
        <v/>
      </c>
      <c r="K12" s="28">
        <f>Model!O37</f>
        <v/>
      </c>
      <c r="L12" s="28">
        <f>Model!P37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Model!P12</f>
        <v/>
      </c>
    </row>
    <row r="21">
      <c r="A21" s="4" t="inlineStr">
        <is>
          <t>Terminal EBIT</t>
        </is>
      </c>
      <c r="B21" s="28">
        <f>Model!P25</f>
        <v/>
      </c>
    </row>
    <row r="22">
      <c r="A22" s="4" t="inlineStr">
        <is>
          <t>Terminal EBITDA</t>
        </is>
      </c>
      <c r="B22" s="28">
        <f>Model!P25+Model!P30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Financials!AC42</f>
        <v/>
      </c>
    </row>
    <row r="33">
      <c r="A33" s="4" t="inlineStr">
        <is>
          <t>- Long-term debt</t>
        </is>
      </c>
      <c r="B33" s="28">
        <f>-Financials!AC47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Model!F12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Model!F26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0.02942400545800646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1.019575667317476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(Model!P12/Model!F12)^(1/10)-1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1.068944300131512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Financials!AC42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Financials!AC47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2026-06-07T22:25:49Z</dcterms:created>
  <dcterms:modified xmlns:dcterms="http://purl.org/dc/terms/" xmlns:xsi="http://www.w3.org/2001/XMLSchema-instance" xsi:type="dcterms:W3CDTF">2026-06-07T22:25:49Z</dcterms:modified>
</cp:coreProperties>
</file>