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Intuitive Surgical, Inc. (ISRG)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Intuitive Surgical, Inc. (ISRG)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Instruments and Accessories</t>
        </is>
      </c>
      <c r="B20" s="15" t="n">
        <v>0.1189627187233748</v>
      </c>
      <c r="C20" s="15" t="n">
        <v>0.05</v>
      </c>
      <c r="D20" s="16" t="n">
        <v>0.1189627187233748</v>
      </c>
      <c r="E20" s="2" t="inlineStr"/>
    </row>
    <row r="21">
      <c r="A21" s="4" t="inlineStr">
        <is>
          <t>Systems</t>
        </is>
      </c>
      <c r="B21" s="15" t="n">
        <v>0.175883582704217</v>
      </c>
      <c r="C21" s="15" t="n">
        <v>0.05</v>
      </c>
      <c r="D21" s="16" t="n">
        <v>0.175883582704217</v>
      </c>
      <c r="E21" s="2" t="inlineStr"/>
    </row>
    <row r="22">
      <c r="A22" s="4" t="inlineStr">
        <is>
          <t>Services</t>
        </is>
      </c>
      <c r="B22" s="15" t="n">
        <v>0.1327159875499919</v>
      </c>
      <c r="C22" s="15" t="n">
        <v>0.05</v>
      </c>
      <c r="D22" s="16" t="n">
        <v>0.1327159875499919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0.4227217866713131</v>
      </c>
      <c r="D29" s="16" t="n">
        <v>0.4227217866713131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0.4219954547414979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593.78</v>
      </c>
      <c r="D34" s="18" t="n">
        <v>593.78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1.509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426.6098937988281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196.5131706277346</v>
      </c>
      <c r="C58" s="28" t="n">
        <v>255.2161692247756</v>
      </c>
      <c r="D58" s="28" t="n">
        <v>150.7556662816507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0.07831331286575854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0.04698798771945512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ISRG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Instruments and Accessories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Instruments and Accessories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Systems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Systems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Services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Services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Near-term operating margin</t>
        </is>
      </c>
      <c r="B14" t="inlineStr">
        <is>
          <t>B29</t>
        </is>
      </c>
      <c r="C14" s="11">
        <f>Dashboard!B29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Terminal operating margin</t>
        </is>
      </c>
      <c r="B15" t="inlineStr">
        <is>
          <t>B30</t>
        </is>
      </c>
      <c r="C15" s="11">
        <f>Dashboard!B30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Tax rate</t>
        </is>
      </c>
      <c r="B16" t="inlineStr">
        <is>
          <t>B31</t>
        </is>
      </c>
      <c r="C16" s="11">
        <f>Dashboard!B31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Terminal capex / D&amp;A</t>
        </is>
      </c>
      <c r="B17" t="inlineStr">
        <is>
          <t>B35</t>
        </is>
      </c>
      <c r="C17" s="13">
        <f>Dashboard!B35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Risk-free rate (10Y)</t>
        </is>
      </c>
      <c r="B18" t="inlineStr">
        <is>
          <t>B38</t>
        </is>
      </c>
      <c r="C18" s="11">
        <f>Dashboard!B38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Equity risk premium</t>
        </is>
      </c>
      <c r="B19" t="inlineStr">
        <is>
          <t>B39</t>
        </is>
      </c>
      <c r="C19" s="11">
        <f>Dashboard!B39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Beta (levered)</t>
        </is>
      </c>
      <c r="B20" t="inlineStr">
        <is>
          <t>B40</t>
        </is>
      </c>
      <c r="C20" s="32">
        <f>Dashboard!B40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Pre-tax cost of debt</t>
        </is>
      </c>
      <c r="B21" t="inlineStr">
        <is>
          <t>B41</t>
        </is>
      </c>
      <c r="C21" s="11">
        <f>Dashboard!B41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Terminal method</t>
        </is>
      </c>
      <c r="B22" t="inlineStr">
        <is>
          <t>B43</t>
        </is>
      </c>
      <c r="C22" s="12">
        <f>Dashboard!B43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Exit basis</t>
        </is>
      </c>
      <c r="B23" t="inlineStr">
        <is>
          <t>B44</t>
        </is>
      </c>
      <c r="C23" s="12">
        <f>Dashboard!B44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Exit multiple</t>
        </is>
      </c>
      <c r="B24" t="inlineStr">
        <is>
          <t>B45</t>
        </is>
      </c>
      <c r="C24" s="13">
        <f>Dashboard!B45</f>
        <v/>
      </c>
      <c r="D24" t="inlineStr">
        <is>
          <t>builder default</t>
        </is>
      </c>
      <c r="E24" t="inlineStr">
        <is>
          <t>—</t>
        </is>
      </c>
      <c r="F24" s="31" t="inlineStr"/>
    </row>
    <row r="25">
      <c r="A25" t="inlineStr">
        <is>
          <t>Terminal growth (g)</t>
        </is>
      </c>
      <c r="B25" t="inlineStr">
        <is>
          <t>B46</t>
        </is>
      </c>
      <c r="C25" s="11">
        <f>Dashboard!B46</f>
        <v/>
      </c>
      <c r="D25" t="inlineStr">
        <is>
          <t>builder default</t>
        </is>
      </c>
      <c r="E25" t="inlineStr">
        <is>
          <t>—</t>
        </is>
      </c>
      <c r="F25" s="31" t="inlineStr"/>
    </row>
    <row r="26">
      <c r="A26" t="inlineStr">
        <is>
          <t>2026 capex ($M)</t>
        </is>
      </c>
      <c r="B26" t="inlineStr">
        <is>
          <t>B34</t>
        </is>
      </c>
      <c r="C26" s="33">
        <f>Dashboard!B34</f>
        <v/>
      </c>
      <c r="D26" t="inlineStr">
        <is>
          <t>builder default</t>
        </is>
      </c>
      <c r="E26" t="inlineStr">
        <is>
          <t>—</t>
        </is>
      </c>
      <c r="F26" s="31" t="inlineStr">
        <is>
          <t>last-year capex +10% unless set to guidance; edits not tracked</t>
        </is>
      </c>
    </row>
    <row r="27">
      <c r="A27" t="inlineStr">
        <is>
          <t>Bull Δ — segment growth, near-term</t>
        </is>
      </c>
      <c r="B27" t="inlineStr">
        <is>
          <t>C52</t>
        </is>
      </c>
      <c r="C27" s="34">
        <f>Dashboard!C52</f>
        <v/>
      </c>
      <c r="D27" t="inlineStr">
        <is>
          <t>seed default</t>
        </is>
      </c>
      <c r="E27" t="inlineStr">
        <is>
          <t>3.0%</t>
        </is>
      </c>
      <c r="F27" s="31" t="inlineStr"/>
    </row>
    <row r="28">
      <c r="A28" t="inlineStr">
        <is>
          <t>Bear Δ — segment growth, near-term</t>
        </is>
      </c>
      <c r="B28" t="inlineStr">
        <is>
          <t>D52</t>
        </is>
      </c>
      <c r="C28" s="34">
        <f>Dashboard!D52</f>
        <v/>
      </c>
      <c r="D28" t="inlineStr">
        <is>
          <t>seed default</t>
        </is>
      </c>
      <c r="E28" t="inlineStr">
        <is>
          <t>-3.0%</t>
        </is>
      </c>
      <c r="F28" s="31" t="inlineStr"/>
    </row>
    <row r="29">
      <c r="A29" t="inlineStr">
        <is>
          <t>Bull Δ — segment growth, terminal</t>
        </is>
      </c>
      <c r="B29" t="inlineStr">
        <is>
          <t>C53</t>
        </is>
      </c>
      <c r="C29" s="34">
        <f>Dashboard!C53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segment growth, terminal</t>
        </is>
      </c>
      <c r="B30" t="inlineStr">
        <is>
          <t>D53</t>
        </is>
      </c>
      <c r="C30" s="34">
        <f>Dashboard!D53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near-term</t>
        </is>
      </c>
      <c r="B31" t="inlineStr">
        <is>
          <t>C54</t>
        </is>
      </c>
      <c r="C31" s="34">
        <f>Dashboard!C54</f>
        <v/>
      </c>
      <c r="D31" t="inlineStr">
        <is>
          <t>seed default</t>
        </is>
      </c>
      <c r="E31" t="inlineStr">
        <is>
          <t>1.0%</t>
        </is>
      </c>
      <c r="F31" s="31" t="inlineStr"/>
    </row>
    <row r="32">
      <c r="A32" t="inlineStr">
        <is>
          <t>Bear Δ — operating margin, near-term</t>
        </is>
      </c>
      <c r="B32" t="inlineStr">
        <is>
          <t>D54</t>
        </is>
      </c>
      <c r="C32" s="34">
        <f>Dashboard!D54</f>
        <v/>
      </c>
      <c r="D32" t="inlineStr">
        <is>
          <t>seed default</t>
        </is>
      </c>
      <c r="E32" t="inlineStr">
        <is>
          <t>-1.0%</t>
        </is>
      </c>
      <c r="F32" s="31" t="inlineStr"/>
    </row>
    <row r="33">
      <c r="A33" t="inlineStr">
        <is>
          <t>Bull Δ — operating margin, terminal</t>
        </is>
      </c>
      <c r="B33" t="inlineStr">
        <is>
          <t>C55</t>
        </is>
      </c>
      <c r="C33" s="34">
        <f>Dashboard!C55</f>
        <v/>
      </c>
      <c r="D33" t="inlineStr">
        <is>
          <t>seed default</t>
        </is>
      </c>
      <c r="E33" t="inlineStr">
        <is>
          <t>2.0%</t>
        </is>
      </c>
      <c r="F33" s="31" t="inlineStr"/>
    </row>
    <row r="34">
      <c r="A34" t="inlineStr">
        <is>
          <t>Bear Δ — operating margin, terminal</t>
        </is>
      </c>
      <c r="B34" t="inlineStr">
        <is>
          <t>D55</t>
        </is>
      </c>
      <c r="C34" s="34">
        <f>Dashboard!D55</f>
        <v/>
      </c>
      <c r="D34" t="inlineStr">
        <is>
          <t>seed default</t>
        </is>
      </c>
      <c r="E34" t="inlineStr">
        <is>
          <t>-2.0%</t>
        </is>
      </c>
      <c r="F34" s="31" t="inlineStr"/>
    </row>
    <row r="35">
      <c r="A35" t="inlineStr">
        <is>
          <t>Bull Δ — exit multiple</t>
        </is>
      </c>
      <c r="B35" t="inlineStr">
        <is>
          <t>C56</t>
        </is>
      </c>
      <c r="C35" s="35">
        <f>Dashboard!C56</f>
        <v/>
      </c>
      <c r="D35" t="inlineStr">
        <is>
          <t>seed default</t>
        </is>
      </c>
      <c r="E35" t="inlineStr">
        <is>
          <t>2.0x</t>
        </is>
      </c>
      <c r="F35" s="31" t="inlineStr"/>
    </row>
    <row r="36">
      <c r="A36" t="inlineStr">
        <is>
          <t>Bear Δ — exit multiple</t>
        </is>
      </c>
      <c r="B36" t="inlineStr">
        <is>
          <t>D56</t>
        </is>
      </c>
      <c r="C36" s="35">
        <f>Dashboard!D56</f>
        <v/>
      </c>
      <c r="D36" t="inlineStr">
        <is>
          <t>seed default</t>
        </is>
      </c>
      <c r="E36" t="inlineStr">
        <is>
          <t>-2.0x</t>
        </is>
      </c>
      <c r="F36" s="31" t="inlineStr"/>
    </row>
    <row r="37">
      <c r="A37" t="inlineStr">
        <is>
          <t>Bull Δ — terminal growth (g)</t>
        </is>
      </c>
      <c r="B37" t="inlineStr">
        <is>
          <t>C57</t>
        </is>
      </c>
      <c r="C37" s="34">
        <f>Dashboard!C57</f>
        <v/>
      </c>
      <c r="D37" t="inlineStr">
        <is>
          <t>seed default</t>
        </is>
      </c>
      <c r="E37" t="inlineStr">
        <is>
          <t>0.5%</t>
        </is>
      </c>
      <c r="F37" s="31" t="inlineStr"/>
    </row>
    <row r="38">
      <c r="A38" t="inlineStr">
        <is>
          <t>Bear Δ — terminal growth (g)</t>
        </is>
      </c>
      <c r="B38" t="inlineStr">
        <is>
          <t>D57</t>
        </is>
      </c>
      <c r="C38" s="34">
        <f>Dashboard!D57</f>
        <v/>
      </c>
      <c r="D38" t="inlineStr">
        <is>
          <t>seed default</t>
        </is>
      </c>
      <c r="E38" t="inlineStr">
        <is>
          <t>-0.5%</t>
        </is>
      </c>
      <c r="F38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Instruments and Accessories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Systems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Services</t>
        </is>
      </c>
      <c r="B8" s="33">
        <f>SUM(Financials!I25:L25)</f>
        <v/>
      </c>
      <c r="C8" s="33">
        <f>SUM(Financials!M25:P25)</f>
        <v/>
      </c>
      <c r="D8" s="33">
        <f>SUM(Financials!Q25:T25)</f>
        <v/>
      </c>
      <c r="E8" s="33">
        <f>SUM(Financials!U25:X25)</f>
        <v/>
      </c>
      <c r="F8" s="33">
        <f>SUM(Financials!Y25:AB25)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2">
        <f>B4+B6+B8</f>
        <v/>
      </c>
      <c r="C10" s="42">
        <f>C4+C6+C8</f>
        <v/>
      </c>
      <c r="D10" s="42">
        <f>D4+D6+D8</f>
        <v/>
      </c>
      <c r="E10" s="42">
        <f>E4+E6+E8</f>
        <v/>
      </c>
      <c r="F10" s="42">
        <f>F4+F6+F8</f>
        <v/>
      </c>
      <c r="G10" s="42">
        <f>G4+G6+G8</f>
        <v/>
      </c>
      <c r="H10" s="42">
        <f>H4+H6+H8</f>
        <v/>
      </c>
      <c r="I10" s="42">
        <f>I4+I6+I8</f>
        <v/>
      </c>
      <c r="J10" s="42">
        <f>J4+J6+J8</f>
        <v/>
      </c>
      <c r="K10" s="42">
        <f>K4+K6+K8</f>
        <v/>
      </c>
      <c r="L10" s="42">
        <f>L4+L6+L8</f>
        <v/>
      </c>
      <c r="M10" s="42">
        <f>M4+M6+M8</f>
        <v/>
      </c>
      <c r="N10" s="42">
        <f>N4+N6+N8</f>
        <v/>
      </c>
      <c r="O10" s="42">
        <f>O4+O6+O8</f>
        <v/>
      </c>
      <c r="P10" s="42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3">
        <f>SUM(Financials!I5:L5)</f>
        <v/>
      </c>
      <c r="C14" s="33">
        <f>SUM(Financials!M5:P5)</f>
        <v/>
      </c>
      <c r="D14" s="33">
        <f>SUM(Financials!Q5:T5)</f>
        <v/>
      </c>
      <c r="E14" s="33">
        <f>SUM(Financials!U5:X5)</f>
        <v/>
      </c>
      <c r="F14" s="33">
        <f>SUM(Financials!Y5:AB5)</f>
        <v/>
      </c>
      <c r="G14" s="41">
        <f>G10*G15</f>
        <v/>
      </c>
      <c r="H14" s="41">
        <f>H10*H15</f>
        <v/>
      </c>
      <c r="I14" s="41">
        <f>I10*I15</f>
        <v/>
      </c>
      <c r="J14" s="41">
        <f>J10*J15</f>
        <v/>
      </c>
      <c r="K14" s="41">
        <f>K10*K15</f>
        <v/>
      </c>
      <c r="L14" s="41">
        <f>L10*L15</f>
        <v/>
      </c>
      <c r="M14" s="41">
        <f>M10*M15</f>
        <v/>
      </c>
      <c r="N14" s="41">
        <f>N10*N15</f>
        <v/>
      </c>
      <c r="O14" s="41">
        <f>O10*O15</f>
        <v/>
      </c>
      <c r="P14" s="41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0.3400399415779904</v>
      </c>
      <c r="H15" s="15" t="n">
        <v>0.3400399415779904</v>
      </c>
      <c r="I15" s="15" t="n">
        <v>0.3400399415779904</v>
      </c>
      <c r="J15" s="15" t="n">
        <v>0.3400399415779904</v>
      </c>
      <c r="K15" s="15" t="n">
        <v>0.3400399415779904</v>
      </c>
      <c r="L15" s="15" t="n">
        <v>0.3400399415779904</v>
      </c>
      <c r="M15" s="15" t="n">
        <v>0.3400399415779904</v>
      </c>
      <c r="N15" s="15" t="n">
        <v>0.3400399415779904</v>
      </c>
      <c r="O15" s="15" t="n">
        <v>0.3400399415779904</v>
      </c>
      <c r="P15" s="15" t="n">
        <v>0.3400399415779904</v>
      </c>
    </row>
    <row r="16">
      <c r="A16" s="4" t="inlineStr">
        <is>
          <t>R&amp;D / Technology</t>
        </is>
      </c>
      <c r="B16" s="33">
        <f>SUM(Financials!I7:L7)</f>
        <v/>
      </c>
      <c r="C16" s="33">
        <f>SUM(Financials!M7:P7)</f>
        <v/>
      </c>
      <c r="D16" s="33">
        <f>SUM(Financials!Q7:T7)</f>
        <v/>
      </c>
      <c r="E16" s="33">
        <f>SUM(Financials!U7:X7)</f>
        <v/>
      </c>
      <c r="F16" s="33">
        <f>SUM(Financials!Y7:AB7)</f>
        <v/>
      </c>
      <c r="G16" s="41">
        <f>G10*G17</f>
        <v/>
      </c>
      <c r="H16" s="41">
        <f>H10*H17</f>
        <v/>
      </c>
      <c r="I16" s="41">
        <f>I10*I17</f>
        <v/>
      </c>
      <c r="J16" s="41">
        <f>J10*J17</f>
        <v/>
      </c>
      <c r="K16" s="41">
        <f>K10*K17</f>
        <v/>
      </c>
      <c r="L16" s="41">
        <f>L10*L17</f>
        <v/>
      </c>
      <c r="M16" s="41">
        <f>M10*M17</f>
        <v/>
      </c>
      <c r="N16" s="41">
        <f>N10*N17</f>
        <v/>
      </c>
      <c r="O16" s="41">
        <f>O10*O17</f>
        <v/>
      </c>
      <c r="P16" s="41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0.1303367214124614</v>
      </c>
      <c r="H17" s="15" t="n">
        <v>0.1303367214124614</v>
      </c>
      <c r="I17" s="15" t="n">
        <v>0.1303367214124614</v>
      </c>
      <c r="J17" s="15" t="n">
        <v>0.1303367214124614</v>
      </c>
      <c r="K17" s="15" t="n">
        <v>0.1303367214124614</v>
      </c>
      <c r="L17" s="15" t="n">
        <v>0.1303367214124614</v>
      </c>
      <c r="M17" s="15" t="n">
        <v>0.1303367214124614</v>
      </c>
      <c r="N17" s="15" t="n">
        <v>0.1303367214124614</v>
      </c>
      <c r="O17" s="15" t="n">
        <v>0.1303367214124614</v>
      </c>
      <c r="P17" s="15" t="n">
        <v>0.1303367214124614</v>
      </c>
    </row>
    <row r="18">
      <c r="A18" s="4" t="inlineStr">
        <is>
          <t>SG&amp;A</t>
        </is>
      </c>
      <c r="B18" s="33">
        <f>SUM(Financials!I9:L9)</f>
        <v/>
      </c>
      <c r="C18" s="33">
        <f>SUM(Financials!M9:P9)</f>
        <v/>
      </c>
      <c r="D18" s="33">
        <f>SUM(Financials!Q9:T9)</f>
        <v/>
      </c>
      <c r="E18" s="33">
        <f>SUM(Financials!U9:X9)</f>
        <v/>
      </c>
      <c r="F18" s="33">
        <f>SUM(Financials!Y9:AB9)</f>
        <v/>
      </c>
      <c r="G18" s="41">
        <f>G10*G19</f>
        <v/>
      </c>
      <c r="H18" s="41">
        <f>H10*H19</f>
        <v/>
      </c>
      <c r="I18" s="41">
        <f>I10*I19</f>
        <v/>
      </c>
      <c r="J18" s="41">
        <f>J10*J19</f>
        <v/>
      </c>
      <c r="K18" s="41">
        <f>K10*K19</f>
        <v/>
      </c>
      <c r="L18" s="41">
        <f>L10*L19</f>
        <v/>
      </c>
      <c r="M18" s="41">
        <f>M10*M19</f>
        <v/>
      </c>
      <c r="N18" s="41">
        <f>N10*N19</f>
        <v/>
      </c>
      <c r="O18" s="41">
        <f>O10*O19</f>
        <v/>
      </c>
      <c r="P18" s="41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0.2369668246445497</v>
      </c>
      <c r="H19" s="15" t="n">
        <v>0.2369668246445497</v>
      </c>
      <c r="I19" s="15" t="n">
        <v>0.2369668246445497</v>
      </c>
      <c r="J19" s="15" t="n">
        <v>0.2369668246445497</v>
      </c>
      <c r="K19" s="15" t="n">
        <v>0.2369668246445497</v>
      </c>
      <c r="L19" s="15" t="n">
        <v>0.2369668246445497</v>
      </c>
      <c r="M19" s="15" t="n">
        <v>0.2369668246445497</v>
      </c>
      <c r="N19" s="15" t="n">
        <v>0.2369668246445497</v>
      </c>
      <c r="O19" s="15" t="n">
        <v>0.2369668246445497</v>
      </c>
      <c r="P19" s="15" t="n">
        <v>0.2369668246445497</v>
      </c>
    </row>
    <row r="20">
      <c r="A20" s="4" t="inlineStr">
        <is>
          <t>Other opex (fulfilment, etc.)</t>
        </is>
      </c>
      <c r="B20" s="33">
        <f>B10-(B14+B16+B18)-SUM(Financials!I13:L13)</f>
        <v/>
      </c>
      <c r="C20" s="33">
        <f>C10-(C14+C16+C18)-SUM(Financials!M13:P13)</f>
        <v/>
      </c>
      <c r="D20" s="33">
        <f>D10-(D14+D16+D18)-SUM(Financials!Q13:T13)</f>
        <v/>
      </c>
      <c r="E20" s="33">
        <f>E10-(E14+E16+E18)-SUM(Financials!U13:X13)</f>
        <v/>
      </c>
      <c r="F20" s="33">
        <f>F10-(F14+F16+F18)-SUM(Financials!Y13:AB13)</f>
        <v/>
      </c>
      <c r="G20" s="33">
        <f>G10*(1-(Dashboard!$B$29+(Dashboard!$B$30-Dashboard!$B$29)*MIN(1,0/4)))-(G14+G16+G18)</f>
        <v/>
      </c>
      <c r="H20" s="33">
        <f>H10*(1-(Dashboard!$B$29+(Dashboard!$B$30-Dashboard!$B$29)*MIN(1,1/4)))-(H14+H16+H18)</f>
        <v/>
      </c>
      <c r="I20" s="33">
        <f>I10*(1-(Dashboard!$B$29+(Dashboard!$B$30-Dashboard!$B$29)*MIN(1,2/4)))-(I14+I16+I18)</f>
        <v/>
      </c>
      <c r="J20" s="33">
        <f>J10*(1-(Dashboard!$B$29+(Dashboard!$B$30-Dashboard!$B$29)*MIN(1,3/4)))-(J14+J16+J18)</f>
        <v/>
      </c>
      <c r="K20" s="33">
        <f>K10*(1-(Dashboard!$B$29+(Dashboard!$B$30-Dashboard!$B$29)*MIN(1,4/4)))-(K14+K16+K18)</f>
        <v/>
      </c>
      <c r="L20" s="33">
        <f>L10*(1-(Dashboard!$B$29+(Dashboard!$B$30-Dashboard!$B$29)*MIN(1,5/4)))-(L14+L16+L18)</f>
        <v/>
      </c>
      <c r="M20" s="33">
        <f>M10*(1-(Dashboard!$B$29+(Dashboard!$B$30-Dashboard!$B$29)*MIN(1,6/4)))-(M14+M16+M18)</f>
        <v/>
      </c>
      <c r="N20" s="33">
        <f>N10*(1-(Dashboard!$B$29+(Dashboard!$B$30-Dashboard!$B$29)*MIN(1,7/4)))-(N14+N16+N18)</f>
        <v/>
      </c>
      <c r="O20" s="33">
        <f>O10*(1-(Dashboard!$B$29+(Dashboard!$B$30-Dashboard!$B$29)*MIN(1,8/4)))-(O14+O16+O18)</f>
        <v/>
      </c>
      <c r="P20" s="33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2">
        <f>B10-(B14+B16+B18)-B20</f>
        <v/>
      </c>
      <c r="C23" s="42">
        <f>C10-(C14+C16+C18)-C20</f>
        <v/>
      </c>
      <c r="D23" s="42">
        <f>D10-(D14+D16+D18)-D20</f>
        <v/>
      </c>
      <c r="E23" s="42">
        <f>E10-(E14+E16+E18)-E20</f>
        <v/>
      </c>
      <c r="F23" s="42">
        <f>F10-(F14+F16+F18)-F20</f>
        <v/>
      </c>
      <c r="G23" s="42">
        <f>G10-(G14+G16+G18)-G20</f>
        <v/>
      </c>
      <c r="H23" s="42">
        <f>H10-(H14+H16+H18)-H20</f>
        <v/>
      </c>
      <c r="I23" s="42">
        <f>I10-(I14+I16+I18)-I20</f>
        <v/>
      </c>
      <c r="J23" s="42">
        <f>J10-(J14+J16+J18)-J20</f>
        <v/>
      </c>
      <c r="K23" s="42">
        <f>K10-(K14+K16+K18)-K20</f>
        <v/>
      </c>
      <c r="L23" s="42">
        <f>L10-(L14+L16+L18)-L20</f>
        <v/>
      </c>
      <c r="M23" s="42">
        <f>M10-(M14+M16+M18)-M20</f>
        <v/>
      </c>
      <c r="N23" s="42">
        <f>N10-(N14+N16+N18)-N20</f>
        <v/>
      </c>
      <c r="O23" s="42">
        <f>O10-(O14+O16+O18)-O20</f>
        <v/>
      </c>
      <c r="P23" s="42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3">
        <f>B23*(1-Valuation!$B$5)</f>
        <v/>
      </c>
      <c r="C27" s="33">
        <f>C23*(1-Valuation!$B$5)</f>
        <v/>
      </c>
      <c r="D27" s="33">
        <f>D23*(1-Valuation!$B$5)</f>
        <v/>
      </c>
      <c r="E27" s="33">
        <f>E23*(1-Valuation!$B$5)</f>
        <v/>
      </c>
      <c r="F27" s="33">
        <f>F23*(1-Valuation!$B$5)</f>
        <v/>
      </c>
      <c r="G27" s="33">
        <f>G23*(1-Valuation!$B$5)</f>
        <v/>
      </c>
      <c r="H27" s="33">
        <f>H23*(1-Valuation!$B$5)</f>
        <v/>
      </c>
      <c r="I27" s="33">
        <f>I23*(1-Valuation!$B$5)</f>
        <v/>
      </c>
      <c r="J27" s="33">
        <f>J23*(1-Valuation!$B$5)</f>
        <v/>
      </c>
      <c r="K27" s="33">
        <f>K23*(1-Valuation!$B$5)</f>
        <v/>
      </c>
      <c r="L27" s="33">
        <f>L23*(1-Valuation!$B$5)</f>
        <v/>
      </c>
      <c r="M27" s="33">
        <f>M23*(1-Valuation!$B$5)</f>
        <v/>
      </c>
      <c r="N27" s="33">
        <f>N23*(1-Valuation!$B$5)</f>
        <v/>
      </c>
      <c r="O27" s="33">
        <f>O23*(1-Valuation!$B$5)</f>
        <v/>
      </c>
      <c r="P27" s="33">
        <f>P23*(1-Valuation!$B$5)</f>
        <v/>
      </c>
    </row>
    <row r="28">
      <c r="A28" s="4" t="inlineStr">
        <is>
          <t>+ D&amp;A</t>
        </is>
      </c>
      <c r="B28" s="33">
        <f>SUM(Financials!I44:L44)</f>
        <v/>
      </c>
      <c r="C28" s="33">
        <f>SUM(Financials!M44:P44)</f>
        <v/>
      </c>
      <c r="D28" s="33">
        <f>SUM(Financials!Q44:T44)</f>
        <v/>
      </c>
      <c r="E28" s="33">
        <f>SUM(Financials!U44:X44)</f>
        <v/>
      </c>
      <c r="F28" s="33">
        <f>SUM(Financials!Y44:AB44)</f>
        <v/>
      </c>
      <c r="G28" s="41">
        <f>G10*0.0673</f>
        <v/>
      </c>
      <c r="H28" s="41">
        <f>H10*0.0673</f>
        <v/>
      </c>
      <c r="I28" s="41">
        <f>I10*0.0673</f>
        <v/>
      </c>
      <c r="J28" s="41">
        <f>J10*0.0673</f>
        <v/>
      </c>
      <c r="K28" s="41">
        <f>K10*0.0673</f>
        <v/>
      </c>
      <c r="L28" s="41">
        <f>L10*0.0673</f>
        <v/>
      </c>
      <c r="M28" s="41">
        <f>M10*0.0673</f>
        <v/>
      </c>
      <c r="N28" s="41">
        <f>N10*0.0673</f>
        <v/>
      </c>
      <c r="O28" s="41">
        <f>O10*0.0673</f>
        <v/>
      </c>
      <c r="P28" s="41">
        <f>P10*0.0673</f>
        <v/>
      </c>
    </row>
    <row r="29">
      <c r="A29" s="4" t="inlineStr">
        <is>
          <t>+ SBC (non-cash)</t>
        </is>
      </c>
      <c r="B29" s="33">
        <f>SUM(Financials!I45:L45)</f>
        <v/>
      </c>
      <c r="C29" s="33">
        <f>SUM(Financials!M45:P45)</f>
        <v/>
      </c>
      <c r="D29" s="33">
        <f>SUM(Financials!Q45:T45)</f>
        <v/>
      </c>
      <c r="E29" s="33">
        <f>SUM(Financials!U45:X45)</f>
        <v/>
      </c>
      <c r="F29" s="33">
        <f>SUM(Financials!Y45:AB45)</f>
        <v/>
      </c>
      <c r="G29" s="33">
        <f>G10*(Dashboard!$B$65+(Dashboard!$B$66-Dashboard!$B$65)*0/9)</f>
        <v/>
      </c>
      <c r="H29" s="33">
        <f>H10*(Dashboard!$B$65+(Dashboard!$B$66-Dashboard!$B$65)*1/9)</f>
        <v/>
      </c>
      <c r="I29" s="33">
        <f>I10*(Dashboard!$B$65+(Dashboard!$B$66-Dashboard!$B$65)*2/9)</f>
        <v/>
      </c>
      <c r="J29" s="33">
        <f>J10*(Dashboard!$B$65+(Dashboard!$B$66-Dashboard!$B$65)*3/9)</f>
        <v/>
      </c>
      <c r="K29" s="33">
        <f>K10*(Dashboard!$B$65+(Dashboard!$B$66-Dashboard!$B$65)*4/9)</f>
        <v/>
      </c>
      <c r="L29" s="33">
        <f>L10*(Dashboard!$B$65+(Dashboard!$B$66-Dashboard!$B$65)*5/9)</f>
        <v/>
      </c>
      <c r="M29" s="33">
        <f>M10*(Dashboard!$B$65+(Dashboard!$B$66-Dashboard!$B$65)*6/9)</f>
        <v/>
      </c>
      <c r="N29" s="33">
        <f>N10*(Dashboard!$B$65+(Dashboard!$B$66-Dashboard!$B$65)*7/9)</f>
        <v/>
      </c>
      <c r="O29" s="33">
        <f>O10*(Dashboard!$B$65+(Dashboard!$B$66-Dashboard!$B$65)*8/9)</f>
        <v/>
      </c>
      <c r="P29" s="33">
        <f>P10*(Dashboard!$B$65+(Dashboard!$B$66-Dashboard!$B$65)*9/9)</f>
        <v/>
      </c>
    </row>
    <row r="30">
      <c r="A30" s="4" t="inlineStr">
        <is>
          <t>- dNWC</t>
        </is>
      </c>
      <c r="G30" s="41">
        <f>(G10-F10)*0.0050</f>
        <v/>
      </c>
      <c r="H30" s="41">
        <f>(H10-G10)*0.0050</f>
        <v/>
      </c>
      <c r="I30" s="41">
        <f>(I10-H10)*0.0050</f>
        <v/>
      </c>
      <c r="J30" s="41">
        <f>(J10-I10)*0.0050</f>
        <v/>
      </c>
      <c r="K30" s="41">
        <f>(K10-J10)*0.0050</f>
        <v/>
      </c>
      <c r="L30" s="41">
        <f>(L10-K10)*0.0050</f>
        <v/>
      </c>
      <c r="M30" s="41">
        <f>(M10-L10)*0.0050</f>
        <v/>
      </c>
      <c r="N30" s="41">
        <f>(N10-M10)*0.0050</f>
        <v/>
      </c>
      <c r="O30" s="41">
        <f>(O10-N10)*0.0050</f>
        <v/>
      </c>
      <c r="P30" s="41">
        <f>(P10-O10)*0.0050</f>
        <v/>
      </c>
    </row>
    <row r="31">
      <c r="A31" s="4" t="inlineStr">
        <is>
          <t>- Capex</t>
        </is>
      </c>
      <c r="B31" s="33">
        <f>-SUM(Financials!I48:L48)</f>
        <v/>
      </c>
      <c r="C31" s="33">
        <f>-SUM(Financials!M48:P48)</f>
        <v/>
      </c>
      <c r="D31" s="33">
        <f>-SUM(Financials!Q48:T48)</f>
        <v/>
      </c>
      <c r="E31" s="33">
        <f>-SUM(Financials!U48:X48)</f>
        <v/>
      </c>
      <c r="F31" s="33">
        <f>-SUM(Financials!Y48:AB48)</f>
        <v/>
      </c>
      <c r="G31" s="41">
        <f>G28*G32</f>
        <v/>
      </c>
      <c r="H31" s="41">
        <f>H28*H32</f>
        <v/>
      </c>
      <c r="I31" s="41">
        <f>I28*I32</f>
        <v/>
      </c>
      <c r="J31" s="41">
        <f>J28*J32</f>
        <v/>
      </c>
      <c r="K31" s="41">
        <f>K28*K32</f>
        <v/>
      </c>
      <c r="L31" s="41">
        <f>L28*L32</f>
        <v/>
      </c>
      <c r="M31" s="41">
        <f>M28*M32</f>
        <v/>
      </c>
      <c r="N31" s="41">
        <f>N28*N32</f>
        <v/>
      </c>
      <c r="O31" s="41">
        <f>O28*O32</f>
        <v/>
      </c>
      <c r="P31" s="41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2">
        <f>B27+B28+B29-B30-B31</f>
        <v/>
      </c>
      <c r="C34" s="42">
        <f>C27+C28+C29-C30-C31</f>
        <v/>
      </c>
      <c r="D34" s="42">
        <f>D27+D28+D29-D30-D31</f>
        <v/>
      </c>
      <c r="E34" s="42">
        <f>E27+E28+E29-E30-E31</f>
        <v/>
      </c>
      <c r="F34" s="42">
        <f>F27+F28+F29-F30-F31</f>
        <v/>
      </c>
      <c r="G34" s="42">
        <f>G27+G28+G29-G30-G31</f>
        <v/>
      </c>
      <c r="H34" s="42">
        <f>H27+H28+H29-H30-H31</f>
        <v/>
      </c>
      <c r="I34" s="42">
        <f>I27+I28+I29-I30-I31</f>
        <v/>
      </c>
      <c r="J34" s="42">
        <f>J27+J28+J29-J30-J31</f>
        <v/>
      </c>
      <c r="K34" s="42">
        <f>K27+K28+K29-K30-K31</f>
        <v/>
      </c>
      <c r="L34" s="42">
        <f>L27+L28+L29-L30-L31</f>
        <v/>
      </c>
      <c r="M34" s="42">
        <f>M27+M28+M29-M30-M31</f>
        <v/>
      </c>
      <c r="N34" s="42">
        <f>N27+N28+N29-N30-N31</f>
        <v/>
      </c>
      <c r="O34" s="42">
        <f>O27+O28+O29-O30-O31</f>
        <v/>
      </c>
      <c r="P34" s="42">
        <f>P27+P28+P29-P30-P31</f>
        <v/>
      </c>
    </row>
    <row r="35">
      <c r="A35" s="3" t="inlineStr">
        <is>
          <t>Valuation FCF (NOPAT + D&amp;A - dNWC - Capex - after-tax SBC)</t>
        </is>
      </c>
      <c r="B35" s="43">
        <f>B34-B29-B29*(1-Valuation!$B$5)</f>
        <v/>
      </c>
      <c r="C35" s="43">
        <f>C34-C29-C29*(1-Valuation!$B$5)</f>
        <v/>
      </c>
      <c r="D35" s="43">
        <f>D34-D29-D29*(1-Valuation!$B$5)</f>
        <v/>
      </c>
      <c r="E35" s="43">
        <f>E34-E29-E29*(1-Valuation!$B$5)</f>
        <v/>
      </c>
      <c r="F35" s="43">
        <f>F34-F29-F29*(1-Valuation!$B$5)</f>
        <v/>
      </c>
      <c r="G35" s="43">
        <f>G34-G29-G29*(1-Valuation!$B$5)</f>
        <v/>
      </c>
      <c r="H35" s="43">
        <f>H34-H29-H29*(1-Valuation!$B$5)</f>
        <v/>
      </c>
      <c r="I35" s="43">
        <f>I34-I29-I29*(1-Valuation!$B$5)</f>
        <v/>
      </c>
      <c r="J35" s="43">
        <f>J34-J29-J29*(1-Valuation!$B$5)</f>
        <v/>
      </c>
      <c r="K35" s="43">
        <f>K34-K29-K29*(1-Valuation!$B$5)</f>
        <v/>
      </c>
      <c r="L35" s="43">
        <f>L34-L29-L29*(1-Valuation!$B$5)</f>
        <v/>
      </c>
      <c r="M35" s="43">
        <f>M34-M29-M29*(1-Valuation!$B$5)</f>
        <v/>
      </c>
      <c r="N35" s="43">
        <f>N34-N29-N29*(1-Valuation!$B$5)</f>
        <v/>
      </c>
      <c r="O35" s="43">
        <f>O34-O29-O29*(1-Valuation!$B$5)</f>
        <v/>
      </c>
      <c r="P35" s="43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3">
        <f>Financials!L42+Financials!L41-Financials!L36</f>
        <v/>
      </c>
      <c r="C38" s="33">
        <f>Financials!P42+Financials!P41-Financials!P36</f>
        <v/>
      </c>
      <c r="D38" s="33">
        <f>Financials!T42+Financials!T41-Financials!T36</f>
        <v/>
      </c>
      <c r="E38" s="33">
        <f>Financials!X42+Financials!X41-Financials!X36</f>
        <v/>
      </c>
      <c r="F38" s="33">
        <f>Financials!AB42+Financials!AB41-Financials!AB36</f>
        <v/>
      </c>
      <c r="G38" s="41">
        <f>F38+G31-G28+G30</f>
        <v/>
      </c>
      <c r="H38" s="41">
        <f>G38+H31-H28+H30</f>
        <v/>
      </c>
      <c r="I38" s="41">
        <f>H38+I31-I28+I30</f>
        <v/>
      </c>
      <c r="J38" s="41">
        <f>I38+J31-J28+J30</f>
        <v/>
      </c>
      <c r="K38" s="41">
        <f>J38+K31-K28+K30</f>
        <v/>
      </c>
      <c r="L38" s="41">
        <f>K38+L31-L28+L30</f>
        <v/>
      </c>
      <c r="M38" s="41">
        <f>L38+M31-M28+M30</f>
        <v/>
      </c>
      <c r="N38" s="41">
        <f>M38+N31-N28+N30</f>
        <v/>
      </c>
      <c r="O38" s="41">
        <f>N38+O31-O28+O30</f>
        <v/>
      </c>
      <c r="P38" s="41">
        <f>O38+P31-P28+P30</f>
        <v/>
      </c>
    </row>
    <row r="39">
      <c r="A39" s="4" t="inlineStr">
        <is>
          <t>Book equity (year-end)</t>
        </is>
      </c>
      <c r="B39" s="33">
        <f>Financials!L42</f>
        <v/>
      </c>
      <c r="C39" s="33">
        <f>Financials!P42</f>
        <v/>
      </c>
      <c r="D39" s="33">
        <f>Financials!T42</f>
        <v/>
      </c>
      <c r="E39" s="33">
        <f>Financials!X42</f>
        <v/>
      </c>
      <c r="F39" s="33">
        <f>Financials!AB42</f>
        <v/>
      </c>
      <c r="G39" s="41">
        <f>F39+G27</f>
        <v/>
      </c>
      <c r="H39" s="41">
        <f>G39+H27</f>
        <v/>
      </c>
      <c r="I39" s="41">
        <f>H39+I27</f>
        <v/>
      </c>
      <c r="J39" s="41">
        <f>I39+J27</f>
        <v/>
      </c>
      <c r="K39" s="41">
        <f>J39+K27</f>
        <v/>
      </c>
      <c r="L39" s="41">
        <f>K39+L27</f>
        <v/>
      </c>
      <c r="M39" s="41">
        <f>L39+M27</f>
        <v/>
      </c>
      <c r="N39" s="41">
        <f>M39+N27</f>
        <v/>
      </c>
      <c r="O39" s="41">
        <f>N39+O27</f>
        <v/>
      </c>
      <c r="P39" s="41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4">
        <f>IFERROR((C10-B10)/(C38-B38),"")</f>
        <v/>
      </c>
      <c r="D45" s="44">
        <f>IFERROR((D10-C10)/(D38-C38),"")</f>
        <v/>
      </c>
      <c r="E45" s="44">
        <f>IFERROR((E10-D10)/(E38-D38),"")</f>
        <v/>
      </c>
      <c r="F45" s="44">
        <f>IFERROR((F10-E10)/(F38-E38),"")</f>
        <v/>
      </c>
      <c r="G45" s="44">
        <f>IFERROR((G10-F10)/(G38-F38),"")</f>
        <v/>
      </c>
      <c r="H45" s="44">
        <f>IFERROR((H10-G10)/(H38-G38),"")</f>
        <v/>
      </c>
      <c r="I45" s="44">
        <f>IFERROR((I10-H10)/(I38-H38),"")</f>
        <v/>
      </c>
      <c r="J45" s="44">
        <f>IFERROR((J10-I10)/(J38-I38),"")</f>
        <v/>
      </c>
      <c r="K45" s="44">
        <f>IFERROR((K10-J10)/(K38-J38),"")</f>
        <v/>
      </c>
      <c r="L45" s="44">
        <f>IFERROR((L10-K10)/(L38-K38),"")</f>
        <v/>
      </c>
      <c r="M45" s="44">
        <f>IFERROR((M10-L10)/(M38-L38),"")</f>
        <v/>
      </c>
      <c r="N45" s="44">
        <f>IFERROR((N10-M10)/(N38-M38),"")</f>
        <v/>
      </c>
      <c r="O45" s="44">
        <f>IFERROR((O10-N10)/(O38-N38),"")</f>
        <v/>
      </c>
      <c r="P45" s="44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1098.9</v>
      </c>
      <c r="C3" s="18" t="n">
        <v>1128.2</v>
      </c>
      <c r="D3" s="18" t="n">
        <v>1277.7</v>
      </c>
      <c r="E3" s="18" t="n">
        <v>1099.5</v>
      </c>
      <c r="F3" s="18" t="n">
        <v>852.1</v>
      </c>
      <c r="G3" s="18" t="n">
        <v>1077.7</v>
      </c>
      <c r="H3" s="18" t="n">
        <v>1329.1</v>
      </c>
      <c r="I3" s="18" t="n">
        <v>1292.1</v>
      </c>
      <c r="J3" s="18" t="n">
        <v>1464</v>
      </c>
      <c r="K3" s="18" t="n">
        <v>1403.3</v>
      </c>
      <c r="L3" s="18" t="n">
        <v>1550.7</v>
      </c>
      <c r="M3" s="18" t="n">
        <v>1487.7</v>
      </c>
      <c r="N3" s="18" t="n">
        <v>1522.1</v>
      </c>
      <c r="O3" s="18" t="n">
        <v>1557.4</v>
      </c>
      <c r="P3" s="18" t="n">
        <v>1655</v>
      </c>
      <c r="Q3" s="18" t="n">
        <v>1696.2</v>
      </c>
      <c r="R3" s="18" t="n">
        <v>1755.9</v>
      </c>
      <c r="S3" s="18" t="n">
        <v>1743.7</v>
      </c>
      <c r="T3" s="18" t="n">
        <v>1928.3</v>
      </c>
      <c r="U3" s="18" t="n">
        <v>1890.6</v>
      </c>
      <c r="V3" s="18" t="n">
        <v>2009.9</v>
      </c>
      <c r="W3" s="18" t="n">
        <v>2038.1</v>
      </c>
      <c r="X3" s="18" t="n">
        <v>2413.5</v>
      </c>
      <c r="Y3" s="18" t="n">
        <v>2253.4</v>
      </c>
      <c r="Z3" s="18" t="n">
        <v>2440</v>
      </c>
      <c r="AA3" s="18" t="n">
        <v>2505.1</v>
      </c>
      <c r="AB3" s="18" t="n">
        <v>2866.2</v>
      </c>
      <c r="AC3" s="18" t="n">
        <v>2770.8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339.9</v>
      </c>
      <c r="C5" s="18" t="n">
        <v>342.6</v>
      </c>
      <c r="D5" s="18" t="n">
        <v>381.7</v>
      </c>
      <c r="E5" s="18" t="n">
        <v>361.3</v>
      </c>
      <c r="F5" s="18" t="n">
        <v>349.2</v>
      </c>
      <c r="G5" s="18" t="n">
        <v>353.4</v>
      </c>
      <c r="H5" s="18" t="n">
        <v>433.3</v>
      </c>
      <c r="I5" s="18" t="n">
        <v>389.5</v>
      </c>
      <c r="J5" s="18" t="n">
        <v>440.3</v>
      </c>
      <c r="K5" s="18" t="n">
        <v>431.9</v>
      </c>
      <c r="L5" s="18" t="n">
        <v>489.9</v>
      </c>
      <c r="M5" s="18" t="n">
        <v>478</v>
      </c>
      <c r="N5" s="18" t="n">
        <v>498.8</v>
      </c>
      <c r="O5" s="18" t="n">
        <v>505.3</v>
      </c>
      <c r="P5" s="18" t="n">
        <v>544.1</v>
      </c>
      <c r="Q5" s="18" t="n">
        <v>583.2</v>
      </c>
      <c r="R5" s="18" t="n">
        <v>584</v>
      </c>
      <c r="S5" s="18" t="n">
        <v>576.5</v>
      </c>
      <c r="T5" s="18" t="n">
        <v>650.9</v>
      </c>
      <c r="U5" s="18" t="n">
        <v>645.2</v>
      </c>
      <c r="V5" s="18" t="n">
        <v>637.2</v>
      </c>
      <c r="W5" s="18" t="n">
        <v>664.2</v>
      </c>
      <c r="X5" s="18" t="n">
        <v>771.3</v>
      </c>
      <c r="Y5" s="18" t="n">
        <v>795.7</v>
      </c>
      <c r="Z5" s="18" t="n">
        <v>822.1</v>
      </c>
      <c r="AA5" s="18" t="n">
        <v>842.7</v>
      </c>
      <c r="AB5" s="18" t="n">
        <v>961.9</v>
      </c>
      <c r="AC5" s="18" t="n">
        <v>940.3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120.8</v>
      </c>
      <c r="C7" s="18" t="n">
        <v>135.9</v>
      </c>
      <c r="D7" s="18" t="n">
        <v>156.6</v>
      </c>
      <c r="E7" s="18" t="n">
        <v>147.1</v>
      </c>
      <c r="F7" s="18" t="n">
        <v>143.2</v>
      </c>
      <c r="G7" s="18" t="n">
        <v>155</v>
      </c>
      <c r="H7" s="18" t="n">
        <v>149.8</v>
      </c>
      <c r="I7" s="18" t="n">
        <v>159.8</v>
      </c>
      <c r="J7" s="18" t="n">
        <v>162.3</v>
      </c>
      <c r="K7" s="18" t="n">
        <v>165.5</v>
      </c>
      <c r="L7" s="18" t="n">
        <v>183.4</v>
      </c>
      <c r="M7" s="18" t="n">
        <v>210.5</v>
      </c>
      <c r="N7" s="18" t="n">
        <v>207.3</v>
      </c>
      <c r="O7" s="18" t="n">
        <v>217.1</v>
      </c>
      <c r="P7" s="18" t="n">
        <v>244.1</v>
      </c>
      <c r="Q7" s="18" t="n">
        <v>244.9</v>
      </c>
      <c r="R7" s="18" t="n">
        <v>244.4</v>
      </c>
      <c r="S7" s="18" t="n">
        <v>249.4</v>
      </c>
      <c r="T7" s="18" t="n">
        <v>260.1</v>
      </c>
      <c r="U7" s="18" t="n">
        <v>284.5</v>
      </c>
      <c r="V7" s="18" t="n">
        <v>280.1</v>
      </c>
      <c r="W7" s="18" t="n">
        <v>286</v>
      </c>
      <c r="X7" s="18" t="n">
        <v>294.7</v>
      </c>
      <c r="Y7" s="18" t="n">
        <v>316.2</v>
      </c>
      <c r="Z7" s="18" t="n">
        <v>313.3</v>
      </c>
      <c r="AA7" s="18" t="n">
        <v>329.4</v>
      </c>
      <c r="AB7" s="18" t="n">
        <v>352.9</v>
      </c>
      <c r="AC7" s="18" t="n">
        <v>361.9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279.2</v>
      </c>
      <c r="C9" s="18" t="n">
        <v>284</v>
      </c>
      <c r="D9" s="18" t="n">
        <v>341.8</v>
      </c>
      <c r="E9" s="18" t="n">
        <v>308.1</v>
      </c>
      <c r="F9" s="18" t="n">
        <v>279.1</v>
      </c>
      <c r="G9" s="18" t="n">
        <v>298.9</v>
      </c>
      <c r="H9" s="18" t="n">
        <v>330.2</v>
      </c>
      <c r="I9" s="18" t="n">
        <v>326</v>
      </c>
      <c r="J9" s="18" t="n">
        <v>350.2</v>
      </c>
      <c r="K9" s="18" t="n">
        <v>363.3</v>
      </c>
      <c r="L9" s="18" t="n">
        <v>427</v>
      </c>
      <c r="M9" s="18" t="n">
        <v>391.1</v>
      </c>
      <c r="N9" s="18" t="n">
        <v>418.4</v>
      </c>
      <c r="O9" s="18" t="n">
        <v>436.1</v>
      </c>
      <c r="P9" s="18" t="n">
        <v>494.3</v>
      </c>
      <c r="Q9" s="18" t="n">
        <v>480.5</v>
      </c>
      <c r="R9" s="18" t="n">
        <v>464.3</v>
      </c>
      <c r="S9" s="18" t="n">
        <v>452</v>
      </c>
      <c r="T9" s="18" t="n">
        <v>567.1</v>
      </c>
      <c r="U9" s="18" t="n">
        <v>491.5</v>
      </c>
      <c r="V9" s="18" t="n">
        <v>525.3</v>
      </c>
      <c r="W9" s="18" t="n">
        <v>510.6</v>
      </c>
      <c r="X9" s="18" t="n">
        <v>612.6</v>
      </c>
      <c r="Y9" s="18" t="n">
        <v>563.4</v>
      </c>
      <c r="Z9" s="18" t="n">
        <v>561.2</v>
      </c>
      <c r="AA9" s="18" t="n">
        <v>573.3</v>
      </c>
      <c r="AB9" s="18" t="n">
        <v>687.1</v>
      </c>
      <c r="AC9" s="18" t="n">
        <v>613.3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759</v>
      </c>
      <c r="C11" s="18" t="n">
        <v>785.6</v>
      </c>
      <c r="D11" s="18" t="n">
        <v>896</v>
      </c>
      <c r="E11" s="18" t="n">
        <v>738.2</v>
      </c>
      <c r="F11" s="18" t="n">
        <v>502.9</v>
      </c>
      <c r="G11" s="18" t="n">
        <v>724.3</v>
      </c>
      <c r="H11" s="18" t="n">
        <v>895.8</v>
      </c>
      <c r="I11" s="18" t="n">
        <v>902.6</v>
      </c>
      <c r="J11" s="18" t="n">
        <v>1023.7</v>
      </c>
      <c r="K11" s="18" t="n">
        <v>971.4</v>
      </c>
      <c r="L11" s="18" t="n">
        <v>1060.8</v>
      </c>
      <c r="M11" s="18" t="n">
        <v>1009.7</v>
      </c>
      <c r="N11" s="18" t="n">
        <v>1023.3</v>
      </c>
      <c r="O11" s="18" t="n">
        <v>1052.1</v>
      </c>
      <c r="P11" s="18" t="n">
        <v>1110.9</v>
      </c>
      <c r="Q11" s="18" t="n">
        <v>1113</v>
      </c>
      <c r="R11" s="18" t="n">
        <v>1171.9</v>
      </c>
      <c r="S11" s="18" t="n">
        <v>1167.2</v>
      </c>
      <c r="T11" s="18" t="n">
        <v>1277.4</v>
      </c>
      <c r="U11" s="18" t="n">
        <v>1245.4</v>
      </c>
      <c r="V11" s="18" t="n">
        <v>1372.7</v>
      </c>
      <c r="W11" s="18" t="n">
        <v>1373.9</v>
      </c>
      <c r="X11" s="18" t="n">
        <v>1642.2</v>
      </c>
      <c r="Y11" s="18" t="n">
        <v>1457.7</v>
      </c>
      <c r="Z11" s="18" t="n">
        <v>1617.9</v>
      </c>
      <c r="AA11" s="18" t="n">
        <v>1662.4</v>
      </c>
      <c r="AB11" s="18" t="n">
        <v>1904.3</v>
      </c>
      <c r="AC11" s="18" t="n">
        <v>1830.5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359</v>
      </c>
      <c r="C13" s="18" t="n">
        <v>365.7</v>
      </c>
      <c r="D13" s="18" t="n">
        <v>397.6</v>
      </c>
      <c r="E13" s="18" t="n">
        <v>283</v>
      </c>
      <c r="F13" s="18" t="n">
        <v>80.59999999999999</v>
      </c>
      <c r="G13" s="18" t="n">
        <v>270.4</v>
      </c>
      <c r="H13" s="18" t="n">
        <v>415.8</v>
      </c>
      <c r="I13" s="18" t="n">
        <v>416.8</v>
      </c>
      <c r="J13" s="18" t="n">
        <v>511.2</v>
      </c>
      <c r="K13" s="18" t="n">
        <v>442.6</v>
      </c>
      <c r="L13" s="18" t="n">
        <v>450.4</v>
      </c>
      <c r="M13" s="18" t="n">
        <v>408.1</v>
      </c>
      <c r="N13" s="18" t="n">
        <v>397.6</v>
      </c>
      <c r="O13" s="18" t="n">
        <v>398.9</v>
      </c>
      <c r="P13" s="18" t="n">
        <v>372.5</v>
      </c>
      <c r="Q13" s="18" t="n">
        <v>387.6</v>
      </c>
      <c r="R13" s="18" t="n">
        <v>463.2</v>
      </c>
      <c r="S13" s="18" t="n">
        <v>465.8</v>
      </c>
      <c r="T13" s="18" t="n">
        <v>450.2</v>
      </c>
      <c r="U13" s="18" t="n">
        <v>469.4</v>
      </c>
      <c r="V13" s="18" t="n">
        <v>567.3</v>
      </c>
      <c r="W13" s="18" t="n">
        <v>577.3</v>
      </c>
      <c r="X13" s="18" t="n">
        <v>734.9</v>
      </c>
      <c r="Y13" s="18" t="n">
        <v>578.1</v>
      </c>
      <c r="Z13" s="18" t="n">
        <v>743.4</v>
      </c>
      <c r="AA13" s="18" t="n">
        <v>759.7</v>
      </c>
      <c r="AB13" s="18" t="n">
        <v>864.3</v>
      </c>
      <c r="AC13" s="18" t="n">
        <v>855.3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318.3</v>
      </c>
      <c r="C15" s="18" t="n">
        <v>396.8</v>
      </c>
      <c r="D15" s="18" t="n">
        <v>357.7</v>
      </c>
      <c r="E15" s="18" t="n">
        <v>313.5</v>
      </c>
      <c r="F15" s="18" t="n">
        <v>68</v>
      </c>
      <c r="G15" s="18" t="n">
        <v>313.9</v>
      </c>
      <c r="H15" s="18" t="n">
        <v>365.2</v>
      </c>
      <c r="I15" s="18" t="n">
        <v>426.3</v>
      </c>
      <c r="J15" s="18" t="n">
        <v>517.2</v>
      </c>
      <c r="K15" s="18" t="n">
        <v>380.5</v>
      </c>
      <c r="L15" s="18" t="n">
        <v>380.6</v>
      </c>
      <c r="M15" s="18" t="n">
        <v>365.6</v>
      </c>
      <c r="N15" s="18" t="n">
        <v>307.8</v>
      </c>
      <c r="O15" s="18" t="n">
        <v>324</v>
      </c>
      <c r="P15" s="18" t="n">
        <v>324.9</v>
      </c>
      <c r="Q15" s="18" t="n">
        <v>355.3</v>
      </c>
      <c r="R15" s="18" t="n">
        <v>420.8</v>
      </c>
      <c r="S15" s="18" t="n">
        <v>415.7</v>
      </c>
      <c r="T15" s="18" t="n">
        <v>606.2</v>
      </c>
      <c r="U15" s="18" t="n">
        <v>544.9</v>
      </c>
      <c r="V15" s="18" t="n">
        <v>526.9</v>
      </c>
      <c r="W15" s="18" t="n">
        <v>565.1</v>
      </c>
      <c r="X15" s="18" t="n">
        <v>685.7</v>
      </c>
      <c r="Y15" s="18" t="n">
        <v>698.4</v>
      </c>
      <c r="Z15" s="18" t="n">
        <v>658.4</v>
      </c>
      <c r="AA15" s="18" t="n">
        <v>704.4</v>
      </c>
      <c r="AB15" s="18" t="n">
        <v>794.8</v>
      </c>
      <c r="AC15" s="18" t="n">
        <v>821.5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357.9</v>
      </c>
      <c r="C17" s="18" t="n">
        <v>357.9</v>
      </c>
      <c r="D17" s="18" t="n">
        <v>359.1</v>
      </c>
      <c r="E17" s="18" t="n">
        <v>359.4</v>
      </c>
      <c r="F17" s="18" t="n">
        <v>359.1</v>
      </c>
      <c r="G17" s="18" t="n">
        <v>361.8</v>
      </c>
      <c r="H17" s="18" t="n">
        <v>363.3</v>
      </c>
      <c r="I17" s="18" t="n">
        <v>362.850013</v>
      </c>
      <c r="J17" s="18" t="n">
        <v>364.8</v>
      </c>
      <c r="K17" s="18" t="n">
        <v>366.8</v>
      </c>
      <c r="L17" s="18" t="n">
        <v>367.4</v>
      </c>
      <c r="M17" s="18" t="n">
        <v>366.7</v>
      </c>
      <c r="N17" s="18" t="n">
        <v>363.9</v>
      </c>
      <c r="O17" s="18" t="n">
        <v>360.5</v>
      </c>
      <c r="P17" s="18" t="n">
        <v>357</v>
      </c>
      <c r="Q17" s="18" t="n">
        <v>356</v>
      </c>
      <c r="R17" s="18" t="n">
        <v>357.3</v>
      </c>
      <c r="S17" s="18" t="n">
        <v>358.2</v>
      </c>
      <c r="T17" s="18" t="n">
        <v>358.2</v>
      </c>
      <c r="U17" s="18" t="n">
        <v>360.5</v>
      </c>
      <c r="V17" s="18" t="n">
        <v>361</v>
      </c>
      <c r="W17" s="18" t="n">
        <v>362.7</v>
      </c>
      <c r="X17" s="18" t="n">
        <v>363.9</v>
      </c>
      <c r="Y17" s="18" t="n">
        <v>364.6</v>
      </c>
      <c r="Z17" s="18" t="n">
        <v>364.1</v>
      </c>
      <c r="AA17" s="18" t="n">
        <v>361.8</v>
      </c>
      <c r="AB17" s="18" t="n">
        <v>360.4</v>
      </c>
      <c r="AC17" s="18" t="n">
        <v>359.8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Instruments and Accessories</t>
        </is>
      </c>
      <c r="B19" s="18" t="n">
        <v>578.5</v>
      </c>
      <c r="C19" s="18" t="n">
        <v>606.2</v>
      </c>
      <c r="D19" s="18" t="n">
        <v>671.2</v>
      </c>
      <c r="E19" s="18" t="n">
        <v>617.5</v>
      </c>
      <c r="F19" s="18" t="n">
        <v>460.8</v>
      </c>
      <c r="G19" s="18" t="n">
        <v>630.5</v>
      </c>
      <c r="H19" s="18" t="n">
        <v>746.9</v>
      </c>
      <c r="I19" s="18" t="n">
        <v>705.9</v>
      </c>
      <c r="J19" s="18" t="n">
        <v>796.4</v>
      </c>
      <c r="K19" s="18" t="n">
        <v>755.4</v>
      </c>
      <c r="L19" s="18" t="n">
        <v>842.8</v>
      </c>
      <c r="M19" s="18" t="n">
        <v>810.3</v>
      </c>
      <c r="N19" s="18" t="n">
        <v>895.3</v>
      </c>
      <c r="O19" s="18" t="n">
        <v>871.6</v>
      </c>
      <c r="P19" s="18" t="n">
        <v>940.7</v>
      </c>
      <c r="Q19" s="18" t="n">
        <v>985.6</v>
      </c>
      <c r="R19" s="18" t="n">
        <v>1075.9</v>
      </c>
      <c r="S19" s="18" t="n">
        <v>1071.4</v>
      </c>
      <c r="T19" s="18" t="n">
        <v>1143.7</v>
      </c>
      <c r="U19" s="18" t="n">
        <v>1158.9</v>
      </c>
      <c r="V19" s="18" t="n">
        <v>1244.4</v>
      </c>
      <c r="W19" s="18" t="n">
        <v>1264.2</v>
      </c>
      <c r="X19" s="18" t="n">
        <v>1411.5</v>
      </c>
      <c r="Y19" s="18" t="n">
        <v>1367.7</v>
      </c>
      <c r="Z19" s="18" t="n">
        <v>1474.1</v>
      </c>
      <c r="AA19" s="18" t="n">
        <v>1518.8</v>
      </c>
      <c r="AB19" s="18" t="n">
        <v>1658.3</v>
      </c>
      <c r="AC19" s="18" t="n">
        <v>1686.4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Systems</t>
        </is>
      </c>
      <c r="B22" s="18" t="n">
        <v>343.8</v>
      </c>
      <c r="C22" s="18" t="n">
        <v>338.6</v>
      </c>
      <c r="D22" s="18" t="n">
        <v>416.2</v>
      </c>
      <c r="E22" s="18" t="n">
        <v>283.3</v>
      </c>
      <c r="F22" s="18" t="n">
        <v>261</v>
      </c>
      <c r="G22" s="18" t="n">
        <v>267.8</v>
      </c>
      <c r="H22" s="18" t="n">
        <v>366.8</v>
      </c>
      <c r="I22" s="18" t="n">
        <v>368.7</v>
      </c>
      <c r="J22" s="18" t="n">
        <v>439.6</v>
      </c>
      <c r="K22" s="18" t="n">
        <v>415.2</v>
      </c>
      <c r="L22" s="18" t="n">
        <v>469.9</v>
      </c>
      <c r="M22" s="18" t="n">
        <v>428.1</v>
      </c>
      <c r="N22" s="18" t="n">
        <v>375.1</v>
      </c>
      <c r="O22" s="18" t="n">
        <v>425.9</v>
      </c>
      <c r="P22" s="18" t="n">
        <v>451</v>
      </c>
      <c r="Q22" s="18" t="n">
        <v>427.4</v>
      </c>
      <c r="R22" s="18" t="n">
        <v>392.7</v>
      </c>
      <c r="S22" s="18" t="n">
        <v>379.4</v>
      </c>
      <c r="T22" s="18" t="n">
        <v>480.2</v>
      </c>
      <c r="U22" s="18" t="n">
        <v>418.2</v>
      </c>
      <c r="V22" s="18" t="n">
        <v>448.2</v>
      </c>
      <c r="W22" s="18" t="n">
        <v>445</v>
      </c>
      <c r="X22" s="18" t="n">
        <v>654.6</v>
      </c>
      <c r="Y22" s="18" t="n">
        <v>522.7</v>
      </c>
      <c r="Z22" s="18" t="n">
        <v>574.7</v>
      </c>
      <c r="AA22" s="18" t="n">
        <v>590.4</v>
      </c>
      <c r="AB22" s="18" t="n">
        <v>785.9</v>
      </c>
      <c r="AC22" s="18" t="n">
        <v>650.7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Services</t>
        </is>
      </c>
      <c r="B25" s="18" t="n">
        <v>176.6</v>
      </c>
      <c r="C25" s="18" t="n">
        <v>183.4</v>
      </c>
      <c r="D25" s="18" t="n">
        <v>190.3</v>
      </c>
      <c r="E25" s="18" t="n">
        <v>198.7</v>
      </c>
      <c r="F25" s="18" t="n">
        <v>130.3</v>
      </c>
      <c r="G25" s="18" t="n">
        <v>179.4</v>
      </c>
      <c r="H25" s="18" t="n">
        <v>215.4</v>
      </c>
      <c r="I25" s="18" t="n">
        <v>217.5</v>
      </c>
      <c r="J25" s="18" t="n">
        <v>228</v>
      </c>
      <c r="K25" s="18" t="n">
        <v>232.7</v>
      </c>
      <c r="L25" s="18" t="n">
        <v>238</v>
      </c>
      <c r="M25" s="18" t="n">
        <v>249.3</v>
      </c>
      <c r="N25" s="18" t="n">
        <v>251.7</v>
      </c>
      <c r="O25" s="18" t="n">
        <v>259.9</v>
      </c>
      <c r="P25" s="18" t="n">
        <v>263.3</v>
      </c>
      <c r="Q25" s="18" t="n">
        <v>283.2</v>
      </c>
      <c r="R25" s="18" t="n">
        <v>287.3</v>
      </c>
      <c r="S25" s="18" t="n">
        <v>292.9</v>
      </c>
      <c r="T25" s="18" t="n">
        <v>304.4</v>
      </c>
      <c r="U25" s="18" t="n">
        <v>313.5</v>
      </c>
      <c r="V25" s="18" t="n">
        <v>317.3</v>
      </c>
      <c r="W25" s="18" t="n">
        <v>328.9</v>
      </c>
      <c r="X25" s="18" t="n">
        <v>347.4</v>
      </c>
      <c r="Y25" s="18" t="n">
        <v>363</v>
      </c>
      <c r="Z25" s="18" t="n">
        <v>391.2</v>
      </c>
      <c r="AA25" s="18" t="n">
        <v>395.9</v>
      </c>
      <c r="AB25" s="18" t="n">
        <v>422</v>
      </c>
      <c r="AC25" s="18" t="n">
        <v>433.7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Geographic Distribution, Domestic</t>
        </is>
      </c>
      <c r="Y29" s="18" t="n">
        <v>1538.2</v>
      </c>
      <c r="Z29" s="18" t="n">
        <v>1629.4</v>
      </c>
      <c r="AA29" s="18" t="n">
        <v>1717.6</v>
      </c>
      <c r="AB29" s="18" t="n">
        <v>1930.6</v>
      </c>
      <c r="AC29" s="18" t="n">
        <v>1783.3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Geographic Distribution, Foreign</t>
        </is>
      </c>
      <c r="Y32" s="18" t="n">
        <v>715.2</v>
      </c>
      <c r="Z32" s="18" t="n">
        <v>810.6</v>
      </c>
      <c r="AA32" s="18" t="n">
        <v>787.5</v>
      </c>
      <c r="AB32" s="18" t="n">
        <v>935.6</v>
      </c>
      <c r="AC32" s="18" t="n">
        <v>987.5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4" t="inlineStr">
        <is>
          <t>Cash &amp; ST Investments</t>
        </is>
      </c>
      <c r="B36" s="18" t="n">
        <v>2718.4</v>
      </c>
      <c r="C36" s="18" t="n">
        <v>2897.6</v>
      </c>
      <c r="D36" s="18" t="n">
        <v>3221.7</v>
      </c>
      <c r="E36" s="18" t="n">
        <v>3253.4</v>
      </c>
      <c r="F36" s="18" t="n">
        <v>4488.3</v>
      </c>
      <c r="G36" s="18" t="n">
        <v>4718.2</v>
      </c>
      <c r="H36" s="18" t="n">
        <v>5171.5</v>
      </c>
      <c r="I36" s="18" t="n">
        <v>4557.5</v>
      </c>
      <c r="J36" s="18" t="n">
        <v>4439.2</v>
      </c>
      <c r="K36" s="18" t="n">
        <v>4132</v>
      </c>
      <c r="L36" s="18" t="n">
        <v>4230.9</v>
      </c>
      <c r="M36" s="18" t="n">
        <v>3995.3</v>
      </c>
      <c r="N36" s="18" t="n">
        <v>4446</v>
      </c>
      <c r="O36" s="18" t="n">
        <v>4319</v>
      </c>
      <c r="P36" s="18" t="n">
        <v>4117.9</v>
      </c>
      <c r="Q36" s="18" t="n">
        <v>4692.2</v>
      </c>
      <c r="R36" s="18" t="n">
        <v>5799.2</v>
      </c>
      <c r="S36" s="18" t="n">
        <v>6475.7</v>
      </c>
      <c r="T36" s="18" t="n">
        <v>5223.2</v>
      </c>
      <c r="U36" s="18" t="n">
        <v>4800.1</v>
      </c>
      <c r="V36" s="18" t="n">
        <v>4757.2</v>
      </c>
      <c r="W36" s="18" t="n">
        <v>4231.7</v>
      </c>
      <c r="X36" s="18" t="n">
        <v>4013.3</v>
      </c>
      <c r="Y36" s="18" t="n">
        <v>4511.3</v>
      </c>
      <c r="Z36" s="18" t="n">
        <v>5326.5</v>
      </c>
      <c r="AA36" s="18" t="n">
        <v>4908.8</v>
      </c>
      <c r="AB36" s="18" t="n">
        <v>5934.9</v>
      </c>
      <c r="AC36" s="18" t="n">
        <v>4547.9</v>
      </c>
    </row>
    <row r="37">
      <c r="A37" s="4" t="inlineStr">
        <is>
          <t>Total Current Assets</t>
        </is>
      </c>
      <c r="B37" s="18" t="n">
        <v>6294.4</v>
      </c>
      <c r="C37" s="18" t="n">
        <v>4317</v>
      </c>
      <c r="D37" s="18" t="n">
        <v>4662.6</v>
      </c>
      <c r="E37" s="18" t="n">
        <v>4691.5</v>
      </c>
      <c r="F37" s="18" t="n">
        <v>5899</v>
      </c>
      <c r="G37" s="18" t="n">
        <v>6300.3</v>
      </c>
      <c r="H37" s="18" t="n">
        <v>6625.9</v>
      </c>
      <c r="I37" s="18" t="n">
        <v>6066.4</v>
      </c>
      <c r="J37" s="18" t="n">
        <v>6016.6</v>
      </c>
      <c r="K37" s="18" t="n">
        <v>5728</v>
      </c>
      <c r="L37" s="18" t="n">
        <v>5844.9</v>
      </c>
      <c r="M37" s="18" t="n">
        <v>5803.2</v>
      </c>
      <c r="N37" s="18" t="n">
        <v>6292.5</v>
      </c>
      <c r="O37" s="18" t="n">
        <v>6293.1</v>
      </c>
      <c r="P37" s="18" t="n">
        <v>6253</v>
      </c>
      <c r="Q37" s="18" t="n">
        <v>6877</v>
      </c>
      <c r="R37" s="18" t="n">
        <v>8031.8</v>
      </c>
      <c r="S37" s="18" t="n">
        <v>8902.9</v>
      </c>
      <c r="T37" s="18" t="n">
        <v>7888</v>
      </c>
      <c r="U37" s="18" t="n">
        <v>7632.7</v>
      </c>
      <c r="V37" s="18" t="n">
        <v>7654.3</v>
      </c>
      <c r="W37" s="18" t="n">
        <v>7215.6</v>
      </c>
      <c r="X37" s="18" t="n">
        <v>7111</v>
      </c>
      <c r="Y37" s="18" t="n">
        <v>7657.8</v>
      </c>
      <c r="Z37" s="18" t="n">
        <v>8745.9</v>
      </c>
      <c r="AA37" s="18" t="n">
        <v>8525.299999000001</v>
      </c>
      <c r="AB37" s="18" t="n">
        <v>9779.5</v>
      </c>
      <c r="AC37" s="18" t="n">
        <v>11519.9</v>
      </c>
    </row>
    <row r="38">
      <c r="A38" s="4" t="inlineStr">
        <is>
          <t>PP&amp;E (net)</t>
        </is>
      </c>
      <c r="B38" s="18" t="n">
        <v>1032.4</v>
      </c>
      <c r="C38" s="18" t="n">
        <v>1136.8</v>
      </c>
      <c r="D38" s="18" t="n">
        <v>1272.9</v>
      </c>
      <c r="E38" s="18" t="n">
        <v>1369.2</v>
      </c>
      <c r="F38" s="18" t="n">
        <v>1450.3</v>
      </c>
      <c r="G38" s="18" t="n">
        <v>1509.7</v>
      </c>
      <c r="H38" s="18" t="n">
        <v>1577.3</v>
      </c>
      <c r="I38" s="18" t="n">
        <v>1592.9</v>
      </c>
      <c r="J38" s="18" t="n">
        <v>1651.2</v>
      </c>
      <c r="K38" s="18" t="n">
        <v>1737.9</v>
      </c>
      <c r="L38" s="18" t="n">
        <v>1876.4</v>
      </c>
      <c r="M38" s="18" t="n">
        <v>1968.2</v>
      </c>
      <c r="N38" s="18" t="n">
        <v>2109.3</v>
      </c>
      <c r="O38" s="18" t="n">
        <v>2243.7</v>
      </c>
      <c r="P38" s="18" t="n">
        <v>2374.2</v>
      </c>
      <c r="Q38" s="18" t="n">
        <v>2580.2</v>
      </c>
      <c r="R38" s="18" t="n">
        <v>2830.8</v>
      </c>
      <c r="S38" s="18" t="n">
        <v>3077</v>
      </c>
      <c r="T38" s="18" t="n">
        <v>3537.6</v>
      </c>
      <c r="U38" s="18" t="n">
        <v>3799.6</v>
      </c>
      <c r="V38" s="18" t="n">
        <v>4116.8</v>
      </c>
      <c r="W38" s="18" t="n">
        <v>4433</v>
      </c>
      <c r="X38" s="18" t="n">
        <v>4783</v>
      </c>
      <c r="Y38" s="18" t="n">
        <v>4799</v>
      </c>
      <c r="Z38" s="18" t="n">
        <v>4985.3</v>
      </c>
      <c r="AA38" s="18" t="n">
        <v>5150.9</v>
      </c>
      <c r="AB38" s="18" t="n">
        <v>5342.4</v>
      </c>
      <c r="AC38" s="18" t="n">
        <v>5447.9</v>
      </c>
    </row>
    <row r="39">
      <c r="A39" s="4" t="inlineStr">
        <is>
          <t>Total Assets</t>
        </is>
      </c>
      <c r="B39" s="18" t="n">
        <v>8531.6</v>
      </c>
      <c r="C39" s="18" t="n">
        <v>9131.299999999999</v>
      </c>
      <c r="D39" s="18" t="n">
        <v>9733.200000000001</v>
      </c>
      <c r="E39" s="18" t="n">
        <v>9891.1</v>
      </c>
      <c r="F39" s="18" t="n">
        <v>10103.6</v>
      </c>
      <c r="G39" s="18" t="n">
        <v>10617.5</v>
      </c>
      <c r="H39" s="18" t="n">
        <v>11168.9</v>
      </c>
      <c r="I39" s="18" t="n">
        <v>11540.4</v>
      </c>
      <c r="J39" s="18" t="n">
        <v>12297</v>
      </c>
      <c r="K39" s="18" t="n">
        <v>12934.6</v>
      </c>
      <c r="L39" s="18" t="n">
        <v>13555</v>
      </c>
      <c r="M39" s="18" t="n">
        <v>13678.4</v>
      </c>
      <c r="N39" s="18" t="n">
        <v>13705.2</v>
      </c>
      <c r="O39" s="18" t="n">
        <v>13260.8</v>
      </c>
      <c r="P39" s="18" t="n">
        <v>12974</v>
      </c>
      <c r="Q39" s="18" t="n">
        <v>13053.2</v>
      </c>
      <c r="R39" s="18" t="n">
        <v>13903.3</v>
      </c>
      <c r="S39" s="18" t="n">
        <v>14712.7</v>
      </c>
      <c r="T39" s="18" t="n">
        <v>15441.5</v>
      </c>
      <c r="U39" s="18" t="n">
        <v>15828</v>
      </c>
      <c r="V39" s="18" t="n">
        <v>16649.9</v>
      </c>
      <c r="W39" s="18" t="n">
        <v>17743.4</v>
      </c>
      <c r="X39" s="18" t="n">
        <v>18838.6</v>
      </c>
      <c r="Y39" s="18" t="n">
        <v>19220.4</v>
      </c>
      <c r="Z39" s="18" t="n">
        <v>20163.2</v>
      </c>
      <c r="AA39" s="18" t="n">
        <v>19351.8</v>
      </c>
      <c r="AB39" s="18" t="n">
        <v>20631.2</v>
      </c>
      <c r="AC39" s="18" t="n">
        <v>20111</v>
      </c>
    </row>
    <row r="40">
      <c r="A40" s="4" t="inlineStr">
        <is>
          <t>Total Current Liabilities</t>
        </is>
      </c>
      <c r="B40" s="18" t="n">
        <v>913.5</v>
      </c>
      <c r="C40" s="18" t="n">
        <v>930.9</v>
      </c>
      <c r="D40" s="18" t="n">
        <v>1030.2</v>
      </c>
      <c r="E40" s="18" t="n">
        <v>945.9</v>
      </c>
      <c r="F40" s="18" t="n">
        <v>924.8</v>
      </c>
      <c r="G40" s="18" t="n">
        <v>894.7</v>
      </c>
      <c r="H40" s="18" t="n">
        <v>965.2</v>
      </c>
      <c r="I40" s="18" t="n">
        <v>904.6</v>
      </c>
      <c r="J40" s="18" t="n">
        <v>1004.6</v>
      </c>
      <c r="K40" s="18" t="n">
        <v>1027.3</v>
      </c>
      <c r="L40" s="18" t="n">
        <v>1149.8</v>
      </c>
      <c r="M40" s="18" t="n">
        <v>1112.2</v>
      </c>
      <c r="N40" s="18" t="n">
        <v>1175</v>
      </c>
      <c r="O40" s="18" t="n">
        <v>1233.4</v>
      </c>
      <c r="P40" s="18" t="n">
        <v>1422.1</v>
      </c>
      <c r="Q40" s="18" t="n">
        <v>1307.4</v>
      </c>
      <c r="R40" s="18" t="n">
        <v>1538.4</v>
      </c>
      <c r="S40" s="18" t="n">
        <v>1676.4</v>
      </c>
      <c r="T40" s="18" t="n">
        <v>1658.7</v>
      </c>
      <c r="U40" s="18" t="n">
        <v>1375.1</v>
      </c>
      <c r="V40" s="18" t="n">
        <v>1487.5</v>
      </c>
      <c r="W40" s="18" t="n">
        <v>1676.8</v>
      </c>
      <c r="X40" s="18" t="n">
        <v>1745.3</v>
      </c>
      <c r="Y40" s="18" t="n">
        <v>1538.1</v>
      </c>
      <c r="Z40" s="18" t="n">
        <v>1692.6</v>
      </c>
      <c r="AA40" s="18" t="n">
        <v>1803.2</v>
      </c>
      <c r="AB40" s="18" t="n">
        <v>2006.2</v>
      </c>
      <c r="AC40" s="18" t="n">
        <v>1911</v>
      </c>
    </row>
    <row r="41">
      <c r="A41" s="4" t="inlineStr">
        <is>
          <t>Long-term Debt</t>
        </is>
      </c>
      <c r="B41" s="18" t="n">
        <v>0</v>
      </c>
      <c r="C41" s="18" t="n">
        <v>0</v>
      </c>
      <c r="D41" s="18" t="n">
        <v>0</v>
      </c>
      <c r="E41" s="18" t="n">
        <v>0</v>
      </c>
      <c r="F41" s="18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18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18" t="n">
        <v>0</v>
      </c>
      <c r="V41" s="18" t="n">
        <v>0</v>
      </c>
      <c r="W41" s="18" t="n">
        <v>0</v>
      </c>
      <c r="X41" s="18" t="n">
        <v>0</v>
      </c>
      <c r="Y41" s="18" t="n">
        <v>0</v>
      </c>
      <c r="Z41" s="18" t="n">
        <v>0</v>
      </c>
      <c r="AA41" s="18" t="n">
        <v>0</v>
      </c>
      <c r="AB41" s="18" t="n">
        <v>131.9</v>
      </c>
      <c r="AC41" s="18" t="n">
        <v>0</v>
      </c>
    </row>
    <row r="42">
      <c r="A42" s="4" t="inlineStr">
        <is>
          <t>Total Equity</t>
        </is>
      </c>
      <c r="B42" s="18" t="n">
        <v>7279.6</v>
      </c>
      <c r="C42" s="18" t="n">
        <v>7777.1</v>
      </c>
      <c r="D42" s="18" t="n">
        <v>8284.700000000001</v>
      </c>
      <c r="E42" s="18" t="n">
        <v>8530.5</v>
      </c>
      <c r="F42" s="18" t="n">
        <v>8766.4</v>
      </c>
      <c r="G42" s="18" t="n">
        <v>9286.700000000001</v>
      </c>
      <c r="H42" s="18" t="n">
        <v>9759.1</v>
      </c>
      <c r="I42" s="18" t="n">
        <v>10190.2</v>
      </c>
      <c r="J42" s="18" t="n">
        <v>10879.5</v>
      </c>
      <c r="K42" s="18" t="n">
        <v>11459.5</v>
      </c>
      <c r="L42" s="18" t="n">
        <v>11951.5</v>
      </c>
      <c r="M42" s="18" t="n">
        <v>12156.9</v>
      </c>
      <c r="N42" s="18" t="n">
        <v>12082.4</v>
      </c>
      <c r="O42" s="18" t="n">
        <v>11515.4</v>
      </c>
      <c r="P42" s="18" t="n">
        <v>11041.9</v>
      </c>
      <c r="Q42" s="18" t="n">
        <v>11217.7</v>
      </c>
      <c r="R42" s="18" t="n">
        <v>11879.1</v>
      </c>
      <c r="S42" s="18" t="n">
        <v>12539</v>
      </c>
      <c r="T42" s="18" t="n">
        <v>13307.6</v>
      </c>
      <c r="U42" s="18" t="n">
        <v>13962.6</v>
      </c>
      <c r="V42" s="18" t="n">
        <v>14708.3</v>
      </c>
      <c r="W42" s="18" t="n">
        <v>15583.3</v>
      </c>
      <c r="X42" s="18" t="n">
        <v>16433.7</v>
      </c>
      <c r="Y42" s="18" t="n">
        <v>17106.4</v>
      </c>
      <c r="Z42" s="18" t="n">
        <v>17845.7</v>
      </c>
      <c r="AA42" s="18" t="n">
        <v>16929.7</v>
      </c>
      <c r="AB42" s="18" t="n">
        <v>17824</v>
      </c>
      <c r="AC42" s="18" t="n">
        <v>17474.5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4" t="inlineStr">
        <is>
          <t>D&amp;A</t>
        </is>
      </c>
      <c r="B44" s="18" t="n">
        <v>46.7</v>
      </c>
      <c r="C44" s="18" t="n">
        <v>50.9</v>
      </c>
      <c r="D44" s="18" t="n">
        <v>63.8</v>
      </c>
      <c r="E44" s="18" t="n">
        <v>63.4</v>
      </c>
      <c r="F44" s="18" t="n">
        <v>63.8</v>
      </c>
      <c r="G44" s="18" t="n">
        <v>69.2</v>
      </c>
      <c r="H44" s="18" t="n">
        <v>79.8</v>
      </c>
      <c r="I44" s="18" t="n">
        <v>71.7</v>
      </c>
      <c r="J44" s="18" t="n">
        <v>75.59999999999999</v>
      </c>
      <c r="K44" s="18" t="n">
        <v>82</v>
      </c>
      <c r="L44" s="18" t="n">
        <v>80.90000000000001</v>
      </c>
      <c r="M44" s="18" t="n">
        <v>83.8</v>
      </c>
      <c r="N44" s="18" t="n">
        <v>86</v>
      </c>
      <c r="O44" s="18" t="n">
        <v>89.8</v>
      </c>
      <c r="P44" s="18" t="n">
        <v>106.2</v>
      </c>
      <c r="Q44" s="18" t="n">
        <v>92.7</v>
      </c>
      <c r="R44" s="18" t="n">
        <v>97.3</v>
      </c>
      <c r="S44" s="18" t="n">
        <v>108.6</v>
      </c>
      <c r="T44" s="18" t="n">
        <v>123.2</v>
      </c>
      <c r="U44" s="18" t="n">
        <v>109.3</v>
      </c>
      <c r="V44" s="18" t="n">
        <v>111.8</v>
      </c>
      <c r="W44" s="18" t="n">
        <v>116.2</v>
      </c>
      <c r="X44" s="18" t="n">
        <v>124.7</v>
      </c>
      <c r="Y44" s="18" t="n">
        <v>140.9</v>
      </c>
      <c r="Z44" s="18" t="n">
        <v>155.3</v>
      </c>
      <c r="AA44" s="18" t="n">
        <v>160</v>
      </c>
      <c r="AB44" s="18" t="n">
        <v>220.9</v>
      </c>
      <c r="AC44" s="18" t="n">
        <v>200</v>
      </c>
    </row>
    <row r="45">
      <c r="A45" s="4" t="inlineStr">
        <is>
          <t>Stock-based Compensation</t>
        </is>
      </c>
      <c r="B45" s="18" t="n">
        <v>81.59999999999999</v>
      </c>
      <c r="C45" s="18" t="n">
        <v>88.90000000000001</v>
      </c>
      <c r="D45" s="18" t="n">
        <v>89.2</v>
      </c>
      <c r="E45" s="18" t="n">
        <v>90.59999999999999</v>
      </c>
      <c r="F45" s="18" t="n">
        <v>95.90000000000001</v>
      </c>
      <c r="G45" s="18" t="n">
        <v>105.8</v>
      </c>
      <c r="H45" s="18" t="n">
        <v>103.1</v>
      </c>
      <c r="I45" s="18" t="n">
        <v>103.2</v>
      </c>
      <c r="J45" s="18" t="n">
        <v>108.1</v>
      </c>
      <c r="K45" s="18" t="n">
        <v>120.1</v>
      </c>
      <c r="L45" s="18" t="n">
        <v>117.8</v>
      </c>
      <c r="M45" s="18" t="n">
        <v>120.8</v>
      </c>
      <c r="N45" s="18" t="n">
        <v>126.7</v>
      </c>
      <c r="O45" s="18" t="n">
        <v>138.1</v>
      </c>
      <c r="P45" s="18" t="n">
        <v>127.6</v>
      </c>
      <c r="Q45" s="18" t="n">
        <v>139.8</v>
      </c>
      <c r="R45" s="18" t="n">
        <v>146.5</v>
      </c>
      <c r="S45" s="18" t="n">
        <v>156.1</v>
      </c>
      <c r="T45" s="18" t="n">
        <v>150.4</v>
      </c>
      <c r="U45" s="18" t="n">
        <v>153.3</v>
      </c>
      <c r="V45" s="18" t="n">
        <v>173.6</v>
      </c>
      <c r="W45" s="18" t="n">
        <v>172.9</v>
      </c>
      <c r="X45" s="18" t="n">
        <v>177</v>
      </c>
      <c r="Y45" s="18" t="n">
        <v>185.2</v>
      </c>
      <c r="Z45" s="18" t="n">
        <v>196.2</v>
      </c>
      <c r="AA45" s="18" t="n">
        <v>203.5</v>
      </c>
      <c r="AB45" s="18" t="n">
        <v>203.3</v>
      </c>
      <c r="AC45" s="18" t="n">
        <v>209.5</v>
      </c>
    </row>
    <row r="46">
      <c r="A46" s="4" t="inlineStr">
        <is>
          <t>Change in Working Capital</t>
        </is>
      </c>
      <c r="B46" s="18" t="n">
        <v>-151.2</v>
      </c>
      <c r="C46" s="18" t="n">
        <v>-79.5</v>
      </c>
      <c r="D46" s="18" t="n">
        <v>32.2</v>
      </c>
      <c r="E46" s="18" t="n">
        <v>-186.2</v>
      </c>
      <c r="F46" s="18" t="n">
        <v>10.5</v>
      </c>
      <c r="G46" s="18" t="n">
        <v>-179</v>
      </c>
      <c r="H46" s="18" t="n">
        <v>81.5</v>
      </c>
      <c r="I46" s="18" t="n">
        <v>-169.5</v>
      </c>
      <c r="J46" s="18" t="n">
        <v>-108.7</v>
      </c>
      <c r="K46" s="18" t="n">
        <v>-79</v>
      </c>
      <c r="L46" s="18" t="n">
        <v>-10.9</v>
      </c>
      <c r="M46" s="18" t="n">
        <v>-365.4</v>
      </c>
      <c r="N46" s="18" t="n">
        <v>-68.7</v>
      </c>
      <c r="O46" s="18" t="n">
        <v>-124.2</v>
      </c>
      <c r="P46" s="18" t="n">
        <v>-60.8</v>
      </c>
      <c r="Q46" s="18" t="n">
        <v>-243.5</v>
      </c>
      <c r="R46" s="18" t="n">
        <v>5.9</v>
      </c>
      <c r="S46" s="18" t="n">
        <v>-100.8</v>
      </c>
      <c r="T46" s="18" t="n">
        <v>-439.2</v>
      </c>
      <c r="U46" s="18" t="n">
        <v>-540</v>
      </c>
      <c r="V46" s="18" t="n">
        <v>-152.9</v>
      </c>
      <c r="W46" s="18" t="n">
        <v>-85.59999999999999</v>
      </c>
      <c r="X46" s="18" t="n">
        <v>-140.8</v>
      </c>
      <c r="Y46" s="18" t="n">
        <v>-439.3</v>
      </c>
      <c r="Z46" s="18" t="n">
        <v>-270.2</v>
      </c>
      <c r="AA46" s="18" t="n">
        <v>709.5</v>
      </c>
      <c r="AB46" s="18" t="n">
        <v>-248.4</v>
      </c>
      <c r="AC46" s="18" t="n">
        <v>-644.8</v>
      </c>
    </row>
    <row r="47">
      <c r="A47" s="4" t="inlineStr">
        <is>
          <t>Operating Cash Flow</t>
        </is>
      </c>
      <c r="B47" s="18" t="n">
        <v>316</v>
      </c>
      <c r="C47" s="18" t="n">
        <v>396.3</v>
      </c>
      <c r="D47" s="18" t="n">
        <v>552.7</v>
      </c>
      <c r="E47" s="18" t="n">
        <v>352.8</v>
      </c>
      <c r="F47" s="18" t="n">
        <v>229.9</v>
      </c>
      <c r="G47" s="18" t="n">
        <v>274.6</v>
      </c>
      <c r="H47" s="18" t="n">
        <v>627.5</v>
      </c>
      <c r="I47" s="18" t="n">
        <v>477.6</v>
      </c>
      <c r="J47" s="18" t="n">
        <v>542.7</v>
      </c>
      <c r="K47" s="18" t="n">
        <v>501.4</v>
      </c>
      <c r="L47" s="18" t="n">
        <v>567.7</v>
      </c>
      <c r="M47" s="18" t="n">
        <v>223</v>
      </c>
      <c r="N47" s="18" t="n">
        <v>446.7</v>
      </c>
      <c r="O47" s="18" t="n">
        <v>383.2</v>
      </c>
      <c r="P47" s="18" t="n">
        <v>437.9</v>
      </c>
      <c r="Q47" s="18" t="n">
        <v>371.4</v>
      </c>
      <c r="R47" s="18" t="n">
        <v>665.7</v>
      </c>
      <c r="S47" s="18" t="n">
        <v>548.4</v>
      </c>
      <c r="T47" s="18" t="n">
        <v>228.3</v>
      </c>
      <c r="U47" s="18" t="n">
        <v>265.4</v>
      </c>
      <c r="V47" s="18" t="n">
        <v>620.5</v>
      </c>
      <c r="W47" s="18" t="n">
        <v>706.5</v>
      </c>
      <c r="X47" s="18" t="n">
        <v>822.6</v>
      </c>
      <c r="Y47" s="18" t="n">
        <v>581.6</v>
      </c>
      <c r="Z47" s="18" t="n">
        <v>715.4</v>
      </c>
      <c r="AA47" s="18" t="n">
        <v>841</v>
      </c>
      <c r="AB47" s="18" t="n">
        <v>892.5</v>
      </c>
      <c r="AC47" s="18" t="n">
        <v>911.9</v>
      </c>
    </row>
    <row r="48">
      <c r="A48" s="4" t="inlineStr">
        <is>
          <t>Capex</t>
        </is>
      </c>
      <c r="B48" s="18" t="n">
        <v>-82.09999999999999</v>
      </c>
      <c r="C48" s="18" t="n">
        <v>-86.7</v>
      </c>
      <c r="D48" s="18" t="n">
        <v>-142</v>
      </c>
      <c r="E48" s="18" t="n">
        <v>-105.2</v>
      </c>
      <c r="F48" s="18" t="n">
        <v>-110</v>
      </c>
      <c r="G48" s="18" t="n">
        <v>-64.40000000000001</v>
      </c>
      <c r="H48" s="18" t="n">
        <v>-61.9</v>
      </c>
      <c r="I48" s="18" t="n">
        <v>-58.6</v>
      </c>
      <c r="J48" s="18" t="n">
        <v>-75.7</v>
      </c>
      <c r="K48" s="18" t="n">
        <v>-68.3</v>
      </c>
      <c r="L48" s="18" t="n">
        <v>-150.9</v>
      </c>
      <c r="M48" s="18" t="n">
        <v>-95.09999999999999</v>
      </c>
      <c r="N48" s="18" t="n">
        <v>-130.5</v>
      </c>
      <c r="O48" s="18" t="n">
        <v>-169.1</v>
      </c>
      <c r="P48" s="18" t="n">
        <v>-137.7</v>
      </c>
      <c r="Q48" s="18" t="n">
        <v>-194.1</v>
      </c>
      <c r="R48" s="18" t="n">
        <v>-178.3</v>
      </c>
      <c r="S48" s="18" t="n">
        <v>-256.3</v>
      </c>
      <c r="T48" s="18" t="n">
        <v>-435.5</v>
      </c>
      <c r="U48" s="18" t="n">
        <v>-241.9</v>
      </c>
      <c r="V48" s="18" t="n">
        <v>-309.4</v>
      </c>
      <c r="W48" s="18" t="n">
        <v>-247.9</v>
      </c>
      <c r="X48" s="18" t="n">
        <v>-312</v>
      </c>
      <c r="Y48" s="18" t="n">
        <v>-116.6</v>
      </c>
      <c r="Z48" s="18" t="n">
        <v>-155.3</v>
      </c>
      <c r="AA48" s="18" t="n">
        <v>-105.4</v>
      </c>
      <c r="AB48" s="18" t="n">
        <v>-162.5</v>
      </c>
      <c r="AC48" s="18" t="n">
        <v>-103.3</v>
      </c>
    </row>
    <row r="49">
      <c r="A49" s="4" t="inlineStr">
        <is>
          <t>Free Cash Flow</t>
        </is>
      </c>
      <c r="B49" s="18" t="n">
        <v>233.9</v>
      </c>
      <c r="C49" s="18" t="n">
        <v>309.6</v>
      </c>
      <c r="D49" s="18" t="n">
        <v>410.7</v>
      </c>
      <c r="E49" s="18" t="n">
        <v>247.6</v>
      </c>
      <c r="F49" s="18" t="n">
        <v>119.9</v>
      </c>
      <c r="G49" s="18" t="n">
        <v>210.2</v>
      </c>
      <c r="H49" s="18" t="n">
        <v>565.6</v>
      </c>
      <c r="I49" s="18" t="n">
        <v>419</v>
      </c>
      <c r="J49" s="18" t="n">
        <v>467</v>
      </c>
      <c r="K49" s="18" t="n">
        <v>433.1</v>
      </c>
      <c r="L49" s="18" t="n">
        <v>416.8</v>
      </c>
      <c r="M49" s="18" t="n">
        <v>127.9</v>
      </c>
      <c r="N49" s="18" t="n">
        <v>316.2</v>
      </c>
      <c r="O49" s="18" t="n">
        <v>214.1</v>
      </c>
      <c r="P49" s="18" t="n">
        <v>300.2</v>
      </c>
      <c r="Q49" s="18" t="n">
        <v>177.3</v>
      </c>
      <c r="R49" s="18" t="n">
        <v>487.4</v>
      </c>
      <c r="S49" s="18" t="n">
        <v>292.1</v>
      </c>
      <c r="T49" s="18" t="n">
        <v>-207.2</v>
      </c>
      <c r="U49" s="18" t="n">
        <v>23.5</v>
      </c>
      <c r="V49" s="18" t="n">
        <v>311.1</v>
      </c>
      <c r="W49" s="18" t="n">
        <v>458.6</v>
      </c>
      <c r="X49" s="18" t="n">
        <v>510.6</v>
      </c>
      <c r="Y49" s="18" t="n">
        <v>465</v>
      </c>
      <c r="Z49" s="18" t="n">
        <v>560.1</v>
      </c>
      <c r="AA49" s="18" t="n">
        <v>735.6</v>
      </c>
      <c r="AB49" s="18" t="n">
        <v>730</v>
      </c>
      <c r="AC49" s="18" t="n">
        <v>808.6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11688.482511</v>
      </c>
      <c r="C4" s="18" t="n">
        <v>13271.155916</v>
      </c>
      <c r="D4" s="18" t="n">
        <v>15083.162247</v>
      </c>
      <c r="E4" s="18" t="n">
        <v>17230.239359</v>
      </c>
      <c r="F4" s="18" t="n">
        <v>19036.9</v>
      </c>
    </row>
    <row r="5">
      <c r="A5" s="4" t="inlineStr">
        <is>
          <t xml:space="preserve">  model</t>
        </is>
      </c>
      <c r="B5" s="33">
        <f>Model!G10</f>
        <v/>
      </c>
      <c r="C5" s="33">
        <f>Model!H10</f>
        <v/>
      </c>
      <c r="D5" s="33">
        <f>Model!I10</f>
        <v/>
      </c>
      <c r="E5" s="33">
        <f>Model!J10</f>
        <v/>
      </c>
      <c r="F5" s="33">
        <f>Model!K10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3942.354824</v>
      </c>
      <c r="C8" s="18" t="n">
        <v>4476.1675</v>
      </c>
      <c r="D8" s="18" t="n">
        <v>5087.330831</v>
      </c>
      <c r="E8" s="18" t="n">
        <v>5811.508653</v>
      </c>
      <c r="F8" s="18" t="n">
        <v>6420.86896</v>
      </c>
    </row>
    <row r="9">
      <c r="A9" s="4" t="inlineStr">
        <is>
          <t xml:space="preserve">  model</t>
        </is>
      </c>
      <c r="B9" s="33">
        <f>Model!G23+Model!G28</f>
        <v/>
      </c>
      <c r="C9" s="33">
        <f>Model!H23+Model!H28</f>
        <v/>
      </c>
      <c r="D9" s="33">
        <f>Model!I23+Model!I28</f>
        <v/>
      </c>
      <c r="E9" s="33">
        <f>Model!J23+Model!J28</f>
        <v/>
      </c>
      <c r="F9" s="33">
        <f>Model!K23+Model!K28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3256.587868</v>
      </c>
      <c r="C12" s="18" t="n">
        <v>3697.544597</v>
      </c>
      <c r="D12" s="18" t="n">
        <v>4202.396944</v>
      </c>
      <c r="E12" s="18" t="n">
        <v>4800.605075</v>
      </c>
      <c r="F12" s="18" t="n">
        <v>5303.968032</v>
      </c>
    </row>
    <row r="13">
      <c r="A13" s="4" t="inlineStr">
        <is>
          <t xml:space="preserve">  model</t>
        </is>
      </c>
      <c r="B13" s="33">
        <f>Model!G23</f>
        <v/>
      </c>
      <c r="C13" s="33">
        <f>Model!H23</f>
        <v/>
      </c>
      <c r="D13" s="33">
        <f>Model!I23</f>
        <v/>
      </c>
      <c r="E13" s="33">
        <f>Model!J23</f>
        <v/>
      </c>
      <c r="F13" s="33">
        <f>Model!K23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3051.425935</v>
      </c>
      <c r="C16" s="18" t="n">
        <v>3464.60281</v>
      </c>
      <c r="D16" s="18" t="n">
        <v>3937.649941</v>
      </c>
      <c r="E16" s="18" t="n">
        <v>4498.171529</v>
      </c>
      <c r="F16" s="18" t="n">
        <v>4969.8231</v>
      </c>
    </row>
    <row r="17">
      <c r="A17" s="4" t="inlineStr">
        <is>
          <t xml:space="preserve">  model</t>
        </is>
      </c>
      <c r="B17" s="33">
        <f>Model!G18</f>
        <v/>
      </c>
      <c r="C17" s="33">
        <f>Model!H18</f>
        <v/>
      </c>
      <c r="D17" s="33">
        <f>Model!I18</f>
        <v/>
      </c>
      <c r="E17" s="33">
        <f>Model!J18</f>
        <v/>
      </c>
      <c r="F17" s="33">
        <f>Model!K18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3755.14192</v>
      </c>
      <c r="C20" s="18" t="n">
        <v>4286.00959</v>
      </c>
      <c r="D20" s="18" t="n">
        <v>4294.02387</v>
      </c>
      <c r="E20" s="18" t="n">
        <v>5608.139955</v>
      </c>
      <c r="F20" s="18" t="n">
        <v>6105.448807</v>
      </c>
    </row>
    <row r="21">
      <c r="A21" s="4" t="inlineStr">
        <is>
          <t xml:space="preserve">  model</t>
        </is>
      </c>
      <c r="B21" s="33">
        <f>Model!G27</f>
        <v/>
      </c>
      <c r="C21" s="33">
        <f>Model!H27</f>
        <v/>
      </c>
      <c r="D21" s="33">
        <f>Model!I27</f>
        <v/>
      </c>
      <c r="E21" s="33">
        <f>Model!J27</f>
        <v/>
      </c>
      <c r="F21" s="33">
        <f>Model!K27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10.38325</v>
      </c>
      <c r="C24" s="47" t="n">
        <v>11.77673</v>
      </c>
      <c r="D24" s="47" t="n">
        <v>13.31312</v>
      </c>
      <c r="E24" s="47" t="n">
        <v>15.4622</v>
      </c>
      <c r="F24" s="47" t="n">
        <v>16.83333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Intuitive Surgical,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Model!G35</f>
        <v/>
      </c>
      <c r="D12" s="33">
        <f>Model!H35</f>
        <v/>
      </c>
      <c r="E12" s="33">
        <f>Model!I35</f>
        <v/>
      </c>
      <c r="F12" s="33">
        <f>Model!J35</f>
        <v/>
      </c>
      <c r="G12" s="33">
        <f>Model!K35</f>
        <v/>
      </c>
      <c r="H12" s="33">
        <f>Model!L35</f>
        <v/>
      </c>
      <c r="I12" s="33">
        <f>Model!M35</f>
        <v/>
      </c>
      <c r="J12" s="33">
        <f>Model!N35</f>
        <v/>
      </c>
      <c r="K12" s="33">
        <f>Model!O35</f>
        <v/>
      </c>
      <c r="L12" s="33">
        <f>Model!P35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Model!P10</f>
        <v/>
      </c>
    </row>
    <row r="21">
      <c r="A21" s="4" t="inlineStr">
        <is>
          <t>Terminal EBIT</t>
        </is>
      </c>
      <c r="B21" s="33">
        <f>Model!P23</f>
        <v/>
      </c>
    </row>
    <row r="22">
      <c r="A22" s="4" t="inlineStr">
        <is>
          <t>Terminal EBITDA (SBC-burdened)</t>
        </is>
      </c>
      <c r="B22" s="33">
        <f>Model!P23+Model!P28-Model!P29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Financials!AC36</f>
        <v/>
      </c>
    </row>
    <row r="33">
      <c r="A33" s="4" t="inlineStr">
        <is>
          <t>- Long-term debt</t>
        </is>
      </c>
      <c r="B33" s="33">
        <f>-Financials!AC41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0.09590499999999999</v>
      </c>
      <c r="C4" s="51" t="n">
        <v>0.100905</v>
      </c>
      <c r="D4" s="51" t="n">
        <v>0.105905</v>
      </c>
      <c r="E4" s="51" t="n">
        <v>0.110905</v>
      </c>
      <c r="F4" s="51" t="n">
        <v>0.115905</v>
      </c>
      <c r="G4" s="51" t="n">
        <v>0.120905</v>
      </c>
      <c r="H4" s="51" t="n">
        <v>0.125905</v>
      </c>
    </row>
    <row r="5">
      <c r="A5" s="52" t="n">
        <v>9</v>
      </c>
      <c r="B5" s="53" t="n">
        <v>186.1417202550087</v>
      </c>
      <c r="C5" s="53" t="n">
        <v>180.0142890757934</v>
      </c>
      <c r="D5" s="53" t="n">
        <v>174.1597745684352</v>
      </c>
      <c r="E5" s="53" t="n">
        <v>168.564405096794</v>
      </c>
      <c r="F5" s="53" t="n">
        <v>163.2151723338123</v>
      </c>
      <c r="G5" s="53" t="n">
        <v>158.0997854670423</v>
      </c>
      <c r="H5" s="53" t="n">
        <v>153.2066283513292</v>
      </c>
    </row>
    <row r="6">
      <c r="A6" s="52" t="n">
        <v>10</v>
      </c>
      <c r="B6" s="53" t="n">
        <v>196.8145973039553</v>
      </c>
      <c r="C6" s="53" t="n">
        <v>190.2122219380434</v>
      </c>
      <c r="D6" s="53" t="n">
        <v>183.905908479956</v>
      </c>
      <c r="E6" s="53" t="n">
        <v>177.8806602737742</v>
      </c>
      <c r="F6" s="53" t="n">
        <v>172.1223139035618</v>
      </c>
      <c r="G6" s="53" t="n">
        <v>166.6174891186267</v>
      </c>
      <c r="H6" s="53" t="n">
        <v>161.3535419854093</v>
      </c>
    </row>
    <row r="7">
      <c r="A7" s="52" t="n">
        <v>11</v>
      </c>
      <c r="B7" s="53" t="n">
        <v>207.4874743529019</v>
      </c>
      <c r="C7" s="53" t="n">
        <v>200.4101548002934</v>
      </c>
      <c r="D7" s="53" t="n">
        <v>193.6520423914768</v>
      </c>
      <c r="E7" s="53" t="n">
        <v>187.1969154507544</v>
      </c>
      <c r="F7" s="53" t="n">
        <v>181.0294554733112</v>
      </c>
      <c r="G7" s="53" t="n">
        <v>175.1351927702111</v>
      </c>
      <c r="H7" s="53" t="n">
        <v>169.5004556194893</v>
      </c>
    </row>
    <row r="8">
      <c r="A8" s="52" t="n">
        <v>12</v>
      </c>
      <c r="B8" s="53" t="n">
        <v>218.1603514018486</v>
      </c>
      <c r="C8" s="53" t="n">
        <v>210.6080876625433</v>
      </c>
      <c r="D8" s="53" t="n">
        <v>203.3981763029976</v>
      </c>
      <c r="E8" s="54" t="n">
        <v>196.5131706277346</v>
      </c>
      <c r="F8" s="53" t="n">
        <v>189.9365970430606</v>
      </c>
      <c r="G8" s="53" t="n">
        <v>183.6528964217954</v>
      </c>
      <c r="H8" s="53" t="n">
        <v>177.6473692535694</v>
      </c>
    </row>
    <row r="9">
      <c r="A9" s="52" t="n">
        <v>13</v>
      </c>
      <c r="B9" s="53" t="n">
        <v>228.8332284507952</v>
      </c>
      <c r="C9" s="53" t="n">
        <v>220.8060205247933</v>
      </c>
      <c r="D9" s="53" t="n">
        <v>213.1443102145184</v>
      </c>
      <c r="E9" s="53" t="n">
        <v>205.8294258047148</v>
      </c>
      <c r="F9" s="53" t="n">
        <v>198.8437386128101</v>
      </c>
      <c r="G9" s="53" t="n">
        <v>192.1706000733798</v>
      </c>
      <c r="H9" s="53" t="n">
        <v>185.7942828876494</v>
      </c>
    </row>
    <row r="10">
      <c r="A10" s="52" t="n">
        <v>14</v>
      </c>
      <c r="B10" s="53" t="n">
        <v>239.5061054997418</v>
      </c>
      <c r="C10" s="53" t="n">
        <v>231.0039533870433</v>
      </c>
      <c r="D10" s="53" t="n">
        <v>222.8904441260392</v>
      </c>
      <c r="E10" s="53" t="n">
        <v>215.145680981695</v>
      </c>
      <c r="F10" s="53" t="n">
        <v>207.7508801825595</v>
      </c>
      <c r="G10" s="53" t="n">
        <v>200.6883037249642</v>
      </c>
      <c r="H10" s="53" t="n">
        <v>193.9411965217295</v>
      </c>
    </row>
    <row r="11">
      <c r="A11" s="52" t="n">
        <v>15</v>
      </c>
      <c r="B11" s="53" t="n">
        <v>250.1789825486885</v>
      </c>
      <c r="C11" s="53" t="n">
        <v>241.2018862492932</v>
      </c>
      <c r="D11" s="53" t="n">
        <v>232.63657803756</v>
      </c>
      <c r="E11" s="53" t="n">
        <v>224.4619361586752</v>
      </c>
      <c r="F11" s="53" t="n">
        <v>216.6580217523089</v>
      </c>
      <c r="G11" s="53" t="n">
        <v>209.2060073765486</v>
      </c>
      <c r="H11" s="53" t="n">
        <v>202.0881101558095</v>
      </c>
    </row>
    <row r="13">
      <c r="A13" s="3" t="inlineStr">
        <is>
          <t>Current price</t>
        </is>
      </c>
      <c r="B13" s="53" t="n">
        <v>426.6098937988281</v>
      </c>
    </row>
    <row r="14">
      <c r="A14" s="3" t="inlineStr">
        <is>
          <t>Base WACC / multiple</t>
        </is>
      </c>
      <c r="B14" s="55" t="n">
        <v>0.110905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0.06727473248084891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0.7551190984299007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0.02115178173991054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0.0260652971761301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0.9664270987534533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2026-07-08T07:03:45Z</dcterms:created>
  <dcterms:modified xmlns:dcterms="http://purl.org/dc/terms/" xmlns:xsi="http://www.w3.org/2001/XMLSchema-instance" xsi:type="dcterms:W3CDTF">2026-07-08T07:03:45Z</dcterms:modified>
</cp:coreProperties>
</file>