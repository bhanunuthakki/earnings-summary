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1" authorId="0" shapeId="0">
      <text>
        <t>builder default</t>
      </text>
    </comment>
    <comment ref="C21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NextEra Energy, Inc. (NEE)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NextEra Energy, Inc. (NEE)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IF(Model!F36&lt;=0,"n/a (neg. capital)",Model!G38-WACC!B15)</f>
        <v/>
      </c>
      <c r="C15" s="10">
        <f>IF(Model!F36&lt;=0,"n/a",IF(Model!G38-WACC!B15&lt;0,"!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Florida Power &amp; Light Company</t>
        </is>
      </c>
      <c r="B20" s="15" t="n">
        <v>0.01440021966179581</v>
      </c>
      <c r="C20" s="15" t="n">
        <v>0.05</v>
      </c>
      <c r="D20" s="16" t="n">
        <v>0.01440021966179581</v>
      </c>
      <c r="E20" s="2" t="inlineStr"/>
    </row>
    <row r="21">
      <c r="A21" s="4" t="inlineStr">
        <is>
          <t>NEER Segment</t>
        </is>
      </c>
      <c r="B21" s="15" t="n">
        <v>0.09334126094173918</v>
      </c>
      <c r="C21" s="15" t="n">
        <v>0.05</v>
      </c>
      <c r="D21" s="16" t="n">
        <v>0.09334126094173918</v>
      </c>
      <c r="E21" s="2" t="inlineStr"/>
    </row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0.3568269619391955</v>
      </c>
      <c r="D29" s="16" t="n">
        <v>0.3568269619391955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0.3655324219301614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10201.4</v>
      </c>
      <c r="D34" s="18" t="n">
        <v>10201.4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0.721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88.50499725341797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100.7624758196842</v>
      </c>
      <c r="C58" s="28" t="n">
        <v>156.9882553382329</v>
      </c>
      <c r="D58" s="28" t="n">
        <v>58.43925402307212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</v>
      </c>
      <c r="E66" s="2" t="inlineStr">
        <is>
          <t>fades near-&gt;terminal; also burdens the exit-multiple EBITDA</t>
        </is>
      </c>
    </row>
  </sheetData>
  <conditionalFormatting sqref="B20:B21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NEE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Florida Power &amp; Light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Florida Power &amp; Light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NEER Segment — near-term growth</t>
        </is>
      </c>
      <c r="B10" t="inlineStr">
        <is>
          <t>B21</t>
        </is>
      </c>
      <c r="C10" s="11">
        <f>Dashboard!B21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NEER Segment — terminal growth</t>
        </is>
      </c>
      <c r="B11" t="inlineStr">
        <is>
          <t>C21</t>
        </is>
      </c>
      <c r="C11" s="11">
        <f>Dashboard!C21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Near-term operating margin</t>
        </is>
      </c>
      <c r="B12" t="inlineStr">
        <is>
          <t>B29</t>
        </is>
      </c>
      <c r="C12" s="11">
        <f>Dashboard!B29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operating margin</t>
        </is>
      </c>
      <c r="B13" t="inlineStr">
        <is>
          <t>B30</t>
        </is>
      </c>
      <c r="C13" s="11">
        <f>Dashboard!B30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Tax rate</t>
        </is>
      </c>
      <c r="B14" t="inlineStr">
        <is>
          <t>B31</t>
        </is>
      </c>
      <c r="C14" s="11">
        <f>Dashboard!B31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Terminal capex / D&amp;A</t>
        </is>
      </c>
      <c r="B15" t="inlineStr">
        <is>
          <t>B35</t>
        </is>
      </c>
      <c r="C15" s="13">
        <f>Dashboard!B35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Risk-free rate (10Y)</t>
        </is>
      </c>
      <c r="B16" t="inlineStr">
        <is>
          <t>B38</t>
        </is>
      </c>
      <c r="C16" s="11">
        <f>Dashboard!B38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Equity risk premium</t>
        </is>
      </c>
      <c r="B17" t="inlineStr">
        <is>
          <t>B39</t>
        </is>
      </c>
      <c r="C17" s="11">
        <f>Dashboard!B39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Beta (levered)</t>
        </is>
      </c>
      <c r="B18" t="inlineStr">
        <is>
          <t>B40</t>
        </is>
      </c>
      <c r="C18" s="32">
        <f>Dashboard!B40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Pre-tax cost of debt</t>
        </is>
      </c>
      <c r="B19" t="inlineStr">
        <is>
          <t>B41</t>
        </is>
      </c>
      <c r="C19" s="11">
        <f>Dashboard!B41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Terminal method</t>
        </is>
      </c>
      <c r="B20" t="inlineStr">
        <is>
          <t>B43</t>
        </is>
      </c>
      <c r="C20" s="12">
        <f>Dashboard!B43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Exit basis</t>
        </is>
      </c>
      <c r="B21" t="inlineStr">
        <is>
          <t>B44</t>
        </is>
      </c>
      <c r="C21" s="12">
        <f>Dashboard!B44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Exit multiple</t>
        </is>
      </c>
      <c r="B22" t="inlineStr">
        <is>
          <t>B45</t>
        </is>
      </c>
      <c r="C22" s="13">
        <f>Dashboard!B45</f>
        <v/>
      </c>
      <c r="D22" t="inlineStr">
        <is>
          <t>builder default</t>
        </is>
      </c>
      <c r="E22" t="inlineStr">
        <is>
          <t>—</t>
        </is>
      </c>
      <c r="F22" s="31" t="inlineStr"/>
    </row>
    <row r="23">
      <c r="A23" t="inlineStr">
        <is>
          <t>Terminal growth (g)</t>
        </is>
      </c>
      <c r="B23" t="inlineStr">
        <is>
          <t>B46</t>
        </is>
      </c>
      <c r="C23" s="11">
        <f>Dashboard!B46</f>
        <v/>
      </c>
      <c r="D23" t="inlineStr">
        <is>
          <t>builder default</t>
        </is>
      </c>
      <c r="E23" t="inlineStr">
        <is>
          <t>—</t>
        </is>
      </c>
      <c r="F23" s="31" t="inlineStr"/>
    </row>
    <row r="24">
      <c r="A24" t="inlineStr">
        <is>
          <t>2026 capex ($M)</t>
        </is>
      </c>
      <c r="B24" t="inlineStr">
        <is>
          <t>B34</t>
        </is>
      </c>
      <c r="C24" s="33">
        <f>Dashboard!B34</f>
        <v/>
      </c>
      <c r="D24" t="inlineStr">
        <is>
          <t>builder default</t>
        </is>
      </c>
      <c r="E24" t="inlineStr">
        <is>
          <t>—</t>
        </is>
      </c>
      <c r="F24" s="31" t="inlineStr">
        <is>
          <t>last-year capex +10% unless set to guidance; edits not tracked</t>
        </is>
      </c>
    </row>
    <row r="25">
      <c r="A25" t="inlineStr">
        <is>
          <t>Bull Δ — segment growth, near-term</t>
        </is>
      </c>
      <c r="B25" t="inlineStr">
        <is>
          <t>C52</t>
        </is>
      </c>
      <c r="C25" s="34">
        <f>Dashboard!C52</f>
        <v/>
      </c>
      <c r="D25" t="inlineStr">
        <is>
          <t>seed default</t>
        </is>
      </c>
      <c r="E25" t="inlineStr">
        <is>
          <t>3.0%</t>
        </is>
      </c>
      <c r="F25" s="31" t="inlineStr"/>
    </row>
    <row r="26">
      <c r="A26" t="inlineStr">
        <is>
          <t>Bear Δ — segment growth, near-term</t>
        </is>
      </c>
      <c r="B26" t="inlineStr">
        <is>
          <t>D52</t>
        </is>
      </c>
      <c r="C26" s="34">
        <f>Dashboard!D52</f>
        <v/>
      </c>
      <c r="D26" t="inlineStr">
        <is>
          <t>seed default</t>
        </is>
      </c>
      <c r="E26" t="inlineStr">
        <is>
          <t>-3.0%</t>
        </is>
      </c>
      <c r="F26" s="31" t="inlineStr"/>
    </row>
    <row r="27">
      <c r="A27" t="inlineStr">
        <is>
          <t>Bull Δ — segment growth, terminal</t>
        </is>
      </c>
      <c r="B27" t="inlineStr">
        <is>
          <t>C53</t>
        </is>
      </c>
      <c r="C27" s="34">
        <f>Dashboard!C53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segment growth, terminal</t>
        </is>
      </c>
      <c r="B28" t="inlineStr">
        <is>
          <t>D53</t>
        </is>
      </c>
      <c r="C28" s="34">
        <f>Dashboard!D53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near-term</t>
        </is>
      </c>
      <c r="B29" t="inlineStr">
        <is>
          <t>C54</t>
        </is>
      </c>
      <c r="C29" s="34">
        <f>Dashboard!C54</f>
        <v/>
      </c>
      <c r="D29" t="inlineStr">
        <is>
          <t>seed default</t>
        </is>
      </c>
      <c r="E29" t="inlineStr">
        <is>
          <t>1.0%</t>
        </is>
      </c>
      <c r="F29" s="31" t="inlineStr"/>
    </row>
    <row r="30">
      <c r="A30" t="inlineStr">
        <is>
          <t>Bear Δ — operating margin, near-term</t>
        </is>
      </c>
      <c r="B30" t="inlineStr">
        <is>
          <t>D54</t>
        </is>
      </c>
      <c r="C30" s="34">
        <f>Dashboard!D54</f>
        <v/>
      </c>
      <c r="D30" t="inlineStr">
        <is>
          <t>seed default</t>
        </is>
      </c>
      <c r="E30" t="inlineStr">
        <is>
          <t>-1.0%</t>
        </is>
      </c>
      <c r="F30" s="31" t="inlineStr"/>
    </row>
    <row r="31">
      <c r="A31" t="inlineStr">
        <is>
          <t>Bull Δ — operating margin, terminal</t>
        </is>
      </c>
      <c r="B31" t="inlineStr">
        <is>
          <t>C55</t>
        </is>
      </c>
      <c r="C31" s="34">
        <f>Dashboard!C55</f>
        <v/>
      </c>
      <c r="D31" t="inlineStr">
        <is>
          <t>seed default</t>
        </is>
      </c>
      <c r="E31" t="inlineStr">
        <is>
          <t>2.0%</t>
        </is>
      </c>
      <c r="F31" s="31" t="inlineStr"/>
    </row>
    <row r="32">
      <c r="A32" t="inlineStr">
        <is>
          <t>Bear Δ — operating margin, terminal</t>
        </is>
      </c>
      <c r="B32" t="inlineStr">
        <is>
          <t>D55</t>
        </is>
      </c>
      <c r="C32" s="34">
        <f>Dashboard!D55</f>
        <v/>
      </c>
      <c r="D32" t="inlineStr">
        <is>
          <t>seed default</t>
        </is>
      </c>
      <c r="E32" t="inlineStr">
        <is>
          <t>-2.0%</t>
        </is>
      </c>
      <c r="F32" s="31" t="inlineStr"/>
    </row>
    <row r="33">
      <c r="A33" t="inlineStr">
        <is>
          <t>Bull Δ — exit multiple</t>
        </is>
      </c>
      <c r="B33" t="inlineStr">
        <is>
          <t>C56</t>
        </is>
      </c>
      <c r="C33" s="35">
        <f>Dashboard!C56</f>
        <v/>
      </c>
      <c r="D33" t="inlineStr">
        <is>
          <t>seed default</t>
        </is>
      </c>
      <c r="E33" t="inlineStr">
        <is>
          <t>2.0x</t>
        </is>
      </c>
      <c r="F33" s="31" t="inlineStr"/>
    </row>
    <row r="34">
      <c r="A34" t="inlineStr">
        <is>
          <t>Bear Δ — exit multiple</t>
        </is>
      </c>
      <c r="B34" t="inlineStr">
        <is>
          <t>D56</t>
        </is>
      </c>
      <c r="C34" s="35">
        <f>Dashboard!D56</f>
        <v/>
      </c>
      <c r="D34" t="inlineStr">
        <is>
          <t>seed default</t>
        </is>
      </c>
      <c r="E34" t="inlineStr">
        <is>
          <t>-2.0x</t>
        </is>
      </c>
      <c r="F34" s="31" t="inlineStr"/>
    </row>
    <row r="35">
      <c r="A35" t="inlineStr">
        <is>
          <t>Bull Δ — terminal growth (g)</t>
        </is>
      </c>
      <c r="B35" t="inlineStr">
        <is>
          <t>C57</t>
        </is>
      </c>
      <c r="C35" s="34">
        <f>Dashboard!C57</f>
        <v/>
      </c>
      <c r="D35" t="inlineStr">
        <is>
          <t>seed default</t>
        </is>
      </c>
      <c r="E35" t="inlineStr">
        <is>
          <t>0.5%</t>
        </is>
      </c>
      <c r="F35" s="31" t="inlineStr"/>
    </row>
    <row r="36">
      <c r="A36" t="inlineStr">
        <is>
          <t>Bear Δ — terminal growth (g)</t>
        </is>
      </c>
      <c r="B36" t="inlineStr">
        <is>
          <t>D57</t>
        </is>
      </c>
      <c r="C36" s="34">
        <f>Dashboard!D57</f>
        <v/>
      </c>
      <c r="D36" t="inlineStr">
        <is>
          <t>seed default</t>
        </is>
      </c>
      <c r="E36" t="inlineStr">
        <is>
          <t>-0.5%</t>
        </is>
      </c>
      <c r="F36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Financials!AC31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Florida Power &amp; Light Company</t>
        </is>
      </c>
      <c r="B4" s="33">
        <f>SUM(Financials!I19:L19)</f>
        <v/>
      </c>
      <c r="C4" s="33">
        <f>SUM(Financials!M19:P19)</f>
        <v/>
      </c>
      <c r="D4" s="33">
        <f>SUM(Financials!Q19:T19)</f>
        <v/>
      </c>
      <c r="E4" s="33">
        <f>SUM(Financials!U19:X19)</f>
        <v/>
      </c>
      <c r="F4" s="33">
        <f>SUM(Financials!Y19:AB19)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4" t="inlineStr">
        <is>
          <t>NEER Segment</t>
        </is>
      </c>
      <c r="B6" s="33">
        <f>SUM(Financials!I22:L22)</f>
        <v/>
      </c>
      <c r="C6" s="33">
        <f>SUM(Financials!M22:P22)</f>
        <v/>
      </c>
      <c r="D6" s="33">
        <f>SUM(Financials!Q22:T22)</f>
        <v/>
      </c>
      <c r="E6" s="33">
        <f>SUM(Financials!U22:X22)</f>
        <v/>
      </c>
      <c r="F6" s="33">
        <f>SUM(Financials!Y22:AB22)</f>
        <v/>
      </c>
      <c r="G6" s="41">
        <f>F6*(1+G7)</f>
        <v/>
      </c>
      <c r="H6" s="41">
        <f>G6*(1+H7)</f>
        <v/>
      </c>
      <c r="I6" s="41">
        <f>H6*(1+I7)</f>
        <v/>
      </c>
      <c r="J6" s="41">
        <f>I6*(1+J7)</f>
        <v/>
      </c>
      <c r="K6" s="41">
        <f>J6*(1+K7)</f>
        <v/>
      </c>
      <c r="L6" s="41">
        <f>K6*(1+L7)</f>
        <v/>
      </c>
      <c r="M6" s="41">
        <f>L6*(1+M7)</f>
        <v/>
      </c>
      <c r="N6" s="41">
        <f>M6*(1+N7)</f>
        <v/>
      </c>
      <c r="O6" s="41">
        <f>N6*(1+O7)</f>
        <v/>
      </c>
      <c r="P6" s="41">
        <f>O6*(1+P7)</f>
        <v/>
      </c>
    </row>
    <row r="7">
      <c r="A7" s="4" t="inlineStr">
        <is>
          <t xml:space="preserve">    growth % (convex fade; curvature from Dashboard)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11">
        <f>Dashboard!$C$21+(Dashboard!$B$21-Dashboard!$C$21)*((9-0)/9)^Dashboard!$B$49</f>
        <v/>
      </c>
      <c r="H7" s="11">
        <f>Dashboard!$C$21+(Dashboard!$B$21-Dashboard!$C$21)*((9-1)/9)^Dashboard!$B$49</f>
        <v/>
      </c>
      <c r="I7" s="11">
        <f>Dashboard!$C$21+(Dashboard!$B$21-Dashboard!$C$21)*((9-2)/9)^Dashboard!$B$49</f>
        <v/>
      </c>
      <c r="J7" s="11">
        <f>Dashboard!$C$21+(Dashboard!$B$21-Dashboard!$C$21)*((9-3)/9)^Dashboard!$B$49</f>
        <v/>
      </c>
      <c r="K7" s="11">
        <f>Dashboard!$C$21+(Dashboard!$B$21-Dashboard!$C$21)*((9-4)/9)^Dashboard!$B$49</f>
        <v/>
      </c>
      <c r="L7" s="11">
        <f>Dashboard!$C$21+(Dashboard!$B$21-Dashboard!$C$21)*((9-5)/9)^Dashboard!$B$49</f>
        <v/>
      </c>
      <c r="M7" s="11">
        <f>Dashboard!$C$21+(Dashboard!$B$21-Dashboard!$C$21)*((9-6)/9)^Dashboard!$B$49</f>
        <v/>
      </c>
      <c r="N7" s="11">
        <f>Dashboard!$C$21+(Dashboard!$B$21-Dashboard!$C$21)*((9-7)/9)^Dashboard!$B$49</f>
        <v/>
      </c>
      <c r="O7" s="11">
        <f>Dashboard!$C$21+(Dashboard!$B$21-Dashboard!$C$21)*((9-8)/9)^Dashboard!$B$49</f>
        <v/>
      </c>
      <c r="P7" s="11">
        <f>Dashboard!$C$21+(Dashboard!$B$21-Dashboard!$C$21)*((9-9)/9)^Dashboard!$B$49</f>
        <v/>
      </c>
    </row>
    <row r="8">
      <c r="A8" s="3" t="inlineStr">
        <is>
          <t>Total revenue</t>
        </is>
      </c>
      <c r="B8" s="42">
        <f>B4+B6</f>
        <v/>
      </c>
      <c r="C8" s="42">
        <f>C4+C6</f>
        <v/>
      </c>
      <c r="D8" s="42">
        <f>D4+D6</f>
        <v/>
      </c>
      <c r="E8" s="42">
        <f>E4+E6</f>
        <v/>
      </c>
      <c r="F8" s="42">
        <f>F4+F6</f>
        <v/>
      </c>
      <c r="G8" s="42">
        <f>G4+G6</f>
        <v/>
      </c>
      <c r="H8" s="42">
        <f>H4+H6</f>
        <v/>
      </c>
      <c r="I8" s="42">
        <f>I4+I6</f>
        <v/>
      </c>
      <c r="J8" s="42">
        <f>J4+J6</f>
        <v/>
      </c>
      <c r="K8" s="42">
        <f>K4+K6</f>
        <v/>
      </c>
      <c r="L8" s="42">
        <f>L4+L6</f>
        <v/>
      </c>
      <c r="M8" s="42">
        <f>M4+M6</f>
        <v/>
      </c>
      <c r="N8" s="42">
        <f>N4+N6</f>
        <v/>
      </c>
      <c r="O8" s="42">
        <f>O4+O6</f>
        <v/>
      </c>
      <c r="P8" s="42">
        <f>P4+P6</f>
        <v/>
      </c>
    </row>
    <row r="9">
      <c r="A9" s="4" t="inlineStr">
        <is>
          <t xml:space="preserve">    growth %</t>
        </is>
      </c>
      <c r="C9" s="25">
        <f>IFERROR(C8/B8-1,"")</f>
        <v/>
      </c>
      <c r="D9" s="25">
        <f>IFERROR(D8/C8-1,"")</f>
        <v/>
      </c>
      <c r="E9" s="25">
        <f>IFERROR(E8/D8-1,"")</f>
        <v/>
      </c>
      <c r="F9" s="25">
        <f>IFERROR(F8/E8-1,"")</f>
        <v/>
      </c>
      <c r="G9" s="25">
        <f>IFERROR(G8/F8-1,"")</f>
        <v/>
      </c>
      <c r="H9" s="25">
        <f>IFERROR(H8/G8-1,"")</f>
        <v/>
      </c>
      <c r="I9" s="25">
        <f>IFERROR(I8/H8-1,"")</f>
        <v/>
      </c>
      <c r="J9" s="25">
        <f>IFERROR(J8/I8-1,"")</f>
        <v/>
      </c>
      <c r="K9" s="25">
        <f>IFERROR(K8/J8-1,"")</f>
        <v/>
      </c>
      <c r="L9" s="25">
        <f>IFERROR(L8/K8-1,"")</f>
        <v/>
      </c>
      <c r="M9" s="25">
        <f>IFERROR(M8/L8-1,"")</f>
        <v/>
      </c>
      <c r="N9" s="25">
        <f>IFERROR(N8/M8-1,"")</f>
        <v/>
      </c>
      <c r="O9" s="25">
        <f>IFERROR(O8/N8-1,"")</f>
        <v/>
      </c>
      <c r="P9" s="25">
        <f>IFERROR(P8/O8-1,"")</f>
        <v/>
      </c>
    </row>
    <row r="11">
      <c r="A11" s="5" t="inlineStr">
        <is>
          <t xml:space="preserve">  COST STRUCTURE (yellow = % of revenue)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4" t="inlineStr">
        <is>
          <t>Cost of revenue</t>
        </is>
      </c>
      <c r="B12" s="33">
        <f>SUM(Financials!I5:L5)</f>
        <v/>
      </c>
      <c r="C12" s="33">
        <f>SUM(Financials!M5:P5)</f>
        <v/>
      </c>
      <c r="D12" s="33">
        <f>SUM(Financials!Q5:T5)</f>
        <v/>
      </c>
      <c r="E12" s="33">
        <f>SUM(Financials!U5:X5)</f>
        <v/>
      </c>
      <c r="F12" s="33">
        <f>SUM(Financials!Y5:AB5)</f>
        <v/>
      </c>
      <c r="G12" s="41">
        <f>G8*G13</f>
        <v/>
      </c>
      <c r="H12" s="41">
        <f>H8*H13</f>
        <v/>
      </c>
      <c r="I12" s="41">
        <f>I8*I13</f>
        <v/>
      </c>
      <c r="J12" s="41">
        <f>J8*J13</f>
        <v/>
      </c>
      <c r="K12" s="41">
        <f>K8*K13</f>
        <v/>
      </c>
      <c r="L12" s="41">
        <f>L8*L13</f>
        <v/>
      </c>
      <c r="M12" s="41">
        <f>M8*M13</f>
        <v/>
      </c>
      <c r="N12" s="41">
        <f>N8*N13</f>
        <v/>
      </c>
      <c r="O12" s="41">
        <f>O8*O13</f>
        <v/>
      </c>
      <c r="P12" s="41">
        <f>P8*P13</f>
        <v/>
      </c>
    </row>
    <row r="13">
      <c r="A13" s="4" t="inlineStr">
        <is>
          <t xml:space="preserve">    % of revenue</t>
        </is>
      </c>
      <c r="B13" s="25">
        <f>IFERROR(B12/B8,"")</f>
        <v/>
      </c>
      <c r="C13" s="25">
        <f>IFERROR(C12/C8,"")</f>
        <v/>
      </c>
      <c r="D13" s="25">
        <f>IFERROR(D12/D8,"")</f>
        <v/>
      </c>
      <c r="E13" s="25">
        <f>IFERROR(E12/E8,"")</f>
        <v/>
      </c>
      <c r="F13" s="25">
        <f>IFERROR(F12/F8,"")</f>
        <v/>
      </c>
      <c r="G13" s="15" t="n">
        <v>0.3719973795312272</v>
      </c>
      <c r="H13" s="15" t="n">
        <v>0.3719973795312272</v>
      </c>
      <c r="I13" s="15" t="n">
        <v>0.3719973795312272</v>
      </c>
      <c r="J13" s="15" t="n">
        <v>0.3719973795312272</v>
      </c>
      <c r="K13" s="15" t="n">
        <v>0.3719973795312272</v>
      </c>
      <c r="L13" s="15" t="n">
        <v>0.3719973795312272</v>
      </c>
      <c r="M13" s="15" t="n">
        <v>0.3719973795312272</v>
      </c>
      <c r="N13" s="15" t="n">
        <v>0.3719973795312272</v>
      </c>
      <c r="O13" s="15" t="n">
        <v>0.3719973795312272</v>
      </c>
      <c r="P13" s="15" t="n">
        <v>0.3719973795312272</v>
      </c>
    </row>
    <row r="14">
      <c r="A14" s="4" t="inlineStr">
        <is>
          <t>R&amp;D / Technology</t>
        </is>
      </c>
      <c r="B14" s="33">
        <f>SUM(Financials!I7:L7)</f>
        <v/>
      </c>
      <c r="C14" s="33">
        <f>SUM(Financials!M7:P7)</f>
        <v/>
      </c>
      <c r="D14" s="33">
        <f>SUM(Financials!Q7:T7)</f>
        <v/>
      </c>
      <c r="E14" s="33">
        <f>SUM(Financials!U7:X7)</f>
        <v/>
      </c>
      <c r="F14" s="33">
        <f>SUM(Financials!Y7:AB7)</f>
        <v/>
      </c>
      <c r="G14" s="41">
        <f>G8*G15</f>
        <v/>
      </c>
      <c r="H14" s="41">
        <f>H8*H15</f>
        <v/>
      </c>
      <c r="I14" s="41">
        <f>I8*I15</f>
        <v/>
      </c>
      <c r="J14" s="41">
        <f>J8*J15</f>
        <v/>
      </c>
      <c r="K14" s="41">
        <f>K8*K15</f>
        <v/>
      </c>
      <c r="L14" s="41">
        <f>L8*L15</f>
        <v/>
      </c>
      <c r="M14" s="41">
        <f>M8*M15</f>
        <v/>
      </c>
      <c r="N14" s="41">
        <f>N8*N15</f>
        <v/>
      </c>
      <c r="O14" s="41">
        <f>O8*O15</f>
        <v/>
      </c>
      <c r="P14" s="41">
        <f>P8*P15</f>
        <v/>
      </c>
    </row>
    <row r="15">
      <c r="A15" s="4" t="inlineStr">
        <is>
          <t xml:space="preserve">    % of revenue</t>
        </is>
      </c>
      <c r="B15" s="25">
        <f>IFERROR(B14/B8,"")</f>
        <v/>
      </c>
      <c r="C15" s="25">
        <f>IFERROR(C14/C8,"")</f>
        <v/>
      </c>
      <c r="D15" s="25">
        <f>IFERROR(D14/D8,"")</f>
        <v/>
      </c>
      <c r="E15" s="25">
        <f>IFERROR(E14/E8,"")</f>
        <v/>
      </c>
      <c r="F15" s="25">
        <f>IFERROR(F14/F8,"")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SG&amp;A</t>
        </is>
      </c>
      <c r="B16" s="33">
        <f>SUM(Financials!I9:L9)</f>
        <v/>
      </c>
      <c r="C16" s="33">
        <f>SUM(Financials!M9:P9)</f>
        <v/>
      </c>
      <c r="D16" s="33">
        <f>SUM(Financials!Q9:T9)</f>
        <v/>
      </c>
      <c r="E16" s="33">
        <f>SUM(Financials!U9:X9)</f>
        <v/>
      </c>
      <c r="F16" s="33">
        <f>SUM(Financials!Y9:AB9)</f>
        <v/>
      </c>
      <c r="G16" s="41">
        <f>G8*G17</f>
        <v/>
      </c>
      <c r="H16" s="41">
        <f>H8*H17</f>
        <v/>
      </c>
      <c r="I16" s="41">
        <f>I8*I17</f>
        <v/>
      </c>
      <c r="J16" s="41">
        <f>J8*J17</f>
        <v/>
      </c>
      <c r="K16" s="41">
        <f>K8*K17</f>
        <v/>
      </c>
      <c r="L16" s="41">
        <f>L8*L17</f>
        <v/>
      </c>
      <c r="M16" s="41">
        <f>M8*M17</f>
        <v/>
      </c>
      <c r="N16" s="41">
        <f>N8*N17</f>
        <v/>
      </c>
      <c r="O16" s="41">
        <f>O8*O17</f>
        <v/>
      </c>
      <c r="P16" s="41">
        <f>P8*P17</f>
        <v/>
      </c>
    </row>
    <row r="17">
      <c r="A17" s="4" t="inlineStr">
        <is>
          <t xml:space="preserve">    % of revenue</t>
        </is>
      </c>
      <c r="B17" s="25">
        <f>IFERROR(B16/B8,"")</f>
        <v/>
      </c>
      <c r="C17" s="25">
        <f>IFERROR(C16/C8,"")</f>
        <v/>
      </c>
      <c r="D17" s="25">
        <f>IFERROR(D16/D8,"")</f>
        <v/>
      </c>
      <c r="E17" s="25">
        <f>IFERROR(E16/E8,"")</f>
        <v/>
      </c>
      <c r="F17" s="25">
        <f>IFERROR(F16/F8,"")</f>
        <v/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</row>
    <row r="18">
      <c r="A18" s="4" t="inlineStr">
        <is>
          <t>Other opex (fulfilment, etc.)</t>
        </is>
      </c>
      <c r="B18" s="33">
        <f>B8-(B12+B14+B16)-SUM(Financials!I13:L13)</f>
        <v/>
      </c>
      <c r="C18" s="33">
        <f>C8-(C12+C14+C16)-SUM(Financials!M13:P13)</f>
        <v/>
      </c>
      <c r="D18" s="33">
        <f>D8-(D12+D14+D16)-SUM(Financials!Q13:T13)</f>
        <v/>
      </c>
      <c r="E18" s="33">
        <f>E8-(E12+E14+E16)-SUM(Financials!U13:X13)</f>
        <v/>
      </c>
      <c r="F18" s="33">
        <f>F8-(F12+F14+F16)-SUM(Financials!Y13:AB13)</f>
        <v/>
      </c>
      <c r="G18" s="33">
        <f>G8*(1-(Dashboard!$B$29+(Dashboard!$B$30-Dashboard!$B$29)*MIN(1,0/4)))-(G12+G14+G16)</f>
        <v/>
      </c>
      <c r="H18" s="33">
        <f>H8*(1-(Dashboard!$B$29+(Dashboard!$B$30-Dashboard!$B$29)*MIN(1,1/4)))-(H12+H14+H16)</f>
        <v/>
      </c>
      <c r="I18" s="33">
        <f>I8*(1-(Dashboard!$B$29+(Dashboard!$B$30-Dashboard!$B$29)*MIN(1,2/4)))-(I12+I14+I16)</f>
        <v/>
      </c>
      <c r="J18" s="33">
        <f>J8*(1-(Dashboard!$B$29+(Dashboard!$B$30-Dashboard!$B$29)*MIN(1,3/4)))-(J12+J14+J16)</f>
        <v/>
      </c>
      <c r="K18" s="33">
        <f>K8*(1-(Dashboard!$B$29+(Dashboard!$B$30-Dashboard!$B$29)*MIN(1,4/4)))-(K12+K14+K16)</f>
        <v/>
      </c>
      <c r="L18" s="33">
        <f>L8*(1-(Dashboard!$B$29+(Dashboard!$B$30-Dashboard!$B$29)*MIN(1,5/4)))-(L12+L14+L16)</f>
        <v/>
      </c>
      <c r="M18" s="33">
        <f>M8*(1-(Dashboard!$B$29+(Dashboard!$B$30-Dashboard!$B$29)*MIN(1,6/4)))-(M12+M14+M16)</f>
        <v/>
      </c>
      <c r="N18" s="33">
        <f>N8*(1-(Dashboard!$B$29+(Dashboard!$B$30-Dashboard!$B$29)*MIN(1,7/4)))-(N12+N14+N16)</f>
        <v/>
      </c>
      <c r="O18" s="33">
        <f>O8*(1-(Dashboard!$B$29+(Dashboard!$B$30-Dashboard!$B$29)*MIN(1,8/4)))-(O12+O14+O16)</f>
        <v/>
      </c>
      <c r="P18" s="33">
        <f>P8*(1-(Dashboard!$B$29+(Dashboard!$B$30-Dashboard!$B$29)*MIN(1,9/4)))-(P12+P14+P16)</f>
        <v/>
      </c>
    </row>
    <row r="19">
      <c r="A19" s="4" t="inlineStr">
        <is>
          <t xml:space="preserve">    % of revenue</t>
        </is>
      </c>
      <c r="B19" s="25">
        <f>IFERROR(B18/B8,"")</f>
        <v/>
      </c>
      <c r="C19" s="25">
        <f>IFERROR(C18/C8,"")</f>
        <v/>
      </c>
      <c r="D19" s="25">
        <f>IFERROR(D18/D8,"")</f>
        <v/>
      </c>
      <c r="E19" s="25">
        <f>IFERROR(E18/E8,"")</f>
        <v/>
      </c>
      <c r="F19" s="25">
        <f>IFERROR(F18/F8,"")</f>
        <v/>
      </c>
      <c r="G19" s="25">
        <f>IFERROR(G18/G8,"")</f>
        <v/>
      </c>
      <c r="H19" s="25">
        <f>IFERROR(H18/H8,"")</f>
        <v/>
      </c>
      <c r="I19" s="25">
        <f>IFERROR(I18/I8,"")</f>
        <v/>
      </c>
      <c r="J19" s="25">
        <f>IFERROR(J18/J8,"")</f>
        <v/>
      </c>
      <c r="K19" s="25">
        <f>IFERROR(K18/K8,"")</f>
        <v/>
      </c>
      <c r="L19" s="25">
        <f>IFERROR(L18/L8,"")</f>
        <v/>
      </c>
      <c r="M19" s="25">
        <f>IFERROR(M18/M8,"")</f>
        <v/>
      </c>
      <c r="N19" s="25">
        <f>IFERROR(N18/N8,"")</f>
        <v/>
      </c>
      <c r="O19" s="25">
        <f>IFERROR(O18/O8,"")</f>
        <v/>
      </c>
      <c r="P19" s="25">
        <f>IFERROR(P18/P8,"")</f>
        <v/>
      </c>
    </row>
    <row r="21">
      <c r="A21" s="3" t="inlineStr">
        <is>
          <t>Operating income (EBIT)</t>
        </is>
      </c>
      <c r="B21" s="42">
        <f>B8-(B12+B14+B16)-B18</f>
        <v/>
      </c>
      <c r="C21" s="42">
        <f>C8-(C12+C14+C16)-C18</f>
        <v/>
      </c>
      <c r="D21" s="42">
        <f>D8-(D12+D14+D16)-D18</f>
        <v/>
      </c>
      <c r="E21" s="42">
        <f>E8-(E12+E14+E16)-E18</f>
        <v/>
      </c>
      <c r="F21" s="42">
        <f>F8-(F12+F14+F16)-F18</f>
        <v/>
      </c>
      <c r="G21" s="42">
        <f>G8-(G12+G14+G16)-G18</f>
        <v/>
      </c>
      <c r="H21" s="42">
        <f>H8-(H12+H14+H16)-H18</f>
        <v/>
      </c>
      <c r="I21" s="42">
        <f>I8-(I12+I14+I16)-I18</f>
        <v/>
      </c>
      <c r="J21" s="42">
        <f>J8-(J12+J14+J16)-J18</f>
        <v/>
      </c>
      <c r="K21" s="42">
        <f>K8-(K12+K14+K16)-K18</f>
        <v/>
      </c>
      <c r="L21" s="42">
        <f>L8-(L12+L14+L16)-L18</f>
        <v/>
      </c>
      <c r="M21" s="42">
        <f>M8-(M12+M14+M16)-M18</f>
        <v/>
      </c>
      <c r="N21" s="42">
        <f>N8-(N12+N14+N16)-N18</f>
        <v/>
      </c>
      <c r="O21" s="42">
        <f>O8-(O12+O14+O16)-O18</f>
        <v/>
      </c>
      <c r="P21" s="42">
        <f>P8-(P12+P14+P16)-P18</f>
        <v/>
      </c>
    </row>
    <row r="22">
      <c r="A22" s="4" t="inlineStr">
        <is>
          <t xml:space="preserve">    operating margin</t>
        </is>
      </c>
      <c r="B22" s="25">
        <f>IFERROR(B21/B8,"")</f>
        <v/>
      </c>
      <c r="C22" s="25">
        <f>IFERROR(C21/C8,"")</f>
        <v/>
      </c>
      <c r="D22" s="25">
        <f>IFERROR(D21/D8,"")</f>
        <v/>
      </c>
      <c r="E22" s="25">
        <f>IFERROR(E21/E8,"")</f>
        <v/>
      </c>
      <c r="F22" s="25">
        <f>IFERROR(F21/F8,"")</f>
        <v/>
      </c>
      <c r="G22" s="25">
        <f>IFERROR(G21/G8,"")</f>
        <v/>
      </c>
      <c r="H22" s="25">
        <f>IFERROR(H21/H8,"")</f>
        <v/>
      </c>
      <c r="I22" s="25">
        <f>IFERROR(I21/I8,"")</f>
        <v/>
      </c>
      <c r="J22" s="25">
        <f>IFERROR(J21/J8,"")</f>
        <v/>
      </c>
      <c r="K22" s="25">
        <f>IFERROR(K21/K8,"")</f>
        <v/>
      </c>
      <c r="L22" s="25">
        <f>IFERROR(L21/L8,"")</f>
        <v/>
      </c>
      <c r="M22" s="25">
        <f>IFERROR(M21/M8,"")</f>
        <v/>
      </c>
      <c r="N22" s="25">
        <f>IFERROR(N21/N8,"")</f>
        <v/>
      </c>
      <c r="O22" s="25">
        <f>IFERROR(O21/O8,"")</f>
        <v/>
      </c>
      <c r="P22" s="25">
        <f>IFERROR(P21/P8,"")</f>
        <v/>
      </c>
    </row>
    <row r="24">
      <c r="A24" s="5" t="inlineStr">
        <is>
          <t xml:space="preserve">  FCF BRIDGE (NOPAT + D&amp;A + SBC - dNWC - Capex)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4" t="inlineStr">
        <is>
          <t>NOPAT = EBIT x (1 - tax)</t>
        </is>
      </c>
      <c r="B25" s="33">
        <f>B21*(1-Valuation!$B$5)</f>
        <v/>
      </c>
      <c r="C25" s="33">
        <f>C21*(1-Valuation!$B$5)</f>
        <v/>
      </c>
      <c r="D25" s="33">
        <f>D21*(1-Valuation!$B$5)</f>
        <v/>
      </c>
      <c r="E25" s="33">
        <f>E21*(1-Valuation!$B$5)</f>
        <v/>
      </c>
      <c r="F25" s="33">
        <f>F21*(1-Valuation!$B$5)</f>
        <v/>
      </c>
      <c r="G25" s="33">
        <f>G21*(1-Valuation!$B$5)</f>
        <v/>
      </c>
      <c r="H25" s="33">
        <f>H21*(1-Valuation!$B$5)</f>
        <v/>
      </c>
      <c r="I25" s="33">
        <f>I21*(1-Valuation!$B$5)</f>
        <v/>
      </c>
      <c r="J25" s="33">
        <f>J21*(1-Valuation!$B$5)</f>
        <v/>
      </c>
      <c r="K25" s="33">
        <f>K21*(1-Valuation!$B$5)</f>
        <v/>
      </c>
      <c r="L25" s="33">
        <f>L21*(1-Valuation!$B$5)</f>
        <v/>
      </c>
      <c r="M25" s="33">
        <f>M21*(1-Valuation!$B$5)</f>
        <v/>
      </c>
      <c r="N25" s="33">
        <f>N21*(1-Valuation!$B$5)</f>
        <v/>
      </c>
      <c r="O25" s="33">
        <f>O21*(1-Valuation!$B$5)</f>
        <v/>
      </c>
      <c r="P25" s="33">
        <f>P21*(1-Valuation!$B$5)</f>
        <v/>
      </c>
    </row>
    <row r="26">
      <c r="A26" s="4" t="inlineStr">
        <is>
          <t>+ D&amp;A</t>
        </is>
      </c>
      <c r="B26" s="33">
        <f>SUM(Financials!I34:L34)</f>
        <v/>
      </c>
      <c r="C26" s="33">
        <f>SUM(Financials!M34:P34)</f>
        <v/>
      </c>
      <c r="D26" s="33">
        <f>SUM(Financials!Q34:T34)</f>
        <v/>
      </c>
      <c r="E26" s="33">
        <f>SUM(Financials!U34:X34)</f>
        <v/>
      </c>
      <c r="F26" s="33">
        <f>SUM(Financials!Y34:AB34)</f>
        <v/>
      </c>
      <c r="G26" s="41">
        <f>G8*0.2526</f>
        <v/>
      </c>
      <c r="H26" s="41">
        <f>H8*0.2526</f>
        <v/>
      </c>
      <c r="I26" s="41">
        <f>I8*0.2526</f>
        <v/>
      </c>
      <c r="J26" s="41">
        <f>J8*0.2526</f>
        <v/>
      </c>
      <c r="K26" s="41">
        <f>K8*0.2526</f>
        <v/>
      </c>
      <c r="L26" s="41">
        <f>L8*0.2526</f>
        <v/>
      </c>
      <c r="M26" s="41">
        <f>M8*0.2526</f>
        <v/>
      </c>
      <c r="N26" s="41">
        <f>N8*0.2526</f>
        <v/>
      </c>
      <c r="O26" s="41">
        <f>O8*0.2526</f>
        <v/>
      </c>
      <c r="P26" s="41">
        <f>P8*0.2526</f>
        <v/>
      </c>
    </row>
    <row r="27">
      <c r="A27" s="4" t="inlineStr">
        <is>
          <t>+ SBC (non-cash)</t>
        </is>
      </c>
      <c r="B27" s="33">
        <f>SUM(Financials!I35:L35)</f>
        <v/>
      </c>
      <c r="C27" s="33">
        <f>SUM(Financials!M35:P35)</f>
        <v/>
      </c>
      <c r="D27" s="33">
        <f>SUM(Financials!Q35:T35)</f>
        <v/>
      </c>
      <c r="E27" s="33">
        <f>SUM(Financials!U35:X35)</f>
        <v/>
      </c>
      <c r="F27" s="33">
        <f>SUM(Financials!Y35:AB35)</f>
        <v/>
      </c>
      <c r="G27" s="33">
        <f>G8*(Dashboard!$B$65+(Dashboard!$B$66-Dashboard!$B$65)*0/9)</f>
        <v/>
      </c>
      <c r="H27" s="33">
        <f>H8*(Dashboard!$B$65+(Dashboard!$B$66-Dashboard!$B$65)*1/9)</f>
        <v/>
      </c>
      <c r="I27" s="33">
        <f>I8*(Dashboard!$B$65+(Dashboard!$B$66-Dashboard!$B$65)*2/9)</f>
        <v/>
      </c>
      <c r="J27" s="33">
        <f>J8*(Dashboard!$B$65+(Dashboard!$B$66-Dashboard!$B$65)*3/9)</f>
        <v/>
      </c>
      <c r="K27" s="33">
        <f>K8*(Dashboard!$B$65+(Dashboard!$B$66-Dashboard!$B$65)*4/9)</f>
        <v/>
      </c>
      <c r="L27" s="33">
        <f>L8*(Dashboard!$B$65+(Dashboard!$B$66-Dashboard!$B$65)*5/9)</f>
        <v/>
      </c>
      <c r="M27" s="33">
        <f>M8*(Dashboard!$B$65+(Dashboard!$B$66-Dashboard!$B$65)*6/9)</f>
        <v/>
      </c>
      <c r="N27" s="33">
        <f>N8*(Dashboard!$B$65+(Dashboard!$B$66-Dashboard!$B$65)*7/9)</f>
        <v/>
      </c>
      <c r="O27" s="33">
        <f>O8*(Dashboard!$B$65+(Dashboard!$B$66-Dashboard!$B$65)*8/9)</f>
        <v/>
      </c>
      <c r="P27" s="33">
        <f>P8*(Dashboard!$B$65+(Dashboard!$B$66-Dashboard!$B$65)*9/9)</f>
        <v/>
      </c>
    </row>
    <row r="28">
      <c r="A28" s="4" t="inlineStr">
        <is>
          <t>- dNWC</t>
        </is>
      </c>
      <c r="G28" s="41">
        <f>(G8-F8)*0.0050</f>
        <v/>
      </c>
      <c r="H28" s="41">
        <f>(H8-G8)*0.0050</f>
        <v/>
      </c>
      <c r="I28" s="41">
        <f>(I8-H8)*0.0050</f>
        <v/>
      </c>
      <c r="J28" s="41">
        <f>(J8-I8)*0.0050</f>
        <v/>
      </c>
      <c r="K28" s="41">
        <f>(K8-J8)*0.0050</f>
        <v/>
      </c>
      <c r="L28" s="41">
        <f>(L8-K8)*0.0050</f>
        <v/>
      </c>
      <c r="M28" s="41">
        <f>(M8-L8)*0.0050</f>
        <v/>
      </c>
      <c r="N28" s="41">
        <f>(N8-M8)*0.0050</f>
        <v/>
      </c>
      <c r="O28" s="41">
        <f>(O8-N8)*0.0050</f>
        <v/>
      </c>
      <c r="P28" s="41">
        <f>(P8-O8)*0.0050</f>
        <v/>
      </c>
    </row>
    <row r="29">
      <c r="A29" s="4" t="inlineStr">
        <is>
          <t>- Capex</t>
        </is>
      </c>
      <c r="B29" s="33">
        <f>-SUM(Financials!I38:L38)</f>
        <v/>
      </c>
      <c r="C29" s="33">
        <f>-SUM(Financials!M38:P38)</f>
        <v/>
      </c>
      <c r="D29" s="33">
        <f>-SUM(Financials!Q38:T38)</f>
        <v/>
      </c>
      <c r="E29" s="33">
        <f>-SUM(Financials!U38:X38)</f>
        <v/>
      </c>
      <c r="F29" s="33">
        <f>-SUM(Financials!Y38:AB38)</f>
        <v/>
      </c>
      <c r="G29" s="41">
        <f>G26*G30</f>
        <v/>
      </c>
      <c r="H29" s="41">
        <f>H26*H30</f>
        <v/>
      </c>
      <c r="I29" s="41">
        <f>I26*I30</f>
        <v/>
      </c>
      <c r="J29" s="41">
        <f>J26*J30</f>
        <v/>
      </c>
      <c r="K29" s="41">
        <f>K26*K30</f>
        <v/>
      </c>
      <c r="L29" s="41">
        <f>L26*L30</f>
        <v/>
      </c>
      <c r="M29" s="41">
        <f>M26*M30</f>
        <v/>
      </c>
      <c r="N29" s="41">
        <f>N26*N30</f>
        <v/>
      </c>
      <c r="O29" s="41">
        <f>O26*O30</f>
        <v/>
      </c>
      <c r="P29" s="41">
        <f>P26*P30</f>
        <v/>
      </c>
    </row>
    <row r="30">
      <c r="A30" s="4" t="inlineStr">
        <is>
          <t xml:space="preserve">    Capex / D&amp;A  (from Dashboard: $cap'26 -&gt; terminal)</t>
        </is>
      </c>
      <c r="B30" s="26">
        <f>IFERROR(B29/B26,"")</f>
        <v/>
      </c>
      <c r="C30" s="26">
        <f>IFERROR(C29/C26,"")</f>
        <v/>
      </c>
      <c r="D30" s="26">
        <f>IFERROR(D29/D26,"")</f>
        <v/>
      </c>
      <c r="E30" s="26">
        <f>IFERROR(E29/E26,"")</f>
        <v/>
      </c>
      <c r="F30" s="26">
        <f>IFERROR(F29/F26,"")</f>
        <v/>
      </c>
      <c r="G30" s="13">
        <f>(Dashboard!$B$34/G26)+(Dashboard!$B$35-(Dashboard!$B$34/G26))*0/9</f>
        <v/>
      </c>
      <c r="H30" s="13">
        <f>(Dashboard!$B$34/G26)+(Dashboard!$B$35-(Dashboard!$B$34/G26))*1/9</f>
        <v/>
      </c>
      <c r="I30" s="13">
        <f>(Dashboard!$B$34/G26)+(Dashboard!$B$35-(Dashboard!$B$34/G26))*2/9</f>
        <v/>
      </c>
      <c r="J30" s="13">
        <f>(Dashboard!$B$34/G26)+(Dashboard!$B$35-(Dashboard!$B$34/G26))*3/9</f>
        <v/>
      </c>
      <c r="K30" s="13">
        <f>(Dashboard!$B$34/G26)+(Dashboard!$B$35-(Dashboard!$B$34/G26))*4/9</f>
        <v/>
      </c>
      <c r="L30" s="13">
        <f>(Dashboard!$B$34/G26)+(Dashboard!$B$35-(Dashboard!$B$34/G26))*5/9</f>
        <v/>
      </c>
      <c r="M30" s="13">
        <f>(Dashboard!$B$34/G26)+(Dashboard!$B$35-(Dashboard!$B$34/G26))*6/9</f>
        <v/>
      </c>
      <c r="N30" s="13">
        <f>(Dashboard!$B$34/G26)+(Dashboard!$B$35-(Dashboard!$B$34/G26))*7/9</f>
        <v/>
      </c>
      <c r="O30" s="13">
        <f>(Dashboard!$B$34/G26)+(Dashboard!$B$35-(Dashboard!$B$34/G26))*8/9</f>
        <v/>
      </c>
      <c r="P30" s="13">
        <f>(Dashboard!$B$34/G26)+(Dashboard!$B$35-(Dashboard!$B$34/G26))*9/9</f>
        <v/>
      </c>
    </row>
    <row r="32">
      <c r="A32" s="3" t="inlineStr">
        <is>
          <t>FCFF (firm)</t>
        </is>
      </c>
      <c r="B32" s="42">
        <f>B25+B26+B27-B28-B29</f>
        <v/>
      </c>
      <c r="C32" s="42">
        <f>C25+C26+C27-C28-C29</f>
        <v/>
      </c>
      <c r="D32" s="42">
        <f>D25+D26+D27-D28-D29</f>
        <v/>
      </c>
      <c r="E32" s="42">
        <f>E25+E26+E27-E28-E29</f>
        <v/>
      </c>
      <c r="F32" s="42">
        <f>F25+F26+F27-F28-F29</f>
        <v/>
      </c>
      <c r="G32" s="42">
        <f>G25+G26+G27-G28-G29</f>
        <v/>
      </c>
      <c r="H32" s="42">
        <f>H25+H26+H27-H28-H29</f>
        <v/>
      </c>
      <c r="I32" s="42">
        <f>I25+I26+I27-I28-I29</f>
        <v/>
      </c>
      <c r="J32" s="42">
        <f>J25+J26+J27-J28-J29</f>
        <v/>
      </c>
      <c r="K32" s="42">
        <f>K25+K26+K27-K28-K29</f>
        <v/>
      </c>
      <c r="L32" s="42">
        <f>L25+L26+L27-L28-L29</f>
        <v/>
      </c>
      <c r="M32" s="42">
        <f>M25+M26+M27-M28-M29</f>
        <v/>
      </c>
      <c r="N32" s="42">
        <f>N25+N26+N27-N28-N29</f>
        <v/>
      </c>
      <c r="O32" s="42">
        <f>O25+O26+O27-O28-O29</f>
        <v/>
      </c>
      <c r="P32" s="42">
        <f>P25+P26+P27-P28-P29</f>
        <v/>
      </c>
    </row>
    <row r="33">
      <c r="A33" s="3" t="inlineStr">
        <is>
          <t>Valuation FCF (NOPAT + D&amp;A - dNWC - Capex - after-tax SBC)</t>
        </is>
      </c>
      <c r="B33" s="43">
        <f>B32-B27-B27*(1-Valuation!$B$5)</f>
        <v/>
      </c>
      <c r="C33" s="43">
        <f>C32-C27-C27*(1-Valuation!$B$5)</f>
        <v/>
      </c>
      <c r="D33" s="43">
        <f>D32-D27-D27*(1-Valuation!$B$5)</f>
        <v/>
      </c>
      <c r="E33" s="43">
        <f>E32-E27-E27*(1-Valuation!$B$5)</f>
        <v/>
      </c>
      <c r="F33" s="43">
        <f>F32-F27-F27*(1-Valuation!$B$5)</f>
        <v/>
      </c>
      <c r="G33" s="43">
        <f>G32-G27-G27*(1-Valuation!$B$5)</f>
        <v/>
      </c>
      <c r="H33" s="43">
        <f>H32-H27-H27*(1-Valuation!$B$5)</f>
        <v/>
      </c>
      <c r="I33" s="43">
        <f>I32-I27-I27*(1-Valuation!$B$5)</f>
        <v/>
      </c>
      <c r="J33" s="43">
        <f>J32-J27-J27*(1-Valuation!$B$5)</f>
        <v/>
      </c>
      <c r="K33" s="43">
        <f>K32-K27-K27*(1-Valuation!$B$5)</f>
        <v/>
      </c>
      <c r="L33" s="43">
        <f>L32-L27-L27*(1-Valuation!$B$5)</f>
        <v/>
      </c>
      <c r="M33" s="43">
        <f>M32-M27-M27*(1-Valuation!$B$5)</f>
        <v/>
      </c>
      <c r="N33" s="43">
        <f>N32-N27-N27*(1-Valuation!$B$5)</f>
        <v/>
      </c>
      <c r="O33" s="43">
        <f>O32-O27-O27*(1-Valuation!$B$5)</f>
        <v/>
      </c>
      <c r="P33" s="43">
        <f>P32-P27-P27*(1-Valuation!$B$5)</f>
        <v/>
      </c>
    </row>
    <row r="35">
      <c r="A35" s="5" t="inlineStr">
        <is>
          <t xml:space="preserve">  RETURNS ON CAPITAL &amp; EFFICIENCY  (is new revenue/capital earning its keep?)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4" t="inlineStr">
        <is>
          <t>Invested capital (debt + equity - cash)</t>
        </is>
      </c>
      <c r="B36" s="33">
        <f>Financials!L32+Financials!L31-Financials!L26</f>
        <v/>
      </c>
      <c r="C36" s="33">
        <f>Financials!P32+Financials!P31-Financials!P26</f>
        <v/>
      </c>
      <c r="D36" s="33">
        <f>Financials!T32+Financials!T31-Financials!T26</f>
        <v/>
      </c>
      <c r="E36" s="33">
        <f>Financials!X32+Financials!X31-Financials!X26</f>
        <v/>
      </c>
      <c r="F36" s="33">
        <f>Financials!AB32+Financials!AB31-Financials!AB26</f>
        <v/>
      </c>
      <c r="G36" s="41">
        <f>F36+G29-G26+G28</f>
        <v/>
      </c>
      <c r="H36" s="41">
        <f>G36+H29-H26+H28</f>
        <v/>
      </c>
      <c r="I36" s="41">
        <f>H36+I29-I26+I28</f>
        <v/>
      </c>
      <c r="J36" s="41">
        <f>I36+J29-J26+J28</f>
        <v/>
      </c>
      <c r="K36" s="41">
        <f>J36+K29-K26+K28</f>
        <v/>
      </c>
      <c r="L36" s="41">
        <f>K36+L29-L26+L28</f>
        <v/>
      </c>
      <c r="M36" s="41">
        <f>L36+M29-M26+M28</f>
        <v/>
      </c>
      <c r="N36" s="41">
        <f>M36+N29-N26+N28</f>
        <v/>
      </c>
      <c r="O36" s="41">
        <f>N36+O29-O26+O28</f>
        <v/>
      </c>
      <c r="P36" s="41">
        <f>O36+P29-P26+P28</f>
        <v/>
      </c>
    </row>
    <row r="37">
      <c r="A37" s="4" t="inlineStr">
        <is>
          <t>Book equity (year-end)</t>
        </is>
      </c>
      <c r="B37" s="33">
        <f>Financials!L32</f>
        <v/>
      </c>
      <c r="C37" s="33">
        <f>Financials!P32</f>
        <v/>
      </c>
      <c r="D37" s="33">
        <f>Financials!T32</f>
        <v/>
      </c>
      <c r="E37" s="33">
        <f>Financials!X32</f>
        <v/>
      </c>
      <c r="F37" s="33">
        <f>Financials!AB32</f>
        <v/>
      </c>
      <c r="G37" s="41">
        <f>F37+G25</f>
        <v/>
      </c>
      <c r="H37" s="41">
        <f>G37+H25</f>
        <v/>
      </c>
      <c r="I37" s="41">
        <f>H37+I25</f>
        <v/>
      </c>
      <c r="J37" s="41">
        <f>I37+J25</f>
        <v/>
      </c>
      <c r="K37" s="41">
        <f>J37+K25</f>
        <v/>
      </c>
      <c r="L37" s="41">
        <f>K37+L25</f>
        <v/>
      </c>
      <c r="M37" s="41">
        <f>L37+M25</f>
        <v/>
      </c>
      <c r="N37" s="41">
        <f>M37+N25</f>
        <v/>
      </c>
      <c r="O37" s="41">
        <f>N37+O25</f>
        <v/>
      </c>
      <c r="P37" s="41">
        <f>O37+P25</f>
        <v/>
      </c>
    </row>
    <row r="38">
      <c r="A38" s="3" t="inlineStr">
        <is>
          <t xml:space="preserve">  ROIC (NOPAT / beg. invested capital)</t>
        </is>
      </c>
      <c r="C38" s="25">
        <f>IFERROR(C25/B36,"")</f>
        <v/>
      </c>
      <c r="D38" s="25">
        <f>IFERROR(D25/C36,"")</f>
        <v/>
      </c>
      <c r="E38" s="25">
        <f>IFERROR(E25/D36,"")</f>
        <v/>
      </c>
      <c r="F38" s="25">
        <f>IFERROR(F25/E36,"")</f>
        <v/>
      </c>
      <c r="G38" s="25">
        <f>IFERROR(G25/F36,"")</f>
        <v/>
      </c>
      <c r="H38" s="25">
        <f>IFERROR(H25/G36,"")</f>
        <v/>
      </c>
      <c r="I38" s="25">
        <f>IFERROR(I25/H36,"")</f>
        <v/>
      </c>
      <c r="J38" s="25">
        <f>IFERROR(J25/I36,"")</f>
        <v/>
      </c>
      <c r="K38" s="25">
        <f>IFERROR(K25/J36,"")</f>
        <v/>
      </c>
      <c r="L38" s="25">
        <f>IFERROR(L25/K36,"")</f>
        <v/>
      </c>
      <c r="M38" s="25">
        <f>IFERROR(M25/L36,"")</f>
        <v/>
      </c>
      <c r="N38" s="25">
        <f>IFERROR(N25/M36,"")</f>
        <v/>
      </c>
      <c r="O38" s="25">
        <f>IFERROR(O25/N36,"")</f>
        <v/>
      </c>
      <c r="P38" s="25">
        <f>IFERROR(P25/O36,"")</f>
        <v/>
      </c>
    </row>
    <row r="39">
      <c r="A39" s="3" t="inlineStr">
        <is>
          <t xml:space="preserve">  ROE (earnings / beg. equity)</t>
        </is>
      </c>
      <c r="C39" s="11">
        <f>IFERROR(SUM(Financials!M15:P15)/B37,"")</f>
        <v/>
      </c>
      <c r="D39" s="11">
        <f>IFERROR(SUM(Financials!Q15:T15)/C37,"")</f>
        <v/>
      </c>
      <c r="E39" s="11">
        <f>IFERROR(SUM(Financials!U15:X15)/D37,"")</f>
        <v/>
      </c>
      <c r="F39" s="11">
        <f>IFERROR(SUM(Financials!Y15:AB15)/E37,"")</f>
        <v/>
      </c>
      <c r="G39" s="25">
        <f>IFERROR(G25/F37,"")</f>
        <v/>
      </c>
      <c r="H39" s="25">
        <f>IFERROR(H25/G37,"")</f>
        <v/>
      </c>
      <c r="I39" s="25">
        <f>IFERROR(I25/H37,"")</f>
        <v/>
      </c>
      <c r="J39" s="25">
        <f>IFERROR(J25/I37,"")</f>
        <v/>
      </c>
      <c r="K39" s="25">
        <f>IFERROR(K25/J37,"")</f>
        <v/>
      </c>
      <c r="L39" s="25">
        <f>IFERROR(L25/K37,"")</f>
        <v/>
      </c>
      <c r="M39" s="25">
        <f>IFERROR(M25/L37,"")</f>
        <v/>
      </c>
      <c r="N39" s="25">
        <f>IFERROR(N25/M37,"")</f>
        <v/>
      </c>
      <c r="O39" s="25">
        <f>IFERROR(O25/N37,"")</f>
        <v/>
      </c>
      <c r="P39" s="25">
        <f>IFERROR(P25/O37,"")</f>
        <v/>
      </c>
    </row>
    <row r="40">
      <c r="A40" s="4" t="inlineStr">
        <is>
          <t xml:space="preserve">  ROIC - WACC spread (value created)</t>
        </is>
      </c>
      <c r="C40" s="11">
        <f>IFERROR(C38-WACC!$B$15,"")</f>
        <v/>
      </c>
      <c r="D40" s="11">
        <f>IFERROR(D38-WACC!$B$15,"")</f>
        <v/>
      </c>
      <c r="E40" s="11">
        <f>IFERROR(E38-WACC!$B$15,"")</f>
        <v/>
      </c>
      <c r="F40" s="11">
        <f>IFERROR(F38-WACC!$B$15,"")</f>
        <v/>
      </c>
      <c r="G40" s="11">
        <f>IFERROR(G38-WACC!$B$15,"")</f>
        <v/>
      </c>
      <c r="H40" s="11">
        <f>IFERROR(H38-WACC!$B$15,"")</f>
        <v/>
      </c>
      <c r="I40" s="11">
        <f>IFERROR(I38-WACC!$B$15,"")</f>
        <v/>
      </c>
      <c r="J40" s="11">
        <f>IFERROR(J38-WACC!$B$15,"")</f>
        <v/>
      </c>
      <c r="K40" s="11">
        <f>IFERROR(K38-WACC!$B$15,"")</f>
        <v/>
      </c>
      <c r="L40" s="11">
        <f>IFERROR(L38-WACC!$B$15,"")</f>
        <v/>
      </c>
      <c r="M40" s="11">
        <f>IFERROR(M38-WACC!$B$15,"")</f>
        <v/>
      </c>
      <c r="N40" s="11">
        <f>IFERROR(N38-WACC!$B$15,"")</f>
        <v/>
      </c>
      <c r="O40" s="11">
        <f>IFERROR(O38-WACC!$B$15,"")</f>
        <v/>
      </c>
      <c r="P40" s="11">
        <f>IFERROR(P38-WACC!$B$15,"")</f>
        <v/>
      </c>
    </row>
    <row r="41">
      <c r="A41" s="4" t="inlineStr">
        <is>
          <t xml:space="preserve">  Incremental op margin (ΔEBIT / ΔRev)</t>
        </is>
      </c>
      <c r="C41" s="25">
        <f>IFERROR((C21-B21)/(C8-B8),"")</f>
        <v/>
      </c>
      <c r="D41" s="25">
        <f>IFERROR((D21-C21)/(D8-C8),"")</f>
        <v/>
      </c>
      <c r="E41" s="25">
        <f>IFERROR((E21-D21)/(E8-D8),"")</f>
        <v/>
      </c>
      <c r="F41" s="25">
        <f>IFERROR((F21-E21)/(F8-E8),"")</f>
        <v/>
      </c>
      <c r="G41" s="25">
        <f>IFERROR((G21-F21)/(G8-F8),"")</f>
        <v/>
      </c>
      <c r="H41" s="25">
        <f>IFERROR((H21-G21)/(H8-G8),"")</f>
        <v/>
      </c>
      <c r="I41" s="25">
        <f>IFERROR((I21-H21)/(I8-H8),"")</f>
        <v/>
      </c>
      <c r="J41" s="25">
        <f>IFERROR((J21-I21)/(J8-I8),"")</f>
        <v/>
      </c>
      <c r="K41" s="25">
        <f>IFERROR((K21-J21)/(K8-J8),"")</f>
        <v/>
      </c>
      <c r="L41" s="25">
        <f>IFERROR((L21-K21)/(L8-K8),"")</f>
        <v/>
      </c>
      <c r="M41" s="25">
        <f>IFERROR((M21-L21)/(M8-L8),"")</f>
        <v/>
      </c>
      <c r="N41" s="25">
        <f>IFERROR((N21-M21)/(N8-M8),"")</f>
        <v/>
      </c>
      <c r="O41" s="25">
        <f>IFERROR((O21-N21)/(O8-N8),"")</f>
        <v/>
      </c>
      <c r="P41" s="25">
        <f>IFERROR((P21-O21)/(P8-O8),"")</f>
        <v/>
      </c>
    </row>
    <row r="42">
      <c r="A42" s="3" t="inlineStr">
        <is>
          <t xml:space="preserve">  ROIIC (ΔNOPAT / ΔInvested capital)</t>
        </is>
      </c>
      <c r="C42" s="25">
        <f>IFERROR((C25-B25)/(C36-B36),"")</f>
        <v/>
      </c>
      <c r="D42" s="25">
        <f>IFERROR((D25-C25)/(D36-C36),"")</f>
        <v/>
      </c>
      <c r="E42" s="25">
        <f>IFERROR((E25-D25)/(E36-D36),"")</f>
        <v/>
      </c>
      <c r="F42" s="25">
        <f>IFERROR((F25-E25)/(F36-E36),"")</f>
        <v/>
      </c>
      <c r="G42" s="25">
        <f>IFERROR((G25-F25)/(G36-F36),"")</f>
        <v/>
      </c>
      <c r="H42" s="25">
        <f>IFERROR((H25-G25)/(H36-G36),"")</f>
        <v/>
      </c>
      <c r="I42" s="25">
        <f>IFERROR((I25-H25)/(I36-H36),"")</f>
        <v/>
      </c>
      <c r="J42" s="25">
        <f>IFERROR((J25-I25)/(J36-I36),"")</f>
        <v/>
      </c>
      <c r="K42" s="25">
        <f>IFERROR((K25-J25)/(K36-J36),"")</f>
        <v/>
      </c>
      <c r="L42" s="25">
        <f>IFERROR((L25-K25)/(L36-K36),"")</f>
        <v/>
      </c>
      <c r="M42" s="25">
        <f>IFERROR((M25-L25)/(M36-L36),"")</f>
        <v/>
      </c>
      <c r="N42" s="25">
        <f>IFERROR((N25-M25)/(N36-M36),"")</f>
        <v/>
      </c>
      <c r="O42" s="25">
        <f>IFERROR((O25-N25)/(O36-N36),"")</f>
        <v/>
      </c>
      <c r="P42" s="25">
        <f>IFERROR((P25-O25)/(P36-O36),"")</f>
        <v/>
      </c>
    </row>
    <row r="43">
      <c r="A43" s="4" t="inlineStr">
        <is>
          <t xml:space="preserve">  Sales-to-capital (ΔRev / ΔInvested capital)</t>
        </is>
      </c>
      <c r="C43" s="44">
        <f>IFERROR((C8-B8)/(C36-B36),"")</f>
        <v/>
      </c>
      <c r="D43" s="44">
        <f>IFERROR((D8-C8)/(D36-C36),"")</f>
        <v/>
      </c>
      <c r="E43" s="44">
        <f>IFERROR((E8-D8)/(E36-D36),"")</f>
        <v/>
      </c>
      <c r="F43" s="44">
        <f>IFERROR((F8-E8)/(F36-E36),"")</f>
        <v/>
      </c>
      <c r="G43" s="44">
        <f>IFERROR((G8-F8)/(G36-F36),"")</f>
        <v/>
      </c>
      <c r="H43" s="44">
        <f>IFERROR((H8-G8)/(H36-G36),"")</f>
        <v/>
      </c>
      <c r="I43" s="44">
        <f>IFERROR((I8-H8)/(I36-H36),"")</f>
        <v/>
      </c>
      <c r="J43" s="44">
        <f>IFERROR((J8-I8)/(J36-I36),"")</f>
        <v/>
      </c>
      <c r="K43" s="44">
        <f>IFERROR((K8-J8)/(K36-J36),"")</f>
        <v/>
      </c>
      <c r="L43" s="44">
        <f>IFERROR((L8-K8)/(L36-K36),"")</f>
        <v/>
      </c>
      <c r="M43" s="44">
        <f>IFERROR((M8-L8)/(M36-L36),"")</f>
        <v/>
      </c>
      <c r="N43" s="44">
        <f>IFERROR((N8-M8)/(N36-M36),"")</f>
        <v/>
      </c>
      <c r="O43" s="44">
        <f>IFERROR((O8-N8)/(O36-N36),"")</f>
        <v/>
      </c>
      <c r="P43" s="44">
        <f>IFERROR((P8-O8)/(P36-O36),"")</f>
        <v/>
      </c>
    </row>
    <row r="44">
      <c r="A44" s="4" t="inlineStr">
        <is>
          <t xml:space="preserve">  Reinvestment rate (ΔInvested capital / NOPAT)</t>
        </is>
      </c>
      <c r="C44" s="25">
        <f>IFERROR((C36-B36)/C25,"")</f>
        <v/>
      </c>
      <c r="D44" s="25">
        <f>IFERROR((D36-C36)/D25,"")</f>
        <v/>
      </c>
      <c r="E44" s="25">
        <f>IFERROR((E36-D36)/E25,"")</f>
        <v/>
      </c>
      <c r="F44" s="25">
        <f>IFERROR((F36-E36)/F25,"")</f>
        <v/>
      </c>
      <c r="G44" s="25">
        <f>IFERROR((G36-F36)/G25,"")</f>
        <v/>
      </c>
      <c r="H44" s="25">
        <f>IFERROR((H36-G36)/H25,"")</f>
        <v/>
      </c>
      <c r="I44" s="25">
        <f>IFERROR((I36-H36)/I25,"")</f>
        <v/>
      </c>
      <c r="J44" s="25">
        <f>IFERROR((J36-I36)/J25,"")</f>
        <v/>
      </c>
      <c r="K44" s="25">
        <f>IFERROR((K36-J36)/K25,"")</f>
        <v/>
      </c>
      <c r="L44" s="25">
        <f>IFERROR((L36-K36)/L25,"")</f>
        <v/>
      </c>
      <c r="M44" s="25">
        <f>IFERROR((M36-L36)/M25,"")</f>
        <v/>
      </c>
      <c r="N44" s="25">
        <f>IFERROR((N36-M36)/N25,"")</f>
        <v/>
      </c>
      <c r="O44" s="25">
        <f>IFERROR((O36-N36)/O25,"")</f>
        <v/>
      </c>
      <c r="P44" s="25">
        <f>IFERROR((P36-O36)/P25,"")</f>
        <v/>
      </c>
    </row>
    <row r="46">
      <c r="A46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4970</v>
      </c>
      <c r="C3" s="18" t="n">
        <v>5572</v>
      </c>
      <c r="D3" s="18" t="n">
        <v>4588</v>
      </c>
      <c r="E3" s="18" t="n">
        <v>4613</v>
      </c>
      <c r="F3" s="18" t="n">
        <v>4204</v>
      </c>
      <c r="G3" s="18" t="n">
        <v>4785</v>
      </c>
      <c r="H3" s="18" t="n">
        <v>4395</v>
      </c>
      <c r="I3" s="18" t="n">
        <v>3726</v>
      </c>
      <c r="J3" s="18" t="n">
        <v>3927</v>
      </c>
      <c r="K3" s="18" t="n">
        <v>4370</v>
      </c>
      <c r="L3" s="18" t="n">
        <v>5046</v>
      </c>
      <c r="M3" s="18" t="n">
        <v>2890</v>
      </c>
      <c r="N3" s="18" t="n">
        <v>5183</v>
      </c>
      <c r="O3" s="18" t="n">
        <v>6719</v>
      </c>
      <c r="P3" s="18" t="n">
        <v>6164</v>
      </c>
      <c r="Q3" s="18" t="n">
        <v>6716</v>
      </c>
      <c r="R3" s="18" t="n">
        <v>7349</v>
      </c>
      <c r="S3" s="18" t="n">
        <v>7172</v>
      </c>
      <c r="T3" s="18" t="n">
        <v>6878</v>
      </c>
      <c r="U3" s="18" t="n">
        <v>5731</v>
      </c>
      <c r="V3" s="18" t="n">
        <v>6069</v>
      </c>
      <c r="W3" s="18" t="n">
        <v>7567</v>
      </c>
      <c r="X3" s="18" t="n">
        <v>5385</v>
      </c>
      <c r="Y3" s="18" t="n">
        <v>6247</v>
      </c>
      <c r="Z3" s="18" t="n">
        <v>6700</v>
      </c>
      <c r="AA3" s="18" t="n">
        <v>7966</v>
      </c>
      <c r="AB3" s="18" t="n">
        <v>6563</v>
      </c>
      <c r="AC3" s="18" t="n">
        <v>6958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1974</v>
      </c>
      <c r="C5" s="18" t="n">
        <v>2129</v>
      </c>
      <c r="D5" s="18" t="n">
        <v>2119</v>
      </c>
      <c r="E5" s="18" t="n">
        <v>1651</v>
      </c>
      <c r="F5" s="18" t="n">
        <v>1635</v>
      </c>
      <c r="G5" s="18" t="n">
        <v>2033</v>
      </c>
      <c r="H5" s="18" t="n">
        <v>1971</v>
      </c>
      <c r="I5" s="18" t="n">
        <v>1895</v>
      </c>
      <c r="J5" s="18" t="n">
        <v>1969</v>
      </c>
      <c r="K5" s="18" t="n">
        <v>2293</v>
      </c>
      <c r="L5" s="18" t="n">
        <v>2323</v>
      </c>
      <c r="M5" s="18" t="n">
        <v>2325</v>
      </c>
      <c r="N5" s="18" t="n">
        <v>2566</v>
      </c>
      <c r="O5" s="18" t="n">
        <v>3158</v>
      </c>
      <c r="P5" s="18" t="n">
        <v>2768</v>
      </c>
      <c r="Q5" s="18" t="n">
        <v>2434</v>
      </c>
      <c r="R5" s="18" t="n">
        <v>2486</v>
      </c>
      <c r="S5" s="18" t="n">
        <v>2750</v>
      </c>
      <c r="T5" s="18" t="n">
        <v>2467</v>
      </c>
      <c r="U5" s="18" t="n">
        <v>2329</v>
      </c>
      <c r="V5" s="18" t="n">
        <v>2451</v>
      </c>
      <c r="W5" s="18" t="n">
        <v>2698</v>
      </c>
      <c r="X5" s="18" t="n">
        <v>2408</v>
      </c>
      <c r="Y5" s="18" t="n">
        <v>2338</v>
      </c>
      <c r="Z5" s="18" t="n">
        <v>2404</v>
      </c>
      <c r="AA5" s="18" t="n">
        <v>2690</v>
      </c>
      <c r="AB5" s="18" t="n">
        <v>2789</v>
      </c>
      <c r="AC5" s="18" t="n">
        <v>1329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2996</v>
      </c>
      <c r="C11" s="18" t="n">
        <v>3443</v>
      </c>
      <c r="D11" s="18" t="n">
        <v>2469</v>
      </c>
      <c r="E11" s="18" t="n">
        <v>2962</v>
      </c>
      <c r="F11" s="18" t="n">
        <v>2569</v>
      </c>
      <c r="G11" s="18" t="n">
        <v>2752</v>
      </c>
      <c r="H11" s="18" t="n">
        <v>2424</v>
      </c>
      <c r="I11" s="18" t="n">
        <v>1831</v>
      </c>
      <c r="J11" s="18" t="n">
        <v>1958</v>
      </c>
      <c r="K11" s="18" t="n">
        <v>2077</v>
      </c>
      <c r="L11" s="18" t="n">
        <v>2723</v>
      </c>
      <c r="M11" s="18" t="n">
        <v>565</v>
      </c>
      <c r="N11" s="18" t="n">
        <v>2617</v>
      </c>
      <c r="O11" s="18" t="n">
        <v>3561</v>
      </c>
      <c r="P11" s="18" t="n">
        <v>3396</v>
      </c>
      <c r="Q11" s="18" t="n">
        <v>4282</v>
      </c>
      <c r="R11" s="18" t="n">
        <v>4863</v>
      </c>
      <c r="S11" s="18" t="n">
        <v>4422</v>
      </c>
      <c r="T11" s="18" t="n">
        <v>4411</v>
      </c>
      <c r="U11" s="18" t="n">
        <v>3402</v>
      </c>
      <c r="V11" s="18" t="n">
        <v>3618</v>
      </c>
      <c r="W11" s="18" t="n">
        <v>4869</v>
      </c>
      <c r="X11" s="18" t="n">
        <v>2977</v>
      </c>
      <c r="Y11" s="18" t="n">
        <v>3909</v>
      </c>
      <c r="Z11" s="18" t="n">
        <v>4296</v>
      </c>
      <c r="AA11" s="18" t="n">
        <v>5276</v>
      </c>
      <c r="AB11" s="18" t="n">
        <v>3774</v>
      </c>
      <c r="AC11" s="18" t="n">
        <v>5629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1747</v>
      </c>
      <c r="C13" s="18" t="n">
        <v>1593</v>
      </c>
      <c r="D13" s="18" t="n">
        <v>877</v>
      </c>
      <c r="E13" s="18" t="n">
        <v>1981</v>
      </c>
      <c r="F13" s="18" t="n">
        <v>1186</v>
      </c>
      <c r="G13" s="18" t="n">
        <v>1008</v>
      </c>
      <c r="H13" s="18" t="n">
        <v>940</v>
      </c>
      <c r="I13" s="18" t="n">
        <v>669</v>
      </c>
      <c r="J13" s="18" t="n">
        <v>510</v>
      </c>
      <c r="K13" s="18" t="n">
        <v>379</v>
      </c>
      <c r="L13" s="18" t="n">
        <v>1355</v>
      </c>
      <c r="M13" s="18" t="n">
        <v>-775</v>
      </c>
      <c r="N13" s="18" t="n">
        <v>948</v>
      </c>
      <c r="O13" s="18" t="n">
        <v>1862</v>
      </c>
      <c r="P13" s="18" t="n">
        <v>2046</v>
      </c>
      <c r="Q13" s="18" t="n">
        <v>2942</v>
      </c>
      <c r="R13" s="18" t="n">
        <v>2799</v>
      </c>
      <c r="S13" s="18" t="n">
        <v>1836</v>
      </c>
      <c r="T13" s="18" t="n">
        <v>2660</v>
      </c>
      <c r="U13" s="18" t="n">
        <v>2013</v>
      </c>
      <c r="V13" s="18" t="n">
        <v>1670</v>
      </c>
      <c r="W13" s="18" t="n">
        <v>2856</v>
      </c>
      <c r="X13" s="18" t="n">
        <v>941</v>
      </c>
      <c r="Y13" s="18" t="n">
        <v>2256</v>
      </c>
      <c r="Z13" s="18" t="n">
        <v>1911</v>
      </c>
      <c r="AA13" s="18" t="n">
        <v>2527</v>
      </c>
      <c r="AB13" s="18" t="n">
        <v>1586</v>
      </c>
      <c r="AC13" s="18" t="n">
        <v>2208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1234</v>
      </c>
      <c r="C15" s="18" t="n">
        <v>879</v>
      </c>
      <c r="D15" s="18" t="n">
        <v>975</v>
      </c>
      <c r="E15" s="18" t="n">
        <v>421</v>
      </c>
      <c r="F15" s="18" t="n">
        <v>1275</v>
      </c>
      <c r="G15" s="18" t="n">
        <v>1229</v>
      </c>
      <c r="H15" s="18" t="n">
        <v>-5</v>
      </c>
      <c r="I15" s="18" t="n">
        <v>1666</v>
      </c>
      <c r="J15" s="18" t="n">
        <v>256</v>
      </c>
      <c r="K15" s="18" t="n">
        <v>447</v>
      </c>
      <c r="L15" s="18" t="n">
        <v>1204</v>
      </c>
      <c r="M15" s="18" t="n">
        <v>-451</v>
      </c>
      <c r="N15" s="18" t="n">
        <v>1380</v>
      </c>
      <c r="O15" s="18" t="n">
        <v>1696</v>
      </c>
      <c r="P15" s="18" t="n">
        <v>1522</v>
      </c>
      <c r="Q15" s="18" t="n">
        <v>2086</v>
      </c>
      <c r="R15" s="18" t="n">
        <v>2795</v>
      </c>
      <c r="S15" s="18" t="n">
        <v>1219</v>
      </c>
      <c r="T15" s="18" t="n">
        <v>1210</v>
      </c>
      <c r="U15" s="18" t="n">
        <v>2268</v>
      </c>
      <c r="V15" s="18" t="n">
        <v>1622</v>
      </c>
      <c r="W15" s="18" t="n">
        <v>1852</v>
      </c>
      <c r="X15" s="18" t="n">
        <v>1203</v>
      </c>
      <c r="Y15" s="18" t="n">
        <v>833</v>
      </c>
      <c r="Z15" s="18" t="n">
        <v>2028</v>
      </c>
      <c r="AA15" s="18" t="n">
        <v>2438</v>
      </c>
      <c r="AB15" s="18" t="n">
        <v>1535</v>
      </c>
      <c r="AC15" s="18" t="n">
        <v>2182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1931.2</v>
      </c>
      <c r="C17" s="18" t="n">
        <v>1955.103612</v>
      </c>
      <c r="D17" s="18" t="n">
        <v>1964</v>
      </c>
      <c r="E17" s="18" t="n">
        <v>1968</v>
      </c>
      <c r="F17" s="18" t="n">
        <v>1967.3</v>
      </c>
      <c r="G17" s="18" t="n">
        <v>1959.074124</v>
      </c>
      <c r="H17" s="18" t="n">
        <v>1972</v>
      </c>
      <c r="I17" s="18" t="n">
        <v>1973</v>
      </c>
      <c r="J17" s="18" t="n">
        <v>1970.3</v>
      </c>
      <c r="K17" s="18" t="n">
        <v>1972.9</v>
      </c>
      <c r="L17" s="18" t="n">
        <v>1975</v>
      </c>
      <c r="M17" s="18" t="n">
        <v>1974</v>
      </c>
      <c r="N17" s="18" t="n">
        <v>1973</v>
      </c>
      <c r="O17" s="18" t="n">
        <v>1978.9</v>
      </c>
      <c r="P17" s="18" t="n">
        <v>1993</v>
      </c>
      <c r="Q17" s="18" t="n">
        <v>2005.1</v>
      </c>
      <c r="R17" s="18" t="n">
        <v>2027.2</v>
      </c>
      <c r="S17" s="18" t="n">
        <v>2036.2</v>
      </c>
      <c r="T17" s="18" t="n">
        <v>2054</v>
      </c>
      <c r="U17" s="18" t="n">
        <v>2055.2</v>
      </c>
      <c r="V17" s="18" t="n">
        <v>2058.199999</v>
      </c>
      <c r="W17" s="18" t="n">
        <v>2061.4</v>
      </c>
      <c r="X17" s="18" t="n">
        <v>2062</v>
      </c>
      <c r="Y17" s="18" t="n">
        <v>2059</v>
      </c>
      <c r="Z17" s="18" t="n">
        <v>2061.3</v>
      </c>
      <c r="AA17" s="18" t="n">
        <v>2061.3</v>
      </c>
      <c r="AB17" s="18" t="n">
        <v>2089</v>
      </c>
      <c r="AC17" s="18" t="n">
        <v>2089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Florida Power &amp; Light Company</t>
        </is>
      </c>
      <c r="B19" s="18" t="n">
        <v>3158</v>
      </c>
      <c r="C19" s="18" t="n">
        <v>3491</v>
      </c>
      <c r="D19" s="18" t="n">
        <v>2925</v>
      </c>
      <c r="E19" s="18" t="n">
        <v>2540</v>
      </c>
      <c r="F19" s="18" t="n">
        <v>2825</v>
      </c>
      <c r="G19" s="18" t="n">
        <v>3455</v>
      </c>
      <c r="H19" s="18" t="n">
        <v>2842</v>
      </c>
      <c r="Y19" s="18" t="n">
        <v>3997</v>
      </c>
      <c r="Z19" s="18" t="n">
        <v>8705</v>
      </c>
      <c r="AA19" s="18" t="n">
        <v>13989</v>
      </c>
      <c r="AB19" s="18" t="n">
        <v>0</v>
      </c>
      <c r="AC19" s="18" t="n">
        <v>4271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NEER Segment</t>
        </is>
      </c>
      <c r="I22" s="18" t="n">
        <v>810</v>
      </c>
      <c r="J22" s="18" t="n">
        <v>775</v>
      </c>
      <c r="K22" s="18" t="n">
        <v>750</v>
      </c>
      <c r="L22" s="18" t="n">
        <v>718</v>
      </c>
      <c r="M22" s="18" t="n">
        <v>-800</v>
      </c>
      <c r="N22" s="18" t="n">
        <v>775</v>
      </c>
      <c r="O22" s="18" t="n">
        <v>1652</v>
      </c>
      <c r="P22" s="18" t="n">
        <v>2093</v>
      </c>
      <c r="Q22" s="18" t="n">
        <v>2792</v>
      </c>
      <c r="R22" s="18" t="n">
        <v>2556</v>
      </c>
      <c r="S22" s="18" t="n">
        <v>1669</v>
      </c>
      <c r="T22" s="18" t="n">
        <v>2655</v>
      </c>
      <c r="U22" s="18" t="n">
        <v>1864</v>
      </c>
      <c r="V22" s="18" t="n">
        <v>1645</v>
      </c>
      <c r="W22" s="18" t="n">
        <v>2585</v>
      </c>
      <c r="X22" s="18" t="n">
        <v>1448</v>
      </c>
      <c r="Y22" s="18" t="n">
        <v>2163</v>
      </c>
      <c r="Z22" s="18" t="n">
        <v>1914</v>
      </c>
      <c r="AA22" s="18" t="n">
        <v>2566</v>
      </c>
      <c r="AB22" s="18" t="n">
        <v>2117</v>
      </c>
      <c r="AC22" s="18" t="n">
        <v>2311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5" t="inlineStr">
        <is>
          <t xml:space="preserve">  BALANCE SHEET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>
      <c r="A26" s="4" t="inlineStr">
        <is>
          <t>Cash &amp; ST Investments</t>
        </is>
      </c>
      <c r="B26" s="18" t="n">
        <v>1019</v>
      </c>
      <c r="C26" s="18" t="n">
        <v>1131</v>
      </c>
      <c r="D26" s="18" t="n">
        <v>600</v>
      </c>
      <c r="E26" s="18" t="n">
        <v>3335</v>
      </c>
      <c r="F26" s="18" t="n">
        <v>1009</v>
      </c>
      <c r="G26" s="18" t="n">
        <v>1961</v>
      </c>
      <c r="H26" s="18" t="n">
        <v>1105</v>
      </c>
      <c r="I26" s="18" t="n">
        <v>1462</v>
      </c>
      <c r="J26" s="18" t="n">
        <v>884</v>
      </c>
      <c r="K26" s="18" t="n">
        <v>692</v>
      </c>
      <c r="L26" s="18" t="n">
        <v>639</v>
      </c>
      <c r="M26" s="18" t="n">
        <v>1477</v>
      </c>
      <c r="N26" s="18" t="n">
        <v>2861</v>
      </c>
      <c r="O26" s="18" t="n">
        <v>2508</v>
      </c>
      <c r="P26" s="18" t="n">
        <v>1601</v>
      </c>
      <c r="Q26" s="18" t="n">
        <v>2275</v>
      </c>
      <c r="R26" s="18" t="n">
        <v>1577</v>
      </c>
      <c r="S26" s="18" t="n">
        <v>1568</v>
      </c>
      <c r="T26" s="18" t="n">
        <v>2690</v>
      </c>
      <c r="U26" s="18" t="n">
        <v>1642</v>
      </c>
      <c r="V26" s="18" t="n">
        <v>1551</v>
      </c>
      <c r="W26" s="18" t="n">
        <v>2263</v>
      </c>
      <c r="X26" s="18" t="n">
        <v>1487</v>
      </c>
      <c r="Y26" s="18" t="n">
        <v>2419</v>
      </c>
      <c r="Z26" s="18" t="n">
        <v>1728</v>
      </c>
      <c r="AA26" s="18" t="n">
        <v>3244</v>
      </c>
      <c r="AB26" s="18" t="n">
        <v>2812</v>
      </c>
      <c r="AC26" s="18" t="n">
        <v>1998</v>
      </c>
    </row>
    <row r="27">
      <c r="A27" s="4" t="inlineStr">
        <is>
          <t>Total Current Assets</t>
        </is>
      </c>
      <c r="B27" s="18" t="n">
        <v>7471</v>
      </c>
      <c r="C27" s="18" t="n">
        <v>7679</v>
      </c>
      <c r="D27" s="18" t="n">
        <v>7408</v>
      </c>
      <c r="E27" s="18" t="n">
        <v>9725</v>
      </c>
      <c r="F27" s="18" t="n">
        <v>7581</v>
      </c>
      <c r="G27" s="18" t="n">
        <v>9026</v>
      </c>
      <c r="H27" s="18" t="n">
        <v>7382</v>
      </c>
      <c r="I27" s="18" t="n">
        <v>8237</v>
      </c>
      <c r="J27" s="18" t="n">
        <v>8061</v>
      </c>
      <c r="K27" s="18" t="n">
        <v>9572</v>
      </c>
      <c r="L27" s="18" t="n">
        <v>9288</v>
      </c>
      <c r="M27" s="18" t="n">
        <v>10988</v>
      </c>
      <c r="N27" s="18" t="n">
        <v>14332</v>
      </c>
      <c r="O27" s="18" t="n">
        <v>12891</v>
      </c>
      <c r="P27" s="18" t="n">
        <v>13490</v>
      </c>
      <c r="Q27" s="18" t="n">
        <v>13549</v>
      </c>
      <c r="R27" s="18" t="n">
        <v>13122</v>
      </c>
      <c r="S27" s="18" t="n">
        <v>14244</v>
      </c>
      <c r="T27" s="18" t="n">
        <v>15361</v>
      </c>
      <c r="U27" s="18" t="n">
        <v>12680</v>
      </c>
      <c r="V27" s="18" t="n">
        <v>12803</v>
      </c>
      <c r="W27" s="18" t="n">
        <v>12180</v>
      </c>
      <c r="X27" s="18" t="n">
        <v>11951</v>
      </c>
      <c r="Y27" s="18" t="n">
        <v>12648</v>
      </c>
      <c r="Z27" s="18" t="n">
        <v>12493</v>
      </c>
      <c r="AA27" s="18" t="n">
        <v>12671</v>
      </c>
      <c r="AB27" s="18" t="n">
        <v>13584</v>
      </c>
      <c r="AC27" s="18" t="n">
        <v>13858</v>
      </c>
    </row>
    <row r="28">
      <c r="A28" s="4" t="inlineStr">
        <is>
          <t>PP&amp;E (net)</t>
        </is>
      </c>
      <c r="B28" s="18" t="n">
        <v>76136</v>
      </c>
      <c r="C28" s="18" t="n">
        <v>78995</v>
      </c>
      <c r="D28" s="18" t="n">
        <v>82010</v>
      </c>
      <c r="E28" s="18" t="n">
        <v>83873</v>
      </c>
      <c r="F28" s="18" t="n">
        <v>86326</v>
      </c>
      <c r="G28" s="18" t="n">
        <v>88855</v>
      </c>
      <c r="H28" s="18" t="n">
        <v>91803</v>
      </c>
      <c r="I28" s="18" t="n">
        <v>94304</v>
      </c>
      <c r="J28" s="18" t="n">
        <v>96811</v>
      </c>
      <c r="K28" s="18" t="n">
        <v>99141</v>
      </c>
      <c r="L28" s="18" t="n">
        <v>99348</v>
      </c>
      <c r="M28" s="18" t="n">
        <v>101935</v>
      </c>
      <c r="N28" s="18" t="n">
        <v>105393</v>
      </c>
      <c r="O28" s="18" t="n">
        <v>108447</v>
      </c>
      <c r="P28" s="18" t="n">
        <v>111059</v>
      </c>
      <c r="Q28" s="18" t="n">
        <v>114929</v>
      </c>
      <c r="R28" s="18" t="n">
        <v>117740</v>
      </c>
      <c r="S28" s="18" t="n">
        <v>120883</v>
      </c>
      <c r="T28" s="18" t="n">
        <v>125776</v>
      </c>
      <c r="U28" s="18" t="n">
        <v>129193</v>
      </c>
      <c r="V28" s="18" t="n">
        <v>133113</v>
      </c>
      <c r="W28" s="18" t="n">
        <v>134309</v>
      </c>
      <c r="X28" s="18" t="n">
        <v>138852</v>
      </c>
      <c r="Y28" s="18" t="n">
        <v>142223</v>
      </c>
      <c r="Z28" s="18" t="n">
        <v>145742</v>
      </c>
      <c r="AA28" s="18" t="n">
        <v>150043</v>
      </c>
      <c r="AB28" s="18" t="n">
        <v>156197</v>
      </c>
      <c r="AC28" s="18" t="n">
        <v>162361</v>
      </c>
    </row>
    <row r="29">
      <c r="A29" s="4" t="inlineStr">
        <is>
          <t>Total Assets</t>
        </is>
      </c>
      <c r="B29" s="18" t="n">
        <v>110552</v>
      </c>
      <c r="C29" s="18" t="n">
        <v>114222</v>
      </c>
      <c r="D29" s="18" t="n">
        <v>117691</v>
      </c>
      <c r="E29" s="18" t="n">
        <v>120637</v>
      </c>
      <c r="F29" s="18" t="n">
        <v>121961</v>
      </c>
      <c r="G29" s="18" t="n">
        <v>126382</v>
      </c>
      <c r="H29" s="18" t="n">
        <v>127684</v>
      </c>
      <c r="I29" s="18" t="n">
        <v>132441</v>
      </c>
      <c r="J29" s="18" t="n">
        <v>135013</v>
      </c>
      <c r="K29" s="18" t="n">
        <v>139163</v>
      </c>
      <c r="L29" s="18" t="n">
        <v>140912</v>
      </c>
      <c r="M29" s="18" t="n">
        <v>144945</v>
      </c>
      <c r="N29" s="18" t="n">
        <v>151770</v>
      </c>
      <c r="O29" s="18" t="n">
        <v>156409</v>
      </c>
      <c r="P29" s="18" t="n">
        <v>158935</v>
      </c>
      <c r="Q29" s="18" t="n">
        <v>165357</v>
      </c>
      <c r="R29" s="18" t="n">
        <v>168275</v>
      </c>
      <c r="S29" s="18" t="n">
        <v>171674</v>
      </c>
      <c r="T29" s="18" t="n">
        <v>177489</v>
      </c>
      <c r="U29" s="18" t="n">
        <v>179950</v>
      </c>
      <c r="V29" s="18" t="n">
        <v>184724</v>
      </c>
      <c r="W29" s="18" t="n">
        <v>186013</v>
      </c>
      <c r="X29" s="18" t="n">
        <v>190144</v>
      </c>
      <c r="Y29" s="18" t="n">
        <v>194264</v>
      </c>
      <c r="Z29" s="18" t="n">
        <v>198830</v>
      </c>
      <c r="AA29" s="18" t="n">
        <v>204354</v>
      </c>
      <c r="AB29" s="18" t="n">
        <v>212721</v>
      </c>
      <c r="AC29" s="18" t="n">
        <v>221424</v>
      </c>
    </row>
    <row r="30">
      <c r="A30" s="4" t="inlineStr">
        <is>
          <t>Total Current Liabilities</t>
        </is>
      </c>
      <c r="B30" s="18" t="n">
        <v>14412</v>
      </c>
      <c r="C30" s="18" t="n">
        <v>13314</v>
      </c>
      <c r="D30" s="18" t="n">
        <v>13853</v>
      </c>
      <c r="E30" s="18" t="n">
        <v>13722</v>
      </c>
      <c r="F30" s="18" t="n">
        <v>12365</v>
      </c>
      <c r="G30" s="18" t="n">
        <v>15712</v>
      </c>
      <c r="H30" s="18" t="n">
        <v>15558</v>
      </c>
      <c r="I30" s="18" t="n">
        <v>15783</v>
      </c>
      <c r="J30" s="18" t="n">
        <v>16818</v>
      </c>
      <c r="K30" s="18" t="n">
        <v>20456</v>
      </c>
      <c r="L30" s="18" t="n">
        <v>17437</v>
      </c>
      <c r="M30" s="18" t="n">
        <v>22423</v>
      </c>
      <c r="N30" s="18" t="n">
        <v>26821</v>
      </c>
      <c r="O30" s="18" t="n">
        <v>27793</v>
      </c>
      <c r="P30" s="18" t="n">
        <v>26695</v>
      </c>
      <c r="Q30" s="18" t="n">
        <v>25377</v>
      </c>
      <c r="R30" s="18" t="n">
        <v>24871</v>
      </c>
      <c r="S30" s="18" t="n">
        <v>28496</v>
      </c>
      <c r="T30" s="18" t="n">
        <v>27963</v>
      </c>
      <c r="U30" s="18" t="n">
        <v>24803</v>
      </c>
      <c r="V30" s="18" t="n">
        <v>26231</v>
      </c>
      <c r="W30" s="18" t="n">
        <v>29647</v>
      </c>
      <c r="X30" s="18" t="n">
        <v>25355</v>
      </c>
      <c r="Y30" s="18" t="n">
        <v>22861</v>
      </c>
      <c r="Z30" s="18" t="n">
        <v>23047</v>
      </c>
      <c r="AA30" s="18" t="n">
        <v>22911</v>
      </c>
      <c r="AB30" s="18" t="n">
        <v>22817</v>
      </c>
      <c r="AC30" s="18" t="n">
        <v>25573</v>
      </c>
    </row>
    <row r="31">
      <c r="A31" s="4" t="inlineStr">
        <is>
          <t>Long-term Debt</t>
        </is>
      </c>
      <c r="B31" s="18" t="n">
        <v>33947</v>
      </c>
      <c r="C31" s="18" t="n">
        <v>36144</v>
      </c>
      <c r="D31" s="18" t="n">
        <v>37543</v>
      </c>
      <c r="E31" s="18" t="n">
        <v>41116</v>
      </c>
      <c r="F31" s="18" t="n">
        <v>42667</v>
      </c>
      <c r="G31" s="18" t="n">
        <v>42794</v>
      </c>
      <c r="H31" s="18" t="n">
        <v>41944</v>
      </c>
      <c r="I31" s="18" t="n">
        <v>46065</v>
      </c>
      <c r="J31" s="18" t="n">
        <v>47559</v>
      </c>
      <c r="K31" s="18" t="n">
        <v>48092</v>
      </c>
      <c r="L31" s="18" t="n">
        <v>50960</v>
      </c>
      <c r="M31" s="18" t="n">
        <v>50974</v>
      </c>
      <c r="N31" s="18" t="n">
        <v>53382</v>
      </c>
      <c r="O31" s="18" t="n">
        <v>54670</v>
      </c>
      <c r="P31" s="18" t="n">
        <v>55256</v>
      </c>
      <c r="Q31" s="18" t="n">
        <v>59007</v>
      </c>
      <c r="R31" s="18" t="n">
        <v>60982</v>
      </c>
      <c r="S31" s="18" t="n">
        <v>59183</v>
      </c>
      <c r="T31" s="18" t="n">
        <v>61405</v>
      </c>
      <c r="U31" s="18" t="n">
        <v>65868</v>
      </c>
      <c r="V31" s="18" t="n">
        <v>68494</v>
      </c>
      <c r="W31" s="18" t="n">
        <v>66100</v>
      </c>
      <c r="X31" s="18" t="n">
        <v>72385</v>
      </c>
      <c r="Y31" s="18" t="n">
        <v>79814</v>
      </c>
      <c r="Z31" s="18" t="n">
        <v>82690</v>
      </c>
      <c r="AA31" s="18" t="n">
        <v>84169</v>
      </c>
      <c r="AB31" s="18" t="n">
        <v>89556</v>
      </c>
      <c r="AC31" s="18" t="n">
        <v>93948</v>
      </c>
    </row>
    <row r="32">
      <c r="A32" s="4" t="inlineStr">
        <is>
          <t>Total Equity</t>
        </is>
      </c>
      <c r="B32" s="18" t="n">
        <v>34910</v>
      </c>
      <c r="C32" s="18" t="n">
        <v>36592</v>
      </c>
      <c r="D32" s="18" t="n">
        <v>37005</v>
      </c>
      <c r="E32" s="18" t="n">
        <v>36403</v>
      </c>
      <c r="F32" s="18" t="n">
        <v>37073</v>
      </c>
      <c r="G32" s="18" t="n">
        <v>37287</v>
      </c>
      <c r="H32" s="18" t="n">
        <v>36513</v>
      </c>
      <c r="I32" s="18" t="n">
        <v>37378</v>
      </c>
      <c r="J32" s="18" t="n">
        <v>36932</v>
      </c>
      <c r="K32" s="18" t="n">
        <v>36649</v>
      </c>
      <c r="L32" s="18" t="n">
        <v>37202</v>
      </c>
      <c r="M32" s="18" t="n">
        <v>35887</v>
      </c>
      <c r="N32" s="18" t="n">
        <v>36439</v>
      </c>
      <c r="O32" s="18" t="n">
        <v>38629</v>
      </c>
      <c r="P32" s="18" t="n">
        <v>39229</v>
      </c>
      <c r="Q32" s="18" t="n">
        <v>42896</v>
      </c>
      <c r="R32" s="18" t="n">
        <v>44793</v>
      </c>
      <c r="S32" s="18" t="n">
        <v>47095</v>
      </c>
      <c r="T32" s="18" t="n">
        <v>47468</v>
      </c>
      <c r="U32" s="18" t="n">
        <v>48641</v>
      </c>
      <c r="V32" s="18" t="n">
        <v>49140</v>
      </c>
      <c r="W32" s="18" t="n">
        <v>50051</v>
      </c>
      <c r="X32" s="18" t="n">
        <v>50101</v>
      </c>
      <c r="Y32" s="18" t="n">
        <v>49812</v>
      </c>
      <c r="Z32" s="18" t="n">
        <v>50797</v>
      </c>
      <c r="AA32" s="18" t="n">
        <v>54181</v>
      </c>
      <c r="AB32" s="18" t="n">
        <v>54608</v>
      </c>
      <c r="AC32" s="18" t="n">
        <v>55222</v>
      </c>
    </row>
    <row r="33">
      <c r="A33" s="5" t="inlineStr">
        <is>
          <t xml:space="preserve">  CASH FLOW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4" t="inlineStr">
        <is>
          <t>D&amp;A</t>
        </is>
      </c>
      <c r="B34" s="18" t="n">
        <v>1262</v>
      </c>
      <c r="C34" s="18" t="n">
        <v>1313</v>
      </c>
      <c r="D34" s="18" t="n">
        <v>1041</v>
      </c>
      <c r="E34" s="18" t="n">
        <v>922</v>
      </c>
      <c r="F34" s="18" t="n">
        <v>1032</v>
      </c>
      <c r="G34" s="18" t="n">
        <v>1338</v>
      </c>
      <c r="H34" s="18" t="n">
        <v>1023</v>
      </c>
      <c r="I34" s="18" t="n">
        <v>823</v>
      </c>
      <c r="J34" s="18" t="n">
        <v>1041</v>
      </c>
      <c r="K34" s="18" t="n">
        <v>1298</v>
      </c>
      <c r="L34" s="18" t="n">
        <v>1050</v>
      </c>
      <c r="M34" s="18" t="n">
        <v>960</v>
      </c>
      <c r="N34" s="18" t="n">
        <v>1227</v>
      </c>
      <c r="O34" s="18" t="n">
        <v>1356</v>
      </c>
      <c r="P34" s="18" t="n">
        <v>1247</v>
      </c>
      <c r="Q34" s="18" t="n">
        <v>893</v>
      </c>
      <c r="R34" s="18" t="n">
        <v>1551</v>
      </c>
      <c r="S34" s="18" t="n">
        <v>2026</v>
      </c>
      <c r="T34" s="18" t="n">
        <v>1681</v>
      </c>
      <c r="U34" s="18" t="n">
        <v>988</v>
      </c>
      <c r="V34" s="18" t="n">
        <v>1471</v>
      </c>
      <c r="W34" s="18" t="n">
        <v>1720</v>
      </c>
      <c r="X34" s="18" t="n">
        <v>1582</v>
      </c>
      <c r="Y34" s="18" t="n">
        <v>1176</v>
      </c>
      <c r="Z34" s="18" t="n">
        <v>1692</v>
      </c>
      <c r="AA34" s="18" t="n">
        <v>2096</v>
      </c>
      <c r="AB34" s="18" t="n">
        <v>1977</v>
      </c>
      <c r="AC34" s="18" t="n">
        <v>1371</v>
      </c>
    </row>
    <row r="35">
      <c r="A35" s="4" t="inlineStr">
        <is>
          <t>Stock-based Compensation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  <c r="G35" s="18" t="n">
        <v>0</v>
      </c>
      <c r="H35" s="18" t="n">
        <v>107</v>
      </c>
      <c r="I35" s="18" t="n">
        <v>0</v>
      </c>
      <c r="J35" s="18" t="n">
        <v>0</v>
      </c>
      <c r="K35" s="18" t="n">
        <v>0</v>
      </c>
      <c r="L35" s="18" t="n">
        <v>0</v>
      </c>
      <c r="M35" s="18" t="n">
        <v>0</v>
      </c>
      <c r="N35" s="18" t="n">
        <v>0</v>
      </c>
      <c r="O35" s="18" t="n">
        <v>0</v>
      </c>
      <c r="P35" s="18" t="n">
        <v>142</v>
      </c>
      <c r="Q35" s="18" t="n">
        <v>0</v>
      </c>
      <c r="R35" s="18" t="n">
        <v>0</v>
      </c>
      <c r="S35" s="18" t="n">
        <v>0</v>
      </c>
      <c r="T35" s="18" t="n">
        <v>0</v>
      </c>
      <c r="U35" s="18" t="n">
        <v>0</v>
      </c>
      <c r="V35" s="18" t="n">
        <v>0</v>
      </c>
      <c r="W35" s="18" t="n">
        <v>0</v>
      </c>
      <c r="X35" s="18" t="n">
        <v>0</v>
      </c>
      <c r="Y35" s="18" t="n">
        <v>0</v>
      </c>
      <c r="Z35" s="18" t="n">
        <v>0</v>
      </c>
      <c r="AA35" s="18" t="n">
        <v>0</v>
      </c>
      <c r="AB35" s="18" t="n">
        <v>0</v>
      </c>
      <c r="AC35" s="18" t="n">
        <v>0</v>
      </c>
    </row>
    <row r="36">
      <c r="A36" s="4" t="inlineStr">
        <is>
          <t>Change in Working Capital</t>
        </is>
      </c>
      <c r="B36" s="18" t="n">
        <v>54</v>
      </c>
      <c r="C36" s="18" t="n">
        <v>255</v>
      </c>
      <c r="D36" s="18" t="n">
        <v>406</v>
      </c>
      <c r="E36" s="18" t="n">
        <v>-174</v>
      </c>
      <c r="F36" s="18" t="n">
        <v>-164</v>
      </c>
      <c r="G36" s="18" t="n">
        <v>103</v>
      </c>
      <c r="H36" s="18" t="n">
        <v>-369</v>
      </c>
      <c r="I36" s="18" t="n">
        <v>-268</v>
      </c>
      <c r="J36" s="18" t="n">
        <v>-194</v>
      </c>
      <c r="K36" s="18" t="n">
        <v>105</v>
      </c>
      <c r="L36" s="18" t="n">
        <v>-166</v>
      </c>
      <c r="M36" s="18" t="n">
        <v>-479</v>
      </c>
      <c r="N36" s="18" t="n">
        <v>879</v>
      </c>
      <c r="O36" s="18" t="n">
        <v>207</v>
      </c>
      <c r="P36" s="18" t="n">
        <v>-195</v>
      </c>
      <c r="Q36" s="18" t="n">
        <v>-717</v>
      </c>
      <c r="R36" s="18" t="n">
        <v>-91</v>
      </c>
      <c r="S36" s="18" t="n">
        <v>-447</v>
      </c>
      <c r="T36" s="18" t="n">
        <v>-138</v>
      </c>
      <c r="U36" s="18" t="n">
        <v>22</v>
      </c>
      <c r="V36" s="18" t="n">
        <v>229</v>
      </c>
      <c r="W36" s="18" t="n">
        <v>598</v>
      </c>
      <c r="X36" s="18" t="n">
        <v>-689</v>
      </c>
      <c r="Y36" s="18" t="n">
        <v>10</v>
      </c>
      <c r="Z36" s="18" t="n">
        <v>44</v>
      </c>
      <c r="AA36" s="18" t="n">
        <v>46</v>
      </c>
      <c r="AB36" s="18" t="n">
        <v>-473</v>
      </c>
      <c r="AC36" s="18" t="n">
        <v>-590</v>
      </c>
    </row>
    <row r="37">
      <c r="A37" s="4" t="inlineStr">
        <is>
          <t>Operating Cash Flow</t>
        </is>
      </c>
      <c r="B37" s="18" t="n">
        <v>1684</v>
      </c>
      <c r="C37" s="18" t="n">
        <v>2962</v>
      </c>
      <c r="D37" s="18" t="n">
        <v>1912</v>
      </c>
      <c r="E37" s="18" t="n">
        <v>1894</v>
      </c>
      <c r="F37" s="18" t="n">
        <v>1898</v>
      </c>
      <c r="G37" s="18" t="n">
        <v>2839</v>
      </c>
      <c r="H37" s="18" t="n">
        <v>1352</v>
      </c>
      <c r="I37" s="18" t="n">
        <v>1292</v>
      </c>
      <c r="J37" s="18" t="n">
        <v>2203</v>
      </c>
      <c r="K37" s="18" t="n">
        <v>2741</v>
      </c>
      <c r="L37" s="18" t="n">
        <v>1317</v>
      </c>
      <c r="M37" s="18" t="n">
        <v>1962</v>
      </c>
      <c r="N37" s="18" t="n">
        <v>2831</v>
      </c>
      <c r="O37" s="18" t="n">
        <v>2474</v>
      </c>
      <c r="P37" s="18" t="n">
        <v>995</v>
      </c>
      <c r="Q37" s="18" t="n">
        <v>1673</v>
      </c>
      <c r="R37" s="18" t="n">
        <v>3086</v>
      </c>
      <c r="S37" s="18" t="n">
        <v>3664</v>
      </c>
      <c r="T37" s="18" t="n">
        <v>2878</v>
      </c>
      <c r="U37" s="18" t="n">
        <v>3077</v>
      </c>
      <c r="V37" s="18" t="n">
        <v>3933</v>
      </c>
      <c r="W37" s="18" t="n">
        <v>4269</v>
      </c>
      <c r="X37" s="18" t="n">
        <v>1981</v>
      </c>
      <c r="Y37" s="18" t="n">
        <v>2769</v>
      </c>
      <c r="Z37" s="18" t="n">
        <v>3189</v>
      </c>
      <c r="AA37" s="18" t="n">
        <v>4028</v>
      </c>
      <c r="AB37" s="18" t="n">
        <v>2499</v>
      </c>
      <c r="AC37" s="18" t="n">
        <v>2614</v>
      </c>
    </row>
    <row r="38">
      <c r="A38" s="4" t="inlineStr">
        <is>
          <t>Capex</t>
        </is>
      </c>
      <c r="B38" s="18" t="n">
        <v>-1505</v>
      </c>
      <c r="C38" s="18" t="n">
        <v>-2342</v>
      </c>
      <c r="D38" s="18" t="n">
        <v>-1344</v>
      </c>
      <c r="E38" s="18" t="n">
        <v>-1792</v>
      </c>
      <c r="F38" s="18" t="n">
        <v>-1954</v>
      </c>
      <c r="G38" s="18" t="n">
        <v>-1307</v>
      </c>
      <c r="H38" s="18" t="n">
        <v>-2355</v>
      </c>
      <c r="I38" s="18" t="n">
        <v>-1576</v>
      </c>
      <c r="J38" s="18" t="n">
        <v>-1866</v>
      </c>
      <c r="K38" s="18" t="n">
        <v>-1764</v>
      </c>
      <c r="L38" s="18" t="n">
        <v>-2624</v>
      </c>
      <c r="M38" s="18" t="n">
        <v>-2300</v>
      </c>
      <c r="N38" s="18" t="n">
        <v>-2225</v>
      </c>
      <c r="O38" s="18" t="n">
        <v>-2052</v>
      </c>
      <c r="P38" s="18" t="n">
        <v>-3165</v>
      </c>
      <c r="Q38" s="18" t="n">
        <v>-2294</v>
      </c>
      <c r="R38" s="18" t="n">
        <v>-2504</v>
      </c>
      <c r="S38" s="18" t="n">
        <v>-2656</v>
      </c>
      <c r="T38" s="18" t="n">
        <v>-2094</v>
      </c>
      <c r="U38" s="18" t="n">
        <v>-2468</v>
      </c>
      <c r="V38" s="18" t="n">
        <v>-2143</v>
      </c>
      <c r="W38" s="18" t="n">
        <v>-2061</v>
      </c>
      <c r="X38" s="18" t="n">
        <v>-1842</v>
      </c>
      <c r="Y38" s="18" t="n">
        <v>-2501</v>
      </c>
      <c r="Z38" s="18" t="n">
        <v>-2069</v>
      </c>
      <c r="AA38" s="18" t="n">
        <v>-2482</v>
      </c>
      <c r="AB38" s="18" t="n">
        <v>-2222</v>
      </c>
      <c r="AC38" s="18" t="n">
        <v>-3194</v>
      </c>
    </row>
    <row r="39">
      <c r="A39" s="4" t="inlineStr">
        <is>
          <t>Free Cash Flow</t>
        </is>
      </c>
      <c r="B39" s="18" t="n">
        <v>179</v>
      </c>
      <c r="C39" s="18" t="n">
        <v>620</v>
      </c>
      <c r="D39" s="18" t="n">
        <v>568</v>
      </c>
      <c r="E39" s="18" t="n">
        <v>102</v>
      </c>
      <c r="F39" s="18" t="n">
        <v>-56</v>
      </c>
      <c r="G39" s="18" t="n">
        <v>1532</v>
      </c>
      <c r="H39" s="18" t="n">
        <v>-1003</v>
      </c>
      <c r="I39" s="18" t="n">
        <v>-284</v>
      </c>
      <c r="J39" s="18" t="n">
        <v>337</v>
      </c>
      <c r="K39" s="18" t="n">
        <v>977</v>
      </c>
      <c r="L39" s="18" t="n">
        <v>-1307</v>
      </c>
      <c r="M39" s="18" t="n">
        <v>-338</v>
      </c>
      <c r="N39" s="18" t="n">
        <v>606</v>
      </c>
      <c r="O39" s="18" t="n">
        <v>422</v>
      </c>
      <c r="P39" s="18" t="n">
        <v>-2170</v>
      </c>
      <c r="Q39" s="18" t="n">
        <v>-621</v>
      </c>
      <c r="R39" s="18" t="n">
        <v>582</v>
      </c>
      <c r="S39" s="18" t="n">
        <v>1008</v>
      </c>
      <c r="T39" s="18" t="n">
        <v>784</v>
      </c>
      <c r="U39" s="18" t="n">
        <v>609</v>
      </c>
      <c r="V39" s="18" t="n">
        <v>1790</v>
      </c>
      <c r="W39" s="18" t="n">
        <v>2208</v>
      </c>
      <c r="X39" s="18" t="n">
        <v>139</v>
      </c>
      <c r="Y39" s="18" t="n">
        <v>268</v>
      </c>
      <c r="Z39" s="18" t="n">
        <v>1120</v>
      </c>
      <c r="AA39" s="18" t="n">
        <v>1546</v>
      </c>
      <c r="AB39" s="18" t="n">
        <v>277</v>
      </c>
      <c r="AC39" s="18" t="n">
        <v>-580</v>
      </c>
    </row>
    <row r="41">
      <c r="A41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30839.68404</v>
      </c>
      <c r="C4" s="18" t="n">
        <v>33692.922805</v>
      </c>
      <c r="D4" s="18" t="n">
        <v>36606.196383</v>
      </c>
      <c r="E4" s="18" t="n">
        <v>38411.63596</v>
      </c>
      <c r="F4" s="18" t="n">
        <v>41621.46416</v>
      </c>
    </row>
    <row r="5">
      <c r="A5" s="4" t="inlineStr">
        <is>
          <t xml:space="preserve">  model</t>
        </is>
      </c>
      <c r="B5" s="33">
        <f>Model!G8</f>
        <v/>
      </c>
      <c r="C5" s="33">
        <f>Model!H8</f>
        <v/>
      </c>
      <c r="D5" s="33">
        <f>Model!I8</f>
        <v/>
      </c>
      <c r="E5" s="33">
        <f>Model!J8</f>
        <v/>
      </c>
      <c r="F5" s="33">
        <f>Model!K8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21516.715758</v>
      </c>
      <c r="C8" s="18" t="n">
        <v>23507.408251</v>
      </c>
      <c r="D8" s="18" t="n">
        <v>25539.986776</v>
      </c>
      <c r="E8" s="18" t="n">
        <v>26799.634253</v>
      </c>
      <c r="F8" s="18" t="n">
        <v>29039.117671</v>
      </c>
    </row>
    <row r="9">
      <c r="A9" s="4" t="inlineStr">
        <is>
          <t xml:space="preserve">  model</t>
        </is>
      </c>
      <c r="B9" s="33">
        <f>Model!G21+Model!G26</f>
        <v/>
      </c>
      <c r="C9" s="33">
        <f>Model!H21+Model!H26</f>
        <v/>
      </c>
      <c r="D9" s="33">
        <f>Model!I21+Model!I26</f>
        <v/>
      </c>
      <c r="E9" s="33">
        <f>Model!J21+Model!J26</f>
        <v/>
      </c>
      <c r="F9" s="33">
        <f>Model!K21+Model!K26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13711.99178</v>
      </c>
      <c r="C12" s="18" t="n">
        <v>14980.603561</v>
      </c>
      <c r="D12" s="18" t="n">
        <v>16275.90812</v>
      </c>
      <c r="E12" s="18" t="n">
        <v>17078.645678</v>
      </c>
      <c r="F12" s="18" t="n">
        <v>18505.804848</v>
      </c>
    </row>
    <row r="13">
      <c r="A13" s="4" t="inlineStr">
        <is>
          <t xml:space="preserve">  model</t>
        </is>
      </c>
      <c r="B13" s="33">
        <f>Model!G21</f>
        <v/>
      </c>
      <c r="C13" s="33">
        <f>Model!H21</f>
        <v/>
      </c>
      <c r="D13" s="33">
        <f>Model!I21</f>
        <v/>
      </c>
      <c r="E13" s="33">
        <f>Model!J21</f>
        <v/>
      </c>
      <c r="F13" s="33">
        <f>Model!K21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</row>
    <row r="17">
      <c r="A17" s="4" t="inlineStr">
        <is>
          <t xml:space="preserve">  model</t>
        </is>
      </c>
      <c r="B17" s="33">
        <f>Model!G16</f>
        <v/>
      </c>
      <c r="C17" s="33">
        <f>Model!H16</f>
        <v/>
      </c>
      <c r="D17" s="33">
        <f>Model!I16</f>
        <v/>
      </c>
      <c r="E17" s="33">
        <f>Model!J16</f>
        <v/>
      </c>
      <c r="F17" s="33">
        <f>Model!K16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8363.36738</v>
      </c>
      <c r="C20" s="18" t="n">
        <v>9309.296840000001</v>
      </c>
      <c r="D20" s="18" t="n">
        <v>10177.53179</v>
      </c>
      <c r="E20" s="18" t="n">
        <v>10713.164935</v>
      </c>
      <c r="F20" s="18" t="n">
        <v>11562.635895</v>
      </c>
    </row>
    <row r="21">
      <c r="A21" s="4" t="inlineStr">
        <is>
          <t xml:space="preserve">  model</t>
        </is>
      </c>
      <c r="B21" s="33">
        <f>Model!G25</f>
        <v/>
      </c>
      <c r="C21" s="33">
        <f>Model!H25</f>
        <v/>
      </c>
      <c r="D21" s="33">
        <f>Model!I25</f>
        <v/>
      </c>
      <c r="E21" s="33">
        <f>Model!J25</f>
        <v/>
      </c>
      <c r="F21" s="33">
        <f>Model!K25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4.04454</v>
      </c>
      <c r="C24" s="47" t="n">
        <v>4.40183</v>
      </c>
      <c r="D24" s="47" t="n">
        <v>4.77261</v>
      </c>
      <c r="E24" s="47" t="n">
        <v>5.12837</v>
      </c>
      <c r="F24" s="47" t="n">
        <v>5.53501</v>
      </c>
    </row>
    <row r="25">
      <c r="A25" s="4" t="inlineStr">
        <is>
          <t xml:space="preserve">  model</t>
        </is>
      </c>
      <c r="B25" s="8">
        <f>Model!G25/Financials!AC17</f>
        <v/>
      </c>
      <c r="C25" s="8">
        <f>Model!H25/Financials!AC17</f>
        <v/>
      </c>
      <c r="D25" s="8">
        <f>Model!I25/Financials!AC17</f>
        <v/>
      </c>
      <c r="E25" s="8">
        <f>Model!J25/Financials!AC17</f>
        <v/>
      </c>
      <c r="F25" s="8">
        <f>Model!K25/Financials!AC17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NextEra Energy,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Model!G33</f>
        <v/>
      </c>
      <c r="D12" s="33">
        <f>Model!H33</f>
        <v/>
      </c>
      <c r="E12" s="33">
        <f>Model!I33</f>
        <v/>
      </c>
      <c r="F12" s="33">
        <f>Model!J33</f>
        <v/>
      </c>
      <c r="G12" s="33">
        <f>Model!K33</f>
        <v/>
      </c>
      <c r="H12" s="33">
        <f>Model!L33</f>
        <v/>
      </c>
      <c r="I12" s="33">
        <f>Model!M33</f>
        <v/>
      </c>
      <c r="J12" s="33">
        <f>Model!N33</f>
        <v/>
      </c>
      <c r="K12" s="33">
        <f>Model!O33</f>
        <v/>
      </c>
      <c r="L12" s="33">
        <f>Model!P33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Model!P8</f>
        <v/>
      </c>
    </row>
    <row r="21">
      <c r="A21" s="4" t="inlineStr">
        <is>
          <t>Terminal EBIT</t>
        </is>
      </c>
      <c r="B21" s="33">
        <f>Model!P21</f>
        <v/>
      </c>
    </row>
    <row r="22">
      <c r="A22" s="4" t="inlineStr">
        <is>
          <t>Terminal EBITDA (SBC-burdened)</t>
        </is>
      </c>
      <c r="B22" s="33">
        <f>Model!P21+Model!P26-Model!P27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Financials!AC26</f>
        <v/>
      </c>
    </row>
    <row r="33">
      <c r="A33" s="4" t="inlineStr">
        <is>
          <t>- Long-term debt</t>
        </is>
      </c>
      <c r="B33" s="33">
        <f>-Financials!AC31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0.04654830086232972</v>
      </c>
      <c r="C4" s="51" t="n">
        <v>0.05154830086232971</v>
      </c>
      <c r="D4" s="51" t="n">
        <v>0.05654830086232972</v>
      </c>
      <c r="E4" s="51" t="n">
        <v>0.06154830086232971</v>
      </c>
      <c r="F4" s="51" t="n">
        <v>0.06654830086232971</v>
      </c>
      <c r="G4" s="51" t="n">
        <v>0.07154830086232972</v>
      </c>
      <c r="H4" s="51" t="n">
        <v>0.07654830086232972</v>
      </c>
    </row>
    <row r="5">
      <c r="A5" s="52" t="n">
        <v>9</v>
      </c>
      <c r="B5" s="8" t="n">
        <v>89.63144071564811</v>
      </c>
      <c r="C5" s="53" t="n">
        <v>84.27714167594978</v>
      </c>
      <c r="D5" s="53" t="n">
        <v>79.18077466154944</v>
      </c>
      <c r="E5" s="53" t="n">
        <v>74.32848329442827</v>
      </c>
      <c r="F5" s="53" t="n">
        <v>69.70722302413571</v>
      </c>
      <c r="G5" s="53" t="n">
        <v>65.30470984010745</v>
      </c>
      <c r="H5" s="53" t="n">
        <v>61.10937245158744</v>
      </c>
    </row>
    <row r="6">
      <c r="A6" s="52" t="n">
        <v>10</v>
      </c>
      <c r="B6" s="8" t="n">
        <v>99.79033249816332</v>
      </c>
      <c r="C6" s="8" t="n">
        <v>93.96319473342682</v>
      </c>
      <c r="D6" s="53" t="n">
        <v>88.41808520366354</v>
      </c>
      <c r="E6" s="53" t="n">
        <v>83.13981413618025</v>
      </c>
      <c r="F6" s="53" t="n">
        <v>78.11408315154701</v>
      </c>
      <c r="G6" s="53" t="n">
        <v>73.32742888633504</v>
      </c>
      <c r="H6" s="53" t="n">
        <v>68.76717043068591</v>
      </c>
    </row>
    <row r="7">
      <c r="A7" s="52" t="n">
        <v>11</v>
      </c>
      <c r="B7" s="8" t="n">
        <v>109.9492242806785</v>
      </c>
      <c r="C7" s="8" t="n">
        <v>103.6492477909038</v>
      </c>
      <c r="D7" s="8" t="n">
        <v>97.65539574577768</v>
      </c>
      <c r="E7" s="8" t="n">
        <v>91.95114497793223</v>
      </c>
      <c r="F7" s="53" t="n">
        <v>86.52094327895828</v>
      </c>
      <c r="G7" s="53" t="n">
        <v>81.35014793256259</v>
      </c>
      <c r="H7" s="53" t="n">
        <v>76.42496840978437</v>
      </c>
    </row>
    <row r="8">
      <c r="A8" s="52" t="n">
        <v>12</v>
      </c>
      <c r="B8" s="8" t="n">
        <v>120.1081160631937</v>
      </c>
      <c r="C8" s="8" t="n">
        <v>113.3353008483809</v>
      </c>
      <c r="D8" s="8" t="n">
        <v>106.8927062878918</v>
      </c>
      <c r="E8" s="54" t="n">
        <v>100.7624758196842</v>
      </c>
      <c r="F8" s="8" t="n">
        <v>94.92780340636955</v>
      </c>
      <c r="G8" s="8" t="n">
        <v>89.37286697879016</v>
      </c>
      <c r="H8" s="53" t="n">
        <v>84.08276638888283</v>
      </c>
    </row>
    <row r="9">
      <c r="A9" s="52" t="n">
        <v>13</v>
      </c>
      <c r="B9" s="8" t="n">
        <v>130.2670078457089</v>
      </c>
      <c r="C9" s="8" t="n">
        <v>123.0213539058579</v>
      </c>
      <c r="D9" s="8" t="n">
        <v>116.1300168300059</v>
      </c>
      <c r="E9" s="8" t="n">
        <v>109.5738066614361</v>
      </c>
      <c r="F9" s="8" t="n">
        <v>103.3346635337808</v>
      </c>
      <c r="G9" s="8" t="n">
        <v>97.39558602501772</v>
      </c>
      <c r="H9" s="8" t="n">
        <v>91.74056436798129</v>
      </c>
    </row>
    <row r="10">
      <c r="A10" s="52" t="n">
        <v>14</v>
      </c>
      <c r="B10" s="8" t="n">
        <v>140.4258996282241</v>
      </c>
      <c r="C10" s="8" t="n">
        <v>132.7074069633349</v>
      </c>
      <c r="D10" s="8" t="n">
        <v>125.36732737212</v>
      </c>
      <c r="E10" s="8" t="n">
        <v>118.3851375031881</v>
      </c>
      <c r="F10" s="8" t="n">
        <v>111.7415236611921</v>
      </c>
      <c r="G10" s="8" t="n">
        <v>105.4183050712453</v>
      </c>
      <c r="H10" s="8" t="n">
        <v>99.39836234707977</v>
      </c>
    </row>
    <row r="11">
      <c r="A11" s="52" t="n">
        <v>15</v>
      </c>
      <c r="B11" s="8" t="n">
        <v>150.5847914107393</v>
      </c>
      <c r="C11" s="8" t="n">
        <v>142.393460020812</v>
      </c>
      <c r="D11" s="8" t="n">
        <v>134.6046379142342</v>
      </c>
      <c r="E11" s="8" t="n">
        <v>127.1964683449401</v>
      </c>
      <c r="F11" s="8" t="n">
        <v>120.1483837886034</v>
      </c>
      <c r="G11" s="8" t="n">
        <v>113.4410241174729</v>
      </c>
      <c r="H11" s="8" t="n">
        <v>107.0561603261782</v>
      </c>
    </row>
    <row r="13">
      <c r="A13" s="3" t="inlineStr">
        <is>
          <t>Current price</t>
        </is>
      </c>
      <c r="B13" s="53" t="n">
        <v>88.50499725341797</v>
      </c>
    </row>
    <row r="14">
      <c r="A14" s="3" t="inlineStr">
        <is>
          <t>Base WACC / multiple</t>
        </is>
      </c>
      <c r="B14" s="55" t="n">
        <v>0.06154830086232971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Model!F8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Model!F22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0.2526204687727471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1.309427085528766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(Model!P8/Model!F8)^(1/10)-1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1.060103391890992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Financials!AC26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Financials!AC31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2026-07-08T07:03:56Z</dcterms:created>
  <dcterms:modified xmlns:dcterms="http://purl.org/dc/terms/" xmlns:xsi="http://www.w3.org/2001/XMLSchema-instance" xsi:type="dcterms:W3CDTF">2026-07-08T07:03:56Z</dcterms:modified>
</cp:coreProperties>
</file>