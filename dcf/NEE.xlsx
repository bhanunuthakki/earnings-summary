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NextEra Energy, Inc. (NEE)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NextEra Energy, Inc. (NEE)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Florida Power &amp; Light Company</t>
        </is>
      </c>
      <c r="B20" s="15" t="n">
        <v>0.01440021966179581</v>
      </c>
      <c r="C20" s="15" t="n">
        <v>0.05</v>
      </c>
      <c r="D20" s="16" t="n">
        <v>0.01440021966179581</v>
      </c>
      <c r="E20" s="2" t="inlineStr"/>
    </row>
    <row r="21">
      <c r="A21" s="4" t="inlineStr">
        <is>
          <t>NEER Segment</t>
        </is>
      </c>
      <c r="B21" s="15" t="n">
        <v>0.09334126094173918</v>
      </c>
      <c r="C21" s="15" t="n">
        <v>0.05</v>
      </c>
      <c r="D21" s="16" t="n">
        <v>0.09334126094173918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0.3568269619391955</v>
      </c>
      <c r="D29" s="16" t="n">
        <v>0.3568269619391955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0.3655324219301614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10201.4</v>
      </c>
      <c r="D34" s="18" t="n">
        <v>10201.4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0.721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88.33999633789062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100.7830477604188</v>
      </c>
      <c r="C58" s="28" t="n">
        <v>157.0174532167475</v>
      </c>
      <c r="D58" s="28" t="n">
        <v>58.45339790710837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NEE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Florida Power &amp; Light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Florida Power &amp; Light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NEER Segment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NEER Segment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builder default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Florida Power &amp; Light Company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NEER Segment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0.3719973795312272</v>
      </c>
      <c r="H13" s="15" t="n">
        <v>0.3719973795312272</v>
      </c>
      <c r="I13" s="15" t="n">
        <v>0.3719973795312272</v>
      </c>
      <c r="J13" s="15" t="n">
        <v>0.3719973795312272</v>
      </c>
      <c r="K13" s="15" t="n">
        <v>0.3719973795312272</v>
      </c>
      <c r="L13" s="15" t="n">
        <v>0.3719973795312272</v>
      </c>
      <c r="M13" s="15" t="n">
        <v>0.3719973795312272</v>
      </c>
      <c r="N13" s="15" t="n">
        <v>0.3719973795312272</v>
      </c>
      <c r="O13" s="15" t="n">
        <v>0.3719973795312272</v>
      </c>
      <c r="P13" s="15" t="n">
        <v>0.3719973795312272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  <c r="N17" s="15" t="n">
        <v>0</v>
      </c>
      <c r="O17" s="15" t="n">
        <v>0</v>
      </c>
      <c r="P17" s="15" t="n">
        <v>0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SUM(Financials!I34:L34)</f>
        <v/>
      </c>
      <c r="C26" s="33">
        <f>SUM(Financials!M34:P34)</f>
        <v/>
      </c>
      <c r="D26" s="33">
        <f>SUM(Financials!Q34:T34)</f>
        <v/>
      </c>
      <c r="E26" s="33">
        <f>SUM(Financials!U34:X34)</f>
        <v/>
      </c>
      <c r="F26" s="33">
        <f>SUM(Financials!Y34:AB34)</f>
        <v/>
      </c>
      <c r="G26" s="41">
        <f>G8*0.2526</f>
        <v/>
      </c>
      <c r="H26" s="41">
        <f>H8*0.2526</f>
        <v/>
      </c>
      <c r="I26" s="41">
        <f>I8*0.2526</f>
        <v/>
      </c>
      <c r="J26" s="41">
        <f>J8*0.2526</f>
        <v/>
      </c>
      <c r="K26" s="41">
        <f>K8*0.2526</f>
        <v/>
      </c>
      <c r="L26" s="41">
        <f>L8*0.2526</f>
        <v/>
      </c>
      <c r="M26" s="41">
        <f>M8*0.2526</f>
        <v/>
      </c>
      <c r="N26" s="41">
        <f>N8*0.2526</f>
        <v/>
      </c>
      <c r="O26" s="41">
        <f>O8*0.2526</f>
        <v/>
      </c>
      <c r="P26" s="41">
        <f>P8*0.2526</f>
        <v/>
      </c>
    </row>
    <row r="27">
      <c r="A27" s="4" t="inlineStr">
        <is>
          <t>+ SBC (non-cash)</t>
        </is>
      </c>
      <c r="B27" s="33">
        <f>SUM(Financials!I35:L35)</f>
        <v/>
      </c>
      <c r="C27" s="33">
        <f>SUM(Financials!M35:P35)</f>
        <v/>
      </c>
      <c r="D27" s="33">
        <f>SUM(Financials!Q35:T35)</f>
        <v/>
      </c>
      <c r="E27" s="33">
        <f>SUM(Financials!U35:X35)</f>
        <v/>
      </c>
      <c r="F27" s="33">
        <f>SUM(Financials!Y35:AB35)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-SUM(Financials!I38:L38)</f>
        <v/>
      </c>
      <c r="C29" s="33">
        <f>-SUM(Financials!M38:P38)</f>
        <v/>
      </c>
      <c r="D29" s="33">
        <f>-SUM(Financials!Q38:T38)</f>
        <v/>
      </c>
      <c r="E29" s="33">
        <f>-SUM(Financials!U38:X38)</f>
        <v/>
      </c>
      <c r="F29" s="33">
        <f>-SUM(Financials!Y38:AB38)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Financials!L32+Financials!L31-Financials!L26</f>
        <v/>
      </c>
      <c r="C36" s="33">
        <f>Financials!P32+Financials!P31-Financials!P26</f>
        <v/>
      </c>
      <c r="D36" s="33">
        <f>Financials!T32+Financials!T31-Financials!T26</f>
        <v/>
      </c>
      <c r="E36" s="33">
        <f>Financials!X32+Financials!X31-Financials!X26</f>
        <v/>
      </c>
      <c r="F36" s="33">
        <f>Financials!AB32+Financials!AB31-Financials!AB26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Financials!L32</f>
        <v/>
      </c>
      <c r="C37" s="33">
        <f>Financials!P32</f>
        <v/>
      </c>
      <c r="D37" s="33">
        <f>Financials!T32</f>
        <v/>
      </c>
      <c r="E37" s="33">
        <f>Financials!X32</f>
        <v/>
      </c>
      <c r="F37" s="33">
        <f>Financials!AB32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4970</v>
      </c>
      <c r="C3" s="18" t="n">
        <v>5572</v>
      </c>
      <c r="D3" s="18" t="n">
        <v>4588</v>
      </c>
      <c r="E3" s="18" t="n">
        <v>4613</v>
      </c>
      <c r="F3" s="18" t="n">
        <v>4204</v>
      </c>
      <c r="G3" s="18" t="n">
        <v>4785</v>
      </c>
      <c r="H3" s="18" t="n">
        <v>4395</v>
      </c>
      <c r="I3" s="18" t="n">
        <v>3726</v>
      </c>
      <c r="J3" s="18" t="n">
        <v>3927</v>
      </c>
      <c r="K3" s="18" t="n">
        <v>4370</v>
      </c>
      <c r="L3" s="18" t="n">
        <v>5046</v>
      </c>
      <c r="M3" s="18" t="n">
        <v>2890</v>
      </c>
      <c r="N3" s="18" t="n">
        <v>5183</v>
      </c>
      <c r="O3" s="18" t="n">
        <v>6719</v>
      </c>
      <c r="P3" s="18" t="n">
        <v>6164</v>
      </c>
      <c r="Q3" s="18" t="n">
        <v>6716</v>
      </c>
      <c r="R3" s="18" t="n">
        <v>7349</v>
      </c>
      <c r="S3" s="18" t="n">
        <v>7172</v>
      </c>
      <c r="T3" s="18" t="n">
        <v>6878</v>
      </c>
      <c r="U3" s="18" t="n">
        <v>5731</v>
      </c>
      <c r="V3" s="18" t="n">
        <v>6069</v>
      </c>
      <c r="W3" s="18" t="n">
        <v>7567</v>
      </c>
      <c r="X3" s="18" t="n">
        <v>5385</v>
      </c>
      <c r="Y3" s="18" t="n">
        <v>6247</v>
      </c>
      <c r="Z3" s="18" t="n">
        <v>6700</v>
      </c>
      <c r="AA3" s="18" t="n">
        <v>7966</v>
      </c>
      <c r="AB3" s="18" t="n">
        <v>6563</v>
      </c>
      <c r="AC3" s="18" t="n">
        <v>6958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1974</v>
      </c>
      <c r="C5" s="18" t="n">
        <v>2129</v>
      </c>
      <c r="D5" s="18" t="n">
        <v>2119</v>
      </c>
      <c r="E5" s="18" t="n">
        <v>1651</v>
      </c>
      <c r="F5" s="18" t="n">
        <v>1635</v>
      </c>
      <c r="G5" s="18" t="n">
        <v>2033</v>
      </c>
      <c r="H5" s="18" t="n">
        <v>1971</v>
      </c>
      <c r="I5" s="18" t="n">
        <v>1895</v>
      </c>
      <c r="J5" s="18" t="n">
        <v>1969</v>
      </c>
      <c r="K5" s="18" t="n">
        <v>2293</v>
      </c>
      <c r="L5" s="18" t="n">
        <v>2323</v>
      </c>
      <c r="M5" s="18" t="n">
        <v>2325</v>
      </c>
      <c r="N5" s="18" t="n">
        <v>2566</v>
      </c>
      <c r="O5" s="18" t="n">
        <v>3158</v>
      </c>
      <c r="P5" s="18" t="n">
        <v>2768</v>
      </c>
      <c r="Q5" s="18" t="n">
        <v>2434</v>
      </c>
      <c r="R5" s="18" t="n">
        <v>2486</v>
      </c>
      <c r="S5" s="18" t="n">
        <v>2750</v>
      </c>
      <c r="T5" s="18" t="n">
        <v>2467</v>
      </c>
      <c r="U5" s="18" t="n">
        <v>2329</v>
      </c>
      <c r="V5" s="18" t="n">
        <v>2451</v>
      </c>
      <c r="W5" s="18" t="n">
        <v>2698</v>
      </c>
      <c r="X5" s="18" t="n">
        <v>2408</v>
      </c>
      <c r="Y5" s="18" t="n">
        <v>2338</v>
      </c>
      <c r="Z5" s="18" t="n">
        <v>2404</v>
      </c>
      <c r="AA5" s="18" t="n">
        <v>2690</v>
      </c>
      <c r="AB5" s="18" t="n">
        <v>2789</v>
      </c>
      <c r="AC5" s="18" t="n">
        <v>1329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2996</v>
      </c>
      <c r="C11" s="18" t="n">
        <v>3443</v>
      </c>
      <c r="D11" s="18" t="n">
        <v>2469</v>
      </c>
      <c r="E11" s="18" t="n">
        <v>2962</v>
      </c>
      <c r="F11" s="18" t="n">
        <v>2569</v>
      </c>
      <c r="G11" s="18" t="n">
        <v>2752</v>
      </c>
      <c r="H11" s="18" t="n">
        <v>2424</v>
      </c>
      <c r="I11" s="18" t="n">
        <v>1831</v>
      </c>
      <c r="J11" s="18" t="n">
        <v>1958</v>
      </c>
      <c r="K11" s="18" t="n">
        <v>2077</v>
      </c>
      <c r="L11" s="18" t="n">
        <v>2723</v>
      </c>
      <c r="M11" s="18" t="n">
        <v>565</v>
      </c>
      <c r="N11" s="18" t="n">
        <v>2617</v>
      </c>
      <c r="O11" s="18" t="n">
        <v>3561</v>
      </c>
      <c r="P11" s="18" t="n">
        <v>3396</v>
      </c>
      <c r="Q11" s="18" t="n">
        <v>4282</v>
      </c>
      <c r="R11" s="18" t="n">
        <v>4863</v>
      </c>
      <c r="S11" s="18" t="n">
        <v>4422</v>
      </c>
      <c r="T11" s="18" t="n">
        <v>4411</v>
      </c>
      <c r="U11" s="18" t="n">
        <v>3402</v>
      </c>
      <c r="V11" s="18" t="n">
        <v>3618</v>
      </c>
      <c r="W11" s="18" t="n">
        <v>4869</v>
      </c>
      <c r="X11" s="18" t="n">
        <v>2977</v>
      </c>
      <c r="Y11" s="18" t="n">
        <v>3909</v>
      </c>
      <c r="Z11" s="18" t="n">
        <v>4296</v>
      </c>
      <c r="AA11" s="18" t="n">
        <v>5276</v>
      </c>
      <c r="AB11" s="18" t="n">
        <v>3774</v>
      </c>
      <c r="AC11" s="18" t="n">
        <v>5629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1747</v>
      </c>
      <c r="C13" s="18" t="n">
        <v>1593</v>
      </c>
      <c r="D13" s="18" t="n">
        <v>877</v>
      </c>
      <c r="E13" s="18" t="n">
        <v>1981</v>
      </c>
      <c r="F13" s="18" t="n">
        <v>1186</v>
      </c>
      <c r="G13" s="18" t="n">
        <v>1008</v>
      </c>
      <c r="H13" s="18" t="n">
        <v>940</v>
      </c>
      <c r="I13" s="18" t="n">
        <v>669</v>
      </c>
      <c r="J13" s="18" t="n">
        <v>510</v>
      </c>
      <c r="K13" s="18" t="n">
        <v>379</v>
      </c>
      <c r="L13" s="18" t="n">
        <v>1355</v>
      </c>
      <c r="M13" s="18" t="n">
        <v>-775</v>
      </c>
      <c r="N13" s="18" t="n">
        <v>948</v>
      </c>
      <c r="O13" s="18" t="n">
        <v>1862</v>
      </c>
      <c r="P13" s="18" t="n">
        <v>2046</v>
      </c>
      <c r="Q13" s="18" t="n">
        <v>2942</v>
      </c>
      <c r="R13" s="18" t="n">
        <v>2799</v>
      </c>
      <c r="S13" s="18" t="n">
        <v>1836</v>
      </c>
      <c r="T13" s="18" t="n">
        <v>2660</v>
      </c>
      <c r="U13" s="18" t="n">
        <v>2013</v>
      </c>
      <c r="V13" s="18" t="n">
        <v>1670</v>
      </c>
      <c r="W13" s="18" t="n">
        <v>2856</v>
      </c>
      <c r="X13" s="18" t="n">
        <v>941</v>
      </c>
      <c r="Y13" s="18" t="n">
        <v>2256</v>
      </c>
      <c r="Z13" s="18" t="n">
        <v>1911</v>
      </c>
      <c r="AA13" s="18" t="n">
        <v>2527</v>
      </c>
      <c r="AB13" s="18" t="n">
        <v>1586</v>
      </c>
      <c r="AC13" s="18" t="n">
        <v>2208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1234</v>
      </c>
      <c r="C15" s="18" t="n">
        <v>879</v>
      </c>
      <c r="D15" s="18" t="n">
        <v>975</v>
      </c>
      <c r="E15" s="18" t="n">
        <v>421</v>
      </c>
      <c r="F15" s="18" t="n">
        <v>1275</v>
      </c>
      <c r="G15" s="18" t="n">
        <v>1229</v>
      </c>
      <c r="H15" s="18" t="n">
        <v>-5</v>
      </c>
      <c r="I15" s="18" t="n">
        <v>1666</v>
      </c>
      <c r="J15" s="18" t="n">
        <v>256</v>
      </c>
      <c r="K15" s="18" t="n">
        <v>447</v>
      </c>
      <c r="L15" s="18" t="n">
        <v>1204</v>
      </c>
      <c r="M15" s="18" t="n">
        <v>-451</v>
      </c>
      <c r="N15" s="18" t="n">
        <v>1380</v>
      </c>
      <c r="O15" s="18" t="n">
        <v>1696</v>
      </c>
      <c r="P15" s="18" t="n">
        <v>1522</v>
      </c>
      <c r="Q15" s="18" t="n">
        <v>2086</v>
      </c>
      <c r="R15" s="18" t="n">
        <v>2795</v>
      </c>
      <c r="S15" s="18" t="n">
        <v>1219</v>
      </c>
      <c r="T15" s="18" t="n">
        <v>1210</v>
      </c>
      <c r="U15" s="18" t="n">
        <v>2268</v>
      </c>
      <c r="V15" s="18" t="n">
        <v>1622</v>
      </c>
      <c r="W15" s="18" t="n">
        <v>1852</v>
      </c>
      <c r="X15" s="18" t="n">
        <v>1203</v>
      </c>
      <c r="Y15" s="18" t="n">
        <v>833</v>
      </c>
      <c r="Z15" s="18" t="n">
        <v>2028</v>
      </c>
      <c r="AA15" s="18" t="n">
        <v>2438</v>
      </c>
      <c r="AB15" s="18" t="n">
        <v>1535</v>
      </c>
      <c r="AC15" s="18" t="n">
        <v>2182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1931.2</v>
      </c>
      <c r="C17" s="18" t="n">
        <v>1955.103612</v>
      </c>
      <c r="D17" s="18" t="n">
        <v>1964</v>
      </c>
      <c r="E17" s="18" t="n">
        <v>1968</v>
      </c>
      <c r="F17" s="18" t="n">
        <v>1967.3</v>
      </c>
      <c r="G17" s="18" t="n">
        <v>1959.074124</v>
      </c>
      <c r="H17" s="18" t="n">
        <v>1972</v>
      </c>
      <c r="I17" s="18" t="n">
        <v>1973</v>
      </c>
      <c r="J17" s="18" t="n">
        <v>1970.3</v>
      </c>
      <c r="K17" s="18" t="n">
        <v>1972.9</v>
      </c>
      <c r="L17" s="18" t="n">
        <v>1975</v>
      </c>
      <c r="M17" s="18" t="n">
        <v>1974</v>
      </c>
      <c r="N17" s="18" t="n">
        <v>1973</v>
      </c>
      <c r="O17" s="18" t="n">
        <v>1978.9</v>
      </c>
      <c r="P17" s="18" t="n">
        <v>1993</v>
      </c>
      <c r="Q17" s="18" t="n">
        <v>2005.1</v>
      </c>
      <c r="R17" s="18" t="n">
        <v>2027.2</v>
      </c>
      <c r="S17" s="18" t="n">
        <v>2036.2</v>
      </c>
      <c r="T17" s="18" t="n">
        <v>2054</v>
      </c>
      <c r="U17" s="18" t="n">
        <v>2055.2</v>
      </c>
      <c r="V17" s="18" t="n">
        <v>2058.199999</v>
      </c>
      <c r="W17" s="18" t="n">
        <v>2061.4</v>
      </c>
      <c r="X17" s="18" t="n">
        <v>2062</v>
      </c>
      <c r="Y17" s="18" t="n">
        <v>2059</v>
      </c>
      <c r="Z17" s="18" t="n">
        <v>2061.3</v>
      </c>
      <c r="AA17" s="18" t="n">
        <v>2061.3</v>
      </c>
      <c r="AB17" s="18" t="n">
        <v>2089</v>
      </c>
      <c r="AC17" s="18" t="n">
        <v>2089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Florida Power &amp; Light Company</t>
        </is>
      </c>
      <c r="B19" s="18" t="n">
        <v>3158</v>
      </c>
      <c r="C19" s="18" t="n">
        <v>3491</v>
      </c>
      <c r="D19" s="18" t="n">
        <v>2925</v>
      </c>
      <c r="E19" s="18" t="n">
        <v>2540</v>
      </c>
      <c r="F19" s="18" t="n">
        <v>2825</v>
      </c>
      <c r="G19" s="18" t="n">
        <v>3455</v>
      </c>
      <c r="H19" s="18" t="n">
        <v>2842</v>
      </c>
      <c r="Y19" s="18" t="n">
        <v>3997</v>
      </c>
      <c r="Z19" s="18" t="n">
        <v>8705</v>
      </c>
      <c r="AA19" s="18" t="n">
        <v>13989</v>
      </c>
      <c r="AB19" s="18" t="n">
        <v>0</v>
      </c>
      <c r="AC19" s="18" t="n">
        <v>4271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NEER Segment</t>
        </is>
      </c>
      <c r="I22" s="18" t="n">
        <v>810</v>
      </c>
      <c r="J22" s="18" t="n">
        <v>775</v>
      </c>
      <c r="K22" s="18" t="n">
        <v>750</v>
      </c>
      <c r="L22" s="18" t="n">
        <v>718</v>
      </c>
      <c r="M22" s="18" t="n">
        <v>-800</v>
      </c>
      <c r="N22" s="18" t="n">
        <v>775</v>
      </c>
      <c r="O22" s="18" t="n">
        <v>1652</v>
      </c>
      <c r="P22" s="18" t="n">
        <v>2093</v>
      </c>
      <c r="Q22" s="18" t="n">
        <v>2792</v>
      </c>
      <c r="R22" s="18" t="n">
        <v>2556</v>
      </c>
      <c r="S22" s="18" t="n">
        <v>1669</v>
      </c>
      <c r="T22" s="18" t="n">
        <v>2655</v>
      </c>
      <c r="U22" s="18" t="n">
        <v>1864</v>
      </c>
      <c r="V22" s="18" t="n">
        <v>1645</v>
      </c>
      <c r="W22" s="18" t="n">
        <v>2585</v>
      </c>
      <c r="X22" s="18" t="n">
        <v>1448</v>
      </c>
      <c r="Y22" s="18" t="n">
        <v>2163</v>
      </c>
      <c r="Z22" s="18" t="n">
        <v>1914</v>
      </c>
      <c r="AA22" s="18" t="n">
        <v>2566</v>
      </c>
      <c r="AB22" s="18" t="n">
        <v>2117</v>
      </c>
      <c r="AC22" s="18" t="n">
        <v>2311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1019</v>
      </c>
      <c r="C26" s="18" t="n">
        <v>1131</v>
      </c>
      <c r="D26" s="18" t="n">
        <v>600</v>
      </c>
      <c r="E26" s="18" t="n">
        <v>3335</v>
      </c>
      <c r="F26" s="18" t="n">
        <v>1009</v>
      </c>
      <c r="G26" s="18" t="n">
        <v>1961</v>
      </c>
      <c r="H26" s="18" t="n">
        <v>1105</v>
      </c>
      <c r="I26" s="18" t="n">
        <v>1462</v>
      </c>
      <c r="J26" s="18" t="n">
        <v>884</v>
      </c>
      <c r="K26" s="18" t="n">
        <v>692</v>
      </c>
      <c r="L26" s="18" t="n">
        <v>639</v>
      </c>
      <c r="M26" s="18" t="n">
        <v>1477</v>
      </c>
      <c r="N26" s="18" t="n">
        <v>2861</v>
      </c>
      <c r="O26" s="18" t="n">
        <v>2508</v>
      </c>
      <c r="P26" s="18" t="n">
        <v>1601</v>
      </c>
      <c r="Q26" s="18" t="n">
        <v>2275</v>
      </c>
      <c r="R26" s="18" t="n">
        <v>1577</v>
      </c>
      <c r="S26" s="18" t="n">
        <v>1568</v>
      </c>
      <c r="T26" s="18" t="n">
        <v>2690</v>
      </c>
      <c r="U26" s="18" t="n">
        <v>1642</v>
      </c>
      <c r="V26" s="18" t="n">
        <v>1551</v>
      </c>
      <c r="W26" s="18" t="n">
        <v>2263</v>
      </c>
      <c r="X26" s="18" t="n">
        <v>1487</v>
      </c>
      <c r="Y26" s="18" t="n">
        <v>2419</v>
      </c>
      <c r="Z26" s="18" t="n">
        <v>1728</v>
      </c>
      <c r="AA26" s="18" t="n">
        <v>3244</v>
      </c>
      <c r="AB26" s="18" t="n">
        <v>2812</v>
      </c>
      <c r="AC26" s="18" t="n">
        <v>1998</v>
      </c>
    </row>
    <row r="27">
      <c r="A27" s="4" t="inlineStr">
        <is>
          <t>Total Current Assets</t>
        </is>
      </c>
      <c r="B27" s="18" t="n">
        <v>7471</v>
      </c>
      <c r="C27" s="18" t="n">
        <v>7679</v>
      </c>
      <c r="D27" s="18" t="n">
        <v>7408</v>
      </c>
      <c r="E27" s="18" t="n">
        <v>9725</v>
      </c>
      <c r="F27" s="18" t="n">
        <v>7581</v>
      </c>
      <c r="G27" s="18" t="n">
        <v>9026</v>
      </c>
      <c r="H27" s="18" t="n">
        <v>7382</v>
      </c>
      <c r="I27" s="18" t="n">
        <v>8237</v>
      </c>
      <c r="J27" s="18" t="n">
        <v>8061</v>
      </c>
      <c r="K27" s="18" t="n">
        <v>9572</v>
      </c>
      <c r="L27" s="18" t="n">
        <v>9288</v>
      </c>
      <c r="M27" s="18" t="n">
        <v>10988</v>
      </c>
      <c r="N27" s="18" t="n">
        <v>14332</v>
      </c>
      <c r="O27" s="18" t="n">
        <v>12891</v>
      </c>
      <c r="P27" s="18" t="n">
        <v>13490</v>
      </c>
      <c r="Q27" s="18" t="n">
        <v>13549</v>
      </c>
      <c r="R27" s="18" t="n">
        <v>13122</v>
      </c>
      <c r="S27" s="18" t="n">
        <v>14244</v>
      </c>
      <c r="T27" s="18" t="n">
        <v>15361</v>
      </c>
      <c r="U27" s="18" t="n">
        <v>12680</v>
      </c>
      <c r="V27" s="18" t="n">
        <v>12803</v>
      </c>
      <c r="W27" s="18" t="n">
        <v>12180</v>
      </c>
      <c r="X27" s="18" t="n">
        <v>11951</v>
      </c>
      <c r="Y27" s="18" t="n">
        <v>12648</v>
      </c>
      <c r="Z27" s="18" t="n">
        <v>12493</v>
      </c>
      <c r="AA27" s="18" t="n">
        <v>12671</v>
      </c>
      <c r="AB27" s="18" t="n">
        <v>13584</v>
      </c>
      <c r="AC27" s="18" t="n">
        <v>13858</v>
      </c>
    </row>
    <row r="28">
      <c r="A28" s="4" t="inlineStr">
        <is>
          <t>PP&amp;E (net)</t>
        </is>
      </c>
      <c r="B28" s="18" t="n">
        <v>76136</v>
      </c>
      <c r="C28" s="18" t="n">
        <v>78995</v>
      </c>
      <c r="D28" s="18" t="n">
        <v>82010</v>
      </c>
      <c r="E28" s="18" t="n">
        <v>83873</v>
      </c>
      <c r="F28" s="18" t="n">
        <v>86326</v>
      </c>
      <c r="G28" s="18" t="n">
        <v>88855</v>
      </c>
      <c r="H28" s="18" t="n">
        <v>91803</v>
      </c>
      <c r="I28" s="18" t="n">
        <v>94304</v>
      </c>
      <c r="J28" s="18" t="n">
        <v>96811</v>
      </c>
      <c r="K28" s="18" t="n">
        <v>99141</v>
      </c>
      <c r="L28" s="18" t="n">
        <v>99348</v>
      </c>
      <c r="M28" s="18" t="n">
        <v>101935</v>
      </c>
      <c r="N28" s="18" t="n">
        <v>105393</v>
      </c>
      <c r="O28" s="18" t="n">
        <v>108447</v>
      </c>
      <c r="P28" s="18" t="n">
        <v>111059</v>
      </c>
      <c r="Q28" s="18" t="n">
        <v>114929</v>
      </c>
      <c r="R28" s="18" t="n">
        <v>117740</v>
      </c>
      <c r="S28" s="18" t="n">
        <v>120883</v>
      </c>
      <c r="T28" s="18" t="n">
        <v>125776</v>
      </c>
      <c r="U28" s="18" t="n">
        <v>129193</v>
      </c>
      <c r="V28" s="18" t="n">
        <v>133113</v>
      </c>
      <c r="W28" s="18" t="n">
        <v>134309</v>
      </c>
      <c r="X28" s="18" t="n">
        <v>138852</v>
      </c>
      <c r="Y28" s="18" t="n">
        <v>142223</v>
      </c>
      <c r="Z28" s="18" t="n">
        <v>145742</v>
      </c>
      <c r="AA28" s="18" t="n">
        <v>150043</v>
      </c>
      <c r="AB28" s="18" t="n">
        <v>156197</v>
      </c>
      <c r="AC28" s="18" t="n">
        <v>162361</v>
      </c>
    </row>
    <row r="29">
      <c r="A29" s="4" t="inlineStr">
        <is>
          <t>Total Assets</t>
        </is>
      </c>
      <c r="B29" s="18" t="n">
        <v>110552</v>
      </c>
      <c r="C29" s="18" t="n">
        <v>114222</v>
      </c>
      <c r="D29" s="18" t="n">
        <v>117691</v>
      </c>
      <c r="E29" s="18" t="n">
        <v>120637</v>
      </c>
      <c r="F29" s="18" t="n">
        <v>121961</v>
      </c>
      <c r="G29" s="18" t="n">
        <v>126382</v>
      </c>
      <c r="H29" s="18" t="n">
        <v>127684</v>
      </c>
      <c r="I29" s="18" t="n">
        <v>132441</v>
      </c>
      <c r="J29" s="18" t="n">
        <v>135013</v>
      </c>
      <c r="K29" s="18" t="n">
        <v>139163</v>
      </c>
      <c r="L29" s="18" t="n">
        <v>140912</v>
      </c>
      <c r="M29" s="18" t="n">
        <v>144945</v>
      </c>
      <c r="N29" s="18" t="n">
        <v>151770</v>
      </c>
      <c r="O29" s="18" t="n">
        <v>156409</v>
      </c>
      <c r="P29" s="18" t="n">
        <v>158935</v>
      </c>
      <c r="Q29" s="18" t="n">
        <v>165357</v>
      </c>
      <c r="R29" s="18" t="n">
        <v>168275</v>
      </c>
      <c r="S29" s="18" t="n">
        <v>171674</v>
      </c>
      <c r="T29" s="18" t="n">
        <v>177489</v>
      </c>
      <c r="U29" s="18" t="n">
        <v>179950</v>
      </c>
      <c r="V29" s="18" t="n">
        <v>184724</v>
      </c>
      <c r="W29" s="18" t="n">
        <v>186013</v>
      </c>
      <c r="X29" s="18" t="n">
        <v>190144</v>
      </c>
      <c r="Y29" s="18" t="n">
        <v>194264</v>
      </c>
      <c r="Z29" s="18" t="n">
        <v>198830</v>
      </c>
      <c r="AA29" s="18" t="n">
        <v>204354</v>
      </c>
      <c r="AB29" s="18" t="n">
        <v>212721</v>
      </c>
      <c r="AC29" s="18" t="n">
        <v>221424</v>
      </c>
    </row>
    <row r="30">
      <c r="A30" s="4" t="inlineStr">
        <is>
          <t>Total Current Liabilities</t>
        </is>
      </c>
      <c r="B30" s="18" t="n">
        <v>14412</v>
      </c>
      <c r="C30" s="18" t="n">
        <v>13314</v>
      </c>
      <c r="D30" s="18" t="n">
        <v>13853</v>
      </c>
      <c r="E30" s="18" t="n">
        <v>13722</v>
      </c>
      <c r="F30" s="18" t="n">
        <v>12365</v>
      </c>
      <c r="G30" s="18" t="n">
        <v>15712</v>
      </c>
      <c r="H30" s="18" t="n">
        <v>15558</v>
      </c>
      <c r="I30" s="18" t="n">
        <v>15783</v>
      </c>
      <c r="J30" s="18" t="n">
        <v>16818</v>
      </c>
      <c r="K30" s="18" t="n">
        <v>20456</v>
      </c>
      <c r="L30" s="18" t="n">
        <v>17437</v>
      </c>
      <c r="M30" s="18" t="n">
        <v>22423</v>
      </c>
      <c r="N30" s="18" t="n">
        <v>26821</v>
      </c>
      <c r="O30" s="18" t="n">
        <v>27793</v>
      </c>
      <c r="P30" s="18" t="n">
        <v>26695</v>
      </c>
      <c r="Q30" s="18" t="n">
        <v>25377</v>
      </c>
      <c r="R30" s="18" t="n">
        <v>24871</v>
      </c>
      <c r="S30" s="18" t="n">
        <v>28496</v>
      </c>
      <c r="T30" s="18" t="n">
        <v>27963</v>
      </c>
      <c r="U30" s="18" t="n">
        <v>24803</v>
      </c>
      <c r="V30" s="18" t="n">
        <v>26231</v>
      </c>
      <c r="W30" s="18" t="n">
        <v>29647</v>
      </c>
      <c r="X30" s="18" t="n">
        <v>25355</v>
      </c>
      <c r="Y30" s="18" t="n">
        <v>22861</v>
      </c>
      <c r="Z30" s="18" t="n">
        <v>23047</v>
      </c>
      <c r="AA30" s="18" t="n">
        <v>22911</v>
      </c>
      <c r="AB30" s="18" t="n">
        <v>22817</v>
      </c>
      <c r="AC30" s="18" t="n">
        <v>25573</v>
      </c>
    </row>
    <row r="31">
      <c r="A31" s="4" t="inlineStr">
        <is>
          <t>Long-term Debt</t>
        </is>
      </c>
      <c r="B31" s="18" t="n">
        <v>33947</v>
      </c>
      <c r="C31" s="18" t="n">
        <v>36144</v>
      </c>
      <c r="D31" s="18" t="n">
        <v>37543</v>
      </c>
      <c r="E31" s="18" t="n">
        <v>41116</v>
      </c>
      <c r="F31" s="18" t="n">
        <v>42667</v>
      </c>
      <c r="G31" s="18" t="n">
        <v>42794</v>
      </c>
      <c r="H31" s="18" t="n">
        <v>41944</v>
      </c>
      <c r="I31" s="18" t="n">
        <v>46065</v>
      </c>
      <c r="J31" s="18" t="n">
        <v>47559</v>
      </c>
      <c r="K31" s="18" t="n">
        <v>48092</v>
      </c>
      <c r="L31" s="18" t="n">
        <v>50960</v>
      </c>
      <c r="M31" s="18" t="n">
        <v>50974</v>
      </c>
      <c r="N31" s="18" t="n">
        <v>53382</v>
      </c>
      <c r="O31" s="18" t="n">
        <v>54670</v>
      </c>
      <c r="P31" s="18" t="n">
        <v>55256</v>
      </c>
      <c r="Q31" s="18" t="n">
        <v>59007</v>
      </c>
      <c r="R31" s="18" t="n">
        <v>60982</v>
      </c>
      <c r="S31" s="18" t="n">
        <v>59183</v>
      </c>
      <c r="T31" s="18" t="n">
        <v>61405</v>
      </c>
      <c r="U31" s="18" t="n">
        <v>65868</v>
      </c>
      <c r="V31" s="18" t="n">
        <v>68494</v>
      </c>
      <c r="W31" s="18" t="n">
        <v>66100</v>
      </c>
      <c r="X31" s="18" t="n">
        <v>72385</v>
      </c>
      <c r="Y31" s="18" t="n">
        <v>79814</v>
      </c>
      <c r="Z31" s="18" t="n">
        <v>82690</v>
      </c>
      <c r="AA31" s="18" t="n">
        <v>84169</v>
      </c>
      <c r="AB31" s="18" t="n">
        <v>89556</v>
      </c>
      <c r="AC31" s="18" t="n">
        <v>93948</v>
      </c>
    </row>
    <row r="32">
      <c r="A32" s="4" t="inlineStr">
        <is>
          <t>Total Equity</t>
        </is>
      </c>
      <c r="B32" s="18" t="n">
        <v>34910</v>
      </c>
      <c r="C32" s="18" t="n">
        <v>36592</v>
      </c>
      <c r="D32" s="18" t="n">
        <v>37005</v>
      </c>
      <c r="E32" s="18" t="n">
        <v>36403</v>
      </c>
      <c r="F32" s="18" t="n">
        <v>37073</v>
      </c>
      <c r="G32" s="18" t="n">
        <v>37287</v>
      </c>
      <c r="H32" s="18" t="n">
        <v>36513</v>
      </c>
      <c r="I32" s="18" t="n">
        <v>37378</v>
      </c>
      <c r="J32" s="18" t="n">
        <v>36932</v>
      </c>
      <c r="K32" s="18" t="n">
        <v>36649</v>
      </c>
      <c r="L32" s="18" t="n">
        <v>37202</v>
      </c>
      <c r="M32" s="18" t="n">
        <v>35887</v>
      </c>
      <c r="N32" s="18" t="n">
        <v>36439</v>
      </c>
      <c r="O32" s="18" t="n">
        <v>38629</v>
      </c>
      <c r="P32" s="18" t="n">
        <v>39229</v>
      </c>
      <c r="Q32" s="18" t="n">
        <v>42896</v>
      </c>
      <c r="R32" s="18" t="n">
        <v>44793</v>
      </c>
      <c r="S32" s="18" t="n">
        <v>47095</v>
      </c>
      <c r="T32" s="18" t="n">
        <v>47468</v>
      </c>
      <c r="U32" s="18" t="n">
        <v>48641</v>
      </c>
      <c r="V32" s="18" t="n">
        <v>49140</v>
      </c>
      <c r="W32" s="18" t="n">
        <v>50051</v>
      </c>
      <c r="X32" s="18" t="n">
        <v>50101</v>
      </c>
      <c r="Y32" s="18" t="n">
        <v>49812</v>
      </c>
      <c r="Z32" s="18" t="n">
        <v>50797</v>
      </c>
      <c r="AA32" s="18" t="n">
        <v>54181</v>
      </c>
      <c r="AB32" s="18" t="n">
        <v>54608</v>
      </c>
      <c r="AC32" s="18" t="n">
        <v>55222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1262</v>
      </c>
      <c r="C34" s="18" t="n">
        <v>1313</v>
      </c>
      <c r="D34" s="18" t="n">
        <v>1041</v>
      </c>
      <c r="E34" s="18" t="n">
        <v>922</v>
      </c>
      <c r="F34" s="18" t="n">
        <v>1032</v>
      </c>
      <c r="G34" s="18" t="n">
        <v>1338</v>
      </c>
      <c r="H34" s="18" t="n">
        <v>1023</v>
      </c>
      <c r="I34" s="18" t="n">
        <v>823</v>
      </c>
      <c r="J34" s="18" t="n">
        <v>1041</v>
      </c>
      <c r="K34" s="18" t="n">
        <v>1298</v>
      </c>
      <c r="L34" s="18" t="n">
        <v>1050</v>
      </c>
      <c r="M34" s="18" t="n">
        <v>960</v>
      </c>
      <c r="N34" s="18" t="n">
        <v>1227</v>
      </c>
      <c r="O34" s="18" t="n">
        <v>1356</v>
      </c>
      <c r="P34" s="18" t="n">
        <v>1247</v>
      </c>
      <c r="Q34" s="18" t="n">
        <v>893</v>
      </c>
      <c r="R34" s="18" t="n">
        <v>1551</v>
      </c>
      <c r="S34" s="18" t="n">
        <v>2026</v>
      </c>
      <c r="T34" s="18" t="n">
        <v>1681</v>
      </c>
      <c r="U34" s="18" t="n">
        <v>988</v>
      </c>
      <c r="V34" s="18" t="n">
        <v>1471</v>
      </c>
      <c r="W34" s="18" t="n">
        <v>1720</v>
      </c>
      <c r="X34" s="18" t="n">
        <v>1582</v>
      </c>
      <c r="Y34" s="18" t="n">
        <v>1176</v>
      </c>
      <c r="Z34" s="18" t="n">
        <v>1692</v>
      </c>
      <c r="AA34" s="18" t="n">
        <v>2096</v>
      </c>
      <c r="AB34" s="18" t="n">
        <v>1977</v>
      </c>
      <c r="AC34" s="18" t="n">
        <v>1371</v>
      </c>
    </row>
    <row r="35">
      <c r="A35" s="4" t="inlineStr">
        <is>
          <t>Stock-based Compensation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107</v>
      </c>
      <c r="I35" s="18" t="n">
        <v>0</v>
      </c>
      <c r="J35" s="18" t="n">
        <v>0</v>
      </c>
      <c r="K35" s="18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18" t="n">
        <v>142</v>
      </c>
      <c r="Q35" s="18" t="n">
        <v>0</v>
      </c>
      <c r="R35" s="18" t="n">
        <v>0</v>
      </c>
      <c r="S35" s="18" t="n">
        <v>0</v>
      </c>
      <c r="T35" s="18" t="n">
        <v>0</v>
      </c>
      <c r="U35" s="18" t="n">
        <v>0</v>
      </c>
      <c r="V35" s="18" t="n">
        <v>0</v>
      </c>
      <c r="W35" s="18" t="n">
        <v>0</v>
      </c>
      <c r="X35" s="18" t="n">
        <v>0</v>
      </c>
      <c r="Y35" s="18" t="n">
        <v>0</v>
      </c>
      <c r="Z35" s="18" t="n">
        <v>0</v>
      </c>
      <c r="AA35" s="18" t="n">
        <v>0</v>
      </c>
      <c r="AB35" s="18" t="n">
        <v>0</v>
      </c>
      <c r="AC35" s="18" t="n">
        <v>0</v>
      </c>
    </row>
    <row r="36">
      <c r="A36" s="4" t="inlineStr">
        <is>
          <t>Change in Working Capital</t>
        </is>
      </c>
      <c r="B36" s="18" t="n">
        <v>54</v>
      </c>
      <c r="C36" s="18" t="n">
        <v>255</v>
      </c>
      <c r="D36" s="18" t="n">
        <v>406</v>
      </c>
      <c r="E36" s="18" t="n">
        <v>-174</v>
      </c>
      <c r="F36" s="18" t="n">
        <v>-164</v>
      </c>
      <c r="G36" s="18" t="n">
        <v>103</v>
      </c>
      <c r="H36" s="18" t="n">
        <v>-369</v>
      </c>
      <c r="I36" s="18" t="n">
        <v>-268</v>
      </c>
      <c r="J36" s="18" t="n">
        <v>-194</v>
      </c>
      <c r="K36" s="18" t="n">
        <v>105</v>
      </c>
      <c r="L36" s="18" t="n">
        <v>-166</v>
      </c>
      <c r="M36" s="18" t="n">
        <v>-479</v>
      </c>
      <c r="N36" s="18" t="n">
        <v>879</v>
      </c>
      <c r="O36" s="18" t="n">
        <v>207</v>
      </c>
      <c r="P36" s="18" t="n">
        <v>-195</v>
      </c>
      <c r="Q36" s="18" t="n">
        <v>-717</v>
      </c>
      <c r="R36" s="18" t="n">
        <v>-91</v>
      </c>
      <c r="S36" s="18" t="n">
        <v>-447</v>
      </c>
      <c r="T36" s="18" t="n">
        <v>-138</v>
      </c>
      <c r="U36" s="18" t="n">
        <v>22</v>
      </c>
      <c r="V36" s="18" t="n">
        <v>229</v>
      </c>
      <c r="W36" s="18" t="n">
        <v>598</v>
      </c>
      <c r="X36" s="18" t="n">
        <v>-689</v>
      </c>
      <c r="Y36" s="18" t="n">
        <v>10</v>
      </c>
      <c r="Z36" s="18" t="n">
        <v>44</v>
      </c>
      <c r="AA36" s="18" t="n">
        <v>46</v>
      </c>
      <c r="AB36" s="18" t="n">
        <v>-473</v>
      </c>
      <c r="AC36" s="18" t="n">
        <v>-590</v>
      </c>
    </row>
    <row r="37">
      <c r="A37" s="4" t="inlineStr">
        <is>
          <t>Operating Cash Flow</t>
        </is>
      </c>
      <c r="B37" s="18" t="n">
        <v>1684</v>
      </c>
      <c r="C37" s="18" t="n">
        <v>2962</v>
      </c>
      <c r="D37" s="18" t="n">
        <v>1912</v>
      </c>
      <c r="E37" s="18" t="n">
        <v>1894</v>
      </c>
      <c r="F37" s="18" t="n">
        <v>1898</v>
      </c>
      <c r="G37" s="18" t="n">
        <v>2839</v>
      </c>
      <c r="H37" s="18" t="n">
        <v>1352</v>
      </c>
      <c r="I37" s="18" t="n">
        <v>1292</v>
      </c>
      <c r="J37" s="18" t="n">
        <v>2203</v>
      </c>
      <c r="K37" s="18" t="n">
        <v>2741</v>
      </c>
      <c r="L37" s="18" t="n">
        <v>1317</v>
      </c>
      <c r="M37" s="18" t="n">
        <v>1962</v>
      </c>
      <c r="N37" s="18" t="n">
        <v>2831</v>
      </c>
      <c r="O37" s="18" t="n">
        <v>2474</v>
      </c>
      <c r="P37" s="18" t="n">
        <v>995</v>
      </c>
      <c r="Q37" s="18" t="n">
        <v>1673</v>
      </c>
      <c r="R37" s="18" t="n">
        <v>3086</v>
      </c>
      <c r="S37" s="18" t="n">
        <v>3664</v>
      </c>
      <c r="T37" s="18" t="n">
        <v>2878</v>
      </c>
      <c r="U37" s="18" t="n">
        <v>3077</v>
      </c>
      <c r="V37" s="18" t="n">
        <v>3933</v>
      </c>
      <c r="W37" s="18" t="n">
        <v>4269</v>
      </c>
      <c r="X37" s="18" t="n">
        <v>1981</v>
      </c>
      <c r="Y37" s="18" t="n">
        <v>2769</v>
      </c>
      <c r="Z37" s="18" t="n">
        <v>3189</v>
      </c>
      <c r="AA37" s="18" t="n">
        <v>4028</v>
      </c>
      <c r="AB37" s="18" t="n">
        <v>2499</v>
      </c>
      <c r="AC37" s="18" t="n">
        <v>2614</v>
      </c>
    </row>
    <row r="38">
      <c r="A38" s="4" t="inlineStr">
        <is>
          <t>Capex</t>
        </is>
      </c>
      <c r="B38" s="18" t="n">
        <v>-1505</v>
      </c>
      <c r="C38" s="18" t="n">
        <v>-2342</v>
      </c>
      <c r="D38" s="18" t="n">
        <v>-1344</v>
      </c>
      <c r="E38" s="18" t="n">
        <v>-1792</v>
      </c>
      <c r="F38" s="18" t="n">
        <v>-1954</v>
      </c>
      <c r="G38" s="18" t="n">
        <v>-1307</v>
      </c>
      <c r="H38" s="18" t="n">
        <v>-2355</v>
      </c>
      <c r="I38" s="18" t="n">
        <v>-1576</v>
      </c>
      <c r="J38" s="18" t="n">
        <v>-1866</v>
      </c>
      <c r="K38" s="18" t="n">
        <v>-1764</v>
      </c>
      <c r="L38" s="18" t="n">
        <v>-2624</v>
      </c>
      <c r="M38" s="18" t="n">
        <v>-2300</v>
      </c>
      <c r="N38" s="18" t="n">
        <v>-2225</v>
      </c>
      <c r="O38" s="18" t="n">
        <v>-2052</v>
      </c>
      <c r="P38" s="18" t="n">
        <v>-3165</v>
      </c>
      <c r="Q38" s="18" t="n">
        <v>-2294</v>
      </c>
      <c r="R38" s="18" t="n">
        <v>-2504</v>
      </c>
      <c r="S38" s="18" t="n">
        <v>-2656</v>
      </c>
      <c r="T38" s="18" t="n">
        <v>-2094</v>
      </c>
      <c r="U38" s="18" t="n">
        <v>-2468</v>
      </c>
      <c r="V38" s="18" t="n">
        <v>-2143</v>
      </c>
      <c r="W38" s="18" t="n">
        <v>-2061</v>
      </c>
      <c r="X38" s="18" t="n">
        <v>-1842</v>
      </c>
      <c r="Y38" s="18" t="n">
        <v>-2501</v>
      </c>
      <c r="Z38" s="18" t="n">
        <v>-2069</v>
      </c>
      <c r="AA38" s="18" t="n">
        <v>-2482</v>
      </c>
      <c r="AB38" s="18" t="n">
        <v>-2222</v>
      </c>
      <c r="AC38" s="18" t="n">
        <v>-3194</v>
      </c>
    </row>
    <row r="39">
      <c r="A39" s="4" t="inlineStr">
        <is>
          <t>Free Cash Flow</t>
        </is>
      </c>
      <c r="B39" s="18" t="n">
        <v>179</v>
      </c>
      <c r="C39" s="18" t="n">
        <v>620</v>
      </c>
      <c r="D39" s="18" t="n">
        <v>568</v>
      </c>
      <c r="E39" s="18" t="n">
        <v>102</v>
      </c>
      <c r="F39" s="18" t="n">
        <v>-56</v>
      </c>
      <c r="G39" s="18" t="n">
        <v>1532</v>
      </c>
      <c r="H39" s="18" t="n">
        <v>-1003</v>
      </c>
      <c r="I39" s="18" t="n">
        <v>-284</v>
      </c>
      <c r="J39" s="18" t="n">
        <v>337</v>
      </c>
      <c r="K39" s="18" t="n">
        <v>977</v>
      </c>
      <c r="L39" s="18" t="n">
        <v>-1307</v>
      </c>
      <c r="M39" s="18" t="n">
        <v>-338</v>
      </c>
      <c r="N39" s="18" t="n">
        <v>606</v>
      </c>
      <c r="O39" s="18" t="n">
        <v>422</v>
      </c>
      <c r="P39" s="18" t="n">
        <v>-2170</v>
      </c>
      <c r="Q39" s="18" t="n">
        <v>-621</v>
      </c>
      <c r="R39" s="18" t="n">
        <v>582</v>
      </c>
      <c r="S39" s="18" t="n">
        <v>1008</v>
      </c>
      <c r="T39" s="18" t="n">
        <v>784</v>
      </c>
      <c r="U39" s="18" t="n">
        <v>609</v>
      </c>
      <c r="V39" s="18" t="n">
        <v>1790</v>
      </c>
      <c r="W39" s="18" t="n">
        <v>2208</v>
      </c>
      <c r="X39" s="18" t="n">
        <v>139</v>
      </c>
      <c r="Y39" s="18" t="n">
        <v>268</v>
      </c>
      <c r="Z39" s="18" t="n">
        <v>1120</v>
      </c>
      <c r="AA39" s="18" t="n">
        <v>1546</v>
      </c>
      <c r="AB39" s="18" t="n">
        <v>277</v>
      </c>
      <c r="AC39" s="18" t="n">
        <v>-580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30839.68404</v>
      </c>
      <c r="C4" s="18" t="n">
        <v>33692.922805</v>
      </c>
      <c r="D4" s="18" t="n">
        <v>36606.196383</v>
      </c>
      <c r="E4" s="18" t="n">
        <v>38411.63596</v>
      </c>
      <c r="F4" s="18" t="n">
        <v>41621.46416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21516.715758</v>
      </c>
      <c r="C8" s="18" t="n">
        <v>23507.408251</v>
      </c>
      <c r="D8" s="18" t="n">
        <v>25539.986776</v>
      </c>
      <c r="E8" s="18" t="n">
        <v>26799.634253</v>
      </c>
      <c r="F8" s="18" t="n">
        <v>29039.117671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13711.99178</v>
      </c>
      <c r="C12" s="18" t="n">
        <v>14980.603561</v>
      </c>
      <c r="D12" s="18" t="n">
        <v>16275.90812</v>
      </c>
      <c r="E12" s="18" t="n">
        <v>17078.645678</v>
      </c>
      <c r="F12" s="18" t="n">
        <v>18505.804848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8363.36738</v>
      </c>
      <c r="C20" s="18" t="n">
        <v>9309.296840000001</v>
      </c>
      <c r="D20" s="18" t="n">
        <v>10177.53179</v>
      </c>
      <c r="E20" s="18" t="n">
        <v>10713.164935</v>
      </c>
      <c r="F20" s="18" t="n">
        <v>11562.635895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4.04454</v>
      </c>
      <c r="C24" s="47" t="n">
        <v>4.40183</v>
      </c>
      <c r="D24" s="47" t="n">
        <v>4.77261</v>
      </c>
      <c r="E24" s="47" t="n">
        <v>5.12837</v>
      </c>
      <c r="F24" s="47" t="n">
        <v>5.53501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NextEra Energy,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Financials!AC26</f>
        <v/>
      </c>
    </row>
    <row r="33">
      <c r="A33" s="4" t="inlineStr">
        <is>
          <t>- Long-term debt</t>
        </is>
      </c>
      <c r="B33" s="33">
        <f>-Financials!AC31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0.04653110094139964</v>
      </c>
      <c r="C4" s="51" t="n">
        <v>0.05153110094139964</v>
      </c>
      <c r="D4" s="51" t="n">
        <v>0.05653110094139965</v>
      </c>
      <c r="E4" s="51" t="n">
        <v>0.06153110094139964</v>
      </c>
      <c r="F4" s="51" t="n">
        <v>0.06653110094139965</v>
      </c>
      <c r="G4" s="51" t="n">
        <v>0.07153110094139964</v>
      </c>
      <c r="H4" s="51" t="n">
        <v>0.07653110094139964</v>
      </c>
    </row>
    <row r="5">
      <c r="A5" s="52" t="n">
        <v>9</v>
      </c>
      <c r="B5" s="8" t="n">
        <v>89.65032129774201</v>
      </c>
      <c r="C5" s="53" t="n">
        <v>84.29511007846681</v>
      </c>
      <c r="D5" s="53" t="n">
        <v>79.19788001365073</v>
      </c>
      <c r="E5" s="53" t="n">
        <v>74.34477183985553</v>
      </c>
      <c r="F5" s="53" t="n">
        <v>69.72273830393152</v>
      </c>
      <c r="G5" s="53" t="n">
        <v>65.31949286295006</v>
      </c>
      <c r="H5" s="53" t="n">
        <v>61.12346185263909</v>
      </c>
    </row>
    <row r="6">
      <c r="A6" s="52" t="n">
        <v>10</v>
      </c>
      <c r="B6" s="8" t="n">
        <v>99.81088283530505</v>
      </c>
      <c r="C6" s="8" t="n">
        <v>93.98274760272673</v>
      </c>
      <c r="D6" s="8" t="n">
        <v>88.43669446464784</v>
      </c>
      <c r="E6" s="53" t="n">
        <v>83.15753048004328</v>
      </c>
      <c r="F6" s="53" t="n">
        <v>78.13095430201003</v>
      </c>
      <c r="G6" s="53" t="n">
        <v>73.34349978687852</v>
      </c>
      <c r="H6" s="53" t="n">
        <v>68.78248341914596</v>
      </c>
    </row>
    <row r="7">
      <c r="A7" s="52" t="n">
        <v>11</v>
      </c>
      <c r="B7" s="8" t="n">
        <v>109.9714443728681</v>
      </c>
      <c r="C7" s="8" t="n">
        <v>103.6703851269867</v>
      </c>
      <c r="D7" s="8" t="n">
        <v>97.67550891564498</v>
      </c>
      <c r="E7" s="8" t="n">
        <v>91.97028912023104</v>
      </c>
      <c r="F7" s="53" t="n">
        <v>86.53917030008853</v>
      </c>
      <c r="G7" s="53" t="n">
        <v>81.36750671080702</v>
      </c>
      <c r="H7" s="53" t="n">
        <v>76.44150498565283</v>
      </c>
    </row>
    <row r="8">
      <c r="A8" s="52" t="n">
        <v>12</v>
      </c>
      <c r="B8" s="8" t="n">
        <v>120.1320059104312</v>
      </c>
      <c r="C8" s="8" t="n">
        <v>113.3580226512465</v>
      </c>
      <c r="D8" s="8" t="n">
        <v>106.9143233666421</v>
      </c>
      <c r="E8" s="54" t="n">
        <v>100.7830477604188</v>
      </c>
      <c r="F8" s="8" t="n">
        <v>94.94738629816698</v>
      </c>
      <c r="G8" s="8" t="n">
        <v>89.39151363473547</v>
      </c>
      <c r="H8" s="53" t="n">
        <v>84.10052655215968</v>
      </c>
    </row>
    <row r="9">
      <c r="A9" s="52" t="n">
        <v>13</v>
      </c>
      <c r="B9" s="8" t="n">
        <v>130.2925674479942</v>
      </c>
      <c r="C9" s="8" t="n">
        <v>123.0456601755065</v>
      </c>
      <c r="D9" s="8" t="n">
        <v>116.1531378176392</v>
      </c>
      <c r="E9" s="8" t="n">
        <v>109.5958064006065</v>
      </c>
      <c r="F9" s="8" t="n">
        <v>103.3556022962455</v>
      </c>
      <c r="G9" s="8" t="n">
        <v>97.41552055866394</v>
      </c>
      <c r="H9" s="8" t="n">
        <v>91.75954811866653</v>
      </c>
    </row>
    <row r="10">
      <c r="A10" s="52" t="n">
        <v>14</v>
      </c>
      <c r="B10" s="8" t="n">
        <v>140.4531289855573</v>
      </c>
      <c r="C10" s="8" t="n">
        <v>132.7332976997664</v>
      </c>
      <c r="D10" s="8" t="n">
        <v>125.3919522686363</v>
      </c>
      <c r="E10" s="8" t="n">
        <v>118.4085650407943</v>
      </c>
      <c r="F10" s="8" t="n">
        <v>111.763818294324</v>
      </c>
      <c r="G10" s="8" t="n">
        <v>105.4395274825924</v>
      </c>
      <c r="H10" s="8" t="n">
        <v>99.41856968517338</v>
      </c>
    </row>
    <row r="11">
      <c r="A11" s="52" t="n">
        <v>15</v>
      </c>
      <c r="B11" s="8" t="n">
        <v>150.6136905231203</v>
      </c>
      <c r="C11" s="8" t="n">
        <v>142.4209352240263</v>
      </c>
      <c r="D11" s="8" t="n">
        <v>134.6307667196334</v>
      </c>
      <c r="E11" s="8" t="n">
        <v>127.2213236809821</v>
      </c>
      <c r="F11" s="8" t="n">
        <v>120.1720342924024</v>
      </c>
      <c r="G11" s="8" t="n">
        <v>113.4635344065209</v>
      </c>
      <c r="H11" s="8" t="n">
        <v>107.0775912516803</v>
      </c>
    </row>
    <row r="13">
      <c r="A13" s="3" t="inlineStr">
        <is>
          <t>Current price</t>
        </is>
      </c>
      <c r="B13" s="53" t="n">
        <v>88.33999633789062</v>
      </c>
    </row>
    <row r="14">
      <c r="A14" s="3" t="inlineStr">
        <is>
          <t>Base WACC / multiple</t>
        </is>
      </c>
      <c r="B14" s="55" t="n">
        <v>0.06153110094139964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0.2526204687727471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1.309427085528766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1.060093867189544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2026-07-06T20:35:15Z</dcterms:created>
  <dcterms:modified xmlns:dcterms="http://purl.org/dc/terms/" xmlns:xsi="http://www.w3.org/2001/XMLSchema-instance" xsi:type="dcterms:W3CDTF">2026-07-06T20:35:15Z</dcterms:modified>
</cp:coreProperties>
</file>