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KLA Corporation (KLAC)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Q3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KLA Corporation (KLAC)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0.1553014360046422</v>
      </c>
      <c r="C20" s="15" t="n">
        <v>0.05000000000000002</v>
      </c>
      <c r="D20" s="16" t="n">
        <v>0.1553014360046422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0.4842320528458418</v>
      </c>
      <c r="D29" s="16" t="n">
        <v>0.4842320528458418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0.540305824178408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371.9199000000001</v>
      </c>
      <c r="D34" s="18" t="n">
        <v>371.9199000000001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1.501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0.006734676596437494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235.5500030517578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989.9486562800435</v>
      </c>
      <c r="C58" s="28" t="n">
        <v>1322.813498582646</v>
      </c>
      <c r="D58" s="28" t="n">
        <v>734.8682542943649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0.02180054856129755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0.01308032913677853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KLAC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SUM(Financials!G3:J3)</f>
        <v/>
      </c>
      <c r="C4" s="33">
        <f>SUM(Financials!K3:N3)</f>
        <v/>
      </c>
      <c r="D4" s="33">
        <f>SUM(Financials!O3:R3)</f>
        <v/>
      </c>
      <c r="E4" s="33">
        <f>SUM(Financials!S3:V3)</f>
        <v/>
      </c>
      <c r="F4" s="33">
        <f>SUM(Financials!W3:Z3)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SUM(Financials!G5:J5)</f>
        <v/>
      </c>
      <c r="C10" s="33">
        <f>SUM(Financials!K5:N5)</f>
        <v/>
      </c>
      <c r="D10" s="33">
        <f>SUM(Financials!O5:R5)</f>
        <v/>
      </c>
      <c r="E10" s="33">
        <f>SUM(Financials!S5:V5)</f>
        <v/>
      </c>
      <c r="F10" s="33">
        <f>SUM(Financials!W5:Z5)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0.3875902608076464</v>
      </c>
      <c r="H11" s="15" t="n">
        <v>0.3875902608076464</v>
      </c>
      <c r="I11" s="15" t="n">
        <v>0.3875902608076464</v>
      </c>
      <c r="J11" s="15" t="n">
        <v>0.3875902608076464</v>
      </c>
      <c r="K11" s="15" t="n">
        <v>0.3875902608076464</v>
      </c>
      <c r="L11" s="15" t="n">
        <v>0.3875902608076464</v>
      </c>
      <c r="M11" s="15" t="n">
        <v>0.3875902608076464</v>
      </c>
      <c r="N11" s="15" t="n">
        <v>0.3875902608076464</v>
      </c>
      <c r="O11" s="15" t="n">
        <v>0.3875902608076464</v>
      </c>
      <c r="P11" s="15" t="n">
        <v>0.3875902608076464</v>
      </c>
    </row>
    <row r="12">
      <c r="A12" s="4" t="inlineStr">
        <is>
          <t>R&amp;D / Technology</t>
        </is>
      </c>
      <c r="B12" s="33">
        <f>SUM(Financials!G7:J7)</f>
        <v/>
      </c>
      <c r="C12" s="33">
        <f>SUM(Financials!K7:N7)</f>
        <v/>
      </c>
      <c r="D12" s="33">
        <f>SUM(Financials!O7:R7)</f>
        <v/>
      </c>
      <c r="E12" s="33">
        <f>SUM(Financials!S7:V7)</f>
        <v/>
      </c>
      <c r="F12" s="33">
        <f>SUM(Financials!W7:Z7)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0.1119051391384879</v>
      </c>
      <c r="H13" s="15" t="n">
        <v>0.1119051391384879</v>
      </c>
      <c r="I13" s="15" t="n">
        <v>0.1119051391384879</v>
      </c>
      <c r="J13" s="15" t="n">
        <v>0.1119051391384879</v>
      </c>
      <c r="K13" s="15" t="n">
        <v>0.1119051391384879</v>
      </c>
      <c r="L13" s="15" t="n">
        <v>0.1119051391384879</v>
      </c>
      <c r="M13" s="15" t="n">
        <v>0.1119051391384879</v>
      </c>
      <c r="N13" s="15" t="n">
        <v>0.1119051391384879</v>
      </c>
      <c r="O13" s="15" t="n">
        <v>0.1119051391384879</v>
      </c>
      <c r="P13" s="15" t="n">
        <v>0.1119051391384879</v>
      </c>
    </row>
    <row r="14">
      <c r="A14" s="4" t="inlineStr">
        <is>
          <t>SG&amp;A</t>
        </is>
      </c>
      <c r="B14" s="33">
        <f>SUM(Financials!G9:J9)</f>
        <v/>
      </c>
      <c r="C14" s="33">
        <f>SUM(Financials!K9:N9)</f>
        <v/>
      </c>
      <c r="D14" s="33">
        <f>SUM(Financials!O9:R9)</f>
        <v/>
      </c>
      <c r="E14" s="33">
        <f>SUM(Financials!S9:V9)</f>
        <v/>
      </c>
      <c r="F14" s="33">
        <f>SUM(Financials!W9:Z9)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0.08367591679018427</v>
      </c>
      <c r="H15" s="15" t="n">
        <v>0.08367591679018427</v>
      </c>
      <c r="I15" s="15" t="n">
        <v>0.08367591679018427</v>
      </c>
      <c r="J15" s="15" t="n">
        <v>0.08367591679018427</v>
      </c>
      <c r="K15" s="15" t="n">
        <v>0.08367591679018427</v>
      </c>
      <c r="L15" s="15" t="n">
        <v>0.08367591679018427</v>
      </c>
      <c r="M15" s="15" t="n">
        <v>0.08367591679018427</v>
      </c>
      <c r="N15" s="15" t="n">
        <v>0.08367591679018427</v>
      </c>
      <c r="O15" s="15" t="n">
        <v>0.08367591679018427</v>
      </c>
      <c r="P15" s="15" t="n">
        <v>0.08367591679018427</v>
      </c>
    </row>
    <row r="16">
      <c r="A16" s="4" t="inlineStr">
        <is>
          <t>Other opex (fulfilment, etc.)</t>
        </is>
      </c>
      <c r="B16" s="33">
        <f>B6-(B10+B12+B14)-SUM(Financials!G13:J13)</f>
        <v/>
      </c>
      <c r="C16" s="33">
        <f>C6-(C10+C12+C14)-SUM(Financials!K13:N13)</f>
        <v/>
      </c>
      <c r="D16" s="33">
        <f>D6-(D10+D12+D14)-SUM(Financials!O13:R13)</f>
        <v/>
      </c>
      <c r="E16" s="33">
        <f>E6-(E10+E12+E14)-SUM(Financials!S13:V13)</f>
        <v/>
      </c>
      <c r="F16" s="33">
        <f>F6-(F10+F12+F14)-SUM(Financials!W13:Z13)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SUM(Financials!G27:J27)</f>
        <v/>
      </c>
      <c r="C24" s="33">
        <f>SUM(Financials!K27:N27)</f>
        <v/>
      </c>
      <c r="D24" s="33">
        <f>SUM(Financials!O27:R27)</f>
        <v/>
      </c>
      <c r="E24" s="33">
        <f>SUM(Financials!S27:V27)</f>
        <v/>
      </c>
      <c r="F24" s="33">
        <f>SUM(Financials!W27:Z27)</f>
        <v/>
      </c>
      <c r="G24" s="41">
        <f>G6*0.0324</f>
        <v/>
      </c>
      <c r="H24" s="41">
        <f>H6*0.0324</f>
        <v/>
      </c>
      <c r="I24" s="41">
        <f>I6*0.0324</f>
        <v/>
      </c>
      <c r="J24" s="41">
        <f>J6*0.0324</f>
        <v/>
      </c>
      <c r="K24" s="41">
        <f>K6*0.0324</f>
        <v/>
      </c>
      <c r="L24" s="41">
        <f>L6*0.0324</f>
        <v/>
      </c>
      <c r="M24" s="41">
        <f>M6*0.0324</f>
        <v/>
      </c>
      <c r="N24" s="41">
        <f>N6*0.0324</f>
        <v/>
      </c>
      <c r="O24" s="41">
        <f>O6*0.0324</f>
        <v/>
      </c>
      <c r="P24" s="41">
        <f>P6*0.0324</f>
        <v/>
      </c>
    </row>
    <row r="25">
      <c r="A25" s="4" t="inlineStr">
        <is>
          <t>+ SBC (non-cash)</t>
        </is>
      </c>
      <c r="B25" s="33">
        <f>SUM(Financials!G28:J28)</f>
        <v/>
      </c>
      <c r="C25" s="33">
        <f>SUM(Financials!K28:N28)</f>
        <v/>
      </c>
      <c r="D25" s="33">
        <f>SUM(Financials!O28:R28)</f>
        <v/>
      </c>
      <c r="E25" s="33">
        <f>SUM(Financials!S28:V28)</f>
        <v/>
      </c>
      <c r="F25" s="33">
        <f>SUM(Financials!W28:Z28)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-SUM(Financials!G31:J31)</f>
        <v/>
      </c>
      <c r="C27" s="33">
        <f>-SUM(Financials!K31:N31)</f>
        <v/>
      </c>
      <c r="D27" s="33">
        <f>-SUM(Financials!O31:R31)</f>
        <v/>
      </c>
      <c r="E27" s="33">
        <f>-SUM(Financials!S31:V31)</f>
        <v/>
      </c>
      <c r="F27" s="33">
        <f>-SUM(Financials!W31:Z31)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Financials!J25+Financials!J24-Financials!J19</f>
        <v/>
      </c>
      <c r="C34" s="33">
        <f>Financials!N25+Financials!N24-Financials!N19</f>
        <v/>
      </c>
      <c r="D34" s="33">
        <f>Financials!R25+Financials!R24-Financials!R19</f>
        <v/>
      </c>
      <c r="E34" s="33">
        <f>Financials!V25+Financials!V24-Financials!V19</f>
        <v/>
      </c>
      <c r="F34" s="33">
        <f>Financials!Z25+Financials!Z24-Financials!Z19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Financials!J25</f>
        <v/>
      </c>
      <c r="C35" s="33">
        <f>Financials!N25</f>
        <v/>
      </c>
      <c r="D35" s="33">
        <f>Financials!R25</f>
        <v/>
      </c>
      <c r="E35" s="33">
        <f>Financials!V25</f>
        <v/>
      </c>
      <c r="F35" s="33">
        <f>Financials!Z25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IFERROR(SUM(Financials!K15:N15)/B35,"")</f>
        <v/>
      </c>
      <c r="D37" s="11">
        <f>IFERROR(SUM(Financials!O15:R15)/C35,"")</f>
        <v/>
      </c>
      <c r="E37" s="11">
        <f>IFERROR(SUM(Financials!S15:V15)/D35,"")</f>
        <v/>
      </c>
      <c r="F37" s="11">
        <f>IFERROR(SUM(Financials!W15:Z15)/E35,"")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Q4 2019</t>
        </is>
      </c>
      <c r="C1" s="45" t="inlineStr">
        <is>
          <t>Q1 2020</t>
        </is>
      </c>
      <c r="D1" s="45" t="inlineStr">
        <is>
          <t>Q2 2020</t>
        </is>
      </c>
      <c r="E1" s="45" t="inlineStr">
        <is>
          <t>Q3 2020</t>
        </is>
      </c>
      <c r="F1" s="45" t="inlineStr">
        <is>
          <t>Q4 2020</t>
        </is>
      </c>
      <c r="G1" s="45" t="inlineStr">
        <is>
          <t>Q1 2021</t>
        </is>
      </c>
      <c r="H1" s="45" t="inlineStr">
        <is>
          <t>Q2 2021</t>
        </is>
      </c>
      <c r="I1" s="45" t="inlineStr">
        <is>
          <t>Q3 2021</t>
        </is>
      </c>
      <c r="J1" s="45" t="inlineStr">
        <is>
          <t>Q4 2021</t>
        </is>
      </c>
      <c r="K1" s="45" t="inlineStr">
        <is>
          <t>Q1 2022</t>
        </is>
      </c>
      <c r="L1" s="45" t="inlineStr">
        <is>
          <t>Q2 2022</t>
        </is>
      </c>
      <c r="M1" s="45" t="inlineStr">
        <is>
          <t>Q3 2022</t>
        </is>
      </c>
      <c r="N1" s="45" t="inlineStr">
        <is>
          <t>Q4 2022</t>
        </is>
      </c>
      <c r="O1" s="45" t="inlineStr">
        <is>
          <t>Q1 2023</t>
        </is>
      </c>
      <c r="P1" s="45" t="inlineStr">
        <is>
          <t>Q2 2023</t>
        </is>
      </c>
      <c r="Q1" s="45" t="inlineStr">
        <is>
          <t>Q3 2023</t>
        </is>
      </c>
      <c r="R1" s="45" t="inlineStr">
        <is>
          <t>Q4 2023</t>
        </is>
      </c>
      <c r="S1" s="45" t="inlineStr">
        <is>
          <t>Q1 2024</t>
        </is>
      </c>
      <c r="T1" s="45" t="inlineStr">
        <is>
          <t>Q2 2024</t>
        </is>
      </c>
      <c r="U1" s="45" t="inlineStr">
        <is>
          <t>Q3 2024</t>
        </is>
      </c>
      <c r="V1" s="45" t="inlineStr">
        <is>
          <t>Q4 2024</t>
        </is>
      </c>
      <c r="W1" s="45" t="inlineStr">
        <is>
          <t>Q1 2025</t>
        </is>
      </c>
      <c r="X1" s="45" t="inlineStr">
        <is>
          <t>Q2 2025</t>
        </is>
      </c>
      <c r="Y1" s="45" t="inlineStr">
        <is>
          <t>Q3 2025</t>
        </is>
      </c>
      <c r="Z1" s="45" t="inlineStr">
        <is>
          <t>Q4 2025</t>
        </is>
      </c>
      <c r="AA1" s="45" t="inlineStr">
        <is>
          <t>Q1 2026</t>
        </is>
      </c>
      <c r="AB1" s="45" t="inlineStr">
        <is>
          <t>Q2 2026</t>
        </is>
      </c>
      <c r="AC1" s="45" t="inlineStr">
        <is>
          <t>Q3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1258.435</v>
      </c>
      <c r="C3" s="18" t="n">
        <v>1413.414</v>
      </c>
      <c r="D3" s="18" t="n">
        <v>1509.453</v>
      </c>
      <c r="E3" s="18" t="n">
        <v>1423.964</v>
      </c>
      <c r="F3" s="18" t="n">
        <v>1459.593</v>
      </c>
      <c r="G3" s="18" t="n">
        <v>1538.62</v>
      </c>
      <c r="H3" s="18" t="n">
        <v>1650.87</v>
      </c>
      <c r="I3" s="18" t="n">
        <v>1803.773</v>
      </c>
      <c r="J3" s="18" t="n">
        <v>1925.471</v>
      </c>
      <c r="K3" s="18" t="n">
        <v>2083.838</v>
      </c>
      <c r="L3" s="18" t="n">
        <v>2352.63</v>
      </c>
      <c r="M3" s="18" t="n">
        <v>2288.676</v>
      </c>
      <c r="N3" s="18" t="n">
        <v>2486.739</v>
      </c>
      <c r="O3" s="18" t="n">
        <v>2724.424</v>
      </c>
      <c r="P3" s="18" t="n">
        <v>2983.887</v>
      </c>
      <c r="Q3" s="18" t="n">
        <v>2432.608</v>
      </c>
      <c r="R3" s="18" t="n">
        <v>2355.137</v>
      </c>
      <c r="S3" s="18" t="n">
        <v>2396.956</v>
      </c>
      <c r="T3" s="18" t="n">
        <v>2486.726</v>
      </c>
      <c r="U3" s="18" t="n">
        <v>2355.391</v>
      </c>
      <c r="V3" s="18" t="n">
        <v>2566.232</v>
      </c>
      <c r="W3" s="18" t="n">
        <v>2841.541</v>
      </c>
      <c r="X3" s="18" t="n">
        <v>3076.851</v>
      </c>
      <c r="Y3" s="18" t="n">
        <v>3063.029</v>
      </c>
      <c r="Z3" s="18" t="n">
        <v>3174.741</v>
      </c>
      <c r="AA3" s="18" t="n">
        <v>3209.696</v>
      </c>
      <c r="AB3" s="18" t="n">
        <v>3297.146</v>
      </c>
      <c r="AC3" s="18" t="n">
        <v>3415.078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592.785</v>
      </c>
      <c r="C5" s="18" t="n">
        <v>604.241</v>
      </c>
      <c r="D5" s="18" t="n">
        <v>633.6180000000001</v>
      </c>
      <c r="E5" s="18" t="n">
        <v>590.158</v>
      </c>
      <c r="F5" s="18" t="n">
        <v>621.544</v>
      </c>
      <c r="G5" s="18" t="n">
        <v>620.562</v>
      </c>
      <c r="H5" s="18" t="n">
        <v>669.7329999999999</v>
      </c>
      <c r="I5" s="18" t="n">
        <v>709.629</v>
      </c>
      <c r="J5" s="18" t="n">
        <v>772.241</v>
      </c>
      <c r="K5" s="18" t="n">
        <v>813.624</v>
      </c>
      <c r="L5" s="18" t="n">
        <v>908.162</v>
      </c>
      <c r="M5" s="18" t="n">
        <v>892.091</v>
      </c>
      <c r="N5" s="18" t="n">
        <v>978.564</v>
      </c>
      <c r="O5" s="18" t="n">
        <v>1041.226</v>
      </c>
      <c r="P5" s="18" t="n">
        <v>1208.786</v>
      </c>
      <c r="Q5" s="18" t="n">
        <v>1005.346</v>
      </c>
      <c r="R5" s="18" t="n">
        <v>962.949</v>
      </c>
      <c r="S5" s="18" t="n">
        <v>946.891</v>
      </c>
      <c r="T5" s="18" t="n">
        <v>976.746</v>
      </c>
      <c r="U5" s="18" t="n">
        <v>963.169</v>
      </c>
      <c r="V5" s="18" t="n">
        <v>974.0549999999999</v>
      </c>
      <c r="W5" s="18" t="n">
        <v>1147.431</v>
      </c>
      <c r="X5" s="18" t="n">
        <v>1221.461</v>
      </c>
      <c r="Y5" s="18" t="n">
        <v>1175.689</v>
      </c>
      <c r="Z5" s="18" t="n">
        <v>1167.029</v>
      </c>
      <c r="AA5" s="18" t="n">
        <v>1243.07</v>
      </c>
      <c r="AB5" s="18" t="n">
        <v>1271.21</v>
      </c>
      <c r="AC5" s="18" t="n">
        <v>1327.672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206.71</v>
      </c>
      <c r="C7" s="18" t="n">
        <v>210.58</v>
      </c>
      <c r="D7" s="18" t="n">
        <v>220.751</v>
      </c>
      <c r="E7" s="18" t="n">
        <v>215.433</v>
      </c>
      <c r="F7" s="18" t="n">
        <v>217.1</v>
      </c>
      <c r="G7" s="18" t="n">
        <v>219.038</v>
      </c>
      <c r="H7" s="18" t="n">
        <v>229.064</v>
      </c>
      <c r="I7" s="18" t="n">
        <v>238.957</v>
      </c>
      <c r="J7" s="18" t="n">
        <v>241.428</v>
      </c>
      <c r="K7" s="18" t="n">
        <v>258.153</v>
      </c>
      <c r="L7" s="18" t="n">
        <v>265.031</v>
      </c>
      <c r="M7" s="18" t="n">
        <v>285.189</v>
      </c>
      <c r="N7" s="18" t="n">
        <v>296.881</v>
      </c>
      <c r="O7" s="18" t="n">
        <v>318.515</v>
      </c>
      <c r="P7" s="18" t="n">
        <v>332.826</v>
      </c>
      <c r="Q7" s="18" t="n">
        <v>328.276</v>
      </c>
      <c r="R7" s="18" t="n">
        <v>317.11</v>
      </c>
      <c r="S7" s="18" t="n">
        <v>311.214</v>
      </c>
      <c r="T7" s="18" t="n">
        <v>320.418</v>
      </c>
      <c r="U7" s="18" t="n">
        <v>321.59</v>
      </c>
      <c r="V7" s="18" t="n">
        <v>323.529</v>
      </c>
      <c r="W7" s="18" t="n">
        <v>323.145</v>
      </c>
      <c r="X7" s="18" t="n">
        <v>346.157</v>
      </c>
      <c r="Y7" s="18" t="n">
        <v>338.043</v>
      </c>
      <c r="Z7" s="18" t="n">
        <v>352.992</v>
      </c>
      <c r="AA7" s="18" t="n">
        <v>360.461</v>
      </c>
      <c r="AB7" s="18" t="n">
        <v>383.871</v>
      </c>
      <c r="AC7" s="18" t="n">
        <v>388.763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190.04</v>
      </c>
      <c r="C9" s="18" t="n">
        <v>188.345</v>
      </c>
      <c r="D9" s="18" t="n">
        <v>192.253</v>
      </c>
      <c r="E9" s="18" t="n">
        <v>185.76</v>
      </c>
      <c r="F9" s="18" t="n">
        <v>167.791</v>
      </c>
      <c r="G9" s="18" t="n">
        <v>172.631</v>
      </c>
      <c r="H9" s="18" t="n">
        <v>181.909</v>
      </c>
      <c r="I9" s="18" t="n">
        <v>183.04</v>
      </c>
      <c r="J9" s="18" t="n">
        <v>192.022</v>
      </c>
      <c r="K9" s="18" t="n">
        <v>193.261</v>
      </c>
      <c r="L9" s="18" t="n">
        <v>213.479</v>
      </c>
      <c r="M9" s="18" t="n">
        <v>216.489</v>
      </c>
      <c r="N9" s="18" t="n">
        <v>236.778</v>
      </c>
      <c r="O9" s="18" t="n">
        <v>253.98</v>
      </c>
      <c r="P9" s="18" t="n">
        <v>243.096</v>
      </c>
      <c r="Q9" s="18" t="n">
        <v>238.393</v>
      </c>
      <c r="R9" s="18" t="n">
        <v>250.857</v>
      </c>
      <c r="S9" s="18" t="n">
        <v>239.645</v>
      </c>
      <c r="T9" s="18" t="n">
        <v>237.244</v>
      </c>
      <c r="U9" s="18" t="n">
        <v>222.298</v>
      </c>
      <c r="V9" s="18" t="n">
        <v>216.124</v>
      </c>
      <c r="W9" s="18" t="n">
        <v>251.042</v>
      </c>
      <c r="X9" s="18" t="n">
        <v>267.081</v>
      </c>
      <c r="Y9" s="18" t="n">
        <v>248.905</v>
      </c>
      <c r="Z9" s="18" t="n">
        <v>250.15</v>
      </c>
      <c r="AA9" s="18" t="n">
        <v>268.988</v>
      </c>
      <c r="AB9" s="18" t="n">
        <v>279.919</v>
      </c>
      <c r="AC9" s="18" t="n">
        <v>291.134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665.65</v>
      </c>
      <c r="C11" s="18" t="n">
        <v>809.173</v>
      </c>
      <c r="D11" s="18" t="n">
        <v>875.835</v>
      </c>
      <c r="E11" s="18" t="n">
        <v>833.806</v>
      </c>
      <c r="F11" s="18" t="n">
        <v>838.049</v>
      </c>
      <c r="G11" s="18" t="n">
        <v>918.058</v>
      </c>
      <c r="H11" s="18" t="n">
        <v>981.1369999999999</v>
      </c>
      <c r="I11" s="18" t="n">
        <v>1094.144</v>
      </c>
      <c r="J11" s="18" t="n">
        <v>1153.23</v>
      </c>
      <c r="K11" s="18" t="n">
        <v>1270.214</v>
      </c>
      <c r="L11" s="18" t="n">
        <v>1444.468</v>
      </c>
      <c r="M11" s="18" t="n">
        <v>1396.585</v>
      </c>
      <c r="N11" s="18" t="n">
        <v>1508.175</v>
      </c>
      <c r="O11" s="18" t="n">
        <v>1683.198</v>
      </c>
      <c r="P11" s="18" t="n">
        <v>1775.101</v>
      </c>
      <c r="Q11" s="18" t="n">
        <v>1427.262</v>
      </c>
      <c r="R11" s="18" t="n">
        <v>1392.188</v>
      </c>
      <c r="S11" s="18" t="n">
        <v>1450.065</v>
      </c>
      <c r="T11" s="18" t="n">
        <v>1509.98</v>
      </c>
      <c r="U11" s="18" t="n">
        <v>1392.222</v>
      </c>
      <c r="V11" s="18" t="n">
        <v>1592.177</v>
      </c>
      <c r="W11" s="18" t="n">
        <v>1694.11</v>
      </c>
      <c r="X11" s="18" t="n">
        <v>1855.39</v>
      </c>
      <c r="Y11" s="18" t="n">
        <v>1887.34</v>
      </c>
      <c r="Z11" s="18" t="n">
        <v>2007.712</v>
      </c>
      <c r="AA11" s="18" t="n">
        <v>1966.626</v>
      </c>
      <c r="AB11" s="18" t="n">
        <v>2025.936</v>
      </c>
      <c r="AC11" s="18" t="n">
        <v>2087.406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268.9</v>
      </c>
      <c r="C13" s="18" t="n">
        <v>410.248</v>
      </c>
      <c r="D13" s="18" t="n">
        <v>462.831</v>
      </c>
      <c r="E13" s="18" t="n">
        <v>432.613</v>
      </c>
      <c r="F13" s="18" t="n">
        <v>453.158</v>
      </c>
      <c r="G13" s="18" t="n">
        <v>526.389</v>
      </c>
      <c r="H13" s="18" t="n">
        <v>570.164</v>
      </c>
      <c r="I13" s="18" t="n">
        <v>672.147</v>
      </c>
      <c r="J13" s="18" t="n">
        <v>719.78</v>
      </c>
      <c r="K13" s="18" t="n">
        <v>818.8</v>
      </c>
      <c r="L13" s="18" t="n">
        <v>965.958</v>
      </c>
      <c r="M13" s="18" t="n">
        <v>894.907</v>
      </c>
      <c r="N13" s="18" t="n">
        <v>971.9450000000001</v>
      </c>
      <c r="O13" s="18" t="n">
        <v>1110.703</v>
      </c>
      <c r="P13" s="18" t="n">
        <v>1199.179</v>
      </c>
      <c r="Q13" s="18" t="n">
        <v>860.593</v>
      </c>
      <c r="R13" s="18" t="n">
        <v>824.221</v>
      </c>
      <c r="S13" s="18" t="n">
        <v>899.206</v>
      </c>
      <c r="T13" s="18" t="n">
        <v>952.318</v>
      </c>
      <c r="U13" s="18" t="n">
        <v>848.3339999999999</v>
      </c>
      <c r="V13" s="18" t="n">
        <v>1052.523999</v>
      </c>
      <c r="W13" s="18" t="n">
        <v>1119.923</v>
      </c>
      <c r="X13" s="18" t="n">
        <v>1242.152</v>
      </c>
      <c r="Y13" s="18" t="n">
        <v>1300.392</v>
      </c>
      <c r="Z13" s="18" t="n">
        <v>1404.57</v>
      </c>
      <c r="AA13" s="18" t="n">
        <v>1337.177</v>
      </c>
      <c r="AB13" s="18" t="n">
        <v>1362.146</v>
      </c>
      <c r="AC13" s="18" t="n">
        <v>1407.509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217.845</v>
      </c>
      <c r="C15" s="18" t="n">
        <v>346.525</v>
      </c>
      <c r="D15" s="18" t="n">
        <v>380.555</v>
      </c>
      <c r="E15" s="18" t="n">
        <v>78.452</v>
      </c>
      <c r="F15" s="18" t="n">
        <v>411.253</v>
      </c>
      <c r="G15" s="18" t="n">
        <v>420.567</v>
      </c>
      <c r="H15" s="18" t="n">
        <v>457.251</v>
      </c>
      <c r="I15" s="18" t="n">
        <v>567.496</v>
      </c>
      <c r="J15" s="18" t="n">
        <v>632.978</v>
      </c>
      <c r="K15" s="18" t="n">
        <v>1068.417</v>
      </c>
      <c r="L15" s="18" t="n">
        <v>717.444</v>
      </c>
      <c r="M15" s="18" t="n">
        <v>730.572</v>
      </c>
      <c r="N15" s="18" t="n">
        <v>805.374</v>
      </c>
      <c r="O15" s="18" t="n">
        <v>1025.991</v>
      </c>
      <c r="P15" s="18" t="n">
        <v>978.795</v>
      </c>
      <c r="Q15" s="18" t="n">
        <v>697.837</v>
      </c>
      <c r="R15" s="18" t="n">
        <v>684.654</v>
      </c>
      <c r="S15" s="18" t="n">
        <v>741.375</v>
      </c>
      <c r="T15" s="18" t="n">
        <v>582.534</v>
      </c>
      <c r="U15" s="18" t="n">
        <v>601.5410000000001</v>
      </c>
      <c r="V15" s="18" t="n">
        <v>836.446</v>
      </c>
      <c r="W15" s="18" t="n">
        <v>945.851</v>
      </c>
      <c r="X15" s="18" t="n">
        <v>824.527</v>
      </c>
      <c r="Y15" s="18" t="n">
        <v>1088.416</v>
      </c>
      <c r="Z15" s="18" t="n">
        <v>1202.849</v>
      </c>
      <c r="AA15" s="18" t="n">
        <v>1121.04</v>
      </c>
      <c r="AB15" s="18" t="n">
        <v>1145.682</v>
      </c>
      <c r="AC15" s="18" t="n">
        <v>1200.99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161.937</v>
      </c>
      <c r="C17" s="18" t="n">
        <v>160.131</v>
      </c>
      <c r="D17" s="18" t="n">
        <v>158.62</v>
      </c>
      <c r="E17" s="18" t="n">
        <v>157.172</v>
      </c>
      <c r="F17" s="18" t="n">
        <v>156.183</v>
      </c>
      <c r="G17" s="18" t="n">
        <v>156.442</v>
      </c>
      <c r="H17" s="18" t="n">
        <v>155.56</v>
      </c>
      <c r="I17" s="18" t="n">
        <v>155.159</v>
      </c>
      <c r="J17" s="18" t="n">
        <v>154.283</v>
      </c>
      <c r="K17" s="18" t="n">
        <v>153.41</v>
      </c>
      <c r="L17" s="18" t="n">
        <v>152.331</v>
      </c>
      <c r="M17" s="18" t="n">
        <v>151.186</v>
      </c>
      <c r="N17" s="18" t="n">
        <v>149.182</v>
      </c>
      <c r="O17" s="18" t="n">
        <v>142.563</v>
      </c>
      <c r="P17" s="18" t="n">
        <v>141.966</v>
      </c>
      <c r="Q17" s="18" t="n">
        <v>138.645</v>
      </c>
      <c r="R17" s="18" t="n">
        <v>137.654</v>
      </c>
      <c r="S17" s="18" t="n">
        <v>137.104</v>
      </c>
      <c r="T17" s="18" t="n">
        <v>136.254</v>
      </c>
      <c r="U17" s="18" t="n">
        <v>135.856</v>
      </c>
      <c r="V17" s="18" t="n">
        <v>135.342</v>
      </c>
      <c r="W17" s="18" t="n">
        <v>134.858</v>
      </c>
      <c r="X17" s="18" t="n">
        <v>134.415</v>
      </c>
      <c r="Y17" s="18" t="n">
        <v>133.303</v>
      </c>
      <c r="Z17" s="18" t="n">
        <v>132.734</v>
      </c>
      <c r="AA17" s="18" t="n">
        <v>132.381</v>
      </c>
      <c r="AB17" s="18" t="n">
        <v>132.205</v>
      </c>
      <c r="AC17" s="18" t="n">
        <v>131.75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1739.385</v>
      </c>
      <c r="C19" s="18" t="n">
        <v>1751.522</v>
      </c>
      <c r="D19" s="18" t="n">
        <v>1677.522</v>
      </c>
      <c r="E19" s="18" t="n">
        <v>1634.531</v>
      </c>
      <c r="F19" s="18" t="n">
        <v>1980.472</v>
      </c>
      <c r="G19" s="18" t="n">
        <v>2043.453</v>
      </c>
      <c r="H19" s="18" t="n">
        <v>2296.53</v>
      </c>
      <c r="I19" s="18" t="n">
        <v>2442.725</v>
      </c>
      <c r="J19" s="18" t="n">
        <v>2494.522</v>
      </c>
      <c r="K19" s="18" t="n">
        <v>2624.813</v>
      </c>
      <c r="L19" s="18" t="n">
        <v>2810.461</v>
      </c>
      <c r="M19" s="18" t="n">
        <v>2577.896</v>
      </c>
      <c r="N19" s="18" t="n">
        <v>2708.008</v>
      </c>
      <c r="O19" s="18" t="n">
        <v>2953.52</v>
      </c>
      <c r="P19" s="18" t="n">
        <v>2866.35</v>
      </c>
      <c r="Q19" s="18" t="n">
        <v>2890.209</v>
      </c>
      <c r="R19" s="18" t="n">
        <v>3243.159</v>
      </c>
      <c r="S19" s="18" t="n">
        <v>3349.321</v>
      </c>
      <c r="T19" s="18" t="n">
        <v>3342.994</v>
      </c>
      <c r="U19" s="18" t="n">
        <v>4294.302</v>
      </c>
      <c r="V19" s="18" t="n">
        <v>4503.995</v>
      </c>
      <c r="W19" s="18" t="n">
        <v>4629.716</v>
      </c>
      <c r="X19" s="18" t="n">
        <v>3780.405</v>
      </c>
      <c r="Y19" s="18" t="n">
        <v>4028.622</v>
      </c>
      <c r="Z19" s="18" t="n">
        <v>4494.623</v>
      </c>
      <c r="AA19" s="18" t="n">
        <v>4683.591</v>
      </c>
      <c r="AB19" s="18" t="n">
        <v>5207.464</v>
      </c>
      <c r="AC19" s="18" t="n">
        <v>4957.938</v>
      </c>
    </row>
    <row r="20">
      <c r="A20" s="4" t="inlineStr">
        <is>
          <t>Total Current Assets</t>
        </is>
      </c>
      <c r="B20" s="18" t="n">
        <v>4315.075</v>
      </c>
      <c r="C20" s="18" t="n">
        <v>4355.749</v>
      </c>
      <c r="D20" s="18" t="n">
        <v>4377.443</v>
      </c>
      <c r="E20" s="18" t="n">
        <v>4318.465</v>
      </c>
      <c r="F20" s="18" t="n">
        <v>4723.545</v>
      </c>
      <c r="G20" s="18" t="n">
        <v>4754.699</v>
      </c>
      <c r="H20" s="18" t="n">
        <v>5222.954</v>
      </c>
      <c r="I20" s="18" t="n">
        <v>5405.165</v>
      </c>
      <c r="J20" s="18" t="n">
        <v>5696.248</v>
      </c>
      <c r="K20" s="18" t="n">
        <v>6144.672</v>
      </c>
      <c r="L20" s="18" t="n">
        <v>6701.475</v>
      </c>
      <c r="M20" s="18" t="n">
        <v>6582.717</v>
      </c>
      <c r="N20" s="18" t="n">
        <v>7168.911</v>
      </c>
      <c r="O20" s="18" t="n">
        <v>7643.939</v>
      </c>
      <c r="P20" s="18" t="n">
        <v>8132.582</v>
      </c>
      <c r="Q20" s="18" t="n">
        <v>8018.75</v>
      </c>
      <c r="R20" s="18" t="n">
        <v>8372.031999999999</v>
      </c>
      <c r="S20" s="18" t="n">
        <v>8430.790999999999</v>
      </c>
      <c r="T20" s="18" t="n">
        <v>8748.721</v>
      </c>
      <c r="U20" s="18" t="n">
        <v>9528.082</v>
      </c>
      <c r="V20" s="18" t="n">
        <v>10031.144</v>
      </c>
      <c r="W20" s="18" t="n">
        <v>10228.439</v>
      </c>
      <c r="X20" s="18" t="n">
        <v>9772.603999999999</v>
      </c>
      <c r="Y20" s="18" t="n">
        <v>9945.019</v>
      </c>
      <c r="Z20" s="18" t="n">
        <v>10698.789</v>
      </c>
      <c r="AA20" s="18" t="n">
        <v>10901.16</v>
      </c>
      <c r="AB20" s="18" t="n">
        <v>11033.194</v>
      </c>
      <c r="AC20" s="18" t="n">
        <v>11350.979</v>
      </c>
    </row>
    <row r="21">
      <c r="A21" s="4" t="inlineStr">
        <is>
          <t>PP&amp;E (net)</t>
        </is>
      </c>
      <c r="B21" s="18" t="n">
        <v>448.799</v>
      </c>
      <c r="C21" s="18" t="n">
        <v>581.177</v>
      </c>
      <c r="D21" s="18" t="n">
        <v>593.646</v>
      </c>
      <c r="E21" s="18" t="n">
        <v>595.847</v>
      </c>
      <c r="F21" s="18" t="n">
        <v>620.614</v>
      </c>
      <c r="G21" s="18" t="n">
        <v>660.606</v>
      </c>
      <c r="H21" s="18" t="n">
        <v>697.615</v>
      </c>
      <c r="I21" s="18" t="n">
        <v>730.1369999999999</v>
      </c>
      <c r="J21" s="18" t="n">
        <v>765.91</v>
      </c>
      <c r="K21" s="18" t="n">
        <v>798.163</v>
      </c>
      <c r="L21" s="18" t="n">
        <v>815.014</v>
      </c>
      <c r="M21" s="18" t="n">
        <v>910.114</v>
      </c>
      <c r="N21" s="18" t="n">
        <v>976.373</v>
      </c>
      <c r="O21" s="18" t="n">
        <v>1038.988</v>
      </c>
      <c r="P21" s="18" t="n">
        <v>1096.733</v>
      </c>
      <c r="Q21" s="18" t="n">
        <v>1185.285</v>
      </c>
      <c r="R21" s="18" t="n">
        <v>1240.547</v>
      </c>
      <c r="S21" s="18" t="n">
        <v>1277.978</v>
      </c>
      <c r="T21" s="18" t="n">
        <v>1323.925</v>
      </c>
      <c r="U21" s="18" t="n">
        <v>1347.441</v>
      </c>
      <c r="V21" s="18" t="n">
        <v>1341.78</v>
      </c>
      <c r="W21" s="18" t="n">
        <v>1368.772</v>
      </c>
      <c r="X21" s="18" t="n">
        <v>1422.964</v>
      </c>
      <c r="Y21" s="18" t="n">
        <v>1466.707</v>
      </c>
      <c r="Z21" s="18" t="n">
        <v>1252.775</v>
      </c>
      <c r="AA21" s="18" t="n">
        <v>1301.829</v>
      </c>
      <c r="AB21" s="18" t="n">
        <v>1639.195</v>
      </c>
      <c r="AC21" s="18" t="n">
        <v>1363.784</v>
      </c>
    </row>
    <row r="22">
      <c r="A22" s="4" t="inlineStr">
        <is>
          <t>Total Assets</t>
        </is>
      </c>
      <c r="B22" s="18" t="n">
        <v>9008.516</v>
      </c>
      <c r="C22" s="18" t="n">
        <v>9229.398999999999</v>
      </c>
      <c r="D22" s="18" t="n">
        <v>9250.719999999999</v>
      </c>
      <c r="E22" s="18" t="n">
        <v>8845.946</v>
      </c>
      <c r="F22" s="18" t="n">
        <v>9279.959999999999</v>
      </c>
      <c r="G22" s="18" t="n">
        <v>9320.096</v>
      </c>
      <c r="H22" s="18" t="n">
        <v>9814.644</v>
      </c>
      <c r="I22" s="18" t="n">
        <v>9939.24</v>
      </c>
      <c r="J22" s="18" t="n">
        <v>10271.124</v>
      </c>
      <c r="K22" s="18" t="n">
        <v>11146.477</v>
      </c>
      <c r="L22" s="18" t="n">
        <v>11680.237</v>
      </c>
      <c r="M22" s="18" t="n">
        <v>12017.812</v>
      </c>
      <c r="N22" s="18" t="n">
        <v>12597.088</v>
      </c>
      <c r="O22" s="18" t="n">
        <v>13123.652</v>
      </c>
      <c r="P22" s="18" t="n">
        <v>13729.074</v>
      </c>
      <c r="Q22" s="18" t="n">
        <v>13683.549</v>
      </c>
      <c r="R22" s="18" t="n">
        <v>14072.357</v>
      </c>
      <c r="S22" s="18" t="n">
        <v>14136.841</v>
      </c>
      <c r="T22" s="18" t="n">
        <v>14280.501</v>
      </c>
      <c r="U22" s="18" t="n">
        <v>14957.289</v>
      </c>
      <c r="V22" s="18" t="n">
        <v>15433.566</v>
      </c>
      <c r="W22" s="18" t="n">
        <v>15681.737</v>
      </c>
      <c r="X22" s="18" t="n">
        <v>15001.696</v>
      </c>
      <c r="Y22" s="18" t="n">
        <v>15188.307</v>
      </c>
      <c r="Z22" s="18" t="n">
        <v>16067.926</v>
      </c>
      <c r="AA22" s="18" t="n">
        <v>16317.974</v>
      </c>
      <c r="AB22" s="18" t="n">
        <v>16720.228</v>
      </c>
      <c r="AC22" s="18" t="n">
        <v>16873.515</v>
      </c>
    </row>
    <row r="23">
      <c r="A23" s="4" t="inlineStr">
        <is>
          <t>Total Current Liabilities</t>
        </is>
      </c>
      <c r="B23" s="18" t="n">
        <v>1768.486</v>
      </c>
      <c r="C23" s="18" t="n">
        <v>1943.447</v>
      </c>
      <c r="D23" s="18" t="n">
        <v>1718.243</v>
      </c>
      <c r="E23" s="18" t="n">
        <v>1653.274</v>
      </c>
      <c r="F23" s="18" t="n">
        <v>1699.786</v>
      </c>
      <c r="G23" s="18" t="n">
        <v>1748.828</v>
      </c>
      <c r="H23" s="18" t="n">
        <v>2020.112</v>
      </c>
      <c r="I23" s="18" t="n">
        <v>2029.466</v>
      </c>
      <c r="J23" s="18" t="n">
        <v>2103.227</v>
      </c>
      <c r="K23" s="18" t="n">
        <v>2523.01</v>
      </c>
      <c r="L23" s="18" t="n">
        <v>2776.098</v>
      </c>
      <c r="M23" s="18" t="n">
        <v>2828.983</v>
      </c>
      <c r="N23" s="18" t="n">
        <v>2871.083</v>
      </c>
      <c r="O23" s="18" t="n">
        <v>3139.364</v>
      </c>
      <c r="P23" s="18" t="n">
        <v>3482.501</v>
      </c>
      <c r="Q23" s="18" t="n">
        <v>3418.521</v>
      </c>
      <c r="R23" s="18" t="n">
        <v>3742.842</v>
      </c>
      <c r="S23" s="18" t="n">
        <v>3817.743</v>
      </c>
      <c r="T23" s="18" t="n">
        <v>4570.997</v>
      </c>
      <c r="U23" s="18" t="n">
        <v>4458.538</v>
      </c>
      <c r="V23" s="18" t="n">
        <v>4660.774</v>
      </c>
      <c r="W23" s="18" t="n">
        <v>4798.214</v>
      </c>
      <c r="X23" s="18" t="n">
        <v>4138.258</v>
      </c>
      <c r="Y23" s="18" t="n">
        <v>3909.929</v>
      </c>
      <c r="Z23" s="18" t="n">
        <v>4085.795</v>
      </c>
      <c r="AA23" s="18" t="n">
        <v>4049.97</v>
      </c>
      <c r="AB23" s="18" t="n">
        <v>3982.472</v>
      </c>
      <c r="AC23" s="18" t="n">
        <v>3751.555</v>
      </c>
    </row>
    <row r="24">
      <c r="A24" s="4" t="inlineStr">
        <is>
          <t>Long-term Debt</t>
        </is>
      </c>
      <c r="B24" s="18" t="n">
        <v>3173.383</v>
      </c>
      <c r="C24" s="18" t="n">
        <v>3174.13</v>
      </c>
      <c r="D24" s="18" t="n">
        <v>3399.877</v>
      </c>
      <c r="E24" s="18" t="n">
        <v>3443.937</v>
      </c>
      <c r="F24" s="18" t="n">
        <v>3469.67</v>
      </c>
      <c r="G24" s="18" t="n">
        <v>3420.403</v>
      </c>
      <c r="H24" s="18" t="n">
        <v>3441.465</v>
      </c>
      <c r="I24" s="18" t="n">
        <v>3422.097</v>
      </c>
      <c r="J24" s="18" t="n">
        <v>3422.767</v>
      </c>
      <c r="K24" s="18" t="n">
        <v>3423.436</v>
      </c>
      <c r="L24" s="18" t="n">
        <v>3424.106</v>
      </c>
      <c r="M24" s="18" t="n">
        <v>3699.799</v>
      </c>
      <c r="N24" s="18" t="n">
        <v>6660.718</v>
      </c>
      <c r="O24" s="18" t="n">
        <v>6312.749</v>
      </c>
      <c r="P24" s="18" t="n">
        <v>6113.745</v>
      </c>
      <c r="Q24" s="18" t="n">
        <v>5889.74</v>
      </c>
      <c r="R24" s="18" t="n">
        <v>5890.736</v>
      </c>
      <c r="S24" s="18" t="n">
        <v>5891.731</v>
      </c>
      <c r="T24" s="18" t="n">
        <v>5142.884</v>
      </c>
      <c r="U24" s="18" t="n">
        <v>5879.025</v>
      </c>
      <c r="V24" s="18" t="n">
        <v>5880.199</v>
      </c>
      <c r="W24" s="18" t="n">
        <v>5881.372</v>
      </c>
      <c r="X24" s="18" t="n">
        <v>5882.387</v>
      </c>
      <c r="Y24" s="18" t="n">
        <v>5883.322</v>
      </c>
      <c r="Z24" s="18" t="n">
        <v>5884.257</v>
      </c>
      <c r="AA24" s="18" t="n">
        <v>5885.193</v>
      </c>
      <c r="AB24" s="18" t="n">
        <v>6058.491</v>
      </c>
      <c r="AC24" s="18" t="n">
        <v>5887.063</v>
      </c>
    </row>
    <row r="25">
      <c r="A25" s="4" t="inlineStr">
        <is>
          <t>Total Equity</t>
        </is>
      </c>
      <c r="B25" s="18" t="n">
        <v>2659.108</v>
      </c>
      <c r="C25" s="18" t="n">
        <v>2661.163</v>
      </c>
      <c r="D25" s="18" t="n">
        <v>2669.764</v>
      </c>
      <c r="E25" s="18" t="n">
        <v>2307.433</v>
      </c>
      <c r="F25" s="18" t="n">
        <v>2665.424</v>
      </c>
      <c r="G25" s="18" t="n">
        <v>2747.184</v>
      </c>
      <c r="H25" s="18" t="n">
        <v>2935.182</v>
      </c>
      <c r="I25" s="18" t="n">
        <v>3114.856</v>
      </c>
      <c r="J25" s="18" t="n">
        <v>3377.554</v>
      </c>
      <c r="K25" s="18" t="n">
        <v>3860.93</v>
      </c>
      <c r="L25" s="18" t="n">
        <v>4048.527</v>
      </c>
      <c r="M25" s="18" t="n">
        <v>4080.307</v>
      </c>
      <c r="N25" s="18" t="n">
        <v>1401.351</v>
      </c>
      <c r="O25" s="18" t="n">
        <v>2102.074</v>
      </c>
      <c r="P25" s="18" t="n">
        <v>2603.26</v>
      </c>
      <c r="Q25" s="18" t="n">
        <v>2682.781</v>
      </c>
      <c r="R25" s="18" t="n">
        <v>2919.753</v>
      </c>
      <c r="S25" s="18" t="n">
        <v>2990.217</v>
      </c>
      <c r="T25" s="18" t="n">
        <v>3043.711</v>
      </c>
      <c r="U25" s="18" t="n">
        <v>3094.885</v>
      </c>
      <c r="V25" s="18" t="n">
        <v>3368.328</v>
      </c>
      <c r="W25" s="18" t="n">
        <v>3559.714</v>
      </c>
      <c r="X25" s="18" t="n">
        <v>3584.549</v>
      </c>
      <c r="Y25" s="18" t="n">
        <v>4004.739</v>
      </c>
      <c r="Z25" s="18" t="n">
        <v>4692.453</v>
      </c>
      <c r="AA25" s="18" t="n">
        <v>4985.071</v>
      </c>
      <c r="AB25" s="18" t="n">
        <v>5465.731</v>
      </c>
      <c r="AC25" s="18" t="n">
        <v>5830.495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127.886</v>
      </c>
      <c r="C27" s="18" t="n">
        <v>98.58799999999999</v>
      </c>
      <c r="D27" s="18" t="n">
        <v>88.53400000000001</v>
      </c>
      <c r="E27" s="18" t="n">
        <v>81.98999999999999</v>
      </c>
      <c r="F27" s="18" t="n">
        <v>78.937</v>
      </c>
      <c r="G27" s="18" t="n">
        <v>80.066</v>
      </c>
      <c r="H27" s="18" t="n">
        <v>84.25700000000001</v>
      </c>
      <c r="I27" s="18" t="n">
        <v>84.36499999999999</v>
      </c>
      <c r="J27" s="18" t="n">
        <v>84.64700000000001</v>
      </c>
      <c r="K27" s="18" t="n">
        <v>84.824</v>
      </c>
      <c r="L27" s="18" t="n">
        <v>85.545</v>
      </c>
      <c r="M27" s="18" t="n">
        <v>92.127</v>
      </c>
      <c r="N27" s="18" t="n">
        <v>100.848</v>
      </c>
      <c r="O27" s="18" t="n">
        <v>101.938</v>
      </c>
      <c r="P27" s="18" t="n">
        <v>103.508</v>
      </c>
      <c r="Q27" s="18" t="n">
        <v>104.854</v>
      </c>
      <c r="R27" s="18" t="n">
        <v>104.813</v>
      </c>
      <c r="S27" s="18" t="n">
        <v>102.403</v>
      </c>
      <c r="T27" s="18" t="n">
        <v>99.063</v>
      </c>
      <c r="U27" s="18" t="n">
        <v>99.26300000000001</v>
      </c>
      <c r="V27" s="18" t="n">
        <v>101.001</v>
      </c>
      <c r="W27" s="18" t="n">
        <v>95.82299999999999</v>
      </c>
      <c r="X27" s="18" t="n">
        <v>103.922</v>
      </c>
      <c r="Y27" s="18" t="n">
        <v>98.09099999999999</v>
      </c>
      <c r="Z27" s="18" t="n">
        <v>96.252</v>
      </c>
      <c r="AA27" s="18" t="n">
        <v>97.01600000000001</v>
      </c>
      <c r="AB27" s="18" t="n">
        <v>99.268</v>
      </c>
      <c r="AC27" s="18" t="n">
        <v>99.08799999999999</v>
      </c>
    </row>
    <row r="28">
      <c r="A28" s="4" t="inlineStr">
        <is>
          <t>Stock-based Compensation</t>
        </is>
      </c>
      <c r="B28" s="18" t="n">
        <v>28.168</v>
      </c>
      <c r="C28" s="18" t="n">
        <v>26.944</v>
      </c>
      <c r="D28" s="18" t="n">
        <v>26.789</v>
      </c>
      <c r="E28" s="18" t="n">
        <v>31.27</v>
      </c>
      <c r="F28" s="18" t="n">
        <v>26.378</v>
      </c>
      <c r="G28" s="18" t="n">
        <v>26.992</v>
      </c>
      <c r="H28" s="18" t="n">
        <v>26.827</v>
      </c>
      <c r="I28" s="18" t="n">
        <v>30.327</v>
      </c>
      <c r="J28" s="18" t="n">
        <v>27.69</v>
      </c>
      <c r="K28" s="18" t="n">
        <v>25.216</v>
      </c>
      <c r="L28" s="18" t="n">
        <v>27.766</v>
      </c>
      <c r="M28" s="18" t="n">
        <v>37.087</v>
      </c>
      <c r="N28" s="18" t="n">
        <v>36.849</v>
      </c>
      <c r="O28" s="18" t="n">
        <v>34.982</v>
      </c>
      <c r="P28" s="18" t="n">
        <v>38.405</v>
      </c>
      <c r="Q28" s="18" t="n">
        <v>48.13</v>
      </c>
      <c r="R28" s="18" t="n">
        <v>49.907</v>
      </c>
      <c r="S28" s="18" t="n">
        <v>48.772</v>
      </c>
      <c r="T28" s="18" t="n">
        <v>48.62</v>
      </c>
      <c r="U28" s="18" t="n">
        <v>56.682</v>
      </c>
      <c r="V28" s="18" t="n">
        <v>58.621</v>
      </c>
      <c r="W28" s="18" t="n">
        <v>61.7</v>
      </c>
      <c r="X28" s="18" t="n">
        <v>61.841</v>
      </c>
      <c r="Y28" s="18" t="n">
        <v>70.20099999999999</v>
      </c>
      <c r="Z28" s="18" t="n">
        <v>71.26900000000001</v>
      </c>
      <c r="AA28" s="18" t="n">
        <v>70.182</v>
      </c>
      <c r="AB28" s="18" t="n">
        <v>73.947</v>
      </c>
      <c r="AC28" s="18" t="n">
        <v>83.938</v>
      </c>
    </row>
    <row r="29">
      <c r="A29" s="4" t="inlineStr">
        <is>
          <t>Change in Working Capital</t>
        </is>
      </c>
      <c r="B29" s="18" t="n">
        <v>-19.598</v>
      </c>
      <c r="C29" s="18" t="n">
        <v>11.523</v>
      </c>
      <c r="D29" s="18" t="n">
        <v>-102.447</v>
      </c>
      <c r="E29" s="18" t="n">
        <v>-0.96</v>
      </c>
      <c r="F29" s="18" t="n">
        <v>4.519</v>
      </c>
      <c r="G29" s="18" t="n">
        <v>11.98</v>
      </c>
      <c r="H29" s="18" t="n">
        <v>23.217</v>
      </c>
      <c r="I29" s="18" t="n">
        <v>-36.347</v>
      </c>
      <c r="J29" s="18" t="n">
        <v>-202.505</v>
      </c>
      <c r="K29" s="18" t="n">
        <v>91.64100000000001</v>
      </c>
      <c r="L29" s="18" t="n">
        <v>-82.861</v>
      </c>
      <c r="M29" s="18" t="n">
        <v>-22.19</v>
      </c>
      <c r="N29" s="18" t="n">
        <v>-292.001</v>
      </c>
      <c r="O29" s="18" t="n">
        <v>1.978</v>
      </c>
      <c r="P29" s="18" t="n">
        <v>-313.598</v>
      </c>
      <c r="Q29" s="18" t="n">
        <v>243.161</v>
      </c>
      <c r="R29" s="18" t="n">
        <v>78.572</v>
      </c>
      <c r="S29" s="18" t="n">
        <v>52.542</v>
      </c>
      <c r="T29" s="18" t="n">
        <v>-227.471</v>
      </c>
      <c r="U29" s="18" t="n">
        <v>62.088</v>
      </c>
      <c r="V29" s="18" t="n">
        <v>-88.755</v>
      </c>
      <c r="W29" s="18" t="n">
        <v>-34.172</v>
      </c>
      <c r="X29" s="18" t="n">
        <v>-322.084</v>
      </c>
      <c r="Y29" s="18" t="n">
        <v>-153.67</v>
      </c>
      <c r="Z29" s="18" t="n">
        <v>-136.339</v>
      </c>
      <c r="AA29" s="18" t="n">
        <v>-128.11</v>
      </c>
      <c r="AB29" s="18" t="n">
        <v>78.134</v>
      </c>
      <c r="AC29" s="18" t="n">
        <v>-676.971</v>
      </c>
    </row>
    <row r="30">
      <c r="A30" s="4" t="inlineStr">
        <is>
          <t>Operating Cash Flow</t>
        </is>
      </c>
      <c r="B30" s="18" t="n">
        <v>325.461</v>
      </c>
      <c r="C30" s="18" t="n">
        <v>496.245</v>
      </c>
      <c r="D30" s="18" t="n">
        <v>387.731</v>
      </c>
      <c r="E30" s="18" t="n">
        <v>442.028</v>
      </c>
      <c r="F30" s="18" t="n">
        <v>452.846</v>
      </c>
      <c r="G30" s="18" t="n">
        <v>512.171</v>
      </c>
      <c r="H30" s="18" t="n">
        <v>561.081</v>
      </c>
      <c r="I30" s="18" t="n">
        <v>646.15</v>
      </c>
      <c r="J30" s="18" t="n">
        <v>465.624</v>
      </c>
      <c r="K30" s="18" t="n">
        <v>863.797</v>
      </c>
      <c r="L30" s="18" t="n">
        <v>810.798</v>
      </c>
      <c r="M30" s="18" t="n">
        <v>818.878</v>
      </c>
      <c r="N30" s="18" t="n">
        <v>819.229</v>
      </c>
      <c r="O30" s="18" t="n">
        <v>1011.545</v>
      </c>
      <c r="P30" s="18" t="n">
        <v>688.29</v>
      </c>
      <c r="Q30" s="18" t="n">
        <v>1010.855</v>
      </c>
      <c r="R30" s="18" t="n">
        <v>959.115</v>
      </c>
      <c r="S30" s="18" t="n">
        <v>883.74</v>
      </c>
      <c r="T30" s="18" t="n">
        <v>622.242</v>
      </c>
      <c r="U30" s="18" t="n">
        <v>909.978</v>
      </c>
      <c r="V30" s="18" t="n">
        <v>892.615</v>
      </c>
      <c r="W30" s="18" t="n">
        <v>995.2380000000001</v>
      </c>
      <c r="X30" s="18" t="n">
        <v>849.515</v>
      </c>
      <c r="Y30" s="18" t="n">
        <v>1072.159</v>
      </c>
      <c r="Z30" s="18" t="n">
        <v>1164.991</v>
      </c>
      <c r="AA30" s="18" t="n">
        <v>1161.591</v>
      </c>
      <c r="AB30" s="18" t="n">
        <v>1367.607</v>
      </c>
      <c r="AC30" s="18" t="n">
        <v>707.451</v>
      </c>
    </row>
    <row r="31">
      <c r="A31" s="4" t="inlineStr">
        <is>
          <t>Capex</t>
        </is>
      </c>
      <c r="B31" s="18" t="n">
        <v>-55.846</v>
      </c>
      <c r="C31" s="18" t="n">
        <v>-32.566</v>
      </c>
      <c r="D31" s="18" t="n">
        <v>-34.874</v>
      </c>
      <c r="E31" s="18" t="n">
        <v>-43.445</v>
      </c>
      <c r="F31" s="18" t="n">
        <v>-41.79</v>
      </c>
      <c r="G31" s="18" t="n">
        <v>-55.925</v>
      </c>
      <c r="H31" s="18" t="n">
        <v>-59.144</v>
      </c>
      <c r="I31" s="18" t="n">
        <v>-61.183</v>
      </c>
      <c r="J31" s="18" t="n">
        <v>-55.376</v>
      </c>
      <c r="K31" s="18" t="n">
        <v>-68.955</v>
      </c>
      <c r="L31" s="18" t="n">
        <v>-64.901</v>
      </c>
      <c r="M31" s="18" t="n">
        <v>-100.304</v>
      </c>
      <c r="N31" s="18" t="n">
        <v>-73.16</v>
      </c>
      <c r="O31" s="18" t="n">
        <v>-84.352</v>
      </c>
      <c r="P31" s="18" t="n">
        <v>-93.642</v>
      </c>
      <c r="Q31" s="18" t="n">
        <v>-84.914</v>
      </c>
      <c r="R31" s="18" t="n">
        <v>-78.68300000000001</v>
      </c>
      <c r="S31" s="18" t="n">
        <v>-68.045</v>
      </c>
      <c r="T31" s="18" t="n">
        <v>-76.801</v>
      </c>
      <c r="U31" s="18" t="n">
        <v>-71.79300000000001</v>
      </c>
      <c r="V31" s="18" t="n">
        <v>-60.745</v>
      </c>
      <c r="W31" s="18" t="n">
        <v>-60.393</v>
      </c>
      <c r="X31" s="18" t="n">
        <v>-92.32299999999999</v>
      </c>
      <c r="Y31" s="18" t="n">
        <v>-84.985</v>
      </c>
      <c r="Z31" s="18" t="n">
        <v>-100.408</v>
      </c>
      <c r="AA31" s="18" t="n">
        <v>-95.89400000000001</v>
      </c>
      <c r="AB31" s="18" t="n">
        <v>-105.576</v>
      </c>
      <c r="AC31" s="18" t="n">
        <v>-85.187</v>
      </c>
    </row>
    <row r="32">
      <c r="A32" s="4" t="inlineStr">
        <is>
          <t>Free Cash Flow</t>
        </is>
      </c>
      <c r="B32" s="18" t="n">
        <v>269.615</v>
      </c>
      <c r="C32" s="18" t="n">
        <v>463.679</v>
      </c>
      <c r="D32" s="18" t="n">
        <v>352.857</v>
      </c>
      <c r="E32" s="18" t="n">
        <v>398.583</v>
      </c>
      <c r="F32" s="18" t="n">
        <v>411.056</v>
      </c>
      <c r="G32" s="18" t="n">
        <v>456.246</v>
      </c>
      <c r="H32" s="18" t="n">
        <v>501.937</v>
      </c>
      <c r="I32" s="18" t="n">
        <v>584.967</v>
      </c>
      <c r="J32" s="18" t="n">
        <v>410.248</v>
      </c>
      <c r="K32" s="18" t="n">
        <v>794.842</v>
      </c>
      <c r="L32" s="18" t="n">
        <v>745.897</v>
      </c>
      <c r="M32" s="18" t="n">
        <v>718.574</v>
      </c>
      <c r="N32" s="18" t="n">
        <v>746.069</v>
      </c>
      <c r="O32" s="18" t="n">
        <v>927.193</v>
      </c>
      <c r="P32" s="18" t="n">
        <v>594.648</v>
      </c>
      <c r="Q32" s="18" t="n">
        <v>925.941</v>
      </c>
      <c r="R32" s="18" t="n">
        <v>880.432</v>
      </c>
      <c r="S32" s="18" t="n">
        <v>815.6950000000001</v>
      </c>
      <c r="T32" s="18" t="n">
        <v>545.441</v>
      </c>
      <c r="U32" s="18" t="n">
        <v>838.1849999999999</v>
      </c>
      <c r="V32" s="18" t="n">
        <v>831.87</v>
      </c>
      <c r="W32" s="18" t="n">
        <v>934.845</v>
      </c>
      <c r="X32" s="18" t="n">
        <v>757.192</v>
      </c>
      <c r="Y32" s="18" t="n">
        <v>987.174</v>
      </c>
      <c r="Z32" s="18" t="n">
        <v>1064.583</v>
      </c>
      <c r="AA32" s="18" t="n">
        <v>1065.697</v>
      </c>
      <c r="AB32" s="18" t="n">
        <v>1262.031</v>
      </c>
      <c r="AC32" s="18" t="n">
        <v>622.264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13519.336095</v>
      </c>
      <c r="C4" s="18" t="n">
        <v>17071.506469</v>
      </c>
      <c r="D4" s="18" t="n">
        <v>19422.722976</v>
      </c>
      <c r="E4" s="18" t="n">
        <v>21096.313577</v>
      </c>
      <c r="F4" s="18" t="n">
        <v>24845.7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5715.090009</v>
      </c>
      <c r="C8" s="18" t="n">
        <v>7216.715034</v>
      </c>
      <c r="D8" s="18" t="n">
        <v>8210.655408000001</v>
      </c>
      <c r="E8" s="18" t="n">
        <v>8918.139922</v>
      </c>
      <c r="F8" s="18" t="n">
        <v>10503.134979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5172.879504</v>
      </c>
      <c r="C12" s="18" t="n">
        <v>6532.040131</v>
      </c>
      <c r="D12" s="18" t="n">
        <v>7431.681918</v>
      </c>
      <c r="E12" s="18" t="n">
        <v>8072.04491</v>
      </c>
      <c r="F12" s="18" t="n">
        <v>9506.665962999999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1276.565591</v>
      </c>
      <c r="C16" s="18" t="n">
        <v>1611.979877</v>
      </c>
      <c r="D16" s="18" t="n">
        <v>1833.993893</v>
      </c>
      <c r="E16" s="18" t="n">
        <v>1992.022968</v>
      </c>
      <c r="F16" s="18" t="n">
        <v>2346.059413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4975.3368615</v>
      </c>
      <c r="C20" s="18" t="n">
        <v>6344.53385</v>
      </c>
      <c r="D20" s="18" t="n">
        <v>7354.69963</v>
      </c>
      <c r="E20" s="18" t="n">
        <v>8660.178814000001</v>
      </c>
      <c r="F20" s="18" t="n">
        <v>10202.450076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37.03887</v>
      </c>
      <c r="C24" s="47" t="n">
        <v>50.19936</v>
      </c>
      <c r="D24" s="47" t="n">
        <v>59.93165</v>
      </c>
      <c r="E24" s="47" t="n">
        <v>64.749</v>
      </c>
      <c r="F24" s="47" t="n">
        <v>76.28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KLA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0.08903252026797463</v>
      </c>
      <c r="C4" s="51" t="n">
        <v>0.09403252026797464</v>
      </c>
      <c r="D4" s="51" t="n">
        <v>0.09903252026797463</v>
      </c>
      <c r="E4" s="51" t="n">
        <v>0.1040325202679746</v>
      </c>
      <c r="F4" s="51" t="n">
        <v>0.1090325202679746</v>
      </c>
      <c r="G4" s="51" t="n">
        <v>0.1140325202679746</v>
      </c>
      <c r="H4" s="51" t="n">
        <v>0.1190325202679746</v>
      </c>
    </row>
    <row r="5">
      <c r="A5" s="52" t="n">
        <v>9</v>
      </c>
      <c r="B5" s="8" t="n">
        <v>935.4781499328724</v>
      </c>
      <c r="C5" s="8" t="n">
        <v>901.37079036917</v>
      </c>
      <c r="D5" s="8" t="n">
        <v>868.7960641354794</v>
      </c>
      <c r="E5" s="8" t="n">
        <v>837.6761654638565</v>
      </c>
      <c r="F5" s="8" t="n">
        <v>807.9376244428536</v>
      </c>
      <c r="G5" s="8" t="n">
        <v>779.5110455072656</v>
      </c>
      <c r="H5" s="8" t="n">
        <v>752.3308628474548</v>
      </c>
    </row>
    <row r="6">
      <c r="A6" s="52" t="n">
        <v>10</v>
      </c>
      <c r="B6" s="8" t="n">
        <v>993.6764596525326</v>
      </c>
      <c r="C6" s="8" t="n">
        <v>956.963333504935</v>
      </c>
      <c r="D6" s="8" t="n">
        <v>921.9106041574372</v>
      </c>
      <c r="E6" s="8" t="n">
        <v>888.4336624025855</v>
      </c>
      <c r="F6" s="8" t="n">
        <v>856.4526256252004</v>
      </c>
      <c r="G6" s="8" t="n">
        <v>825.8920522317828</v>
      </c>
      <c r="H6" s="8" t="n">
        <v>796.6806745799108</v>
      </c>
    </row>
    <row r="7">
      <c r="A7" s="52" t="n">
        <v>11</v>
      </c>
      <c r="B7" s="8" t="n">
        <v>1051.874769372193</v>
      </c>
      <c r="C7" s="8" t="n">
        <v>1012.5558766407</v>
      </c>
      <c r="D7" s="8" t="n">
        <v>975.0251441793952</v>
      </c>
      <c r="E7" s="8" t="n">
        <v>939.1911593413145</v>
      </c>
      <c r="F7" s="8" t="n">
        <v>904.9676268075473</v>
      </c>
      <c r="G7" s="8" t="n">
        <v>872.2730589563001</v>
      </c>
      <c r="H7" s="8" t="n">
        <v>841.0304863123666</v>
      </c>
    </row>
    <row r="8">
      <c r="A8" s="52" t="n">
        <v>12</v>
      </c>
      <c r="B8" s="8" t="n">
        <v>1110.073079091853</v>
      </c>
      <c r="C8" s="8" t="n">
        <v>1068.148419776465</v>
      </c>
      <c r="D8" s="8" t="n">
        <v>1028.139684201353</v>
      </c>
      <c r="E8" s="53" t="n">
        <v>989.9486562800435</v>
      </c>
      <c r="F8" s="8" t="n">
        <v>953.4826279898941</v>
      </c>
      <c r="G8" s="8" t="n">
        <v>918.6540656808171</v>
      </c>
      <c r="H8" s="8" t="n">
        <v>885.3802980448226</v>
      </c>
    </row>
    <row r="9">
      <c r="A9" s="52" t="n">
        <v>13</v>
      </c>
      <c r="B9" s="8" t="n">
        <v>1168.271388811513</v>
      </c>
      <c r="C9" s="8" t="n">
        <v>1123.74096291223</v>
      </c>
      <c r="D9" s="8" t="n">
        <v>1081.254224223311</v>
      </c>
      <c r="E9" s="8" t="n">
        <v>1040.706153218772</v>
      </c>
      <c r="F9" s="8" t="n">
        <v>1001.997629172241</v>
      </c>
      <c r="G9" s="8" t="n">
        <v>965.0350724053344</v>
      </c>
      <c r="H9" s="8" t="n">
        <v>929.7301097772786</v>
      </c>
    </row>
    <row r="10">
      <c r="A10" s="52" t="n">
        <v>14</v>
      </c>
      <c r="B10" s="8" t="n">
        <v>1226.469698531173</v>
      </c>
      <c r="C10" s="8" t="n">
        <v>1179.333506047995</v>
      </c>
      <c r="D10" s="8" t="n">
        <v>1134.368764245268</v>
      </c>
      <c r="E10" s="8" t="n">
        <v>1091.463650157501</v>
      </c>
      <c r="F10" s="8" t="n">
        <v>1050.512630354588</v>
      </c>
      <c r="G10" s="8" t="n">
        <v>1011.416079129852</v>
      </c>
      <c r="H10" s="8" t="n">
        <v>974.0799215097346</v>
      </c>
    </row>
    <row r="11">
      <c r="A11" s="52" t="n">
        <v>15</v>
      </c>
      <c r="B11" s="8" t="n">
        <v>1284.668008250833</v>
      </c>
      <c r="C11" s="8" t="n">
        <v>1234.926049183759</v>
      </c>
      <c r="D11" s="8" t="n">
        <v>1187.483304267226</v>
      </c>
      <c r="E11" s="8" t="n">
        <v>1142.22114709623</v>
      </c>
      <c r="F11" s="8" t="n">
        <v>1099.027631536935</v>
      </c>
      <c r="G11" s="8" t="n">
        <v>1057.797085854369</v>
      </c>
      <c r="H11" s="8" t="n">
        <v>1018.42973324219</v>
      </c>
    </row>
    <row r="13">
      <c r="A13" s="3" t="inlineStr">
        <is>
          <t>Current price</t>
        </is>
      </c>
      <c r="B13" s="54" t="n">
        <v>235.5500030517578</v>
      </c>
    </row>
    <row r="14">
      <c r="A14" s="3" t="inlineStr">
        <is>
          <t>Base WACC / multiple</t>
        </is>
      </c>
      <c r="B14" s="55" t="n">
        <v>0.1040325202679746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0.03241878481053477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0.8485888476165012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0.01889084672788327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1.037502669433193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2026-07-06T20:35:01Z</dcterms:created>
  <dcterms:modified xmlns:dcterms="http://purl.org/dc/terms/" xmlns:xsi="http://www.w3.org/2001/XMLSchema-instance" xsi:type="dcterms:W3CDTF">2026-07-06T20:35:01Z</dcterms:modified>
</cp:coreProperties>
</file>