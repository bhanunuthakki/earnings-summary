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inancial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0.00000"/>
  </numFmts>
  <fonts count="11">
    <font>
      <name val="Calibri"/>
      <family val="2"/>
      <color theme="1"/>
      <sz val="11"/>
      <scheme val="minor"/>
    </font>
    <font>
      <b val="1"/>
      <color rgb="00FFFFFF"/>
    </font>
    <font>
      <color rgb="00374151"/>
    </font>
    <font>
      <color rgb="001F4E79"/>
    </font>
    <font>
      <b val="1"/>
      <color rgb="00374151"/>
    </font>
    <font>
      <color rgb="006B7280"/>
    </font>
    <font>
      <b val="1"/>
    </font>
    <font>
      <color rgb="001F7A4D"/>
    </font>
    <font>
      <color rgb="006B7280"/>
      <sz val="9"/>
    </font>
    <font>
      <b val="1"/>
      <color rgb="0015803D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0" fillId="3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2" fontId="0" fillId="3" borderId="1" pivotButton="0" quotePrefix="0" xfId="0"/>
    <xf numFmtId="164" fontId="6" fillId="0" borderId="0" pivotButton="0" quotePrefix="0" xfId="0"/>
    <xf numFmtId="3" fontId="7" fillId="0" borderId="0" pivotButton="0" quotePrefix="0" xfId="0"/>
    <xf numFmtId="165" fontId="0" fillId="3" borderId="1" pivotButton="0" quotePrefix="0" xfId="0"/>
    <xf numFmtId="2" fontId="7" fillId="0" borderId="0" pivotButton="0" quotePrefix="0" xfId="0"/>
    <xf numFmtId="1" fontId="0" fillId="3" borderId="1" pivotButton="0" quotePrefix="0" xfId="0"/>
    <xf numFmtId="3" fontId="6" fillId="0" borderId="0" pivotButton="0" quotePrefix="0" xfId="0"/>
    <xf numFmtId="2" fontId="6" fillId="0" borderId="0" pivotButton="0" quotePrefix="0" xfId="0"/>
    <xf numFmtId="165" fontId="6" fillId="0" borderId="0" pivotButton="0" quotePrefix="0" xfId="0"/>
    <xf numFmtId="3" fontId="3" fillId="0" borderId="0" pivotButton="0" quotePrefix="0" xfId="0"/>
    <xf numFmtId="2" fontId="3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2" customWidth="1" min="4" max="4"/>
    <col width="12" customWidth="1" min="5" max="5"/>
    <col width="16" customWidth="1" min="6" max="6"/>
    <col width="9" customWidth="1" min="7" max="7"/>
  </cols>
  <sheetData>
    <row r="1">
      <c r="A1" s="1" t="inlineStr">
        <is>
          <t>HDB — Bank Credit Model · Dashboard</t>
        </is>
      </c>
    </row>
    <row r="2">
      <c r="A2" s="2" t="inlineStr">
        <is>
          <t>Cost of equity (CAPM + country risk)</t>
        </is>
      </c>
      <c r="D2" s="1" t="inlineStr">
        <is>
          <t>GUARDRAILS — thesis break rules vs latest KPI</t>
        </is>
      </c>
    </row>
    <row r="3">
      <c r="A3" s="3" t="inlineStr">
        <is>
          <t>Risk-free rate</t>
        </is>
      </c>
      <c r="B3" s="4" t="n">
        <v>0.065</v>
      </c>
      <c r="D3" s="2" t="inlineStr">
        <is>
          <t>KPI</t>
        </is>
      </c>
      <c r="E3" s="2" t="inlineStr">
        <is>
          <t>Latest</t>
        </is>
      </c>
      <c r="F3" s="2" t="inlineStr">
        <is>
          <t>Break rule</t>
        </is>
      </c>
      <c r="G3" s="2" t="inlineStr">
        <is>
          <t>Status</t>
        </is>
      </c>
    </row>
    <row r="4">
      <c r="A4" s="3" t="inlineStr">
        <is>
          <t>Equity risk premium</t>
        </is>
      </c>
      <c r="B4" s="4" t="n">
        <v>0.05</v>
      </c>
      <c r="D4" s="5" t="inlineStr">
        <is>
          <t>Revenue YoY Growth (USD)</t>
        </is>
      </c>
      <c r="E4" s="6" t="n">
        <v>72.45999999999999</v>
      </c>
      <c r="F4" s="7" t="inlineStr">
        <is>
          <t>lt 0 / 2Q</t>
        </is>
      </c>
      <c r="G4" s="8" t="inlineStr">
        <is>
          <t>OK</t>
        </is>
      </c>
    </row>
    <row r="5">
      <c r="A5" s="3" t="inlineStr">
        <is>
          <t>Beta</t>
        </is>
      </c>
      <c r="B5" s="9" t="n">
        <v>0.95</v>
      </c>
      <c r="D5" s="5" t="inlineStr">
        <is>
          <t>Operating Margin (GAAP)</t>
        </is>
      </c>
      <c r="E5" s="6" t="n">
        <v>23.67</v>
      </c>
      <c r="F5" s="7" t="inlineStr">
        <is>
          <t>lt 0 / 2Q</t>
        </is>
      </c>
      <c r="G5" s="8" t="inlineStr">
        <is>
          <t>OK</t>
        </is>
      </c>
    </row>
    <row r="6">
      <c r="A6" s="3" t="inlineStr">
        <is>
          <t>Country risk premium (LatAm)</t>
        </is>
      </c>
      <c r="B6" s="4" t="n">
        <v>0.025</v>
      </c>
      <c r="D6" s="5" t="inlineStr">
        <is>
          <t>Gross Margin (GAAP)</t>
        </is>
      </c>
      <c r="E6" s="6" t="n">
        <v>58.38</v>
      </c>
      <c r="F6" s="7" t="inlineStr">
        <is>
          <t>lt 20 / 2Q</t>
        </is>
      </c>
      <c r="G6" s="8" t="inlineStr">
        <is>
          <t>OK</t>
        </is>
      </c>
    </row>
    <row r="7">
      <c r="A7" s="2" t="inlineStr">
        <is>
          <t>Cost of equity  Ke</t>
        </is>
      </c>
      <c r="B7" s="10">
        <f>B3+B5*B4+B6</f>
        <v/>
      </c>
      <c r="D7" s="5" t="inlineStr">
        <is>
          <t>Net Income Margin (GAAP)</t>
        </is>
      </c>
      <c r="E7" s="6" t="n">
        <v>17.41</v>
      </c>
      <c r="F7" s="7" t="inlineStr">
        <is>
          <t>lt 0 / 2Q</t>
        </is>
      </c>
      <c r="G7" s="8" t="inlineStr">
        <is>
          <t>OK</t>
        </is>
      </c>
    </row>
    <row r="8">
      <c r="A8" s="2" t="inlineStr">
        <is>
          <t>Book &amp; spread economics  (near = Y1 · terminal = Y10)</t>
        </is>
      </c>
    </row>
    <row r="9">
      <c r="A9" t="inlineStr">
        <is>
          <t>Credit book Y0 ($M)</t>
        </is>
      </c>
      <c r="B9" s="11">
        <f>Financials!$B$3</f>
        <v/>
      </c>
    </row>
    <row r="10">
      <c r="A10" s="3" t="inlineStr">
        <is>
          <t>Earning assets / credit book</t>
        </is>
      </c>
      <c r="B10" s="9" t="n">
        <v>1.434</v>
      </c>
    </row>
    <row r="11">
      <c r="A11" s="3" t="inlineStr">
        <is>
          <t>Book growth — near</t>
        </is>
      </c>
      <c r="B11" s="4" t="n">
        <v>0.13</v>
      </c>
    </row>
    <row r="12">
      <c r="A12" s="3" t="inlineStr">
        <is>
          <t>Book growth — terminal</t>
        </is>
      </c>
      <c r="B12" s="4" t="n">
        <v>0.1</v>
      </c>
    </row>
    <row r="13">
      <c r="A13" s="3" t="inlineStr">
        <is>
          <t>NIM — near</t>
        </is>
      </c>
      <c r="B13" s="4" t="n">
        <v>0.0338</v>
      </c>
    </row>
    <row r="14">
      <c r="A14" s="3" t="inlineStr">
        <is>
          <t>NIM — terminal</t>
        </is>
      </c>
      <c r="B14" s="4" t="n">
        <v>0.039</v>
      </c>
    </row>
    <row r="15">
      <c r="A15" s="3" t="inlineStr">
        <is>
          <t>Cost of risk (% book) — near</t>
        </is>
      </c>
      <c r="B15" s="4" t="n">
        <v>0.006</v>
      </c>
    </row>
    <row r="16">
      <c r="A16" s="3" t="inlineStr">
        <is>
          <t>Cost of risk (% book) — terminal</t>
        </is>
      </c>
      <c r="B16" s="4" t="n">
        <v>0.007</v>
      </c>
    </row>
    <row r="17">
      <c r="A17" s="3" t="inlineStr">
        <is>
          <t>Fee income (% book) — near</t>
        </is>
      </c>
      <c r="B17" s="4" t="n">
        <v>0.016</v>
      </c>
    </row>
    <row r="18">
      <c r="A18" s="3" t="inlineStr">
        <is>
          <t>Fee income (% book) — terminal</t>
        </is>
      </c>
      <c r="B18" s="4" t="n">
        <v>0.016</v>
      </c>
    </row>
    <row r="19">
      <c r="A19" s="3" t="inlineStr">
        <is>
          <t>Efficiency (opex/rev) — near</t>
        </is>
      </c>
      <c r="B19" s="4" t="n">
        <v>0.4</v>
      </c>
    </row>
    <row r="20">
      <c r="A20" s="3" t="inlineStr">
        <is>
          <t>Efficiency (opex/rev) — terminal</t>
        </is>
      </c>
      <c r="B20" s="4" t="n">
        <v>0.36</v>
      </c>
    </row>
    <row r="21">
      <c r="A21" s="2" t="inlineStr">
        <is>
          <t>Tax rate</t>
        </is>
      </c>
      <c r="B21" s="4" t="n">
        <v>0.25</v>
      </c>
    </row>
    <row r="22">
      <c r="A22" s="3" t="inlineStr">
        <is>
          <t>Capital ratio (req. equity / book)</t>
        </is>
      </c>
      <c r="B22" s="4" t="n">
        <v>0.15</v>
      </c>
    </row>
    <row r="23">
      <c r="A23" s="3" t="inlineStr">
        <is>
          <t>Payout — near</t>
        </is>
      </c>
      <c r="B23" s="4" t="n">
        <v>0.25</v>
      </c>
    </row>
    <row r="24">
      <c r="A24" s="3" t="inlineStr">
        <is>
          <t>Payout — terminal</t>
        </is>
      </c>
      <c r="B24" s="4" t="n">
        <v>0.35</v>
      </c>
    </row>
    <row r="25">
      <c r="A25" s="3" t="inlineStr">
        <is>
          <t>Terminal growth g</t>
        </is>
      </c>
      <c r="B25" s="4" t="n">
        <v>0.1</v>
      </c>
    </row>
    <row r="26">
      <c r="A26" s="3" t="inlineStr">
        <is>
          <t>Exit P/E (cross-check)</t>
        </is>
      </c>
      <c r="B26" s="12" t="n">
        <v>18</v>
      </c>
    </row>
    <row r="27">
      <c r="A27" t="inlineStr">
        <is>
          <t>Book equity Y0 ($M)</t>
        </is>
      </c>
      <c r="B27" s="11">
        <f>Financials!$B$11</f>
        <v/>
      </c>
    </row>
    <row r="28">
      <c r="A28" t="inlineStr">
        <is>
          <t>Book equity Y-1 ($M)</t>
        </is>
      </c>
      <c r="B28" s="11">
        <f>Financials!$B$12</f>
        <v/>
      </c>
    </row>
    <row r="29">
      <c r="A29" t="inlineStr">
        <is>
          <t>Diluted shares (M)</t>
        </is>
      </c>
      <c r="B29" s="11">
        <f>Financials!$B$13</f>
        <v/>
      </c>
    </row>
    <row r="30">
      <c r="A30" t="inlineStr">
        <is>
          <t>Current price ($)</t>
        </is>
      </c>
      <c r="B30" s="13">
        <f>Financials!$B$14</f>
        <v/>
      </c>
    </row>
    <row r="31">
      <c r="A31" s="3" t="inlineStr">
        <is>
          <t>Forecast years</t>
        </is>
      </c>
      <c r="B31" s="14" t="n">
        <v>10</v>
      </c>
    </row>
    <row r="33">
      <c r="A33" s="1" t="inlineStr">
        <is>
          <t>OUTPUT</t>
        </is>
      </c>
    </row>
    <row r="34">
      <c r="A34" s="2" t="inlineStr">
        <is>
          <t>Value of equity (reporting, M)</t>
        </is>
      </c>
      <c r="B34" s="15">
        <f>Valuation!$B$8</f>
        <v/>
      </c>
    </row>
    <row r="35">
      <c r="A35" s="2" t="inlineStr">
        <is>
          <t>Value per share / ADR (USD)</t>
        </is>
      </c>
      <c r="B35" s="16">
        <f>Valuation!$B$14</f>
        <v/>
      </c>
    </row>
    <row r="36">
      <c r="A36" s="2" t="inlineStr">
        <is>
          <t>Upside vs price</t>
        </is>
      </c>
      <c r="B36" s="10">
        <f>Valuation!$B$10</f>
        <v/>
      </c>
    </row>
    <row r="37">
      <c r="A37" s="2" t="inlineStr">
        <is>
          <t>Implied P/B</t>
        </is>
      </c>
      <c r="B37" s="17">
        <f>Valuation!$B$11</f>
        <v/>
      </c>
    </row>
    <row r="38">
      <c r="A38" s="2" t="inlineStr">
        <is>
          <t>Implied P/E (fwd)</t>
        </is>
      </c>
      <c r="B38" s="17">
        <f>Valuation!$B$12</f>
        <v/>
      </c>
    </row>
    <row r="39">
      <c r="A39" s="2" t="inlineStr">
        <is>
          <t>Terminal ROE</t>
        </is>
      </c>
      <c r="B39" s="10">
        <f>Valuation!$B$5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HDB — Financials (FY actuals, $M)</t>
        </is>
      </c>
    </row>
    <row r="3">
      <c r="A3" s="5" t="inlineStr">
        <is>
          <t>Credit book (net receivables)</t>
        </is>
      </c>
      <c r="B3" s="18" t="n">
        <v>29600000</v>
      </c>
    </row>
    <row r="4">
      <c r="A4" s="5" t="inlineStr">
        <is>
          <t>Interest-earning assets</t>
        </is>
      </c>
      <c r="B4" s="18" t="n">
        <v>42452600</v>
      </c>
    </row>
    <row r="5">
      <c r="A5" s="5" t="inlineStr">
        <is>
          <t>Net interest income</t>
        </is>
      </c>
      <c r="B5" s="18" t="n">
        <v>1435000</v>
      </c>
    </row>
    <row r="6">
      <c r="A6" s="5" t="inlineStr">
        <is>
          <t>Fee &amp; interchange income</t>
        </is>
      </c>
      <c r="B6" s="18" t="n">
        <v>477000</v>
      </c>
    </row>
    <row r="7">
      <c r="A7" s="5" t="inlineStr">
        <is>
          <t>Credit &amp; risk cost (plug to pretax)</t>
        </is>
      </c>
      <c r="B7" s="18" t="n">
        <v>177800</v>
      </c>
    </row>
    <row r="8">
      <c r="A8" s="5" t="inlineStr">
        <is>
          <t>Operating expenses</t>
        </is>
      </c>
      <c r="B8" s="18" t="n">
        <v>764800</v>
      </c>
    </row>
    <row r="9">
      <c r="A9" s="5" t="inlineStr">
        <is>
          <t>Pre-tax income</t>
        </is>
      </c>
      <c r="B9" s="18" t="n">
        <v>969400</v>
      </c>
    </row>
    <row r="10">
      <c r="A10" s="5" t="inlineStr">
        <is>
          <t>Net income</t>
        </is>
      </c>
      <c r="B10" s="18" t="n">
        <v>760300</v>
      </c>
    </row>
    <row r="11">
      <c r="A11" s="5" t="inlineStr">
        <is>
          <t>Book equity (Y0)</t>
        </is>
      </c>
      <c r="B11" s="18" t="n">
        <v>5744600</v>
      </c>
    </row>
    <row r="12">
      <c r="A12" s="5" t="inlineStr">
        <is>
          <t>Book equity (Y-1)</t>
        </is>
      </c>
      <c r="B12" s="18" t="n">
        <v>5100000</v>
      </c>
    </row>
    <row r="13">
      <c r="A13" s="5" t="inlineStr">
        <is>
          <t>Diluted shares (M)</t>
        </is>
      </c>
      <c r="B13" s="18" t="n">
        <v>15338</v>
      </c>
    </row>
    <row r="14">
      <c r="A14" s="5" t="inlineStr">
        <is>
          <t>Price ($)</t>
        </is>
      </c>
      <c r="B14" s="19" t="n">
        <v>23.41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22" customWidth="1" min="2" max="2"/>
  </cols>
  <sheetData>
    <row r="1">
      <c r="A1" s="1" t="inlineStr">
        <is>
          <t>HDB — Credit Model (formula-first; $M)</t>
        </is>
      </c>
    </row>
    <row r="4">
      <c r="B4" s="2" t="inlineStr">
        <is>
          <t>Year</t>
        </is>
      </c>
      <c r="C4" s="2" t="n">
        <v>0</v>
      </c>
      <c r="D4" s="2" t="n">
        <v>1</v>
      </c>
      <c r="E4" s="2" t="n">
        <v>2</v>
      </c>
      <c r="F4" s="2" t="n">
        <v>3</v>
      </c>
      <c r="G4" s="2" t="n">
        <v>4</v>
      </c>
      <c r="H4" s="2" t="n">
        <v>5</v>
      </c>
      <c r="I4" s="2" t="n">
        <v>6</v>
      </c>
      <c r="J4" s="2" t="n">
        <v>7</v>
      </c>
      <c r="K4" s="2" t="n">
        <v>8</v>
      </c>
      <c r="L4" s="2" t="n">
        <v>9</v>
      </c>
      <c r="M4" s="2" t="n">
        <v>10</v>
      </c>
    </row>
    <row r="5">
      <c r="B5" s="5" t="inlineStr">
        <is>
          <t>Book growth g</t>
        </is>
      </c>
      <c r="C5" s="20" t="n"/>
      <c r="D5" s="20">
        <f>Dashboard!$B$11+(Dashboard!$B$12-Dashboard!$B$11)*(D$4-1)/(Dashboard!$B$31-1)</f>
        <v/>
      </c>
      <c r="E5" s="20">
        <f>Dashboard!$B$11+(Dashboard!$B$12-Dashboard!$B$11)*(E$4-1)/(Dashboard!$B$31-1)</f>
        <v/>
      </c>
      <c r="F5" s="20">
        <f>Dashboard!$B$11+(Dashboard!$B$12-Dashboard!$B$11)*(F$4-1)/(Dashboard!$B$31-1)</f>
        <v/>
      </c>
      <c r="G5" s="20">
        <f>Dashboard!$B$11+(Dashboard!$B$12-Dashboard!$B$11)*(G$4-1)/(Dashboard!$B$31-1)</f>
        <v/>
      </c>
      <c r="H5" s="20">
        <f>Dashboard!$B$11+(Dashboard!$B$12-Dashboard!$B$11)*(H$4-1)/(Dashboard!$B$31-1)</f>
        <v/>
      </c>
      <c r="I5" s="20">
        <f>Dashboard!$B$11+(Dashboard!$B$12-Dashboard!$B$11)*(I$4-1)/(Dashboard!$B$31-1)</f>
        <v/>
      </c>
      <c r="J5" s="20">
        <f>Dashboard!$B$11+(Dashboard!$B$12-Dashboard!$B$11)*(J$4-1)/(Dashboard!$B$31-1)</f>
        <v/>
      </c>
      <c r="K5" s="20">
        <f>Dashboard!$B$11+(Dashboard!$B$12-Dashboard!$B$11)*(K$4-1)/(Dashboard!$B$31-1)</f>
        <v/>
      </c>
      <c r="L5" s="20">
        <f>Dashboard!$B$11+(Dashboard!$B$12-Dashboard!$B$11)*(L$4-1)/(Dashboard!$B$31-1)</f>
        <v/>
      </c>
      <c r="M5" s="20">
        <f>Dashboard!$B$11+(Dashboard!$B$12-Dashboard!$B$11)*(M$4-1)/(Dashboard!$B$31-1)</f>
        <v/>
      </c>
    </row>
    <row r="6">
      <c r="B6" s="5" t="inlineStr">
        <is>
          <t>Credit book</t>
        </is>
      </c>
      <c r="C6" s="21">
        <f>Dashboard!$B$9</f>
        <v/>
      </c>
      <c r="D6" s="21">
        <f>C6*(1+D5)</f>
        <v/>
      </c>
      <c r="E6" s="21">
        <f>D6*(1+E5)</f>
        <v/>
      </c>
      <c r="F6" s="21">
        <f>E6*(1+F5)</f>
        <v/>
      </c>
      <c r="G6" s="21">
        <f>F6*(1+G5)</f>
        <v/>
      </c>
      <c r="H6" s="21">
        <f>G6*(1+H5)</f>
        <v/>
      </c>
      <c r="I6" s="21">
        <f>H6*(1+I5)</f>
        <v/>
      </c>
      <c r="J6" s="21">
        <f>I6*(1+J5)</f>
        <v/>
      </c>
      <c r="K6" s="21">
        <f>J6*(1+K5)</f>
        <v/>
      </c>
      <c r="L6" s="21">
        <f>K6*(1+L5)</f>
        <v/>
      </c>
      <c r="M6" s="21">
        <f>L6*(1+M5)</f>
        <v/>
      </c>
    </row>
    <row r="7">
      <c r="B7" s="5" t="inlineStr">
        <is>
          <t>Avg book</t>
        </is>
      </c>
      <c r="C7" s="21" t="n"/>
      <c r="D7" s="21">
        <f>(D6+C6)/2</f>
        <v/>
      </c>
      <c r="E7" s="21">
        <f>(E6+D6)/2</f>
        <v/>
      </c>
      <c r="F7" s="21">
        <f>(F6+E6)/2</f>
        <v/>
      </c>
      <c r="G7" s="21">
        <f>(G6+F6)/2</f>
        <v/>
      </c>
      <c r="H7" s="21">
        <f>(H6+G6)/2</f>
        <v/>
      </c>
      <c r="I7" s="21">
        <f>(I6+H6)/2</f>
        <v/>
      </c>
      <c r="J7" s="21">
        <f>(J6+I6)/2</f>
        <v/>
      </c>
      <c r="K7" s="21">
        <f>(K6+J6)/2</f>
        <v/>
      </c>
      <c r="L7" s="21">
        <f>(L6+K6)/2</f>
        <v/>
      </c>
      <c r="M7" s="21">
        <f>(M6+L6)/2</f>
        <v/>
      </c>
    </row>
    <row r="8">
      <c r="B8" s="5" t="inlineStr">
        <is>
          <t>Earning assets</t>
        </is>
      </c>
      <c r="C8" s="21">
        <f>C6*Dashboard!$B$10</f>
        <v/>
      </c>
      <c r="D8" s="21">
        <f>D6*Dashboard!$B$10</f>
        <v/>
      </c>
      <c r="E8" s="21">
        <f>E6*Dashboard!$B$10</f>
        <v/>
      </c>
      <c r="F8" s="21">
        <f>F6*Dashboard!$B$10</f>
        <v/>
      </c>
      <c r="G8" s="21">
        <f>G6*Dashboard!$B$10</f>
        <v/>
      </c>
      <c r="H8" s="21">
        <f>H6*Dashboard!$B$10</f>
        <v/>
      </c>
      <c r="I8" s="21">
        <f>I6*Dashboard!$B$10</f>
        <v/>
      </c>
      <c r="J8" s="21">
        <f>J6*Dashboard!$B$10</f>
        <v/>
      </c>
      <c r="K8" s="21">
        <f>K6*Dashboard!$B$10</f>
        <v/>
      </c>
      <c r="L8" s="21">
        <f>L6*Dashboard!$B$10</f>
        <v/>
      </c>
      <c r="M8" s="21">
        <f>M6*Dashboard!$B$10</f>
        <v/>
      </c>
    </row>
    <row r="9">
      <c r="B9" s="5" t="inlineStr">
        <is>
          <t>Avg earning assets</t>
        </is>
      </c>
      <c r="C9" s="21" t="n"/>
      <c r="D9" s="21">
        <f>(D8+C8)/2</f>
        <v/>
      </c>
      <c r="E9" s="21">
        <f>(E8+D8)/2</f>
        <v/>
      </c>
      <c r="F9" s="21">
        <f>(F8+E8)/2</f>
        <v/>
      </c>
      <c r="G9" s="21">
        <f>(G8+F8)/2</f>
        <v/>
      </c>
      <c r="H9" s="21">
        <f>(H8+G8)/2</f>
        <v/>
      </c>
      <c r="I9" s="21">
        <f>(I8+H8)/2</f>
        <v/>
      </c>
      <c r="J9" s="21">
        <f>(J8+I8)/2</f>
        <v/>
      </c>
      <c r="K9" s="21">
        <f>(K8+J8)/2</f>
        <v/>
      </c>
      <c r="L9" s="21">
        <f>(L8+K8)/2</f>
        <v/>
      </c>
      <c r="M9" s="21">
        <f>(M8+L8)/2</f>
        <v/>
      </c>
    </row>
    <row r="10">
      <c r="B10" s="5" t="inlineStr">
        <is>
          <t>NIM</t>
        </is>
      </c>
      <c r="C10" s="20" t="n"/>
      <c r="D10" s="20">
        <f>Dashboard!$B$13+(Dashboard!$B$14-Dashboard!$B$13)*(D$4-1)/(Dashboard!$B$31-1)</f>
        <v/>
      </c>
      <c r="E10" s="20">
        <f>Dashboard!$B$13+(Dashboard!$B$14-Dashboard!$B$13)*(E$4-1)/(Dashboard!$B$31-1)</f>
        <v/>
      </c>
      <c r="F10" s="20">
        <f>Dashboard!$B$13+(Dashboard!$B$14-Dashboard!$B$13)*(F$4-1)/(Dashboard!$B$31-1)</f>
        <v/>
      </c>
      <c r="G10" s="20">
        <f>Dashboard!$B$13+(Dashboard!$B$14-Dashboard!$B$13)*(G$4-1)/(Dashboard!$B$31-1)</f>
        <v/>
      </c>
      <c r="H10" s="20">
        <f>Dashboard!$B$13+(Dashboard!$B$14-Dashboard!$B$13)*(H$4-1)/(Dashboard!$B$31-1)</f>
        <v/>
      </c>
      <c r="I10" s="20">
        <f>Dashboard!$B$13+(Dashboard!$B$14-Dashboard!$B$13)*(I$4-1)/(Dashboard!$B$31-1)</f>
        <v/>
      </c>
      <c r="J10" s="20">
        <f>Dashboard!$B$13+(Dashboard!$B$14-Dashboard!$B$13)*(J$4-1)/(Dashboard!$B$31-1)</f>
        <v/>
      </c>
      <c r="K10" s="20">
        <f>Dashboard!$B$13+(Dashboard!$B$14-Dashboard!$B$13)*(K$4-1)/(Dashboard!$B$31-1)</f>
        <v/>
      </c>
      <c r="L10" s="20">
        <f>Dashboard!$B$13+(Dashboard!$B$14-Dashboard!$B$13)*(L$4-1)/(Dashboard!$B$31-1)</f>
        <v/>
      </c>
      <c r="M10" s="20">
        <f>Dashboard!$B$13+(Dashboard!$B$14-Dashboard!$B$13)*(M$4-1)/(Dashboard!$B$31-1)</f>
        <v/>
      </c>
    </row>
    <row r="11">
      <c r="B11" s="5" t="inlineStr">
        <is>
          <t>Net interest income</t>
        </is>
      </c>
      <c r="C11" s="21" t="n"/>
      <c r="D11" s="21">
        <f>D10*D9</f>
        <v/>
      </c>
      <c r="E11" s="21">
        <f>E10*E9</f>
        <v/>
      </c>
      <c r="F11" s="21">
        <f>F10*F9</f>
        <v/>
      </c>
      <c r="G11" s="21">
        <f>G10*G9</f>
        <v/>
      </c>
      <c r="H11" s="21">
        <f>H10*H9</f>
        <v/>
      </c>
      <c r="I11" s="21">
        <f>I10*I9</f>
        <v/>
      </c>
      <c r="J11" s="21">
        <f>J10*J9</f>
        <v/>
      </c>
      <c r="K11" s="21">
        <f>K10*K9</f>
        <v/>
      </c>
      <c r="L11" s="21">
        <f>L10*L9</f>
        <v/>
      </c>
      <c r="M11" s="21">
        <f>M10*M9</f>
        <v/>
      </c>
    </row>
    <row r="12">
      <c r="B12" s="5" t="inlineStr">
        <is>
          <t>Cost of risk %</t>
        </is>
      </c>
      <c r="C12" s="20" t="n"/>
      <c r="D12" s="20">
        <f>Dashboard!$B$15+(Dashboard!$B$16-Dashboard!$B$15)*(D$4-1)/(Dashboard!$B$31-1)</f>
        <v/>
      </c>
      <c r="E12" s="20">
        <f>Dashboard!$B$15+(Dashboard!$B$16-Dashboard!$B$15)*(E$4-1)/(Dashboard!$B$31-1)</f>
        <v/>
      </c>
      <c r="F12" s="20">
        <f>Dashboard!$B$15+(Dashboard!$B$16-Dashboard!$B$15)*(F$4-1)/(Dashboard!$B$31-1)</f>
        <v/>
      </c>
      <c r="G12" s="20">
        <f>Dashboard!$B$15+(Dashboard!$B$16-Dashboard!$B$15)*(G$4-1)/(Dashboard!$B$31-1)</f>
        <v/>
      </c>
      <c r="H12" s="20">
        <f>Dashboard!$B$15+(Dashboard!$B$16-Dashboard!$B$15)*(H$4-1)/(Dashboard!$B$31-1)</f>
        <v/>
      </c>
      <c r="I12" s="20">
        <f>Dashboard!$B$15+(Dashboard!$B$16-Dashboard!$B$15)*(I$4-1)/(Dashboard!$B$31-1)</f>
        <v/>
      </c>
      <c r="J12" s="20">
        <f>Dashboard!$B$15+(Dashboard!$B$16-Dashboard!$B$15)*(J$4-1)/(Dashboard!$B$31-1)</f>
        <v/>
      </c>
      <c r="K12" s="20">
        <f>Dashboard!$B$15+(Dashboard!$B$16-Dashboard!$B$15)*(K$4-1)/(Dashboard!$B$31-1)</f>
        <v/>
      </c>
      <c r="L12" s="20">
        <f>Dashboard!$B$15+(Dashboard!$B$16-Dashboard!$B$15)*(L$4-1)/(Dashboard!$B$31-1)</f>
        <v/>
      </c>
      <c r="M12" s="20">
        <f>Dashboard!$B$15+(Dashboard!$B$16-Dashboard!$B$15)*(M$4-1)/(Dashboard!$B$31-1)</f>
        <v/>
      </c>
    </row>
    <row r="13">
      <c r="B13" s="5" t="inlineStr">
        <is>
          <t>Credit &amp; risk cost</t>
        </is>
      </c>
      <c r="C13" s="21" t="n"/>
      <c r="D13" s="21">
        <f>D12*D7</f>
        <v/>
      </c>
      <c r="E13" s="21">
        <f>E12*E7</f>
        <v/>
      </c>
      <c r="F13" s="21">
        <f>F12*F7</f>
        <v/>
      </c>
      <c r="G13" s="21">
        <f>G12*G7</f>
        <v/>
      </c>
      <c r="H13" s="21">
        <f>H12*H7</f>
        <v/>
      </c>
      <c r="I13" s="21">
        <f>I12*I7</f>
        <v/>
      </c>
      <c r="J13" s="21">
        <f>J12*J7</f>
        <v/>
      </c>
      <c r="K13" s="21">
        <f>K12*K7</f>
        <v/>
      </c>
      <c r="L13" s="21">
        <f>L12*L7</f>
        <v/>
      </c>
      <c r="M13" s="21">
        <f>M12*M7</f>
        <v/>
      </c>
    </row>
    <row r="14">
      <c r="B14" s="5" t="inlineStr">
        <is>
          <t>Risk-adj NII</t>
        </is>
      </c>
      <c r="C14" s="21" t="n"/>
      <c r="D14" s="21">
        <f>D11-D13</f>
        <v/>
      </c>
      <c r="E14" s="21">
        <f>E11-E13</f>
        <v/>
      </c>
      <c r="F14" s="21">
        <f>F11-F13</f>
        <v/>
      </c>
      <c r="G14" s="21">
        <f>G11-G13</f>
        <v/>
      </c>
      <c r="H14" s="21">
        <f>H11-H13</f>
        <v/>
      </c>
      <c r="I14" s="21">
        <f>I11-I13</f>
        <v/>
      </c>
      <c r="J14" s="21">
        <f>J11-J13</f>
        <v/>
      </c>
      <c r="K14" s="21">
        <f>K11-K13</f>
        <v/>
      </c>
      <c r="L14" s="21">
        <f>L11-L13</f>
        <v/>
      </c>
      <c r="M14" s="21">
        <f>M11-M13</f>
        <v/>
      </c>
    </row>
    <row r="15">
      <c r="B15" s="5" t="inlineStr">
        <is>
          <t>Fee %</t>
        </is>
      </c>
      <c r="C15" s="20" t="n"/>
      <c r="D15" s="20">
        <f>Dashboard!$B$17+(Dashboard!$B$18-Dashboard!$B$17)*(D$4-1)/(Dashboard!$B$31-1)</f>
        <v/>
      </c>
      <c r="E15" s="20">
        <f>Dashboard!$B$17+(Dashboard!$B$18-Dashboard!$B$17)*(E$4-1)/(Dashboard!$B$31-1)</f>
        <v/>
      </c>
      <c r="F15" s="20">
        <f>Dashboard!$B$17+(Dashboard!$B$18-Dashboard!$B$17)*(F$4-1)/(Dashboard!$B$31-1)</f>
        <v/>
      </c>
      <c r="G15" s="20">
        <f>Dashboard!$B$17+(Dashboard!$B$18-Dashboard!$B$17)*(G$4-1)/(Dashboard!$B$31-1)</f>
        <v/>
      </c>
      <c r="H15" s="20">
        <f>Dashboard!$B$17+(Dashboard!$B$18-Dashboard!$B$17)*(H$4-1)/(Dashboard!$B$31-1)</f>
        <v/>
      </c>
      <c r="I15" s="20">
        <f>Dashboard!$B$17+(Dashboard!$B$18-Dashboard!$B$17)*(I$4-1)/(Dashboard!$B$31-1)</f>
        <v/>
      </c>
      <c r="J15" s="20">
        <f>Dashboard!$B$17+(Dashboard!$B$18-Dashboard!$B$17)*(J$4-1)/(Dashboard!$B$31-1)</f>
        <v/>
      </c>
      <c r="K15" s="20">
        <f>Dashboard!$B$17+(Dashboard!$B$18-Dashboard!$B$17)*(K$4-1)/(Dashboard!$B$31-1)</f>
        <v/>
      </c>
      <c r="L15" s="20">
        <f>Dashboard!$B$17+(Dashboard!$B$18-Dashboard!$B$17)*(L$4-1)/(Dashboard!$B$31-1)</f>
        <v/>
      </c>
      <c r="M15" s="20">
        <f>Dashboard!$B$17+(Dashboard!$B$18-Dashboard!$B$17)*(M$4-1)/(Dashboard!$B$31-1)</f>
        <v/>
      </c>
    </row>
    <row r="16">
      <c r="B16" s="5" t="inlineStr">
        <is>
          <t>Fee income</t>
        </is>
      </c>
      <c r="C16" s="21" t="n"/>
      <c r="D16" s="21">
        <f>D15*D7</f>
        <v/>
      </c>
      <c r="E16" s="21">
        <f>E15*E7</f>
        <v/>
      </c>
      <c r="F16" s="21">
        <f>F15*F7</f>
        <v/>
      </c>
      <c r="G16" s="21">
        <f>G15*G7</f>
        <v/>
      </c>
      <c r="H16" s="21">
        <f>H15*H7</f>
        <v/>
      </c>
      <c r="I16" s="21">
        <f>I15*I7</f>
        <v/>
      </c>
      <c r="J16" s="21">
        <f>J15*J7</f>
        <v/>
      </c>
      <c r="K16" s="21">
        <f>K15*K7</f>
        <v/>
      </c>
      <c r="L16" s="21">
        <f>L15*L7</f>
        <v/>
      </c>
      <c r="M16" s="21">
        <f>M15*M7</f>
        <v/>
      </c>
    </row>
    <row r="17">
      <c r="B17" s="5" t="inlineStr">
        <is>
          <t>Net revenue</t>
        </is>
      </c>
      <c r="C17" s="21" t="n"/>
      <c r="D17" s="21">
        <f>D11+D16</f>
        <v/>
      </c>
      <c r="E17" s="21">
        <f>E11+E16</f>
        <v/>
      </c>
      <c r="F17" s="21">
        <f>F11+F16</f>
        <v/>
      </c>
      <c r="G17" s="21">
        <f>G11+G16</f>
        <v/>
      </c>
      <c r="H17" s="21">
        <f>H11+H16</f>
        <v/>
      </c>
      <c r="I17" s="21">
        <f>I11+I16</f>
        <v/>
      </c>
      <c r="J17" s="21">
        <f>J11+J16</f>
        <v/>
      </c>
      <c r="K17" s="21">
        <f>K11+K16</f>
        <v/>
      </c>
      <c r="L17" s="21">
        <f>L11+L16</f>
        <v/>
      </c>
      <c r="M17" s="21">
        <f>M11+M16</f>
        <v/>
      </c>
    </row>
    <row r="18">
      <c r="B18" s="5" t="inlineStr">
        <is>
          <t>Efficiency</t>
        </is>
      </c>
      <c r="C18" s="20" t="n"/>
      <c r="D18" s="20">
        <f>Dashboard!$B$19+(Dashboard!$B$20-Dashboard!$B$19)*(D$4-1)/(Dashboard!$B$31-1)</f>
        <v/>
      </c>
      <c r="E18" s="20">
        <f>Dashboard!$B$19+(Dashboard!$B$20-Dashboard!$B$19)*(E$4-1)/(Dashboard!$B$31-1)</f>
        <v/>
      </c>
      <c r="F18" s="20">
        <f>Dashboard!$B$19+(Dashboard!$B$20-Dashboard!$B$19)*(F$4-1)/(Dashboard!$B$31-1)</f>
        <v/>
      </c>
      <c r="G18" s="20">
        <f>Dashboard!$B$19+(Dashboard!$B$20-Dashboard!$B$19)*(G$4-1)/(Dashboard!$B$31-1)</f>
        <v/>
      </c>
      <c r="H18" s="20">
        <f>Dashboard!$B$19+(Dashboard!$B$20-Dashboard!$B$19)*(H$4-1)/(Dashboard!$B$31-1)</f>
        <v/>
      </c>
      <c r="I18" s="20">
        <f>Dashboard!$B$19+(Dashboard!$B$20-Dashboard!$B$19)*(I$4-1)/(Dashboard!$B$31-1)</f>
        <v/>
      </c>
      <c r="J18" s="20">
        <f>Dashboard!$B$19+(Dashboard!$B$20-Dashboard!$B$19)*(J$4-1)/(Dashboard!$B$31-1)</f>
        <v/>
      </c>
      <c r="K18" s="20">
        <f>Dashboard!$B$19+(Dashboard!$B$20-Dashboard!$B$19)*(K$4-1)/(Dashboard!$B$31-1)</f>
        <v/>
      </c>
      <c r="L18" s="20">
        <f>Dashboard!$B$19+(Dashboard!$B$20-Dashboard!$B$19)*(L$4-1)/(Dashboard!$B$31-1)</f>
        <v/>
      </c>
      <c r="M18" s="20">
        <f>Dashboard!$B$19+(Dashboard!$B$20-Dashboard!$B$19)*(M$4-1)/(Dashboard!$B$31-1)</f>
        <v/>
      </c>
    </row>
    <row r="19">
      <c r="B19" s="5" t="inlineStr">
        <is>
          <t>Operating expenses</t>
        </is>
      </c>
      <c r="C19" s="21" t="n"/>
      <c r="D19" s="21">
        <f>D18*D17</f>
        <v/>
      </c>
      <c r="E19" s="21">
        <f>E18*E17</f>
        <v/>
      </c>
      <c r="F19" s="21">
        <f>F18*F17</f>
        <v/>
      </c>
      <c r="G19" s="21">
        <f>G18*G17</f>
        <v/>
      </c>
      <c r="H19" s="21">
        <f>H18*H17</f>
        <v/>
      </c>
      <c r="I19" s="21">
        <f>I18*I17</f>
        <v/>
      </c>
      <c r="J19" s="21">
        <f>J18*J17</f>
        <v/>
      </c>
      <c r="K19" s="21">
        <f>K18*K17</f>
        <v/>
      </c>
      <c r="L19" s="21">
        <f>L18*L17</f>
        <v/>
      </c>
      <c r="M19" s="21">
        <f>M18*M17</f>
        <v/>
      </c>
    </row>
    <row r="20">
      <c r="B20" s="5" t="inlineStr">
        <is>
          <t>Pre-tax income</t>
        </is>
      </c>
      <c r="C20" s="21" t="n"/>
      <c r="D20" s="21">
        <f>D14+D16-D19</f>
        <v/>
      </c>
      <c r="E20" s="21">
        <f>E14+E16-E19</f>
        <v/>
      </c>
      <c r="F20" s="21">
        <f>F14+F16-F19</f>
        <v/>
      </c>
      <c r="G20" s="21">
        <f>G14+G16-G19</f>
        <v/>
      </c>
      <c r="H20" s="21">
        <f>H14+H16-H19</f>
        <v/>
      </c>
      <c r="I20" s="21">
        <f>I14+I16-I19</f>
        <v/>
      </c>
      <c r="J20" s="21">
        <f>J14+J16-J19</f>
        <v/>
      </c>
      <c r="K20" s="21">
        <f>K14+K16-K19</f>
        <v/>
      </c>
      <c r="L20" s="21">
        <f>L14+L16-L19</f>
        <v/>
      </c>
      <c r="M20" s="21">
        <f>M14+M16-M19</f>
        <v/>
      </c>
    </row>
    <row r="21">
      <c r="B21" s="5" t="inlineStr">
        <is>
          <t>Tax</t>
        </is>
      </c>
      <c r="C21" s="21" t="n"/>
      <c r="D21" s="21">
        <f>Dashboard!$B$21*D20</f>
        <v/>
      </c>
      <c r="E21" s="21">
        <f>Dashboard!$B$21*E20</f>
        <v/>
      </c>
      <c r="F21" s="21">
        <f>Dashboard!$B$21*F20</f>
        <v/>
      </c>
      <c r="G21" s="21">
        <f>Dashboard!$B$21*G20</f>
        <v/>
      </c>
      <c r="H21" s="21">
        <f>Dashboard!$B$21*H20</f>
        <v/>
      </c>
      <c r="I21" s="21">
        <f>Dashboard!$B$21*I20</f>
        <v/>
      </c>
      <c r="J21" s="21">
        <f>Dashboard!$B$21*J20</f>
        <v/>
      </c>
      <c r="K21" s="21">
        <f>Dashboard!$B$21*K20</f>
        <v/>
      </c>
      <c r="L21" s="21">
        <f>Dashboard!$B$21*L20</f>
        <v/>
      </c>
      <c r="M21" s="21">
        <f>Dashboard!$B$21*M20</f>
        <v/>
      </c>
    </row>
    <row r="22">
      <c r="B22" s="5" t="inlineStr">
        <is>
          <t>Net income</t>
        </is>
      </c>
      <c r="C22" s="21" t="n"/>
      <c r="D22" s="21">
        <f>D20-D21</f>
        <v/>
      </c>
      <c r="E22" s="21">
        <f>E20-E21</f>
        <v/>
      </c>
      <c r="F22" s="21">
        <f>F20-F21</f>
        <v/>
      </c>
      <c r="G22" s="21">
        <f>G20-G21</f>
        <v/>
      </c>
      <c r="H22" s="21">
        <f>H20-H21</f>
        <v/>
      </c>
      <c r="I22" s="21">
        <f>I20-I21</f>
        <v/>
      </c>
      <c r="J22" s="21">
        <f>J20-J21</f>
        <v/>
      </c>
      <c r="K22" s="21">
        <f>K20-K21</f>
        <v/>
      </c>
      <c r="L22" s="21">
        <f>L20-L21</f>
        <v/>
      </c>
      <c r="M22" s="21">
        <f>M20-M21</f>
        <v/>
      </c>
    </row>
    <row r="23">
      <c r="B23" s="5" t="inlineStr">
        <is>
          <t>Payout</t>
        </is>
      </c>
      <c r="C23" s="20" t="n"/>
      <c r="D23" s="20">
        <f>Dashboard!$B$23+(Dashboard!$B$24-Dashboard!$B$23)*(D$4-1)/(Dashboard!$B$31-1)</f>
        <v/>
      </c>
      <c r="E23" s="20">
        <f>Dashboard!$B$23+(Dashboard!$B$24-Dashboard!$B$23)*(E$4-1)/(Dashboard!$B$31-1)</f>
        <v/>
      </c>
      <c r="F23" s="20">
        <f>Dashboard!$B$23+(Dashboard!$B$24-Dashboard!$B$23)*(F$4-1)/(Dashboard!$B$31-1)</f>
        <v/>
      </c>
      <c r="G23" s="20">
        <f>Dashboard!$B$23+(Dashboard!$B$24-Dashboard!$B$23)*(G$4-1)/(Dashboard!$B$31-1)</f>
        <v/>
      </c>
      <c r="H23" s="20">
        <f>Dashboard!$B$23+(Dashboard!$B$24-Dashboard!$B$23)*(H$4-1)/(Dashboard!$B$31-1)</f>
        <v/>
      </c>
      <c r="I23" s="20">
        <f>Dashboard!$B$23+(Dashboard!$B$24-Dashboard!$B$23)*(I$4-1)/(Dashboard!$B$31-1)</f>
        <v/>
      </c>
      <c r="J23" s="20">
        <f>Dashboard!$B$23+(Dashboard!$B$24-Dashboard!$B$23)*(J$4-1)/(Dashboard!$B$31-1)</f>
        <v/>
      </c>
      <c r="K23" s="20">
        <f>Dashboard!$B$23+(Dashboard!$B$24-Dashboard!$B$23)*(K$4-1)/(Dashboard!$B$31-1)</f>
        <v/>
      </c>
      <c r="L23" s="20">
        <f>Dashboard!$B$23+(Dashboard!$B$24-Dashboard!$B$23)*(L$4-1)/(Dashboard!$B$31-1)</f>
        <v/>
      </c>
      <c r="M23" s="20">
        <f>Dashboard!$B$23+(Dashboard!$B$24-Dashboard!$B$23)*(M$4-1)/(Dashboard!$B$31-1)</f>
        <v/>
      </c>
    </row>
    <row r="24">
      <c r="B24" s="5" t="inlineStr">
        <is>
          <t>Dividends</t>
        </is>
      </c>
      <c r="C24" s="21" t="n"/>
      <c r="D24" s="21">
        <f>D23*D22</f>
        <v/>
      </c>
      <c r="E24" s="21">
        <f>E23*E22</f>
        <v/>
      </c>
      <c r="F24" s="21">
        <f>F23*F22</f>
        <v/>
      </c>
      <c r="G24" s="21">
        <f>G23*G22</f>
        <v/>
      </c>
      <c r="H24" s="21">
        <f>H23*H22</f>
        <v/>
      </c>
      <c r="I24" s="21">
        <f>I23*I22</f>
        <v/>
      </c>
      <c r="J24" s="21">
        <f>J23*J22</f>
        <v/>
      </c>
      <c r="K24" s="21">
        <f>K23*K22</f>
        <v/>
      </c>
      <c r="L24" s="21">
        <f>L23*L22</f>
        <v/>
      </c>
      <c r="M24" s="21">
        <f>M23*M22</f>
        <v/>
      </c>
    </row>
    <row r="25">
      <c r="B25" s="5" t="inlineStr">
        <is>
          <t>Book equity</t>
        </is>
      </c>
      <c r="C25" s="21">
        <f>Dashboard!$B$27</f>
        <v/>
      </c>
      <c r="D25" s="21">
        <f>C25+D22-D24</f>
        <v/>
      </c>
      <c r="E25" s="21">
        <f>D25+E22-E24</f>
        <v/>
      </c>
      <c r="F25" s="21">
        <f>E25+F22-F24</f>
        <v/>
      </c>
      <c r="G25" s="21">
        <f>F25+G22-G24</f>
        <v/>
      </c>
      <c r="H25" s="21">
        <f>G25+H22-H24</f>
        <v/>
      </c>
      <c r="I25" s="21">
        <f>H25+I22-I24</f>
        <v/>
      </c>
      <c r="J25" s="21">
        <f>I25+J22-J24</f>
        <v/>
      </c>
      <c r="K25" s="21">
        <f>J25+K22-K24</f>
        <v/>
      </c>
      <c r="L25" s="21">
        <f>K25+L22-L24</f>
        <v/>
      </c>
      <c r="M25" s="21">
        <f>L25+M22-M24</f>
        <v/>
      </c>
    </row>
    <row r="26">
      <c r="B26" s="5" t="inlineStr">
        <is>
          <t>Avg equity</t>
        </is>
      </c>
      <c r="C26" s="21">
        <f>(Dashboard!$B$27+Dashboard!$B$28)/2</f>
        <v/>
      </c>
      <c r="D26" s="21">
        <f>(D25+C25)/2</f>
        <v/>
      </c>
      <c r="E26" s="21">
        <f>(E25+D25)/2</f>
        <v/>
      </c>
      <c r="F26" s="21">
        <f>(F25+E25)/2</f>
        <v/>
      </c>
      <c r="G26" s="21">
        <f>(G25+F25)/2</f>
        <v/>
      </c>
      <c r="H26" s="21">
        <f>(H25+G25)/2</f>
        <v/>
      </c>
      <c r="I26" s="21">
        <f>(I25+H25)/2</f>
        <v/>
      </c>
      <c r="J26" s="21">
        <f>(J25+I25)/2</f>
        <v/>
      </c>
      <c r="K26" s="21">
        <f>(K25+J25)/2</f>
        <v/>
      </c>
      <c r="L26" s="21">
        <f>(L25+K25)/2</f>
        <v/>
      </c>
      <c r="M26" s="21">
        <f>(M25+L25)/2</f>
        <v/>
      </c>
    </row>
    <row r="27">
      <c r="B27" s="5" t="inlineStr">
        <is>
          <t>ROE</t>
        </is>
      </c>
      <c r="C27" s="20" t="n"/>
      <c r="D27" s="20">
        <f>D22/D26</f>
        <v/>
      </c>
      <c r="E27" s="20">
        <f>E22/E26</f>
        <v/>
      </c>
      <c r="F27" s="20">
        <f>F22/F26</f>
        <v/>
      </c>
      <c r="G27" s="20">
        <f>G22/G26</f>
        <v/>
      </c>
      <c r="H27" s="20">
        <f>H22/H26</f>
        <v/>
      </c>
      <c r="I27" s="20">
        <f>I22/I26</f>
        <v/>
      </c>
      <c r="J27" s="20">
        <f>J22/J26</f>
        <v/>
      </c>
      <c r="K27" s="20">
        <f>K22/K26</f>
        <v/>
      </c>
      <c r="L27" s="20">
        <f>L22/L26</f>
        <v/>
      </c>
      <c r="M27" s="20">
        <f>M22/M26</f>
        <v/>
      </c>
    </row>
    <row r="28">
      <c r="B28" s="5" t="inlineStr">
        <is>
          <t>Required capital</t>
        </is>
      </c>
      <c r="C28" s="21">
        <f>Dashboard!$B$22*C6</f>
        <v/>
      </c>
      <c r="D28" s="21">
        <f>Dashboard!$B$22*D6</f>
        <v/>
      </c>
      <c r="E28" s="21">
        <f>Dashboard!$B$22*E6</f>
        <v/>
      </c>
      <c r="F28" s="21">
        <f>Dashboard!$B$22*F6</f>
        <v/>
      </c>
      <c r="G28" s="21">
        <f>Dashboard!$B$22*G6</f>
        <v/>
      </c>
      <c r="H28" s="21">
        <f>Dashboard!$B$22*H6</f>
        <v/>
      </c>
      <c r="I28" s="21">
        <f>Dashboard!$B$22*I6</f>
        <v/>
      </c>
      <c r="J28" s="21">
        <f>Dashboard!$B$22*J6</f>
        <v/>
      </c>
      <c r="K28" s="21">
        <f>Dashboard!$B$22*K6</f>
        <v/>
      </c>
      <c r="L28" s="21">
        <f>Dashboard!$B$22*L6</f>
        <v/>
      </c>
      <c r="M28" s="21">
        <f>Dashboard!$B$22*M6</f>
        <v/>
      </c>
    </row>
    <row r="29">
      <c r="B29" s="5" t="inlineStr">
        <is>
          <t>FCFE</t>
        </is>
      </c>
      <c r="C29" s="21" t="n"/>
      <c r="D29" s="21">
        <f>D22-(D28-C28)</f>
        <v/>
      </c>
      <c r="E29" s="21">
        <f>E22-(E28-D28)</f>
        <v/>
      </c>
      <c r="F29" s="21">
        <f>F22-(F28-E28)</f>
        <v/>
      </c>
      <c r="G29" s="21">
        <f>G22-(G28-F28)</f>
        <v/>
      </c>
      <c r="H29" s="21">
        <f>H22-(H28-G28)</f>
        <v/>
      </c>
      <c r="I29" s="21">
        <f>I22-(I28-H28)</f>
        <v/>
      </c>
      <c r="J29" s="21">
        <f>J22-(J28-I28)</f>
        <v/>
      </c>
      <c r="K29" s="21">
        <f>K22-(K28-J28)</f>
        <v/>
      </c>
      <c r="L29" s="21">
        <f>L22-(L28-K28)</f>
        <v/>
      </c>
      <c r="M29" s="21">
        <f>M22-(M28-L28)</f>
        <v/>
      </c>
    </row>
    <row r="30">
      <c r="B30" s="5" t="inlineStr">
        <is>
          <t>Excess return</t>
        </is>
      </c>
      <c r="C30" s="21" t="n"/>
      <c r="D30" s="21">
        <f>(D27-Dashboard!$B$7)*C25</f>
        <v/>
      </c>
      <c r="E30" s="21">
        <f>(E27-Dashboard!$B$7)*D25</f>
        <v/>
      </c>
      <c r="F30" s="21">
        <f>(F27-Dashboard!$B$7)*E25</f>
        <v/>
      </c>
      <c r="G30" s="21">
        <f>(G27-Dashboard!$B$7)*F25</f>
        <v/>
      </c>
      <c r="H30" s="21">
        <f>(H27-Dashboard!$B$7)*G25</f>
        <v/>
      </c>
      <c r="I30" s="21">
        <f>(I27-Dashboard!$B$7)*H25</f>
        <v/>
      </c>
      <c r="J30" s="21">
        <f>(J27-Dashboard!$B$7)*I25</f>
        <v/>
      </c>
      <c r="K30" s="21">
        <f>(K27-Dashboard!$B$7)*J25</f>
        <v/>
      </c>
      <c r="L30" s="21">
        <f>(L27-Dashboard!$B$7)*K25</f>
        <v/>
      </c>
      <c r="M30" s="21">
        <f>(M27-Dashboard!$B$7)*L25</f>
        <v/>
      </c>
    </row>
    <row r="31">
      <c r="B31" s="5" t="inlineStr">
        <is>
          <t>Discount factor</t>
        </is>
      </c>
      <c r="C31" s="22" t="n"/>
      <c r="D31" s="22">
        <f>1/(1+Dashboard!$B$7)^D$4</f>
        <v/>
      </c>
      <c r="E31" s="22">
        <f>1/(1+Dashboard!$B$7)^E$4</f>
        <v/>
      </c>
      <c r="F31" s="22">
        <f>1/(1+Dashboard!$B$7)^F$4</f>
        <v/>
      </c>
      <c r="G31" s="22">
        <f>1/(1+Dashboard!$B$7)^G$4</f>
        <v/>
      </c>
      <c r="H31" s="22">
        <f>1/(1+Dashboard!$B$7)^H$4</f>
        <v/>
      </c>
      <c r="I31" s="22">
        <f>1/(1+Dashboard!$B$7)^I$4</f>
        <v/>
      </c>
      <c r="J31" s="22">
        <f>1/(1+Dashboard!$B$7)^J$4</f>
        <v/>
      </c>
      <c r="K31" s="22">
        <f>1/(1+Dashboard!$B$7)^K$4</f>
        <v/>
      </c>
      <c r="L31" s="22">
        <f>1/(1+Dashboard!$B$7)^L$4</f>
        <v/>
      </c>
      <c r="M31" s="22">
        <f>1/(1+Dashboard!$B$7)^M$4</f>
        <v/>
      </c>
    </row>
    <row r="32">
      <c r="B32" s="5" t="inlineStr">
        <is>
          <t>PV excess return</t>
        </is>
      </c>
      <c r="C32" s="21" t="n"/>
      <c r="D32" s="21">
        <f>D30*D31</f>
        <v/>
      </c>
      <c r="E32" s="21">
        <f>E30*E31</f>
        <v/>
      </c>
      <c r="F32" s="21">
        <f>F30*F31</f>
        <v/>
      </c>
      <c r="G32" s="21">
        <f>G30*G31</f>
        <v/>
      </c>
      <c r="H32" s="21">
        <f>H30*H31</f>
        <v/>
      </c>
      <c r="I32" s="21">
        <f>I30*I31</f>
        <v/>
      </c>
      <c r="J32" s="21">
        <f>J30*J31</f>
        <v/>
      </c>
      <c r="K32" s="21">
        <f>K30*K31</f>
        <v/>
      </c>
      <c r="L32" s="21">
        <f>L30*L31</f>
        <v/>
      </c>
      <c r="M32" s="21">
        <f>M30*M31</f>
        <v/>
      </c>
    </row>
    <row r="33">
      <c r="B33" s="5" t="inlineStr">
        <is>
          <t>PV FCFE</t>
        </is>
      </c>
      <c r="C33" s="21" t="n"/>
      <c r="D33" s="21">
        <f>D29*D31</f>
        <v/>
      </c>
      <c r="E33" s="21">
        <f>E29*E31</f>
        <v/>
      </c>
      <c r="F33" s="21">
        <f>F29*F31</f>
        <v/>
      </c>
      <c r="G33" s="21">
        <f>G29*G31</f>
        <v/>
      </c>
      <c r="H33" s="21">
        <f>H29*H31</f>
        <v/>
      </c>
      <c r="I33" s="21">
        <f>I29*I31</f>
        <v/>
      </c>
      <c r="J33" s="21">
        <f>J29*J31</f>
        <v/>
      </c>
      <c r="K33" s="21">
        <f>K29*K31</f>
        <v/>
      </c>
      <c r="L33" s="21">
        <f>L29*L31</f>
        <v/>
      </c>
      <c r="M33" s="21">
        <f>M29*M31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HDB — Valuation (excess-return / residual income, $M)</t>
        </is>
      </c>
    </row>
    <row r="2">
      <c r="A2" s="5" t="inlineStr">
        <is>
          <t>Book equity (Y0)</t>
        </is>
      </c>
      <c r="B2" s="21">
        <f>Dashboard!$B$27</f>
        <v/>
      </c>
    </row>
    <row r="3">
      <c r="A3" s="5" t="inlineStr">
        <is>
          <t>PV of excess returns</t>
        </is>
      </c>
      <c r="B3" s="21">
        <f>SUM(Model!D32:M32)</f>
        <v/>
      </c>
    </row>
    <row r="4">
      <c r="A4" s="5" t="inlineStr">
        <is>
          <t>Terminal equity (Y10)</t>
        </is>
      </c>
      <c r="B4" s="21">
        <f>Model!M25</f>
        <v/>
      </c>
    </row>
    <row r="5">
      <c r="A5" s="5" t="inlineStr">
        <is>
          <t>Terminal ROE</t>
        </is>
      </c>
      <c r="B5" s="20">
        <f>Model!M27</f>
        <v/>
      </c>
    </row>
    <row r="6">
      <c r="A6" s="5" t="inlineStr">
        <is>
          <t>Terminal value (continuing residual income)</t>
        </is>
      </c>
      <c r="B6" s="21">
        <f>(B5-Dashboard!$B$7)*B4/(Dashboard!$B$7-Dashboard!$B$25)</f>
        <v/>
      </c>
    </row>
    <row r="7">
      <c r="A7" s="5" t="inlineStr">
        <is>
          <t>PV of terminal value</t>
        </is>
      </c>
      <c r="B7" s="21">
        <f>B6*Model!M31</f>
        <v/>
      </c>
    </row>
    <row r="8">
      <c r="A8" s="2" t="inlineStr">
        <is>
          <t>Value of equity</t>
        </is>
      </c>
      <c r="B8" s="15">
        <f>B2+B3+B7</f>
        <v/>
      </c>
    </row>
    <row r="9">
      <c r="A9" s="2" t="inlineStr">
        <is>
          <t>Value per share (reporting ccy)</t>
        </is>
      </c>
      <c r="B9" s="16">
        <f>B8/Dashboard!$B$29</f>
        <v/>
      </c>
    </row>
    <row r="10">
      <c r="A10" s="5" t="inlineStr">
        <is>
          <t>Upside vs price</t>
        </is>
      </c>
      <c r="B10" s="20">
        <f>B14/Dashboard!$B$30-1</f>
        <v/>
      </c>
    </row>
    <row r="11">
      <c r="A11" s="5" t="inlineStr">
        <is>
          <t>Implied P/B</t>
        </is>
      </c>
      <c r="B11" s="23">
        <f>B8/Dashboard!$B$27</f>
        <v/>
      </c>
    </row>
    <row r="12">
      <c r="A12" s="5" t="inlineStr">
        <is>
          <t>Implied P/E (fwd)</t>
        </is>
      </c>
      <c r="B12" s="23">
        <f>B8/Model!D22</f>
        <v/>
      </c>
    </row>
    <row r="13">
      <c r="A13" s="5" t="inlineStr">
        <is>
          <t>FCFE cross-check value</t>
        </is>
      </c>
      <c r="B13" s="21">
        <f>SUM(Model!D33:M33)+(Model!M29*(1+Dashboard!$B$25)/(Dashboard!$B$7-Dashboard!$B$25))*Model!M31</f>
        <v/>
      </c>
    </row>
    <row r="14">
      <c r="A14" s="2" t="inlineStr">
        <is>
          <t>Value per share / ADR (USD)</t>
        </is>
      </c>
      <c r="B14" s="16">
        <f>B9*B15*B16</f>
        <v/>
      </c>
    </row>
    <row r="15">
      <c r="A15" s="5" t="inlineStr">
        <is>
          <t>ADR ratio (ordinary shares / ADR)</t>
        </is>
      </c>
      <c r="B15" s="19" t="n">
        <v>3</v>
      </c>
    </row>
    <row r="16">
      <c r="A16" s="5" t="inlineStr">
        <is>
          <t>FX (reporting ccy -&gt; USD)</t>
        </is>
      </c>
      <c r="B16" s="24" t="n">
        <v>0.0117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Sensitivity — value/share</t>
        </is>
      </c>
    </row>
    <row r="2">
      <c r="A2" s="25" t="inlineStr">
        <is>
          <t>Computed in Python mirror (live grid added with export to Sheets).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2026-06-08T18:30:26Z</dcterms:created>
  <dcterms:modified xmlns:dcterms="http://purl.org/dc/terms/" xmlns:xsi="http://www.w3.org/2001/XMLSchema-instance" xsi:type="dcterms:W3CDTF">2026-06-08T18:30:26Z</dcterms:modified>
</cp:coreProperties>
</file>