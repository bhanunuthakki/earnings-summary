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HDFC Bank Limited (HDB)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HDFC Bank Limited (HDB)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-0.03807093902426602</v>
      </c>
      <c r="C20" s="15" t="n">
        <v>0.05</v>
      </c>
      <c r="D20" s="16" t="n">
        <v>-0.03807093902426602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0.1753662207254521</v>
      </c>
      <c r="D29" s="16" t="n">
        <v>0.1753662207254521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0.1849027259979659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45023.66550000001</v>
      </c>
      <c r="D34" s="18" t="n">
        <v>45023.66550000001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0.481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27.2450008392334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78.00036214785381</v>
      </c>
      <c r="C58" s="28" t="n">
        <v>121.1890873003102</v>
      </c>
      <c r="D58" s="28" t="n">
        <v>47.16940872583067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HDB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FY2022A</t>
        </is>
      </c>
      <c r="C1" s="39" t="inlineStr">
        <is>
          <t>FY2023A</t>
        </is>
      </c>
      <c r="D1" s="39" t="inlineStr">
        <is>
          <t>FY2024A</t>
        </is>
      </c>
      <c r="E1" s="39" t="inlineStr">
        <is>
          <t>FY2025A</t>
        </is>
      </c>
      <c r="F1" s="39" t="inlineStr">
        <is>
          <t>FY2026A</t>
        </is>
      </c>
      <c r="G1" s="40" t="inlineStr">
        <is>
          <t>FY2027E</t>
        </is>
      </c>
      <c r="H1" s="40" t="inlineStr">
        <is>
          <t>FY2028E</t>
        </is>
      </c>
      <c r="I1" s="40" t="inlineStr">
        <is>
          <t>FY2029E</t>
        </is>
      </c>
      <c r="J1" s="40" t="inlineStr">
        <is>
          <t>FY2030E</t>
        </is>
      </c>
      <c r="K1" s="40" t="inlineStr">
        <is>
          <t>FY2031E</t>
        </is>
      </c>
      <c r="L1" s="40" t="inlineStr">
        <is>
          <t>FY2032E</t>
        </is>
      </c>
      <c r="M1" s="40" t="inlineStr">
        <is>
          <t>FY2033E</t>
        </is>
      </c>
      <c r="N1" s="40" t="inlineStr">
        <is>
          <t>FY2034E</t>
        </is>
      </c>
      <c r="O1" s="40" t="inlineStr">
        <is>
          <t>FY2035E</t>
        </is>
      </c>
      <c r="P1" s="40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SUM(Financials!J3:M3)</f>
        <v/>
      </c>
      <c r="C4" s="33">
        <f>SUM(Financials!N3:Q3)</f>
        <v/>
      </c>
      <c r="D4" s="33">
        <f>SUM(Financials!R3:U3)</f>
        <v/>
      </c>
      <c r="E4" s="33">
        <f>SUM(Financials!V3:Y3)</f>
        <v/>
      </c>
      <c r="F4" s="33">
        <f>SUM(Financials!Z3:AC3)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SUM(Financials!J5:M5)</f>
        <v/>
      </c>
      <c r="C10" s="33">
        <f>SUM(Financials!N5:Q5)</f>
        <v/>
      </c>
      <c r="D10" s="33">
        <f>SUM(Financials!R5:U5)</f>
        <v/>
      </c>
      <c r="E10" s="33">
        <f>SUM(Financials!V5:Y5)</f>
        <v/>
      </c>
      <c r="F10" s="33">
        <f>SUM(Financials!Z5:AC5)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0.4280472358637657</v>
      </c>
      <c r="H11" s="15" t="n">
        <v>0.4280472358637657</v>
      </c>
      <c r="I11" s="15" t="n">
        <v>0.4280472358637657</v>
      </c>
      <c r="J11" s="15" t="n">
        <v>0.4280472358637657</v>
      </c>
      <c r="K11" s="15" t="n">
        <v>0.4280472358637657</v>
      </c>
      <c r="L11" s="15" t="n">
        <v>0.4280472358637657</v>
      </c>
      <c r="M11" s="15" t="n">
        <v>0.4280472358637657</v>
      </c>
      <c r="N11" s="15" t="n">
        <v>0.4280472358637657</v>
      </c>
      <c r="O11" s="15" t="n">
        <v>0.4280472358637657</v>
      </c>
      <c r="P11" s="15" t="n">
        <v>0.4280472358637657</v>
      </c>
    </row>
    <row r="12">
      <c r="A12" s="4" t="inlineStr">
        <is>
          <t>R&amp;D / Technology</t>
        </is>
      </c>
      <c r="B12" s="33">
        <f>SUM(Financials!J7:M7)</f>
        <v/>
      </c>
      <c r="C12" s="33">
        <f>SUM(Financials!N7:Q7)</f>
        <v/>
      </c>
      <c r="D12" s="33">
        <f>SUM(Financials!R7:U7)</f>
        <v/>
      </c>
      <c r="E12" s="33">
        <f>SUM(Financials!V7:Y7)</f>
        <v/>
      </c>
      <c r="F12" s="33">
        <f>SUM(Financials!Z7:AC7)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SUM(Financials!J9:M9)</f>
        <v/>
      </c>
      <c r="C14" s="33">
        <f>SUM(Financials!N9:Q9)</f>
        <v/>
      </c>
      <c r="D14" s="33">
        <f>SUM(Financials!R9:U9)</f>
        <v/>
      </c>
      <c r="E14" s="33">
        <f>SUM(Financials!V9:Y9)</f>
        <v/>
      </c>
      <c r="F14" s="33">
        <f>SUM(Financials!Z9:AC9)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0.07593005750127467</v>
      </c>
      <c r="H15" s="15" t="n">
        <v>0.07593005750127467</v>
      </c>
      <c r="I15" s="15" t="n">
        <v>0.07593005750127467</v>
      </c>
      <c r="J15" s="15" t="n">
        <v>0.07593005750127467</v>
      </c>
      <c r="K15" s="15" t="n">
        <v>0.07593005750127467</v>
      </c>
      <c r="L15" s="15" t="n">
        <v>0.07593005750127467</v>
      </c>
      <c r="M15" s="15" t="n">
        <v>0.07593005750127467</v>
      </c>
      <c r="N15" s="15" t="n">
        <v>0.07593005750127467</v>
      </c>
      <c r="O15" s="15" t="n">
        <v>0.07593005750127467</v>
      </c>
      <c r="P15" s="15" t="n">
        <v>0.07593005750127467</v>
      </c>
    </row>
    <row r="16">
      <c r="A16" s="4" t="inlineStr">
        <is>
          <t>Other opex (fulfilment, etc.)</t>
        </is>
      </c>
      <c r="B16" s="33">
        <f>B6-(B10+B12+B14)-SUM(Financials!J13:M13)</f>
        <v/>
      </c>
      <c r="C16" s="33">
        <f>C6-(C10+C12+C14)-SUM(Financials!N13:Q13)</f>
        <v/>
      </c>
      <c r="D16" s="33">
        <f>D6-(D10+D12+D14)-SUM(Financials!R13:U13)</f>
        <v/>
      </c>
      <c r="E16" s="33">
        <f>E6-(E10+E12+E14)-SUM(Financials!V13:Y13)</f>
        <v/>
      </c>
      <c r="F16" s="33">
        <f>F6-(F10+F12+F14)-SUM(Financials!Z13:AC13)</f>
        <v/>
      </c>
      <c r="G16" s="33">
        <f>G6*(1-(Dashboard!$B$29+(Dashboard!$B$30-Dashboard!$B$29)*MIN(1,0/3)))-(G10+G12+G14)</f>
        <v/>
      </c>
      <c r="H16" s="33">
        <f>H6*(1-(Dashboard!$B$29+(Dashboard!$B$30-Dashboard!$B$29)*MIN(1,1/3)))-(H10+H12+H14)</f>
        <v/>
      </c>
      <c r="I16" s="33">
        <f>I6*(1-(Dashboard!$B$29+(Dashboard!$B$30-Dashboard!$B$29)*MIN(1,2/3)))-(I10+I12+I14)</f>
        <v/>
      </c>
      <c r="J16" s="33">
        <f>J6*(1-(Dashboard!$B$29+(Dashboard!$B$30-Dashboard!$B$29)*MIN(1,3/3)))-(J10+J12+J14)</f>
        <v/>
      </c>
      <c r="K16" s="33">
        <f>K6*(1-(Dashboard!$B$29+(Dashboard!$B$30-Dashboard!$B$29)*MIN(1,4/3)))-(K10+K12+K14)</f>
        <v/>
      </c>
      <c r="L16" s="33">
        <f>L6*(1-(Dashboard!$B$29+(Dashboard!$B$30-Dashboard!$B$29)*MIN(1,5/3)))-(L10+L12+L14)</f>
        <v/>
      </c>
      <c r="M16" s="33">
        <f>M6*(1-(Dashboard!$B$29+(Dashboard!$B$30-Dashboard!$B$29)*MIN(1,6/3)))-(M10+M12+M14)</f>
        <v/>
      </c>
      <c r="N16" s="33">
        <f>N6*(1-(Dashboard!$B$29+(Dashboard!$B$30-Dashboard!$B$29)*MIN(1,7/3)))-(N10+N12+N14)</f>
        <v/>
      </c>
      <c r="O16" s="33">
        <f>O6*(1-(Dashboard!$B$29+(Dashboard!$B$30-Dashboard!$B$29)*MIN(1,8/3)))-(O10+O12+O14)</f>
        <v/>
      </c>
      <c r="P16" s="33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SUM(Financials!J27:M27)</f>
        <v/>
      </c>
      <c r="C24" s="33">
        <f>SUM(Financials!N27:Q27)</f>
        <v/>
      </c>
      <c r="D24" s="33">
        <f>SUM(Financials!R27:U27)</f>
        <v/>
      </c>
      <c r="E24" s="33">
        <f>SUM(Financials!V27:Y27)</f>
        <v/>
      </c>
      <c r="F24" s="33">
        <f>SUM(Financials!Z27:AC27)</f>
        <v/>
      </c>
      <c r="G24" s="41">
        <f>G6*0.0000</f>
        <v/>
      </c>
      <c r="H24" s="41">
        <f>H6*0.0000</f>
        <v/>
      </c>
      <c r="I24" s="41">
        <f>I6*0.0000</f>
        <v/>
      </c>
      <c r="J24" s="41">
        <f>J6*0.0000</f>
        <v/>
      </c>
      <c r="K24" s="41">
        <f>K6*0.0000</f>
        <v/>
      </c>
      <c r="L24" s="41">
        <f>L6*0.0000</f>
        <v/>
      </c>
      <c r="M24" s="41">
        <f>M6*0.0000</f>
        <v/>
      </c>
      <c r="N24" s="41">
        <f>N6*0.0000</f>
        <v/>
      </c>
      <c r="O24" s="41">
        <f>O6*0.0000</f>
        <v/>
      </c>
      <c r="P24" s="41">
        <f>P6*0.0000</f>
        <v/>
      </c>
    </row>
    <row r="25">
      <c r="A25" s="4" t="inlineStr">
        <is>
          <t>+ SBC (non-cash)</t>
        </is>
      </c>
      <c r="B25" s="33">
        <f>SUM(Financials!J28:M28)</f>
        <v/>
      </c>
      <c r="C25" s="33">
        <f>SUM(Financials!N28:Q28)</f>
        <v/>
      </c>
      <c r="D25" s="33">
        <f>SUM(Financials!R28:U28)</f>
        <v/>
      </c>
      <c r="E25" s="33">
        <f>SUM(Financials!V28:Y28)</f>
        <v/>
      </c>
      <c r="F25" s="33">
        <f>SUM(Financials!Z28:AC28)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-SUM(Financials!J31:M31)</f>
        <v/>
      </c>
      <c r="C27" s="33">
        <f>-SUM(Financials!N31:Q31)</f>
        <v/>
      </c>
      <c r="D27" s="33">
        <f>-SUM(Financials!R31:U31)</f>
        <v/>
      </c>
      <c r="E27" s="33">
        <f>-SUM(Financials!V31:Y31)</f>
        <v/>
      </c>
      <c r="F27" s="33">
        <f>-SUM(Financials!Z31:AC31)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Financials!M25+Financials!M24-Financials!M19</f>
        <v/>
      </c>
      <c r="C34" s="33">
        <f>Financials!Q25+Financials!Q24-Financials!Q19</f>
        <v/>
      </c>
      <c r="D34" s="33">
        <f>Financials!U25+Financials!U24-Financials!U19</f>
        <v/>
      </c>
      <c r="E34" s="33">
        <f>Financials!Y25+Financials!Y24-Financials!Y19</f>
        <v/>
      </c>
      <c r="F34" s="33">
        <f>Financials!AC25+Financials!AC24-Financials!AC19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Financials!M25</f>
        <v/>
      </c>
      <c r="C35" s="33">
        <f>Financials!Q25</f>
        <v/>
      </c>
      <c r="D35" s="33">
        <f>Financials!U25</f>
        <v/>
      </c>
      <c r="E35" s="33">
        <f>Financials!Y25</f>
        <v/>
      </c>
      <c r="F35" s="33">
        <f>Financials!AC25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IFERROR(SUM(Financials!N15:Q15)/B35,"")</f>
        <v/>
      </c>
      <c r="D37" s="11">
        <f>IFERROR(SUM(Financials!R15:U15)/C35,"")</f>
        <v/>
      </c>
      <c r="E37" s="11">
        <f>IFERROR(SUM(Financials!V15:Y15)/D35,"")</f>
        <v/>
      </c>
      <c r="F37" s="11">
        <f>IFERROR(SUM(Financials!Z15:AC15)/E35,"")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Q1 2020</t>
        </is>
      </c>
      <c r="C1" s="45" t="inlineStr">
        <is>
          <t>Q2 2020</t>
        </is>
      </c>
      <c r="D1" s="45" t="inlineStr">
        <is>
          <t>Q3 2020</t>
        </is>
      </c>
      <c r="E1" s="45" t="inlineStr">
        <is>
          <t>Q4 2020</t>
        </is>
      </c>
      <c r="F1" s="45" t="inlineStr">
        <is>
          <t>Q1 2021</t>
        </is>
      </c>
      <c r="G1" s="45" t="inlineStr">
        <is>
          <t>Q2 2021</t>
        </is>
      </c>
      <c r="H1" s="45" t="inlineStr">
        <is>
          <t>Q3 2021</t>
        </is>
      </c>
      <c r="I1" s="45" t="inlineStr">
        <is>
          <t>Q4 2021</t>
        </is>
      </c>
      <c r="J1" s="45" t="inlineStr">
        <is>
          <t>Q1 2022</t>
        </is>
      </c>
      <c r="K1" s="45" t="inlineStr">
        <is>
          <t>Q2 2022</t>
        </is>
      </c>
      <c r="L1" s="45" t="inlineStr">
        <is>
          <t>Q3 2022</t>
        </is>
      </c>
      <c r="M1" s="45" t="inlineStr">
        <is>
          <t>Q4 2022</t>
        </is>
      </c>
      <c r="N1" s="45" t="inlineStr">
        <is>
          <t>Q1 2023</t>
        </is>
      </c>
      <c r="O1" s="45" t="inlineStr">
        <is>
          <t>Q2 2023</t>
        </is>
      </c>
      <c r="P1" s="45" t="inlineStr">
        <is>
          <t>Q3 2023</t>
        </is>
      </c>
      <c r="Q1" s="45" t="inlineStr">
        <is>
          <t>Q4 2023</t>
        </is>
      </c>
      <c r="R1" s="45" t="inlineStr">
        <is>
          <t>Q1 2024</t>
        </is>
      </c>
      <c r="S1" s="45" t="inlineStr">
        <is>
          <t>Q2 2024</t>
        </is>
      </c>
      <c r="T1" s="45" t="inlineStr">
        <is>
          <t>Q3 2024</t>
        </is>
      </c>
      <c r="U1" s="45" t="inlineStr">
        <is>
          <t>Q4 2024</t>
        </is>
      </c>
      <c r="V1" s="45" t="inlineStr">
        <is>
          <t>Q1 2025</t>
        </is>
      </c>
      <c r="W1" s="45" t="inlineStr">
        <is>
          <t>Q2 2025</t>
        </is>
      </c>
      <c r="X1" s="45" t="inlineStr">
        <is>
          <t>Q3 2025</t>
        </is>
      </c>
      <c r="Y1" s="45" t="inlineStr">
        <is>
          <t>Q4 2025</t>
        </is>
      </c>
      <c r="Z1" s="45" t="inlineStr">
        <is>
          <t>Q1 2026</t>
        </is>
      </c>
      <c r="AA1" s="45" t="inlineStr">
        <is>
          <t>Q2 2026</t>
        </is>
      </c>
      <c r="AB1" s="45" t="inlineStr">
        <is>
          <t>Q3 2026</t>
        </is>
      </c>
      <c r="AC1" s="45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343244.5</v>
      </c>
      <c r="C3" s="18" t="n">
        <v>337550</v>
      </c>
      <c r="D3" s="18" t="n">
        <v>383257</v>
      </c>
      <c r="E3" s="18" t="n">
        <v>382871.7</v>
      </c>
      <c r="F3" s="18" t="n">
        <v>366985.9</v>
      </c>
      <c r="G3" s="18" t="n">
        <v>384384.7</v>
      </c>
      <c r="H3" s="18" t="n">
        <v>398387.3</v>
      </c>
      <c r="I3" s="18" t="n">
        <v>409094.9</v>
      </c>
      <c r="J3" s="18" t="n">
        <v>389336.3</v>
      </c>
      <c r="K3" s="18" t="n">
        <v>414363.6</v>
      </c>
      <c r="L3" s="18" t="n">
        <v>431130.074</v>
      </c>
      <c r="M3" s="18" t="n">
        <v>442776.328</v>
      </c>
      <c r="N3" s="18" t="n">
        <v>442023.2</v>
      </c>
      <c r="O3" s="18" t="n">
        <v>491821</v>
      </c>
      <c r="P3" s="18" t="n">
        <v>541228.4</v>
      </c>
      <c r="Q3" s="18" t="n">
        <v>505840.6</v>
      </c>
      <c r="R3" s="18" t="n">
        <v>610212.9</v>
      </c>
      <c r="S3" s="18" t="n">
        <v>1075666.2</v>
      </c>
      <c r="T3" s="18" t="n">
        <v>1150155.1</v>
      </c>
      <c r="U3" s="18" t="n">
        <v>684822.9</v>
      </c>
      <c r="V3" s="18" t="n">
        <v>1169964.9</v>
      </c>
      <c r="W3" s="18" t="n">
        <v>904552.9</v>
      </c>
      <c r="X3" s="18" t="n">
        <v>1121939.4</v>
      </c>
      <c r="Y3" s="18" t="n">
        <v>688513.5</v>
      </c>
      <c r="Z3" s="18" t="n">
        <v>1328725.001</v>
      </c>
      <c r="AA3" s="18" t="n">
        <v>1205377.451</v>
      </c>
      <c r="AB3" s="18" t="n">
        <v>1279819.14</v>
      </c>
      <c r="AC3" s="18" t="n">
        <v>1187390.148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149771.5</v>
      </c>
      <c r="C5" s="18" t="n">
        <v>146512.4</v>
      </c>
      <c r="D5" s="18" t="n">
        <v>160732.7</v>
      </c>
      <c r="E5" s="18" t="n">
        <v>155285.7</v>
      </c>
      <c r="F5" s="18" t="n">
        <v>156084.9</v>
      </c>
      <c r="G5" s="18" t="n">
        <v>150331.8</v>
      </c>
      <c r="H5" s="18" t="n">
        <v>145226.8</v>
      </c>
      <c r="I5" s="18" t="n">
        <v>140832.4</v>
      </c>
      <c r="J5" s="18" t="n">
        <v>142185</v>
      </c>
      <c r="K5" s="18" t="n">
        <v>144152.8</v>
      </c>
      <c r="L5" s="18" t="n">
        <v>184320.033</v>
      </c>
      <c r="M5" s="18" t="n">
        <v>193960.234</v>
      </c>
      <c r="N5" s="18" t="n">
        <v>200239.4</v>
      </c>
      <c r="O5" s="18" t="n">
        <v>220759.1</v>
      </c>
      <c r="P5" s="18" t="n">
        <v>237490.5</v>
      </c>
      <c r="Q5" s="18" t="n">
        <v>191263</v>
      </c>
      <c r="R5" s="18" t="n">
        <v>292468.6</v>
      </c>
      <c r="S5" s="18" t="n">
        <v>445616.5</v>
      </c>
      <c r="T5" s="18" t="n">
        <v>478462.7</v>
      </c>
      <c r="U5" s="18" t="n">
        <v>450438.1</v>
      </c>
      <c r="V5" s="18" t="n">
        <v>477225.9</v>
      </c>
      <c r="W5" s="18" t="n">
        <v>496288</v>
      </c>
      <c r="X5" s="18" t="n">
        <v>508715.7</v>
      </c>
      <c r="Y5" s="18" t="n">
        <v>532084.7</v>
      </c>
      <c r="Z5" s="18" t="n">
        <v>629357.122</v>
      </c>
      <c r="AA5" s="18" t="n">
        <v>518735.435</v>
      </c>
      <c r="AB5" s="18" t="n">
        <v>498529.467</v>
      </c>
      <c r="AC5" s="18" t="n">
        <v>494175.642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30174.5</v>
      </c>
      <c r="C9" s="18" t="n">
        <v>23550.7</v>
      </c>
      <c r="D9" s="18" t="n">
        <v>33310.5</v>
      </c>
      <c r="E9" s="18" t="n">
        <v>33768.4</v>
      </c>
      <c r="F9" s="18" t="n">
        <v>33010</v>
      </c>
      <c r="G9" s="18" t="n">
        <v>33488.5</v>
      </c>
      <c r="H9" s="18" t="n">
        <v>34562.8</v>
      </c>
      <c r="I9" s="18" t="n">
        <v>35705.4</v>
      </c>
      <c r="J9" s="18" t="n">
        <v>36437.4</v>
      </c>
      <c r="K9" s="18" t="n">
        <v>39314.3</v>
      </c>
      <c r="L9" s="18" t="n">
        <v>40972.854</v>
      </c>
      <c r="M9" s="18" t="n">
        <v>42309.383</v>
      </c>
      <c r="N9" s="18" t="n">
        <v>46068.6</v>
      </c>
      <c r="O9" s="18" t="n">
        <v>46317.5</v>
      </c>
      <c r="P9" s="18" t="n">
        <v>52775.3</v>
      </c>
      <c r="Q9" s="18" t="n">
        <v>255058.4</v>
      </c>
      <c r="R9" s="18" t="n">
        <v>59511.6</v>
      </c>
      <c r="S9" s="18" t="n">
        <v>315029.8</v>
      </c>
      <c r="T9" s="18" t="n">
        <v>346118.8</v>
      </c>
      <c r="U9" s="18" t="n">
        <v>231102.4</v>
      </c>
      <c r="V9" s="18" t="n">
        <v>350416.2</v>
      </c>
      <c r="W9" s="18" t="n">
        <v>174940.1</v>
      </c>
      <c r="X9" s="18" t="n">
        <v>252626.7</v>
      </c>
      <c r="Y9" s="18" t="n">
        <v>152673.3</v>
      </c>
      <c r="Z9" s="18" t="n">
        <v>88852.58100000001</v>
      </c>
      <c r="AA9" s="18" t="n">
        <v>94729.395</v>
      </c>
      <c r="AB9" s="18" t="n">
        <v>103860.772</v>
      </c>
      <c r="AC9" s="18" t="n">
        <v>92307.14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193473</v>
      </c>
      <c r="C11" s="18" t="n">
        <v>191037.6</v>
      </c>
      <c r="D11" s="18" t="n">
        <v>222524.3</v>
      </c>
      <c r="E11" s="18" t="n">
        <v>227586</v>
      </c>
      <c r="F11" s="18" t="n">
        <v>210901</v>
      </c>
      <c r="G11" s="18" t="n">
        <v>234052.9</v>
      </c>
      <c r="H11" s="18" t="n">
        <v>253160.5</v>
      </c>
      <c r="I11" s="18" t="n">
        <v>268262.5</v>
      </c>
      <c r="J11" s="18" t="n">
        <v>247151.3</v>
      </c>
      <c r="K11" s="18" t="n">
        <v>270210.8</v>
      </c>
      <c r="L11" s="18" t="n">
        <v>246810.041</v>
      </c>
      <c r="M11" s="18" t="n">
        <v>248816.094</v>
      </c>
      <c r="N11" s="18" t="n">
        <v>241783.8</v>
      </c>
      <c r="O11" s="18" t="n">
        <v>271061.9</v>
      </c>
      <c r="P11" s="18" t="n">
        <v>303737.9</v>
      </c>
      <c r="Q11" s="18" t="n">
        <v>314577.6</v>
      </c>
      <c r="R11" s="18" t="n">
        <v>317744.3</v>
      </c>
      <c r="S11" s="18" t="n">
        <v>630049.7</v>
      </c>
      <c r="T11" s="18" t="n">
        <v>671692.4</v>
      </c>
      <c r="U11" s="18" t="n">
        <v>234384.8</v>
      </c>
      <c r="V11" s="18" t="n">
        <v>692739</v>
      </c>
      <c r="W11" s="18" t="n">
        <v>408264.9</v>
      </c>
      <c r="X11" s="18" t="n">
        <v>613223.7</v>
      </c>
      <c r="Y11" s="18" t="n">
        <v>156428.8</v>
      </c>
      <c r="Z11" s="18" t="n">
        <v>699367.879</v>
      </c>
      <c r="AA11" s="18" t="n">
        <v>686642.015</v>
      </c>
      <c r="AB11" s="18" t="n">
        <v>781289.673</v>
      </c>
      <c r="AC11" s="18" t="n">
        <v>693214.5060000001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88348.3</v>
      </c>
      <c r="C13" s="18" t="n">
        <v>89974</v>
      </c>
      <c r="D13" s="18" t="n">
        <v>102491.8</v>
      </c>
      <c r="E13" s="18" t="n">
        <v>96818.60000000001</v>
      </c>
      <c r="F13" s="18" t="n">
        <v>93395.10000000001</v>
      </c>
      <c r="G13" s="18" t="n">
        <v>103777</v>
      </c>
      <c r="H13" s="18" t="n">
        <v>118132</v>
      </c>
      <c r="I13" s="18" t="n">
        <v>112657.3</v>
      </c>
      <c r="J13" s="18" t="n">
        <v>106419.1</v>
      </c>
      <c r="K13" s="18" t="n">
        <v>123235</v>
      </c>
      <c r="L13" s="18" t="n">
        <v>141355.22</v>
      </c>
      <c r="M13" s="18" t="n">
        <v>137886.248</v>
      </c>
      <c r="N13" s="18" t="n">
        <v>128233</v>
      </c>
      <c r="O13" s="18" t="n">
        <v>149564</v>
      </c>
      <c r="P13" s="18" t="n">
        <v>169360</v>
      </c>
      <c r="Q13" s="18" t="n">
        <v>215224.8</v>
      </c>
      <c r="R13" s="18" t="n">
        <v>165967.2</v>
      </c>
      <c r="S13" s="18" t="n">
        <v>209673.8</v>
      </c>
      <c r="T13" s="18" t="n">
        <v>212431.1</v>
      </c>
      <c r="U13" s="18" t="n">
        <v>117386.9</v>
      </c>
      <c r="V13" s="18" t="n">
        <v>227273.7</v>
      </c>
      <c r="W13" s="18" t="n">
        <v>207699.2</v>
      </c>
      <c r="X13" s="18" t="n">
        <v>239728.7</v>
      </c>
      <c r="Y13" s="18" t="n">
        <v>154859.6</v>
      </c>
      <c r="Z13" s="18" t="n">
        <v>208212.368</v>
      </c>
      <c r="AA13" s="18" t="n">
        <v>271034.532</v>
      </c>
      <c r="AB13" s="18" t="n">
        <v>271851.209</v>
      </c>
      <c r="AC13" s="18" t="n">
        <v>281021.534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56760.6</v>
      </c>
      <c r="C15" s="18" t="n">
        <v>63449.9</v>
      </c>
      <c r="D15" s="18" t="n">
        <v>76596.5</v>
      </c>
      <c r="E15" s="18" t="n">
        <v>72802.2</v>
      </c>
      <c r="F15" s="18" t="n">
        <v>69272.39999999999</v>
      </c>
      <c r="G15" s="18" t="n">
        <v>77028.60000000001</v>
      </c>
      <c r="H15" s="18" t="n">
        <v>87693.3</v>
      </c>
      <c r="I15" s="18" t="n">
        <v>84337.8</v>
      </c>
      <c r="J15" s="18" t="n">
        <v>79220.89999999999</v>
      </c>
      <c r="K15" s="18" t="n">
        <v>90961.89999999999</v>
      </c>
      <c r="L15" s="18" t="n">
        <v>105299.231</v>
      </c>
      <c r="M15" s="18" t="n">
        <v>105183.583</v>
      </c>
      <c r="N15" s="18" t="n">
        <v>95791.10000000001</v>
      </c>
      <c r="O15" s="18" t="n">
        <v>111252.1</v>
      </c>
      <c r="P15" s="18" t="n">
        <v>126983.2</v>
      </c>
      <c r="Q15" s="18" t="n">
        <v>161420.5</v>
      </c>
      <c r="R15" s="18" t="n">
        <v>123703.8</v>
      </c>
      <c r="S15" s="18" t="n">
        <v>168114.1</v>
      </c>
      <c r="T15" s="18" t="n">
        <v>172578.7</v>
      </c>
      <c r="U15" s="18" t="n">
        <v>158260</v>
      </c>
      <c r="V15" s="18" t="n">
        <v>164748.5</v>
      </c>
      <c r="W15" s="18" t="n">
        <v>173810.5</v>
      </c>
      <c r="X15" s="18" t="n">
        <v>176566.1</v>
      </c>
      <c r="Y15" s="18" t="n">
        <v>153934.6</v>
      </c>
      <c r="Z15" s="18" t="n">
        <v>162356.141</v>
      </c>
      <c r="AA15" s="18" t="n">
        <v>199376.972</v>
      </c>
      <c r="AB15" s="18" t="n">
        <v>199712.041</v>
      </c>
      <c r="AC15" s="18" t="n">
        <v>206673.831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3673.825333</v>
      </c>
      <c r="C17" s="18" t="n">
        <v>3687.794333</v>
      </c>
      <c r="D17" s="18" t="n">
        <v>3673.693</v>
      </c>
      <c r="E17" s="18" t="n">
        <v>3676.878666</v>
      </c>
      <c r="F17" s="18" t="n">
        <v>3665.206333</v>
      </c>
      <c r="G17" s="18" t="n">
        <v>3668.028666</v>
      </c>
      <c r="H17" s="18" t="n">
        <v>3700.139333</v>
      </c>
      <c r="I17" s="18" t="n">
        <v>3699.026333</v>
      </c>
      <c r="J17" s="18" t="n">
        <v>3693.282</v>
      </c>
      <c r="K17" s="18" t="n">
        <v>3720.323</v>
      </c>
      <c r="L17" s="18" t="n">
        <v>3716.301666</v>
      </c>
      <c r="M17" s="18" t="n">
        <v>3722.998333</v>
      </c>
      <c r="N17" s="18" t="n">
        <v>3712.833333</v>
      </c>
      <c r="O17" s="18" t="n">
        <v>3721.428333</v>
      </c>
      <c r="P17" s="18" t="n">
        <v>3732.604333</v>
      </c>
      <c r="Q17" s="18" t="n">
        <v>3738.340666</v>
      </c>
      <c r="R17" s="18" t="n">
        <v>3743.495333</v>
      </c>
      <c r="S17" s="18" t="n">
        <v>5066.73</v>
      </c>
      <c r="T17" s="18" t="n">
        <v>5079.579</v>
      </c>
      <c r="U17" s="18" t="n">
        <v>5081.424333</v>
      </c>
      <c r="V17" s="18" t="n">
        <v>5087.185333</v>
      </c>
      <c r="W17" s="18" t="n">
        <v>5102.593333</v>
      </c>
      <c r="X17" s="18" t="n">
        <v>5117.858</v>
      </c>
      <c r="Y17" s="18" t="n">
        <v>5120.957</v>
      </c>
      <c r="Z17" s="18" t="n">
        <v>5131.916</v>
      </c>
      <c r="AA17" s="18" t="n">
        <v>5121.233</v>
      </c>
      <c r="AB17" s="18" t="n">
        <v>5149.93</v>
      </c>
      <c r="AC17" s="18" t="n">
        <v>1715.669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841679.3</v>
      </c>
      <c r="C19" s="18" t="n">
        <v>3598496.6</v>
      </c>
      <c r="D19" s="18" t="n">
        <v>1024061.2</v>
      </c>
      <c r="E19" s="18" t="n">
        <v>4133033.3</v>
      </c>
      <c r="F19" s="18" t="n">
        <v>1104540.2</v>
      </c>
      <c r="G19" s="18" t="n">
        <v>4564937.6</v>
      </c>
      <c r="H19" s="18" t="n">
        <v>1068966.1</v>
      </c>
      <c r="I19" s="18" t="n">
        <v>5316832.7</v>
      </c>
      <c r="J19" s="18" t="n">
        <v>1223041.9</v>
      </c>
      <c r="K19" s="18" t="n">
        <v>4815671.3</v>
      </c>
      <c r="L19" s="18" t="n">
        <v>0</v>
      </c>
      <c r="M19" s="18" t="n">
        <v>365945.3</v>
      </c>
      <c r="N19" s="18" t="n">
        <v>1172900.4</v>
      </c>
      <c r="O19" s="18" t="n">
        <v>5960378.2</v>
      </c>
      <c r="Q19" s="18" t="n">
        <v>7242764.2</v>
      </c>
      <c r="R19" s="18" t="n">
        <v>1640181.9</v>
      </c>
      <c r="S19" s="18" t="n">
        <v>10135502.9</v>
      </c>
      <c r="T19" s="18" t="n">
        <v>1859521.3</v>
      </c>
      <c r="U19" s="18" t="n">
        <v>9929312.800000001</v>
      </c>
      <c r="V19" s="18" t="n">
        <v>1911081.5</v>
      </c>
      <c r="W19" s="18" t="n">
        <v>7982404</v>
      </c>
      <c r="X19" s="18" t="n">
        <v>2311434.4</v>
      </c>
      <c r="Y19" s="18" t="n">
        <v>9196249.4</v>
      </c>
      <c r="Z19" s="18" t="n">
        <v>2146127.8</v>
      </c>
      <c r="AA19" s="18" t="n">
        <v>1770578.7</v>
      </c>
      <c r="AB19" s="18" t="n">
        <v>21385.349701</v>
      </c>
      <c r="AC19" s="18" t="n">
        <v>3057507.536</v>
      </c>
    </row>
    <row r="20">
      <c r="A20" s="4" t="inlineStr">
        <is>
          <t>Total Current Assets</t>
        </is>
      </c>
      <c r="B20" s="18" t="n">
        <v>9138977.4</v>
      </c>
      <c r="C20" s="18" t="n">
        <v>12669224.2</v>
      </c>
      <c r="D20" s="18" t="n">
        <v>10384356.4</v>
      </c>
      <c r="E20" s="18" t="n">
        <v>4538550.3</v>
      </c>
      <c r="F20" s="18" t="n">
        <v>11641365.5</v>
      </c>
      <c r="G20" s="18" t="n">
        <v>4685215.1</v>
      </c>
      <c r="H20" s="18" t="n">
        <v>12403065.3</v>
      </c>
      <c r="I20" s="18" t="n">
        <v>5521195</v>
      </c>
      <c r="J20" s="18" t="n">
        <v>13201799.9</v>
      </c>
      <c r="K20" s="18" t="n">
        <v>16928501.6</v>
      </c>
      <c r="L20" s="18" t="n">
        <v>0</v>
      </c>
      <c r="M20" s="18" t="n">
        <v>365945.3</v>
      </c>
      <c r="N20" s="18" t="n">
        <v>1172900.4</v>
      </c>
      <c r="O20" s="18" t="n">
        <v>6120002.8</v>
      </c>
      <c r="Q20" s="18" t="n">
        <v>7573521.8</v>
      </c>
      <c r="R20" s="18" t="n">
        <v>1640181.9</v>
      </c>
      <c r="S20" s="18" t="n">
        <v>10376318.1</v>
      </c>
      <c r="T20" s="18" t="n">
        <v>1859521.3</v>
      </c>
      <c r="U20" s="18" t="n">
        <v>10542243.3</v>
      </c>
      <c r="V20" s="18" t="n">
        <v>1911081.5</v>
      </c>
      <c r="W20" s="18" t="n">
        <v>8246630.3</v>
      </c>
      <c r="X20" s="18" t="n">
        <v>2311434.4</v>
      </c>
      <c r="Y20" s="18" t="n">
        <v>9873903</v>
      </c>
      <c r="Z20" s="18" t="n">
        <v>2146127.8</v>
      </c>
      <c r="AA20" s="18" t="n">
        <v>1770578.7</v>
      </c>
      <c r="AB20" s="18" t="n">
        <v>21385.349701</v>
      </c>
      <c r="AC20" s="18" t="n">
        <v>3057507.536</v>
      </c>
    </row>
    <row r="21">
      <c r="A21" s="4" t="inlineStr">
        <is>
          <t>PP&amp;E (net)</t>
        </is>
      </c>
      <c r="B21" s="18" t="n">
        <v>40262.7</v>
      </c>
      <c r="C21" s="18" t="n">
        <v>44615.3</v>
      </c>
      <c r="D21" s="18" t="n">
        <v>42882.9</v>
      </c>
      <c r="E21" s="18" t="n">
        <v>109084.6</v>
      </c>
      <c r="F21" s="18" t="n">
        <v>46620.5</v>
      </c>
      <c r="G21" s="18" t="n">
        <v>50354.2</v>
      </c>
      <c r="H21" s="18" t="n">
        <v>49671.1</v>
      </c>
      <c r="I21" s="18" t="n">
        <v>117643.2</v>
      </c>
      <c r="J21" s="18" t="n">
        <v>51865.7</v>
      </c>
      <c r="K21" s="18" t="n">
        <v>56133.5</v>
      </c>
      <c r="L21" s="18" t="n">
        <v>760.709027</v>
      </c>
      <c r="M21" s="18" t="n">
        <v>62832.8</v>
      </c>
      <c r="N21" s="18" t="n">
        <v>65041.6</v>
      </c>
      <c r="O21" s="18" t="n">
        <v>70771.3</v>
      </c>
      <c r="Q21" s="18" t="n">
        <v>177559</v>
      </c>
      <c r="R21" s="18" t="n">
        <v>87453.2</v>
      </c>
      <c r="S21" s="18" t="n">
        <v>132989.8</v>
      </c>
      <c r="T21" s="18" t="n">
        <v>115223.6</v>
      </c>
      <c r="U21" s="18" t="n">
        <v>268332.9</v>
      </c>
      <c r="V21" s="18" t="n">
        <v>132935.1</v>
      </c>
      <c r="W21" s="18" t="n">
        <v>158791.6</v>
      </c>
      <c r="X21" s="18" t="n">
        <v>142998.3</v>
      </c>
      <c r="Y21" s="18" t="n">
        <v>314735.3</v>
      </c>
      <c r="Z21" s="18" t="n">
        <v>154390.1</v>
      </c>
      <c r="AA21" s="18" t="n">
        <v>155377.5</v>
      </c>
      <c r="AB21" s="18" t="n">
        <v>1776.143365</v>
      </c>
      <c r="AC21" s="18" t="n">
        <v>161651.009</v>
      </c>
    </row>
    <row r="22">
      <c r="A22" s="4" t="inlineStr">
        <is>
          <t>Total Assets</t>
        </is>
      </c>
      <c r="B22" s="18" t="n">
        <v>12652528.5</v>
      </c>
      <c r="C22" s="18" t="n">
        <v>13962925.7</v>
      </c>
      <c r="D22" s="18" t="n">
        <v>13953356.2</v>
      </c>
      <c r="E22" s="18" t="n">
        <v>15961889.1</v>
      </c>
      <c r="F22" s="18" t="n">
        <v>15962523.5</v>
      </c>
      <c r="G22" s="18" t="n">
        <v>16619208.3</v>
      </c>
      <c r="H22" s="18" t="n">
        <v>17066953.7</v>
      </c>
      <c r="I22" s="18" t="n">
        <v>17979782</v>
      </c>
      <c r="J22" s="18" t="n">
        <v>18053098.7</v>
      </c>
      <c r="K22" s="18" t="n">
        <v>18976758.2</v>
      </c>
      <c r="L22" s="18" t="n">
        <v>267741.031389</v>
      </c>
      <c r="M22" s="18" t="n">
        <v>21229343</v>
      </c>
      <c r="N22" s="18" t="n">
        <v>21648584.4</v>
      </c>
      <c r="O22" s="18" t="n">
        <v>23030048.3</v>
      </c>
      <c r="Q22" s="18" t="n">
        <v>25755624</v>
      </c>
      <c r="R22" s="18" t="n">
        <v>25708775.7</v>
      </c>
      <c r="S22" s="18" t="n">
        <v>42066425.8</v>
      </c>
      <c r="T22" s="18" t="n">
        <v>38818257.4</v>
      </c>
      <c r="U22" s="18" t="n">
        <v>44118573</v>
      </c>
      <c r="V22" s="18" t="n">
        <v>40065379.4</v>
      </c>
      <c r="W22" s="18" t="n">
        <v>45703524.4</v>
      </c>
      <c r="X22" s="18" t="n">
        <v>42281803.7</v>
      </c>
      <c r="Y22" s="18" t="n">
        <v>48187671.1</v>
      </c>
      <c r="Z22" s="18" t="n">
        <v>44560480.4</v>
      </c>
      <c r="AA22" s="18" t="n">
        <v>45147414</v>
      </c>
      <c r="AB22" s="18" t="n">
        <v>514693.612774</v>
      </c>
      <c r="AC22" s="18" t="n">
        <v>48108748.395</v>
      </c>
    </row>
    <row r="23">
      <c r="A23" s="4" t="inlineStr">
        <is>
          <t>Total Current Liabilities</t>
        </is>
      </c>
      <c r="B23" s="18" t="n">
        <v>9545537.1</v>
      </c>
      <c r="C23" s="18" t="n">
        <v>11275434.9</v>
      </c>
      <c r="D23" s="18" t="n">
        <v>10674334.7</v>
      </c>
      <c r="E23" s="18" t="n">
        <v>636719.9</v>
      </c>
      <c r="F23" s="18" t="n">
        <v>11872799.7</v>
      </c>
      <c r="G23" s="18" t="n">
        <v>343318.3</v>
      </c>
      <c r="H23" s="18" t="n">
        <v>12704901.4</v>
      </c>
      <c r="I23" s="18" t="n">
        <v>585302.1</v>
      </c>
      <c r="J23" s="18" t="n">
        <v>13448738.9</v>
      </c>
      <c r="K23" s="18" t="n">
        <v>15436849.5</v>
      </c>
      <c r="L23" s="18" t="n">
        <v>0</v>
      </c>
      <c r="M23" s="18" t="n">
        <v>82411.10000000001</v>
      </c>
      <c r="N23" s="18" t="n">
        <v>0</v>
      </c>
      <c r="O23" s="18" t="n">
        <v>18978960.7</v>
      </c>
      <c r="Q23" s="18" t="n">
        <v>1527188.6</v>
      </c>
      <c r="R23" s="18" t="n">
        <v>19117201.1</v>
      </c>
      <c r="S23" s="18" t="n">
        <v>24368294.3</v>
      </c>
      <c r="T23" s="18" t="n">
        <v>22116701.3</v>
      </c>
      <c r="U23" s="18" t="n">
        <v>25752751.1</v>
      </c>
      <c r="V23" s="18" t="n">
        <v>23768456.6</v>
      </c>
      <c r="W23" s="18" t="n">
        <v>26773793.3</v>
      </c>
      <c r="X23" s="18" t="n">
        <v>0</v>
      </c>
      <c r="Y23" s="18" t="n">
        <v>29224942.7</v>
      </c>
      <c r="Z23" s="18" t="n">
        <v>27564875</v>
      </c>
      <c r="AA23" s="18" t="n">
        <v>27981698.3</v>
      </c>
      <c r="AB23" s="18" t="n">
        <v>0</v>
      </c>
      <c r="AC23" s="18" t="n">
        <v>0</v>
      </c>
    </row>
    <row r="24">
      <c r="A24" s="4" t="inlineStr">
        <is>
          <t>Long-term Debt</t>
        </is>
      </c>
      <c r="B24" s="18" t="n">
        <v>1008941.2</v>
      </c>
      <c r="C24" s="18" t="n">
        <v>953447.3</v>
      </c>
      <c r="D24" s="18" t="n">
        <v>1132772</v>
      </c>
      <c r="E24" s="18" t="n">
        <v>1026518.3</v>
      </c>
      <c r="F24" s="18" t="n">
        <v>1596812.3</v>
      </c>
      <c r="G24" s="18" t="n">
        <v>1022511</v>
      </c>
      <c r="H24" s="18" t="n">
        <v>1621462.4</v>
      </c>
      <c r="I24" s="18" t="n">
        <v>1174758.2</v>
      </c>
      <c r="J24" s="18" t="n">
        <v>1725908</v>
      </c>
      <c r="K24" s="18" t="n">
        <v>1195488.3</v>
      </c>
      <c r="L24" s="18" t="n">
        <v>31273.362108</v>
      </c>
      <c r="M24" s="18" t="n">
        <v>2027620.1</v>
      </c>
      <c r="N24" s="18" t="n">
        <v>2169461.4</v>
      </c>
      <c r="O24" s="18" t="n">
        <v>1440287.5</v>
      </c>
      <c r="Q24" s="18" t="n">
        <v>2054436.4</v>
      </c>
      <c r="R24" s="18" t="n">
        <v>2635474.7</v>
      </c>
      <c r="S24" s="18" t="n">
        <v>6210912.3</v>
      </c>
      <c r="T24" s="18" t="n">
        <v>7996598.5</v>
      </c>
      <c r="U24" s="18" t="n">
        <v>6648772</v>
      </c>
      <c r="V24" s="18" t="n">
        <v>6733542.3</v>
      </c>
      <c r="W24" s="18" t="n">
        <v>6071297.4</v>
      </c>
      <c r="X24" s="18" t="n">
        <v>6534742.5</v>
      </c>
      <c r="Y24" s="18" t="n">
        <v>5866163.2</v>
      </c>
      <c r="Z24" s="18" t="n">
        <v>5996128.1</v>
      </c>
      <c r="AA24" s="18" t="n">
        <v>5995072.4</v>
      </c>
      <c r="AB24" s="18" t="n">
        <v>68517.76157800001</v>
      </c>
      <c r="AC24" s="18" t="n">
        <v>5768341.396</v>
      </c>
    </row>
    <row r="25">
      <c r="A25" s="4" t="inlineStr">
        <is>
          <t>Total Equity</t>
        </is>
      </c>
      <c r="B25" s="18" t="n">
        <v>1556380.9</v>
      </c>
      <c r="C25" s="18" t="n">
        <v>1730839</v>
      </c>
      <c r="D25" s="18" t="n">
        <v>1635907.6</v>
      </c>
      <c r="E25" s="18" t="n">
        <v>1893082.4</v>
      </c>
      <c r="F25" s="18" t="n">
        <v>1835959.7</v>
      </c>
      <c r="G25" s="18" t="n">
        <v>2017086.2</v>
      </c>
      <c r="H25" s="18" t="n">
        <v>2009863.9</v>
      </c>
      <c r="I25" s="18" t="n">
        <v>2159628.4</v>
      </c>
      <c r="J25" s="18" t="n">
        <v>2187697.6</v>
      </c>
      <c r="K25" s="18" t="n">
        <v>2340408.2</v>
      </c>
      <c r="L25" s="18" t="n">
        <v>31807.466538</v>
      </c>
      <c r="M25" s="18" t="n">
        <v>2473261.7</v>
      </c>
      <c r="N25" s="18" t="n">
        <v>2579214.9</v>
      </c>
      <c r="O25" s="18" t="n">
        <v>2605735.2</v>
      </c>
      <c r="Q25" s="18" t="n">
        <v>2912200.7</v>
      </c>
      <c r="R25" s="18" t="n">
        <v>3034782.4</v>
      </c>
      <c r="S25" s="18" t="n">
        <v>6505596.3</v>
      </c>
      <c r="T25" s="18" t="n">
        <v>4373224.6</v>
      </c>
      <c r="U25" s="18" t="n">
        <v>6947327.4</v>
      </c>
      <c r="V25" s="18" t="n">
        <v>4758360.5</v>
      </c>
      <c r="W25" s="18" t="n">
        <v>7264280.8</v>
      </c>
      <c r="X25" s="18" t="n">
        <v>5021902.9</v>
      </c>
      <c r="Y25" s="18" t="n">
        <v>7676891.4</v>
      </c>
      <c r="Z25" s="18" t="n">
        <v>5426340.2</v>
      </c>
      <c r="AA25" s="18" t="n">
        <v>5433274.1</v>
      </c>
      <c r="AB25" s="18" t="n">
        <v>62832.941697</v>
      </c>
      <c r="AC25" s="18" t="n">
        <v>5744570.697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0</v>
      </c>
      <c r="V27" s="18" t="n">
        <v>0</v>
      </c>
      <c r="W27" s="18" t="n">
        <v>0</v>
      </c>
      <c r="X27" s="18" t="n">
        <v>0</v>
      </c>
      <c r="Y27" s="18" t="n">
        <v>0</v>
      </c>
      <c r="Z27" s="18" t="n">
        <v>0</v>
      </c>
      <c r="AA27" s="18" t="n">
        <v>0</v>
      </c>
      <c r="AB27" s="18" t="n">
        <v>0</v>
      </c>
      <c r="AC27" s="18" t="n">
        <v>0</v>
      </c>
    </row>
    <row r="28">
      <c r="A28" s="4" t="inlineStr">
        <is>
          <t>Stock-based Compensation</t>
        </is>
      </c>
      <c r="B28" s="18" t="n">
        <v>0</v>
      </c>
      <c r="C28" s="18" t="n">
        <v>2916</v>
      </c>
      <c r="D28" s="18" t="n">
        <v>0</v>
      </c>
      <c r="E28" s="18" t="n">
        <v>0</v>
      </c>
      <c r="F28" s="18" t="n">
        <v>0</v>
      </c>
      <c r="G28" s="18" t="n">
        <v>4480.4</v>
      </c>
      <c r="H28" s="18" t="n">
        <v>0</v>
      </c>
      <c r="I28" s="18" t="n">
        <v>0</v>
      </c>
      <c r="J28" s="18" t="n">
        <v>0</v>
      </c>
      <c r="K28" s="18" t="n">
        <v>7471.5</v>
      </c>
      <c r="L28" s="18" t="n">
        <v>0</v>
      </c>
      <c r="M28" s="18" t="n">
        <v>3412.4</v>
      </c>
      <c r="N28" s="18" t="n">
        <v>0</v>
      </c>
      <c r="O28" s="18" t="n">
        <v>0</v>
      </c>
      <c r="P28" s="18" t="n">
        <v>0</v>
      </c>
      <c r="Q28" s="18" t="n">
        <v>7870.6</v>
      </c>
      <c r="R28" s="18" t="n">
        <v>0</v>
      </c>
      <c r="S28" s="18" t="n">
        <v>0</v>
      </c>
      <c r="T28" s="18" t="n">
        <v>0</v>
      </c>
      <c r="U28" s="18" t="n">
        <v>17317.3</v>
      </c>
      <c r="V28" s="18" t="n">
        <v>0</v>
      </c>
      <c r="W28" s="18" t="n">
        <v>0</v>
      </c>
      <c r="X28" s="18" t="n">
        <v>0</v>
      </c>
      <c r="Y28" s="18" t="n">
        <v>20860.5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0</v>
      </c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0</v>
      </c>
      <c r="M29" s="18" t="n">
        <v>0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  <c r="AA29" s="18" t="n">
        <v>0</v>
      </c>
      <c r="AB29" s="18" t="n">
        <v>0</v>
      </c>
      <c r="AC29" s="18" t="n">
        <v>596821.536</v>
      </c>
    </row>
    <row r="30">
      <c r="A30" s="4" t="inlineStr">
        <is>
          <t>Operating Cash Flow</t>
        </is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0</v>
      </c>
      <c r="L30" s="18" t="n">
        <v>0</v>
      </c>
      <c r="M30" s="18" t="n">
        <v>0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0</v>
      </c>
      <c r="X30" s="18" t="n">
        <v>0</v>
      </c>
      <c r="Y30" s="18" t="n">
        <v>0</v>
      </c>
      <c r="Z30" s="18" t="n">
        <v>0</v>
      </c>
      <c r="AA30" s="18" t="n">
        <v>0</v>
      </c>
      <c r="AB30" s="18" t="n">
        <v>0</v>
      </c>
      <c r="AC30" s="18" t="n">
        <v>1763604.876</v>
      </c>
    </row>
    <row r="31">
      <c r="A31" s="4" t="inlineStr">
        <is>
          <t>Capex</t>
        </is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0</v>
      </c>
      <c r="AB31" s="18" t="n">
        <v>0</v>
      </c>
      <c r="AC31" s="18" t="n">
        <v>-40930.605</v>
      </c>
    </row>
    <row r="32">
      <c r="A32" s="4" t="inlineStr">
        <is>
          <t>Free Cash Flow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B32" s="18" t="n">
        <v>0</v>
      </c>
      <c r="AC32" s="18" t="n">
        <v>1722674.271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2027</v>
      </c>
      <c r="C2" s="45" t="n">
        <v>2028</v>
      </c>
      <c r="D2" s="45" t="n">
        <v>2029</v>
      </c>
      <c r="E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2089396.698348</v>
      </c>
      <c r="C4" s="18" t="n">
        <v>2391412.789729</v>
      </c>
      <c r="D4" s="18" t="n">
        <v>2660215.919583</v>
      </c>
      <c r="E4" s="18" t="n">
        <v>3120422.603684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556073.73704</v>
      </c>
      <c r="C8" s="18" t="n">
        <v>636452.5452929999</v>
      </c>
      <c r="D8" s="18" t="n">
        <v>707992.028946</v>
      </c>
      <c r="E8" s="18" t="n">
        <v>830471.810235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530707.646406</v>
      </c>
      <c r="C12" s="18" t="n">
        <v>607419.861544</v>
      </c>
      <c r="D12" s="18" t="n">
        <v>675695.970387</v>
      </c>
      <c r="E12" s="18" t="n">
        <v>792588.663082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424598.572662</v>
      </c>
      <c r="C16" s="18" t="n">
        <v>485973.036125</v>
      </c>
      <c r="D16" s="18" t="n">
        <v>540598.098638</v>
      </c>
      <c r="E16" s="18" t="n">
        <v>634119.401392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278471.297965</v>
      </c>
      <c r="C20" s="18" t="n">
        <v>323409.70849</v>
      </c>
      <c r="D20" s="18" t="n">
        <v>369451.564932</v>
      </c>
      <c r="E20" s="18" t="n">
        <v>438500.730722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162.45502</v>
      </c>
      <c r="C24" s="47" t="n">
        <v>188.67126</v>
      </c>
      <c r="D24" s="47" t="n">
        <v>215.53123</v>
      </c>
      <c r="E24" s="47" t="n">
        <v>255.81324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HDFC Bank Limited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2027</v>
      </c>
      <c r="D11" s="45" t="n">
        <v>2028</v>
      </c>
      <c r="E11" s="45" t="n">
        <v>2029</v>
      </c>
      <c r="F11" s="45" t="n">
        <v>2030</v>
      </c>
      <c r="G11" s="45" t="n">
        <v>2031</v>
      </c>
      <c r="H11" s="45" t="n">
        <v>2032</v>
      </c>
      <c r="I11" s="45" t="n">
        <v>2033</v>
      </c>
      <c r="J11" s="45" t="n">
        <v>2034</v>
      </c>
      <c r="K11" s="45" t="n">
        <v>2035</v>
      </c>
      <c r="L11" s="45" t="n">
        <v>2036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B34/B35*0.012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0.01944472608120765</v>
      </c>
      <c r="C4" s="51" t="n">
        <v>0.02444472608120764</v>
      </c>
      <c r="D4" s="51" t="n">
        <v>0.02944472608120765</v>
      </c>
      <c r="E4" s="51" t="n">
        <v>0.03444472608120765</v>
      </c>
      <c r="F4" s="51" t="n">
        <v>0.03944472608120764</v>
      </c>
      <c r="G4" s="51" t="n">
        <v>0.04444472608120765</v>
      </c>
      <c r="H4" s="51" t="n">
        <v>0.04944472608120765</v>
      </c>
    </row>
    <row r="5">
      <c r="A5" s="52" t="n">
        <v>9</v>
      </c>
      <c r="B5" s="8" t="n">
        <v>73.43864043796509</v>
      </c>
      <c r="C5" s="8" t="n">
        <v>69.92035505845034</v>
      </c>
      <c r="D5" s="8" t="n">
        <v>66.57056766568833</v>
      </c>
      <c r="E5" s="8" t="n">
        <v>63.38015134614112</v>
      </c>
      <c r="F5" s="8" t="n">
        <v>60.34052168850823</v>
      </c>
      <c r="G5" s="8" t="n">
        <v>57.44360190087558</v>
      </c>
      <c r="H5" s="8" t="n">
        <v>54.681790332792</v>
      </c>
    </row>
    <row r="6">
      <c r="A6" s="52" t="n">
        <v>10</v>
      </c>
      <c r="B6" s="8" t="n">
        <v>79.0785019899874</v>
      </c>
      <c r="C6" s="8" t="n">
        <v>75.29091993901439</v>
      </c>
      <c r="D6" s="8" t="n">
        <v>71.6859128741639</v>
      </c>
      <c r="E6" s="8" t="n">
        <v>68.25355494671203</v>
      </c>
      <c r="F6" s="8" t="n">
        <v>64.98451170002414</v>
      </c>
      <c r="G6" s="8" t="n">
        <v>61.87000197996263</v>
      </c>
      <c r="H6" s="8" t="n">
        <v>58.90176247452526</v>
      </c>
    </row>
    <row r="7">
      <c r="A7" s="52" t="n">
        <v>11</v>
      </c>
      <c r="B7" s="8" t="n">
        <v>84.71836354200977</v>
      </c>
      <c r="C7" s="8" t="n">
        <v>80.66148481957842</v>
      </c>
      <c r="D7" s="8" t="n">
        <v>76.80125808263948</v>
      </c>
      <c r="E7" s="8" t="n">
        <v>73.12695854728291</v>
      </c>
      <c r="F7" s="8" t="n">
        <v>69.62850171154008</v>
      </c>
      <c r="G7" s="8" t="n">
        <v>66.29640205904968</v>
      </c>
      <c r="H7" s="8" t="n">
        <v>63.1217346162585</v>
      </c>
    </row>
    <row r="8">
      <c r="A8" s="52" t="n">
        <v>12</v>
      </c>
      <c r="B8" s="8" t="n">
        <v>90.35822509403209</v>
      </c>
      <c r="C8" s="8" t="n">
        <v>86.03204970014247</v>
      </c>
      <c r="D8" s="8" t="n">
        <v>81.91660329111502</v>
      </c>
      <c r="E8" s="53" t="n">
        <v>78.00036214785381</v>
      </c>
      <c r="F8" s="8" t="n">
        <v>74.27249172305601</v>
      </c>
      <c r="G8" s="8" t="n">
        <v>70.72280213813673</v>
      </c>
      <c r="H8" s="8" t="n">
        <v>67.34170675799177</v>
      </c>
    </row>
    <row r="9">
      <c r="A9" s="52" t="n">
        <v>13</v>
      </c>
      <c r="B9" s="8" t="n">
        <v>95.99808664605442</v>
      </c>
      <c r="C9" s="8" t="n">
        <v>91.40261458070651</v>
      </c>
      <c r="D9" s="8" t="n">
        <v>87.03194849959057</v>
      </c>
      <c r="E9" s="8" t="n">
        <v>82.8737657484247</v>
      </c>
      <c r="F9" s="8" t="n">
        <v>78.91648173457192</v>
      </c>
      <c r="G9" s="8" t="n">
        <v>75.14920221722376</v>
      </c>
      <c r="H9" s="8" t="n">
        <v>71.561678899725</v>
      </c>
    </row>
    <row r="10">
      <c r="A10" s="52" t="n">
        <v>14</v>
      </c>
      <c r="B10" s="8" t="n">
        <v>101.6379481980767</v>
      </c>
      <c r="C10" s="8" t="n">
        <v>96.77317946127056</v>
      </c>
      <c r="D10" s="8" t="n">
        <v>92.14729370806614</v>
      </c>
      <c r="E10" s="8" t="n">
        <v>87.74716934899563</v>
      </c>
      <c r="F10" s="8" t="n">
        <v>83.56047174608783</v>
      </c>
      <c r="G10" s="8" t="n">
        <v>79.57560229631079</v>
      </c>
      <c r="H10" s="8" t="n">
        <v>75.78165104145826</v>
      </c>
    </row>
    <row r="11">
      <c r="A11" s="52" t="n">
        <v>15</v>
      </c>
      <c r="B11" s="8" t="n">
        <v>107.2778097500991</v>
      </c>
      <c r="C11" s="8" t="n">
        <v>102.1437443418346</v>
      </c>
      <c r="D11" s="8" t="n">
        <v>97.2626389165417</v>
      </c>
      <c r="E11" s="8" t="n">
        <v>92.62057294956652</v>
      </c>
      <c r="F11" s="8" t="n">
        <v>88.20446175760375</v>
      </c>
      <c r="G11" s="8" t="n">
        <v>84.00200237539782</v>
      </c>
      <c r="H11" s="8" t="n">
        <v>80.0016231831915</v>
      </c>
    </row>
    <row r="13">
      <c r="A13" s="3" t="inlineStr">
        <is>
          <t>Current price</t>
        </is>
      </c>
      <c r="B13" s="54" t="n">
        <v>27.2450008392334</v>
      </c>
    </row>
    <row r="14">
      <c r="A14" s="3" t="inlineStr">
        <is>
          <t>Base WACC / multiple</t>
        </is>
      </c>
      <c r="B14" s="55" t="n">
        <v>0.03444472608120765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45023.66550000001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0.01113754608088853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2026-07-08T07:03:43Z</dcterms:created>
  <dcterms:modified xmlns:dcterms="http://purl.org/dc/terms/" xmlns:xsi="http://www.w3.org/2001/XMLSchema-instance" xsi:type="dcterms:W3CDTF">2026-07-08T07:03:44Z</dcterms:modified>
</cp:coreProperties>
</file>