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16.0%</t>
      </text>
    </comment>
    <comment ref="C20" authorId="0" shapeId="0">
      <text>
        <t>Opus: 2.5%</t>
      </text>
    </comment>
    <comment ref="B29" authorId="0" shapeId="0">
      <text>
        <t>Opus: 34.5%</t>
      </text>
    </comment>
    <comment ref="B30" authorId="0" shapeId="0">
      <text>
        <t>Opus: 36.0%</t>
      </text>
    </comment>
    <comment ref="B31" authorId="0" shapeId="0">
      <text>
        <t>Opus: 20.0%</t>
      </text>
    </comment>
    <comment ref="B34" authorId="0" shapeId="0">
      <text>
        <t>Opus: —
set from Opus 6%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16.0x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ASML Holding N.V. (ASML)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ASML's EUV monopoly and High-NA ramp underpin a multi-year capacity buildout toward $60B+ revenue, driven by leading-edge logic and HBM demand. Consensus implies ~20%+ near-term growth that fades toward GDP-like maturity as the installed-base/service mix grows and the leading-edge node cadence normalizes. Best-in-class operating margins (mid-30s%) hold and modestly expand on operating leverage and rising high-margin service revenue, while capex converges toward maintenance levels in the terminal year.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ASML Holding N.V. (ASML)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0.16</v>
      </c>
      <c r="C20" s="15" t="n">
        <v>0.025</v>
      </c>
      <c r="D20" s="16" t="n">
        <v>0.16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0.345</v>
      </c>
      <c r="D29" s="16" t="n">
        <v>0.345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2599.200100965</v>
      </c>
      <c r="D34" s="18" t="n">
        <v>2599.200100965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1.373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0.004872785198096803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1769.319946289062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754.2368320317642</v>
      </c>
      <c r="C58" s="28" t="n">
        <v>1002.860338547764</v>
      </c>
      <c r="D58" s="28" t="n">
        <v>564.0597701935241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0.002840761250547184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0.00170445675032831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ASML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ASML's EUV monopoly and High-NA ramp underpin a multi-year capacity buildout toward $60B+ revenue, driven by leading-edge logic and HBM demand. Consensus implies ~20%+ near-term growth that fades toward GDP-like maturity as the installed-base/service mix grows and the leading-edge node cadence normalizes. Best-in-class operating margins (mid-30s%) hold and modestly expand on operating leverage and rising high-margin service revenue, while capex converges toward maintenance levels in the terminal year.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(16%) and margins (34.5%) are anchored to 2026-2030 consensus, which shows revenue climbing from ~$40B to ~$64B at low-30s%-plus operating margins; growth fades to a 2.5% EUR-risk-free terminal rate. I used a normalized ~20% tax rate (above ASML's historically low effective rate) and an EV/EBITDA exit of 16x, a defensible mature multiple for a wide-moat capital-equipment monopoly that the market values on EBITDA, with terminal capex/D&amp;A pulled to ~1.1x to reflect maintenance-level reinvestment.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16.0%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34.5%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36.0%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20.0%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2026-06-12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16.0x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6%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SUM(Financials!I3:L3)</f>
        <v/>
      </c>
      <c r="C4" s="34">
        <f>SUM(Financials!M3:P3)</f>
        <v/>
      </c>
      <c r="D4" s="34">
        <f>SUM(Financials!Q3:T3)</f>
        <v/>
      </c>
      <c r="E4" s="34">
        <f>SUM(Financials!U3:X3)</f>
        <v/>
      </c>
      <c r="F4" s="34">
        <f>SUM(Financials!Y3:AB3)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SUM(Financials!I5:L5)</f>
        <v/>
      </c>
      <c r="C10" s="34">
        <f>SUM(Financials!M5:P5)</f>
        <v/>
      </c>
      <c r="D10" s="34">
        <f>SUM(Financials!Q5:T5)</f>
        <v/>
      </c>
      <c r="E10" s="34">
        <f>SUM(Financials!U5:X5)</f>
        <v/>
      </c>
      <c r="F10" s="34">
        <f>SUM(Financials!Y5:AB5)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0.4717041200221628</v>
      </c>
      <c r="H11" s="15" t="n">
        <v>0.4717041200221628</v>
      </c>
      <c r="I11" s="15" t="n">
        <v>0.4717041200221628</v>
      </c>
      <c r="J11" s="15" t="n">
        <v>0.4717041200221628</v>
      </c>
      <c r="K11" s="15" t="n">
        <v>0.4717041200221628</v>
      </c>
      <c r="L11" s="15" t="n">
        <v>0.4717041200221628</v>
      </c>
      <c r="M11" s="15" t="n">
        <v>0.4717041200221628</v>
      </c>
      <c r="N11" s="15" t="n">
        <v>0.4717041200221628</v>
      </c>
      <c r="O11" s="15" t="n">
        <v>0.4717041200221628</v>
      </c>
      <c r="P11" s="15" t="n">
        <v>0.4717041200221628</v>
      </c>
    </row>
    <row r="12">
      <c r="A12" s="4" t="inlineStr">
        <is>
          <t>R&amp;D / Technology</t>
        </is>
      </c>
      <c r="B12" s="34">
        <f>SUM(Financials!I7:L7)</f>
        <v/>
      </c>
      <c r="C12" s="34">
        <f>SUM(Financials!M7:P7)</f>
        <v/>
      </c>
      <c r="D12" s="34">
        <f>SUM(Financials!Q7:T7)</f>
        <v/>
      </c>
      <c r="E12" s="34">
        <f>SUM(Financials!U7:X7)</f>
        <v/>
      </c>
      <c r="F12" s="34">
        <f>SUM(Financials!Y7:AB7)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0.1438380276300766</v>
      </c>
      <c r="H13" s="15" t="n">
        <v>0.1438380276300766</v>
      </c>
      <c r="I13" s="15" t="n">
        <v>0.1438380276300766</v>
      </c>
      <c r="J13" s="15" t="n">
        <v>0.1438380276300766</v>
      </c>
      <c r="K13" s="15" t="n">
        <v>0.1438380276300766</v>
      </c>
      <c r="L13" s="15" t="n">
        <v>0.1438380276300766</v>
      </c>
      <c r="M13" s="15" t="n">
        <v>0.1438380276300766</v>
      </c>
      <c r="N13" s="15" t="n">
        <v>0.1438380276300766</v>
      </c>
      <c r="O13" s="15" t="n">
        <v>0.1438380276300766</v>
      </c>
      <c r="P13" s="15" t="n">
        <v>0.1438380276300766</v>
      </c>
    </row>
    <row r="14">
      <c r="A14" s="4" t="inlineStr">
        <is>
          <t>SG&amp;A</t>
        </is>
      </c>
      <c r="B14" s="34">
        <f>SUM(Financials!I9:L9)</f>
        <v/>
      </c>
      <c r="C14" s="34">
        <f>SUM(Financials!M9:P9)</f>
        <v/>
      </c>
      <c r="D14" s="34">
        <f>SUM(Financials!Q9:T9)</f>
        <v/>
      </c>
      <c r="E14" s="34">
        <f>SUM(Financials!U9:X9)</f>
        <v/>
      </c>
      <c r="F14" s="34">
        <f>SUM(Financials!Y9:AB9)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0.03850639630456144</v>
      </c>
      <c r="H15" s="15" t="n">
        <v>0.03850639630456144</v>
      </c>
      <c r="I15" s="15" t="n">
        <v>0.03850639630456144</v>
      </c>
      <c r="J15" s="15" t="n">
        <v>0.03850639630456144</v>
      </c>
      <c r="K15" s="15" t="n">
        <v>0.03850639630456144</v>
      </c>
      <c r="L15" s="15" t="n">
        <v>0.03850639630456144</v>
      </c>
      <c r="M15" s="15" t="n">
        <v>0.03850639630456144</v>
      </c>
      <c r="N15" s="15" t="n">
        <v>0.03850639630456144</v>
      </c>
      <c r="O15" s="15" t="n">
        <v>0.03850639630456144</v>
      </c>
      <c r="P15" s="15" t="n">
        <v>0.03850639630456144</v>
      </c>
    </row>
    <row r="16">
      <c r="A16" s="4" t="inlineStr">
        <is>
          <t>Other opex (fulfilment, etc.)</t>
        </is>
      </c>
      <c r="B16" s="34">
        <f>B6-(B10+B12+B14)-SUM(Financials!I13:L13)</f>
        <v/>
      </c>
      <c r="C16" s="34">
        <f>C6-(C10+C12+C14)-SUM(Financials!M13:P13)</f>
        <v/>
      </c>
      <c r="D16" s="34">
        <f>D6-(D10+D12+D14)-SUM(Financials!Q13:T13)</f>
        <v/>
      </c>
      <c r="E16" s="34">
        <f>E6-(E10+E12+E14)-SUM(Financials!U13:X13)</f>
        <v/>
      </c>
      <c r="F16" s="34">
        <f>F6-(F10+F12+F14)-SUM(Financials!Y13:AB13)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SUM(Financials!I27:L27)</f>
        <v/>
      </c>
      <c r="C24" s="34">
        <f>SUM(Financials!M27:P27)</f>
        <v/>
      </c>
      <c r="D24" s="34">
        <f>SUM(Financials!Q27:T27)</f>
        <v/>
      </c>
      <c r="E24" s="34">
        <f>SUM(Financials!U27:X27)</f>
        <v/>
      </c>
      <c r="F24" s="34">
        <f>SUM(Financials!Y27:AB27)</f>
        <v/>
      </c>
      <c r="G24" s="42">
        <f>G6*0.0348</f>
        <v/>
      </c>
      <c r="H24" s="42">
        <f>H6*0.0348</f>
        <v/>
      </c>
      <c r="I24" s="42">
        <f>I6*0.0348</f>
        <v/>
      </c>
      <c r="J24" s="42">
        <f>J6*0.0348</f>
        <v/>
      </c>
      <c r="K24" s="42">
        <f>K6*0.0348</f>
        <v/>
      </c>
      <c r="L24" s="42">
        <f>L6*0.0348</f>
        <v/>
      </c>
      <c r="M24" s="42">
        <f>M6*0.0348</f>
        <v/>
      </c>
      <c r="N24" s="42">
        <f>N6*0.0348</f>
        <v/>
      </c>
      <c r="O24" s="42">
        <f>O6*0.0348</f>
        <v/>
      </c>
      <c r="P24" s="42">
        <f>P6*0.0348</f>
        <v/>
      </c>
    </row>
    <row r="25">
      <c r="A25" s="4" t="inlineStr">
        <is>
          <t>+ SBC (non-cash)</t>
        </is>
      </c>
      <c r="B25" s="34">
        <f>SUM(Financials!I28:L28)</f>
        <v/>
      </c>
      <c r="C25" s="34">
        <f>SUM(Financials!M28:P28)</f>
        <v/>
      </c>
      <c r="D25" s="34">
        <f>SUM(Financials!Q28:T28)</f>
        <v/>
      </c>
      <c r="E25" s="34">
        <f>SUM(Financials!U28:X28)</f>
        <v/>
      </c>
      <c r="F25" s="34">
        <f>SUM(Financials!Y28:AB28)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-SUM(Financials!I31:L31)</f>
        <v/>
      </c>
      <c r="C27" s="34">
        <f>-SUM(Financials!M31:P31)</f>
        <v/>
      </c>
      <c r="D27" s="34">
        <f>-SUM(Financials!Q31:T31)</f>
        <v/>
      </c>
      <c r="E27" s="34">
        <f>-SUM(Financials!U31:X31)</f>
        <v/>
      </c>
      <c r="F27" s="34">
        <f>-SUM(Financials!Y31:AB31)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Financials!L25+Financials!L24-Financials!L19</f>
        <v/>
      </c>
      <c r="C34" s="34">
        <f>Financials!P25+Financials!P24-Financials!P19</f>
        <v/>
      </c>
      <c r="D34" s="34">
        <f>Financials!T25+Financials!T24-Financials!T19</f>
        <v/>
      </c>
      <c r="E34" s="34">
        <f>Financials!X25+Financials!X24-Financials!X19</f>
        <v/>
      </c>
      <c r="F34" s="34">
        <f>Financials!AB25+Financials!AB24-Financials!AB19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Financials!L25</f>
        <v/>
      </c>
      <c r="C35" s="34">
        <f>Financials!P25</f>
        <v/>
      </c>
      <c r="D35" s="34">
        <f>Financials!T25</f>
        <v/>
      </c>
      <c r="E35" s="34">
        <f>Financials!X25</f>
        <v/>
      </c>
      <c r="F35" s="34">
        <f>Financials!AB25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2567.9</v>
      </c>
      <c r="C3" s="18" t="n">
        <v>2986.5</v>
      </c>
      <c r="D3" s="18" t="n">
        <v>4036.4</v>
      </c>
      <c r="E3" s="18" t="n">
        <v>2440.6</v>
      </c>
      <c r="F3" s="18" t="n">
        <v>3325.7</v>
      </c>
      <c r="G3" s="18" t="n">
        <v>3958</v>
      </c>
      <c r="H3" s="18" t="n">
        <v>4254.1</v>
      </c>
      <c r="I3" s="18" t="n">
        <v>4363.9</v>
      </c>
      <c r="J3" s="18" t="n">
        <v>4020.2</v>
      </c>
      <c r="K3" s="18" t="n">
        <v>5241.3</v>
      </c>
      <c r="L3" s="18" t="n">
        <v>4985.6</v>
      </c>
      <c r="M3" s="18" t="n">
        <v>3534.4</v>
      </c>
      <c r="N3" s="18" t="n">
        <v>5430.5</v>
      </c>
      <c r="O3" s="18" t="n">
        <v>5778.3</v>
      </c>
      <c r="P3" s="18" t="n">
        <v>6430.2</v>
      </c>
      <c r="Q3" s="18" t="n">
        <v>6746.2</v>
      </c>
      <c r="R3" s="18" t="n">
        <v>6902.3</v>
      </c>
      <c r="S3" s="18" t="n">
        <v>6673</v>
      </c>
      <c r="T3" s="18" t="n">
        <v>7237</v>
      </c>
      <c r="U3" s="18" t="n">
        <v>5290</v>
      </c>
      <c r="V3" s="18" t="n">
        <v>6242.8</v>
      </c>
      <c r="W3" s="18" t="n">
        <v>7467.3</v>
      </c>
      <c r="X3" s="18" t="n">
        <v>9262.799999999999</v>
      </c>
      <c r="Y3" s="18" t="n">
        <v>7741.5</v>
      </c>
      <c r="Z3" s="18" t="n">
        <v>7691.7</v>
      </c>
      <c r="AA3" s="18" t="n">
        <v>7516</v>
      </c>
      <c r="AB3" s="18" t="n">
        <v>9718.1</v>
      </c>
      <c r="AC3" s="18" t="n">
        <v>8766.9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1462.7</v>
      </c>
      <c r="C5" s="18" t="n">
        <v>1680.1</v>
      </c>
      <c r="D5" s="18" t="n">
        <v>2096.3</v>
      </c>
      <c r="E5" s="18" t="n">
        <v>1339.2</v>
      </c>
      <c r="F5" s="18" t="n">
        <v>1722.5</v>
      </c>
      <c r="G5" s="18" t="n">
        <v>2076.6</v>
      </c>
      <c r="H5" s="18" t="n">
        <v>2043</v>
      </c>
      <c r="I5" s="18" t="n">
        <v>2011.5</v>
      </c>
      <c r="J5" s="18" t="n">
        <v>1975.6</v>
      </c>
      <c r="K5" s="18" t="n">
        <v>2529.9</v>
      </c>
      <c r="L5" s="18" t="n">
        <v>2285</v>
      </c>
      <c r="M5" s="18" t="n">
        <v>1803.4</v>
      </c>
      <c r="N5" s="18" t="n">
        <v>2766</v>
      </c>
      <c r="O5" s="18" t="n">
        <v>2784.6</v>
      </c>
      <c r="P5" s="18" t="n">
        <v>3119.3</v>
      </c>
      <c r="Q5" s="18" t="n">
        <v>3333</v>
      </c>
      <c r="R5" s="18" t="n">
        <v>3358.3</v>
      </c>
      <c r="S5" s="18" t="n">
        <v>3211.4</v>
      </c>
      <c r="T5" s="18" t="n">
        <v>3519.7</v>
      </c>
      <c r="U5" s="18" t="n">
        <v>2593.4</v>
      </c>
      <c r="V5" s="18" t="n">
        <v>3030.6</v>
      </c>
      <c r="W5" s="18" t="n">
        <v>3673.9</v>
      </c>
      <c r="X5" s="18" t="n">
        <v>4473</v>
      </c>
      <c r="Y5" s="18" t="n">
        <v>3561.8</v>
      </c>
      <c r="Z5" s="18" t="n">
        <v>3562.2</v>
      </c>
      <c r="AA5" s="18" t="n">
        <v>3635.7</v>
      </c>
      <c r="AB5" s="18" t="n">
        <v>4649.6</v>
      </c>
      <c r="AC5" s="18" t="n">
        <v>4121.9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487.4</v>
      </c>
      <c r="C7" s="18" t="n">
        <v>492.3</v>
      </c>
      <c r="D7" s="18" t="n">
        <v>516.1</v>
      </c>
      <c r="E7" s="18" t="n">
        <v>544</v>
      </c>
      <c r="F7" s="18" t="n">
        <v>566.9</v>
      </c>
      <c r="G7" s="18" t="n">
        <v>534</v>
      </c>
      <c r="H7" s="18" t="n">
        <v>555.9</v>
      </c>
      <c r="I7" s="18" t="n">
        <v>623.4</v>
      </c>
      <c r="J7" s="18" t="n">
        <v>633.8</v>
      </c>
      <c r="K7" s="18" t="n">
        <v>609.2</v>
      </c>
      <c r="L7" s="18" t="n">
        <v>680.6</v>
      </c>
      <c r="M7" s="18" t="n">
        <v>738.7</v>
      </c>
      <c r="N7" s="18" t="n">
        <v>789.1</v>
      </c>
      <c r="O7" s="18" t="n">
        <v>819.4</v>
      </c>
      <c r="P7" s="18" t="n">
        <v>906.3</v>
      </c>
      <c r="Q7" s="18" t="n">
        <v>947.9</v>
      </c>
      <c r="R7" s="18" t="n">
        <v>999.9</v>
      </c>
      <c r="S7" s="18" t="n">
        <v>991.4</v>
      </c>
      <c r="T7" s="18" t="n">
        <v>1041.3</v>
      </c>
      <c r="U7" s="18" t="n">
        <v>1031.9</v>
      </c>
      <c r="V7" s="18" t="n">
        <v>1100.6</v>
      </c>
      <c r="W7" s="18" t="n">
        <v>1055.2</v>
      </c>
      <c r="X7" s="18" t="n">
        <v>1116</v>
      </c>
      <c r="Y7" s="18" t="n">
        <v>1161.1</v>
      </c>
      <c r="Z7" s="18" t="n">
        <v>1166.7</v>
      </c>
      <c r="AA7" s="18" t="n">
        <v>1108.7</v>
      </c>
      <c r="AB7" s="18" t="n">
        <v>1262.3</v>
      </c>
      <c r="AC7" s="18" t="n">
        <v>1184.9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123.5</v>
      </c>
      <c r="C9" s="18" t="n">
        <v>128.5</v>
      </c>
      <c r="D9" s="18" t="n">
        <v>147.6</v>
      </c>
      <c r="E9" s="18" t="n">
        <v>130.7</v>
      </c>
      <c r="F9" s="18" t="n">
        <v>131.2</v>
      </c>
      <c r="G9" s="18" t="n">
        <v>131.5</v>
      </c>
      <c r="H9" s="18" t="n">
        <v>151.5</v>
      </c>
      <c r="I9" s="18" t="n">
        <v>168.4</v>
      </c>
      <c r="J9" s="18" t="n">
        <v>171.8</v>
      </c>
      <c r="K9" s="18" t="n">
        <v>182.9</v>
      </c>
      <c r="L9" s="18" t="n">
        <v>202.5</v>
      </c>
      <c r="M9" s="18" t="n">
        <v>207.7</v>
      </c>
      <c r="N9" s="18" t="n">
        <v>222</v>
      </c>
      <c r="O9" s="18" t="n">
        <v>235.8</v>
      </c>
      <c r="P9" s="18" t="n">
        <v>280.4</v>
      </c>
      <c r="Q9" s="18" t="n">
        <v>260.3</v>
      </c>
      <c r="R9" s="18" t="n">
        <v>281.1</v>
      </c>
      <c r="S9" s="18" t="n">
        <v>287.8</v>
      </c>
      <c r="T9" s="18" t="n">
        <v>284.1</v>
      </c>
      <c r="U9" s="18" t="n">
        <v>273.3</v>
      </c>
      <c r="V9" s="18" t="n">
        <v>277</v>
      </c>
      <c r="W9" s="18" t="n">
        <v>297</v>
      </c>
      <c r="X9" s="18" t="n">
        <v>318.4</v>
      </c>
      <c r="Y9" s="18" t="n">
        <v>280.7</v>
      </c>
      <c r="Z9" s="18" t="n">
        <v>298.7</v>
      </c>
      <c r="AA9" s="18" t="n">
        <v>303.2</v>
      </c>
      <c r="AB9" s="18" t="n">
        <v>375.3</v>
      </c>
      <c r="AC9" s="18" t="n">
        <v>302.3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1105.2</v>
      </c>
      <c r="C11" s="18" t="n">
        <v>1306.4</v>
      </c>
      <c r="D11" s="18" t="n">
        <v>1940.1</v>
      </c>
      <c r="E11" s="18" t="n">
        <v>1101.4</v>
      </c>
      <c r="F11" s="18" t="n">
        <v>1603.2</v>
      </c>
      <c r="G11" s="18" t="n">
        <v>1881.4</v>
      </c>
      <c r="H11" s="18" t="n">
        <v>2211.1</v>
      </c>
      <c r="I11" s="18" t="n">
        <v>2352.4</v>
      </c>
      <c r="J11" s="18" t="n">
        <v>2044.6</v>
      </c>
      <c r="K11" s="18" t="n">
        <v>2711.4</v>
      </c>
      <c r="L11" s="18" t="n">
        <v>2700.6</v>
      </c>
      <c r="M11" s="18" t="n">
        <v>1731</v>
      </c>
      <c r="N11" s="18" t="n">
        <v>2664.5</v>
      </c>
      <c r="O11" s="18" t="n">
        <v>2993.7</v>
      </c>
      <c r="P11" s="18" t="n">
        <v>3310.9</v>
      </c>
      <c r="Q11" s="18" t="n">
        <v>3413.2</v>
      </c>
      <c r="R11" s="18" t="n">
        <v>3544</v>
      </c>
      <c r="S11" s="18" t="n">
        <v>3461.6</v>
      </c>
      <c r="T11" s="18" t="n">
        <v>3717.3</v>
      </c>
      <c r="U11" s="18" t="n">
        <v>2696.6</v>
      </c>
      <c r="V11" s="18" t="n">
        <v>3212.2</v>
      </c>
      <c r="W11" s="18" t="n">
        <v>3793.4</v>
      </c>
      <c r="X11" s="18" t="n">
        <v>4789.8</v>
      </c>
      <c r="Y11" s="18" t="n">
        <v>4179.7</v>
      </c>
      <c r="Z11" s="18" t="n">
        <v>4129.5</v>
      </c>
      <c r="AA11" s="18" t="n">
        <v>3880.3</v>
      </c>
      <c r="AB11" s="18" t="n">
        <v>5068.5</v>
      </c>
      <c r="AC11" s="18" t="n">
        <v>4645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494.3</v>
      </c>
      <c r="C13" s="18" t="n">
        <v>685.6</v>
      </c>
      <c r="D13" s="18" t="n">
        <v>1276.5</v>
      </c>
      <c r="E13" s="18" t="n">
        <v>426.7</v>
      </c>
      <c r="F13" s="18" t="n">
        <v>905.1</v>
      </c>
      <c r="G13" s="18" t="n">
        <v>1215.9</v>
      </c>
      <c r="H13" s="18" t="n">
        <v>1503.7</v>
      </c>
      <c r="I13" s="18" t="n">
        <v>1560.6</v>
      </c>
      <c r="J13" s="18" t="n">
        <v>1239</v>
      </c>
      <c r="K13" s="18" t="n">
        <v>1919.3</v>
      </c>
      <c r="L13" s="18" t="n">
        <v>2031.2</v>
      </c>
      <c r="M13" s="18" t="n">
        <v>784.6</v>
      </c>
      <c r="N13" s="18" t="n">
        <v>1653.4</v>
      </c>
      <c r="O13" s="18" t="n">
        <v>1938.5</v>
      </c>
      <c r="P13" s="18" t="n">
        <v>2124.2</v>
      </c>
      <c r="Q13" s="18" t="n">
        <v>2205</v>
      </c>
      <c r="R13" s="18" t="n">
        <v>2263</v>
      </c>
      <c r="S13" s="18" t="n">
        <v>2182.4</v>
      </c>
      <c r="T13" s="18" t="n">
        <v>2391.9</v>
      </c>
      <c r="U13" s="18" t="n">
        <v>1391.4</v>
      </c>
      <c r="V13" s="18" t="n">
        <v>1834.6</v>
      </c>
      <c r="W13" s="18" t="n">
        <v>2441.2</v>
      </c>
      <c r="X13" s="18" t="n">
        <v>3355.4</v>
      </c>
      <c r="Y13" s="18" t="n">
        <v>2737.9</v>
      </c>
      <c r="Z13" s="18" t="n">
        <v>2664.1</v>
      </c>
      <c r="AA13" s="18" t="n">
        <v>2468.4</v>
      </c>
      <c r="AB13" s="18" t="n">
        <v>3430.9</v>
      </c>
      <c r="AC13" s="18" t="n">
        <v>3157.8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476</v>
      </c>
      <c r="C15" s="18" t="n">
        <v>626.8</v>
      </c>
      <c r="D15" s="18" t="n">
        <v>1134.1</v>
      </c>
      <c r="E15" s="18" t="n">
        <v>390.6</v>
      </c>
      <c r="F15" s="18" t="n">
        <v>751</v>
      </c>
      <c r="G15" s="18" t="n">
        <v>1061.5</v>
      </c>
      <c r="H15" s="18" t="n">
        <v>1350.5</v>
      </c>
      <c r="I15" s="18" t="n">
        <v>1331.4</v>
      </c>
      <c r="J15" s="18" t="n">
        <v>1038.2</v>
      </c>
      <c r="K15" s="18" t="n">
        <v>1740.2</v>
      </c>
      <c r="L15" s="18" t="n">
        <v>1773.4</v>
      </c>
      <c r="M15" s="18" t="n">
        <v>695.3</v>
      </c>
      <c r="N15" s="18" t="n">
        <v>1410.9</v>
      </c>
      <c r="O15" s="18" t="n">
        <v>1701.5</v>
      </c>
      <c r="P15" s="18" t="n">
        <v>1816.5</v>
      </c>
      <c r="Q15" s="18" t="n">
        <v>1955.8</v>
      </c>
      <c r="R15" s="18" t="n">
        <v>1941.7</v>
      </c>
      <c r="S15" s="18" t="n">
        <v>1893.4</v>
      </c>
      <c r="T15" s="18" t="n">
        <v>2048.1</v>
      </c>
      <c r="U15" s="18" t="n">
        <v>1223.8</v>
      </c>
      <c r="V15" s="18" t="n">
        <v>1577.9</v>
      </c>
      <c r="W15" s="18" t="n">
        <v>2076.5</v>
      </c>
      <c r="X15" s="18" t="n">
        <v>2693.4</v>
      </c>
      <c r="Y15" s="18" t="n">
        <v>2355</v>
      </c>
      <c r="Z15" s="18" t="n">
        <v>2290.3</v>
      </c>
      <c r="AA15" s="18" t="n">
        <v>2124.5</v>
      </c>
      <c r="AB15" s="18" t="n">
        <v>2839.6</v>
      </c>
      <c r="AC15" s="18" t="n">
        <v>2756.7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421.8</v>
      </c>
      <c r="C17" s="18" t="n">
        <v>421.7</v>
      </c>
      <c r="D17" s="18" t="n">
        <v>421.1</v>
      </c>
      <c r="E17" s="18" t="n">
        <v>419.7</v>
      </c>
      <c r="F17" s="18" t="n">
        <v>419</v>
      </c>
      <c r="G17" s="18" t="n">
        <v>419.2</v>
      </c>
      <c r="H17" s="18" t="n">
        <v>418.4</v>
      </c>
      <c r="I17" s="18" t="n">
        <v>415.8</v>
      </c>
      <c r="J17" s="18" t="n">
        <v>412</v>
      </c>
      <c r="K17" s="18" t="n">
        <v>408.6</v>
      </c>
      <c r="L17" s="18" t="n">
        <v>405</v>
      </c>
      <c r="M17" s="18" t="n">
        <v>401.5</v>
      </c>
      <c r="N17" s="18" t="n">
        <v>398.6</v>
      </c>
      <c r="O17" s="18" t="n">
        <v>396.6</v>
      </c>
      <c r="P17" s="18" t="n">
        <v>395.2</v>
      </c>
      <c r="Q17" s="18" t="n">
        <v>394.8</v>
      </c>
      <c r="R17" s="18" t="n">
        <v>394</v>
      </c>
      <c r="S17" s="18" t="n">
        <v>393.7</v>
      </c>
      <c r="T17" s="18" t="n">
        <v>393.8</v>
      </c>
      <c r="U17" s="18" t="n">
        <v>393.7</v>
      </c>
      <c r="V17" s="18" t="n">
        <v>393.5</v>
      </c>
      <c r="W17" s="18" t="n">
        <v>393.6</v>
      </c>
      <c r="X17" s="18" t="n">
        <v>393.6</v>
      </c>
      <c r="Y17" s="18" t="n">
        <v>392.5</v>
      </c>
      <c r="Z17" s="18" t="n">
        <v>388.4</v>
      </c>
      <c r="AA17" s="18" t="n">
        <v>387.6</v>
      </c>
      <c r="AB17" s="18" t="n">
        <v>387</v>
      </c>
      <c r="AC17" s="18" t="n">
        <v>385.7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2339.729</v>
      </c>
      <c r="C19" s="18" t="n">
        <v>2062.469</v>
      </c>
      <c r="D19" s="18" t="n">
        <v>4664.61</v>
      </c>
      <c r="E19" s="18" t="n">
        <v>4146.362</v>
      </c>
      <c r="F19" s="18" t="n">
        <v>4430.934</v>
      </c>
      <c r="G19" s="18" t="n">
        <v>4400.576</v>
      </c>
      <c r="H19" s="18" t="n">
        <v>7342.435</v>
      </c>
      <c r="I19" s="18" t="n">
        <v>4650.13</v>
      </c>
      <c r="J19" s="18" t="n">
        <v>5370.328</v>
      </c>
      <c r="K19" s="18" t="n">
        <v>4447.498</v>
      </c>
      <c r="L19" s="18" t="n">
        <v>7612.805</v>
      </c>
      <c r="M19" s="18" t="n">
        <v>4746.35</v>
      </c>
      <c r="N19" s="18" t="n">
        <v>4398.26</v>
      </c>
      <c r="O19" s="18" t="n">
        <v>3373.069</v>
      </c>
      <c r="P19" s="18" t="n">
        <v>7315.247</v>
      </c>
      <c r="Q19" s="18" t="n">
        <v>6646.196</v>
      </c>
      <c r="R19" s="18" t="n">
        <v>6348.464</v>
      </c>
      <c r="S19" s="18" t="n">
        <v>5001.106</v>
      </c>
      <c r="T19" s="18" t="n">
        <v>7036.695</v>
      </c>
      <c r="U19" s="18" t="n">
        <v>5432.806</v>
      </c>
      <c r="V19" s="18" t="n">
        <v>5012.158</v>
      </c>
      <c r="W19" s="18" t="n">
        <v>4980.343</v>
      </c>
      <c r="X19" s="18" t="n">
        <v>12741.075116</v>
      </c>
      <c r="Y19" s="18" t="n">
        <v>9085.166999999999</v>
      </c>
      <c r="Z19" s="18" t="n">
        <v>7263.386</v>
      </c>
      <c r="AA19" s="18" t="n">
        <v>5128.2</v>
      </c>
      <c r="AB19" s="18" t="n">
        <v>13316.23</v>
      </c>
      <c r="AC19" s="18" t="n">
        <v>8376.299999999999</v>
      </c>
    </row>
    <row r="20">
      <c r="A20" s="4" t="inlineStr">
        <is>
          <t>Total Current Assets</t>
        </is>
      </c>
      <c r="B20" s="18" t="n">
        <v>9917.040999999999</v>
      </c>
      <c r="C20" s="18" t="n">
        <v>10057.863</v>
      </c>
      <c r="D20" s="18" t="n">
        <v>11993.566</v>
      </c>
      <c r="E20" s="18" t="n">
        <v>12806.853</v>
      </c>
      <c r="F20" s="18" t="n">
        <v>13464.14</v>
      </c>
      <c r="G20" s="18" t="n">
        <v>14526.951</v>
      </c>
      <c r="H20" s="18" t="n">
        <v>15910.14</v>
      </c>
      <c r="I20" s="18" t="n">
        <v>15841.645</v>
      </c>
      <c r="J20" s="18" t="n">
        <v>16729.941</v>
      </c>
      <c r="K20" s="18" t="n">
        <v>15649.44</v>
      </c>
      <c r="L20" s="18" t="n">
        <v>18244.132</v>
      </c>
      <c r="M20" s="18" t="n">
        <v>18300.371</v>
      </c>
      <c r="N20" s="18" t="n">
        <v>19818.899</v>
      </c>
      <c r="O20" s="18" t="n">
        <v>19786.641</v>
      </c>
      <c r="P20" s="18" t="n">
        <v>22874.924</v>
      </c>
      <c r="Q20" s="18" t="n">
        <v>21040.842</v>
      </c>
      <c r="R20" s="18" t="n">
        <v>22405.483</v>
      </c>
      <c r="S20" s="18" t="n">
        <v>21743.552</v>
      </c>
      <c r="T20" s="18" t="n">
        <v>24486.447</v>
      </c>
      <c r="U20" s="18" t="n">
        <v>23254.01</v>
      </c>
      <c r="V20" s="18" t="n">
        <v>24420.351</v>
      </c>
      <c r="W20" s="18" t="n">
        <v>24843.266</v>
      </c>
      <c r="X20" s="18" t="n">
        <v>30736.857484</v>
      </c>
      <c r="Y20" s="18" t="n">
        <v>27468.668</v>
      </c>
      <c r="Z20" s="18" t="n">
        <v>26763.877</v>
      </c>
      <c r="AA20" s="18" t="n">
        <v>25146.3</v>
      </c>
      <c r="AB20" s="18" t="n">
        <v>30603.07</v>
      </c>
      <c r="AC20" s="18" t="n">
        <v>27583.8</v>
      </c>
    </row>
    <row r="21">
      <c r="A21" s="4" t="inlineStr">
        <is>
          <t>PP&amp;E (net)</t>
        </is>
      </c>
      <c r="B21" s="18" t="n">
        <v>1884.732</v>
      </c>
      <c r="C21" s="18" t="n">
        <v>2115.976</v>
      </c>
      <c r="D21" s="18" t="n">
        <v>2296.861</v>
      </c>
      <c r="E21" s="18" t="n">
        <v>2383.266</v>
      </c>
      <c r="F21" s="18" t="n">
        <v>2458.304</v>
      </c>
      <c r="G21" s="18" t="n">
        <v>2492.209</v>
      </c>
      <c r="H21" s="18" t="n">
        <v>2811.69</v>
      </c>
      <c r="I21" s="18" t="n">
        <v>2862.855</v>
      </c>
      <c r="J21" s="18" t="n">
        <v>2933.477</v>
      </c>
      <c r="K21" s="18" t="n">
        <v>2885.878</v>
      </c>
      <c r="L21" s="18" t="n">
        <v>3156.832</v>
      </c>
      <c r="M21" s="18" t="n">
        <v>3353.179</v>
      </c>
      <c r="N21" s="18" t="n">
        <v>3543.168</v>
      </c>
      <c r="O21" s="18" t="n">
        <v>3780.109</v>
      </c>
      <c r="P21" s="18" t="n">
        <v>4102.826</v>
      </c>
      <c r="Q21" s="18" t="n">
        <v>4640.598</v>
      </c>
      <c r="R21" s="18" t="n">
        <v>5035.237</v>
      </c>
      <c r="S21" s="18" t="n">
        <v>5415.48</v>
      </c>
      <c r="T21" s="18" t="n">
        <v>5821.804</v>
      </c>
      <c r="U21" s="18" t="n">
        <v>6215.252</v>
      </c>
      <c r="V21" s="18" t="n">
        <v>6433.346</v>
      </c>
      <c r="W21" s="18" t="n">
        <v>6600.091</v>
      </c>
      <c r="X21" s="18" t="n">
        <v>7233.872319</v>
      </c>
      <c r="Y21" s="18" t="n">
        <v>7503.077</v>
      </c>
      <c r="Z21" s="18" t="n">
        <v>7676.309</v>
      </c>
      <c r="AA21" s="18" t="n">
        <v>8027.2</v>
      </c>
      <c r="AB21" s="18" t="n">
        <v>8231.295</v>
      </c>
      <c r="AC21" s="18" t="n">
        <v>8090.7</v>
      </c>
    </row>
    <row r="22">
      <c r="A22" s="4" t="inlineStr">
        <is>
          <t>Total Assets</t>
        </is>
      </c>
      <c r="B22" s="18" t="n">
        <v>20077.917</v>
      </c>
      <c r="C22" s="18" t="n">
        <v>20624.892</v>
      </c>
      <c r="D22" s="18" t="n">
        <v>22373.042</v>
      </c>
      <c r="E22" s="18" t="n">
        <v>23473.264</v>
      </c>
      <c r="F22" s="18" t="n">
        <v>24254.831</v>
      </c>
      <c r="G22" s="18" t="n">
        <v>25421.665</v>
      </c>
      <c r="H22" s="18" t="n">
        <v>27233.405</v>
      </c>
      <c r="I22" s="18" t="n">
        <v>27187.885</v>
      </c>
      <c r="J22" s="18" t="n">
        <v>27800.114</v>
      </c>
      <c r="K22" s="18" t="n">
        <v>27247.75</v>
      </c>
      <c r="L22" s="18" t="n">
        <v>30320.632</v>
      </c>
      <c r="M22" s="18" t="n">
        <v>30383.834</v>
      </c>
      <c r="N22" s="18" t="n">
        <v>31886.213</v>
      </c>
      <c r="O22" s="18" t="n">
        <v>32903.677</v>
      </c>
      <c r="P22" s="18" t="n">
        <v>36001.408</v>
      </c>
      <c r="Q22" s="18" t="n">
        <v>35114.292</v>
      </c>
      <c r="R22" s="18" t="n">
        <v>36940.508</v>
      </c>
      <c r="S22" s="18" t="n">
        <v>37665.683</v>
      </c>
      <c r="T22" s="18" t="n">
        <v>40109.094</v>
      </c>
      <c r="U22" s="18" t="n">
        <v>39235.47</v>
      </c>
      <c r="V22" s="18" t="n">
        <v>40686.271</v>
      </c>
      <c r="W22" s="18" t="n">
        <v>41731.271</v>
      </c>
      <c r="X22" s="18" t="n">
        <v>48588.742393</v>
      </c>
      <c r="Y22" s="18" t="n">
        <v>45386.713</v>
      </c>
      <c r="Z22" s="18" t="n">
        <v>44938.725</v>
      </c>
      <c r="AA22" s="18" t="n">
        <v>45097.1</v>
      </c>
      <c r="AB22" s="18" t="n">
        <v>50545.079</v>
      </c>
      <c r="AC22" s="18" t="n">
        <v>48060.5</v>
      </c>
    </row>
    <row r="23">
      <c r="A23" s="4" t="inlineStr">
        <is>
          <t>Total Current Liabilities</t>
        </is>
      </c>
      <c r="B23" s="18" t="n">
        <v>3700.613</v>
      </c>
      <c r="C23" s="18" t="n">
        <v>3699.172</v>
      </c>
      <c r="D23" s="18" t="n">
        <v>4640.882</v>
      </c>
      <c r="E23" s="18" t="n">
        <v>4716.717</v>
      </c>
      <c r="F23" s="18" t="n">
        <v>4621.531</v>
      </c>
      <c r="G23" s="18" t="n">
        <v>4982.72</v>
      </c>
      <c r="H23" s="18" t="n">
        <v>6595.267</v>
      </c>
      <c r="I23" s="18" t="n">
        <v>6868.515</v>
      </c>
      <c r="J23" s="18" t="n">
        <v>8749.258</v>
      </c>
      <c r="K23" s="18" t="n">
        <v>9145.734</v>
      </c>
      <c r="L23" s="18" t="n">
        <v>12334.462</v>
      </c>
      <c r="M23" s="18" t="n">
        <v>13681.258</v>
      </c>
      <c r="N23" s="18" t="n">
        <v>14624.897</v>
      </c>
      <c r="O23" s="18" t="n">
        <v>15716.449</v>
      </c>
      <c r="P23" s="18" t="n">
        <v>17835.476</v>
      </c>
      <c r="Q23" s="18" t="n">
        <v>16932.039</v>
      </c>
      <c r="R23" s="18" t="n">
        <v>16759.748</v>
      </c>
      <c r="S23" s="18" t="n">
        <v>16375.663</v>
      </c>
      <c r="T23" s="18" t="n">
        <v>16336.444</v>
      </c>
      <c r="U23" s="18" t="n">
        <v>15123.041</v>
      </c>
      <c r="V23" s="18" t="n">
        <v>16110.629</v>
      </c>
      <c r="W23" s="18" t="n">
        <v>16012.436</v>
      </c>
      <c r="X23" s="18" t="n">
        <v>20051.046092</v>
      </c>
      <c r="Y23" s="18" t="n">
        <v>18087.202</v>
      </c>
      <c r="Z23" s="18" t="n">
        <v>18653.201</v>
      </c>
      <c r="AA23" s="18" t="n">
        <v>19224.9</v>
      </c>
      <c r="AB23" s="18" t="n">
        <v>24253.573</v>
      </c>
      <c r="AC23" s="18" t="n">
        <v>20288</v>
      </c>
    </row>
    <row r="24">
      <c r="A24" s="4" t="inlineStr">
        <is>
          <t>Long-term Debt</t>
        </is>
      </c>
      <c r="B24" s="18" t="n">
        <v>3139.282</v>
      </c>
      <c r="C24" s="18" t="n">
        <v>3158.62</v>
      </c>
      <c r="D24" s="18" t="n">
        <v>3073.06</v>
      </c>
      <c r="E24" s="18" t="n">
        <v>3900.715</v>
      </c>
      <c r="F24" s="18" t="n">
        <v>4615.244</v>
      </c>
      <c r="G24" s="18" t="n">
        <v>4619.117</v>
      </c>
      <c r="H24" s="18" t="n">
        <v>4656.987</v>
      </c>
      <c r="I24" s="18" t="n">
        <v>4628.954</v>
      </c>
      <c r="J24" s="18" t="n">
        <v>4617.345</v>
      </c>
      <c r="K24" s="18" t="n">
        <v>4098.242</v>
      </c>
      <c r="L24" s="18" t="n">
        <v>4084.775</v>
      </c>
      <c r="M24" s="18" t="n">
        <v>3971.573</v>
      </c>
      <c r="N24" s="18" t="n">
        <v>4381.674</v>
      </c>
      <c r="O24" s="18" t="n">
        <v>3513.798</v>
      </c>
      <c r="P24" s="18" t="n">
        <v>3485.255</v>
      </c>
      <c r="Q24" s="18" t="n">
        <v>3532.649</v>
      </c>
      <c r="R24" s="18" t="n">
        <v>4519.269</v>
      </c>
      <c r="S24" s="18" t="n">
        <v>4540.646</v>
      </c>
      <c r="T24" s="18" t="n">
        <v>4649.071</v>
      </c>
      <c r="U24" s="18" t="n">
        <v>4634.783</v>
      </c>
      <c r="V24" s="18" t="n">
        <v>4602.01</v>
      </c>
      <c r="W24" s="18" t="n">
        <v>4688.287</v>
      </c>
      <c r="X24" s="18" t="n">
        <v>3677.235095</v>
      </c>
      <c r="Y24" s="18" t="n">
        <v>3673.547</v>
      </c>
      <c r="Z24" s="18" t="n">
        <v>3706.292</v>
      </c>
      <c r="AA24" s="18" t="n">
        <v>2704.7</v>
      </c>
      <c r="AB24" s="18" t="n">
        <v>2707.847</v>
      </c>
      <c r="AC24" s="18" t="n">
        <v>2705.6</v>
      </c>
    </row>
    <row r="25">
      <c r="A25" s="4" t="inlineStr">
        <is>
          <t>Total Equity</t>
        </is>
      </c>
      <c r="B25" s="18" t="n">
        <v>11570.667</v>
      </c>
      <c r="C25" s="18" t="n">
        <v>12027.766</v>
      </c>
      <c r="D25" s="18" t="n">
        <v>12449.439</v>
      </c>
      <c r="E25" s="18" t="n">
        <v>12630.483</v>
      </c>
      <c r="F25" s="18" t="n">
        <v>12673.012</v>
      </c>
      <c r="G25" s="18" t="n">
        <v>13719.976</v>
      </c>
      <c r="H25" s="18" t="n">
        <v>13848.114</v>
      </c>
      <c r="I25" s="18" t="n">
        <v>13613.47</v>
      </c>
      <c r="J25" s="18" t="n">
        <v>12086.611</v>
      </c>
      <c r="K25" s="18" t="n">
        <v>11481.226</v>
      </c>
      <c r="L25" s="18" t="n">
        <v>10170.666</v>
      </c>
      <c r="M25" s="18" t="n">
        <v>8854.707</v>
      </c>
      <c r="N25" s="18" t="n">
        <v>7642.276</v>
      </c>
      <c r="O25" s="18" t="n">
        <v>7979.394</v>
      </c>
      <c r="P25" s="18" t="n">
        <v>8738.228999999999</v>
      </c>
      <c r="Q25" s="18" t="n">
        <v>9777.026</v>
      </c>
      <c r="R25" s="18" t="n">
        <v>10608.348</v>
      </c>
      <c r="S25" s="18" t="n">
        <v>12043.56</v>
      </c>
      <c r="T25" s="18" t="n">
        <v>13503.437</v>
      </c>
      <c r="U25" s="18" t="n">
        <v>13862.243</v>
      </c>
      <c r="V25" s="18" t="n">
        <v>14691.438</v>
      </c>
      <c r="W25" s="18" t="n">
        <v>16138.131</v>
      </c>
      <c r="X25" s="18" t="n">
        <v>18476.473884</v>
      </c>
      <c r="Y25" s="18" t="n">
        <v>17465.264</v>
      </c>
      <c r="Z25" s="18" t="n">
        <v>17653.408</v>
      </c>
      <c r="AA25" s="18" t="n">
        <v>18993.5</v>
      </c>
      <c r="AB25" s="18" t="n">
        <v>19603.853</v>
      </c>
      <c r="AC25" s="18" t="n">
        <v>20829.5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107.193206</v>
      </c>
      <c r="C27" s="18" t="n">
        <v>114.219384</v>
      </c>
      <c r="D27" s="18" t="n">
        <v>119.844356</v>
      </c>
      <c r="E27" s="18" t="n">
        <v>119.775056</v>
      </c>
      <c r="F27" s="18" t="n">
        <v>122.403989</v>
      </c>
      <c r="G27" s="18" t="n">
        <v>121.400081</v>
      </c>
      <c r="H27" s="18" t="n">
        <v>122.033672</v>
      </c>
      <c r="I27" s="18" t="n">
        <v>120.69094</v>
      </c>
      <c r="J27" s="18" t="n">
        <v>114.511346</v>
      </c>
      <c r="K27" s="18" t="n">
        <v>117.965039</v>
      </c>
      <c r="L27" s="18" t="n">
        <v>125.205244</v>
      </c>
      <c r="M27" s="18" t="n">
        <v>132.745412</v>
      </c>
      <c r="N27" s="18" t="n">
        <v>133.754817</v>
      </c>
      <c r="O27" s="18" t="n">
        <v>142.143585</v>
      </c>
      <c r="P27" s="18" t="n">
        <v>173.656173</v>
      </c>
      <c r="Q27" s="18" t="n">
        <v>168.023338</v>
      </c>
      <c r="R27" s="18" t="n">
        <v>180.817166</v>
      </c>
      <c r="S27" s="18" t="n">
        <v>181.775123</v>
      </c>
      <c r="T27" s="18" t="n">
        <v>207.270967</v>
      </c>
      <c r="U27" s="18" t="n">
        <v>216.526746</v>
      </c>
      <c r="V27" s="18" t="n">
        <v>228.209281</v>
      </c>
      <c r="W27" s="18" t="n">
        <v>231.809629</v>
      </c>
      <c r="X27" s="18" t="n">
        <v>248.255266</v>
      </c>
      <c r="Y27" s="18" t="n">
        <v>234.627979</v>
      </c>
      <c r="Z27" s="18" t="n">
        <v>375.4</v>
      </c>
      <c r="AA27" s="18" t="n">
        <v>274.6</v>
      </c>
      <c r="AB27" s="18" t="n">
        <v>252.8069</v>
      </c>
      <c r="AC27" s="18" t="n">
        <v>259.4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35.1</v>
      </c>
      <c r="AA28" s="18" t="n">
        <v>57.7</v>
      </c>
      <c r="AB28" s="18" t="n">
        <v>0</v>
      </c>
      <c r="AC28" s="18" t="n">
        <v>31.1</v>
      </c>
    </row>
    <row r="29">
      <c r="A29" s="4" t="inlineStr">
        <is>
          <t>Change in Working Capital</t>
        </is>
      </c>
      <c r="B29" s="18" t="n">
        <v>-458.669311</v>
      </c>
      <c r="C29" s="18" t="n">
        <v>-776.7237720000001</v>
      </c>
      <c r="D29" s="18" t="n">
        <v>2254.694392</v>
      </c>
      <c r="E29" s="18" t="n">
        <v>-1130.044366</v>
      </c>
      <c r="F29" s="18" t="n">
        <v>-487.121401</v>
      </c>
      <c r="G29" s="18" t="n">
        <v>-884.274585</v>
      </c>
      <c r="H29" s="18" t="n">
        <v>2792.616158</v>
      </c>
      <c r="I29" s="18" t="n">
        <v>-2446.005728</v>
      </c>
      <c r="J29" s="18" t="n">
        <v>2404.74216</v>
      </c>
      <c r="K29" s="18" t="n">
        <v>273.783279</v>
      </c>
      <c r="L29" s="18" t="n">
        <v>4846.933126</v>
      </c>
      <c r="M29" s="18" t="n">
        <v>-1417.639942</v>
      </c>
      <c r="N29" s="18" t="n">
        <v>1120.913255</v>
      </c>
      <c r="O29" s="18" t="n">
        <v>-435.240803</v>
      </c>
      <c r="P29" s="18" t="n">
        <v>3129.652213</v>
      </c>
      <c r="Q29" s="18" t="n">
        <v>-1442.06055</v>
      </c>
      <c r="R29" s="18" t="n">
        <v>-1839.285218</v>
      </c>
      <c r="S29" s="18" t="n">
        <v>-955.3281490000001</v>
      </c>
      <c r="T29" s="18" t="n">
        <v>587.914949</v>
      </c>
      <c r="U29" s="18" t="n">
        <v>-1816.84523</v>
      </c>
      <c r="V29" s="18" t="n">
        <v>-1000.965561</v>
      </c>
      <c r="W29" s="18" t="n">
        <v>-1348.803917</v>
      </c>
      <c r="X29" s="18" t="n">
        <v>6534.243059</v>
      </c>
      <c r="Y29" s="18" t="n">
        <v>-2723.357</v>
      </c>
      <c r="Z29" s="18" t="n">
        <v>-1888.3</v>
      </c>
      <c r="AA29" s="18" t="n">
        <v>-1903.3</v>
      </c>
      <c r="AB29" s="18" t="n">
        <v>7333.074662</v>
      </c>
      <c r="AC29" s="18" t="n">
        <v>-5158.1</v>
      </c>
    </row>
    <row r="30">
      <c r="A30" s="4" t="inlineStr">
        <is>
          <t>Operating Cash Flow</t>
        </is>
      </c>
      <c r="B30" s="18" t="n">
        <v>101.394077</v>
      </c>
      <c r="C30" s="18" t="n">
        <v>69.63765600000001</v>
      </c>
      <c r="D30" s="18" t="n">
        <v>3523.090733</v>
      </c>
      <c r="E30" s="18" t="n">
        <v>-613.588668</v>
      </c>
      <c r="F30" s="18" t="n">
        <v>366.215272</v>
      </c>
      <c r="G30" s="18" t="n">
        <v>177.138453</v>
      </c>
      <c r="H30" s="18" t="n">
        <v>4335.168925</v>
      </c>
      <c r="I30" s="18" t="n">
        <v>-961.634698</v>
      </c>
      <c r="J30" s="18" t="n">
        <v>3619.935318</v>
      </c>
      <c r="K30" s="18" t="n">
        <v>1841.796342</v>
      </c>
      <c r="L30" s="18" t="n">
        <v>6641.890798</v>
      </c>
      <c r="M30" s="18" t="n">
        <v>-593.909056</v>
      </c>
      <c r="N30" s="18" t="n">
        <v>2687.321207</v>
      </c>
      <c r="O30" s="18" t="n">
        <v>1213.106858</v>
      </c>
      <c r="P30" s="18" t="n">
        <v>5122.703199</v>
      </c>
      <c r="Q30" s="18" t="n">
        <v>723.7928429999999</v>
      </c>
      <c r="R30" s="18" t="n">
        <v>389.440265</v>
      </c>
      <c r="S30" s="18" t="n">
        <v>1168.421193</v>
      </c>
      <c r="T30" s="18" t="n">
        <v>3091.517013</v>
      </c>
      <c r="U30" s="18" t="n">
        <v>-254.398728</v>
      </c>
      <c r="V30" s="18" t="n">
        <v>930.627394</v>
      </c>
      <c r="W30" s="18" t="n">
        <v>923.5349210000001</v>
      </c>
      <c r="X30" s="18" t="n">
        <v>10030.079571</v>
      </c>
      <c r="Y30" s="18" t="n">
        <v>-56.979691</v>
      </c>
      <c r="Z30" s="18" t="n">
        <v>1346</v>
      </c>
      <c r="AA30" s="18" t="n">
        <v>559.1</v>
      </c>
      <c r="AB30" s="18" t="n">
        <v>11008.488366</v>
      </c>
      <c r="AC30" s="18" t="n">
        <v>-2185.6</v>
      </c>
    </row>
    <row r="31">
      <c r="A31" s="4" t="inlineStr">
        <is>
          <t>Capex</t>
        </is>
      </c>
      <c r="B31" s="18" t="n">
        <v>-126.632364</v>
      </c>
      <c r="C31" s="18" t="n">
        <v>-194.511467</v>
      </c>
      <c r="D31" s="18" t="n">
        <v>-290.263707</v>
      </c>
      <c r="E31" s="18" t="n">
        <v>-234.476352</v>
      </c>
      <c r="F31" s="18" t="n">
        <v>-216.397766</v>
      </c>
      <c r="G31" s="18" t="n">
        <v>-206.323321</v>
      </c>
      <c r="H31" s="18" t="n">
        <v>-288.274352</v>
      </c>
      <c r="I31" s="18" t="n">
        <v>-193.409375</v>
      </c>
      <c r="J31" s="18" t="n">
        <v>-245.122456</v>
      </c>
      <c r="K31" s="18" t="n">
        <v>-200.530161</v>
      </c>
      <c r="L31" s="18" t="n">
        <v>-277.35839</v>
      </c>
      <c r="M31" s="18" t="n">
        <v>-243.299036</v>
      </c>
      <c r="N31" s="18" t="n">
        <v>-236.259168</v>
      </c>
      <c r="O31" s="18" t="n">
        <v>-373.918883</v>
      </c>
      <c r="P31" s="18" t="n">
        <v>-422.969342</v>
      </c>
      <c r="Q31" s="18" t="n">
        <v>-524.887936</v>
      </c>
      <c r="R31" s="18" t="n">
        <v>-539.578832</v>
      </c>
      <c r="S31" s="18" t="n">
        <v>-522.054293</v>
      </c>
      <c r="T31" s="18" t="n">
        <v>-550.004949</v>
      </c>
      <c r="U31" s="18" t="n">
        <v>-421.439415</v>
      </c>
      <c r="V31" s="18" t="n">
        <v>-532.447739</v>
      </c>
      <c r="W31" s="18" t="n">
        <v>-405.376038</v>
      </c>
      <c r="X31" s="18" t="n">
        <v>-744.503561</v>
      </c>
      <c r="Y31" s="18" t="n">
        <v>-403.525115</v>
      </c>
      <c r="Z31" s="18" t="n">
        <v>-988.3</v>
      </c>
      <c r="AA31" s="18" t="n">
        <v>-295.9</v>
      </c>
      <c r="AB31" s="18" t="n">
        <v>-437.700021</v>
      </c>
      <c r="AC31" s="18" t="n">
        <v>-422.3</v>
      </c>
    </row>
    <row r="32">
      <c r="A32" s="4" t="inlineStr">
        <is>
          <t>Free Cash Flow</t>
        </is>
      </c>
      <c r="B32" s="18" t="n">
        <v>-25.238286</v>
      </c>
      <c r="C32" s="18" t="n">
        <v>-124.87381</v>
      </c>
      <c r="D32" s="18" t="n">
        <v>3232.827026</v>
      </c>
      <c r="E32" s="18" t="n">
        <v>-848.065021</v>
      </c>
      <c r="F32" s="18" t="n">
        <v>149.817506</v>
      </c>
      <c r="G32" s="18" t="n">
        <v>-29.184867</v>
      </c>
      <c r="H32" s="18" t="n">
        <v>4046.894572</v>
      </c>
      <c r="I32" s="18" t="n">
        <v>-1155.044074</v>
      </c>
      <c r="J32" s="18" t="n">
        <v>3374.812862</v>
      </c>
      <c r="K32" s="18" t="n">
        <v>1641.26618</v>
      </c>
      <c r="L32" s="18" t="n">
        <v>6364.532407</v>
      </c>
      <c r="M32" s="18" t="n">
        <v>-837.208093</v>
      </c>
      <c r="N32" s="18" t="n">
        <v>2451.062039</v>
      </c>
      <c r="O32" s="18" t="n">
        <v>839.1879740000001</v>
      </c>
      <c r="P32" s="18" t="n">
        <v>4699.733857</v>
      </c>
      <c r="Q32" s="18" t="n">
        <v>198.904907</v>
      </c>
      <c r="R32" s="18" t="n">
        <v>-150.138566</v>
      </c>
      <c r="S32" s="18" t="n">
        <v>646.3669</v>
      </c>
      <c r="T32" s="18" t="n">
        <v>2541.512064</v>
      </c>
      <c r="U32" s="18" t="n">
        <v>-675.8381450000001</v>
      </c>
      <c r="V32" s="18" t="n">
        <v>398.179655</v>
      </c>
      <c r="W32" s="18" t="n">
        <v>518.1588819999999</v>
      </c>
      <c r="X32" s="18" t="n">
        <v>9285.576010000001</v>
      </c>
      <c r="Y32" s="18" t="n">
        <v>-460.504807</v>
      </c>
      <c r="Z32" s="18" t="n">
        <v>357.7</v>
      </c>
      <c r="AA32" s="18" t="n">
        <v>263.2</v>
      </c>
      <c r="AB32" s="18" t="n">
        <v>10570.788345</v>
      </c>
      <c r="AC32" s="18" t="n">
        <v>-2607.9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39987.693861</v>
      </c>
      <c r="C4" s="18" t="n">
        <v>48397.032121</v>
      </c>
      <c r="D4" s="18" t="n">
        <v>52621.323289</v>
      </c>
      <c r="E4" s="18" t="n">
        <v>59846.477614</v>
      </c>
      <c r="F4" s="18" t="n">
        <v>63596.756204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15617.276152</v>
      </c>
      <c r="C8" s="18" t="n">
        <v>18901.56052</v>
      </c>
      <c r="D8" s="18" t="n">
        <v>20551.366131</v>
      </c>
      <c r="E8" s="18" t="n">
        <v>23373.165026</v>
      </c>
      <c r="F8" s="18" t="n">
        <v>24837.844049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13472.976251</v>
      </c>
      <c r="C12" s="18" t="n">
        <v>16306.318306</v>
      </c>
      <c r="D12" s="18" t="n">
        <v>17729.600548</v>
      </c>
      <c r="E12" s="18" t="n">
        <v>20163.957802</v>
      </c>
      <c r="F12" s="18" t="n">
        <v>21427.531905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1629.930087</v>
      </c>
      <c r="C16" s="18" t="n">
        <v>1972.701378</v>
      </c>
      <c r="D16" s="18" t="n">
        <v>2144.886834</v>
      </c>
      <c r="E16" s="18" t="n">
        <v>2439.389849</v>
      </c>
      <c r="F16" s="18" t="n">
        <v>2592.254176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12629.720037</v>
      </c>
      <c r="C20" s="18" t="n">
        <v>16610.996295</v>
      </c>
      <c r="D20" s="18" t="n">
        <v>18719.264035</v>
      </c>
      <c r="E20" s="18" t="n">
        <v>22925.651169</v>
      </c>
      <c r="F20" s="18" t="n">
        <v>25378.735151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32.39688</v>
      </c>
      <c r="C24" s="48" t="n">
        <v>42.57982</v>
      </c>
      <c r="D24" s="48" t="n">
        <v>48.891</v>
      </c>
      <c r="E24" s="48" t="n">
        <v>58.94999</v>
      </c>
      <c r="F24" s="48" t="n">
        <v>65.25774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ASML Holding N.V.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B34/B35*1.08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0.09436690925679783</v>
      </c>
      <c r="C4" s="52" t="n">
        <v>0.09936690925679784</v>
      </c>
      <c r="D4" s="52" t="n">
        <v>0.1043669092567978</v>
      </c>
      <c r="E4" s="52" t="n">
        <v>0.1093669092567978</v>
      </c>
      <c r="F4" s="52" t="n">
        <v>0.1143669092567978</v>
      </c>
      <c r="G4" s="52" t="n">
        <v>0.1193669092567978</v>
      </c>
      <c r="H4" s="52" t="n">
        <v>0.1243669092567978</v>
      </c>
    </row>
    <row r="5">
      <c r="A5" s="53" t="n">
        <v>13</v>
      </c>
      <c r="B5" s="54" t="n">
        <v>739.8533986479813</v>
      </c>
      <c r="C5" s="54" t="n">
        <v>712.8272987123802</v>
      </c>
      <c r="D5" s="54" t="n">
        <v>687.0310507189329</v>
      </c>
      <c r="E5" s="54" t="n">
        <v>662.4018730861673</v>
      </c>
      <c r="F5" s="54" t="n">
        <v>638.880490078737</v>
      </c>
      <c r="G5" s="54" t="n">
        <v>616.410920334294</v>
      </c>
      <c r="H5" s="54" t="n">
        <v>594.9402790576579</v>
      </c>
    </row>
    <row r="6">
      <c r="A6" s="53" t="n">
        <v>14</v>
      </c>
      <c r="B6" s="54" t="n">
        <v>774.9293394683074</v>
      </c>
      <c r="C6" s="54" t="n">
        <v>746.3402170988537</v>
      </c>
      <c r="D6" s="54" t="n">
        <v>719.0572206511654</v>
      </c>
      <c r="E6" s="54" t="n">
        <v>693.0135260680327</v>
      </c>
      <c r="F6" s="54" t="n">
        <v>668.1460462173089</v>
      </c>
      <c r="G6" s="54" t="n">
        <v>644.3952052560732</v>
      </c>
      <c r="H6" s="54" t="n">
        <v>621.7047275880547</v>
      </c>
    </row>
    <row r="7">
      <c r="A7" s="53" t="n">
        <v>15</v>
      </c>
      <c r="B7" s="54" t="n">
        <v>810.0052802886336</v>
      </c>
      <c r="C7" s="54" t="n">
        <v>779.8531354853272</v>
      </c>
      <c r="D7" s="54" t="n">
        <v>751.083390583398</v>
      </c>
      <c r="E7" s="54" t="n">
        <v>723.6251790498984</v>
      </c>
      <c r="F7" s="54" t="n">
        <v>697.4116023558809</v>
      </c>
      <c r="G7" s="54" t="n">
        <v>672.3794901778523</v>
      </c>
      <c r="H7" s="54" t="n">
        <v>648.4691761184514</v>
      </c>
    </row>
    <row r="8">
      <c r="A8" s="53" t="n">
        <v>16</v>
      </c>
      <c r="B8" s="54" t="n">
        <v>845.0812211089595</v>
      </c>
      <c r="C8" s="54" t="n">
        <v>813.3660538718008</v>
      </c>
      <c r="D8" s="54" t="n">
        <v>783.1095605156305</v>
      </c>
      <c r="E8" s="55" t="n">
        <v>754.2368320317642</v>
      </c>
      <c r="F8" s="54" t="n">
        <v>726.6771584944528</v>
      </c>
      <c r="G8" s="54" t="n">
        <v>700.3637750996314</v>
      </c>
      <c r="H8" s="54" t="n">
        <v>675.2336246488481</v>
      </c>
    </row>
    <row r="9">
      <c r="A9" s="53" t="n">
        <v>17</v>
      </c>
      <c r="B9" s="54" t="n">
        <v>880.1571619292856</v>
      </c>
      <c r="C9" s="54" t="n">
        <v>846.8789722582744</v>
      </c>
      <c r="D9" s="54" t="n">
        <v>815.135730447863</v>
      </c>
      <c r="E9" s="54" t="n">
        <v>784.8484850136298</v>
      </c>
      <c r="F9" s="54" t="n">
        <v>755.9427146330247</v>
      </c>
      <c r="G9" s="54" t="n">
        <v>728.3480600214106</v>
      </c>
      <c r="H9" s="54" t="n">
        <v>701.998073179245</v>
      </c>
    </row>
    <row r="10">
      <c r="A10" s="53" t="n">
        <v>18</v>
      </c>
      <c r="B10" s="54" t="n">
        <v>915.2331027496116</v>
      </c>
      <c r="C10" s="54" t="n">
        <v>880.3918906447479</v>
      </c>
      <c r="D10" s="54" t="n">
        <v>847.1619003800954</v>
      </c>
      <c r="E10" s="54" t="n">
        <v>815.4601379954955</v>
      </c>
      <c r="F10" s="54" t="n">
        <v>785.2082707715966</v>
      </c>
      <c r="G10" s="54" t="n">
        <v>756.3323449431897</v>
      </c>
      <c r="H10" s="54" t="n">
        <v>728.762521709642</v>
      </c>
    </row>
    <row r="11">
      <c r="A11" s="53" t="n">
        <v>19</v>
      </c>
      <c r="B11" s="54" t="n">
        <v>950.3090435699377</v>
      </c>
      <c r="C11" s="54" t="n">
        <v>913.9048090312215</v>
      </c>
      <c r="D11" s="54" t="n">
        <v>879.188070312328</v>
      </c>
      <c r="E11" s="54" t="n">
        <v>846.071790977361</v>
      </c>
      <c r="F11" s="54" t="n">
        <v>814.4738269101686</v>
      </c>
      <c r="G11" s="54" t="n">
        <v>784.3166298649689</v>
      </c>
      <c r="H11" s="54" t="n">
        <v>755.5269702400385</v>
      </c>
    </row>
    <row r="13">
      <c r="A13" s="3" t="inlineStr">
        <is>
          <t>Current price</t>
        </is>
      </c>
      <c r="B13" s="54" t="n">
        <v>1769.319946289062</v>
      </c>
    </row>
    <row r="14">
      <c r="A14" s="3" t="inlineStr">
        <is>
          <t>Base WACC / multiple</t>
        </is>
      </c>
      <c r="B14" s="56" t="n">
        <v>0.1093669092567978</v>
      </c>
      <c r="C14" s="57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0.03481876001383646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1.866809730563925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0.01968155826805253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1.115483915310173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2026-07-06T20:34:16Z</dcterms:created>
  <dcterms:modified xmlns:dcterms="http://purl.org/dc/terms/" xmlns:xsi="http://www.w3.org/2001/XMLSchema-instance" xsi:type="dcterms:W3CDTF">2026-07-06T20:34:16Z</dcterms:modified>
</cp:coreProperties>
</file>