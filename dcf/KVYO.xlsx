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0" fontId="10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20.2%</t>
      </text>
    </comment>
    <comment ref="C20" authorId="0" shapeId="0">
      <text>
        <t>Opus: 5.0%</t>
      </text>
    </comment>
    <comment ref="B29" authorId="0" shapeId="0">
      <text>
        <t>Opus: 21.3%</t>
      </text>
    </comment>
    <comment ref="B30" authorId="0" shapeId="0">
      <text>
        <t>Opus: 20.8%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0.791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12.0x on 2026-07-07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Klaviyo, Inc. (KVYO)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Klaviyo, Inc. (KVYO)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IF(Model!E34&lt;=0,"n/a (neg. capital)",Model!F36-WACC!B15)</f>
        <v/>
      </c>
      <c r="C15" s="10">
        <f>IF(Model!E34&lt;=0,"n/a",IF(Model!F36-WACC!B15&lt;0,"!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0.2018017177720967</v>
      </c>
      <c r="C20" s="15" t="n">
        <v>0.04999999999999999</v>
      </c>
      <c r="D20" s="16" t="n">
        <v>0.2018017177720967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0.2127302595925236</v>
      </c>
      <c r="D29" s="16" t="n">
        <v>0.2127302595925236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0.2079707768304962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31.3115</v>
      </c>
      <c r="D34" s="18" t="n">
        <v>31.3115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0.791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15.8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16.64520072937012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18.34755781222906</v>
      </c>
      <c r="C58" s="28" t="n">
        <v>25.22836434365009</v>
      </c>
      <c r="D58" s="28" t="n">
        <v>13.23372504715624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0.131303488844175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0.078782093306505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KVYO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20.2%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Opus</t>
        </is>
      </c>
      <c r="E10" t="inlineStr">
        <is>
          <t>21.3%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Opus</t>
        </is>
      </c>
      <c r="E11" t="inlineStr">
        <is>
          <t>20.8%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Opus</t>
        </is>
      </c>
      <c r="E12" t="inlineStr">
        <is>
          <t>24.0%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Opus</t>
        </is>
      </c>
      <c r="E13" t="inlineStr">
        <is>
          <t>1.1x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Opus</t>
        </is>
      </c>
      <c r="E14" t="inlineStr">
        <is>
          <t>4.3%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Opus</t>
        </is>
      </c>
      <c r="E15" t="inlineStr">
        <is>
          <t>4.5%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Opus</t>
        </is>
      </c>
      <c r="E16" t="inlineStr">
        <is>
          <t>0.791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Opus</t>
        </is>
      </c>
      <c r="E17" t="inlineStr">
        <is>
          <t>4.5%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Opus</t>
        </is>
      </c>
      <c r="E18" t="inlineStr">
        <is>
          <t>Exit multiple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Opus</t>
        </is>
      </c>
      <c r="E19" t="inlineStr">
        <is>
          <t>EV/EBITDA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s="33" t="inlineStr">
        <is>
          <t>user-edited</t>
        </is>
      </c>
      <c r="E20" t="inlineStr">
        <is>
          <t>12.0x</t>
        </is>
      </c>
      <c r="F20" s="31" t="inlineStr">
        <is>
          <t>overridden from Opus 12.0x on 2026-07-07</t>
        </is>
      </c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4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5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5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5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5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5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5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5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5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6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6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5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5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Dashboard!$B$48*Financials!R17</f>
        <v/>
      </c>
    </row>
    <row r="11">
      <c r="A11" s="4" t="inlineStr">
        <is>
          <t>Total debt (D)</t>
        </is>
      </c>
      <c r="B11" s="34">
        <f>Financials!R34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1" t="inlineStr">
        <is>
          <t>FY2026E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4" t="inlineStr">
        <is>
          <t>Total company</t>
        </is>
      </c>
      <c r="B4" s="34">
        <f>SUM(Financials!B3:E3)</f>
        <v/>
      </c>
      <c r="C4" s="34">
        <f>SUM(Financials!F3:I3)</f>
        <v/>
      </c>
      <c r="D4" s="34">
        <f>SUM(Financials!J3:M3)</f>
        <v/>
      </c>
      <c r="E4" s="34">
        <f>SUM(Financials!N3:Q3)</f>
        <v/>
      </c>
      <c r="F4" s="42">
        <f>E4*(1+F5)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11">
        <f>Dashboard!$C$20+(Dashboard!$B$20-Dashboard!$C$20)*((9-0)/9)^Dashboard!$B$49</f>
        <v/>
      </c>
      <c r="G5" s="11">
        <f>Dashboard!$C$20+(Dashboard!$B$20-Dashboard!$C$20)*((9-1)/9)^Dashboard!$B$49</f>
        <v/>
      </c>
      <c r="H5" s="11">
        <f>Dashboard!$C$20+(Dashboard!$B$20-Dashboard!$C$20)*((9-2)/9)^Dashboard!$B$49</f>
        <v/>
      </c>
      <c r="I5" s="11">
        <f>Dashboard!$C$20+(Dashboard!$B$20-Dashboard!$C$20)*((9-3)/9)^Dashboard!$B$49</f>
        <v/>
      </c>
      <c r="J5" s="11">
        <f>Dashboard!$C$20+(Dashboard!$B$20-Dashboard!$C$20)*((9-4)/9)^Dashboard!$B$49</f>
        <v/>
      </c>
      <c r="K5" s="11">
        <f>Dashboard!$C$20+(Dashboard!$B$20-Dashboard!$C$20)*((9-5)/9)^Dashboard!$B$49</f>
        <v/>
      </c>
      <c r="L5" s="11">
        <f>Dashboard!$C$20+(Dashboard!$B$20-Dashboard!$C$20)*((9-6)/9)^Dashboard!$B$49</f>
        <v/>
      </c>
      <c r="M5" s="11">
        <f>Dashboard!$C$20+(Dashboard!$B$20-Dashboard!$C$20)*((9-7)/9)^Dashboard!$B$49</f>
        <v/>
      </c>
      <c r="N5" s="11">
        <f>Dashboard!$C$20+(Dashboard!$B$20-Dashboard!$C$20)*((9-8)/9)^Dashboard!$B$49</f>
        <v/>
      </c>
      <c r="O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4" t="inlineStr">
        <is>
          <t>Cost of revenue</t>
        </is>
      </c>
      <c r="B10" s="34">
        <f>SUM(Financials!B5:E5)</f>
        <v/>
      </c>
      <c r="C10" s="34">
        <f>SUM(Financials!F5:I5)</f>
        <v/>
      </c>
      <c r="D10" s="34">
        <f>SUM(Financials!J5:M5)</f>
        <v/>
      </c>
      <c r="E10" s="34">
        <f>SUM(Financials!N5:Q5)</f>
        <v/>
      </c>
      <c r="F10" s="42">
        <f>F6*F11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15" t="n">
        <v>0.2532562302525326</v>
      </c>
      <c r="G11" s="15" t="n">
        <v>0.2532562302525326</v>
      </c>
      <c r="H11" s="15" t="n">
        <v>0.2532562302525326</v>
      </c>
      <c r="I11" s="15" t="n">
        <v>0.2532562302525326</v>
      </c>
      <c r="J11" s="15" t="n">
        <v>0.2532562302525326</v>
      </c>
      <c r="K11" s="15" t="n">
        <v>0.2532562302525326</v>
      </c>
      <c r="L11" s="15" t="n">
        <v>0.2532562302525326</v>
      </c>
      <c r="M11" s="15" t="n">
        <v>0.2532562302525326</v>
      </c>
      <c r="N11" s="15" t="n">
        <v>0.2532562302525326</v>
      </c>
      <c r="O11" s="15" t="n">
        <v>0.2532562302525326</v>
      </c>
    </row>
    <row r="12">
      <c r="A12" s="4" t="inlineStr">
        <is>
          <t>R&amp;D / Technology</t>
        </is>
      </c>
      <c r="B12" s="34">
        <f>SUM(Financials!B7:E7)</f>
        <v/>
      </c>
      <c r="C12" s="34">
        <f>SUM(Financials!F7:I7)</f>
        <v/>
      </c>
      <c r="D12" s="34">
        <f>SUM(Financials!J7:M7)</f>
        <v/>
      </c>
      <c r="E12" s="34">
        <f>SUM(Financials!N7:Q7)</f>
        <v/>
      </c>
      <c r="F12" s="42">
        <f>F6*F13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15" t="n">
        <v>0.2359842109400261</v>
      </c>
      <c r="G13" s="15" t="n">
        <v>0.2359842109400261</v>
      </c>
      <c r="H13" s="15" t="n">
        <v>0.2359842109400261</v>
      </c>
      <c r="I13" s="15" t="n">
        <v>0.2359842109400261</v>
      </c>
      <c r="J13" s="15" t="n">
        <v>0.2359842109400261</v>
      </c>
      <c r="K13" s="15" t="n">
        <v>0.2359842109400261</v>
      </c>
      <c r="L13" s="15" t="n">
        <v>0.2359842109400261</v>
      </c>
      <c r="M13" s="15" t="n">
        <v>0.2359842109400261</v>
      </c>
      <c r="N13" s="15" t="n">
        <v>0.2359842109400261</v>
      </c>
      <c r="O13" s="15" t="n">
        <v>0.2359842109400261</v>
      </c>
    </row>
    <row r="14">
      <c r="A14" s="4" t="inlineStr">
        <is>
          <t>SG&amp;A</t>
        </is>
      </c>
      <c r="B14" s="34">
        <f>SUM(Financials!B9:E9)</f>
        <v/>
      </c>
      <c r="C14" s="34">
        <f>SUM(Financials!F9:I9)</f>
        <v/>
      </c>
      <c r="D14" s="34">
        <f>SUM(Financials!J9:M9)</f>
        <v/>
      </c>
      <c r="E14" s="34">
        <f>SUM(Financials!N9:Q9)</f>
        <v/>
      </c>
      <c r="F14" s="42">
        <f>F6*F15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15" t="n">
        <v>0.5656679516279732</v>
      </c>
      <c r="G15" s="15" t="n">
        <v>0.5656679516279732</v>
      </c>
      <c r="H15" s="15" t="n">
        <v>0.5656679516279732</v>
      </c>
      <c r="I15" s="15" t="n">
        <v>0.5656679516279732</v>
      </c>
      <c r="J15" s="15" t="n">
        <v>0.5656679516279732</v>
      </c>
      <c r="K15" s="15" t="n">
        <v>0.5656679516279732</v>
      </c>
      <c r="L15" s="15" t="n">
        <v>0.5656679516279732</v>
      </c>
      <c r="M15" s="15" t="n">
        <v>0.5656679516279732</v>
      </c>
      <c r="N15" s="15" t="n">
        <v>0.5656679516279732</v>
      </c>
      <c r="O15" s="15" t="n">
        <v>0.5656679516279732</v>
      </c>
    </row>
    <row r="16">
      <c r="A16" s="4" t="inlineStr">
        <is>
          <t>Other opex (fulfilment, etc.)</t>
        </is>
      </c>
      <c r="B16" s="34">
        <f>B6-(B10+B12+B14)-SUM(Financials!B13:E13)</f>
        <v/>
      </c>
      <c r="C16" s="34">
        <f>C6-(C10+C12+C14)-SUM(Financials!F13:I13)</f>
        <v/>
      </c>
      <c r="D16" s="34">
        <f>D6-(D10+D12+D14)-SUM(Financials!J13:M13)</f>
        <v/>
      </c>
      <c r="E16" s="34">
        <f>E6-(E10+E12+E14)-SUM(Financials!N13:Q13)</f>
        <v/>
      </c>
      <c r="F16" s="34">
        <f>F6*(1-(Dashboard!$B$29+(Dashboard!$B$30-Dashboard!$B$29)*MIN(1,0/4)))-(F10+F12+F14)</f>
        <v/>
      </c>
      <c r="G16" s="34">
        <f>G6*(1-(Dashboard!$B$29+(Dashboard!$B$30-Dashboard!$B$29)*MIN(1,1/4)))-(G10+G12+G14)</f>
        <v/>
      </c>
      <c r="H16" s="34">
        <f>H6*(1-(Dashboard!$B$29+(Dashboard!$B$30-Dashboard!$B$29)*MIN(1,2/4)))-(H10+H12+H14)</f>
        <v/>
      </c>
      <c r="I16" s="34">
        <f>I6*(1-(Dashboard!$B$29+(Dashboard!$B$30-Dashboard!$B$29)*MIN(1,3/4)))-(I10+I12+I14)</f>
        <v/>
      </c>
      <c r="J16" s="34">
        <f>J6*(1-(Dashboard!$B$29+(Dashboard!$B$30-Dashboard!$B$29)*MIN(1,4/4)))-(J10+J12+J14)</f>
        <v/>
      </c>
      <c r="K16" s="34">
        <f>K6*(1-(Dashboard!$B$29+(Dashboard!$B$30-Dashboard!$B$29)*MIN(1,5/4)))-(K10+K12+K14)</f>
        <v/>
      </c>
      <c r="L16" s="34">
        <f>L6*(1-(Dashboard!$B$29+(Dashboard!$B$30-Dashboard!$B$29)*MIN(1,6/4)))-(L10+L12+L14)</f>
        <v/>
      </c>
      <c r="M16" s="34">
        <f>M6*(1-(Dashboard!$B$29+(Dashboard!$B$30-Dashboard!$B$29)*MIN(1,7/4)))-(M10+M12+M14)</f>
        <v/>
      </c>
      <c r="N16" s="34">
        <f>N6*(1-(Dashboard!$B$29+(Dashboard!$B$30-Dashboard!$B$29)*MIN(1,8/4)))-(N10+N12+N14)</f>
        <v/>
      </c>
      <c r="O16" s="34">
        <f>O6*(1-(Dashboard!$B$29+(Dashboard!$B$30-Dashboard!$B$29)*MIN(1,9/4)))-(O10+O12+O14)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</row>
    <row r="24">
      <c r="A24" s="4" t="inlineStr">
        <is>
          <t>+ D&amp;A</t>
        </is>
      </c>
      <c r="B24" s="34">
        <f>SUM(Financials!B37:E37)</f>
        <v/>
      </c>
      <c r="C24" s="34">
        <f>SUM(Financials!F37:I37)</f>
        <v/>
      </c>
      <c r="D24" s="34">
        <f>SUM(Financials!J37:M37)</f>
        <v/>
      </c>
      <c r="E24" s="34">
        <f>SUM(Financials!N37:Q37)</f>
        <v/>
      </c>
      <c r="F24" s="42">
        <f>F6*0.0151</f>
        <v/>
      </c>
      <c r="G24" s="42">
        <f>G6*0.0151</f>
        <v/>
      </c>
      <c r="H24" s="42">
        <f>H6*0.0151</f>
        <v/>
      </c>
      <c r="I24" s="42">
        <f>I6*0.0151</f>
        <v/>
      </c>
      <c r="J24" s="42">
        <f>J6*0.0151</f>
        <v/>
      </c>
      <c r="K24" s="42">
        <f>K6*0.0151</f>
        <v/>
      </c>
      <c r="L24" s="42">
        <f>L6*0.0151</f>
        <v/>
      </c>
      <c r="M24" s="42">
        <f>M6*0.0151</f>
        <v/>
      </c>
      <c r="N24" s="42">
        <f>N6*0.0151</f>
        <v/>
      </c>
      <c r="O24" s="42">
        <f>O6*0.0151</f>
        <v/>
      </c>
    </row>
    <row r="25">
      <c r="A25" s="4" t="inlineStr">
        <is>
          <t>+ SBC (non-cash)</t>
        </is>
      </c>
      <c r="B25" s="34">
        <f>SUM(Financials!B38:E38)</f>
        <v/>
      </c>
      <c r="C25" s="34">
        <f>SUM(Financials!F38:I38)</f>
        <v/>
      </c>
      <c r="D25" s="34">
        <f>SUM(Financials!J38:M38)</f>
        <v/>
      </c>
      <c r="E25" s="34">
        <f>SUM(Financials!N38:Q38)</f>
        <v/>
      </c>
      <c r="F25" s="34">
        <f>F6*(Dashboard!$B$65+(Dashboard!$B$66-Dashboard!$B$65)*0/9)</f>
        <v/>
      </c>
      <c r="G25" s="34">
        <f>G6*(Dashboard!$B$65+(Dashboard!$B$66-Dashboard!$B$65)*1/9)</f>
        <v/>
      </c>
      <c r="H25" s="34">
        <f>H6*(Dashboard!$B$65+(Dashboard!$B$66-Dashboard!$B$65)*2/9)</f>
        <v/>
      </c>
      <c r="I25" s="34">
        <f>I6*(Dashboard!$B$65+(Dashboard!$B$66-Dashboard!$B$65)*3/9)</f>
        <v/>
      </c>
      <c r="J25" s="34">
        <f>J6*(Dashboard!$B$65+(Dashboard!$B$66-Dashboard!$B$65)*4/9)</f>
        <v/>
      </c>
      <c r="K25" s="34">
        <f>K6*(Dashboard!$B$65+(Dashboard!$B$66-Dashboard!$B$65)*5/9)</f>
        <v/>
      </c>
      <c r="L25" s="34">
        <f>L6*(Dashboard!$B$65+(Dashboard!$B$66-Dashboard!$B$65)*6/9)</f>
        <v/>
      </c>
      <c r="M25" s="34">
        <f>M6*(Dashboard!$B$65+(Dashboard!$B$66-Dashboard!$B$65)*7/9)</f>
        <v/>
      </c>
      <c r="N25" s="34">
        <f>N6*(Dashboard!$B$65+(Dashboard!$B$66-Dashboard!$B$65)*8/9)</f>
        <v/>
      </c>
      <c r="O25" s="34">
        <f>O6*(Dashboard!$B$65+(Dashboard!$B$66-Dashboard!$B$65)*9/9)</f>
        <v/>
      </c>
    </row>
    <row r="26">
      <c r="A26" s="4" t="inlineStr">
        <is>
          <t>- dNWC</t>
        </is>
      </c>
      <c r="F26" s="42">
        <f>(F6-E6)*0.0050</f>
        <v/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</row>
    <row r="27">
      <c r="A27" s="4" t="inlineStr">
        <is>
          <t>- Capex</t>
        </is>
      </c>
      <c r="B27" s="34">
        <f>-SUM(Financials!B41:E41)</f>
        <v/>
      </c>
      <c r="C27" s="34">
        <f>-SUM(Financials!F41:I41)</f>
        <v/>
      </c>
      <c r="D27" s="34">
        <f>-SUM(Financials!J41:M41)</f>
        <v/>
      </c>
      <c r="E27" s="34">
        <f>-SUM(Financials!N41:Q41)</f>
        <v/>
      </c>
      <c r="F27" s="42">
        <f>F24*F28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13">
        <f>(Dashboard!$B$34/F24)+(Dashboard!$B$35-(Dashboard!$B$34/F24))*0/9</f>
        <v/>
      </c>
      <c r="G28" s="13">
        <f>(Dashboard!$B$34/F24)+(Dashboard!$B$35-(Dashboard!$B$34/F24))*1/9</f>
        <v/>
      </c>
      <c r="H28" s="13">
        <f>(Dashboard!$B$34/F24)+(Dashboard!$B$35-(Dashboard!$B$34/F24))*2/9</f>
        <v/>
      </c>
      <c r="I28" s="13">
        <f>(Dashboard!$B$34/F24)+(Dashboard!$B$35-(Dashboard!$B$34/F24))*3/9</f>
        <v/>
      </c>
      <c r="J28" s="13">
        <f>(Dashboard!$B$34/F24)+(Dashboard!$B$35-(Dashboard!$B$34/F24))*4/9</f>
        <v/>
      </c>
      <c r="K28" s="13">
        <f>(Dashboard!$B$34/F24)+(Dashboard!$B$35-(Dashboard!$B$34/F24))*5/9</f>
        <v/>
      </c>
      <c r="L28" s="13">
        <f>(Dashboard!$B$34/F24)+(Dashboard!$B$35-(Dashboard!$B$34/F24))*6/9</f>
        <v/>
      </c>
      <c r="M28" s="13">
        <f>(Dashboard!$B$34/F24)+(Dashboard!$B$35-(Dashboard!$B$34/F24))*7/9</f>
        <v/>
      </c>
      <c r="N28" s="13">
        <f>(Dashboard!$B$34/F24)+(Dashboard!$B$35-(Dashboard!$B$34/F24))*8/9</f>
        <v/>
      </c>
      <c r="O28" s="13">
        <f>(Dashboard!$B$34/F24)+(Dashboard!$B$35-(Dashboard!$B$34/F24))*9/9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4" t="inlineStr">
        <is>
          <t>Invested capital (debt + equity - cash)</t>
        </is>
      </c>
      <c r="B34" s="34">
        <f>Financials!E35+Financials!E34-Financials!E29</f>
        <v/>
      </c>
      <c r="C34" s="34">
        <f>Financials!I35+Financials!I34-Financials!I29</f>
        <v/>
      </c>
      <c r="D34" s="34">
        <f>Financials!M35+Financials!M34-Financials!M29</f>
        <v/>
      </c>
      <c r="E34" s="34">
        <f>Financials!Q35+Financials!Q34-Financials!Q29</f>
        <v/>
      </c>
      <c r="F34" s="42">
        <f>E34+F27-F24+F26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</row>
    <row r="35">
      <c r="A35" s="4" t="inlineStr">
        <is>
          <t>Book equity (year-end)</t>
        </is>
      </c>
      <c r="B35" s="34">
        <f>Financials!E35</f>
        <v/>
      </c>
      <c r="C35" s="34">
        <f>Financials!I35</f>
        <v/>
      </c>
      <c r="D35" s="34">
        <f>Financials!M35</f>
        <v/>
      </c>
      <c r="E35" s="34">
        <f>Financials!Q35</f>
        <v/>
      </c>
      <c r="F35" s="42">
        <f>E35+F23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</row>
    <row r="37">
      <c r="A37" s="3" t="inlineStr">
        <is>
          <t xml:space="preserve">  ROE (earnings / beg. equity)</t>
        </is>
      </c>
      <c r="C37" s="11">
        <f>IFERROR(SUM(Financials!F15:I15)/B35,"")</f>
        <v/>
      </c>
      <c r="D37" s="11">
        <f>IFERROR(SUM(Financials!J15:M15)/C35,"")</f>
        <v/>
      </c>
      <c r="E37" s="11">
        <f>IFERROR(SUM(Financials!N15:Q15)/D35,"")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>
      <c r="A1" s="3" t="inlineStr">
        <is>
          <t>Line Item ($M)</t>
        </is>
      </c>
      <c r="B1" s="46" t="inlineStr">
        <is>
          <t>Q1 2022</t>
        </is>
      </c>
      <c r="C1" s="46" t="inlineStr">
        <is>
          <t>Q2 2022</t>
        </is>
      </c>
      <c r="D1" s="46" t="inlineStr">
        <is>
          <t>Q3 2022</t>
        </is>
      </c>
      <c r="E1" s="46" t="inlineStr">
        <is>
          <t>Q4 2022</t>
        </is>
      </c>
      <c r="F1" s="46" t="inlineStr">
        <is>
          <t>Q1 2023</t>
        </is>
      </c>
      <c r="G1" s="46" t="inlineStr">
        <is>
          <t>Q2 2023</t>
        </is>
      </c>
      <c r="H1" s="46" t="inlineStr">
        <is>
          <t>Q3 2023</t>
        </is>
      </c>
      <c r="I1" s="46" t="inlineStr">
        <is>
          <t>Q4 2023</t>
        </is>
      </c>
      <c r="J1" s="46" t="inlineStr">
        <is>
          <t>Q1 2024</t>
        </is>
      </c>
      <c r="K1" s="46" t="inlineStr">
        <is>
          <t>Q2 2024</t>
        </is>
      </c>
      <c r="L1" s="46" t="inlineStr">
        <is>
          <t>Q3 2024</t>
        </is>
      </c>
      <c r="M1" s="46" t="inlineStr">
        <is>
          <t>Q4 2024</t>
        </is>
      </c>
      <c r="N1" s="46" t="inlineStr">
        <is>
          <t>Q1 2025</t>
        </is>
      </c>
      <c r="O1" s="46" t="inlineStr">
        <is>
          <t>Q2 2025</t>
        </is>
      </c>
      <c r="P1" s="46" t="inlineStr">
        <is>
          <t>Q3 2025</t>
        </is>
      </c>
      <c r="Q1" s="46" t="inlineStr">
        <is>
          <t>Q4 2025</t>
        </is>
      </c>
      <c r="R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4" t="inlineStr">
        <is>
          <t>Revenue</t>
        </is>
      </c>
      <c r="B3" s="18" t="n">
        <v>104.1725</v>
      </c>
      <c r="C3" s="18" t="n">
        <v>109.023</v>
      </c>
      <c r="D3" s="18" t="n">
        <v>119.168</v>
      </c>
      <c r="E3" s="18" t="n">
        <v>145.235</v>
      </c>
      <c r="F3" s="18" t="n">
        <v>156.088</v>
      </c>
      <c r="G3" s="18" t="n">
        <v>164.586</v>
      </c>
      <c r="H3" s="18" t="n">
        <v>175.807</v>
      </c>
      <c r="I3" s="18" t="n">
        <v>201.618</v>
      </c>
      <c r="J3" s="18" t="n">
        <v>209.993</v>
      </c>
      <c r="K3" s="18" t="n">
        <v>222.213</v>
      </c>
      <c r="L3" s="18" t="n">
        <v>235.094</v>
      </c>
      <c r="M3" s="18" t="n">
        <v>270.164</v>
      </c>
      <c r="N3" s="18" t="n">
        <v>279.827</v>
      </c>
      <c r="O3" s="18" t="n">
        <v>293.117</v>
      </c>
      <c r="P3" s="18" t="n">
        <v>310.88</v>
      </c>
      <c r="Q3" s="18" t="n">
        <v>350.195</v>
      </c>
      <c r="R3" s="18" t="n">
        <v>358.005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</row>
    <row r="5">
      <c r="A5" s="4" t="inlineStr">
        <is>
          <t>Cost of Revenue</t>
        </is>
      </c>
      <c r="B5" s="18" t="n">
        <v>29.0375</v>
      </c>
      <c r="C5" s="18" t="n">
        <v>30.932</v>
      </c>
      <c r="D5" s="18" t="n">
        <v>32.619</v>
      </c>
      <c r="E5" s="18" t="n">
        <v>37.331</v>
      </c>
      <c r="F5" s="18" t="n">
        <v>36.574</v>
      </c>
      <c r="G5" s="18" t="n">
        <v>37.476</v>
      </c>
      <c r="H5" s="18" t="n">
        <v>58.825</v>
      </c>
      <c r="I5" s="18" t="n">
        <v>45.013</v>
      </c>
      <c r="J5" s="18" t="n">
        <v>44.938</v>
      </c>
      <c r="K5" s="18" t="n">
        <v>50.271</v>
      </c>
      <c r="L5" s="18" t="n">
        <v>54.357</v>
      </c>
      <c r="M5" s="18" t="n">
        <v>71.738</v>
      </c>
      <c r="N5" s="18" t="n">
        <v>67.7</v>
      </c>
      <c r="O5" s="18" t="n">
        <v>71.236</v>
      </c>
      <c r="P5" s="18" t="n">
        <v>76.143</v>
      </c>
      <c r="Q5" s="18" t="n">
        <v>97.444</v>
      </c>
      <c r="R5" s="18" t="n">
        <v>89.11199999999999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</row>
    <row r="7">
      <c r="A7" s="4" t="inlineStr">
        <is>
          <t>R&amp;D Expense</t>
        </is>
      </c>
      <c r="B7" s="18" t="n">
        <v>22.7875</v>
      </c>
      <c r="C7" s="18" t="n">
        <v>24.048</v>
      </c>
      <c r="D7" s="18" t="n">
        <v>30.09</v>
      </c>
      <c r="E7" s="18" t="n">
        <v>28.712</v>
      </c>
      <c r="F7" s="18" t="n">
        <v>35.032</v>
      </c>
      <c r="G7" s="18" t="n">
        <v>33.055</v>
      </c>
      <c r="H7" s="18" t="n">
        <v>141.455</v>
      </c>
      <c r="I7" s="18" t="n">
        <v>52.635</v>
      </c>
      <c r="J7" s="18" t="n">
        <v>56.097</v>
      </c>
      <c r="K7" s="18" t="n">
        <v>55.735</v>
      </c>
      <c r="L7" s="18" t="n">
        <v>55.769</v>
      </c>
      <c r="M7" s="18" t="n">
        <v>70.858</v>
      </c>
      <c r="N7" s="18" t="n">
        <v>69.349</v>
      </c>
      <c r="O7" s="18" t="n">
        <v>72.459</v>
      </c>
      <c r="P7" s="18" t="n">
        <v>72.66800000000001</v>
      </c>
      <c r="Q7" s="18" t="n">
        <v>76.733</v>
      </c>
      <c r="R7" s="18" t="n">
        <v>80.032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</row>
    <row r="9">
      <c r="A9" s="4" t="inlineStr">
        <is>
          <t>SG&amp;A Expense</t>
        </is>
      </c>
      <c r="B9" s="18" t="n">
        <v>65.1455</v>
      </c>
      <c r="C9" s="18" t="n">
        <v>66.36</v>
      </c>
      <c r="D9" s="18" t="n">
        <v>82.122</v>
      </c>
      <c r="E9" s="18" t="n">
        <v>83.26900000000001</v>
      </c>
      <c r="F9" s="18" t="n">
        <v>83.604</v>
      </c>
      <c r="G9" s="18" t="n">
        <v>87.023</v>
      </c>
      <c r="H9" s="18" t="n">
        <v>277.73</v>
      </c>
      <c r="I9" s="18" t="n">
        <v>140.3</v>
      </c>
      <c r="J9" s="18" t="n">
        <v>131.05</v>
      </c>
      <c r="K9" s="18" t="n">
        <v>130.26</v>
      </c>
      <c r="L9" s="18" t="n">
        <v>138.246</v>
      </c>
      <c r="M9" s="18" t="n">
        <v>162.222</v>
      </c>
      <c r="N9" s="18" t="n">
        <v>166.528</v>
      </c>
      <c r="O9" s="18" t="n">
        <v>180.748</v>
      </c>
      <c r="P9" s="18" t="n">
        <v>172.905</v>
      </c>
      <c r="Q9" s="18" t="n">
        <v>177.864</v>
      </c>
      <c r="R9" s="18" t="n">
        <v>187.116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</row>
    <row r="11">
      <c r="A11" s="4" t="inlineStr">
        <is>
          <t>Gross Profit</t>
        </is>
      </c>
      <c r="B11" s="18" t="n">
        <v>75.13500000000001</v>
      </c>
      <c r="C11" s="18" t="n">
        <v>78.09099999999999</v>
      </c>
      <c r="D11" s="18" t="n">
        <v>86.54900000000001</v>
      </c>
      <c r="E11" s="18" t="n">
        <v>107.904</v>
      </c>
      <c r="F11" s="18" t="n">
        <v>119.514</v>
      </c>
      <c r="G11" s="18" t="n">
        <v>127.11</v>
      </c>
      <c r="H11" s="18" t="n">
        <v>116.982</v>
      </c>
      <c r="I11" s="18" t="n">
        <v>156.605</v>
      </c>
      <c r="J11" s="18" t="n">
        <v>165.055</v>
      </c>
      <c r="K11" s="18" t="n">
        <v>171.942</v>
      </c>
      <c r="L11" s="18" t="n">
        <v>180.737</v>
      </c>
      <c r="M11" s="18" t="n">
        <v>198.426</v>
      </c>
      <c r="N11" s="18" t="n">
        <v>212.127</v>
      </c>
      <c r="O11" s="18" t="n">
        <v>221.881</v>
      </c>
      <c r="P11" s="18" t="n">
        <v>234.737</v>
      </c>
      <c r="Q11" s="18" t="n">
        <v>252.751</v>
      </c>
      <c r="R11" s="18" t="n">
        <v>268.893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</row>
    <row r="13">
      <c r="A13" s="4" t="inlineStr">
        <is>
          <t>Operating Income</t>
        </is>
      </c>
      <c r="B13" s="18" t="n">
        <v>-12.648</v>
      </c>
      <c r="C13" s="18" t="n">
        <v>-12.317</v>
      </c>
      <c r="D13" s="18" t="n">
        <v>-25.663</v>
      </c>
      <c r="E13" s="18" t="n">
        <v>-4.077</v>
      </c>
      <c r="F13" s="18" t="n">
        <v>0.878</v>
      </c>
      <c r="G13" s="18" t="n">
        <v>7.032</v>
      </c>
      <c r="H13" s="18" t="n">
        <v>-302.203</v>
      </c>
      <c r="I13" s="18" t="n">
        <v>-36.33</v>
      </c>
      <c r="J13" s="18" t="n">
        <v>-22.092</v>
      </c>
      <c r="K13" s="18" t="n">
        <v>-14.053</v>
      </c>
      <c r="L13" s="18" t="n">
        <v>-13.278</v>
      </c>
      <c r="M13" s="18" t="n">
        <v>-34.654</v>
      </c>
      <c r="N13" s="18" t="n">
        <v>-23.75</v>
      </c>
      <c r="O13" s="18" t="n">
        <v>-31.326</v>
      </c>
      <c r="P13" s="18" t="n">
        <v>-10.836</v>
      </c>
      <c r="Q13" s="18" t="n">
        <v>-1.846</v>
      </c>
      <c r="R13" s="18" t="n">
        <v>1.745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</row>
    <row r="15">
      <c r="A15" s="4" t="inlineStr">
        <is>
          <t>Net Income</t>
        </is>
      </c>
      <c r="B15" s="18" t="n">
        <v>-12.2825</v>
      </c>
      <c r="C15" s="18" t="n">
        <v>-11.691</v>
      </c>
      <c r="D15" s="18" t="n">
        <v>-23.873</v>
      </c>
      <c r="E15" s="18" t="n">
        <v>-0.755</v>
      </c>
      <c r="F15" s="18" t="n">
        <v>4.278</v>
      </c>
      <c r="G15" s="18" t="n">
        <v>10.887</v>
      </c>
      <c r="H15" s="18" t="n">
        <v>-297.104</v>
      </c>
      <c r="I15" s="18" t="n">
        <v>-26.295</v>
      </c>
      <c r="J15" s="18" t="n">
        <v>-12.882</v>
      </c>
      <c r="K15" s="18" t="n">
        <v>-4.942</v>
      </c>
      <c r="L15" s="18" t="n">
        <v>-1.345</v>
      </c>
      <c r="M15" s="18" t="n">
        <v>-26.973</v>
      </c>
      <c r="N15" s="18" t="n">
        <v>-14.089</v>
      </c>
      <c r="O15" s="18" t="n">
        <v>-24.281</v>
      </c>
      <c r="P15" s="18" t="n">
        <v>-0.426</v>
      </c>
      <c r="Q15" s="18" t="n">
        <v>7.028</v>
      </c>
      <c r="R15" s="18" t="n">
        <v>9.038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</row>
    <row r="17">
      <c r="A17" s="4" t="inlineStr">
        <is>
          <t>Diluted Shares (M)</t>
        </is>
      </c>
      <c r="B17" s="18" t="n">
        <v>226.389791</v>
      </c>
      <c r="C17" s="18" t="n">
        <v>226.389791</v>
      </c>
      <c r="D17" s="18" t="n">
        <v>251.855833</v>
      </c>
      <c r="E17" s="18" t="n">
        <v>251.855833</v>
      </c>
      <c r="F17" s="18" t="n">
        <v>251.855833</v>
      </c>
      <c r="G17" s="18" t="n">
        <v>268.57757</v>
      </c>
      <c r="H17" s="18" t="n">
        <v>240.125168</v>
      </c>
      <c r="I17" s="18" t="n">
        <v>258.899188</v>
      </c>
      <c r="J17" s="18" t="n">
        <v>261.332411</v>
      </c>
      <c r="K17" s="18" t="n">
        <v>265.293213</v>
      </c>
      <c r="L17" s="18" t="n">
        <v>267.854769</v>
      </c>
      <c r="M17" s="18" t="n">
        <v>270.839</v>
      </c>
      <c r="N17" s="18" t="n">
        <v>274.198</v>
      </c>
      <c r="O17" s="18" t="n">
        <v>284.928388</v>
      </c>
      <c r="P17" s="18" t="n">
        <v>300.828017</v>
      </c>
      <c r="Q17" s="18" t="n">
        <v>307.243102</v>
      </c>
      <c r="R17" s="18" t="n">
        <v>305.801451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4" t="inlineStr">
        <is>
          <t>UNITED STATES</t>
        </is>
      </c>
      <c r="N19" s="18" t="n">
        <v>171.899</v>
      </c>
      <c r="O19" s="18" t="n">
        <v>177.22</v>
      </c>
      <c r="P19" s="18" t="n">
        <v>185.969</v>
      </c>
      <c r="Q19" s="18" t="n">
        <v>206.013</v>
      </c>
      <c r="R19" s="18" t="n">
        <v>209.451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</row>
    <row r="22">
      <c r="A22" s="4" t="inlineStr">
        <is>
          <t>Asia Pacific</t>
        </is>
      </c>
      <c r="N22" s="18" t="n">
        <v>28.262</v>
      </c>
      <c r="O22" s="18" t="n">
        <v>30.211</v>
      </c>
      <c r="P22" s="18" t="n">
        <v>31.888</v>
      </c>
      <c r="Q22" s="18" t="n">
        <v>36.818</v>
      </c>
      <c r="R22" s="18" t="n">
        <v>37.097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</row>
    <row r="25">
      <c r="A25" s="4" t="inlineStr">
        <is>
          <t>Other Americas</t>
        </is>
      </c>
      <c r="N25" s="18" t="n">
        <v>13.595</v>
      </c>
      <c r="O25" s="18" t="n">
        <v>14.007</v>
      </c>
      <c r="P25" s="18" t="n">
        <v>14.987</v>
      </c>
      <c r="Q25" s="18" t="n">
        <v>17.047</v>
      </c>
      <c r="R25" s="18" t="n">
        <v>17.363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</row>
    <row r="29">
      <c r="A29" s="4" t="inlineStr">
        <is>
          <t>Cash &amp; ST Investments</t>
        </is>
      </c>
      <c r="G29" s="18" t="n">
        <v>438.739</v>
      </c>
      <c r="H29" s="18" t="n">
        <v>723.415</v>
      </c>
      <c r="I29" s="18" t="n">
        <v>738.562</v>
      </c>
      <c r="J29" s="18" t="n">
        <v>755.827</v>
      </c>
      <c r="K29" s="18" t="n">
        <v>793.5549999999999</v>
      </c>
      <c r="L29" s="18" t="n">
        <v>826.742</v>
      </c>
      <c r="M29" s="18" t="n">
        <v>881.473</v>
      </c>
      <c r="N29" s="18" t="n">
        <v>888.432</v>
      </c>
      <c r="O29" s="18" t="n">
        <v>935.516</v>
      </c>
      <c r="P29" s="18" t="n">
        <v>980.2670000000001</v>
      </c>
      <c r="Q29" s="18" t="n">
        <v>1064.875</v>
      </c>
      <c r="R29" s="18" t="n">
        <v>984.59</v>
      </c>
    </row>
    <row r="30">
      <c r="A30" s="4" t="inlineStr">
        <is>
          <t>Total Current Assets</t>
        </is>
      </c>
      <c r="G30" s="18" t="n">
        <v>491.354</v>
      </c>
      <c r="H30" s="18" t="n">
        <v>781.352</v>
      </c>
      <c r="I30" s="18" t="n">
        <v>803.489</v>
      </c>
      <c r="J30" s="18" t="n">
        <v>826.442</v>
      </c>
      <c r="K30" s="18" t="n">
        <v>872.3630000000001</v>
      </c>
      <c r="L30" s="18" t="n">
        <v>916.217</v>
      </c>
      <c r="M30" s="18" t="n">
        <v>979.749</v>
      </c>
      <c r="N30" s="18" t="n">
        <v>1007.239</v>
      </c>
      <c r="O30" s="18" t="n">
        <v>1061.071</v>
      </c>
      <c r="P30" s="18" t="n">
        <v>1110.009</v>
      </c>
      <c r="Q30" s="18" t="n">
        <v>1206.076</v>
      </c>
      <c r="R30" s="18" t="n">
        <v>1146.491</v>
      </c>
    </row>
    <row r="31">
      <c r="A31" s="4" t="inlineStr">
        <is>
          <t>PP&amp;E (net)</t>
        </is>
      </c>
      <c r="G31" s="18" t="n">
        <v>83.754</v>
      </c>
      <c r="H31" s="18" t="n">
        <v>82.236</v>
      </c>
      <c r="I31" s="18" t="n">
        <v>80.437</v>
      </c>
      <c r="J31" s="18" t="n">
        <v>77.47</v>
      </c>
      <c r="K31" s="18" t="n">
        <v>76.44</v>
      </c>
      <c r="L31" s="18" t="n">
        <v>75.33</v>
      </c>
      <c r="M31" s="18" t="n">
        <v>91.117</v>
      </c>
      <c r="N31" s="18" t="n">
        <v>142.562</v>
      </c>
      <c r="O31" s="18" t="n">
        <v>143.269</v>
      </c>
      <c r="P31" s="18" t="n">
        <v>162.176</v>
      </c>
      <c r="Q31" s="18" t="n">
        <v>181.467</v>
      </c>
      <c r="R31" s="18" t="n">
        <v>180.593</v>
      </c>
    </row>
    <row r="32">
      <c r="A32" s="4" t="inlineStr">
        <is>
          <t>Total Assets</t>
        </is>
      </c>
      <c r="G32" s="18" t="n">
        <v>690.5839999999999</v>
      </c>
      <c r="H32" s="18" t="n">
        <v>1071.424</v>
      </c>
      <c r="I32" s="18" t="n">
        <v>1089.05</v>
      </c>
      <c r="J32" s="18" t="n">
        <v>1108.396</v>
      </c>
      <c r="K32" s="18" t="n">
        <v>1149.838</v>
      </c>
      <c r="L32" s="18" t="n">
        <v>1193.199</v>
      </c>
      <c r="M32" s="18" t="n">
        <v>1273.308</v>
      </c>
      <c r="N32" s="18" t="n">
        <v>1347.311</v>
      </c>
      <c r="O32" s="18" t="n">
        <v>1397.882</v>
      </c>
      <c r="P32" s="18" t="n">
        <v>1465.06</v>
      </c>
      <c r="Q32" s="18" t="n">
        <v>1580.604</v>
      </c>
      <c r="R32" s="18" t="n">
        <v>1523.617</v>
      </c>
    </row>
    <row r="33">
      <c r="A33" s="4" t="inlineStr">
        <is>
          <t>Total Current Liabilities</t>
        </is>
      </c>
      <c r="G33" s="18" t="n">
        <v>103.701</v>
      </c>
      <c r="H33" s="18" t="n">
        <v>119.655</v>
      </c>
      <c r="I33" s="18" t="n">
        <v>130.616</v>
      </c>
      <c r="J33" s="18" t="n">
        <v>129.742</v>
      </c>
      <c r="K33" s="18" t="n">
        <v>131.613</v>
      </c>
      <c r="L33" s="18" t="n">
        <v>142.326</v>
      </c>
      <c r="M33" s="18" t="n">
        <v>199.893</v>
      </c>
      <c r="N33" s="18" t="n">
        <v>192.824</v>
      </c>
      <c r="O33" s="18" t="n">
        <v>214.239</v>
      </c>
      <c r="P33" s="18" t="n">
        <v>227.497</v>
      </c>
      <c r="Q33" s="18" t="n">
        <v>282.233</v>
      </c>
      <c r="R33" s="18" t="n">
        <v>271.046</v>
      </c>
    </row>
    <row r="34">
      <c r="A34" s="4" t="inlineStr">
        <is>
          <t>Long-term Debt</t>
        </is>
      </c>
      <c r="G34" s="18" t="n">
        <v>0</v>
      </c>
      <c r="H34" s="18" t="n">
        <v>0</v>
      </c>
      <c r="I34" s="18" t="n">
        <v>0</v>
      </c>
      <c r="J34" s="18" t="n">
        <v>0</v>
      </c>
      <c r="K34" s="18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18" t="n">
        <v>88.895</v>
      </c>
      <c r="Q34" s="18" t="n">
        <v>95.991</v>
      </c>
      <c r="R34" s="18" t="n">
        <v>93.238</v>
      </c>
    </row>
    <row r="35">
      <c r="A35" s="4" t="inlineStr">
        <is>
          <t>Total Equity</t>
        </is>
      </c>
      <c r="G35" s="18" t="n">
        <v>-1082.475</v>
      </c>
      <c r="H35" s="18" t="n">
        <v>905.3440000000001</v>
      </c>
      <c r="I35" s="18" t="n">
        <v>914.777</v>
      </c>
      <c r="J35" s="18" t="n">
        <v>937.452</v>
      </c>
      <c r="K35" s="18" t="n">
        <v>979.5</v>
      </c>
      <c r="L35" s="18" t="n">
        <v>1014.741</v>
      </c>
      <c r="M35" s="18" t="n">
        <v>1033.987</v>
      </c>
      <c r="N35" s="18" t="n">
        <v>1063.932</v>
      </c>
      <c r="O35" s="18" t="n">
        <v>1096.752</v>
      </c>
      <c r="P35" s="18" t="n">
        <v>1142.074</v>
      </c>
      <c r="Q35" s="18" t="n">
        <v>1196.56</v>
      </c>
      <c r="R35" s="18" t="n">
        <v>1153.459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4" t="inlineStr">
        <is>
          <t>D&amp;A</t>
        </is>
      </c>
      <c r="B37" s="18" t="n">
        <v>1.9155</v>
      </c>
      <c r="C37" s="18" t="n">
        <v>1.9155</v>
      </c>
      <c r="D37" s="18" t="n">
        <v>2.104</v>
      </c>
      <c r="E37" s="18" t="n">
        <v>2.824</v>
      </c>
      <c r="F37" s="18" t="n">
        <v>3.301</v>
      </c>
      <c r="G37" s="18" t="n">
        <v>3.166</v>
      </c>
      <c r="H37" s="18" t="n">
        <v>3.356</v>
      </c>
      <c r="I37" s="18" t="n">
        <v>3.828</v>
      </c>
      <c r="J37" s="18" t="n">
        <v>3.974</v>
      </c>
      <c r="K37" s="18" t="n">
        <v>4.235</v>
      </c>
      <c r="L37" s="18" t="n">
        <v>4.562</v>
      </c>
      <c r="M37" s="18" t="n">
        <v>4.946</v>
      </c>
      <c r="N37" s="18" t="n">
        <v>4.781</v>
      </c>
      <c r="O37" s="18" t="n">
        <v>3.931</v>
      </c>
      <c r="P37" s="18" t="n">
        <v>4.38</v>
      </c>
      <c r="Q37" s="18" t="n">
        <v>5.506</v>
      </c>
      <c r="R37" s="18" t="n">
        <v>6.336</v>
      </c>
    </row>
    <row r="38">
      <c r="A38" s="4" t="inlineStr">
        <is>
          <t>Stock-based Compensation</t>
        </is>
      </c>
      <c r="B38" s="18" t="n">
        <v>2.8615</v>
      </c>
      <c r="C38" s="18" t="n">
        <v>0.547</v>
      </c>
      <c r="D38" s="18" t="n">
        <v>0.522</v>
      </c>
      <c r="E38" s="18" t="n">
        <v>0.5570000000000001</v>
      </c>
      <c r="F38" s="18" t="n">
        <v>1.823</v>
      </c>
      <c r="G38" s="18" t="n">
        <v>0.519</v>
      </c>
      <c r="H38" s="18" t="n">
        <v>299.975</v>
      </c>
      <c r="I38" s="18" t="n">
        <v>38.482</v>
      </c>
      <c r="J38" s="18" t="n">
        <v>35.627</v>
      </c>
      <c r="K38" s="18" t="n">
        <v>33.506</v>
      </c>
      <c r="L38" s="18" t="n">
        <v>31.557</v>
      </c>
      <c r="M38" s="18" t="n">
        <v>34.522</v>
      </c>
      <c r="N38" s="18" t="n">
        <v>38.327</v>
      </c>
      <c r="O38" s="18" t="n">
        <v>45.404</v>
      </c>
      <c r="P38" s="18" t="n">
        <v>40.437</v>
      </c>
      <c r="Q38" s="18" t="n">
        <v>37.863</v>
      </c>
      <c r="R38" s="18" t="n">
        <v>41.803</v>
      </c>
    </row>
    <row r="39">
      <c r="A39" s="4" t="inlineStr">
        <is>
          <t>Change in Working Capital</t>
        </is>
      </c>
      <c r="B39" s="18" t="n">
        <v>-5.3545</v>
      </c>
      <c r="C39" s="18" t="n">
        <v>-5.3545</v>
      </c>
      <c r="D39" s="18" t="n">
        <v>-10.575</v>
      </c>
      <c r="E39" s="18" t="n">
        <v>-1.937</v>
      </c>
      <c r="F39" s="18" t="n">
        <v>-13.157</v>
      </c>
      <c r="G39" s="18" t="n">
        <v>5.965</v>
      </c>
      <c r="H39" s="18" t="n">
        <v>-3.46</v>
      </c>
      <c r="I39" s="18" t="n">
        <v>4.729</v>
      </c>
      <c r="J39" s="18" t="n">
        <v>-20.697</v>
      </c>
      <c r="K39" s="18" t="n">
        <v>-13.182</v>
      </c>
      <c r="L39" s="18" t="n">
        <v>-17.228</v>
      </c>
      <c r="M39" s="18" t="n">
        <v>23.399</v>
      </c>
      <c r="N39" s="18" t="n">
        <v>-41.912</v>
      </c>
      <c r="O39" s="18" t="n">
        <v>3.885</v>
      </c>
      <c r="P39" s="18" t="n">
        <v>-15.458</v>
      </c>
      <c r="Q39" s="18" t="n">
        <v>15.861</v>
      </c>
      <c r="R39" s="18" t="n">
        <v>-53.514</v>
      </c>
    </row>
    <row r="40">
      <c r="A40" s="4" t="inlineStr">
        <is>
          <t>Operating Cash Flow</t>
        </is>
      </c>
      <c r="B40" s="18" t="n">
        <v>-13.571</v>
      </c>
      <c r="C40" s="18" t="n">
        <v>-13.571</v>
      </c>
      <c r="D40" s="18" t="n">
        <v>-17.324</v>
      </c>
      <c r="E40" s="18" t="n">
        <v>20.914</v>
      </c>
      <c r="F40" s="18" t="n">
        <v>15.552</v>
      </c>
      <c r="G40" s="18" t="n">
        <v>41.474</v>
      </c>
      <c r="H40" s="18" t="n">
        <v>23.701</v>
      </c>
      <c r="I40" s="18" t="n">
        <v>38.644</v>
      </c>
      <c r="J40" s="18" t="n">
        <v>26.182</v>
      </c>
      <c r="K40" s="18" t="n">
        <v>40.9</v>
      </c>
      <c r="L40" s="18" t="n">
        <v>38.784</v>
      </c>
      <c r="M40" s="18" t="n">
        <v>60.089</v>
      </c>
      <c r="N40" s="18" t="n">
        <v>14.362</v>
      </c>
      <c r="O40" s="18" t="n">
        <v>55.725</v>
      </c>
      <c r="P40" s="18" t="n">
        <v>54.76</v>
      </c>
      <c r="Q40" s="18" t="n">
        <v>93.16</v>
      </c>
      <c r="R40" s="18" t="n">
        <v>34.279</v>
      </c>
    </row>
    <row r="41">
      <c r="A41" s="4" t="inlineStr">
        <is>
          <t>Capex</t>
        </is>
      </c>
      <c r="B41" s="18" t="n">
        <v>-4.9825</v>
      </c>
      <c r="C41" s="18" t="n">
        <v>-4.9825</v>
      </c>
      <c r="D41" s="18" t="n">
        <v>-5.012</v>
      </c>
      <c r="E41" s="18" t="n">
        <v>-2.327</v>
      </c>
      <c r="F41" s="18" t="n">
        <v>-1.631</v>
      </c>
      <c r="G41" s="18" t="n">
        <v>-1.974</v>
      </c>
      <c r="H41" s="18" t="n">
        <v>-1.83</v>
      </c>
      <c r="I41" s="18" t="n">
        <v>-3.923</v>
      </c>
      <c r="J41" s="18" t="n">
        <v>-3.225</v>
      </c>
      <c r="K41" s="18" t="n">
        <v>-3.835</v>
      </c>
      <c r="L41" s="18" t="n">
        <v>-4.538</v>
      </c>
      <c r="M41" s="18" t="n">
        <v>-5.628</v>
      </c>
      <c r="N41" s="18" t="n">
        <v>-7.741</v>
      </c>
      <c r="O41" s="18" t="n">
        <v>-7.307</v>
      </c>
      <c r="P41" s="18" t="n">
        <v>-7.705</v>
      </c>
      <c r="Q41" s="18" t="n">
        <v>-5.712</v>
      </c>
      <c r="R41" s="18" t="n">
        <v>6.387</v>
      </c>
    </row>
    <row r="42">
      <c r="A42" s="4" t="inlineStr">
        <is>
          <t>Free Cash Flow</t>
        </is>
      </c>
      <c r="B42" s="18" t="n">
        <v>-18.5535</v>
      </c>
      <c r="C42" s="18" t="n">
        <v>-18.5535</v>
      </c>
      <c r="D42" s="18" t="n">
        <v>-22.336</v>
      </c>
      <c r="E42" s="18" t="n">
        <v>18.587</v>
      </c>
      <c r="F42" s="18" t="n">
        <v>13.921</v>
      </c>
      <c r="G42" s="18" t="n">
        <v>39.5</v>
      </c>
      <c r="H42" s="18" t="n">
        <v>21.871</v>
      </c>
      <c r="I42" s="18" t="n">
        <v>34.721</v>
      </c>
      <c r="J42" s="18" t="n">
        <v>22.957</v>
      </c>
      <c r="K42" s="18" t="n">
        <v>37.065</v>
      </c>
      <c r="L42" s="18" t="n">
        <v>34.246</v>
      </c>
      <c r="M42" s="18" t="n">
        <v>54.461</v>
      </c>
      <c r="N42" s="18" t="n">
        <v>6.621</v>
      </c>
      <c r="O42" s="18" t="n">
        <v>48.418</v>
      </c>
      <c r="P42" s="18" t="n">
        <v>47.055</v>
      </c>
      <c r="Q42" s="18" t="n">
        <v>87.44799999999999</v>
      </c>
      <c r="R42" s="18" t="n">
        <v>40.666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1520.076871</v>
      </c>
      <c r="C4" s="18" t="n">
        <v>1815.316741</v>
      </c>
      <c r="D4" s="18" t="n">
        <v>2157.4698</v>
      </c>
      <c r="E4" s="18" t="n">
        <v>2617.75</v>
      </c>
      <c r="F4" s="18" t="n">
        <v>3091.95</v>
      </c>
    </row>
    <row r="5">
      <c r="A5" s="4" t="inlineStr">
        <is>
          <t xml:space="preserve">  model</t>
        </is>
      </c>
      <c r="B5" s="34">
        <f>Model!F6</f>
        <v/>
      </c>
      <c r="C5" s="34">
        <f>Model!G6</f>
        <v/>
      </c>
      <c r="D5" s="34">
        <f>Model!H6</f>
        <v/>
      </c>
      <c r="E5" s="34">
        <f>Model!I6</f>
        <v/>
      </c>
      <c r="F5" s="34">
        <f>Model!J6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225.227417</v>
      </c>
      <c r="C8" s="18" t="n">
        <v>268.972648</v>
      </c>
      <c r="D8" s="18" t="n">
        <v>319.668932</v>
      </c>
      <c r="E8" s="18" t="n">
        <v>387.867931</v>
      </c>
      <c r="F8" s="18" t="n">
        <v>458.129405</v>
      </c>
    </row>
    <row r="9">
      <c r="A9" s="4" t="inlineStr">
        <is>
          <t xml:space="preserve">  model</t>
        </is>
      </c>
      <c r="B9" s="34">
        <f>Model!F19+Model!F24</f>
        <v/>
      </c>
      <c r="C9" s="34">
        <f>Model!G19+Model!G24</f>
        <v/>
      </c>
      <c r="D9" s="34">
        <f>Model!H19+Model!H24</f>
        <v/>
      </c>
      <c r="E9" s="34">
        <f>Model!I19+Model!I24</f>
        <v/>
      </c>
      <c r="F9" s="34">
        <f>Model!J19+Model!J24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206.270129</v>
      </c>
      <c r="C12" s="18" t="n">
        <v>246.333344</v>
      </c>
      <c r="D12" s="18" t="n">
        <v>292.762545</v>
      </c>
      <c r="E12" s="18" t="n">
        <v>355.221266</v>
      </c>
      <c r="F12" s="18" t="n">
        <v>419.568864</v>
      </c>
    </row>
    <row r="13">
      <c r="A13" s="4" t="inlineStr">
        <is>
          <t xml:space="preserve">  model</t>
        </is>
      </c>
      <c r="B13" s="34">
        <f>Model!F19</f>
        <v/>
      </c>
      <c r="C13" s="34">
        <f>Model!G19</f>
        <v/>
      </c>
      <c r="D13" s="34">
        <f>Model!H19</f>
        <v/>
      </c>
      <c r="E13" s="34">
        <f>Model!I19</f>
        <v/>
      </c>
      <c r="F13" s="34">
        <f>Model!J19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1030.338467</v>
      </c>
      <c r="C16" s="18" t="n">
        <v>1230.457948</v>
      </c>
      <c r="D16" s="18" t="n">
        <v>1462.376126</v>
      </c>
      <c r="E16" s="18" t="n">
        <v>1774.36324</v>
      </c>
      <c r="F16" s="18" t="n">
        <v>2095.785473</v>
      </c>
    </row>
    <row r="17">
      <c r="A17" s="4" t="inlineStr">
        <is>
          <t xml:space="preserve">  model</t>
        </is>
      </c>
      <c r="B17" s="34">
        <f>Model!F14</f>
        <v/>
      </c>
      <c r="C17" s="34">
        <f>Model!G14</f>
        <v/>
      </c>
      <c r="D17" s="34">
        <f>Model!H14</f>
        <v/>
      </c>
      <c r="E17" s="34">
        <f>Model!I14</f>
        <v/>
      </c>
      <c r="F17" s="34">
        <f>Model!J14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245.758424</v>
      </c>
      <c r="C20" s="18" t="n">
        <v>302.737854</v>
      </c>
      <c r="D20" s="18" t="n">
        <v>371.0011735</v>
      </c>
      <c r="E20" s="18" t="n">
        <v>447.981219</v>
      </c>
      <c r="F20" s="18" t="n">
        <v>488.706785</v>
      </c>
    </row>
    <row r="21">
      <c r="A21" s="4" t="inlineStr">
        <is>
          <t xml:space="preserve">  model</t>
        </is>
      </c>
      <c r="B21" s="34">
        <f>Model!F23</f>
        <v/>
      </c>
      <c r="C21" s="34">
        <f>Model!G23</f>
        <v/>
      </c>
      <c r="D21" s="34">
        <f>Model!H23</f>
        <v/>
      </c>
      <c r="E21" s="34">
        <f>Model!I23</f>
        <v/>
      </c>
      <c r="F21" s="34">
        <f>Model!J23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0.84977</v>
      </c>
      <c r="C24" s="48" t="n">
        <v>1.03577</v>
      </c>
      <c r="D24" s="48" t="n">
        <v>1.27609</v>
      </c>
      <c r="E24" s="48" t="n">
        <v>1.54</v>
      </c>
      <c r="F24" s="48" t="n">
        <v>1.68</v>
      </c>
    </row>
    <row r="25">
      <c r="A25" s="4" t="inlineStr">
        <is>
          <t xml:space="preserve">  model</t>
        </is>
      </c>
      <c r="B25" s="8">
        <f>Model!F23/Financials!R17</f>
        <v/>
      </c>
      <c r="C25" s="8">
        <f>Model!G23/Financials!R17</f>
        <v/>
      </c>
      <c r="D25" s="8">
        <f>Model!H23/Financials!R17</f>
        <v/>
      </c>
      <c r="E25" s="8">
        <f>Model!I23/Financials!R17</f>
        <v/>
      </c>
      <c r="F25" s="8">
        <f>Model!J23/Financials!R17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Klaviyo,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Model!F31</f>
        <v/>
      </c>
      <c r="D12" s="34">
        <f>Model!G31</f>
        <v/>
      </c>
      <c r="E12" s="34">
        <f>Model!H31</f>
        <v/>
      </c>
      <c r="F12" s="34">
        <f>Model!I31</f>
        <v/>
      </c>
      <c r="G12" s="34">
        <f>Model!J31</f>
        <v/>
      </c>
      <c r="H12" s="34">
        <f>Model!K31</f>
        <v/>
      </c>
      <c r="I12" s="34">
        <f>Model!L31</f>
        <v/>
      </c>
      <c r="J12" s="34">
        <f>Model!M31</f>
        <v/>
      </c>
      <c r="K12" s="34">
        <f>Model!N31</f>
        <v/>
      </c>
      <c r="L12" s="34">
        <f>Model!O31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Model!O6</f>
        <v/>
      </c>
    </row>
    <row r="21">
      <c r="A21" s="4" t="inlineStr">
        <is>
          <t>Terminal EBIT</t>
        </is>
      </c>
      <c r="B21" s="34">
        <f>Model!O19</f>
        <v/>
      </c>
    </row>
    <row r="22">
      <c r="A22" s="4" t="inlineStr">
        <is>
          <t>Terminal EBITDA (SBC-burdened)</t>
        </is>
      </c>
      <c r="B22" s="34">
        <f>Model!O19+Model!O24-Model!O25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Financials!R29</f>
        <v/>
      </c>
    </row>
    <row r="33">
      <c r="A33" s="4" t="inlineStr">
        <is>
          <t>- Long-term debt</t>
        </is>
      </c>
      <c r="B33" s="34">
        <f>-Financials!R34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Financials!R17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0.06279642583415306</v>
      </c>
      <c r="C4" s="52" t="n">
        <v>0.06779642583415306</v>
      </c>
      <c r="D4" s="52" t="n">
        <v>0.07279642583415305</v>
      </c>
      <c r="E4" s="52" t="n">
        <v>0.07779642583415305</v>
      </c>
      <c r="F4" s="52" t="n">
        <v>0.08279642583415306</v>
      </c>
      <c r="G4" s="52" t="n">
        <v>0.08779642583415305</v>
      </c>
      <c r="H4" s="52" t="n">
        <v>0.09279642583415305</v>
      </c>
    </row>
    <row r="5">
      <c r="A5" s="53" t="n">
        <v>12.8</v>
      </c>
      <c r="B5" s="8" t="n">
        <v>17.9156502347187</v>
      </c>
      <c r="C5" s="8" t="n">
        <v>17.30196490238792</v>
      </c>
      <c r="D5" s="8" t="n">
        <v>16.71766456260655</v>
      </c>
      <c r="E5" s="54" t="n">
        <v>16.16118890080211</v>
      </c>
      <c r="F5" s="54" t="n">
        <v>15.6310678025272</v>
      </c>
      <c r="G5" s="54" t="n">
        <v>15.12591573457542</v>
      </c>
      <c r="H5" s="54" t="n">
        <v>14.64442650059042</v>
      </c>
    </row>
    <row r="6">
      <c r="A6" s="53" t="n">
        <v>13.8</v>
      </c>
      <c r="B6" s="8" t="n">
        <v>18.7540839368797</v>
      </c>
      <c r="C6" s="8" t="n">
        <v>18.10195562564361</v>
      </c>
      <c r="D6" s="8" t="n">
        <v>17.48114233896677</v>
      </c>
      <c r="E6" s="8" t="n">
        <v>16.88997853794442</v>
      </c>
      <c r="F6" s="54" t="n">
        <v>16.32689507043388</v>
      </c>
      <c r="G6" s="54" t="n">
        <v>15.7904131622182</v>
      </c>
      <c r="H6" s="54" t="n">
        <v>15.27913880887948</v>
      </c>
    </row>
    <row r="7">
      <c r="A7" s="53" t="n">
        <v>14.8</v>
      </c>
      <c r="B7" s="8" t="n">
        <v>19.5925176390407</v>
      </c>
      <c r="C7" s="8" t="n">
        <v>18.90194634889929</v>
      </c>
      <c r="D7" s="8" t="n">
        <v>18.244620115327</v>
      </c>
      <c r="E7" s="8" t="n">
        <v>17.61876817508674</v>
      </c>
      <c r="F7" s="8" t="n">
        <v>17.02272233834056</v>
      </c>
      <c r="G7" s="54" t="n">
        <v>16.45491058986099</v>
      </c>
      <c r="H7" s="54" t="n">
        <v>15.91385111716853</v>
      </c>
    </row>
    <row r="8">
      <c r="A8" s="53" t="n">
        <v>15.8</v>
      </c>
      <c r="B8" s="8" t="n">
        <v>20.4309513412017</v>
      </c>
      <c r="C8" s="8" t="n">
        <v>19.70193707215498</v>
      </c>
      <c r="D8" s="8" t="n">
        <v>19.00809789168722</v>
      </c>
      <c r="E8" s="55" t="n">
        <v>18.34755781222906</v>
      </c>
      <c r="F8" s="8" t="n">
        <v>17.71854960624724</v>
      </c>
      <c r="G8" s="8" t="n">
        <v>17.11940801750377</v>
      </c>
      <c r="H8" s="54" t="n">
        <v>16.54856342545759</v>
      </c>
    </row>
    <row r="9">
      <c r="A9" s="53" t="n">
        <v>16.8</v>
      </c>
      <c r="B9" s="8" t="n">
        <v>21.2693850433627</v>
      </c>
      <c r="C9" s="8" t="n">
        <v>20.50192779541067</v>
      </c>
      <c r="D9" s="8" t="n">
        <v>19.77157566804744</v>
      </c>
      <c r="E9" s="8" t="n">
        <v>19.07634744937137</v>
      </c>
      <c r="F9" s="8" t="n">
        <v>18.41437687415392</v>
      </c>
      <c r="G9" s="8" t="n">
        <v>17.78390544514655</v>
      </c>
      <c r="H9" s="8" t="n">
        <v>17.18327573374664</v>
      </c>
    </row>
    <row r="10">
      <c r="A10" s="53" t="n">
        <v>17.8</v>
      </c>
      <c r="B10" s="8" t="n">
        <v>22.10781874552369</v>
      </c>
      <c r="C10" s="8" t="n">
        <v>21.30191851866635</v>
      </c>
      <c r="D10" s="8" t="n">
        <v>20.53505344440766</v>
      </c>
      <c r="E10" s="8" t="n">
        <v>19.80513708651369</v>
      </c>
      <c r="F10" s="8" t="n">
        <v>19.11020414206059</v>
      </c>
      <c r="G10" s="8" t="n">
        <v>18.44840287278933</v>
      </c>
      <c r="H10" s="8" t="n">
        <v>17.8179880420357</v>
      </c>
    </row>
    <row r="11">
      <c r="A11" s="53" t="n">
        <v>18.8</v>
      </c>
      <c r="B11" s="8" t="n">
        <v>22.9462524476847</v>
      </c>
      <c r="C11" s="8" t="n">
        <v>22.10190924192204</v>
      </c>
      <c r="D11" s="8" t="n">
        <v>21.29853122076789</v>
      </c>
      <c r="E11" s="8" t="n">
        <v>20.533926723656</v>
      </c>
      <c r="F11" s="8" t="n">
        <v>19.80603140996727</v>
      </c>
      <c r="G11" s="8" t="n">
        <v>19.11290030043211</v>
      </c>
      <c r="H11" s="8" t="n">
        <v>18.45270035032476</v>
      </c>
    </row>
    <row r="13">
      <c r="A13" s="3" t="inlineStr">
        <is>
          <t>Current price</t>
        </is>
      </c>
      <c r="B13" s="54" t="n">
        <v>16.64520072937012</v>
      </c>
    </row>
    <row r="14">
      <c r="A14" s="3" t="inlineStr">
        <is>
          <t>Base WACC / multiple</t>
        </is>
      </c>
      <c r="B14" s="56" t="n">
        <v>0.07779642583415305</v>
      </c>
      <c r="C14" s="57" t="n">
        <v>15.8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Model!E6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Model!E20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0.01507108075321368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1.366765240987557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(Model!O6/Model!E6)^(1/10)-1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0.7696489512164543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Financials!R29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Financials!R34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Financials!R17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2026-07-08T07:03:48Z</dcterms:created>
  <dcterms:modified xmlns:dcterms="http://purl.org/dc/terms/" xmlns:xsi="http://www.w3.org/2001/XMLSchema-instance" xsi:type="dcterms:W3CDTF">2026-07-08T07:03:48Z</dcterms:modified>
</cp:coreProperties>
</file>