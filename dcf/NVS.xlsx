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Novartis AG (NVS)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Novartis AG (NVS)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0.04467389815052417</v>
      </c>
      <c r="C20" s="15" t="n">
        <v>0.05</v>
      </c>
      <c r="D20" s="16" t="n">
        <v>0.04467389815052417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0.3956504503175484</v>
      </c>
      <c r="D29" s="16" t="n">
        <v>0.3956504503175484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0.4638729421349238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3843.2909372</v>
      </c>
      <c r="D34" s="18" t="n">
        <v>3843.2909372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0.487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0.001877951288912977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159.8999938964844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242.5711040606677</v>
      </c>
      <c r="C58" s="28" t="n">
        <v>335.4229686582059</v>
      </c>
      <c r="D58" s="28" t="n">
        <v>172.4474634558207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0.01419437921817502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0.00851662753090501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NVS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0.2427422464939972</v>
      </c>
      <c r="H11" s="15" t="n">
        <v>0.2427422464939972</v>
      </c>
      <c r="I11" s="15" t="n">
        <v>0.2427422464939972</v>
      </c>
      <c r="J11" s="15" t="n">
        <v>0.2427422464939972</v>
      </c>
      <c r="K11" s="15" t="n">
        <v>0.2427422464939972</v>
      </c>
      <c r="L11" s="15" t="n">
        <v>0.2427422464939972</v>
      </c>
      <c r="M11" s="15" t="n">
        <v>0.2427422464939972</v>
      </c>
      <c r="N11" s="15" t="n">
        <v>0.2427422464939972</v>
      </c>
      <c r="O11" s="15" t="n">
        <v>0.2427422464939972</v>
      </c>
      <c r="P11" s="15" t="n">
        <v>0.2427422464939972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0.1936594901286374</v>
      </c>
      <c r="H13" s="15" t="n">
        <v>0.1936594901286374</v>
      </c>
      <c r="I13" s="15" t="n">
        <v>0.1936594901286374</v>
      </c>
      <c r="J13" s="15" t="n">
        <v>0.1936594901286374</v>
      </c>
      <c r="K13" s="15" t="n">
        <v>0.1936594901286374</v>
      </c>
      <c r="L13" s="15" t="n">
        <v>0.1936594901286374</v>
      </c>
      <c r="M13" s="15" t="n">
        <v>0.1936594901286374</v>
      </c>
      <c r="N13" s="15" t="n">
        <v>0.1936594901286374</v>
      </c>
      <c r="O13" s="15" t="n">
        <v>0.1936594901286374</v>
      </c>
      <c r="P13" s="15" t="n">
        <v>0.1936594901286374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0.235867821370808</v>
      </c>
      <c r="H15" s="15" t="n">
        <v>0.235867821370808</v>
      </c>
      <c r="I15" s="15" t="n">
        <v>0.235867821370808</v>
      </c>
      <c r="J15" s="15" t="n">
        <v>0.235867821370808</v>
      </c>
      <c r="K15" s="15" t="n">
        <v>0.235867821370808</v>
      </c>
      <c r="L15" s="15" t="n">
        <v>0.235867821370808</v>
      </c>
      <c r="M15" s="15" t="n">
        <v>0.235867821370808</v>
      </c>
      <c r="N15" s="15" t="n">
        <v>0.235867821370808</v>
      </c>
      <c r="O15" s="15" t="n">
        <v>0.235867821370808</v>
      </c>
      <c r="P15" s="15" t="n">
        <v>0.235867821370808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G6*0.0948</f>
        <v/>
      </c>
      <c r="H24" s="41">
        <f>H6*0.0948</f>
        <v/>
      </c>
      <c r="I24" s="41">
        <f>I6*0.0948</f>
        <v/>
      </c>
      <c r="J24" s="41">
        <f>J6*0.0948</f>
        <v/>
      </c>
      <c r="K24" s="41">
        <f>K6*0.0948</f>
        <v/>
      </c>
      <c r="L24" s="41">
        <f>L6*0.0948</f>
        <v/>
      </c>
      <c r="M24" s="41">
        <f>M6*0.0948</f>
        <v/>
      </c>
      <c r="N24" s="41">
        <f>N6*0.0948</f>
        <v/>
      </c>
      <c r="O24" s="41">
        <f>O6*0.0948</f>
        <v/>
      </c>
      <c r="P24" s="41">
        <f>P6*0.0948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12024</v>
      </c>
      <c r="C3" s="18" t="n">
        <v>12482</v>
      </c>
      <c r="D3" s="18" t="n">
        <v>12716</v>
      </c>
      <c r="E3" s="18" t="n">
        <v>12708</v>
      </c>
      <c r="F3" s="18" t="n">
        <v>11622</v>
      </c>
      <c r="G3" s="18" t="n">
        <v>12538</v>
      </c>
      <c r="H3" s="18" t="n">
        <v>13030</v>
      </c>
      <c r="I3" s="18" t="n">
        <v>12694</v>
      </c>
      <c r="J3" s="18" t="n">
        <v>13294</v>
      </c>
      <c r="K3" s="18" t="n">
        <v>13367</v>
      </c>
      <c r="L3" s="18" t="n">
        <v>13522</v>
      </c>
      <c r="M3" s="18" t="n">
        <v>12814</v>
      </c>
      <c r="N3" s="18" t="n">
        <v>13085</v>
      </c>
      <c r="O3" s="18" t="n">
        <v>10783</v>
      </c>
      <c r="P3" s="18" t="n">
        <v>13087</v>
      </c>
      <c r="Q3" s="18" t="n">
        <v>11047</v>
      </c>
      <c r="R3" s="18" t="n">
        <v>11745</v>
      </c>
      <c r="S3" s="18" t="n">
        <v>12092</v>
      </c>
      <c r="T3" s="18" t="n">
        <v>11776</v>
      </c>
      <c r="U3" s="18" t="n">
        <v>12120</v>
      </c>
      <c r="V3" s="18" t="n">
        <v>12872</v>
      </c>
      <c r="W3" s="18" t="n">
        <v>13172</v>
      </c>
      <c r="X3" s="18" t="n">
        <v>13558</v>
      </c>
      <c r="Y3" s="18" t="n">
        <v>13620</v>
      </c>
      <c r="Z3" s="18" t="n">
        <v>14836</v>
      </c>
      <c r="AA3" s="18" t="n">
        <v>14358</v>
      </c>
      <c r="AB3" s="18" t="n">
        <v>13334.986</v>
      </c>
      <c r="AC3" s="18" t="n">
        <v>13524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3406</v>
      </c>
      <c r="C5" s="18" t="n">
        <v>3776</v>
      </c>
      <c r="D5" s="18" t="n">
        <v>3992</v>
      </c>
      <c r="E5" s="18" t="n">
        <v>3722</v>
      </c>
      <c r="F5" s="18" t="n">
        <v>3429</v>
      </c>
      <c r="G5" s="18" t="n">
        <v>3753</v>
      </c>
      <c r="H5" s="18" t="n">
        <v>4217</v>
      </c>
      <c r="I5" s="18" t="n">
        <v>4039</v>
      </c>
      <c r="J5" s="18" t="n">
        <v>3914</v>
      </c>
      <c r="K5" s="18" t="n">
        <v>3938</v>
      </c>
      <c r="L5" s="18" t="n">
        <v>3976</v>
      </c>
      <c r="M5" s="18" t="n">
        <v>3856</v>
      </c>
      <c r="N5" s="18" t="n">
        <v>3751</v>
      </c>
      <c r="O5" s="18" t="n">
        <v>2874</v>
      </c>
      <c r="P5" s="18" t="n">
        <v>4073</v>
      </c>
      <c r="Q5" s="18" t="n">
        <v>2991</v>
      </c>
      <c r="R5" s="18" t="n">
        <v>3342</v>
      </c>
      <c r="S5" s="18" t="n">
        <v>3117</v>
      </c>
      <c r="T5" s="18" t="n">
        <v>3022</v>
      </c>
      <c r="U5" s="18" t="n">
        <v>3096</v>
      </c>
      <c r="V5" s="18" t="n">
        <v>3173</v>
      </c>
      <c r="W5" s="18" t="n">
        <v>3234</v>
      </c>
      <c r="X5" s="18" t="n">
        <v>3324</v>
      </c>
      <c r="Y5" s="18" t="n">
        <v>3227</v>
      </c>
      <c r="Z5" s="18" t="n">
        <v>3322</v>
      </c>
      <c r="AA5" s="18" t="n">
        <v>3539</v>
      </c>
      <c r="AB5" s="18" t="n">
        <v>3541.731</v>
      </c>
      <c r="AC5" s="18" t="n">
        <v>3459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2051</v>
      </c>
      <c r="C7" s="18" t="n">
        <v>2199</v>
      </c>
      <c r="D7" s="18" t="n">
        <v>2853</v>
      </c>
      <c r="E7" s="18" t="n">
        <v>2060</v>
      </c>
      <c r="F7" s="18" t="n">
        <v>2441</v>
      </c>
      <c r="G7" s="18" t="n">
        <v>2146</v>
      </c>
      <c r="H7" s="18" t="n">
        <v>2333</v>
      </c>
      <c r="I7" s="18" t="n">
        <v>2351</v>
      </c>
      <c r="J7" s="18" t="n">
        <v>2400</v>
      </c>
      <c r="K7" s="18" t="n">
        <v>2380</v>
      </c>
      <c r="L7" s="18" t="n">
        <v>2409</v>
      </c>
      <c r="M7" s="18" t="n">
        <v>2320</v>
      </c>
      <c r="N7" s="18" t="n">
        <v>2498</v>
      </c>
      <c r="O7" s="18" t="n">
        <v>2542</v>
      </c>
      <c r="P7" s="18" t="n">
        <v>2442</v>
      </c>
      <c r="Q7" s="18" t="n">
        <v>2575</v>
      </c>
      <c r="R7" s="18" t="n">
        <v>2304</v>
      </c>
      <c r="S7" s="18" t="n">
        <v>3925</v>
      </c>
      <c r="T7" s="18" t="n">
        <v>2567</v>
      </c>
      <c r="U7" s="18" t="n">
        <v>2421</v>
      </c>
      <c r="V7" s="18" t="n">
        <v>2367</v>
      </c>
      <c r="W7" s="18" t="n">
        <v>2392</v>
      </c>
      <c r="X7" s="18" t="n">
        <v>2842</v>
      </c>
      <c r="Y7" s="18" t="n">
        <v>2366</v>
      </c>
      <c r="Z7" s="18" t="n">
        <v>2727</v>
      </c>
      <c r="AA7" s="18" t="n">
        <v>2944</v>
      </c>
      <c r="AB7" s="18" t="n">
        <v>2836.784</v>
      </c>
      <c r="AC7" s="18" t="n">
        <v>2740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3585</v>
      </c>
      <c r="C9" s="18" t="n">
        <v>3549</v>
      </c>
      <c r="D9" s="18" t="n">
        <v>3905</v>
      </c>
      <c r="E9" s="18" t="n">
        <v>3486</v>
      </c>
      <c r="F9" s="18" t="n">
        <v>3368</v>
      </c>
      <c r="G9" s="18" t="n">
        <v>3419</v>
      </c>
      <c r="H9" s="18" t="n">
        <v>3924</v>
      </c>
      <c r="I9" s="18" t="n">
        <v>3529</v>
      </c>
      <c r="J9" s="18" t="n">
        <v>3754</v>
      </c>
      <c r="K9" s="18" t="n">
        <v>3618</v>
      </c>
      <c r="L9" s="18" t="n">
        <v>3985</v>
      </c>
      <c r="M9" s="18" t="n">
        <v>3512</v>
      </c>
      <c r="N9" s="18" t="n">
        <v>3581</v>
      </c>
      <c r="O9" s="18" t="n">
        <v>2936</v>
      </c>
      <c r="P9" s="18" t="n">
        <v>3747</v>
      </c>
      <c r="Q9" s="18" t="n">
        <v>2891</v>
      </c>
      <c r="R9" s="18" t="n">
        <v>3091</v>
      </c>
      <c r="S9" s="18" t="n">
        <v>3091</v>
      </c>
      <c r="T9" s="18" t="n">
        <v>3444</v>
      </c>
      <c r="U9" s="18" t="n">
        <v>2840</v>
      </c>
      <c r="V9" s="18" t="n">
        <v>3091</v>
      </c>
      <c r="W9" s="18" t="n">
        <v>3134</v>
      </c>
      <c r="X9" s="18" t="n">
        <v>3501</v>
      </c>
      <c r="Y9" s="18" t="n">
        <v>3058</v>
      </c>
      <c r="Z9" s="18" t="n">
        <v>3442</v>
      </c>
      <c r="AA9" s="18" t="n">
        <v>3308</v>
      </c>
      <c r="AB9" s="18" t="n">
        <v>3435.739</v>
      </c>
      <c r="AC9" s="18" t="n">
        <v>3140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8618</v>
      </c>
      <c r="C11" s="18" t="n">
        <v>8706</v>
      </c>
      <c r="D11" s="18" t="n">
        <v>8724</v>
      </c>
      <c r="E11" s="18" t="n">
        <v>8986</v>
      </c>
      <c r="F11" s="18" t="n">
        <v>8193</v>
      </c>
      <c r="G11" s="18" t="n">
        <v>8785</v>
      </c>
      <c r="H11" s="18" t="n">
        <v>8813</v>
      </c>
      <c r="I11" s="18" t="n">
        <v>8655</v>
      </c>
      <c r="J11" s="18" t="n">
        <v>9380</v>
      </c>
      <c r="K11" s="18" t="n">
        <v>9429</v>
      </c>
      <c r="L11" s="18" t="n">
        <v>9546</v>
      </c>
      <c r="M11" s="18" t="n">
        <v>8958</v>
      </c>
      <c r="N11" s="18" t="n">
        <v>9334</v>
      </c>
      <c r="O11" s="18" t="n">
        <v>7909</v>
      </c>
      <c r="P11" s="18" t="n">
        <v>9014</v>
      </c>
      <c r="Q11" s="18" t="n">
        <v>8056</v>
      </c>
      <c r="R11" s="18" t="n">
        <v>8403</v>
      </c>
      <c r="S11" s="18" t="n">
        <v>8975</v>
      </c>
      <c r="T11" s="18" t="n">
        <v>8754</v>
      </c>
      <c r="U11" s="18" t="n">
        <v>9024</v>
      </c>
      <c r="V11" s="18" t="n">
        <v>9699</v>
      </c>
      <c r="W11" s="18" t="n">
        <v>9938</v>
      </c>
      <c r="X11" s="18" t="n">
        <v>10234</v>
      </c>
      <c r="Y11" s="18" t="n">
        <v>10393</v>
      </c>
      <c r="Z11" s="18" t="n">
        <v>11514</v>
      </c>
      <c r="AA11" s="18" t="n">
        <v>10819</v>
      </c>
      <c r="AB11" s="18" t="n">
        <v>9793.254999999999</v>
      </c>
      <c r="AC11" s="18" t="n">
        <v>10065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2663</v>
      </c>
      <c r="C13" s="18" t="n">
        <v>2358</v>
      </c>
      <c r="D13" s="18" t="n">
        <v>1823</v>
      </c>
      <c r="E13" s="18" t="n">
        <v>2744</v>
      </c>
      <c r="F13" s="18" t="n">
        <v>2352</v>
      </c>
      <c r="G13" s="18" t="n">
        <v>2412</v>
      </c>
      <c r="H13" s="18" t="n">
        <v>2644</v>
      </c>
      <c r="I13" s="18" t="n">
        <v>2415</v>
      </c>
      <c r="J13" s="18" t="n">
        <v>3479</v>
      </c>
      <c r="K13" s="18" t="n">
        <v>3233</v>
      </c>
      <c r="L13" s="18" t="n">
        <v>2562</v>
      </c>
      <c r="M13" s="18" t="n">
        <v>2852</v>
      </c>
      <c r="N13" s="18" t="n">
        <v>2228</v>
      </c>
      <c r="O13" s="18" t="n">
        <v>1826</v>
      </c>
      <c r="P13" s="18" t="n">
        <v>1949</v>
      </c>
      <c r="Q13" s="18" t="n">
        <v>2618</v>
      </c>
      <c r="R13" s="18" t="n">
        <v>2807</v>
      </c>
      <c r="S13" s="18" t="n">
        <v>1762</v>
      </c>
      <c r="T13" s="18" t="n">
        <v>2582</v>
      </c>
      <c r="U13" s="18" t="n">
        <v>3373</v>
      </c>
      <c r="V13" s="18" t="n">
        <v>4014</v>
      </c>
      <c r="W13" s="18" t="n">
        <v>3627</v>
      </c>
      <c r="X13" s="18" t="n">
        <v>3530</v>
      </c>
      <c r="Y13" s="18" t="n">
        <v>4663</v>
      </c>
      <c r="Z13" s="18" t="n">
        <v>4864</v>
      </c>
      <c r="AA13" s="18" t="n">
        <v>4501</v>
      </c>
      <c r="AB13" s="18" t="n">
        <v>3520.732</v>
      </c>
      <c r="AC13" s="18" t="n">
        <v>4235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6799</v>
      </c>
      <c r="C15" s="18" t="n">
        <v>2042</v>
      </c>
      <c r="D15" s="18" t="n">
        <v>1125</v>
      </c>
      <c r="E15" s="18" t="n">
        <v>2176</v>
      </c>
      <c r="F15" s="18" t="n">
        <v>1867</v>
      </c>
      <c r="G15" s="18" t="n">
        <v>1935</v>
      </c>
      <c r="H15" s="18" t="n">
        <v>2094</v>
      </c>
      <c r="I15" s="18" t="n">
        <v>2059</v>
      </c>
      <c r="J15" s="18" t="n">
        <v>2896</v>
      </c>
      <c r="K15" s="18" t="n">
        <v>2758</v>
      </c>
      <c r="L15" s="18" t="n">
        <v>16308</v>
      </c>
      <c r="M15" s="18" t="n">
        <v>2222</v>
      </c>
      <c r="N15" s="18" t="n">
        <v>1694</v>
      </c>
      <c r="O15" s="18" t="n">
        <v>1573</v>
      </c>
      <c r="P15" s="18" t="n">
        <v>1466</v>
      </c>
      <c r="Q15" s="18" t="n">
        <v>2293</v>
      </c>
      <c r="R15" s="18" t="n">
        <v>2316</v>
      </c>
      <c r="S15" s="18" t="n">
        <v>1761</v>
      </c>
      <c r="T15" s="18" t="n">
        <v>8480</v>
      </c>
      <c r="U15" s="18" t="n">
        <v>2688</v>
      </c>
      <c r="V15" s="18" t="n">
        <v>3246</v>
      </c>
      <c r="W15" s="18" t="n">
        <v>3189</v>
      </c>
      <c r="X15" s="18" t="n">
        <v>2818</v>
      </c>
      <c r="Y15" s="18" t="n">
        <v>3606</v>
      </c>
      <c r="Z15" s="18" t="n">
        <v>4041</v>
      </c>
      <c r="AA15" s="18" t="n">
        <v>3928</v>
      </c>
      <c r="AB15" s="18" t="n">
        <v>2408.817</v>
      </c>
      <c r="AC15" s="18" t="n">
        <v>3156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2333</v>
      </c>
      <c r="C17" s="18" t="n">
        <v>2297</v>
      </c>
      <c r="D17" s="18" t="n">
        <v>2292</v>
      </c>
      <c r="E17" s="18" t="n">
        <v>2292</v>
      </c>
      <c r="F17" s="18" t="n">
        <v>2304</v>
      </c>
      <c r="G17" s="18" t="n">
        <v>2302</v>
      </c>
      <c r="H17" s="18" t="n">
        <v>2282</v>
      </c>
      <c r="I17" s="18" t="n">
        <v>2265</v>
      </c>
      <c r="J17" s="18" t="n">
        <v>2258</v>
      </c>
      <c r="K17" s="18" t="n">
        <v>2254</v>
      </c>
      <c r="L17" s="18" t="n">
        <v>2253</v>
      </c>
      <c r="M17" s="18" t="n">
        <v>2237</v>
      </c>
      <c r="N17" s="18" t="n">
        <v>2211</v>
      </c>
      <c r="O17" s="18" t="n">
        <v>2180</v>
      </c>
      <c r="P17" s="18" t="n">
        <v>2150</v>
      </c>
      <c r="Q17" s="18" t="n">
        <v>2120</v>
      </c>
      <c r="R17" s="18" t="n">
        <v>2095</v>
      </c>
      <c r="S17" s="18" t="n">
        <v>2075</v>
      </c>
      <c r="T17" s="18" t="n">
        <v>2065</v>
      </c>
      <c r="U17" s="18" t="n">
        <v>2056</v>
      </c>
      <c r="V17" s="18" t="n">
        <v>2046</v>
      </c>
      <c r="W17" s="18" t="n">
        <v>2027</v>
      </c>
      <c r="X17" s="18" t="n">
        <v>2004</v>
      </c>
      <c r="Y17" s="18" t="n">
        <v>1979</v>
      </c>
      <c r="Z17" s="18" t="n">
        <v>1960</v>
      </c>
      <c r="AA17" s="18" t="n">
        <v>1940</v>
      </c>
      <c r="AB17" s="18" t="n">
        <v>1929</v>
      </c>
      <c r="AC17" s="18" t="n">
        <v>1916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10335</v>
      </c>
      <c r="C19" s="18" t="n">
        <v>8717</v>
      </c>
      <c r="D19" s="18" t="n">
        <v>11445.95053</v>
      </c>
      <c r="E19" s="18" t="n">
        <v>4973</v>
      </c>
      <c r="F19" s="18" t="n">
        <v>6293</v>
      </c>
      <c r="G19" s="18" t="n">
        <v>10870</v>
      </c>
      <c r="H19" s="18" t="n">
        <v>11563</v>
      </c>
      <c r="I19" s="18" t="n">
        <v>4077</v>
      </c>
      <c r="J19" s="18" t="n">
        <v>5356</v>
      </c>
      <c r="K19" s="18" t="n">
        <v>8162</v>
      </c>
      <c r="L19" s="18" t="n">
        <v>28329</v>
      </c>
      <c r="M19" s="18" t="n">
        <v>18814</v>
      </c>
      <c r="N19" s="18" t="n">
        <v>19758</v>
      </c>
      <c r="O19" s="18" t="n">
        <v>19103</v>
      </c>
      <c r="P19" s="18" t="n">
        <v>18930.04581</v>
      </c>
      <c r="Q19" s="18" t="n">
        <v>12260</v>
      </c>
      <c r="R19" s="18" t="n">
        <v>11174</v>
      </c>
      <c r="S19" s="18" t="n">
        <v>12695</v>
      </c>
      <c r="T19" s="18" t="n">
        <v>14427.971591</v>
      </c>
      <c r="U19" s="18" t="n">
        <v>9694</v>
      </c>
      <c r="V19" s="18" t="n">
        <v>8435</v>
      </c>
      <c r="W19" s="18" t="n">
        <v>14020</v>
      </c>
      <c r="X19" s="18" t="n">
        <v>13351</v>
      </c>
      <c r="Y19" s="18" t="n">
        <v>7196</v>
      </c>
      <c r="Z19" s="18" t="n">
        <v>7000</v>
      </c>
      <c r="AA19" s="18" t="n">
        <v>9753</v>
      </c>
      <c r="AB19" s="18" t="n">
        <v>11590.02</v>
      </c>
      <c r="AC19" s="18" t="n">
        <v>6977</v>
      </c>
    </row>
    <row r="20">
      <c r="A20" s="4" t="inlineStr">
        <is>
          <t>Total Current Assets</t>
        </is>
      </c>
      <c r="B20" s="18" t="n">
        <v>28320</v>
      </c>
      <c r="C20" s="18" t="n">
        <v>26675</v>
      </c>
      <c r="D20" s="18" t="n">
        <v>29503.872483</v>
      </c>
      <c r="E20" s="18" t="n">
        <v>23098</v>
      </c>
      <c r="F20" s="18" t="n">
        <v>23882</v>
      </c>
      <c r="G20" s="18" t="n">
        <v>28973</v>
      </c>
      <c r="H20" s="18" t="n">
        <v>29673</v>
      </c>
      <c r="I20" s="18" t="n">
        <v>22198</v>
      </c>
      <c r="J20" s="18" t="n">
        <v>23808</v>
      </c>
      <c r="K20" s="18" t="n">
        <v>26253</v>
      </c>
      <c r="L20" s="18" t="n">
        <v>45718</v>
      </c>
      <c r="M20" s="18" t="n">
        <v>37236</v>
      </c>
      <c r="N20" s="18" t="n">
        <v>38142</v>
      </c>
      <c r="O20" s="18" t="n">
        <v>36954</v>
      </c>
      <c r="P20" s="18" t="n">
        <v>36910.089322</v>
      </c>
      <c r="Q20" s="18" t="n">
        <v>32114</v>
      </c>
      <c r="R20" s="18" t="n">
        <v>33493</v>
      </c>
      <c r="S20" s="18" t="n">
        <v>45660</v>
      </c>
      <c r="T20" s="18" t="n">
        <v>30480.939982</v>
      </c>
      <c r="U20" s="18" t="n">
        <v>26447</v>
      </c>
      <c r="V20" s="18" t="n">
        <v>25693</v>
      </c>
      <c r="W20" s="18" t="n">
        <v>31264</v>
      </c>
      <c r="X20" s="18" t="n">
        <v>29704</v>
      </c>
      <c r="Y20" s="18" t="n">
        <v>25108</v>
      </c>
      <c r="Z20" s="18" t="n">
        <v>25939</v>
      </c>
      <c r="AA20" s="18" t="n">
        <v>28198</v>
      </c>
      <c r="AB20" s="18" t="n">
        <v>30460</v>
      </c>
      <c r="AC20" s="18" t="n">
        <v>26607</v>
      </c>
    </row>
    <row r="21">
      <c r="A21" s="4" t="inlineStr">
        <is>
          <t>PP&amp;E (net)</t>
        </is>
      </c>
      <c r="B21" s="18" t="n">
        <v>14052</v>
      </c>
      <c r="C21" s="18" t="n">
        <v>13560</v>
      </c>
      <c r="D21" s="18" t="n">
        <v>13745.940589</v>
      </c>
      <c r="E21" s="18" t="n">
        <v>13560</v>
      </c>
      <c r="F21" s="18" t="n">
        <v>13595</v>
      </c>
      <c r="G21" s="18" t="n">
        <v>13337</v>
      </c>
      <c r="H21" s="18" t="n">
        <v>13939</v>
      </c>
      <c r="I21" s="18" t="n">
        <v>13204</v>
      </c>
      <c r="J21" s="18" t="n">
        <v>13344</v>
      </c>
      <c r="K21" s="18" t="n">
        <v>13157</v>
      </c>
      <c r="L21" s="18" t="n">
        <v>13106</v>
      </c>
      <c r="M21" s="18" t="n">
        <v>12861</v>
      </c>
      <c r="N21" s="18" t="n">
        <v>12206</v>
      </c>
      <c r="O21" s="18" t="n">
        <v>11731</v>
      </c>
      <c r="P21" s="18" t="n">
        <v>12195.029511</v>
      </c>
      <c r="Q21" s="18" t="n">
        <v>12348</v>
      </c>
      <c r="R21" s="18" t="n">
        <v>12277</v>
      </c>
      <c r="S21" s="18" t="n">
        <v>10344</v>
      </c>
      <c r="T21" s="18" t="n">
        <v>10923.97849</v>
      </c>
      <c r="U21" s="18" t="n">
        <v>10542</v>
      </c>
      <c r="V21" s="18" t="n">
        <v>10622</v>
      </c>
      <c r="W21" s="18" t="n">
        <v>11201</v>
      </c>
      <c r="X21" s="18" t="n">
        <v>10873</v>
      </c>
      <c r="Y21" s="18" t="n">
        <v>11087</v>
      </c>
      <c r="Z21" s="18" t="n">
        <v>11826</v>
      </c>
      <c r="AA21" s="18" t="n">
        <v>11991</v>
      </c>
      <c r="AB21" s="18" t="n">
        <v>12352.021</v>
      </c>
      <c r="AC21" s="18" t="n">
        <v>12238</v>
      </c>
    </row>
    <row r="22">
      <c r="A22" s="4" t="inlineStr">
        <is>
          <t>Total Assets</t>
        </is>
      </c>
      <c r="B22" s="18" t="n">
        <v>116294</v>
      </c>
      <c r="C22" s="18" t="n">
        <v>115971</v>
      </c>
      <c r="D22" s="18" t="n">
        <v>118412.488219</v>
      </c>
      <c r="E22" s="18" t="n">
        <v>123097</v>
      </c>
      <c r="F22" s="18" t="n">
        <v>123763</v>
      </c>
      <c r="G22" s="18" t="n">
        <v>129678</v>
      </c>
      <c r="H22" s="18" t="n">
        <v>132189</v>
      </c>
      <c r="I22" s="18" t="n">
        <v>121752</v>
      </c>
      <c r="J22" s="18" t="n">
        <v>124015</v>
      </c>
      <c r="K22" s="18" t="n">
        <v>121209</v>
      </c>
      <c r="L22" s="18" t="n">
        <v>135884</v>
      </c>
      <c r="M22" s="18" t="n">
        <v>125218</v>
      </c>
      <c r="N22" s="18" t="n">
        <v>122910</v>
      </c>
      <c r="O22" s="18" t="n">
        <v>118464</v>
      </c>
      <c r="P22" s="18" t="n">
        <v>121765.294671</v>
      </c>
      <c r="Q22" s="18" t="n">
        <v>112241</v>
      </c>
      <c r="R22" s="18" t="n">
        <v>110979</v>
      </c>
      <c r="S22" s="18" t="n">
        <v>112697</v>
      </c>
      <c r="T22" s="18" t="n">
        <v>103823.79557</v>
      </c>
      <c r="U22" s="18" t="n">
        <v>94334</v>
      </c>
      <c r="V22" s="18" t="n">
        <v>97505</v>
      </c>
      <c r="W22" s="18" t="n">
        <v>103524</v>
      </c>
      <c r="X22" s="18" t="n">
        <v>102246</v>
      </c>
      <c r="Y22" s="18" t="n">
        <v>99941</v>
      </c>
      <c r="Z22" s="18" t="n">
        <v>104395</v>
      </c>
      <c r="AA22" s="18" t="n">
        <v>107289</v>
      </c>
      <c r="AB22" s="18" t="n">
        <v>115569.198</v>
      </c>
      <c r="AC22" s="18" t="n">
        <v>118532</v>
      </c>
    </row>
    <row r="23">
      <c r="A23" s="4" t="inlineStr">
        <is>
          <t>Total Current Liabilities</t>
        </is>
      </c>
      <c r="B23" s="18" t="n">
        <v>30111</v>
      </c>
      <c r="C23" s="18" t="n">
        <v>28220</v>
      </c>
      <c r="D23" s="18" t="n">
        <v>28263.877842</v>
      </c>
      <c r="E23" s="18" t="n">
        <v>31294</v>
      </c>
      <c r="F23" s="18" t="n">
        <v>29382</v>
      </c>
      <c r="G23" s="18" t="n">
        <v>31838</v>
      </c>
      <c r="H23" s="18" t="n">
        <v>33059</v>
      </c>
      <c r="I23" s="18" t="n">
        <v>30160</v>
      </c>
      <c r="J23" s="18" t="n">
        <v>29633</v>
      </c>
      <c r="K23" s="18" t="n">
        <v>29880</v>
      </c>
      <c r="L23" s="18" t="n">
        <v>30208</v>
      </c>
      <c r="M23" s="18" t="n">
        <v>29807</v>
      </c>
      <c r="N23" s="18" t="n">
        <v>27646</v>
      </c>
      <c r="O23" s="18" t="n">
        <v>28160</v>
      </c>
      <c r="P23" s="18" t="n">
        <v>28656.069347</v>
      </c>
      <c r="Q23" s="18" t="n">
        <v>30549</v>
      </c>
      <c r="R23" s="18" t="n">
        <v>31909</v>
      </c>
      <c r="S23" s="18" t="n">
        <v>48393</v>
      </c>
      <c r="T23" s="18" t="n">
        <v>26389.948038</v>
      </c>
      <c r="U23" s="18" t="n">
        <v>29288</v>
      </c>
      <c r="V23" s="18" t="n">
        <v>27612</v>
      </c>
      <c r="W23" s="18" t="n">
        <v>28132</v>
      </c>
      <c r="X23" s="18" t="n">
        <v>28692</v>
      </c>
      <c r="Y23" s="18" t="n">
        <v>31619</v>
      </c>
      <c r="Z23" s="18" t="n">
        <v>31714</v>
      </c>
      <c r="AA23" s="18" t="n">
        <v>32000</v>
      </c>
      <c r="AB23" s="18" t="n">
        <v>27278.047</v>
      </c>
      <c r="AC23" s="18" t="n">
        <v>31374</v>
      </c>
    </row>
    <row r="24">
      <c r="A24" s="4" t="inlineStr">
        <is>
          <t>Long-term Debt</t>
        </is>
      </c>
      <c r="B24" s="18" t="n">
        <v>20364</v>
      </c>
      <c r="C24" s="18" t="n">
        <v>20131</v>
      </c>
      <c r="D24" s="18" t="n">
        <v>20352.912034</v>
      </c>
      <c r="E24" s="18" t="n">
        <v>23800</v>
      </c>
      <c r="F24" s="18" t="n">
        <v>23955</v>
      </c>
      <c r="G24" s="18" t="n">
        <v>26497</v>
      </c>
      <c r="H24" s="18" t="n">
        <v>26259</v>
      </c>
      <c r="I24" s="18" t="n">
        <v>25747</v>
      </c>
      <c r="J24" s="18" t="n">
        <v>24828</v>
      </c>
      <c r="K24" s="18" t="n">
        <v>23101</v>
      </c>
      <c r="L24" s="18" t="n">
        <v>22902</v>
      </c>
      <c r="M24" s="18" t="n">
        <v>22796</v>
      </c>
      <c r="N24" s="18" t="n">
        <v>22232</v>
      </c>
      <c r="O24" s="18" t="n">
        <v>19732</v>
      </c>
      <c r="P24" s="18" t="n">
        <v>20244.04899</v>
      </c>
      <c r="Q24" s="18" t="n">
        <v>20396</v>
      </c>
      <c r="R24" s="18" t="n">
        <v>18259</v>
      </c>
      <c r="S24" s="18" t="n">
        <v>18068</v>
      </c>
      <c r="T24" s="18" t="n">
        <v>18435.963699</v>
      </c>
      <c r="U24" s="18" t="n">
        <v>17191</v>
      </c>
      <c r="V24" s="18" t="n">
        <v>19663</v>
      </c>
      <c r="W24" s="18" t="n">
        <v>23750</v>
      </c>
      <c r="X24" s="18" t="n">
        <v>21366</v>
      </c>
      <c r="Y24" s="18" t="n">
        <v>21666</v>
      </c>
      <c r="Z24" s="18" t="n">
        <v>22470</v>
      </c>
      <c r="AA24" s="18" t="n">
        <v>22598</v>
      </c>
      <c r="AB24" s="18" t="n">
        <v>29592.051</v>
      </c>
      <c r="AC24" s="18" t="n">
        <v>37447</v>
      </c>
    </row>
    <row r="25">
      <c r="A25" s="4" t="inlineStr">
        <is>
          <t>Total Equity</t>
        </is>
      </c>
      <c r="B25" s="18" t="n">
        <v>51426</v>
      </c>
      <c r="C25" s="18" t="n">
        <v>52524</v>
      </c>
      <c r="D25" s="18" t="n">
        <v>55473.760241</v>
      </c>
      <c r="E25" s="18" t="n">
        <v>50903</v>
      </c>
      <c r="F25" s="18" t="n">
        <v>53812</v>
      </c>
      <c r="G25" s="18" t="n">
        <v>54484</v>
      </c>
      <c r="H25" s="18" t="n">
        <v>56598</v>
      </c>
      <c r="I25" s="18" t="n">
        <v>50523</v>
      </c>
      <c r="J25" s="18" t="n">
        <v>54042</v>
      </c>
      <c r="K25" s="18" t="n">
        <v>56771</v>
      </c>
      <c r="L25" s="18" t="n">
        <v>67655</v>
      </c>
      <c r="M25" s="18" t="n">
        <v>61540</v>
      </c>
      <c r="N25" s="18" t="n">
        <v>62925</v>
      </c>
      <c r="O25" s="18" t="n">
        <v>60820</v>
      </c>
      <c r="P25" s="18" t="n">
        <v>59342.143607</v>
      </c>
      <c r="Q25" s="18" t="n">
        <v>52059</v>
      </c>
      <c r="R25" s="18" t="n">
        <v>51847</v>
      </c>
      <c r="S25" s="18" t="n">
        <v>38164</v>
      </c>
      <c r="T25" s="18" t="n">
        <v>46666.908112</v>
      </c>
      <c r="U25" s="18" t="n">
        <v>39675</v>
      </c>
      <c r="V25" s="18" t="n">
        <v>41733</v>
      </c>
      <c r="W25" s="18" t="n">
        <v>43317</v>
      </c>
      <c r="X25" s="18" t="n">
        <v>44046</v>
      </c>
      <c r="Y25" s="18" t="n">
        <v>38369</v>
      </c>
      <c r="Z25" s="18" t="n">
        <v>41985</v>
      </c>
      <c r="AA25" s="18" t="n">
        <v>44330</v>
      </c>
      <c r="AB25" s="18" t="n">
        <v>46130.079</v>
      </c>
      <c r="AC25" s="18" t="n">
        <v>38512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1046</v>
      </c>
      <c r="C27" s="18" t="n">
        <v>1402</v>
      </c>
      <c r="D27" s="18" t="n">
        <v>1937</v>
      </c>
      <c r="E27" s="18" t="n">
        <v>1410</v>
      </c>
      <c r="F27" s="18" t="n">
        <v>1703</v>
      </c>
      <c r="G27" s="18" t="n">
        <v>1734</v>
      </c>
      <c r="H27" s="18" t="n">
        <v>1617</v>
      </c>
      <c r="I27" s="18" t="n">
        <v>1697</v>
      </c>
      <c r="J27" s="18" t="n">
        <v>1444</v>
      </c>
      <c r="K27" s="18" t="n">
        <v>1453</v>
      </c>
      <c r="L27" s="18" t="n">
        <v>1519</v>
      </c>
      <c r="M27" s="18" t="n">
        <v>1405</v>
      </c>
      <c r="N27" s="18" t="n">
        <v>1802</v>
      </c>
      <c r="O27" s="18" t="n">
        <v>1915</v>
      </c>
      <c r="P27" s="18" t="n">
        <v>1948</v>
      </c>
      <c r="Q27" s="18" t="n">
        <v>1996</v>
      </c>
      <c r="R27" s="18" t="n">
        <v>1708</v>
      </c>
      <c r="S27" s="18" t="n">
        <v>3111</v>
      </c>
      <c r="T27" s="18" t="n">
        <v>1614.136908</v>
      </c>
      <c r="U27" s="18" t="n">
        <v>1314</v>
      </c>
      <c r="V27" s="18" t="n">
        <v>1162</v>
      </c>
      <c r="W27" s="18" t="n">
        <v>1965</v>
      </c>
      <c r="X27" s="18" t="n">
        <v>1628</v>
      </c>
      <c r="Y27" s="18" t="n">
        <v>1150</v>
      </c>
      <c r="Z27" s="18" t="n">
        <v>1256</v>
      </c>
      <c r="AA27" s="18" t="n">
        <v>1364</v>
      </c>
      <c r="AB27" s="18" t="n">
        <v>1550.882086</v>
      </c>
      <c r="AC27" s="18" t="n">
        <v>1228</v>
      </c>
    </row>
    <row r="28">
      <c r="A28" s="4" t="inlineStr">
        <is>
          <t>Stock-based Compensation</t>
        </is>
      </c>
      <c r="B28" s="18" t="n">
        <v>174</v>
      </c>
      <c r="C28" s="18" t="n">
        <v>216</v>
      </c>
      <c r="D28" s="18" t="n">
        <v>170</v>
      </c>
      <c r="E28" s="18" t="n">
        <v>178</v>
      </c>
      <c r="F28" s="18" t="n">
        <v>199</v>
      </c>
      <c r="G28" s="18" t="n">
        <v>202</v>
      </c>
      <c r="H28" s="18" t="n">
        <v>159</v>
      </c>
      <c r="I28" s="18" t="n">
        <v>183</v>
      </c>
      <c r="J28" s="18" t="n">
        <v>185</v>
      </c>
      <c r="K28" s="18" t="n">
        <v>173</v>
      </c>
      <c r="L28" s="18" t="n">
        <v>195</v>
      </c>
      <c r="M28" s="18" t="n">
        <v>203</v>
      </c>
      <c r="N28" s="18" t="n">
        <v>204</v>
      </c>
      <c r="O28" s="18" t="n">
        <v>208</v>
      </c>
      <c r="P28" s="18" t="n">
        <v>197</v>
      </c>
      <c r="Q28" s="18" t="n">
        <v>190</v>
      </c>
      <c r="R28" s="18" t="n">
        <v>222</v>
      </c>
      <c r="S28" s="18" t="n">
        <v>0</v>
      </c>
      <c r="T28" s="18" t="n">
        <v>0</v>
      </c>
      <c r="U28" s="18" t="n">
        <v>260</v>
      </c>
      <c r="V28" s="18" t="n">
        <v>257</v>
      </c>
      <c r="W28" s="18" t="n">
        <v>255</v>
      </c>
      <c r="X28" s="18" t="n">
        <v>272</v>
      </c>
      <c r="Y28" s="18" t="n">
        <v>262</v>
      </c>
      <c r="Z28" s="18" t="n">
        <v>267</v>
      </c>
      <c r="AA28" s="18" t="n">
        <v>268</v>
      </c>
      <c r="AB28" s="18" t="n">
        <v>0</v>
      </c>
      <c r="AC28" s="18" t="n">
        <v>303</v>
      </c>
    </row>
    <row r="29">
      <c r="A29" s="4" t="inlineStr">
        <is>
          <t>Change in Working Capital</t>
        </is>
      </c>
      <c r="B29" s="18" t="n">
        <v>-57</v>
      </c>
      <c r="C29" s="18" t="n">
        <v>691</v>
      </c>
      <c r="D29" s="18" t="n">
        <v>856</v>
      </c>
      <c r="E29" s="18" t="n">
        <v>-2127</v>
      </c>
      <c r="F29" s="18" t="n">
        <v>650</v>
      </c>
      <c r="G29" s="18" t="n">
        <v>-36</v>
      </c>
      <c r="H29" s="18" t="n">
        <v>1222</v>
      </c>
      <c r="I29" s="18" t="n">
        <v>-1474</v>
      </c>
      <c r="J29" s="18" t="n">
        <v>130</v>
      </c>
      <c r="K29" s="18" t="n">
        <v>409</v>
      </c>
      <c r="L29" s="18" t="n">
        <v>1176</v>
      </c>
      <c r="M29" s="18" t="n">
        <v>-2011</v>
      </c>
      <c r="N29" s="18" t="n">
        <v>-54</v>
      </c>
      <c r="O29" s="18" t="n">
        <v>447</v>
      </c>
      <c r="P29" s="18" t="n">
        <v>585</v>
      </c>
      <c r="Q29" s="18" t="n">
        <v>-1504</v>
      </c>
      <c r="R29" s="18" t="n">
        <v>55</v>
      </c>
      <c r="S29" s="18" t="n">
        <v>1466</v>
      </c>
      <c r="T29" s="18" t="n">
        <v>-737</v>
      </c>
      <c r="U29" s="18" t="n">
        <v>-1989</v>
      </c>
      <c r="V29" s="18" t="n">
        <v>238</v>
      </c>
      <c r="W29" s="18" t="n">
        <v>824</v>
      </c>
      <c r="X29" s="18" t="n">
        <v>5</v>
      </c>
      <c r="Y29" s="18" t="n">
        <v>-1768</v>
      </c>
      <c r="Z29" s="18" t="n">
        <v>442</v>
      </c>
      <c r="AA29" s="18" t="n">
        <v>1336</v>
      </c>
      <c r="AB29" s="18" t="n">
        <v>-2292.676895</v>
      </c>
      <c r="AC29" s="18" t="n">
        <v>-787</v>
      </c>
    </row>
    <row r="30">
      <c r="A30" s="4" t="inlineStr">
        <is>
          <t>Operating Cash Flow</t>
        </is>
      </c>
      <c r="B30" s="18" t="n">
        <v>3111</v>
      </c>
      <c r="C30" s="18" t="n">
        <v>4562</v>
      </c>
      <c r="D30" s="18" t="n">
        <v>3540</v>
      </c>
      <c r="E30" s="18" t="n">
        <v>2528</v>
      </c>
      <c r="F30" s="18" t="n">
        <v>3961</v>
      </c>
      <c r="G30" s="18" t="n">
        <v>3156</v>
      </c>
      <c r="H30" s="18" t="n">
        <v>4005</v>
      </c>
      <c r="I30" s="18" t="n">
        <v>2130</v>
      </c>
      <c r="J30" s="18" t="n">
        <v>4132</v>
      </c>
      <c r="K30" s="18" t="n">
        <v>4925</v>
      </c>
      <c r="L30" s="18" t="n">
        <v>3884</v>
      </c>
      <c r="M30" s="18" t="n">
        <v>1649</v>
      </c>
      <c r="N30" s="18" t="n">
        <v>3755</v>
      </c>
      <c r="O30" s="18" t="n">
        <v>4721</v>
      </c>
      <c r="P30" s="18" t="n">
        <v>4111</v>
      </c>
      <c r="Q30" s="18" t="n">
        <v>2957</v>
      </c>
      <c r="R30" s="18" t="n">
        <v>3576</v>
      </c>
      <c r="S30" s="18" t="n">
        <v>5378</v>
      </c>
      <c r="T30" s="18" t="n">
        <v>2547</v>
      </c>
      <c r="U30" s="18" t="n">
        <v>2265</v>
      </c>
      <c r="V30" s="18" t="n">
        <v>4875</v>
      </c>
      <c r="W30" s="18" t="n">
        <v>6286</v>
      </c>
      <c r="X30" s="18" t="n">
        <v>4193</v>
      </c>
      <c r="Y30" s="18" t="n">
        <v>3645</v>
      </c>
      <c r="Z30" s="18" t="n">
        <v>6664</v>
      </c>
      <c r="AA30" s="18" t="n">
        <v>6571</v>
      </c>
      <c r="AB30" s="18" t="n">
        <v>2253.702452</v>
      </c>
      <c r="AC30" s="18" t="n">
        <v>3676</v>
      </c>
    </row>
    <row r="31">
      <c r="A31" s="4" t="inlineStr">
        <is>
          <t>Capex</t>
        </is>
      </c>
      <c r="B31" s="18" t="n">
        <v>-440</v>
      </c>
      <c r="C31" s="18" t="n">
        <v>-565</v>
      </c>
      <c r="D31" s="18" t="n">
        <v>-636</v>
      </c>
      <c r="E31" s="18" t="n">
        <v>-480</v>
      </c>
      <c r="F31" s="18" t="n">
        <v>-452</v>
      </c>
      <c r="G31" s="18" t="n">
        <v>-627</v>
      </c>
      <c r="H31" s="18" t="n">
        <v>-1023</v>
      </c>
      <c r="I31" s="18" t="n">
        <v>-858</v>
      </c>
      <c r="J31" s="18" t="n">
        <v>-597</v>
      </c>
      <c r="K31" s="18" t="n">
        <v>-539</v>
      </c>
      <c r="L31" s="18" t="n">
        <v>-977</v>
      </c>
      <c r="M31" s="18" t="n">
        <v>-859</v>
      </c>
      <c r="N31" s="18" t="n">
        <v>-583</v>
      </c>
      <c r="O31" s="18" t="n">
        <v>-472</v>
      </c>
      <c r="P31" s="18" t="n">
        <v>-647</v>
      </c>
      <c r="Q31" s="18" t="n">
        <v>-470</v>
      </c>
      <c r="R31" s="18" t="n">
        <v>-898</v>
      </c>
      <c r="S31" s="18" t="n">
        <v>-116</v>
      </c>
      <c r="T31" s="18" t="n">
        <v>-406</v>
      </c>
      <c r="U31" s="18" t="n">
        <v>-1156</v>
      </c>
      <c r="V31" s="18" t="n">
        <v>-728</v>
      </c>
      <c r="W31" s="18" t="n">
        <v>-799</v>
      </c>
      <c r="X31" s="18" t="n">
        <v>-1131</v>
      </c>
      <c r="Y31" s="18" t="n">
        <v>-1494</v>
      </c>
      <c r="Z31" s="18" t="n">
        <v>-558</v>
      </c>
      <c r="AA31" s="18" t="n">
        <v>-831</v>
      </c>
      <c r="AB31" s="18" t="n">
        <v>-610.900852</v>
      </c>
      <c r="AC31" s="18" t="n">
        <v>-807</v>
      </c>
    </row>
    <row r="32">
      <c r="A32" s="4" t="inlineStr">
        <is>
          <t>Free Cash Flow</t>
        </is>
      </c>
      <c r="B32" s="18" t="n">
        <v>2671</v>
      </c>
      <c r="C32" s="18" t="n">
        <v>3997</v>
      </c>
      <c r="D32" s="18" t="n">
        <v>2904</v>
      </c>
      <c r="E32" s="18" t="n">
        <v>2048</v>
      </c>
      <c r="F32" s="18" t="n">
        <v>3509</v>
      </c>
      <c r="G32" s="18" t="n">
        <v>2529</v>
      </c>
      <c r="H32" s="18" t="n">
        <v>2982</v>
      </c>
      <c r="I32" s="18" t="n">
        <v>1272</v>
      </c>
      <c r="J32" s="18" t="n">
        <v>3535</v>
      </c>
      <c r="K32" s="18" t="n">
        <v>4386</v>
      </c>
      <c r="L32" s="18" t="n">
        <v>2907</v>
      </c>
      <c r="M32" s="18" t="n">
        <v>790</v>
      </c>
      <c r="N32" s="18" t="n">
        <v>3172</v>
      </c>
      <c r="O32" s="18" t="n">
        <v>4249</v>
      </c>
      <c r="P32" s="18" t="n">
        <v>3464</v>
      </c>
      <c r="Q32" s="18" t="n">
        <v>2487</v>
      </c>
      <c r="R32" s="18" t="n">
        <v>2678</v>
      </c>
      <c r="S32" s="18" t="n">
        <v>5262</v>
      </c>
      <c r="T32" s="18" t="n">
        <v>2141</v>
      </c>
      <c r="U32" s="18" t="n">
        <v>1109</v>
      </c>
      <c r="V32" s="18" t="n">
        <v>4147</v>
      </c>
      <c r="W32" s="18" t="n">
        <v>5487</v>
      </c>
      <c r="X32" s="18" t="n">
        <v>3062</v>
      </c>
      <c r="Y32" s="18" t="n">
        <v>2151</v>
      </c>
      <c r="Z32" s="18" t="n">
        <v>6106</v>
      </c>
      <c r="AA32" s="18" t="n">
        <v>5740</v>
      </c>
      <c r="AB32" s="18" t="n">
        <v>1642.8016</v>
      </c>
      <c r="AC32" s="18" t="n">
        <v>2869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56841.117896</v>
      </c>
      <c r="C4" s="18" t="n">
        <v>60265.722794</v>
      </c>
      <c r="D4" s="18" t="n">
        <v>64121.421287</v>
      </c>
      <c r="E4" s="18" t="n">
        <v>66811.891376</v>
      </c>
      <c r="F4" s="18" t="n">
        <v>69808.857143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25600.719316</v>
      </c>
      <c r="C8" s="18" t="n">
        <v>27143.130021</v>
      </c>
      <c r="D8" s="18" t="n">
        <v>28879.701337</v>
      </c>
      <c r="E8" s="18" t="n">
        <v>30091.464443</v>
      </c>
      <c r="F8" s="18" t="n">
        <v>31441.270398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17939.291778</v>
      </c>
      <c r="C12" s="18" t="n">
        <v>19020.111241</v>
      </c>
      <c r="D12" s="18" t="n">
        <v>20236.985624</v>
      </c>
      <c r="E12" s="18" t="n">
        <v>21086.109106</v>
      </c>
      <c r="F12" s="18" t="n">
        <v>22031.963891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15076.702645</v>
      </c>
      <c r="C16" s="18" t="n">
        <v>15985.054761</v>
      </c>
      <c r="D16" s="18" t="n">
        <v>17007.75139</v>
      </c>
      <c r="E16" s="18" t="n">
        <v>17721.379464</v>
      </c>
      <c r="F16" s="18" t="n">
        <v>18516.30334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17091.802558</v>
      </c>
      <c r="C20" s="18" t="n">
        <v>19035.522209</v>
      </c>
      <c r="D20" s="18" t="n">
        <v>21040.06191</v>
      </c>
      <c r="E20" s="18" t="n">
        <v>22746.933311</v>
      </c>
      <c r="F20" s="18" t="n">
        <v>24610.654362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8.742610000000001</v>
      </c>
      <c r="C24" s="47" t="n">
        <v>9.736840000000001</v>
      </c>
      <c r="D24" s="47" t="n">
        <v>10.76218</v>
      </c>
      <c r="E24" s="47" t="n">
        <v>11.63526</v>
      </c>
      <c r="F24" s="47" t="n">
        <v>12.58857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Novartis AG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0.04824305710607656</v>
      </c>
      <c r="C4" s="51" t="n">
        <v>0.05324305710607655</v>
      </c>
      <c r="D4" s="51" t="n">
        <v>0.05824305710607656</v>
      </c>
      <c r="E4" s="51" t="n">
        <v>0.06324305710607656</v>
      </c>
      <c r="F4" s="51" t="n">
        <v>0.06824305710607656</v>
      </c>
      <c r="G4" s="51" t="n">
        <v>0.07324305710607655</v>
      </c>
      <c r="H4" s="51" t="n">
        <v>0.07824305710607656</v>
      </c>
    </row>
    <row r="5">
      <c r="A5" s="52" t="n">
        <v>9</v>
      </c>
      <c r="B5" s="8" t="n">
        <v>227.4984462063315</v>
      </c>
      <c r="C5" s="8" t="n">
        <v>218.2286611213689</v>
      </c>
      <c r="D5" s="8" t="n">
        <v>209.3950429219411</v>
      </c>
      <c r="E5" s="8" t="n">
        <v>200.9744841542988</v>
      </c>
      <c r="F5" s="8" t="n">
        <v>192.9452184900781</v>
      </c>
      <c r="G5" s="8" t="n">
        <v>185.2867365901008</v>
      </c>
      <c r="H5" s="8" t="n">
        <v>177.9797076253957</v>
      </c>
    </row>
    <row r="6">
      <c r="A6" s="52" t="n">
        <v>10</v>
      </c>
      <c r="B6" s="8" t="n">
        <v>243.4808609338565</v>
      </c>
      <c r="C6" s="8" t="n">
        <v>233.4683567132307</v>
      </c>
      <c r="D6" s="8" t="n">
        <v>223.9298095627616</v>
      </c>
      <c r="E6" s="8" t="n">
        <v>214.8400241230884</v>
      </c>
      <c r="F6" s="8" t="n">
        <v>206.1752705552584</v>
      </c>
      <c r="G6" s="8" t="n">
        <v>197.9131924596498</v>
      </c>
      <c r="H6" s="8" t="n">
        <v>190.0327209933063</v>
      </c>
    </row>
    <row r="7">
      <c r="A7" s="52" t="n">
        <v>11</v>
      </c>
      <c r="B7" s="8" t="n">
        <v>259.4632756613815</v>
      </c>
      <c r="C7" s="8" t="n">
        <v>248.7080523050926</v>
      </c>
      <c r="D7" s="8" t="n">
        <v>238.4645762035821</v>
      </c>
      <c r="E7" s="8" t="n">
        <v>228.7055640918781</v>
      </c>
      <c r="F7" s="8" t="n">
        <v>219.4053226204388</v>
      </c>
      <c r="G7" s="8" t="n">
        <v>210.5396483291989</v>
      </c>
      <c r="H7" s="8" t="n">
        <v>202.0857343612168</v>
      </c>
    </row>
    <row r="8">
      <c r="A8" s="52" t="n">
        <v>12</v>
      </c>
      <c r="B8" s="8" t="n">
        <v>275.4456903889064</v>
      </c>
      <c r="C8" s="8" t="n">
        <v>263.9477478969545</v>
      </c>
      <c r="D8" s="8" t="n">
        <v>252.9993428444027</v>
      </c>
      <c r="E8" s="53" t="n">
        <v>242.5711040606677</v>
      </c>
      <c r="F8" s="8" t="n">
        <v>232.6353746856192</v>
      </c>
      <c r="G8" s="8" t="n">
        <v>223.166104198748</v>
      </c>
      <c r="H8" s="8" t="n">
        <v>214.1387477291273</v>
      </c>
    </row>
    <row r="9">
      <c r="A9" s="52" t="n">
        <v>13</v>
      </c>
      <c r="B9" s="8" t="n">
        <v>291.4281051164314</v>
      </c>
      <c r="C9" s="8" t="n">
        <v>279.1874434888163</v>
      </c>
      <c r="D9" s="8" t="n">
        <v>267.5341094852233</v>
      </c>
      <c r="E9" s="8" t="n">
        <v>256.4366440294573</v>
      </c>
      <c r="F9" s="8" t="n">
        <v>245.8654267507997</v>
      </c>
      <c r="G9" s="8" t="n">
        <v>235.7925600682971</v>
      </c>
      <c r="H9" s="8" t="n">
        <v>226.1917610970378</v>
      </c>
    </row>
    <row r="10">
      <c r="A10" s="52" t="n">
        <v>14</v>
      </c>
      <c r="B10" s="8" t="n">
        <v>307.4105198439563</v>
      </c>
      <c r="C10" s="8" t="n">
        <v>294.4271390806782</v>
      </c>
      <c r="D10" s="8" t="n">
        <v>282.0688761260438</v>
      </c>
      <c r="E10" s="8" t="n">
        <v>270.3021839982469</v>
      </c>
      <c r="F10" s="8" t="n">
        <v>259.09547881598</v>
      </c>
      <c r="G10" s="8" t="n">
        <v>248.4190159378463</v>
      </c>
      <c r="H10" s="8" t="n">
        <v>238.2447744649484</v>
      </c>
    </row>
    <row r="11">
      <c r="A11" s="52" t="n">
        <v>15</v>
      </c>
      <c r="B11" s="8" t="n">
        <v>323.3929345714813</v>
      </c>
      <c r="C11" s="8" t="n">
        <v>309.66683467254</v>
      </c>
      <c r="D11" s="8" t="n">
        <v>296.6036427668644</v>
      </c>
      <c r="E11" s="8" t="n">
        <v>284.1677239670366</v>
      </c>
      <c r="F11" s="8" t="n">
        <v>272.3255308811604</v>
      </c>
      <c r="G11" s="8" t="n">
        <v>261.0454718073953</v>
      </c>
      <c r="H11" s="8" t="n">
        <v>250.2977878328589</v>
      </c>
    </row>
    <row r="13">
      <c r="A13" s="3" t="inlineStr">
        <is>
          <t>Current price</t>
        </is>
      </c>
      <c r="B13" s="54" t="n">
        <v>159.8999938964844</v>
      </c>
    </row>
    <row r="14">
      <c r="A14" s="3" t="inlineStr">
        <is>
          <t>Base WACC / multiple</t>
        </is>
      </c>
      <c r="B14" s="55" t="n">
        <v>0.06324305710607656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0.09476363626584457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0.7135081432805833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1.024346564281452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2026-07-06T20:35:26Z</dcterms:created>
  <dcterms:modified xmlns:dcterms="http://purl.org/dc/terms/" xmlns:xsi="http://www.w3.org/2001/XMLSchema-instance" xsi:type="dcterms:W3CDTF">2026-07-06T20:35:26Z</dcterms:modified>
</cp:coreProperties>
</file>