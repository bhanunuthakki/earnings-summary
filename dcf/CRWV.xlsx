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Opus: 100.0%</t>
      </text>
    </comment>
    <comment ref="C20" authorId="0" shapeId="0">
      <text>
        <t>Opus: 4.0%</t>
      </text>
    </comment>
    <comment ref="B29" authorId="0" shapeId="0">
      <text>
        <t>Opus: 10.0%</t>
      </text>
    </comment>
    <comment ref="B30" authorId="0" shapeId="0">
      <text>
        <t>Opus: 25.0%</t>
      </text>
    </comment>
    <comment ref="B31" authorId="0" shapeId="0">
      <text>
        <t>Opus: 25.0%</t>
      </text>
    </comment>
    <comment ref="B34" authorId="0" shapeId="0">
      <text>
        <t>Opus: —
set from Opus 120% of FY1E revenue; edits not tracked (unit differs from the JSON)</t>
      </text>
    </comment>
    <comment ref="B35" authorId="0" shapeId="0">
      <text>
        <t>Opus: 1.1x</t>
      </text>
    </comment>
    <comment ref="B38" authorId="0" shapeId="0">
      <text>
        <t>Opus: 4.3%</t>
      </text>
    </comment>
    <comment ref="B39" authorId="0" shapeId="0">
      <text>
        <t>Opus: 4.5%</t>
      </text>
    </comment>
    <comment ref="B40" authorId="0" shapeId="0">
      <text>
        <t>Opus: 7.102</t>
      </text>
    </comment>
    <comment ref="B41" authorId="0" shapeId="0">
      <text>
        <t>Opus: 4.5%</t>
      </text>
    </comment>
    <comment ref="B43" authorId="0" shapeId="0">
      <text>
        <t>Opus: Exit multiple</t>
      </text>
    </comment>
    <comment ref="B44" authorId="0" shapeId="0">
      <text>
        <t>Opus: EV/EBITDA</t>
      </text>
    </comment>
    <comment ref="B45" authorId="0" shapeId="0">
      <text>
        <t>Opus: 13.0x</t>
      </text>
    </comment>
    <comment ref="B46" authorId="0" shapeId="0">
      <text>
        <t>Opus: 4.0%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CoreWeave, Inc. Class A Common Stock (CRWV)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values as of 2026-06-11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CoreWeave is a debt-funded AI 'neocloud' converting a large contracted RPO backlog into hyper-growth revenue, with consensus implying ~2.5x revenue between FY2025 and FY2026 and a path to ~$73B by 2030. The thesis hinges on take-or-pay contracts ramping faster than the data-center buildout compounds depreciation and interest; as growth fades and the GPU fleet matures, operating leverage lifts margins while capex converges toward maintenance D&amp;A. We value it as an operating infrastructure company on an FCFF DCF with growth fading from ~90% near term to a 4% terminal rate and operating margin normalizing from low single/double digits to ~25%.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CoreWeave, Inc. Class A Common Stock (CRWV)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IF(Model!C34&lt;=0,"n/a (neg. capital)",Model!D36-WACC!B15)</f>
        <v/>
      </c>
      <c r="C15" s="10">
        <f>IF(Model!C34&lt;=0,"n/a",IF(Model!D36-WACC!B15&lt;0,"!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1</v>
      </c>
      <c r="C20" s="15" t="n">
        <v>0.04</v>
      </c>
      <c r="D20" s="16" t="n">
        <v>1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0.1</v>
      </c>
      <c r="D29" s="16" t="n">
        <v>0.1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0.25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0.25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15194.842332</v>
      </c>
      <c r="D34" s="18" t="n">
        <v>15194.842332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7.102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13</v>
      </c>
    </row>
    <row r="46">
      <c r="A46" s="4" t="inlineStr">
        <is>
          <t>Terminal growth (g)</t>
        </is>
      </c>
      <c r="B46" s="15" t="n">
        <v>0.04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88.88999938964844</v>
      </c>
    </row>
    <row r="49">
      <c r="A49" s="4" t="inlineStr">
        <is>
          <t>Growth fade curvature</t>
        </is>
      </c>
      <c r="B49" s="20" t="n">
        <v>1.25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85.90384929075975</v>
      </c>
      <c r="C58" s="28" t="n">
        <v>163.7560664711772</v>
      </c>
      <c r="D58" s="28" t="n">
        <v>24.14853072729453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0.45</v>
      </c>
      <c r="C62" s="30" t="n">
        <v>0.15</v>
      </c>
      <c r="D62" s="30" t="n">
        <v>0.4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0.1228627947768466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0.07371767686610796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CRWV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2026-06-11 from the synced assumptions block (pass predates provenance tracking — may already include your edits)</t>
        </is>
      </c>
    </row>
    <row r="6">
      <c r="A6" s="5" t="inlineStr">
        <is>
          <t xml:space="preserve">  THE STORY (Opus narrative)</t>
        </is>
      </c>
      <c r="B6" s="6" t="n"/>
      <c r="C6" s="6" t="n"/>
      <c r="D6" s="6" t="n"/>
      <c r="E6" s="6" t="n"/>
      <c r="F6" s="6" t="n"/>
    </row>
    <row r="7">
      <c r="A7" s="31" t="inlineStr">
        <is>
          <t>CoreWeave is a debt-funded AI 'neocloud' converting a large contracted RPO backlog into hyper-growth revenue, with consensus implying ~2.5x revenue between FY2025 and FY2026 and a path to ~$73B by 2030. The thesis hinges on take-or-pay contracts ramping faster than the data-center buildout compounds depreciation and interest; as growth fades and the GPU fleet matures, operating leverage lifts margins while capex converges toward maintenance D&amp;A. We value it as an operating infrastructure company on an FCFF DCF with growth fading from ~90% near term to a 4% terminal rate and operating margin normalizing from low single/double digits to ~25%.</t>
        </is>
      </c>
    </row>
    <row r="8"/>
    <row r="9"/>
    <row r="10"/>
    <row r="12">
      <c r="A12" s="5" t="inlineStr">
        <is>
          <t xml:space="preserve">  KEY JUDGMENTS (Opus reasoning)</t>
        </is>
      </c>
      <c r="B12" s="6" t="n"/>
      <c r="C12" s="6" t="n"/>
      <c r="D12" s="6" t="n"/>
      <c r="E12" s="6" t="n"/>
      <c r="F12" s="6" t="n"/>
    </row>
    <row r="13">
      <c r="A13" s="31" t="inlineStr">
        <is>
          <t>Near-term growth and margins are anchored to FMP consensus, which shows revenue scaling rapidly while operating margin sits near breakeven (FY2025 -0.9%) under the weight of depreciation, then recovering as the fleet seasons. Terminal margin of 25% reflects a mature, utilization-driven compute landlord rather than a software business, and capex/D&amp;A fading to ~1.1x signals the shift from land-grab buildout to maintenance; a 12x EV/EBITDA exit is the basis the market actually applies to capital-intensive AI infrastructure, conservatively below current hyper-growth pricing.</t>
        </is>
      </c>
    </row>
    <row r="14"/>
    <row r="15"/>
    <row r="16"/>
    <row r="18">
      <c r="A18" s="5" t="inlineStr">
        <is>
          <t xml:space="preserve">  DASHBOARD INPUTS — value · source · reasoning</t>
        </is>
      </c>
      <c r="B18" s="6" t="n"/>
      <c r="C18" s="6" t="n"/>
      <c r="D18" s="6" t="n"/>
      <c r="E18" s="6" t="n"/>
      <c r="F18" s="6" t="n"/>
    </row>
    <row r="19">
      <c r="A19" s="3" t="inlineStr">
        <is>
          <t>Input</t>
        </is>
      </c>
      <c r="B19" s="3" t="inlineStr">
        <is>
          <t>Cell</t>
        </is>
      </c>
      <c r="C19" s="3" t="inlineStr">
        <is>
          <t>Current</t>
        </is>
      </c>
      <c r="D19" s="3" t="inlineStr">
        <is>
          <t>Source</t>
        </is>
      </c>
      <c r="E19" s="3" t="inlineStr">
        <is>
          <t>Opus value</t>
        </is>
      </c>
      <c r="F19" s="3" t="inlineStr">
        <is>
          <t>Note</t>
        </is>
      </c>
    </row>
    <row r="20">
      <c r="A20" t="inlineStr">
        <is>
          <t>Total company — near-term growth</t>
        </is>
      </c>
      <c r="B20" t="inlineStr">
        <is>
          <t>B20</t>
        </is>
      </c>
      <c r="C20" s="11">
        <f>Dashboard!B20</f>
        <v/>
      </c>
      <c r="D20" t="inlineStr">
        <is>
          <t>Opus</t>
        </is>
      </c>
      <c r="E20" t="inlineStr">
        <is>
          <t>100.0%</t>
        </is>
      </c>
      <c r="F20" s="31" t="inlineStr"/>
    </row>
    <row r="21">
      <c r="A21" t="inlineStr">
        <is>
          <t>Total company — terminal growth</t>
        </is>
      </c>
      <c r="B21" t="inlineStr">
        <is>
          <t>C20</t>
        </is>
      </c>
      <c r="C21" s="11">
        <f>Dashboard!C20</f>
        <v/>
      </c>
      <c r="D21" t="inlineStr">
        <is>
          <t>Opus</t>
        </is>
      </c>
      <c r="E21" t="inlineStr">
        <is>
          <t>4.0%</t>
        </is>
      </c>
      <c r="F21" s="31" t="inlineStr"/>
    </row>
    <row r="22">
      <c r="A22" t="inlineStr">
        <is>
          <t>Near-term operating margin</t>
        </is>
      </c>
      <c r="B22" t="inlineStr">
        <is>
          <t>B29</t>
        </is>
      </c>
      <c r="C22" s="11">
        <f>Dashboard!B29</f>
        <v/>
      </c>
      <c r="D22" t="inlineStr">
        <is>
          <t>Opus</t>
        </is>
      </c>
      <c r="E22" t="inlineStr">
        <is>
          <t>10.0%</t>
        </is>
      </c>
      <c r="F22" s="31" t="inlineStr"/>
    </row>
    <row r="23">
      <c r="A23" t="inlineStr">
        <is>
          <t>Terminal operating margin</t>
        </is>
      </c>
      <c r="B23" t="inlineStr">
        <is>
          <t>B30</t>
        </is>
      </c>
      <c r="C23" s="11">
        <f>Dashboard!B30</f>
        <v/>
      </c>
      <c r="D23" t="inlineStr">
        <is>
          <t>Opus</t>
        </is>
      </c>
      <c r="E23" t="inlineStr">
        <is>
          <t>25.0%</t>
        </is>
      </c>
      <c r="F23" s="31" t="inlineStr"/>
    </row>
    <row r="24">
      <c r="A24" t="inlineStr">
        <is>
          <t>Tax rate</t>
        </is>
      </c>
      <c r="B24" t="inlineStr">
        <is>
          <t>B31</t>
        </is>
      </c>
      <c r="C24" s="11">
        <f>Dashboard!B31</f>
        <v/>
      </c>
      <c r="D24" t="inlineStr">
        <is>
          <t>Opus</t>
        </is>
      </c>
      <c r="E24" t="inlineStr">
        <is>
          <t>25.0%</t>
        </is>
      </c>
      <c r="F24" s="31" t="inlineStr"/>
    </row>
    <row r="25">
      <c r="A25" t="inlineStr">
        <is>
          <t>Terminal capex / D&amp;A</t>
        </is>
      </c>
      <c r="B25" t="inlineStr">
        <is>
          <t>B35</t>
        </is>
      </c>
      <c r="C25" s="13">
        <f>Dashboard!B35</f>
        <v/>
      </c>
      <c r="D25" t="inlineStr">
        <is>
          <t>Opus</t>
        </is>
      </c>
      <c r="E25" t="inlineStr">
        <is>
          <t>1.1x</t>
        </is>
      </c>
      <c r="F25" s="31" t="inlineStr"/>
    </row>
    <row r="26">
      <c r="A26" t="inlineStr">
        <is>
          <t>Risk-free rate (10Y)</t>
        </is>
      </c>
      <c r="B26" t="inlineStr">
        <is>
          <t>B38</t>
        </is>
      </c>
      <c r="C26" s="11">
        <f>Dashboard!B38</f>
        <v/>
      </c>
      <c r="D26" t="inlineStr">
        <is>
          <t>Opus</t>
        </is>
      </c>
      <c r="E26" t="inlineStr">
        <is>
          <t>4.3%</t>
        </is>
      </c>
      <c r="F26" s="31" t="inlineStr"/>
    </row>
    <row r="27">
      <c r="A27" t="inlineStr">
        <is>
          <t>Equity risk premium</t>
        </is>
      </c>
      <c r="B27" t="inlineStr">
        <is>
          <t>B39</t>
        </is>
      </c>
      <c r="C27" s="11">
        <f>Dashboard!B39</f>
        <v/>
      </c>
      <c r="D27" t="inlineStr">
        <is>
          <t>Opus</t>
        </is>
      </c>
      <c r="E27" t="inlineStr">
        <is>
          <t>4.5%</t>
        </is>
      </c>
      <c r="F27" s="31" t="inlineStr"/>
    </row>
    <row r="28">
      <c r="A28" t="inlineStr">
        <is>
          <t>Beta (levered)</t>
        </is>
      </c>
      <c r="B28" t="inlineStr">
        <is>
          <t>B40</t>
        </is>
      </c>
      <c r="C28" s="32">
        <f>Dashboard!B40</f>
        <v/>
      </c>
      <c r="D28" t="inlineStr">
        <is>
          <t>Opus</t>
        </is>
      </c>
      <c r="E28" t="inlineStr">
        <is>
          <t>7.102</t>
        </is>
      </c>
      <c r="F28" s="31" t="inlineStr"/>
    </row>
    <row r="29">
      <c r="A29" t="inlineStr">
        <is>
          <t>Pre-tax cost of debt</t>
        </is>
      </c>
      <c r="B29" t="inlineStr">
        <is>
          <t>B41</t>
        </is>
      </c>
      <c r="C29" s="11">
        <f>Dashboard!B41</f>
        <v/>
      </c>
      <c r="D29" t="inlineStr">
        <is>
          <t>Opus</t>
        </is>
      </c>
      <c r="E29" t="inlineStr">
        <is>
          <t>4.5%</t>
        </is>
      </c>
      <c r="F29" s="31" t="inlineStr"/>
    </row>
    <row r="30">
      <c r="A30" t="inlineStr">
        <is>
          <t>Terminal method</t>
        </is>
      </c>
      <c r="B30" t="inlineStr">
        <is>
          <t>B43</t>
        </is>
      </c>
      <c r="C30" s="12">
        <f>Dashboard!B43</f>
        <v/>
      </c>
      <c r="D30" t="inlineStr">
        <is>
          <t>Opus</t>
        </is>
      </c>
      <c r="E30" t="inlineStr">
        <is>
          <t>Exit multiple</t>
        </is>
      </c>
      <c r="F30" s="31" t="inlineStr"/>
    </row>
    <row r="31">
      <c r="A31" t="inlineStr">
        <is>
          <t>Exit basis</t>
        </is>
      </c>
      <c r="B31" t="inlineStr">
        <is>
          <t>B44</t>
        </is>
      </c>
      <c r="C31" s="12">
        <f>Dashboard!B44</f>
        <v/>
      </c>
      <c r="D31" t="inlineStr">
        <is>
          <t>Opus</t>
        </is>
      </c>
      <c r="E31" t="inlineStr">
        <is>
          <t>EV/EBITDA</t>
        </is>
      </c>
      <c r="F31" s="31" t="inlineStr"/>
    </row>
    <row r="32">
      <c r="A32" t="inlineStr">
        <is>
          <t>Exit multiple</t>
        </is>
      </c>
      <c r="B32" t="inlineStr">
        <is>
          <t>B45</t>
        </is>
      </c>
      <c r="C32" s="13">
        <f>Dashboard!B45</f>
        <v/>
      </c>
      <c r="D32" t="inlineStr">
        <is>
          <t>Opus</t>
        </is>
      </c>
      <c r="E32" t="inlineStr">
        <is>
          <t>13.0x</t>
        </is>
      </c>
      <c r="F32" s="31" t="inlineStr"/>
    </row>
    <row r="33">
      <c r="A33" t="inlineStr">
        <is>
          <t>Terminal growth (g)</t>
        </is>
      </c>
      <c r="B33" t="inlineStr">
        <is>
          <t>B46</t>
        </is>
      </c>
      <c r="C33" s="11">
        <f>Dashboard!B46</f>
        <v/>
      </c>
      <c r="D33" t="inlineStr">
        <is>
          <t>Opus</t>
        </is>
      </c>
      <c r="E33" t="inlineStr">
        <is>
          <t>4.0%</t>
        </is>
      </c>
      <c r="F33" s="31" t="inlineStr"/>
    </row>
    <row r="34">
      <c r="A34" t="inlineStr">
        <is>
          <t>2026 capex ($M)</t>
        </is>
      </c>
      <c r="B34" t="inlineStr">
        <is>
          <t>B34</t>
        </is>
      </c>
      <c r="C34" s="33">
        <f>Dashboard!B34</f>
        <v/>
      </c>
      <c r="D34" t="inlineStr">
        <is>
          <t>Opus</t>
        </is>
      </c>
      <c r="E34" t="inlineStr">
        <is>
          <t>—</t>
        </is>
      </c>
      <c r="F34" s="31" t="inlineStr">
        <is>
          <t>set from Opus 120% of FY1E revenue; edits not tracked (unit differs from the JSON)</t>
        </is>
      </c>
    </row>
    <row r="35">
      <c r="A35" t="inlineStr">
        <is>
          <t>Bull Δ — segment growth, near-term</t>
        </is>
      </c>
      <c r="B35" t="inlineStr">
        <is>
          <t>C52</t>
        </is>
      </c>
      <c r="C35" s="34">
        <f>Dashboard!C52</f>
        <v/>
      </c>
      <c r="D35" t="inlineStr">
        <is>
          <t>seed default</t>
        </is>
      </c>
      <c r="E35" t="inlineStr">
        <is>
          <t>3.0%</t>
        </is>
      </c>
      <c r="F35" s="31" t="inlineStr"/>
    </row>
    <row r="36">
      <c r="A36" t="inlineStr">
        <is>
          <t>Bear Δ — segment growth, near-term</t>
        </is>
      </c>
      <c r="B36" t="inlineStr">
        <is>
          <t>D52</t>
        </is>
      </c>
      <c r="C36" s="34">
        <f>Dashboard!D52</f>
        <v/>
      </c>
      <c r="D36" t="inlineStr">
        <is>
          <t>seed default</t>
        </is>
      </c>
      <c r="E36" t="inlineStr">
        <is>
          <t>-3.0%</t>
        </is>
      </c>
      <c r="F36" s="31" t="inlineStr"/>
    </row>
    <row r="37">
      <c r="A37" t="inlineStr">
        <is>
          <t>Bull Δ — segment growth, terminal</t>
        </is>
      </c>
      <c r="B37" t="inlineStr">
        <is>
          <t>C53</t>
        </is>
      </c>
      <c r="C37" s="34">
        <f>Dashboard!C53</f>
        <v/>
      </c>
      <c r="D37" t="inlineStr">
        <is>
          <t>seed default</t>
        </is>
      </c>
      <c r="E37" t="inlineStr">
        <is>
          <t>1.0%</t>
        </is>
      </c>
      <c r="F37" s="31" t="inlineStr"/>
    </row>
    <row r="38">
      <c r="A38" t="inlineStr">
        <is>
          <t>Bear Δ — segment growth, terminal</t>
        </is>
      </c>
      <c r="B38" t="inlineStr">
        <is>
          <t>D53</t>
        </is>
      </c>
      <c r="C38" s="34">
        <f>Dashboard!D53</f>
        <v/>
      </c>
      <c r="D38" t="inlineStr">
        <is>
          <t>seed default</t>
        </is>
      </c>
      <c r="E38" t="inlineStr">
        <is>
          <t>-1.0%</t>
        </is>
      </c>
      <c r="F38" s="31" t="inlineStr"/>
    </row>
    <row r="39">
      <c r="A39" t="inlineStr">
        <is>
          <t>Bull Δ — operating margin, near-term</t>
        </is>
      </c>
      <c r="B39" t="inlineStr">
        <is>
          <t>C54</t>
        </is>
      </c>
      <c r="C39" s="34">
        <f>Dashboard!C54</f>
        <v/>
      </c>
      <c r="D39" t="inlineStr">
        <is>
          <t>seed default</t>
        </is>
      </c>
      <c r="E39" t="inlineStr">
        <is>
          <t>1.0%</t>
        </is>
      </c>
      <c r="F39" s="31" t="inlineStr"/>
    </row>
    <row r="40">
      <c r="A40" t="inlineStr">
        <is>
          <t>Bear Δ — operating margin, near-term</t>
        </is>
      </c>
      <c r="B40" t="inlineStr">
        <is>
          <t>D54</t>
        </is>
      </c>
      <c r="C40" s="34">
        <f>Dashboard!D54</f>
        <v/>
      </c>
      <c r="D40" t="inlineStr">
        <is>
          <t>seed default</t>
        </is>
      </c>
      <c r="E40" t="inlineStr">
        <is>
          <t>-1.0%</t>
        </is>
      </c>
      <c r="F40" s="31" t="inlineStr"/>
    </row>
    <row r="41">
      <c r="A41" t="inlineStr">
        <is>
          <t>Bull Δ — operating margin, terminal</t>
        </is>
      </c>
      <c r="B41" t="inlineStr">
        <is>
          <t>C55</t>
        </is>
      </c>
      <c r="C41" s="34">
        <f>Dashboard!C55</f>
        <v/>
      </c>
      <c r="D41" t="inlineStr">
        <is>
          <t>seed default</t>
        </is>
      </c>
      <c r="E41" t="inlineStr">
        <is>
          <t>2.0%</t>
        </is>
      </c>
      <c r="F41" s="31" t="inlineStr"/>
    </row>
    <row r="42">
      <c r="A42" t="inlineStr">
        <is>
          <t>Bear Δ — operating margin, terminal</t>
        </is>
      </c>
      <c r="B42" t="inlineStr">
        <is>
          <t>D55</t>
        </is>
      </c>
      <c r="C42" s="34">
        <f>Dashboard!D55</f>
        <v/>
      </c>
      <c r="D42" t="inlineStr">
        <is>
          <t>seed default</t>
        </is>
      </c>
      <c r="E42" t="inlineStr">
        <is>
          <t>-2.0%</t>
        </is>
      </c>
      <c r="F42" s="31" t="inlineStr"/>
    </row>
    <row r="43">
      <c r="A43" t="inlineStr">
        <is>
          <t>Bull Δ — exit multiple</t>
        </is>
      </c>
      <c r="B43" t="inlineStr">
        <is>
          <t>C56</t>
        </is>
      </c>
      <c r="C43" s="35">
        <f>Dashboard!C56</f>
        <v/>
      </c>
      <c r="D43" t="inlineStr">
        <is>
          <t>seed default</t>
        </is>
      </c>
      <c r="E43" t="inlineStr">
        <is>
          <t>2.0x</t>
        </is>
      </c>
      <c r="F43" s="31" t="inlineStr"/>
    </row>
    <row r="44">
      <c r="A44" t="inlineStr">
        <is>
          <t>Bear Δ — exit multiple</t>
        </is>
      </c>
      <c r="B44" t="inlineStr">
        <is>
          <t>D56</t>
        </is>
      </c>
      <c r="C44" s="35">
        <f>Dashboard!D56</f>
        <v/>
      </c>
      <c r="D44" t="inlineStr">
        <is>
          <t>seed default</t>
        </is>
      </c>
      <c r="E44" t="inlineStr">
        <is>
          <t>-2.0x</t>
        </is>
      </c>
      <c r="F44" s="31" t="inlineStr"/>
    </row>
    <row r="45">
      <c r="A45" t="inlineStr">
        <is>
          <t>Bull Δ — terminal growth (g)</t>
        </is>
      </c>
      <c r="B45" t="inlineStr">
        <is>
          <t>C57</t>
        </is>
      </c>
      <c r="C45" s="34">
        <f>Dashboard!C57</f>
        <v/>
      </c>
      <c r="D45" t="inlineStr">
        <is>
          <t>seed default</t>
        </is>
      </c>
      <c r="E45" t="inlineStr">
        <is>
          <t>0.5%</t>
        </is>
      </c>
      <c r="F45" s="31" t="inlineStr"/>
    </row>
    <row r="46">
      <c r="A46" t="inlineStr">
        <is>
          <t>Bear Δ — terminal growth (g)</t>
        </is>
      </c>
      <c r="B46" t="inlineStr">
        <is>
          <t>D57</t>
        </is>
      </c>
      <c r="C46" s="34">
        <f>Dashboard!D57</f>
        <v/>
      </c>
      <c r="D46" t="inlineStr">
        <is>
          <t>seed default</t>
        </is>
      </c>
      <c r="E46" t="inlineStr">
        <is>
          <t>-0.5%</t>
        </is>
      </c>
      <c r="F46" s="31" t="inlineStr"/>
    </row>
  </sheetData>
  <mergeCells count="2">
    <mergeCell ref="A13:F16"/>
    <mergeCell ref="A7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Dashboard!$B$48*Financials!K17</f>
        <v/>
      </c>
    </row>
    <row r="11">
      <c r="A11" s="4" t="inlineStr">
        <is>
          <t>Total debt (D)</t>
        </is>
      </c>
      <c r="B11" s="33">
        <f>Financials!K31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3" t="inlineStr">
        <is>
          <t>$M unless noted</t>
        </is>
      </c>
      <c r="B1" s="39" t="inlineStr">
        <is>
          <t>FY2024A</t>
        </is>
      </c>
      <c r="C1" s="39" t="inlineStr">
        <is>
          <t>FY2025A</t>
        </is>
      </c>
      <c r="D1" s="40" t="inlineStr">
        <is>
          <t>FY2026E</t>
        </is>
      </c>
      <c r="E1" s="40" t="inlineStr">
        <is>
          <t>FY2027E</t>
        </is>
      </c>
      <c r="F1" s="40" t="inlineStr">
        <is>
          <t>FY2028E</t>
        </is>
      </c>
      <c r="G1" s="40" t="inlineStr">
        <is>
          <t>FY2029E</t>
        </is>
      </c>
      <c r="H1" s="40" t="inlineStr">
        <is>
          <t>FY2030E</t>
        </is>
      </c>
      <c r="I1" s="40" t="inlineStr">
        <is>
          <t>FY2031E</t>
        </is>
      </c>
      <c r="J1" s="40" t="inlineStr">
        <is>
          <t>FY2032E</t>
        </is>
      </c>
      <c r="K1" s="40" t="inlineStr">
        <is>
          <t>FY2033E</t>
        </is>
      </c>
      <c r="L1" s="40" t="inlineStr">
        <is>
          <t>FY2034E</t>
        </is>
      </c>
      <c r="M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>
      <c r="A4" s="4" t="inlineStr">
        <is>
          <t>Total company</t>
        </is>
      </c>
      <c r="B4" s="33">
        <f>SUM(Financials!C3:F3)</f>
        <v/>
      </c>
      <c r="C4" s="33">
        <f>SUM(Financials!G3:J3)</f>
        <v/>
      </c>
      <c r="D4" s="41">
        <f>C4*(1+D5)</f>
        <v/>
      </c>
      <c r="E4" s="41">
        <f>D4*(1+E5)</f>
        <v/>
      </c>
      <c r="F4" s="41">
        <f>E4*(1+F5)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11">
        <f>Dashboard!$C$20+(Dashboard!$B$20-Dashboard!$C$20)*((9-0)/9)^Dashboard!$B$49</f>
        <v/>
      </c>
      <c r="E5" s="11">
        <f>Dashboard!$C$20+(Dashboard!$B$20-Dashboard!$C$20)*((9-1)/9)^Dashboard!$B$49</f>
        <v/>
      </c>
      <c r="F5" s="11">
        <f>Dashboard!$C$20+(Dashboard!$B$20-Dashboard!$C$20)*((9-2)/9)^Dashboard!$B$49</f>
        <v/>
      </c>
      <c r="G5" s="11">
        <f>Dashboard!$C$20+(Dashboard!$B$20-Dashboard!$C$20)*((9-3)/9)^Dashboard!$B$49</f>
        <v/>
      </c>
      <c r="H5" s="11">
        <f>Dashboard!$C$20+(Dashboard!$B$20-Dashboard!$C$20)*((9-4)/9)^Dashboard!$B$49</f>
        <v/>
      </c>
      <c r="I5" s="11">
        <f>Dashboard!$C$20+(Dashboard!$B$20-Dashboard!$C$20)*((9-5)/9)^Dashboard!$B$49</f>
        <v/>
      </c>
      <c r="J5" s="11">
        <f>Dashboard!$C$20+(Dashboard!$B$20-Dashboard!$C$20)*((9-6)/9)^Dashboard!$B$49</f>
        <v/>
      </c>
      <c r="K5" s="11">
        <f>Dashboard!$C$20+(Dashboard!$B$20-Dashboard!$C$20)*((9-7)/9)^Dashboard!$B$49</f>
        <v/>
      </c>
      <c r="L5" s="11">
        <f>Dashboard!$C$20+(Dashboard!$B$20-Dashboard!$C$20)*((9-8)/9)^Dashboard!$B$49</f>
        <v/>
      </c>
      <c r="M5" s="11">
        <f>Dashboard!$C$20+(Dashboard!$B$20-Dashboard!$C$20)*((9-9)/9)^Dashboard!$B$49</f>
        <v/>
      </c>
    </row>
    <row r="6">
      <c r="A6" s="3" t="inlineStr">
        <is>
          <t>Total revenue</t>
        </is>
      </c>
      <c r="B6" s="42">
        <f>B4</f>
        <v/>
      </c>
      <c r="C6" s="42">
        <f>C4</f>
        <v/>
      </c>
      <c r="D6" s="42">
        <f>D4</f>
        <v/>
      </c>
      <c r="E6" s="42">
        <f>E4</f>
        <v/>
      </c>
      <c r="F6" s="42">
        <f>F4</f>
        <v/>
      </c>
      <c r="G6" s="42">
        <f>G4</f>
        <v/>
      </c>
      <c r="H6" s="42">
        <f>H4</f>
        <v/>
      </c>
      <c r="I6" s="42">
        <f>I4</f>
        <v/>
      </c>
      <c r="J6" s="42">
        <f>J4</f>
        <v/>
      </c>
      <c r="K6" s="42">
        <f>K4</f>
        <v/>
      </c>
      <c r="L6" s="42">
        <f>L4</f>
        <v/>
      </c>
      <c r="M6" s="42">
        <f>M4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>
      <c r="A10" s="4" t="inlineStr">
        <is>
          <t>Cost of revenue</t>
        </is>
      </c>
      <c r="B10" s="33">
        <f>SUM(Financials!C5:F5)</f>
        <v/>
      </c>
      <c r="C10" s="33">
        <f>SUM(Financials!G5:J5)</f>
        <v/>
      </c>
      <c r="D10" s="41">
        <f>D6*D11</f>
        <v/>
      </c>
      <c r="E10" s="41">
        <f>E6*E11</f>
        <v/>
      </c>
      <c r="F10" s="41">
        <f>F6*F11</f>
        <v/>
      </c>
      <c r="G10" s="41">
        <f>G6*G11</f>
        <v/>
      </c>
      <c r="H10" s="41">
        <f>H6*H11</f>
        <v/>
      </c>
      <c r="I10" s="41">
        <f>I6*I11</f>
        <v/>
      </c>
      <c r="J10" s="41">
        <f>J6*J11</f>
        <v/>
      </c>
      <c r="K10" s="41">
        <f>K6*K11</f>
        <v/>
      </c>
      <c r="L10" s="41">
        <f>L6*L11</f>
        <v/>
      </c>
      <c r="M10" s="41">
        <f>M6*M11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15" t="n">
        <v>0.2831806665367375</v>
      </c>
      <c r="E11" s="15" t="n">
        <v>0.2831806665367375</v>
      </c>
      <c r="F11" s="15" t="n">
        <v>0.2831806665367375</v>
      </c>
      <c r="G11" s="15" t="n">
        <v>0.2831806665367375</v>
      </c>
      <c r="H11" s="15" t="n">
        <v>0.2831806665367375</v>
      </c>
      <c r="I11" s="15" t="n">
        <v>0.2831806665367375</v>
      </c>
      <c r="J11" s="15" t="n">
        <v>0.2831806665367375</v>
      </c>
      <c r="K11" s="15" t="n">
        <v>0.2831806665367375</v>
      </c>
      <c r="L11" s="15" t="n">
        <v>0.2831806665367375</v>
      </c>
      <c r="M11" s="15" t="n">
        <v>0.2831806665367375</v>
      </c>
    </row>
    <row r="12">
      <c r="A12" s="4" t="inlineStr">
        <is>
          <t>R&amp;D / Technology</t>
        </is>
      </c>
      <c r="B12" s="33">
        <f>SUM(Financials!C7:F7)</f>
        <v/>
      </c>
      <c r="C12" s="33">
        <f>SUM(Financials!G7:J7)</f>
        <v/>
      </c>
      <c r="D12" s="41">
        <f>D6*D13</f>
        <v/>
      </c>
      <c r="E12" s="41">
        <f>E6*E13</f>
        <v/>
      </c>
      <c r="F12" s="41">
        <f>F6*F13</f>
        <v/>
      </c>
      <c r="G12" s="41">
        <f>G6*G13</f>
        <v/>
      </c>
      <c r="H12" s="41">
        <f>H6*H13</f>
        <v/>
      </c>
      <c r="I12" s="41">
        <f>I6*I13</f>
        <v/>
      </c>
      <c r="J12" s="41">
        <f>J6*J13</f>
        <v/>
      </c>
      <c r="K12" s="41">
        <f>K6*K13</f>
        <v/>
      </c>
      <c r="L12" s="41">
        <f>L6*L13</f>
        <v/>
      </c>
      <c r="M12" s="41">
        <f>M6*M13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</row>
    <row r="14">
      <c r="A14" s="4" t="inlineStr">
        <is>
          <t>SG&amp;A</t>
        </is>
      </c>
      <c r="B14" s="33">
        <f>SUM(Financials!C9:F9)</f>
        <v/>
      </c>
      <c r="C14" s="33">
        <f>SUM(Financials!G9:J9)</f>
        <v/>
      </c>
      <c r="D14" s="41">
        <f>D6*D15</f>
        <v/>
      </c>
      <c r="E14" s="41">
        <f>E6*E15</f>
        <v/>
      </c>
      <c r="F14" s="41">
        <f>F6*F15</f>
        <v/>
      </c>
      <c r="G14" s="41">
        <f>G6*G15</f>
        <v/>
      </c>
      <c r="H14" s="41">
        <f>H6*H15</f>
        <v/>
      </c>
      <c r="I14" s="41">
        <f>I6*I15</f>
        <v/>
      </c>
      <c r="J14" s="41">
        <f>J6*J15</f>
        <v/>
      </c>
      <c r="K14" s="41">
        <f>K6*K15</f>
        <v/>
      </c>
      <c r="L14" s="41">
        <f>L6*L15</f>
        <v/>
      </c>
      <c r="M14" s="41">
        <f>M6*M15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15" t="n">
        <v>0.1549405573962191</v>
      </c>
      <c r="E15" s="15" t="n">
        <v>0.1549405573962191</v>
      </c>
      <c r="F15" s="15" t="n">
        <v>0.1549405573962191</v>
      </c>
      <c r="G15" s="15" t="n">
        <v>0.1549405573962191</v>
      </c>
      <c r="H15" s="15" t="n">
        <v>0.1549405573962191</v>
      </c>
      <c r="I15" s="15" t="n">
        <v>0.1549405573962191</v>
      </c>
      <c r="J15" s="15" t="n">
        <v>0.1549405573962191</v>
      </c>
      <c r="K15" s="15" t="n">
        <v>0.1549405573962191</v>
      </c>
      <c r="L15" s="15" t="n">
        <v>0.1549405573962191</v>
      </c>
      <c r="M15" s="15" t="n">
        <v>0.1549405573962191</v>
      </c>
    </row>
    <row r="16">
      <c r="A16" s="4" t="inlineStr">
        <is>
          <t>Other opex (fulfilment, etc.)</t>
        </is>
      </c>
      <c r="B16" s="33">
        <f>B6-(B10+B12+B14)-SUM(Financials!C13:F13)</f>
        <v/>
      </c>
      <c r="C16" s="33">
        <f>C6-(C10+C12+C14)-SUM(Financials!G13:J13)</f>
        <v/>
      </c>
      <c r="D16" s="33">
        <f>D6*(1-(Dashboard!$B$29+(Dashboard!$B$30-Dashboard!$B$29)*MIN(1,0/4)))-(D10+D12+D14)</f>
        <v/>
      </c>
      <c r="E16" s="33">
        <f>E6*(1-(Dashboard!$B$29+(Dashboard!$B$30-Dashboard!$B$29)*MIN(1,1/4)))-(E10+E12+E14)</f>
        <v/>
      </c>
      <c r="F16" s="33">
        <f>F6*(1-(Dashboard!$B$29+(Dashboard!$B$30-Dashboard!$B$29)*MIN(1,2/4)))-(F10+F12+F14)</f>
        <v/>
      </c>
      <c r="G16" s="33">
        <f>G6*(1-(Dashboard!$B$29+(Dashboard!$B$30-Dashboard!$B$29)*MIN(1,3/4)))-(G10+G12+G14)</f>
        <v/>
      </c>
      <c r="H16" s="33">
        <f>H6*(1-(Dashboard!$B$29+(Dashboard!$B$30-Dashboard!$B$29)*MIN(1,4/4)))-(H10+H12+H14)</f>
        <v/>
      </c>
      <c r="I16" s="33">
        <f>I6*(1-(Dashboard!$B$29+(Dashboard!$B$30-Dashboard!$B$29)*MIN(1,5/4)))-(I10+I12+I14)</f>
        <v/>
      </c>
      <c r="J16" s="33">
        <f>J6*(1-(Dashboard!$B$29+(Dashboard!$B$30-Dashboard!$B$29)*MIN(1,6/4)))-(J10+J12+J14)</f>
        <v/>
      </c>
      <c r="K16" s="33">
        <f>K6*(1-(Dashboard!$B$29+(Dashboard!$B$30-Dashboard!$B$29)*MIN(1,7/4)))-(K10+K12+K14)</f>
        <v/>
      </c>
      <c r="L16" s="33">
        <f>L6*(1-(Dashboard!$B$29+(Dashboard!$B$30-Dashboard!$B$29)*MIN(1,8/4)))-(L10+L12+L14)</f>
        <v/>
      </c>
      <c r="M16" s="33">
        <f>M6*(1-(Dashboard!$B$29+(Dashboard!$B$30-Dashboard!$B$29)*MIN(1,9/4)))-(M10+M12+M14)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</row>
    <row r="19">
      <c r="A19" s="3" t="inlineStr">
        <is>
          <t>Operating income (EBIT)</t>
        </is>
      </c>
      <c r="B19" s="42">
        <f>B6-(B10+B12+B14)-B16</f>
        <v/>
      </c>
      <c r="C19" s="42">
        <f>C6-(C10+C12+C14)-C16</f>
        <v/>
      </c>
      <c r="D19" s="42">
        <f>D6-(D10+D12+D14)-D16</f>
        <v/>
      </c>
      <c r="E19" s="42">
        <f>E6-(E10+E12+E14)-E16</f>
        <v/>
      </c>
      <c r="F19" s="42">
        <f>F6-(F10+F12+F14)-F16</f>
        <v/>
      </c>
      <c r="G19" s="42">
        <f>G6-(G10+G12+G14)-G16</f>
        <v/>
      </c>
      <c r="H19" s="42">
        <f>H6-(H10+H12+H14)-H16</f>
        <v/>
      </c>
      <c r="I19" s="42">
        <f>I6-(I10+I12+I14)-I16</f>
        <v/>
      </c>
      <c r="J19" s="42">
        <f>J6-(J10+J12+J14)-J16</f>
        <v/>
      </c>
      <c r="K19" s="42">
        <f>K6-(K10+K12+K14)-K16</f>
        <v/>
      </c>
      <c r="L19" s="42">
        <f>L6-(L10+L12+L14)-L16</f>
        <v/>
      </c>
      <c r="M19" s="42">
        <f>M6-(M10+M12+M14)-M16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>
      <c r="A23" s="4" t="inlineStr">
        <is>
          <t>NOPAT = EBIT x (1 - tax)</t>
        </is>
      </c>
      <c r="B23" s="33">
        <f>B19*(1-Valuation!$B$5)</f>
        <v/>
      </c>
      <c r="C23" s="33">
        <f>C19*(1-Valuation!$B$5)</f>
        <v/>
      </c>
      <c r="D23" s="33">
        <f>D19*(1-Valuation!$B$5)</f>
        <v/>
      </c>
      <c r="E23" s="33">
        <f>E19*(1-Valuation!$B$5)</f>
        <v/>
      </c>
      <c r="F23" s="33">
        <f>F19*(1-Valuation!$B$5)</f>
        <v/>
      </c>
      <c r="G23" s="33">
        <f>G19*(1-Valuation!$B$5)</f>
        <v/>
      </c>
      <c r="H23" s="33">
        <f>H19*(1-Valuation!$B$5)</f>
        <v/>
      </c>
      <c r="I23" s="33">
        <f>I19*(1-Valuation!$B$5)</f>
        <v/>
      </c>
      <c r="J23" s="33">
        <f>J19*(1-Valuation!$B$5)</f>
        <v/>
      </c>
      <c r="K23" s="33">
        <f>K19*(1-Valuation!$B$5)</f>
        <v/>
      </c>
      <c r="L23" s="33">
        <f>L19*(1-Valuation!$B$5)</f>
        <v/>
      </c>
      <c r="M23" s="33">
        <f>M19*(1-Valuation!$B$5)</f>
        <v/>
      </c>
    </row>
    <row r="24">
      <c r="A24" s="4" t="inlineStr">
        <is>
          <t>+ D&amp;A</t>
        </is>
      </c>
      <c r="B24" s="33">
        <f>SUM(Financials!C34:F34)</f>
        <v/>
      </c>
      <c r="C24" s="33">
        <f>SUM(Financials!G34:J34)</f>
        <v/>
      </c>
      <c r="D24" s="41">
        <f>D6*0.4784</f>
        <v/>
      </c>
      <c r="E24" s="41">
        <f>E6*0.4784</f>
        <v/>
      </c>
      <c r="F24" s="41">
        <f>F6*0.4784</f>
        <v/>
      </c>
      <c r="G24" s="41">
        <f>G6*0.4784</f>
        <v/>
      </c>
      <c r="H24" s="41">
        <f>H6*0.4784</f>
        <v/>
      </c>
      <c r="I24" s="41">
        <f>I6*0.4784</f>
        <v/>
      </c>
      <c r="J24" s="41">
        <f>J6*0.4784</f>
        <v/>
      </c>
      <c r="K24" s="41">
        <f>K6*0.4784</f>
        <v/>
      </c>
      <c r="L24" s="41">
        <f>L6*0.4784</f>
        <v/>
      </c>
      <c r="M24" s="41">
        <f>M6*0.4784</f>
        <v/>
      </c>
    </row>
    <row r="25">
      <c r="A25" s="4" t="inlineStr">
        <is>
          <t>+ SBC (non-cash)</t>
        </is>
      </c>
      <c r="B25" s="33">
        <f>SUM(Financials!C35:F35)</f>
        <v/>
      </c>
      <c r="C25" s="33">
        <f>SUM(Financials!G35:J35)</f>
        <v/>
      </c>
      <c r="D25" s="33">
        <f>D6*(Dashboard!$B$65+(Dashboard!$B$66-Dashboard!$B$65)*0/9)</f>
        <v/>
      </c>
      <c r="E25" s="33">
        <f>E6*(Dashboard!$B$65+(Dashboard!$B$66-Dashboard!$B$65)*1/9)</f>
        <v/>
      </c>
      <c r="F25" s="33">
        <f>F6*(Dashboard!$B$65+(Dashboard!$B$66-Dashboard!$B$65)*2/9)</f>
        <v/>
      </c>
      <c r="G25" s="33">
        <f>G6*(Dashboard!$B$65+(Dashboard!$B$66-Dashboard!$B$65)*3/9)</f>
        <v/>
      </c>
      <c r="H25" s="33">
        <f>H6*(Dashboard!$B$65+(Dashboard!$B$66-Dashboard!$B$65)*4/9)</f>
        <v/>
      </c>
      <c r="I25" s="33">
        <f>I6*(Dashboard!$B$65+(Dashboard!$B$66-Dashboard!$B$65)*5/9)</f>
        <v/>
      </c>
      <c r="J25" s="33">
        <f>J6*(Dashboard!$B$65+(Dashboard!$B$66-Dashboard!$B$65)*6/9)</f>
        <v/>
      </c>
      <c r="K25" s="33">
        <f>K6*(Dashboard!$B$65+(Dashboard!$B$66-Dashboard!$B$65)*7/9)</f>
        <v/>
      </c>
      <c r="L25" s="33">
        <f>L6*(Dashboard!$B$65+(Dashboard!$B$66-Dashboard!$B$65)*8/9)</f>
        <v/>
      </c>
      <c r="M25" s="33">
        <f>M6*(Dashboard!$B$65+(Dashboard!$B$66-Dashboard!$B$65)*9/9)</f>
        <v/>
      </c>
    </row>
    <row r="26">
      <c r="A26" s="4" t="inlineStr">
        <is>
          <t>- dNWC</t>
        </is>
      </c>
      <c r="D26" s="41">
        <f>(D6-C6)*0.0050</f>
        <v/>
      </c>
      <c r="E26" s="41">
        <f>(E6-D6)*0.0050</f>
        <v/>
      </c>
      <c r="F26" s="41">
        <f>(F6-E6)*0.0050</f>
        <v/>
      </c>
      <c r="G26" s="41">
        <f>(G6-F6)*0.0050</f>
        <v/>
      </c>
      <c r="H26" s="41">
        <f>(H6-G6)*0.0050</f>
        <v/>
      </c>
      <c r="I26" s="41">
        <f>(I6-H6)*0.0050</f>
        <v/>
      </c>
      <c r="J26" s="41">
        <f>(J6-I6)*0.0050</f>
        <v/>
      </c>
      <c r="K26" s="41">
        <f>(K6-J6)*0.0050</f>
        <v/>
      </c>
      <c r="L26" s="41">
        <f>(L6-K6)*0.0050</f>
        <v/>
      </c>
      <c r="M26" s="41">
        <f>(M6-L6)*0.0050</f>
        <v/>
      </c>
    </row>
    <row r="27">
      <c r="A27" s="4" t="inlineStr">
        <is>
          <t>- Capex</t>
        </is>
      </c>
      <c r="B27" s="33">
        <f>-SUM(Financials!C38:F38)</f>
        <v/>
      </c>
      <c r="C27" s="33">
        <f>-SUM(Financials!G38:J38)</f>
        <v/>
      </c>
      <c r="D27" s="41">
        <f>D24*D28</f>
        <v/>
      </c>
      <c r="E27" s="41">
        <f>E24*E28</f>
        <v/>
      </c>
      <c r="F27" s="41">
        <f>F24*F28</f>
        <v/>
      </c>
      <c r="G27" s="41">
        <f>G24*G28</f>
        <v/>
      </c>
      <c r="H27" s="41">
        <f>H24*H28</f>
        <v/>
      </c>
      <c r="I27" s="41">
        <f>I24*I28</f>
        <v/>
      </c>
      <c r="J27" s="41">
        <f>J24*J28</f>
        <v/>
      </c>
      <c r="K27" s="41">
        <f>K24*K28</f>
        <v/>
      </c>
      <c r="L27" s="41">
        <f>L24*L28</f>
        <v/>
      </c>
      <c r="M27" s="41">
        <f>M24*M28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13">
        <f>(Dashboard!$B$34/D24)+(Dashboard!$B$35-(Dashboard!$B$34/D24))*0/9</f>
        <v/>
      </c>
      <c r="E28" s="13">
        <f>(Dashboard!$B$34/D24)+(Dashboard!$B$35-(Dashboard!$B$34/D24))*1/9</f>
        <v/>
      </c>
      <c r="F28" s="13">
        <f>(Dashboard!$B$34/D24)+(Dashboard!$B$35-(Dashboard!$B$34/D24))*2/9</f>
        <v/>
      </c>
      <c r="G28" s="13">
        <f>(Dashboard!$B$34/D24)+(Dashboard!$B$35-(Dashboard!$B$34/D24))*3/9</f>
        <v/>
      </c>
      <c r="H28" s="13">
        <f>(Dashboard!$B$34/D24)+(Dashboard!$B$35-(Dashboard!$B$34/D24))*4/9</f>
        <v/>
      </c>
      <c r="I28" s="13">
        <f>(Dashboard!$B$34/D24)+(Dashboard!$B$35-(Dashboard!$B$34/D24))*5/9</f>
        <v/>
      </c>
      <c r="J28" s="13">
        <f>(Dashboard!$B$34/D24)+(Dashboard!$B$35-(Dashboard!$B$34/D24))*6/9</f>
        <v/>
      </c>
      <c r="K28" s="13">
        <f>(Dashboard!$B$34/D24)+(Dashboard!$B$35-(Dashboard!$B$34/D24))*7/9</f>
        <v/>
      </c>
      <c r="L28" s="13">
        <f>(Dashboard!$B$34/D24)+(Dashboard!$B$35-(Dashboard!$B$34/D24))*8/9</f>
        <v/>
      </c>
      <c r="M28" s="13">
        <f>(Dashboard!$B$34/D24)+(Dashboard!$B$35-(Dashboard!$B$34/D24))*9/9</f>
        <v/>
      </c>
    </row>
    <row r="30">
      <c r="A30" s="3" t="inlineStr">
        <is>
          <t>FCFF (firm)</t>
        </is>
      </c>
      <c r="B30" s="42">
        <f>B23+B24+B25-B26-B27</f>
        <v/>
      </c>
      <c r="C30" s="42">
        <f>C23+C24+C25-C26-C27</f>
        <v/>
      </c>
      <c r="D30" s="42">
        <f>D23+D24+D25-D26-D27</f>
        <v/>
      </c>
      <c r="E30" s="42">
        <f>E23+E24+E25-E26-E27</f>
        <v/>
      </c>
      <c r="F30" s="42">
        <f>F23+F24+F25-F26-F27</f>
        <v/>
      </c>
      <c r="G30" s="42">
        <f>G23+G24+G25-G26-G27</f>
        <v/>
      </c>
      <c r="H30" s="42">
        <f>H23+H24+H25-H26-H27</f>
        <v/>
      </c>
      <c r="I30" s="42">
        <f>I23+I24+I25-I26-I27</f>
        <v/>
      </c>
      <c r="J30" s="42">
        <f>J23+J24+J25-J26-J27</f>
        <v/>
      </c>
      <c r="K30" s="42">
        <f>K23+K24+K25-K26-K27</f>
        <v/>
      </c>
      <c r="L30" s="42">
        <f>L23+L24+L25-L26-L27</f>
        <v/>
      </c>
      <c r="M30" s="42">
        <f>M23+M24+M25-M26-M27</f>
        <v/>
      </c>
    </row>
    <row r="31">
      <c r="A31" s="3" t="inlineStr">
        <is>
          <t>Valuation FCF (NOPAT + D&amp;A - dNWC - Capex - after-tax SBC)</t>
        </is>
      </c>
      <c r="B31" s="43">
        <f>B30-B25-B25*(1-Valuation!$B$5)</f>
        <v/>
      </c>
      <c r="C31" s="43">
        <f>C30-C25-C25*(1-Valuation!$B$5)</f>
        <v/>
      </c>
      <c r="D31" s="43">
        <f>D30-D25-D25*(1-Valuation!$B$5)</f>
        <v/>
      </c>
      <c r="E31" s="43">
        <f>E30-E25-E25*(1-Valuation!$B$5)</f>
        <v/>
      </c>
      <c r="F31" s="43">
        <f>F30-F25-F25*(1-Valuation!$B$5)</f>
        <v/>
      </c>
      <c r="G31" s="43">
        <f>G30-G25-G25*(1-Valuation!$B$5)</f>
        <v/>
      </c>
      <c r="H31" s="43">
        <f>H30-H25-H25*(1-Valuation!$B$5)</f>
        <v/>
      </c>
      <c r="I31" s="43">
        <f>I30-I25-I25*(1-Valuation!$B$5)</f>
        <v/>
      </c>
      <c r="J31" s="43">
        <f>J30-J25-J25*(1-Valuation!$B$5)</f>
        <v/>
      </c>
      <c r="K31" s="43">
        <f>K30-K25-K25*(1-Valuation!$B$5)</f>
        <v/>
      </c>
      <c r="L31" s="43">
        <f>L30-L25-L25*(1-Valuation!$B$5)</f>
        <v/>
      </c>
      <c r="M31" s="43">
        <f>M30-M25-M25*(1-Valuation!$B$5)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>
      <c r="A34" s="4" t="inlineStr">
        <is>
          <t>Invested capital (debt + equity - cash)</t>
        </is>
      </c>
      <c r="B34" s="33">
        <f>Financials!F32+Financials!F31-Financials!F26</f>
        <v/>
      </c>
      <c r="C34" s="33">
        <f>Financials!J32+Financials!J31-Financials!J26</f>
        <v/>
      </c>
      <c r="D34" s="41">
        <f>C34+D27-D24+D26</f>
        <v/>
      </c>
      <c r="E34" s="41">
        <f>D34+E27-E24+E26</f>
        <v/>
      </c>
      <c r="F34" s="41">
        <f>E34+F27-F24+F26</f>
        <v/>
      </c>
      <c r="G34" s="41">
        <f>F34+G27-G24+G26</f>
        <v/>
      </c>
      <c r="H34" s="41">
        <f>G34+H27-H24+H26</f>
        <v/>
      </c>
      <c r="I34" s="41">
        <f>H34+I27-I24+I26</f>
        <v/>
      </c>
      <c r="J34" s="41">
        <f>I34+J27-J24+J26</f>
        <v/>
      </c>
      <c r="K34" s="41">
        <f>J34+K27-K24+K26</f>
        <v/>
      </c>
      <c r="L34" s="41">
        <f>K34+L27-L24+L26</f>
        <v/>
      </c>
      <c r="M34" s="41">
        <f>L34+M27-M24+M26</f>
        <v/>
      </c>
    </row>
    <row r="35">
      <c r="A35" s="4" t="inlineStr">
        <is>
          <t>Book equity (year-end)</t>
        </is>
      </c>
      <c r="B35" s="33">
        <f>Financials!F32</f>
        <v/>
      </c>
      <c r="C35" s="33">
        <f>Financials!J32</f>
        <v/>
      </c>
      <c r="D35" s="41">
        <f>C35+D23</f>
        <v/>
      </c>
      <c r="E35" s="41">
        <f>D35+E23</f>
        <v/>
      </c>
      <c r="F35" s="41">
        <f>E35+F23</f>
        <v/>
      </c>
      <c r="G35" s="41">
        <f>F35+G23</f>
        <v/>
      </c>
      <c r="H35" s="41">
        <f>G35+H23</f>
        <v/>
      </c>
      <c r="I35" s="41">
        <f>H35+I23</f>
        <v/>
      </c>
      <c r="J35" s="41">
        <f>I35+J23</f>
        <v/>
      </c>
      <c r="K35" s="41">
        <f>J35+K23</f>
        <v/>
      </c>
      <c r="L35" s="41">
        <f>K35+L23</f>
        <v/>
      </c>
      <c r="M35" s="41">
        <f>L35+M23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</row>
    <row r="37">
      <c r="A37" s="3" t="inlineStr">
        <is>
          <t xml:space="preserve">  ROE (earnings / beg. equity)</t>
        </is>
      </c>
      <c r="C37" s="11">
        <f>IFERROR(SUM(Financials!G15:J15)/B35,"")</f>
        <v/>
      </c>
      <c r="D37" s="25">
        <f>IFERROR(D23/C35,"")</f>
        <v/>
      </c>
      <c r="E37" s="25">
        <f>IFERROR(E23/D35,"")</f>
        <v/>
      </c>
      <c r="F37" s="25">
        <f>IFERROR(F23/E35,"")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</row>
    <row r="41">
      <c r="A41" s="4" t="inlineStr">
        <is>
          <t xml:space="preserve">  Sales-to-capital (ΔRev / ΔInvested capital)</t>
        </is>
      </c>
      <c r="C41" s="44">
        <f>IFERROR((C6-B6)/(C34-B34),"")</f>
        <v/>
      </c>
      <c r="D41" s="44">
        <f>IFERROR((D6-C6)/(D34-C34),"")</f>
        <v/>
      </c>
      <c r="E41" s="44">
        <f>IFERROR((E6-D6)/(E34-D34),"")</f>
        <v/>
      </c>
      <c r="F41" s="44">
        <f>IFERROR((F6-E6)/(F34-E34),"")</f>
        <v/>
      </c>
      <c r="G41" s="44">
        <f>IFERROR((G6-F6)/(G34-F34),"")</f>
        <v/>
      </c>
      <c r="H41" s="44">
        <f>IFERROR((H6-G6)/(H34-G34),"")</f>
        <v/>
      </c>
      <c r="I41" s="44">
        <f>IFERROR((I6-H6)/(I34-H34),"")</f>
        <v/>
      </c>
      <c r="J41" s="44">
        <f>IFERROR((J6-I6)/(J34-I34),"")</f>
        <v/>
      </c>
      <c r="K41" s="44">
        <f>IFERROR((K6-J6)/(K34-J34),"")</f>
        <v/>
      </c>
      <c r="L41" s="44">
        <f>IFERROR((L6-K6)/(L34-K34),"")</f>
        <v/>
      </c>
      <c r="M41" s="44">
        <f>IFERROR((M6-L6)/(M34-L34),"")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3" t="inlineStr">
        <is>
          <t>Line Item ($M)</t>
        </is>
      </c>
      <c r="B1" s="45" t="inlineStr">
        <is>
          <t>Q4 2023</t>
        </is>
      </c>
      <c r="C1" s="45" t="inlineStr">
        <is>
          <t>Q1 2024</t>
        </is>
      </c>
      <c r="D1" s="45" t="inlineStr">
        <is>
          <t>Q2 2024</t>
        </is>
      </c>
      <c r="E1" s="45" t="inlineStr">
        <is>
          <t>Q3 2024</t>
        </is>
      </c>
      <c r="F1" s="45" t="inlineStr">
        <is>
          <t>Q4 2024</t>
        </is>
      </c>
      <c r="G1" s="45" t="inlineStr">
        <is>
          <t>Q1 2025</t>
        </is>
      </c>
      <c r="H1" s="45" t="inlineStr">
        <is>
          <t>Q2 2025</t>
        </is>
      </c>
      <c r="I1" s="45" t="inlineStr">
        <is>
          <t>Q3 2025</t>
        </is>
      </c>
      <c r="J1" s="45" t="inlineStr">
        <is>
          <t>Q4 2025</t>
        </is>
      </c>
      <c r="K1" s="45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>
      <c r="A3" s="4" t="inlineStr">
        <is>
          <t>Revenue</t>
        </is>
      </c>
      <c r="B3" s="18" t="n">
        <v>115.997</v>
      </c>
      <c r="C3" s="18" t="n">
        <v>188.684</v>
      </c>
      <c r="D3" s="18" t="n">
        <v>395.371</v>
      </c>
      <c r="E3" s="18" t="n">
        <v>583.941</v>
      </c>
      <c r="F3" s="18" t="n">
        <v>747.4299999999999</v>
      </c>
      <c r="G3" s="18" t="n">
        <v>981.6319999999999</v>
      </c>
      <c r="H3" s="18" t="n">
        <v>1212.788</v>
      </c>
      <c r="I3" s="18" t="n">
        <v>1364.676</v>
      </c>
      <c r="J3" s="18" t="n">
        <v>1571.904</v>
      </c>
      <c r="K3" s="18" t="n">
        <v>2078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</row>
    <row r="5">
      <c r="A5" s="4" t="inlineStr">
        <is>
          <t>Cost of Revenue</t>
        </is>
      </c>
      <c r="B5" s="18" t="n">
        <v>34.848</v>
      </c>
      <c r="C5" s="18" t="n">
        <v>59.22</v>
      </c>
      <c r="D5" s="18" t="n">
        <v>108.838</v>
      </c>
      <c r="E5" s="18" t="n">
        <v>143.134</v>
      </c>
      <c r="F5" s="18" t="n">
        <v>182.158</v>
      </c>
      <c r="G5" s="18" t="n">
        <v>262.394</v>
      </c>
      <c r="H5" s="18" t="n">
        <v>312.667</v>
      </c>
      <c r="I5" s="18" t="n">
        <v>368.824</v>
      </c>
      <c r="J5" s="18" t="n">
        <v>509.115</v>
      </c>
      <c r="K5" s="18" t="n">
        <v>716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</row>
    <row r="9">
      <c r="A9" s="4" t="inlineStr">
        <is>
          <t>SG&amp;A Expense</t>
        </is>
      </c>
      <c r="B9" s="18" t="n">
        <v>17.033</v>
      </c>
      <c r="C9" s="18" t="n">
        <v>19.736</v>
      </c>
      <c r="D9" s="18" t="n">
        <v>25.926</v>
      </c>
      <c r="E9" s="18" t="n">
        <v>38.182</v>
      </c>
      <c r="F9" s="18" t="n">
        <v>53.189</v>
      </c>
      <c r="G9" s="18" t="n">
        <v>185.306</v>
      </c>
      <c r="H9" s="18" t="n">
        <v>210.999</v>
      </c>
      <c r="I9" s="18" t="n">
        <v>196.523</v>
      </c>
      <c r="J9" s="18" t="n">
        <v>202.172</v>
      </c>
      <c r="K9" s="18" t="n">
        <v>233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</row>
    <row r="11">
      <c r="A11" s="4" t="inlineStr">
        <is>
          <t>Gross Profit</t>
        </is>
      </c>
      <c r="B11" s="18" t="n">
        <v>81.149</v>
      </c>
      <c r="C11" s="18" t="n">
        <v>129.464</v>
      </c>
      <c r="D11" s="18" t="n">
        <v>286.533</v>
      </c>
      <c r="E11" s="18" t="n">
        <v>440.807</v>
      </c>
      <c r="F11" s="18" t="n">
        <v>565.272</v>
      </c>
      <c r="G11" s="18" t="n">
        <v>719.2380000000001</v>
      </c>
      <c r="H11" s="18" t="n">
        <v>900.121</v>
      </c>
      <c r="I11" s="18" t="n">
        <v>995.852</v>
      </c>
      <c r="J11" s="18" t="n">
        <v>1062.789</v>
      </c>
      <c r="K11" s="18" t="n">
        <v>1362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</row>
    <row r="13">
      <c r="A13" s="4" t="inlineStr">
        <is>
          <t>Operating Income</t>
        </is>
      </c>
      <c r="B13" s="18" t="n">
        <v>-1.817</v>
      </c>
      <c r="C13" s="18" t="n">
        <v>16.847</v>
      </c>
      <c r="D13" s="18" t="n">
        <v>77.721</v>
      </c>
      <c r="E13" s="18" t="n">
        <v>117.116</v>
      </c>
      <c r="F13" s="18" t="n">
        <v>112.674</v>
      </c>
      <c r="G13" s="18" t="n">
        <v>-27.47</v>
      </c>
      <c r="H13" s="18" t="n">
        <v>19.209</v>
      </c>
      <c r="I13" s="18" t="n">
        <v>51.85</v>
      </c>
      <c r="J13" s="18" t="n">
        <v>-89.589</v>
      </c>
      <c r="K13" s="18" t="n">
        <v>-144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</row>
    <row r="15">
      <c r="A15" s="4" t="inlineStr">
        <is>
          <t>Net Income</t>
        </is>
      </c>
      <c r="B15" s="18" t="n">
        <v>-170.574</v>
      </c>
      <c r="C15" s="18" t="n">
        <v>-129.248</v>
      </c>
      <c r="D15" s="18" t="n">
        <v>-323.021</v>
      </c>
      <c r="E15" s="18" t="n">
        <v>-359.807</v>
      </c>
      <c r="F15" s="18" t="n">
        <v>-51.372</v>
      </c>
      <c r="G15" s="18" t="n">
        <v>-314.641</v>
      </c>
      <c r="H15" s="18" t="n">
        <v>-290.509</v>
      </c>
      <c r="I15" s="18" t="n">
        <v>-110.124</v>
      </c>
      <c r="J15" s="18" t="n">
        <v>-451.726</v>
      </c>
      <c r="K15" s="18" t="n">
        <v>-740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</row>
    <row r="17">
      <c r="A17" s="4" t="inlineStr">
        <is>
          <t>Diluted Shares (M)</t>
        </is>
      </c>
      <c r="B17" s="18" t="n">
        <v>403.727</v>
      </c>
      <c r="C17" s="18" t="n">
        <v>403.727</v>
      </c>
      <c r="D17" s="18" t="n">
        <v>403.727</v>
      </c>
      <c r="E17" s="18" t="n">
        <v>435.533</v>
      </c>
      <c r="F17" s="18" t="n">
        <v>404.407</v>
      </c>
      <c r="G17" s="18" t="n">
        <v>404.407</v>
      </c>
      <c r="H17" s="18" t="n">
        <v>486.591</v>
      </c>
      <c r="I17" s="18" t="n">
        <v>497.886</v>
      </c>
      <c r="J17" s="18" t="n">
        <v>436</v>
      </c>
      <c r="K17" s="18" t="n">
        <v>527</v>
      </c>
    </row>
    <row r="18">
      <c r="A18" s="5" t="inlineStr">
        <is>
          <t xml:space="preserve">  REVENUE BY SEGMENT — GEOGRAPHY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4" t="inlineStr">
        <is>
          <t>UNITED STATES</t>
        </is>
      </c>
      <c r="G19" s="18" t="n">
        <v>929.424</v>
      </c>
      <c r="H19" s="18" t="n">
        <v>1147.655</v>
      </c>
      <c r="J19" s="18" t="n">
        <v>2723.921</v>
      </c>
      <c r="K19" s="18" t="n">
        <v>1900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</row>
    <row r="22">
      <c r="A22" s="4" t="inlineStr">
        <is>
          <t>Non-US</t>
        </is>
      </c>
      <c r="G22" s="18" t="n">
        <v>52.208</v>
      </c>
      <c r="H22" s="18" t="n">
        <v>65.133</v>
      </c>
      <c r="J22" s="18" t="n">
        <v>212.659</v>
      </c>
      <c r="K22" s="18" t="n">
        <v>178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</row>
    <row r="25">
      <c r="A25" s="5" t="inlineStr">
        <is>
          <t xml:space="preserve">  BALANCE SHEET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4" t="inlineStr">
        <is>
          <t>Cash &amp; ST Investments</t>
        </is>
      </c>
      <c r="B26" s="18" t="n">
        <v>219.515</v>
      </c>
      <c r="E26" s="18" t="n">
        <v>1356.427</v>
      </c>
      <c r="F26" s="18" t="n">
        <v>1361.083</v>
      </c>
      <c r="G26" s="18" t="n">
        <v>1276.456</v>
      </c>
      <c r="H26" s="18" t="n">
        <v>1152.883</v>
      </c>
      <c r="I26" s="18" t="n">
        <v>1941.848</v>
      </c>
      <c r="J26" s="18" t="n">
        <v>3980</v>
      </c>
      <c r="K26" s="18" t="n">
        <v>3043</v>
      </c>
    </row>
    <row r="27">
      <c r="A27" s="4" t="inlineStr">
        <is>
          <t>Total Current Assets</t>
        </is>
      </c>
      <c r="B27" s="18" t="n">
        <v>501.992</v>
      </c>
      <c r="E27" s="18" t="n">
        <v>2052.845</v>
      </c>
      <c r="F27" s="18" t="n">
        <v>1916.249</v>
      </c>
      <c r="G27" s="18" t="n">
        <v>3102.647</v>
      </c>
      <c r="H27" s="18" t="n">
        <v>3945.983</v>
      </c>
      <c r="I27" s="18" t="n">
        <v>4731.283</v>
      </c>
      <c r="J27" s="18" t="n">
        <v>7488</v>
      </c>
      <c r="K27" s="18" t="n">
        <v>5609</v>
      </c>
    </row>
    <row r="28">
      <c r="A28" s="4" t="inlineStr">
        <is>
          <t>PP&amp;E (net)</t>
        </is>
      </c>
      <c r="B28" s="18" t="n">
        <v>3945.956</v>
      </c>
      <c r="E28" s="18" t="n">
        <v>10909.475</v>
      </c>
      <c r="F28" s="18" t="n">
        <v>14504.321</v>
      </c>
      <c r="G28" s="18" t="n">
        <v>17274.212</v>
      </c>
      <c r="H28" s="18" t="n">
        <v>20011.711</v>
      </c>
      <c r="I28" s="18" t="n">
        <v>25336.238</v>
      </c>
      <c r="J28" s="18" t="n">
        <v>38788</v>
      </c>
      <c r="K28" s="18" t="n">
        <v>46606</v>
      </c>
    </row>
    <row r="29">
      <c r="A29" s="4" t="inlineStr">
        <is>
          <t>Total Assets</t>
        </is>
      </c>
      <c r="B29" s="18" t="n">
        <v>4976.975</v>
      </c>
      <c r="E29" s="18" t="n">
        <v>14136.373</v>
      </c>
      <c r="F29" s="18" t="n">
        <v>17832.599</v>
      </c>
      <c r="G29" s="18" t="n">
        <v>21860.383</v>
      </c>
      <c r="H29" s="18" t="n">
        <v>26241.363</v>
      </c>
      <c r="I29" s="18" t="n">
        <v>32910.498</v>
      </c>
      <c r="J29" s="18" t="n">
        <v>49302</v>
      </c>
      <c r="K29" s="18" t="n">
        <v>55573</v>
      </c>
    </row>
    <row r="30">
      <c r="A30" s="4" t="inlineStr">
        <is>
          <t>Total Current Liabilities</t>
        </is>
      </c>
      <c r="B30" s="18" t="n">
        <v>998.461</v>
      </c>
      <c r="E30" s="18" t="n">
        <v>3968.224</v>
      </c>
      <c r="F30" s="18" t="n">
        <v>4962.581</v>
      </c>
      <c r="G30" s="18" t="n">
        <v>7130.797</v>
      </c>
      <c r="H30" s="18" t="n">
        <v>7556.355</v>
      </c>
      <c r="I30" s="18" t="n">
        <v>9714.871999999999</v>
      </c>
      <c r="J30" s="18" t="n">
        <v>16440</v>
      </c>
      <c r="K30" s="18" t="n">
        <v>17818</v>
      </c>
    </row>
    <row r="31">
      <c r="A31" s="4" t="inlineStr">
        <is>
          <t>Long-term Debt</t>
        </is>
      </c>
      <c r="B31" s="18" t="n">
        <v>1351.389</v>
      </c>
      <c r="E31" s="18" t="n">
        <v>3445.72</v>
      </c>
      <c r="F31" s="18" t="n">
        <v>5457.915</v>
      </c>
      <c r="G31" s="18" t="n">
        <v>4935.071</v>
      </c>
      <c r="H31" s="18" t="n">
        <v>7423.837</v>
      </c>
      <c r="I31" s="18" t="n">
        <v>10322.757</v>
      </c>
      <c r="J31" s="18" t="n">
        <v>7984</v>
      </c>
      <c r="K31" s="18" t="n">
        <v>9778</v>
      </c>
    </row>
    <row r="32">
      <c r="A32" s="4" t="inlineStr">
        <is>
          <t>Total Equity</t>
        </is>
      </c>
      <c r="B32" s="18" t="n">
        <v>-596.591</v>
      </c>
      <c r="E32" s="18" t="n">
        <v>-344.027</v>
      </c>
      <c r="F32" s="18" t="n">
        <v>-413.598</v>
      </c>
      <c r="G32" s="18" t="n">
        <v>3069.282</v>
      </c>
      <c r="H32" s="18" t="n">
        <v>3820.806</v>
      </c>
      <c r="I32" s="18" t="n">
        <v>3878.014</v>
      </c>
      <c r="J32" s="18" t="n">
        <v>3335</v>
      </c>
      <c r="K32" s="18" t="n">
        <v>4759</v>
      </c>
    </row>
    <row r="33">
      <c r="A33" s="5" t="inlineStr">
        <is>
          <t xml:space="preserve">  CASH FLOW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4" t="inlineStr">
        <is>
          <t>D&amp;A</t>
        </is>
      </c>
      <c r="B34" s="18" t="n">
        <v>53.33</v>
      </c>
      <c r="C34" s="18" t="n">
        <v>79.51000000000001</v>
      </c>
      <c r="D34" s="18" t="n">
        <v>164.46</v>
      </c>
      <c r="E34" s="18" t="n">
        <v>254.024</v>
      </c>
      <c r="F34" s="18" t="n">
        <v>365.419</v>
      </c>
      <c r="G34" s="18" t="n">
        <v>443.497</v>
      </c>
      <c r="H34" s="18" t="n">
        <v>559.481</v>
      </c>
      <c r="I34" s="18" t="n">
        <v>630.479</v>
      </c>
      <c r="J34" s="18" t="n">
        <v>821</v>
      </c>
      <c r="K34" s="18" t="n">
        <v>1147</v>
      </c>
    </row>
    <row r="35">
      <c r="A35" s="4" t="inlineStr">
        <is>
          <t>Stock-based Compensation</t>
        </is>
      </c>
      <c r="B35" s="18" t="n">
        <v>8.096</v>
      </c>
      <c r="C35" s="18" t="n">
        <v>8.189</v>
      </c>
      <c r="D35" s="18" t="n">
        <v>7.66</v>
      </c>
      <c r="E35" s="18" t="n">
        <v>7.617</v>
      </c>
      <c r="F35" s="18" t="n">
        <v>8.021000000000001</v>
      </c>
      <c r="G35" s="18" t="n">
        <v>183.973</v>
      </c>
      <c r="H35" s="18" t="n">
        <v>145.005</v>
      </c>
      <c r="I35" s="18" t="n">
        <v>144.431</v>
      </c>
      <c r="J35" s="18" t="n">
        <v>157</v>
      </c>
      <c r="K35" s="18" t="n">
        <v>0</v>
      </c>
    </row>
    <row r="36">
      <c r="A36" s="4" t="inlineStr">
        <is>
          <t>Change in Working Capital</t>
        </is>
      </c>
      <c r="B36" s="18" t="n">
        <v>-22.504</v>
      </c>
      <c r="C36" s="18" t="n">
        <v>1946.139</v>
      </c>
      <c r="D36" s="18" t="n">
        <v>-337.185</v>
      </c>
      <c r="E36" s="18" t="n">
        <v>299.727</v>
      </c>
      <c r="F36" s="18" t="n">
        <v>-230.797</v>
      </c>
      <c r="G36" s="18" t="n">
        <v>-396.724</v>
      </c>
      <c r="H36" s="18" t="n">
        <v>-835.184</v>
      </c>
      <c r="I36" s="18" t="n">
        <v>1017.859</v>
      </c>
      <c r="J36" s="18" t="n">
        <v>846.049</v>
      </c>
      <c r="K36" s="18" t="n">
        <v>2016</v>
      </c>
    </row>
    <row r="37">
      <c r="A37" s="4" t="inlineStr">
        <is>
          <t>Operating Cash Flow</t>
        </is>
      </c>
      <c r="B37" s="18" t="n">
        <v>43.621</v>
      </c>
      <c r="C37" s="18" t="n">
        <v>2039.038</v>
      </c>
      <c r="D37" s="18" t="n">
        <v>-117.824</v>
      </c>
      <c r="E37" s="18" t="n">
        <v>641.222</v>
      </c>
      <c r="F37" s="18" t="n">
        <v>186.732</v>
      </c>
      <c r="G37" s="18" t="n">
        <v>61.168</v>
      </c>
      <c r="H37" s="18" t="n">
        <v>-251.251</v>
      </c>
      <c r="I37" s="18" t="n">
        <v>1689.134</v>
      </c>
      <c r="J37" s="18" t="n">
        <v>1559</v>
      </c>
      <c r="K37" s="18" t="n">
        <v>2984</v>
      </c>
    </row>
    <row r="38">
      <c r="A38" s="4" t="inlineStr">
        <is>
          <t>Capex</t>
        </is>
      </c>
      <c r="B38" s="18" t="n">
        <v>-1180.054</v>
      </c>
      <c r="C38" s="18" t="n">
        <v>-1741.935</v>
      </c>
      <c r="D38" s="18" t="n">
        <v>-2247.161</v>
      </c>
      <c r="E38" s="18" t="n">
        <v>-1215.155</v>
      </c>
      <c r="F38" s="18" t="n">
        <v>-3497.827</v>
      </c>
      <c r="G38" s="18" t="n">
        <v>-1407.359</v>
      </c>
      <c r="H38" s="18" t="n">
        <v>-2452.992</v>
      </c>
      <c r="I38" s="18" t="n">
        <v>-2388.888</v>
      </c>
      <c r="J38" s="18" t="n">
        <v>-4060</v>
      </c>
      <c r="K38" s="18" t="n">
        <v>-7695</v>
      </c>
    </row>
    <row r="39">
      <c r="A39" s="4" t="inlineStr">
        <is>
          <t>Free Cash Flow</t>
        </is>
      </c>
      <c r="B39" s="18" t="n">
        <v>-1136.433</v>
      </c>
      <c r="C39" s="18" t="n">
        <v>297.103</v>
      </c>
      <c r="D39" s="18" t="n">
        <v>-2364.985</v>
      </c>
      <c r="E39" s="18" t="n">
        <v>-573.933</v>
      </c>
      <c r="F39" s="18" t="n">
        <v>-3311.095</v>
      </c>
      <c r="G39" s="18" t="n">
        <v>-1346.191</v>
      </c>
      <c r="H39" s="18" t="n">
        <v>-2704.243</v>
      </c>
      <c r="I39" s="18" t="n">
        <v>-699.754</v>
      </c>
      <c r="J39" s="18" t="n">
        <v>-2501</v>
      </c>
      <c r="K39" s="18" t="n">
        <v>-4711</v>
      </c>
    </row>
    <row r="41">
      <c r="A41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  <c r="F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12662.36861</v>
      </c>
      <c r="C4" s="18" t="n">
        <v>24925.10089</v>
      </c>
      <c r="D4" s="18" t="n">
        <v>39511.942956</v>
      </c>
      <c r="E4" s="18" t="n">
        <v>51099.1963</v>
      </c>
      <c r="F4" s="18" t="n">
        <v>72900.35885</v>
      </c>
    </row>
    <row r="5">
      <c r="A5" s="4" t="inlineStr">
        <is>
          <t xml:space="preserve">  model</t>
        </is>
      </c>
      <c r="B5" s="33">
        <f>Model!D6</f>
        <v/>
      </c>
      <c r="C5" s="33">
        <f>Model!E6</f>
        <v/>
      </c>
      <c r="D5" s="33">
        <f>Model!F6</f>
        <v/>
      </c>
      <c r="E5" s="33">
        <f>Model!G6</f>
        <v/>
      </c>
      <c r="F5" s="33">
        <f>Model!H6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-3624.644205</v>
      </c>
      <c r="C8" s="18" t="n">
        <v>-7134.891212</v>
      </c>
      <c r="D8" s="18" t="n">
        <v>-11310.422205</v>
      </c>
      <c r="E8" s="18" t="n">
        <v>-14627.311168</v>
      </c>
      <c r="F8" s="18" t="n">
        <v>-20867.964868</v>
      </c>
    </row>
    <row r="9">
      <c r="A9" s="4" t="inlineStr">
        <is>
          <t xml:space="preserve">  model</t>
        </is>
      </c>
      <c r="B9" s="33">
        <f>Model!D19+Model!D24</f>
        <v/>
      </c>
      <c r="C9" s="33">
        <f>Model!E19+Model!E24</f>
        <v/>
      </c>
      <c r="D9" s="33">
        <f>Model!F19+Model!F24</f>
        <v/>
      </c>
      <c r="E9" s="33">
        <f>Model!G19+Model!G24</f>
        <v/>
      </c>
      <c r="F9" s="33">
        <f>Model!H19+Model!H24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-6956.147629</v>
      </c>
      <c r="C12" s="18" t="n">
        <v>-13692.752659</v>
      </c>
      <c r="D12" s="18" t="n">
        <v>-21706.121246</v>
      </c>
      <c r="E12" s="18" t="n">
        <v>-28071.647899</v>
      </c>
      <c r="F12" s="18" t="n">
        <v>-40048.246422</v>
      </c>
    </row>
    <row r="13">
      <c r="A13" s="4" t="inlineStr">
        <is>
          <t xml:space="preserve">  model</t>
        </is>
      </c>
      <c r="B13" s="33">
        <f>Model!D19</f>
        <v/>
      </c>
      <c r="C13" s="33">
        <f>Model!E19</f>
        <v/>
      </c>
      <c r="D13" s="33">
        <f>Model!F19</f>
        <v/>
      </c>
      <c r="E13" s="33">
        <f>Model!G19</f>
        <v/>
      </c>
      <c r="F13" s="33">
        <f>Model!H19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3004.360388</v>
      </c>
      <c r="C16" s="18" t="n">
        <v>5913.900322</v>
      </c>
      <c r="D16" s="18" t="n">
        <v>9374.874476999999</v>
      </c>
      <c r="E16" s="18" t="n">
        <v>12124.145647</v>
      </c>
      <c r="F16" s="18" t="n">
        <v>17296.838942</v>
      </c>
    </row>
    <row r="17">
      <c r="A17" s="4" t="inlineStr">
        <is>
          <t xml:space="preserve">  model</t>
        </is>
      </c>
      <c r="B17" s="33">
        <f>Model!D14</f>
        <v/>
      </c>
      <c r="C17" s="33">
        <f>Model!E14</f>
        <v/>
      </c>
      <c r="D17" s="33">
        <f>Model!F14</f>
        <v/>
      </c>
      <c r="E17" s="33">
        <f>Model!G14</f>
        <v/>
      </c>
      <c r="F17" s="33">
        <f>Model!H14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-1296.7795425</v>
      </c>
      <c r="C20" s="18" t="n">
        <v>44.50688</v>
      </c>
      <c r="D20" s="18" t="n">
        <v>1872.938284</v>
      </c>
      <c r="E20" s="18" t="n">
        <v>2445.262405</v>
      </c>
      <c r="F20" s="18" t="n">
        <v>4948.412531</v>
      </c>
    </row>
    <row r="21">
      <c r="A21" s="4" t="inlineStr">
        <is>
          <t xml:space="preserve">  model</t>
        </is>
      </c>
      <c r="B21" s="33">
        <f>Model!D23</f>
        <v/>
      </c>
      <c r="C21" s="33">
        <f>Model!E23</f>
        <v/>
      </c>
      <c r="D21" s="33">
        <f>Model!F23</f>
        <v/>
      </c>
      <c r="E21" s="33">
        <f>Model!G23</f>
        <v/>
      </c>
      <c r="F21" s="33">
        <f>Model!H23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-3.32909</v>
      </c>
      <c r="C24" s="47" t="n">
        <v>-0.77127</v>
      </c>
      <c r="D24" s="47" t="n">
        <v>3.49529</v>
      </c>
      <c r="E24" s="47" t="n">
        <v>5.6084</v>
      </c>
      <c r="F24" s="47" t="n">
        <v>11.34957</v>
      </c>
    </row>
    <row r="25">
      <c r="A25" s="4" t="inlineStr">
        <is>
          <t xml:space="preserve">  model</t>
        </is>
      </c>
      <c r="B25" s="8">
        <f>Model!D23/Financials!K17</f>
        <v/>
      </c>
      <c r="C25" s="8">
        <f>Model!E23/Financials!K17</f>
        <v/>
      </c>
      <c r="D25" s="8">
        <f>Model!F23/Financials!K17</f>
        <v/>
      </c>
      <c r="E25" s="8">
        <f>Model!G23/Financials!K17</f>
        <v/>
      </c>
      <c r="F25" s="8">
        <f>Model!H23/Financials!K17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CoreWeave, Inc. Class A Common Stock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Model!D31</f>
        <v/>
      </c>
      <c r="D12" s="33">
        <f>Model!E31</f>
        <v/>
      </c>
      <c r="E12" s="33">
        <f>Model!F31</f>
        <v/>
      </c>
      <c r="F12" s="33">
        <f>Model!G31</f>
        <v/>
      </c>
      <c r="G12" s="33">
        <f>Model!H31</f>
        <v/>
      </c>
      <c r="H12" s="33">
        <f>Model!I31</f>
        <v/>
      </c>
      <c r="I12" s="33">
        <f>Model!J31</f>
        <v/>
      </c>
      <c r="J12" s="33">
        <f>Model!K31</f>
        <v/>
      </c>
      <c r="K12" s="33">
        <f>Model!L31</f>
        <v/>
      </c>
      <c r="L12" s="33">
        <f>Model!M31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Model!M6</f>
        <v/>
      </c>
    </row>
    <row r="21">
      <c r="A21" s="4" t="inlineStr">
        <is>
          <t>Terminal EBIT</t>
        </is>
      </c>
      <c r="B21" s="33">
        <f>Model!M19</f>
        <v/>
      </c>
    </row>
    <row r="22">
      <c r="A22" s="4" t="inlineStr">
        <is>
          <t>Terminal EBITDA (SBC-burdened)</t>
        </is>
      </c>
      <c r="B22" s="33">
        <f>Model!M19+Model!M24-Model!M25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Financials!K26</f>
        <v/>
      </c>
    </row>
    <row r="33">
      <c r="A33" s="4" t="inlineStr">
        <is>
          <t>- Long-term debt</t>
        </is>
      </c>
      <c r="B33" s="33">
        <f>-Financials!K31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Financials!K17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0.2908039619115132</v>
      </c>
      <c r="C4" s="51" t="n">
        <v>0.2958039619115132</v>
      </c>
      <c r="D4" s="51" t="n">
        <v>0.3008039619115132</v>
      </c>
      <c r="E4" s="51" t="n">
        <v>0.3058039619115132</v>
      </c>
      <c r="F4" s="51" t="n">
        <v>0.3108039619115132</v>
      </c>
      <c r="G4" s="51" t="n">
        <v>0.3158039619115132</v>
      </c>
      <c r="H4" s="51" t="n">
        <v>0.3208039619115132</v>
      </c>
    </row>
    <row r="5">
      <c r="A5" s="52" t="n">
        <v>10</v>
      </c>
      <c r="B5" s="53" t="n">
        <v>50.40403847278323</v>
      </c>
      <c r="C5" s="53" t="n">
        <v>45.06304953640735</v>
      </c>
      <c r="D5" s="53" t="n">
        <v>39.98145965661183</v>
      </c>
      <c r="E5" s="53" t="n">
        <v>35.14680343927977</v>
      </c>
      <c r="F5" s="53" t="n">
        <v>30.54724252039591</v>
      </c>
      <c r="G5" s="53" t="n">
        <v>26.1715321709825</v>
      </c>
      <c r="H5" s="53" t="n">
        <v>22.00898978787488</v>
      </c>
    </row>
    <row r="6">
      <c r="A6" s="52" t="n">
        <v>11</v>
      </c>
      <c r="B6" s="53" t="n">
        <v>69.39522087391694</v>
      </c>
      <c r="C6" s="53" t="n">
        <v>63.33403060618503</v>
      </c>
      <c r="D6" s="53" t="n">
        <v>57.56216893317817</v>
      </c>
      <c r="E6" s="53" t="n">
        <v>52.06581872310643</v>
      </c>
      <c r="F6" s="53" t="n">
        <v>46.83185576297191</v>
      </c>
      <c r="G6" s="53" t="n">
        <v>41.8478119177522</v>
      </c>
      <c r="H6" s="53" t="n">
        <v>37.10184036777488</v>
      </c>
    </row>
    <row r="7">
      <c r="A7" s="52" t="n">
        <v>12</v>
      </c>
      <c r="B7" s="53" t="n">
        <v>88.38640327505068</v>
      </c>
      <c r="C7" s="53" t="n">
        <v>81.60501167596269</v>
      </c>
      <c r="D7" s="53" t="n">
        <v>75.14287820974452</v>
      </c>
      <c r="E7" s="53" t="n">
        <v>68.98483400693306</v>
      </c>
      <c r="F7" s="53" t="n">
        <v>63.11646900554789</v>
      </c>
      <c r="G7" s="53" t="n">
        <v>57.52409166452191</v>
      </c>
      <c r="H7" s="53" t="n">
        <v>52.19469094767486</v>
      </c>
    </row>
    <row r="8">
      <c r="A8" s="52" t="n">
        <v>13</v>
      </c>
      <c r="B8" s="8" t="n">
        <v>107.3775856761845</v>
      </c>
      <c r="C8" s="8" t="n">
        <v>99.87599274574038</v>
      </c>
      <c r="D8" s="8" t="n">
        <v>92.72358748631092</v>
      </c>
      <c r="E8" s="54" t="n">
        <v>85.90384929075975</v>
      </c>
      <c r="F8" s="53" t="n">
        <v>79.40108224812388</v>
      </c>
      <c r="G8" s="53" t="n">
        <v>73.20037141129163</v>
      </c>
      <c r="H8" s="53" t="n">
        <v>67.28754152757487</v>
      </c>
    </row>
    <row r="9">
      <c r="A9" s="52" t="n">
        <v>14</v>
      </c>
      <c r="B9" s="8" t="n">
        <v>126.3687680773182</v>
      </c>
      <c r="C9" s="8" t="n">
        <v>118.1469738155181</v>
      </c>
      <c r="D9" s="8" t="n">
        <v>110.3042967628773</v>
      </c>
      <c r="E9" s="8" t="n">
        <v>102.8228645745864</v>
      </c>
      <c r="F9" s="8" t="n">
        <v>95.68569549069987</v>
      </c>
      <c r="G9" s="53" t="n">
        <v>88.87665115806134</v>
      </c>
      <c r="H9" s="53" t="n">
        <v>82.38039210747488</v>
      </c>
    </row>
    <row r="10">
      <c r="A10" s="52" t="n">
        <v>15</v>
      </c>
      <c r="B10" s="8" t="n">
        <v>145.3599504784519</v>
      </c>
      <c r="C10" s="8" t="n">
        <v>136.4179548852958</v>
      </c>
      <c r="D10" s="8" t="n">
        <v>127.8850060394437</v>
      </c>
      <c r="E10" s="8" t="n">
        <v>119.7418798584131</v>
      </c>
      <c r="F10" s="8" t="n">
        <v>111.9703087332759</v>
      </c>
      <c r="G10" s="8" t="n">
        <v>104.552930904831</v>
      </c>
      <c r="H10" s="8" t="n">
        <v>97.47324268737488</v>
      </c>
    </row>
    <row r="11">
      <c r="A11" s="52" t="n">
        <v>16</v>
      </c>
      <c r="B11" s="8" t="n">
        <v>164.3511328795857</v>
      </c>
      <c r="C11" s="8" t="n">
        <v>154.6889359550734</v>
      </c>
      <c r="D11" s="8" t="n">
        <v>145.46571531601</v>
      </c>
      <c r="E11" s="8" t="n">
        <v>136.6608951422398</v>
      </c>
      <c r="F11" s="8" t="n">
        <v>128.2549219758519</v>
      </c>
      <c r="G11" s="8" t="n">
        <v>120.2292106516007</v>
      </c>
      <c r="H11" s="8" t="n">
        <v>112.5660932672749</v>
      </c>
    </row>
    <row r="13">
      <c r="A13" s="3" t="inlineStr">
        <is>
          <t>Current price</t>
        </is>
      </c>
      <c r="B13" s="53" t="n">
        <v>88.88999938964844</v>
      </c>
    </row>
    <row r="14">
      <c r="A14" s="3" t="inlineStr">
        <is>
          <t>Base WACC / multiple</t>
        </is>
      </c>
      <c r="B14" s="55" t="n">
        <v>0.3058039619115132</v>
      </c>
      <c r="C14" s="56" t="n">
        <v>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Model!C6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Model!C20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0.4783584096667317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2.508579290653696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(Model!M6/Model!C6)^(1/10)-1</f>
        <v/>
      </c>
      <c r="D6" s="15" t="n">
        <v>0.012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0.6277446561448851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Financials!K26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Financials!K31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Financials!K17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2026-07-08T07:03:31Z</dcterms:created>
  <dcterms:modified xmlns:dcterms="http://purl.org/dc/terms/" xmlns:xsi="http://www.w3.org/2001/XMLSchema-instance" xsi:type="dcterms:W3CDTF">2026-07-08T07:03:31Z</dcterms:modified>
</cp:coreProperties>
</file>