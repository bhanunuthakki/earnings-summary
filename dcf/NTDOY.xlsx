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Nintendo Co., Ltd. (NTDOY)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Nintendo is an asset-light, IP-rich console and software cash machine whose results swing with the hardware cycle; the FY2026 Switch 2 launch year compresses margins as ramp/marketing costs hit, while consensus shows revenue cresting near JPY2.7T in 2028-2029 before fading as the cycle matures. We fade revenue growth from ~5% near-term toward a 2.5% terminal rate and let operating margin recover via leverage from the diluted ~16% launch-year level back toward a normalized high-20s as software mix and installed-base monetization improve. Value rests on durable first-party IP, minimal capital intensity, and a fortress balance sheet, offset by the inherent lumpiness of a single-platform franchise.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Nintendo Co., Ltd. (NTDOY)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50" t="n">
        <v>0.05</v>
      </c>
      <c r="C20" s="50" t="n">
        <v>0.025</v>
      </c>
      <c r="D20" s="51" t="n">
        <v>0.05</v>
      </c>
      <c r="E20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0.22</v>
      </c>
      <c r="D29" s="51" t="n">
        <v>0.22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0.29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0.3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24492.47228716</v>
      </c>
      <c r="D34" s="18" t="n">
        <v>24492.47228716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0.158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9.5</v>
      </c>
    </row>
    <row r="46">
      <c r="A46" s="4" t="inlineStr">
        <is>
          <t>Terminal growth (g)</t>
        </is>
      </c>
      <c r="B46" s="50" t="n">
        <v>0.025</v>
      </c>
    </row>
    <row r="48">
      <c r="A48" s="4" t="inlineStr">
        <is>
          <t>Current price</t>
        </is>
      </c>
      <c r="B48" s="55" t="n">
        <v>11.51000022888184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Financials!AC24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FY2022A</t>
        </is>
      </c>
      <c r="C1" s="30" t="inlineStr">
        <is>
          <t>FY2023A</t>
        </is>
      </c>
      <c r="D1" s="30" t="inlineStr">
        <is>
          <t>FY2024A</t>
        </is>
      </c>
      <c r="E1" s="30" t="inlineStr">
        <is>
          <t>FY2025A</t>
        </is>
      </c>
      <c r="F1" s="30" t="inlineStr">
        <is>
          <t>FY2026A</t>
        </is>
      </c>
      <c r="G1" s="31" t="inlineStr">
        <is>
          <t>FY2027E</t>
        </is>
      </c>
      <c r="H1" s="31" t="inlineStr">
        <is>
          <t>FY2028E</t>
        </is>
      </c>
      <c r="I1" s="31" t="inlineStr">
        <is>
          <t>FY2029E</t>
        </is>
      </c>
      <c r="J1" s="31" t="inlineStr">
        <is>
          <t>FY2030E</t>
        </is>
      </c>
      <c r="K1" s="31" t="inlineStr">
        <is>
          <t>FY2031E</t>
        </is>
      </c>
      <c r="L1" s="31" t="inlineStr">
        <is>
          <t>FY2032E</t>
        </is>
      </c>
      <c r="M1" s="31" t="inlineStr">
        <is>
          <t>FY2033E</t>
        </is>
      </c>
      <c r="N1" s="31" t="inlineStr">
        <is>
          <t>FY2034E</t>
        </is>
      </c>
      <c r="O1" s="31" t="inlineStr">
        <is>
          <t>FY2035E</t>
        </is>
      </c>
      <c r="P1" s="31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SUM(Financials!J3:M3)</f>
        <v/>
      </c>
      <c r="C4" s="28">
        <f>SUM(Financials!N3:Q3)</f>
        <v/>
      </c>
      <c r="D4" s="28">
        <f>SUM(Financials!R3:U3)</f>
        <v/>
      </c>
      <c r="E4" s="28">
        <f>SUM(Financials!V3:Y3)</f>
        <v/>
      </c>
      <c r="F4" s="28">
        <f>SUM(Financials!Z3:AC3)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57">
        <f>IFERROR(G6/F6-1,"")</f>
        <v/>
      </c>
      <c r="H7" s="57">
        <f>IFERROR(H6/G6-1,"")</f>
        <v/>
      </c>
      <c r="I7" s="57">
        <f>IFERROR(I6/H6-1,"")</f>
        <v/>
      </c>
      <c r="J7" s="57">
        <f>IFERROR(J6/I6-1,"")</f>
        <v/>
      </c>
      <c r="K7" s="57">
        <f>IFERROR(K6/J6-1,"")</f>
        <v/>
      </c>
      <c r="L7" s="57">
        <f>IFERROR(L6/K6-1,"")</f>
        <v/>
      </c>
      <c r="M7" s="57">
        <f>IFERROR(M6/L6-1,"")</f>
        <v/>
      </c>
      <c r="N7" s="57">
        <f>IFERROR(N6/M6-1,"")</f>
        <v/>
      </c>
      <c r="O7" s="57">
        <f>IFERROR(O6/N6-1,"")</f>
        <v/>
      </c>
      <c r="P7" s="5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SUM(Financials!J5:M5)</f>
        <v/>
      </c>
      <c r="C10" s="28">
        <f>SUM(Financials!N5:Q5)</f>
        <v/>
      </c>
      <c r="D10" s="28">
        <f>SUM(Financials!R5:U5)</f>
        <v/>
      </c>
      <c r="E10" s="28">
        <f>SUM(Financials!V5:Y5)</f>
        <v/>
      </c>
      <c r="F10" s="28">
        <f>SUM(Financials!Z5:AC5)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57">
        <f>IFERROR(B10/B6,"")</f>
        <v/>
      </c>
      <c r="C11" s="57">
        <f>IFERROR(C10/C6,"")</f>
        <v/>
      </c>
      <c r="D11" s="57">
        <f>IFERROR(D10/D6,"")</f>
        <v/>
      </c>
      <c r="E11" s="57">
        <f>IFERROR(E10/E6,"")</f>
        <v/>
      </c>
      <c r="F11" s="57">
        <f>IFERROR(F10/F6,"")</f>
        <v/>
      </c>
      <c r="G11" s="50" t="n">
        <v>0.6067216522136362</v>
      </c>
      <c r="H11" s="50" t="n">
        <v>0.6067216522136362</v>
      </c>
      <c r="I11" s="50" t="n">
        <v>0.6067216522136362</v>
      </c>
      <c r="J11" s="50" t="n">
        <v>0.6067216522136362</v>
      </c>
      <c r="K11" s="50" t="n">
        <v>0.6067216522136362</v>
      </c>
      <c r="L11" s="50" t="n">
        <v>0.6067216522136362</v>
      </c>
      <c r="M11" s="50" t="n">
        <v>0.6067216522136362</v>
      </c>
      <c r="N11" s="50" t="n">
        <v>0.6067216522136362</v>
      </c>
      <c r="O11" s="50" t="n">
        <v>0.6067216522136362</v>
      </c>
      <c r="P11" s="50" t="n">
        <v>0.6067216522136362</v>
      </c>
    </row>
    <row r="12">
      <c r="A12" s="4" t="inlineStr">
        <is>
          <t>R&amp;D / Technology</t>
        </is>
      </c>
      <c r="B12" s="28">
        <f>SUM(Financials!J7:M7)</f>
        <v/>
      </c>
      <c r="C12" s="28">
        <f>SUM(Financials!N7:Q7)</f>
        <v/>
      </c>
      <c r="D12" s="28">
        <f>SUM(Financials!R7:U7)</f>
        <v/>
      </c>
      <c r="E12" s="28">
        <f>SUM(Financials!V7:Y7)</f>
        <v/>
      </c>
      <c r="F12" s="28">
        <f>SUM(Financials!Z7:AC7)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57">
        <f>IFERROR(B12/B6,"")</f>
        <v/>
      </c>
      <c r="C13" s="57">
        <f>IFERROR(C12/C6,"")</f>
        <v/>
      </c>
      <c r="D13" s="57">
        <f>IFERROR(D12/D6,"")</f>
        <v/>
      </c>
      <c r="E13" s="57">
        <f>IFERROR(E12/E6,"")</f>
        <v/>
      </c>
      <c r="F13" s="57">
        <f>IFERROR(F12/F6,"")</f>
        <v/>
      </c>
      <c r="G13" s="50" t="n">
        <v>0.03849546156553799</v>
      </c>
      <c r="H13" s="50" t="n">
        <v>0.03849546156553799</v>
      </c>
      <c r="I13" s="50" t="n">
        <v>0.03849546156553799</v>
      </c>
      <c r="J13" s="50" t="n">
        <v>0.03849546156553799</v>
      </c>
      <c r="K13" s="50" t="n">
        <v>0.03849546156553799</v>
      </c>
      <c r="L13" s="50" t="n">
        <v>0.03849546156553799</v>
      </c>
      <c r="M13" s="50" t="n">
        <v>0.03849546156553799</v>
      </c>
      <c r="N13" s="50" t="n">
        <v>0.03849546156553799</v>
      </c>
      <c r="O13" s="50" t="n">
        <v>0.03849546156553799</v>
      </c>
      <c r="P13" s="50" t="n">
        <v>0.03849546156553799</v>
      </c>
    </row>
    <row r="14">
      <c r="A14" s="4" t="inlineStr">
        <is>
          <t>SG&amp;A</t>
        </is>
      </c>
      <c r="B14" s="28">
        <f>SUM(Financials!J9:M9)</f>
        <v/>
      </c>
      <c r="C14" s="28">
        <f>SUM(Financials!N9:Q9)</f>
        <v/>
      </c>
      <c r="D14" s="28">
        <f>SUM(Financials!R9:U9)</f>
        <v/>
      </c>
      <c r="E14" s="28">
        <f>SUM(Financials!V9:Y9)</f>
        <v/>
      </c>
      <c r="F14" s="28">
        <f>SUM(Financials!Z9:AC9)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57">
        <f>IFERROR(B14/B6,"")</f>
        <v/>
      </c>
      <c r="C15" s="57">
        <f>IFERROR(C14/C6,"")</f>
        <v/>
      </c>
      <c r="D15" s="57">
        <f>IFERROR(D14/D6,"")</f>
        <v/>
      </c>
      <c r="E15" s="57">
        <f>IFERROR(E14/E6,"")</f>
        <v/>
      </c>
      <c r="F15" s="57">
        <f>IFERROR(F14/F6,"")</f>
        <v/>
      </c>
      <c r="G15" s="50" t="n">
        <v>0.1988478900143071</v>
      </c>
      <c r="H15" s="50" t="n">
        <v>0.1988478900143071</v>
      </c>
      <c r="I15" s="50" t="n">
        <v>0.1988478900143071</v>
      </c>
      <c r="J15" s="50" t="n">
        <v>0.1988478900143071</v>
      </c>
      <c r="K15" s="50" t="n">
        <v>0.1988478900143071</v>
      </c>
      <c r="L15" s="50" t="n">
        <v>0.1988478900143071</v>
      </c>
      <c r="M15" s="50" t="n">
        <v>0.1988478900143071</v>
      </c>
      <c r="N15" s="50" t="n">
        <v>0.1988478900143071</v>
      </c>
      <c r="O15" s="50" t="n">
        <v>0.1988478900143071</v>
      </c>
      <c r="P15" s="50" t="n">
        <v>0.1988478900143071</v>
      </c>
    </row>
    <row r="16">
      <c r="A16" s="4" t="inlineStr">
        <is>
          <t>Other opex (fulfilment, etc.)</t>
        </is>
      </c>
      <c r="B16" s="28">
        <f>B6-(B10+B12+B14)-SUM(Financials!J13:M13)</f>
        <v/>
      </c>
      <c r="C16" s="28">
        <f>C6-(C10+C12+C14)-SUM(Financials!N13:Q13)</f>
        <v/>
      </c>
      <c r="D16" s="28">
        <f>D6-(D10+D12+D14)-SUM(Financials!R13:U13)</f>
        <v/>
      </c>
      <c r="E16" s="28">
        <f>E6-(E10+E12+E14)-SUM(Financials!V13:Y13)</f>
        <v/>
      </c>
      <c r="F16" s="28">
        <f>F6-(F10+F12+F14)-SUM(Financials!Z13:AC13)</f>
        <v/>
      </c>
      <c r="G16" s="28">
        <f>G6*(1-(Dashboard!$B$29+(Dashboard!$B$30-Dashboard!$B$29)*MIN(1,0/4)))-(G10+G12+G14)</f>
        <v/>
      </c>
      <c r="H16" s="28">
        <f>H6*(1-(Dashboard!$B$29+(Dashboard!$B$30-Dashboard!$B$29)*MIN(1,1/4)))-(H10+H12+H14)</f>
        <v/>
      </c>
      <c r="I16" s="28">
        <f>I6*(1-(Dashboard!$B$29+(Dashboard!$B$30-Dashboard!$B$29)*MIN(1,2/4)))-(I10+I12+I14)</f>
        <v/>
      </c>
      <c r="J16" s="28">
        <f>J6*(1-(Dashboard!$B$29+(Dashboard!$B$30-Dashboard!$B$29)*MIN(1,3/4)))-(J10+J12+J14)</f>
        <v/>
      </c>
      <c r="K16" s="28">
        <f>K6*(1-(Dashboard!$B$29+(Dashboard!$B$30-Dashboard!$B$29)*MIN(1,4/4)))-(K10+K12+K14)</f>
        <v/>
      </c>
      <c r="L16" s="28">
        <f>L6*(1-(Dashboard!$B$29+(Dashboard!$B$30-Dashboard!$B$29)*MIN(1,5/4)))-(L10+L12+L14)</f>
        <v/>
      </c>
      <c r="M16" s="28">
        <f>M6*(1-(Dashboard!$B$29+(Dashboard!$B$30-Dashboard!$B$29)*MIN(1,6/4)))-(M10+M12+M14)</f>
        <v/>
      </c>
      <c r="N16" s="28">
        <f>N6*(1-(Dashboard!$B$29+(Dashboard!$B$30-Dashboard!$B$29)*MIN(1,7/4)))-(N10+N12+N14)</f>
        <v/>
      </c>
      <c r="O16" s="28">
        <f>O6*(1-(Dashboard!$B$29+(Dashboard!$B$30-Dashboard!$B$29)*MIN(1,8/4)))-(O10+O12+O14)</f>
        <v/>
      </c>
      <c r="P16" s="28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57">
        <f>IFERROR(B16/B6,"")</f>
        <v/>
      </c>
      <c r="C17" s="57">
        <f>IFERROR(C16/C6,"")</f>
        <v/>
      </c>
      <c r="D17" s="57">
        <f>IFERROR(D16/D6,"")</f>
        <v/>
      </c>
      <c r="E17" s="57">
        <f>IFERROR(E16/E6,"")</f>
        <v/>
      </c>
      <c r="F17" s="57">
        <f>IFERROR(F16/F6,"")</f>
        <v/>
      </c>
      <c r="G17" s="57">
        <f>IFERROR(G16/G6,"")</f>
        <v/>
      </c>
      <c r="H17" s="57">
        <f>IFERROR(H16/H6,"")</f>
        <v/>
      </c>
      <c r="I17" s="57">
        <f>IFERROR(I16/I6,"")</f>
        <v/>
      </c>
      <c r="J17" s="57">
        <f>IFERROR(J16/J6,"")</f>
        <v/>
      </c>
      <c r="K17" s="57">
        <f>IFERROR(K16/K6,"")</f>
        <v/>
      </c>
      <c r="L17" s="57">
        <f>IFERROR(L16/L6,"")</f>
        <v/>
      </c>
      <c r="M17" s="57">
        <f>IFERROR(M16/M6,"")</f>
        <v/>
      </c>
      <c r="N17" s="57">
        <f>IFERROR(N16/N6,"")</f>
        <v/>
      </c>
      <c r="O17" s="57">
        <f>IFERROR(O16/O6,"")</f>
        <v/>
      </c>
      <c r="P17" s="5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57">
        <f>IFERROR(B19/B6,"")</f>
        <v/>
      </c>
      <c r="C20" s="57">
        <f>IFERROR(C19/C6,"")</f>
        <v/>
      </c>
      <c r="D20" s="57">
        <f>IFERROR(D19/D6,"")</f>
        <v/>
      </c>
      <c r="E20" s="57">
        <f>IFERROR(E19/E6,"")</f>
        <v/>
      </c>
      <c r="F20" s="57">
        <f>IFERROR(F19/F6,"")</f>
        <v/>
      </c>
      <c r="G20" s="57">
        <f>IFERROR(G19/G6,"")</f>
        <v/>
      </c>
      <c r="H20" s="57">
        <f>IFERROR(H19/H6,"")</f>
        <v/>
      </c>
      <c r="I20" s="57">
        <f>IFERROR(I19/I6,"")</f>
        <v/>
      </c>
      <c r="J20" s="57">
        <f>IFERROR(J19/J6,"")</f>
        <v/>
      </c>
      <c r="K20" s="57">
        <f>IFERROR(K19/K6,"")</f>
        <v/>
      </c>
      <c r="L20" s="57">
        <f>IFERROR(L19/L6,"")</f>
        <v/>
      </c>
      <c r="M20" s="57">
        <f>IFERROR(M19/M6,"")</f>
        <v/>
      </c>
      <c r="N20" s="57">
        <f>IFERROR(N19/N6,"")</f>
        <v/>
      </c>
      <c r="O20" s="57">
        <f>IFERROR(O19/O6,"")</f>
        <v/>
      </c>
      <c r="P20" s="5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SUM(Financials!J27:M27)</f>
        <v/>
      </c>
      <c r="C24" s="28">
        <f>SUM(Financials!N27:Q27)</f>
        <v/>
      </c>
      <c r="D24" s="28">
        <f>SUM(Financials!R27:U27)</f>
        <v/>
      </c>
      <c r="E24" s="28">
        <f>SUM(Financials!V27:Y27)</f>
        <v/>
      </c>
      <c r="F24" s="28">
        <f>SUM(Financials!Z27:AC27)</f>
        <v/>
      </c>
      <c r="G24" s="32">
        <f>G6*0.0000</f>
        <v/>
      </c>
      <c r="H24" s="32">
        <f>H6*0.0000</f>
        <v/>
      </c>
      <c r="I24" s="32">
        <f>I6*0.0000</f>
        <v/>
      </c>
      <c r="J24" s="32">
        <f>J6*0.0000</f>
        <v/>
      </c>
      <c r="K24" s="32">
        <f>K6*0.0000</f>
        <v/>
      </c>
      <c r="L24" s="32">
        <f>L6*0.0000</f>
        <v/>
      </c>
      <c r="M24" s="32">
        <f>M6*0.0000</f>
        <v/>
      </c>
      <c r="N24" s="32">
        <f>N6*0.0000</f>
        <v/>
      </c>
      <c r="O24" s="32">
        <f>O6*0.0000</f>
        <v/>
      </c>
      <c r="P24" s="32">
        <f>P6*0.0000</f>
        <v/>
      </c>
    </row>
    <row r="25">
      <c r="A25" s="4" t="inlineStr">
        <is>
          <t>+ SBC (non-cash)</t>
        </is>
      </c>
      <c r="B25" s="28">
        <f>SUM(Financials!J28:M28)</f>
        <v/>
      </c>
      <c r="C25" s="28">
        <f>SUM(Financials!N28:Q28)</f>
        <v/>
      </c>
      <c r="D25" s="28">
        <f>SUM(Financials!R28:U28)</f>
        <v/>
      </c>
      <c r="E25" s="28">
        <f>SUM(Financials!V28:Y28)</f>
        <v/>
      </c>
      <c r="F25" s="28">
        <f>SUM(Financials!Z28:AC28)</f>
        <v/>
      </c>
      <c r="G25" s="32">
        <f>G6*0.0000</f>
        <v/>
      </c>
      <c r="H25" s="32">
        <f>H6*0.0000</f>
        <v/>
      </c>
      <c r="I25" s="32">
        <f>I6*0.0000</f>
        <v/>
      </c>
      <c r="J25" s="32">
        <f>J6*0.0000</f>
        <v/>
      </c>
      <c r="K25" s="32">
        <f>K6*0.0000</f>
        <v/>
      </c>
      <c r="L25" s="32">
        <f>L6*0.0000</f>
        <v/>
      </c>
      <c r="M25" s="32">
        <f>M6*0.0000</f>
        <v/>
      </c>
      <c r="N25" s="32">
        <f>N6*0.0000</f>
        <v/>
      </c>
      <c r="O25" s="32">
        <f>O6*0.0000</f>
        <v/>
      </c>
      <c r="P25" s="32">
        <f>P6*0.0000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-SUM(Financials!J31:M31)</f>
        <v/>
      </c>
      <c r="C27" s="28">
        <f>-SUM(Financials!N31:Q31)</f>
        <v/>
      </c>
      <c r="D27" s="28">
        <f>-SUM(Financials!R31:U31)</f>
        <v/>
      </c>
      <c r="E27" s="28">
        <f>-SUM(Financials!V31:Y31)</f>
        <v/>
      </c>
      <c r="F27" s="28">
        <f>-SUM(Financials!Z31:AC31)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59">
        <f>IFERROR(B27/B24,"")</f>
        <v/>
      </c>
      <c r="C28" s="59">
        <f>IFERROR(C27/C24,"")</f>
        <v/>
      </c>
      <c r="D28" s="59">
        <f>IFERROR(D27/D24,"")</f>
        <v/>
      </c>
      <c r="E28" s="59">
        <f>IFERROR(E27/E24,"")</f>
        <v/>
      </c>
      <c r="F28" s="59">
        <f>IFERROR(F27/F24,"")</f>
        <v/>
      </c>
      <c r="G28" s="49">
        <f>(Dashboard!$B$34/G24)+(Dashboard!$B$35-(Dashboard!$B$34/G24))*0/9</f>
        <v/>
      </c>
      <c r="H28" s="49">
        <f>(Dashboard!$B$34/G24)+(Dashboard!$B$35-(Dashboard!$B$34/G24))*1/9</f>
        <v/>
      </c>
      <c r="I28" s="49">
        <f>(Dashboard!$B$34/G24)+(Dashboard!$B$35-(Dashboard!$B$34/G24))*2/9</f>
        <v/>
      </c>
      <c r="J28" s="49">
        <f>(Dashboard!$B$34/G24)+(Dashboard!$B$35-(Dashboard!$B$34/G24))*3/9</f>
        <v/>
      </c>
      <c r="K28" s="49">
        <f>(Dashboard!$B$34/G24)+(Dashboard!$B$35-(Dashboard!$B$34/G24))*4/9</f>
        <v/>
      </c>
      <c r="L28" s="49">
        <f>(Dashboard!$B$34/G24)+(Dashboard!$B$35-(Dashboard!$B$34/G24))*5/9</f>
        <v/>
      </c>
      <c r="M28" s="49">
        <f>(Dashboard!$B$34/G24)+(Dashboard!$B$35-(Dashboard!$B$34/G24))*6/9</f>
        <v/>
      </c>
      <c r="N28" s="49">
        <f>(Dashboard!$B$34/G24)+(Dashboard!$B$35-(Dashboard!$B$34/G24))*7/9</f>
        <v/>
      </c>
      <c r="O28" s="49">
        <f>(Dashboard!$B$34/G24)+(Dashboard!$B$35-(Dashboard!$B$34/G24))*8/9</f>
        <v/>
      </c>
      <c r="P28" s="49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Financials!M25+Financials!M24-Financials!M19</f>
        <v/>
      </c>
      <c r="C34" s="28">
        <f>Financials!Q25+Financials!Q24-Financials!Q19</f>
        <v/>
      </c>
      <c r="D34" s="28">
        <f>Financials!U25+Financials!U24-Financials!U19</f>
        <v/>
      </c>
      <c r="E34" s="28">
        <f>Financials!Y25+Financials!Y24-Financials!Y19</f>
        <v/>
      </c>
      <c r="F34" s="28">
        <f>Financials!AC25+Financials!AC24-Financials!AC19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Financials!M25</f>
        <v/>
      </c>
      <c r="C35" s="28">
        <f>Financials!Q25</f>
        <v/>
      </c>
      <c r="D35" s="28">
        <f>Financials!U25</f>
        <v/>
      </c>
      <c r="E35" s="28">
        <f>Financials!Y25</f>
        <v/>
      </c>
      <c r="F35" s="28">
        <f>Financials!AC25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57">
        <f>IFERROR(C23/B34,"")</f>
        <v/>
      </c>
      <c r="D36" s="57">
        <f>IFERROR(D23/C34,"")</f>
        <v/>
      </c>
      <c r="E36" s="57">
        <f>IFERROR(E23/D34,"")</f>
        <v/>
      </c>
      <c r="F36" s="57">
        <f>IFERROR(F23/E34,"")</f>
        <v/>
      </c>
      <c r="G36" s="57">
        <f>IFERROR(G23/F34,"")</f>
        <v/>
      </c>
      <c r="H36" s="57">
        <f>IFERROR(H23/G34,"")</f>
        <v/>
      </c>
      <c r="I36" s="57">
        <f>IFERROR(I23/H34,"")</f>
        <v/>
      </c>
      <c r="J36" s="57">
        <f>IFERROR(J23/I34,"")</f>
        <v/>
      </c>
      <c r="K36" s="57">
        <f>IFERROR(K23/J34,"")</f>
        <v/>
      </c>
      <c r="L36" s="57">
        <f>IFERROR(L23/K34,"")</f>
        <v/>
      </c>
      <c r="M36" s="57">
        <f>IFERROR(M23/L34,"")</f>
        <v/>
      </c>
      <c r="N36" s="57">
        <f>IFERROR(N23/M34,"")</f>
        <v/>
      </c>
      <c r="O36" s="57">
        <f>IFERROR(O23/N34,"")</f>
        <v/>
      </c>
      <c r="P36" s="57">
        <f>IFERROR(P23/O34,"")</f>
        <v/>
      </c>
    </row>
    <row r="37">
      <c r="A37" s="3" t="inlineStr">
        <is>
          <t xml:space="preserve">  ROE (earnings / beg. equity)</t>
        </is>
      </c>
      <c r="C37" s="48">
        <f>IFERROR(SUM(Financials!N15:Q15)/B35,"")</f>
        <v/>
      </c>
      <c r="D37" s="48">
        <f>IFERROR(SUM(Financials!R15:U15)/C35,"")</f>
        <v/>
      </c>
      <c r="E37" s="48">
        <f>IFERROR(SUM(Financials!V15:Y15)/D35,"")</f>
        <v/>
      </c>
      <c r="F37" s="48">
        <f>IFERROR(SUM(Financials!Z15:AC15)/E35,"")</f>
        <v/>
      </c>
      <c r="G37" s="57">
        <f>IFERROR(G23/F35,"")</f>
        <v/>
      </c>
      <c r="H37" s="57">
        <f>IFERROR(H23/G35,"")</f>
        <v/>
      </c>
      <c r="I37" s="57">
        <f>IFERROR(I23/H35,"")</f>
        <v/>
      </c>
      <c r="J37" s="57">
        <f>IFERROR(J23/I35,"")</f>
        <v/>
      </c>
      <c r="K37" s="57">
        <f>IFERROR(K23/J35,"")</f>
        <v/>
      </c>
      <c r="L37" s="57">
        <f>IFERROR(L23/K35,"")</f>
        <v/>
      </c>
      <c r="M37" s="57">
        <f>IFERROR(M23/L35,"")</f>
        <v/>
      </c>
      <c r="N37" s="57">
        <f>IFERROR(N23/M35,"")</f>
        <v/>
      </c>
      <c r="O37" s="57">
        <f>IFERROR(O23/N35,"")</f>
        <v/>
      </c>
      <c r="P37" s="57">
        <f>IFERROR(P23/O35,"")</f>
        <v/>
      </c>
    </row>
    <row r="38">
      <c r="A38" s="4" t="inlineStr">
        <is>
          <t xml:space="preserve">  ROIC - WACC spread (value created)</t>
        </is>
      </c>
      <c r="C38" s="48">
        <f>IFERROR(C36-WACC!$B$14,"")</f>
        <v/>
      </c>
      <c r="D38" s="48">
        <f>IFERROR(D36-WACC!$B$14,"")</f>
        <v/>
      </c>
      <c r="E38" s="48">
        <f>IFERROR(E36-WACC!$B$14,"")</f>
        <v/>
      </c>
      <c r="F38" s="48">
        <f>IFERROR(F36-WACC!$B$14,"")</f>
        <v/>
      </c>
      <c r="G38" s="48">
        <f>IFERROR(G36-WACC!$B$14,"")</f>
        <v/>
      </c>
      <c r="H38" s="48">
        <f>IFERROR(H36-WACC!$B$14,"")</f>
        <v/>
      </c>
      <c r="I38" s="48">
        <f>IFERROR(I36-WACC!$B$14,"")</f>
        <v/>
      </c>
      <c r="J38" s="48">
        <f>IFERROR(J36-WACC!$B$14,"")</f>
        <v/>
      </c>
      <c r="K38" s="48">
        <f>IFERROR(K36-WACC!$B$14,"")</f>
        <v/>
      </c>
      <c r="L38" s="48">
        <f>IFERROR(L36-WACC!$B$14,"")</f>
        <v/>
      </c>
      <c r="M38" s="48">
        <f>IFERROR(M36-WACC!$B$14,"")</f>
        <v/>
      </c>
      <c r="N38" s="48">
        <f>IFERROR(N36-WACC!$B$14,"")</f>
        <v/>
      </c>
      <c r="O38" s="48">
        <f>IFERROR(O36-WACC!$B$14,"")</f>
        <v/>
      </c>
      <c r="P38" s="48">
        <f>IFERROR(P36-WACC!$B$14,"")</f>
        <v/>
      </c>
    </row>
    <row r="39">
      <c r="A39" s="4" t="inlineStr">
        <is>
          <t xml:space="preserve">  Incremental op margin (ΔEBIT / ΔRev)</t>
        </is>
      </c>
      <c r="C39" s="57">
        <f>IFERROR((C19-B19)/(C6-B6),"")</f>
        <v/>
      </c>
      <c r="D39" s="57">
        <f>IFERROR((D19-C19)/(D6-C6),"")</f>
        <v/>
      </c>
      <c r="E39" s="57">
        <f>IFERROR((E19-D19)/(E6-D6),"")</f>
        <v/>
      </c>
      <c r="F39" s="57">
        <f>IFERROR((F19-E19)/(F6-E6),"")</f>
        <v/>
      </c>
      <c r="G39" s="57">
        <f>IFERROR((G19-F19)/(G6-F6),"")</f>
        <v/>
      </c>
      <c r="H39" s="57">
        <f>IFERROR((H19-G19)/(H6-G6),"")</f>
        <v/>
      </c>
      <c r="I39" s="57">
        <f>IFERROR((I19-H19)/(I6-H6),"")</f>
        <v/>
      </c>
      <c r="J39" s="57">
        <f>IFERROR((J19-I19)/(J6-I6),"")</f>
        <v/>
      </c>
      <c r="K39" s="57">
        <f>IFERROR((K19-J19)/(K6-J6),"")</f>
        <v/>
      </c>
      <c r="L39" s="57">
        <f>IFERROR((L19-K19)/(L6-K6),"")</f>
        <v/>
      </c>
      <c r="M39" s="57">
        <f>IFERROR((M19-L19)/(M6-L6),"")</f>
        <v/>
      </c>
      <c r="N39" s="57">
        <f>IFERROR((N19-M19)/(N6-M6),"")</f>
        <v/>
      </c>
      <c r="O39" s="57">
        <f>IFERROR((O19-N19)/(O6-N6),"")</f>
        <v/>
      </c>
      <c r="P39" s="57">
        <f>IFERROR((P19-O19)/(P6-O6),"")</f>
        <v/>
      </c>
    </row>
    <row r="40">
      <c r="A40" s="3" t="inlineStr">
        <is>
          <t xml:space="preserve">  ROIIC (ΔNOPAT / ΔInvested capital)</t>
        </is>
      </c>
      <c r="C40" s="57">
        <f>IFERROR((C23-B23)/(C34-B34),"")</f>
        <v/>
      </c>
      <c r="D40" s="57">
        <f>IFERROR((D23-C23)/(D34-C34),"")</f>
        <v/>
      </c>
      <c r="E40" s="57">
        <f>IFERROR((E23-D23)/(E34-D34),"")</f>
        <v/>
      </c>
      <c r="F40" s="57">
        <f>IFERROR((F23-E23)/(F34-E34),"")</f>
        <v/>
      </c>
      <c r="G40" s="57">
        <f>IFERROR((G23-F23)/(G34-F34),"")</f>
        <v/>
      </c>
      <c r="H40" s="57">
        <f>IFERROR((H23-G23)/(H34-G34),"")</f>
        <v/>
      </c>
      <c r="I40" s="57">
        <f>IFERROR((I23-H23)/(I34-H34),"")</f>
        <v/>
      </c>
      <c r="J40" s="57">
        <f>IFERROR((J23-I23)/(J34-I34),"")</f>
        <v/>
      </c>
      <c r="K40" s="57">
        <f>IFERROR((K23-J23)/(K34-J34),"")</f>
        <v/>
      </c>
      <c r="L40" s="57">
        <f>IFERROR((L23-K23)/(L34-K34),"")</f>
        <v/>
      </c>
      <c r="M40" s="57">
        <f>IFERROR((M23-L23)/(M34-L34),"")</f>
        <v/>
      </c>
      <c r="N40" s="57">
        <f>IFERROR((N23-M23)/(N34-M34),"")</f>
        <v/>
      </c>
      <c r="O40" s="57">
        <f>IFERROR((O23-N23)/(O34-N34),"")</f>
        <v/>
      </c>
      <c r="P40" s="5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60">
        <f>IFERROR((C6-B6)/(C34-B34),"")</f>
        <v/>
      </c>
      <c r="D41" s="60">
        <f>IFERROR((D6-C6)/(D34-C34),"")</f>
        <v/>
      </c>
      <c r="E41" s="60">
        <f>IFERROR((E6-D6)/(E34-D34),"")</f>
        <v/>
      </c>
      <c r="F41" s="60">
        <f>IFERROR((F6-E6)/(F34-E34),"")</f>
        <v/>
      </c>
      <c r="G41" s="60">
        <f>IFERROR((G6-F6)/(G34-F34),"")</f>
        <v/>
      </c>
      <c r="H41" s="60">
        <f>IFERROR((H6-G6)/(H34-G34),"")</f>
        <v/>
      </c>
      <c r="I41" s="60">
        <f>IFERROR((I6-H6)/(I34-H34),"")</f>
        <v/>
      </c>
      <c r="J41" s="60">
        <f>IFERROR((J6-I6)/(J34-I34),"")</f>
        <v/>
      </c>
      <c r="K41" s="60">
        <f>IFERROR((K6-J6)/(K34-J34),"")</f>
        <v/>
      </c>
      <c r="L41" s="60">
        <f>IFERROR((L6-K6)/(L34-K34),"")</f>
        <v/>
      </c>
      <c r="M41" s="60">
        <f>IFERROR((M6-L6)/(M34-L34),"")</f>
        <v/>
      </c>
      <c r="N41" s="60">
        <f>IFERROR((N6-M6)/(N34-M34),"")</f>
        <v/>
      </c>
      <c r="O41" s="60">
        <f>IFERROR((O6-N6)/(O34-N34),"")</f>
        <v/>
      </c>
      <c r="P41" s="60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57">
        <f>IFERROR((C34-B34)/C23,"")</f>
        <v/>
      </c>
      <c r="D42" s="57">
        <f>IFERROR((D34-C34)/D23,"")</f>
        <v/>
      </c>
      <c r="E42" s="57">
        <f>IFERROR((E34-D34)/E23,"")</f>
        <v/>
      </c>
      <c r="F42" s="57">
        <f>IFERROR((F34-E34)/F23,"")</f>
        <v/>
      </c>
      <c r="G42" s="57">
        <f>IFERROR((G34-F34)/G23,"")</f>
        <v/>
      </c>
      <c r="H42" s="57">
        <f>IFERROR((H34-G34)/H23,"")</f>
        <v/>
      </c>
      <c r="I42" s="57">
        <f>IFERROR((I34-H34)/I23,"")</f>
        <v/>
      </c>
      <c r="J42" s="57">
        <f>IFERROR((J34-I34)/J23,"")</f>
        <v/>
      </c>
      <c r="K42" s="57">
        <f>IFERROR((K34-J34)/K23,"")</f>
        <v/>
      </c>
      <c r="L42" s="57">
        <f>IFERROR((L34-K34)/L23,"")</f>
        <v/>
      </c>
      <c r="M42" s="57">
        <f>IFERROR((M34-L34)/M23,"")</f>
        <v/>
      </c>
      <c r="N42" s="57">
        <f>IFERROR((N34-M34)/N23,"")</f>
        <v/>
      </c>
      <c r="O42" s="57">
        <f>IFERROR((O34-N34)/O23,"")</f>
        <v/>
      </c>
      <c r="P42" s="5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Q1 2020</t>
        </is>
      </c>
      <c r="C1" s="36" t="inlineStr">
        <is>
          <t>Q2 2020</t>
        </is>
      </c>
      <c r="D1" s="36" t="inlineStr">
        <is>
          <t>Q3 2020</t>
        </is>
      </c>
      <c r="E1" s="36" t="inlineStr">
        <is>
          <t>Q4 2020</t>
        </is>
      </c>
      <c r="F1" s="36" t="inlineStr">
        <is>
          <t>Q1 2021</t>
        </is>
      </c>
      <c r="G1" s="36" t="inlineStr">
        <is>
          <t>Q2 2021</t>
        </is>
      </c>
      <c r="H1" s="36" t="inlineStr">
        <is>
          <t>Q3 2021</t>
        </is>
      </c>
      <c r="I1" s="36" t="inlineStr">
        <is>
          <t>Q4 2021</t>
        </is>
      </c>
      <c r="J1" s="36" t="inlineStr">
        <is>
          <t>Q1 2022</t>
        </is>
      </c>
      <c r="K1" s="36" t="inlineStr">
        <is>
          <t>Q2 2022</t>
        </is>
      </c>
      <c r="L1" s="36" t="inlineStr">
        <is>
          <t>Q3 2022</t>
        </is>
      </c>
      <c r="M1" s="36" t="inlineStr">
        <is>
          <t>Q4 2022</t>
        </is>
      </c>
      <c r="N1" s="36" t="inlineStr">
        <is>
          <t>Q1 2023</t>
        </is>
      </c>
      <c r="O1" s="36" t="inlineStr">
        <is>
          <t>Q2 2023</t>
        </is>
      </c>
      <c r="P1" s="36" t="inlineStr">
        <is>
          <t>Q3 2023</t>
        </is>
      </c>
      <c r="Q1" s="36" t="inlineStr">
        <is>
          <t>Q4 2023</t>
        </is>
      </c>
      <c r="R1" s="36" t="inlineStr">
        <is>
          <t>Q1 2024</t>
        </is>
      </c>
      <c r="S1" s="36" t="inlineStr">
        <is>
          <t>Q2 2024</t>
        </is>
      </c>
      <c r="T1" s="36" t="inlineStr">
        <is>
          <t>Q3 2024</t>
        </is>
      </c>
      <c r="U1" s="36" t="inlineStr">
        <is>
          <t>Q4 2024</t>
        </is>
      </c>
      <c r="V1" s="36" t="inlineStr">
        <is>
          <t>Q1 2025</t>
        </is>
      </c>
      <c r="W1" s="36" t="inlineStr">
        <is>
          <t>Q2 2025</t>
        </is>
      </c>
      <c r="X1" s="36" t="inlineStr">
        <is>
          <t>Q3 2025</t>
        </is>
      </c>
      <c r="Y1" s="36" t="inlineStr">
        <is>
          <t>Q4 2025</t>
        </is>
      </c>
      <c r="Z1" s="36" t="inlineStr">
        <is>
          <t>Q1 2026</t>
        </is>
      </c>
      <c r="AA1" s="36" t="inlineStr">
        <is>
          <t>Q2 2026</t>
        </is>
      </c>
      <c r="AB1" s="36" t="inlineStr">
        <is>
          <t>Q3 2026</t>
        </is>
      </c>
      <c r="AC1" s="36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172111</v>
      </c>
      <c r="C3" s="18" t="n">
        <v>271856</v>
      </c>
      <c r="D3" s="18" t="n">
        <v>578701</v>
      </c>
      <c r="E3" s="18" t="n">
        <v>285851</v>
      </c>
      <c r="F3" s="18" t="n">
        <v>358106</v>
      </c>
      <c r="G3" s="18" t="n">
        <v>411418</v>
      </c>
      <c r="H3" s="18" t="n">
        <v>634939</v>
      </c>
      <c r="I3" s="18" t="n">
        <v>354447</v>
      </c>
      <c r="J3" s="18" t="n">
        <v>322647</v>
      </c>
      <c r="K3" s="18" t="n">
        <v>301625</v>
      </c>
      <c r="L3" s="18" t="n">
        <v>695947</v>
      </c>
      <c r="M3" s="18" t="n">
        <v>375125</v>
      </c>
      <c r="N3" s="18" t="n">
        <v>307460</v>
      </c>
      <c r="O3" s="18" t="n">
        <v>349514</v>
      </c>
      <c r="P3" s="18" t="n">
        <v>638204</v>
      </c>
      <c r="Q3" s="18" t="n">
        <v>306499</v>
      </c>
      <c r="R3" s="18" t="n">
        <v>461341</v>
      </c>
      <c r="S3" s="18" t="n">
        <v>334896</v>
      </c>
      <c r="T3" s="18" t="n">
        <v>598559</v>
      </c>
      <c r="U3" s="18" t="n">
        <v>277069</v>
      </c>
      <c r="V3" s="18" t="n">
        <v>246638</v>
      </c>
      <c r="W3" s="18" t="n">
        <v>276661</v>
      </c>
      <c r="X3" s="18" t="n">
        <v>432919</v>
      </c>
      <c r="Y3" s="18" t="n">
        <v>208704</v>
      </c>
      <c r="Z3" s="18" t="n">
        <v>572363</v>
      </c>
      <c r="AA3" s="18" t="n">
        <v>536394</v>
      </c>
      <c r="AB3" s="18" t="n">
        <v>820874.186</v>
      </c>
      <c r="AC3" s="18" t="n">
        <v>414648.122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  <c r="AC4" s="57">
        <f>IFERROR(AC3/Y3-1,"")</f>
        <v/>
      </c>
    </row>
    <row r="5">
      <c r="A5" s="4" t="inlineStr">
        <is>
          <t>Cost of Revenue</t>
        </is>
      </c>
      <c r="B5" s="18" t="n">
        <v>88693</v>
      </c>
      <c r="C5" s="18" t="n">
        <v>142171</v>
      </c>
      <c r="D5" s="18" t="n">
        <v>325714</v>
      </c>
      <c r="E5" s="18" t="n">
        <v>110239</v>
      </c>
      <c r="F5" s="18" t="n">
        <v>146561</v>
      </c>
      <c r="G5" s="18" t="n">
        <v>188894</v>
      </c>
      <c r="H5" s="18" t="n">
        <v>300191</v>
      </c>
      <c r="I5" s="18" t="n">
        <v>152791</v>
      </c>
      <c r="J5" s="18" t="n">
        <v>129779</v>
      </c>
      <c r="K5" s="18" t="n">
        <v>121766</v>
      </c>
      <c r="L5" s="18" t="n">
        <v>334642</v>
      </c>
      <c r="M5" s="18" t="n">
        <v>163112</v>
      </c>
      <c r="N5" s="18" t="n">
        <v>122861</v>
      </c>
      <c r="O5" s="18" t="n">
        <v>142502</v>
      </c>
      <c r="P5" s="18" t="n">
        <v>332149</v>
      </c>
      <c r="Q5" s="18" t="n">
        <v>118725</v>
      </c>
      <c r="R5" s="18" t="n">
        <v>180242</v>
      </c>
      <c r="S5" s="18" t="n">
        <v>143962</v>
      </c>
      <c r="T5" s="18" t="n">
        <v>292355</v>
      </c>
      <c r="U5" s="18" t="n">
        <v>100971</v>
      </c>
      <c r="V5" s="18" t="n">
        <v>94178</v>
      </c>
      <c r="W5" s="18" t="n">
        <v>111188</v>
      </c>
      <c r="X5" s="18" t="n">
        <v>185326</v>
      </c>
      <c r="Y5" s="18" t="n">
        <v>64062</v>
      </c>
      <c r="Z5" s="18" t="n">
        <v>387208</v>
      </c>
      <c r="AA5" s="18" t="n">
        <v>319364</v>
      </c>
      <c r="AB5" s="18" t="n">
        <v>501211.758</v>
      </c>
      <c r="AC5" s="18" t="n">
        <v>214541.257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  <c r="AC6" s="57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84159</v>
      </c>
      <c r="F7" s="18" t="n">
        <v>0</v>
      </c>
      <c r="G7" s="18" t="n">
        <v>0</v>
      </c>
      <c r="H7" s="18" t="n">
        <v>0</v>
      </c>
      <c r="I7" s="18" t="n">
        <v>23096</v>
      </c>
      <c r="J7" s="18" t="n">
        <v>20343</v>
      </c>
      <c r="K7" s="18" t="n">
        <v>23845</v>
      </c>
      <c r="L7" s="18" t="n">
        <v>24781</v>
      </c>
      <c r="M7" s="18" t="n">
        <v>102199</v>
      </c>
      <c r="N7" s="18" t="n">
        <v>23768</v>
      </c>
      <c r="O7" s="18" t="n">
        <v>27553</v>
      </c>
      <c r="P7" s="18" t="n">
        <v>27057</v>
      </c>
      <c r="Q7" s="18" t="n">
        <v>31637</v>
      </c>
      <c r="R7" s="18" t="n">
        <v>29385</v>
      </c>
      <c r="S7" s="18" t="n">
        <v>30048</v>
      </c>
      <c r="T7" s="18" t="n">
        <v>32932</v>
      </c>
      <c r="U7" s="18" t="n">
        <v>45384</v>
      </c>
      <c r="V7" s="18" t="n">
        <v>0</v>
      </c>
      <c r="W7" s="18" t="n">
        <v>0</v>
      </c>
      <c r="X7" s="18" t="n">
        <v>0</v>
      </c>
      <c r="Y7" s="18" t="n">
        <v>143788</v>
      </c>
      <c r="Z7" s="18" t="n">
        <v>0</v>
      </c>
      <c r="AA7" s="18" t="n">
        <v>44277</v>
      </c>
      <c r="AB7" s="18" t="n">
        <v>45967.114</v>
      </c>
      <c r="AC7" s="18" t="n">
        <v>0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  <c r="AC8" s="57">
        <f>IFERROR(AC7/AC3,"")</f>
        <v/>
      </c>
    </row>
    <row r="9">
      <c r="A9" s="4" t="inlineStr">
        <is>
          <t>SG&amp;A Expense</t>
        </is>
      </c>
      <c r="B9" s="18" t="n">
        <v>55989</v>
      </c>
      <c r="C9" s="18" t="n">
        <v>62891</v>
      </c>
      <c r="D9" s="18" t="n">
        <v>84279</v>
      </c>
      <c r="E9" s="18" t="n">
        <v>5085</v>
      </c>
      <c r="F9" s="18" t="n">
        <v>66808</v>
      </c>
      <c r="G9" s="18" t="n">
        <v>75836</v>
      </c>
      <c r="H9" s="18" t="n">
        <v>105063</v>
      </c>
      <c r="I9" s="18" t="n">
        <v>59035</v>
      </c>
      <c r="J9" s="18" t="n">
        <v>52773</v>
      </c>
      <c r="K9" s="18" t="n">
        <v>79651</v>
      </c>
      <c r="L9" s="18" t="n">
        <v>108713</v>
      </c>
      <c r="M9" s="18" t="n">
        <v>18199</v>
      </c>
      <c r="N9" s="18" t="n">
        <v>82950</v>
      </c>
      <c r="O9" s="18" t="n">
        <v>60719</v>
      </c>
      <c r="P9" s="18" t="n">
        <v>88845</v>
      </c>
      <c r="Q9" s="18" t="n">
        <v>62304</v>
      </c>
      <c r="R9" s="18" t="n">
        <v>95656</v>
      </c>
      <c r="S9" s="18" t="n">
        <v>66419</v>
      </c>
      <c r="T9" s="18" t="n">
        <v>88771</v>
      </c>
      <c r="U9" s="18" t="n">
        <v>66183</v>
      </c>
      <c r="V9" s="18" t="n">
        <v>97950</v>
      </c>
      <c r="W9" s="18" t="n">
        <v>98468</v>
      </c>
      <c r="X9" s="18" t="n">
        <v>121509</v>
      </c>
      <c r="Y9" s="18" t="n">
        <v>109687</v>
      </c>
      <c r="Z9" s="18" t="n">
        <v>128226</v>
      </c>
      <c r="AA9" s="18" t="n">
        <v>82962</v>
      </c>
      <c r="AB9" s="18" t="n">
        <v>115680.306</v>
      </c>
      <c r="AC9" s="18" t="n">
        <v>139286.688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  <c r="AC10" s="57">
        <f>IFERROR(AC9/AC3,"")</f>
        <v/>
      </c>
    </row>
    <row r="11">
      <c r="A11" s="4" t="inlineStr">
        <is>
          <t>Gross Profit</t>
        </is>
      </c>
      <c r="B11" s="18" t="n">
        <v>83418</v>
      </c>
      <c r="C11" s="18" t="n">
        <v>129685</v>
      </c>
      <c r="D11" s="18" t="n">
        <v>252987</v>
      </c>
      <c r="E11" s="18" t="n">
        <v>175612</v>
      </c>
      <c r="F11" s="18" t="n">
        <v>211545</v>
      </c>
      <c r="G11" s="18" t="n">
        <v>222524</v>
      </c>
      <c r="H11" s="18" t="n">
        <v>334748</v>
      </c>
      <c r="I11" s="18" t="n">
        <v>201656</v>
      </c>
      <c r="J11" s="18" t="n">
        <v>192868</v>
      </c>
      <c r="K11" s="18" t="n">
        <v>179859</v>
      </c>
      <c r="L11" s="18" t="n">
        <v>361305</v>
      </c>
      <c r="M11" s="18" t="n">
        <v>212013</v>
      </c>
      <c r="N11" s="18" t="n">
        <v>184599</v>
      </c>
      <c r="O11" s="18" t="n">
        <v>207012</v>
      </c>
      <c r="P11" s="18" t="n">
        <v>306055</v>
      </c>
      <c r="Q11" s="18" t="n">
        <v>187774</v>
      </c>
      <c r="R11" s="18" t="n">
        <v>281099</v>
      </c>
      <c r="S11" s="18" t="n">
        <v>190934</v>
      </c>
      <c r="T11" s="18" t="n">
        <v>306204</v>
      </c>
      <c r="U11" s="18" t="n">
        <v>176098</v>
      </c>
      <c r="V11" s="18" t="n">
        <v>152460</v>
      </c>
      <c r="W11" s="18" t="n">
        <v>165473</v>
      </c>
      <c r="X11" s="18" t="n">
        <v>247593</v>
      </c>
      <c r="Y11" s="18" t="n">
        <v>144642</v>
      </c>
      <c r="Z11" s="18" t="n">
        <v>185155</v>
      </c>
      <c r="AA11" s="18" t="n">
        <v>217030</v>
      </c>
      <c r="AB11" s="18" t="n">
        <v>319662.427</v>
      </c>
      <c r="AC11" s="18" t="n">
        <v>200106.865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  <c r="AC12" s="57">
        <f>IFERROR(AC11/AC3,"")</f>
        <v/>
      </c>
    </row>
    <row r="13">
      <c r="A13" s="4" t="inlineStr">
        <is>
          <t>Operating Income</t>
        </is>
      </c>
      <c r="B13" s="18" t="n">
        <v>27428</v>
      </c>
      <c r="C13" s="18" t="n">
        <v>66794</v>
      </c>
      <c r="D13" s="18" t="n">
        <v>168708</v>
      </c>
      <c r="E13" s="18" t="n">
        <v>89440</v>
      </c>
      <c r="F13" s="18" t="n">
        <v>144737</v>
      </c>
      <c r="G13" s="18" t="n">
        <v>146687</v>
      </c>
      <c r="H13" s="18" t="n">
        <v>229684</v>
      </c>
      <c r="I13" s="18" t="n">
        <v>119526</v>
      </c>
      <c r="J13" s="18" t="n">
        <v>119752</v>
      </c>
      <c r="K13" s="18" t="n">
        <v>100207</v>
      </c>
      <c r="L13" s="18" t="n">
        <v>252592</v>
      </c>
      <c r="M13" s="18" t="n">
        <v>120209</v>
      </c>
      <c r="N13" s="18" t="n">
        <v>101647</v>
      </c>
      <c r="O13" s="18" t="n">
        <v>118740</v>
      </c>
      <c r="P13" s="18" t="n">
        <v>190154</v>
      </c>
      <c r="Q13" s="18" t="n">
        <v>93834</v>
      </c>
      <c r="R13" s="18" t="n">
        <v>185441</v>
      </c>
      <c r="S13" s="18" t="n">
        <v>94469</v>
      </c>
      <c r="T13" s="18" t="n">
        <v>184500</v>
      </c>
      <c r="U13" s="18" t="n">
        <v>64531</v>
      </c>
      <c r="V13" s="18" t="n">
        <v>54510</v>
      </c>
      <c r="W13" s="18" t="n">
        <v>67005</v>
      </c>
      <c r="X13" s="18" t="n">
        <v>126084</v>
      </c>
      <c r="Y13" s="18" t="n">
        <v>34955</v>
      </c>
      <c r="Z13" s="18" t="n">
        <v>56928</v>
      </c>
      <c r="AA13" s="18" t="n">
        <v>89792</v>
      </c>
      <c r="AB13" s="18" t="n">
        <v>158015.008</v>
      </c>
      <c r="AC13" s="18" t="n">
        <v>60820.177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  <c r="AC14" s="57">
        <f>IFERROR(AC13/AC3,"")</f>
        <v/>
      </c>
    </row>
    <row r="15">
      <c r="A15" s="4" t="inlineStr">
        <is>
          <t>Net Income</t>
        </is>
      </c>
      <c r="B15" s="18" t="n">
        <v>16604</v>
      </c>
      <c r="C15" s="18" t="n">
        <v>45414</v>
      </c>
      <c r="D15" s="18" t="n">
        <v>134371</v>
      </c>
      <c r="E15" s="18" t="n">
        <v>62252</v>
      </c>
      <c r="F15" s="18" t="n">
        <v>106482</v>
      </c>
      <c r="G15" s="18" t="n">
        <v>106641</v>
      </c>
      <c r="H15" s="18" t="n">
        <v>163542</v>
      </c>
      <c r="I15" s="18" t="n">
        <v>103711</v>
      </c>
      <c r="J15" s="18" t="n">
        <v>92747</v>
      </c>
      <c r="K15" s="18" t="n">
        <v>79087</v>
      </c>
      <c r="L15" s="18" t="n">
        <v>195553</v>
      </c>
      <c r="M15" s="18" t="n">
        <v>110304</v>
      </c>
      <c r="N15" s="18" t="n">
        <v>118984</v>
      </c>
      <c r="O15" s="18" t="n">
        <v>111467</v>
      </c>
      <c r="P15" s="18" t="n">
        <v>115776</v>
      </c>
      <c r="Q15" s="18" t="n">
        <v>86541</v>
      </c>
      <c r="R15" s="18" t="n">
        <v>181019</v>
      </c>
      <c r="S15" s="18" t="n">
        <v>90279</v>
      </c>
      <c r="T15" s="18" t="n">
        <v>136743</v>
      </c>
      <c r="U15" s="18" t="n">
        <v>82561</v>
      </c>
      <c r="V15" s="18" t="n">
        <v>80954</v>
      </c>
      <c r="W15" s="18" t="n">
        <v>27704</v>
      </c>
      <c r="X15" s="18" t="n">
        <v>128531</v>
      </c>
      <c r="Y15" s="18" t="n">
        <v>41616</v>
      </c>
      <c r="Z15" s="18" t="n">
        <v>96032</v>
      </c>
      <c r="AA15" s="18" t="n">
        <v>104699</v>
      </c>
      <c r="AB15" s="18" t="n">
        <v>162814.108</v>
      </c>
      <c r="AC15" s="18" t="n">
        <v>66389.648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  <c r="AC16" s="57">
        <f>IFERROR(AC15/AC3,"")</f>
        <v/>
      </c>
    </row>
    <row r="17">
      <c r="A17" s="4" t="inlineStr">
        <is>
          <t>Diluted Shares (M)</t>
        </is>
      </c>
      <c r="B17" s="18" t="n">
        <v>4764.96</v>
      </c>
      <c r="C17" s="18" t="n">
        <v>4764.96</v>
      </c>
      <c r="D17" s="18" t="n">
        <v>4764.92</v>
      </c>
      <c r="E17" s="18" t="n">
        <v>4764.92</v>
      </c>
      <c r="F17" s="18" t="n">
        <v>4764.92</v>
      </c>
      <c r="G17" s="18" t="n">
        <v>4764.92</v>
      </c>
      <c r="H17" s="18" t="n">
        <v>4764.88</v>
      </c>
      <c r="I17" s="18" t="n">
        <v>4764.88</v>
      </c>
      <c r="J17" s="18" t="n">
        <v>4764.88</v>
      </c>
      <c r="K17" s="18" t="n">
        <v>4736.208</v>
      </c>
      <c r="L17" s="18" t="n">
        <v>4692.89232</v>
      </c>
      <c r="M17" s="18" t="n">
        <v>4693.4</v>
      </c>
      <c r="N17" s="18" t="n">
        <v>4672.712</v>
      </c>
      <c r="O17" s="18" t="n">
        <v>4656.89712</v>
      </c>
      <c r="P17" s="18" t="n">
        <v>4656.91772</v>
      </c>
      <c r="Q17" s="18" t="n">
        <v>4656.91744</v>
      </c>
      <c r="R17" s="18" t="n">
        <v>4656.916</v>
      </c>
      <c r="S17" s="18" t="n">
        <v>4656.954656</v>
      </c>
      <c r="T17" s="18" t="n">
        <v>4656.956</v>
      </c>
      <c r="U17" s="18" t="n">
        <v>4656.952</v>
      </c>
      <c r="V17" s="18" t="n">
        <v>4656.952</v>
      </c>
      <c r="W17" s="18" t="n">
        <v>4656.984</v>
      </c>
      <c r="X17" s="18" t="n">
        <v>4656.992</v>
      </c>
      <c r="Y17" s="18" t="n">
        <v>4656.992</v>
      </c>
      <c r="Z17" s="18" t="n">
        <v>4656.992</v>
      </c>
      <c r="AA17" s="18" t="n">
        <v>4657.024</v>
      </c>
      <c r="AB17" s="18" t="n">
        <v>4657.036</v>
      </c>
      <c r="AC17" s="18" t="n">
        <v>4632.252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906618</v>
      </c>
      <c r="C19" s="18" t="n">
        <v>925878</v>
      </c>
      <c r="D19" s="18" t="n">
        <v>1091169</v>
      </c>
      <c r="E19" s="18" t="n">
        <v>1216784</v>
      </c>
      <c r="F19" s="18" t="n">
        <v>1257327</v>
      </c>
      <c r="G19" s="18" t="n">
        <v>1389833</v>
      </c>
      <c r="H19" s="18" t="n">
        <v>1529137</v>
      </c>
      <c r="I19" s="18" t="n">
        <v>1742389</v>
      </c>
      <c r="J19" s="18" t="n">
        <v>1514177</v>
      </c>
      <c r="K19" s="18" t="n">
        <v>1469688</v>
      </c>
      <c r="L19" s="18" t="n">
        <v>1534270</v>
      </c>
      <c r="M19" s="18" t="n">
        <v>1710891</v>
      </c>
      <c r="N19" s="18" t="n">
        <v>1564777</v>
      </c>
      <c r="O19" s="18" t="n">
        <v>1654601</v>
      </c>
      <c r="P19" s="18" t="n">
        <v>1725650</v>
      </c>
      <c r="Q19" s="18" t="n">
        <v>1879365</v>
      </c>
      <c r="R19" s="18" t="n">
        <v>1952029</v>
      </c>
      <c r="S19" s="18" t="n">
        <v>2068614</v>
      </c>
      <c r="T19" s="18" t="n">
        <v>2010292</v>
      </c>
      <c r="U19" s="18" t="n">
        <v>2252705</v>
      </c>
      <c r="V19" s="18" t="n">
        <v>2163129</v>
      </c>
      <c r="W19" s="18" t="n">
        <v>2016373</v>
      </c>
      <c r="X19" s="18" t="n">
        <v>2154084</v>
      </c>
      <c r="Y19" s="18" t="n">
        <v>2058190</v>
      </c>
      <c r="Z19" s="18" t="n">
        <v>1909164</v>
      </c>
      <c r="AA19" s="18" t="n">
        <v>2115131</v>
      </c>
      <c r="AB19" s="18" t="n">
        <v>2295426.875</v>
      </c>
      <c r="AC19" s="18" t="n">
        <v>2226470.876</v>
      </c>
    </row>
    <row r="20">
      <c r="A20" s="4" t="inlineStr">
        <is>
          <t>Total Current Assets</t>
        </is>
      </c>
      <c r="B20" s="18" t="n">
        <v>1195534</v>
      </c>
      <c r="C20" s="18" t="n">
        <v>1358446</v>
      </c>
      <c r="D20" s="18" t="n">
        <v>1500427</v>
      </c>
      <c r="E20" s="18" t="n">
        <v>1501583</v>
      </c>
      <c r="F20" s="18" t="n">
        <v>1545765</v>
      </c>
      <c r="G20" s="18" t="n">
        <v>1768470</v>
      </c>
      <c r="H20" s="18" t="n">
        <v>1922688</v>
      </c>
      <c r="I20" s="18" t="n">
        <v>2020375</v>
      </c>
      <c r="J20" s="18" t="n">
        <v>1848880</v>
      </c>
      <c r="K20" s="18" t="n">
        <v>1930959</v>
      </c>
      <c r="L20" s="18" t="n">
        <v>2033051</v>
      </c>
      <c r="M20" s="18" t="n">
        <v>2126212</v>
      </c>
      <c r="N20" s="18" t="n">
        <v>2009748</v>
      </c>
      <c r="O20" s="18" t="n">
        <v>2179545</v>
      </c>
      <c r="P20" s="18" t="n">
        <v>2241859</v>
      </c>
      <c r="Q20" s="18" t="n">
        <v>2314513</v>
      </c>
      <c r="R20" s="18" t="n">
        <v>2455195</v>
      </c>
      <c r="S20" s="18" t="n">
        <v>2606440</v>
      </c>
      <c r="T20" s="18" t="n">
        <v>2521357</v>
      </c>
      <c r="U20" s="18" t="n">
        <v>2573302</v>
      </c>
      <c r="V20" s="18" t="n">
        <v>2574713</v>
      </c>
      <c r="W20" s="18" t="n">
        <v>2455907</v>
      </c>
      <c r="X20" s="18" t="n">
        <v>2764346</v>
      </c>
      <c r="Y20" s="18" t="n">
        <v>2752352</v>
      </c>
      <c r="Z20" s="18" t="n">
        <v>2819708</v>
      </c>
      <c r="AA20" s="18" t="n">
        <v>19978.143</v>
      </c>
      <c r="AB20" s="18" t="n">
        <v>3132597.97</v>
      </c>
      <c r="AC20" s="18" t="n">
        <v>3022837.938</v>
      </c>
    </row>
    <row r="21">
      <c r="A21" s="4" t="inlineStr">
        <is>
          <t>PP&amp;E (net)</t>
        </is>
      </c>
      <c r="B21" s="18" t="n">
        <v>81039</v>
      </c>
      <c r="C21" s="18" t="n">
        <v>83095</v>
      </c>
      <c r="D21" s="18" t="n">
        <v>82791</v>
      </c>
      <c r="E21" s="18" t="n">
        <v>82866</v>
      </c>
      <c r="F21" s="18" t="n">
        <v>82380</v>
      </c>
      <c r="G21" s="18" t="n">
        <v>83252</v>
      </c>
      <c r="H21" s="18" t="n">
        <v>82415</v>
      </c>
      <c r="I21" s="18" t="n">
        <v>83569</v>
      </c>
      <c r="J21" s="18" t="n">
        <v>83638</v>
      </c>
      <c r="K21" s="18" t="n">
        <v>84039</v>
      </c>
      <c r="L21" s="18" t="n">
        <v>84187</v>
      </c>
      <c r="M21" s="18" t="n">
        <v>85164</v>
      </c>
      <c r="N21" s="18" t="n">
        <v>91849</v>
      </c>
      <c r="O21" s="18" t="n">
        <v>92728</v>
      </c>
      <c r="P21" s="18" t="n">
        <v>97640</v>
      </c>
      <c r="Q21" s="18" t="n">
        <v>99509</v>
      </c>
      <c r="R21" s="18" t="n">
        <v>103787</v>
      </c>
      <c r="S21" s="18" t="n">
        <v>106711</v>
      </c>
      <c r="T21" s="18" t="n">
        <v>106546</v>
      </c>
      <c r="U21" s="18" t="n">
        <v>108518</v>
      </c>
      <c r="V21" s="18" t="n">
        <v>111788</v>
      </c>
      <c r="W21" s="18" t="n">
        <v>110978</v>
      </c>
      <c r="X21" s="18" t="n">
        <v>112783</v>
      </c>
      <c r="Y21" s="18" t="n">
        <v>112612</v>
      </c>
      <c r="Z21" s="18" t="n">
        <v>112825</v>
      </c>
      <c r="AA21" s="18" t="n">
        <v>113993</v>
      </c>
      <c r="AB21" s="18" t="n">
        <v>127084.693</v>
      </c>
      <c r="AC21" s="18" t="n">
        <v>128002.772</v>
      </c>
    </row>
    <row r="22">
      <c r="A22" s="4" t="inlineStr">
        <is>
          <t>Total Assets</t>
        </is>
      </c>
      <c r="B22" s="18" t="n">
        <v>1597571</v>
      </c>
      <c r="C22" s="18" t="n">
        <v>1777072</v>
      </c>
      <c r="D22" s="18" t="n">
        <v>1898641</v>
      </c>
      <c r="E22" s="18" t="n">
        <v>1934087</v>
      </c>
      <c r="F22" s="18" t="n">
        <v>1975410</v>
      </c>
      <c r="G22" s="18" t="n">
        <v>2211580</v>
      </c>
      <c r="H22" s="18" t="n">
        <v>2328065</v>
      </c>
      <c r="I22" s="18" t="n">
        <v>2446918</v>
      </c>
      <c r="J22" s="18" t="n">
        <v>2298064</v>
      </c>
      <c r="K22" s="18" t="n">
        <v>2399649</v>
      </c>
      <c r="L22" s="18" t="n">
        <v>2507333</v>
      </c>
      <c r="M22" s="18" t="n">
        <v>2662384</v>
      </c>
      <c r="N22" s="18" t="n">
        <v>2586214</v>
      </c>
      <c r="O22" s="18" t="n">
        <v>2781207</v>
      </c>
      <c r="P22" s="18" t="n">
        <v>2785812</v>
      </c>
      <c r="Q22" s="18" t="n">
        <v>2854284</v>
      </c>
      <c r="R22" s="18" t="n">
        <v>2997942</v>
      </c>
      <c r="S22" s="18" t="n">
        <v>3170476</v>
      </c>
      <c r="T22" s="18" t="n">
        <v>3073719</v>
      </c>
      <c r="U22" s="18" t="n">
        <v>3151394</v>
      </c>
      <c r="V22" s="18" t="n">
        <v>3180510</v>
      </c>
      <c r="W22" s="18" t="n">
        <v>3071364</v>
      </c>
      <c r="X22" s="18" t="n">
        <v>3386868</v>
      </c>
      <c r="Y22" s="18" t="n">
        <v>3398515</v>
      </c>
      <c r="Z22" s="18" t="n">
        <v>3472673</v>
      </c>
      <c r="AA22" s="18" t="n">
        <v>3636187</v>
      </c>
      <c r="AB22" s="18" t="n">
        <v>3865983.264</v>
      </c>
      <c r="AC22" s="18" t="n">
        <v>3821816.276</v>
      </c>
    </row>
    <row r="23">
      <c r="A23" s="4" t="inlineStr">
        <is>
          <t>Total Current Liabilities</t>
        </is>
      </c>
      <c r="B23" s="18" t="n">
        <v>222247</v>
      </c>
      <c r="C23" s="18" t="n">
        <v>358165</v>
      </c>
      <c r="D23" s="18" t="n">
        <v>365865</v>
      </c>
      <c r="E23" s="18" t="n">
        <v>355683</v>
      </c>
      <c r="F23" s="18" t="n">
        <v>382151</v>
      </c>
      <c r="G23" s="18" t="n">
        <v>497967</v>
      </c>
      <c r="H23" s="18" t="n">
        <v>546488</v>
      </c>
      <c r="I23" s="18" t="n">
        <v>526331</v>
      </c>
      <c r="J23" s="18" t="n">
        <v>446761</v>
      </c>
      <c r="K23" s="18" t="n">
        <v>563610</v>
      </c>
      <c r="L23" s="18" t="n">
        <v>532787</v>
      </c>
      <c r="M23" s="18" t="n">
        <v>540726</v>
      </c>
      <c r="N23" s="18" t="n">
        <v>491072</v>
      </c>
      <c r="O23" s="18" t="n">
        <v>547624</v>
      </c>
      <c r="P23" s="18" t="n">
        <v>559517</v>
      </c>
      <c r="Q23" s="18" t="n">
        <v>533480</v>
      </c>
      <c r="R23" s="18" t="n">
        <v>573571</v>
      </c>
      <c r="S23" s="18" t="n">
        <v>638552</v>
      </c>
      <c r="T23" s="18" t="n">
        <v>529599</v>
      </c>
      <c r="U23" s="18" t="n">
        <v>479276</v>
      </c>
      <c r="V23" s="18" t="n">
        <v>524279</v>
      </c>
      <c r="W23" s="18" t="n">
        <v>465812</v>
      </c>
      <c r="X23" s="18" t="n">
        <v>621822</v>
      </c>
      <c r="Y23" s="18" t="n">
        <v>597646</v>
      </c>
      <c r="Z23" s="18" t="n">
        <v>694065</v>
      </c>
      <c r="AA23" s="18" t="n">
        <v>738007</v>
      </c>
      <c r="AB23" s="18" t="n">
        <v>791972.2610000001</v>
      </c>
      <c r="AC23" s="18" t="n">
        <v>763444.889</v>
      </c>
    </row>
    <row r="24">
      <c r="A24" s="4" t="inlineStr">
        <is>
          <t>Long-term Debt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0</v>
      </c>
      <c r="V24" s="18" t="n">
        <v>0</v>
      </c>
      <c r="W24" s="18" t="n">
        <v>0</v>
      </c>
      <c r="X24" s="18" t="n">
        <v>0</v>
      </c>
      <c r="Y24" s="18" t="n">
        <v>0</v>
      </c>
      <c r="Z24" s="18" t="n">
        <v>0</v>
      </c>
      <c r="AA24" s="18" t="n">
        <v>0</v>
      </c>
      <c r="AB24" s="18" t="n">
        <v>0</v>
      </c>
      <c r="AC24" s="18" t="n">
        <v>0</v>
      </c>
    </row>
    <row r="25">
      <c r="A25" s="4" t="inlineStr">
        <is>
          <t>Total Equity</t>
        </is>
      </c>
      <c r="B25" s="18" t="n">
        <v>1344176</v>
      </c>
      <c r="C25" s="18" t="n">
        <v>1386450</v>
      </c>
      <c r="D25" s="18" t="n">
        <v>1498321</v>
      </c>
      <c r="E25" s="18" t="n">
        <v>1540686</v>
      </c>
      <c r="F25" s="18" t="n">
        <v>1553879</v>
      </c>
      <c r="G25" s="18" t="n">
        <v>1669640</v>
      </c>
      <c r="H25" s="18" t="n">
        <v>1736022</v>
      </c>
      <c r="I25" s="18" t="n">
        <v>1874370</v>
      </c>
      <c r="J25" s="18" t="n">
        <v>1804146</v>
      </c>
      <c r="K25" s="18" t="n">
        <v>1787814</v>
      </c>
      <c r="L25" s="18" t="n">
        <v>1924444</v>
      </c>
      <c r="M25" s="18" t="n">
        <v>2069042</v>
      </c>
      <c r="N25" s="18" t="n">
        <v>2035360</v>
      </c>
      <c r="O25" s="18" t="n">
        <v>2177754</v>
      </c>
      <c r="P25" s="18" t="n">
        <v>2172829</v>
      </c>
      <c r="Q25" s="18" t="n">
        <v>2266234</v>
      </c>
      <c r="R25" s="18" t="n">
        <v>2360572</v>
      </c>
      <c r="S25" s="18" t="n">
        <v>2467517</v>
      </c>
      <c r="T25" s="18" t="n">
        <v>2478369</v>
      </c>
      <c r="U25" s="18" t="n">
        <v>2603761</v>
      </c>
      <c r="V25" s="18" t="n">
        <v>2586682</v>
      </c>
      <c r="W25" s="18" t="n">
        <v>2538252</v>
      </c>
      <c r="X25" s="18" t="n">
        <v>2691544</v>
      </c>
      <c r="Y25" s="18" t="n">
        <v>2724327</v>
      </c>
      <c r="Z25" s="18" t="n">
        <v>2701388</v>
      </c>
      <c r="AA25" s="18" t="n">
        <v>2817260</v>
      </c>
      <c r="AB25" s="18" t="n">
        <v>2977281.017</v>
      </c>
      <c r="AC25" s="18" t="n">
        <v>2966837.102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2795</v>
      </c>
      <c r="P27" s="18" t="n">
        <v>2822</v>
      </c>
      <c r="Q27" s="18" t="n">
        <v>2794</v>
      </c>
      <c r="R27" s="18" t="n">
        <v>7015</v>
      </c>
      <c r="S27" s="18" t="n">
        <v>3853</v>
      </c>
      <c r="T27" s="18" t="n">
        <v>3279</v>
      </c>
      <c r="U27" s="18" t="n">
        <v>0</v>
      </c>
      <c r="V27" s="18" t="n">
        <v>0</v>
      </c>
      <c r="W27" s="18" t="n">
        <v>0</v>
      </c>
      <c r="X27" s="18" t="n">
        <v>0</v>
      </c>
      <c r="Y27" s="18" t="n">
        <v>0</v>
      </c>
      <c r="Z27" s="18" t="n">
        <v>0</v>
      </c>
    </row>
    <row r="28">
      <c r="A28" s="4" t="inlineStr">
        <is>
          <t>Stock-based Compensation</t>
        </is>
      </c>
      <c r="B28" s="18" t="n">
        <v>0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  <c r="T28" s="18" t="n">
        <v>0</v>
      </c>
      <c r="U28" s="18" t="n">
        <v>0</v>
      </c>
      <c r="V28" s="18" t="n">
        <v>0</v>
      </c>
      <c r="W28" s="18" t="n">
        <v>0</v>
      </c>
      <c r="X28" s="18" t="n">
        <v>0</v>
      </c>
      <c r="Y28" s="18" t="n">
        <v>0</v>
      </c>
      <c r="Z28" s="18" t="n">
        <v>0</v>
      </c>
    </row>
    <row r="29">
      <c r="A29" s="4" t="inlineStr">
        <is>
          <t>Change in Working Capital</t>
        </is>
      </c>
      <c r="B29" s="18" t="n">
        <v>0</v>
      </c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18" t="n">
        <v>0</v>
      </c>
      <c r="K29" s="18" t="n">
        <v>0</v>
      </c>
      <c r="L29" s="18" t="n">
        <v>0</v>
      </c>
      <c r="M29" s="18" t="n">
        <v>0</v>
      </c>
      <c r="N29" s="18" t="n">
        <v>0</v>
      </c>
      <c r="O29" s="18" t="n">
        <v>0</v>
      </c>
      <c r="P29" s="18" t="n">
        <v>0</v>
      </c>
      <c r="Q29" s="18" t="n">
        <v>0</v>
      </c>
      <c r="R29" s="18" t="n">
        <v>0</v>
      </c>
      <c r="S29" s="18" t="n">
        <v>0</v>
      </c>
      <c r="T29" s="18" t="n">
        <v>0</v>
      </c>
      <c r="U29" s="18" t="n">
        <v>0</v>
      </c>
      <c r="V29" s="18" t="n">
        <v>0</v>
      </c>
      <c r="W29" s="18" t="n">
        <v>0</v>
      </c>
      <c r="X29" s="18" t="n">
        <v>0</v>
      </c>
      <c r="Y29" s="18" t="n">
        <v>0</v>
      </c>
      <c r="Z29" s="18" t="n">
        <v>0</v>
      </c>
    </row>
    <row r="30">
      <c r="A30" s="4" t="inlineStr">
        <is>
          <t>Operating Cash Flow</t>
        </is>
      </c>
      <c r="B30" s="18" t="n">
        <v>0</v>
      </c>
      <c r="C30" s="18" t="n">
        <v>0</v>
      </c>
      <c r="D30" s="18" t="n">
        <v>0</v>
      </c>
      <c r="E30" s="18" t="n">
        <v>0</v>
      </c>
      <c r="F30" s="18" t="n">
        <v>0</v>
      </c>
      <c r="G30" s="18" t="n">
        <v>0</v>
      </c>
      <c r="H30" s="18" t="n">
        <v>0</v>
      </c>
      <c r="I30" s="18" t="n">
        <v>0</v>
      </c>
      <c r="J30" s="18" t="n">
        <v>0</v>
      </c>
      <c r="K30" s="18" t="n">
        <v>0</v>
      </c>
      <c r="L30" s="18" t="n">
        <v>0</v>
      </c>
      <c r="M30" s="18" t="n">
        <v>0</v>
      </c>
      <c r="N30" s="18" t="n">
        <v>0</v>
      </c>
      <c r="O30" s="18" t="n">
        <v>5590</v>
      </c>
      <c r="P30" s="18" t="n">
        <v>5644</v>
      </c>
      <c r="Q30" s="18" t="n">
        <v>5588</v>
      </c>
      <c r="R30" s="18" t="n">
        <v>14030</v>
      </c>
      <c r="S30" s="18" t="n">
        <v>7706</v>
      </c>
      <c r="T30" s="18" t="n">
        <v>6558</v>
      </c>
      <c r="U30" s="18" t="n">
        <v>0</v>
      </c>
      <c r="V30" s="18" t="n">
        <v>0</v>
      </c>
      <c r="W30" s="18" t="n">
        <v>0</v>
      </c>
      <c r="X30" s="18" t="n">
        <v>0</v>
      </c>
      <c r="Y30" s="18" t="n">
        <v>0</v>
      </c>
      <c r="Z30" s="18" t="n">
        <v>0</v>
      </c>
    </row>
    <row r="31">
      <c r="A31" s="4" t="inlineStr">
        <is>
          <t>Capex</t>
        </is>
      </c>
      <c r="B31" s="18" t="n">
        <v>0</v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0</v>
      </c>
      <c r="Q31" s="18" t="n">
        <v>0</v>
      </c>
      <c r="R31" s="18" t="n">
        <v>0</v>
      </c>
      <c r="S31" s="18" t="n">
        <v>0</v>
      </c>
      <c r="T31" s="18" t="n">
        <v>0</v>
      </c>
      <c r="U31" s="18" t="n">
        <v>0</v>
      </c>
      <c r="V31" s="18" t="n">
        <v>0</v>
      </c>
      <c r="W31" s="18" t="n">
        <v>0</v>
      </c>
      <c r="X31" s="18" t="n">
        <v>0</v>
      </c>
      <c r="Y31" s="18" t="n">
        <v>0</v>
      </c>
      <c r="Z31" s="18" t="n">
        <v>0</v>
      </c>
    </row>
    <row r="32">
      <c r="A32" s="4" t="inlineStr">
        <is>
          <t>Free Cash Flow</t>
        </is>
      </c>
      <c r="B32" s="18" t="n">
        <v>0</v>
      </c>
      <c r="C32" s="18" t="n">
        <v>0</v>
      </c>
      <c r="D32" s="18" t="n">
        <v>0</v>
      </c>
      <c r="E32" s="18" t="n">
        <v>0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5590</v>
      </c>
      <c r="P32" s="18" t="n">
        <v>5644</v>
      </c>
      <c r="Q32" s="18" t="n">
        <v>5588</v>
      </c>
      <c r="R32" s="18" t="n">
        <v>14030</v>
      </c>
      <c r="S32" s="18" t="n">
        <v>7706</v>
      </c>
      <c r="T32" s="18" t="n">
        <v>6558</v>
      </c>
      <c r="U32" s="18" t="n">
        <v>0</v>
      </c>
      <c r="V32" s="18" t="n">
        <v>0</v>
      </c>
      <c r="W32" s="18" t="n">
        <v>0</v>
      </c>
      <c r="X32" s="18" t="n">
        <v>0</v>
      </c>
      <c r="Y32" s="18" t="n">
        <v>0</v>
      </c>
      <c r="Z32" s="18" t="n">
        <v>0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2027</v>
      </c>
      <c r="C2" s="36" t="n">
        <v>2028</v>
      </c>
      <c r="D2" s="36" t="n">
        <v>2029</v>
      </c>
      <c r="E2" s="36" t="n">
        <v>2030</v>
      </c>
      <c r="F2" s="36" t="n">
        <v>2031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2449247.228716</v>
      </c>
      <c r="C4" s="18" t="n">
        <v>2708457.499689</v>
      </c>
      <c r="D4" s="18" t="n">
        <v>2722361.668893</v>
      </c>
      <c r="E4" s="18" t="n">
        <v>2614521.709643</v>
      </c>
      <c r="F4" s="18" t="n">
        <v>2208048.602911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  <c r="F5" s="28">
        <f>Model!K6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808835.779287</v>
      </c>
      <c r="C8" s="18" t="n">
        <v>894436.995474</v>
      </c>
      <c r="D8" s="18" t="n">
        <v>899028.68773</v>
      </c>
      <c r="E8" s="18" t="n">
        <v>863415.779219</v>
      </c>
      <c r="F8" s="18" t="n">
        <v>729182.7021380001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  <c r="F9" s="28">
        <f>Model!K19+Model!K24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787369.173665</v>
      </c>
      <c r="C12" s="18" t="n">
        <v>870698.522564</v>
      </c>
      <c r="D12" s="18" t="n">
        <v>875168.350717</v>
      </c>
      <c r="E12" s="18" t="n">
        <v>840500.613379</v>
      </c>
      <c r="F12" s="18" t="n">
        <v>709830.0994290001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  <c r="F13" s="28">
        <f>Model!K19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528467.5916780001</v>
      </c>
      <c r="C16" s="18" t="n">
        <v>584396.7057479999</v>
      </c>
      <c r="D16" s="18" t="n">
        <v>587396.7715340001</v>
      </c>
      <c r="E16" s="18" t="n">
        <v>564128.428966</v>
      </c>
      <c r="F16" s="18" t="n">
        <v>476424.802612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  <c r="F17" s="28">
        <f>Model!K14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417062.505486</v>
      </c>
      <c r="C20" s="18" t="n">
        <v>500518.69259</v>
      </c>
      <c r="D20" s="18" t="n">
        <v>584400.9439</v>
      </c>
      <c r="E20" s="18" t="n">
        <v>595464.513474</v>
      </c>
      <c r="F20" s="18" t="n">
        <v>539507.290092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  <c r="F21" s="28">
        <f>Model!K23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89.62555999999999</v>
      </c>
      <c r="C24" s="62" t="n">
        <v>107.56006</v>
      </c>
      <c r="D24" s="62" t="n">
        <v>125.58612</v>
      </c>
      <c r="E24" s="62" t="n">
        <v>127.96365</v>
      </c>
      <c r="F24" s="62" t="n">
        <v>115.9386</v>
      </c>
    </row>
    <row r="25">
      <c r="A25" s="4" t="inlineStr">
        <is>
          <t xml:space="preserve">  model</t>
        </is>
      </c>
      <c r="B25" s="46">
        <f>Model!G23/Financials!AC17</f>
        <v/>
      </c>
      <c r="C25" s="46">
        <f>Model!H23/Financials!AC17</f>
        <v/>
      </c>
      <c r="D25" s="46">
        <f>Model!I23/Financials!AC17</f>
        <v/>
      </c>
      <c r="E25" s="46">
        <f>Model!J23/Financials!AC17</f>
        <v/>
      </c>
      <c r="F25" s="46">
        <f>Model!K23/Financials!AC17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Nintendo Co., Ltd.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2027</v>
      </c>
      <c r="D11" s="36" t="n">
        <v>2028</v>
      </c>
      <c r="E11" s="36" t="n">
        <v>2029</v>
      </c>
      <c r="F11" s="36" t="n">
        <v>2030</v>
      </c>
      <c r="G11" s="36" t="n">
        <v>2031</v>
      </c>
      <c r="H11" s="36" t="n">
        <v>2032</v>
      </c>
      <c r="I11" s="36" t="n">
        <v>2033</v>
      </c>
      <c r="J11" s="36" t="n">
        <v>2034</v>
      </c>
      <c r="K11" s="36" t="n">
        <v>2035</v>
      </c>
      <c r="L11" s="36" t="n">
        <v>2036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Financials!AC19</f>
        <v/>
      </c>
    </row>
    <row r="33">
      <c r="A33" s="4" t="inlineStr">
        <is>
          <t>- Long-term debt</t>
        </is>
      </c>
      <c r="B33" s="28">
        <f>-Financials!AC24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45">
        <f>B34/B35*0.0067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24492.47228716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(Model!P6/Model!F6)^(1/10)-1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0.00714837532470945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Financials!AC19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2026-06-08T05:40:20Z</dcterms:created>
  <dcterms:modified xmlns:dcterms="http://purl.org/dc/terms/" xmlns:xsi="http://www.w3.org/2001/XMLSchema-instance" xsi:type="dcterms:W3CDTF">2026-06-08T05:40:20Z</dcterms:modified>
</cp:coreProperties>
</file>