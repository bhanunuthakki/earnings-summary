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2" authorId="0" shapeId="0">
      <text>
        <t>builder default</t>
      </text>
    </comment>
    <comment ref="C22" authorId="0" shapeId="0">
      <text>
        <t>builder default</t>
      </text>
    </comment>
    <comment ref="B23" authorId="0" shapeId="0">
      <text>
        <t>builder default</t>
      </text>
    </comment>
    <comment ref="C23" authorId="0" shapeId="0">
      <text>
        <t>builder default</t>
      </text>
    </comment>
    <comment ref="B24" authorId="0" shapeId="0">
      <text>
        <t>builder default</t>
      </text>
    </comment>
    <comment ref="C24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Costco Wholesale Corporation (COST)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Costco Wholesale Corporation (COST)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IF(Model!F42&lt;=0,"n/a (neg. capital)",Model!G44-WACC!B15)</f>
        <v/>
      </c>
      <c r="C15" s="10">
        <f>IF(Model!F42&lt;=0,"n/a",IF(Model!G44-WACC!B15&lt;0,"!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Food and Sundries</t>
        </is>
      </c>
      <c r="B20" s="15" t="n">
        <v>0.06681392215940818</v>
      </c>
      <c r="C20" s="15" t="n">
        <v>0.05</v>
      </c>
      <c r="D20" s="16" t="n">
        <v>0.06681392215940818</v>
      </c>
      <c r="E20" s="2" t="inlineStr"/>
    </row>
    <row r="21">
      <c r="A21" s="4" t="inlineStr">
        <is>
          <t>Non-Foods</t>
        </is>
      </c>
      <c r="B21" s="15" t="n">
        <v>0.09245827069563799</v>
      </c>
      <c r="C21" s="15" t="n">
        <v>0.05</v>
      </c>
      <c r="D21" s="16" t="n">
        <v>0.09245827069563799</v>
      </c>
      <c r="E21" s="2" t="inlineStr"/>
    </row>
    <row r="22">
      <c r="A22" s="4" t="inlineStr">
        <is>
          <t>Other</t>
        </is>
      </c>
      <c r="B22" s="15" t="n">
        <v>0.02340846902213602</v>
      </c>
      <c r="C22" s="15" t="n">
        <v>0.05</v>
      </c>
      <c r="D22" s="16" t="n">
        <v>0.02340846902213602</v>
      </c>
      <c r="E22" s="2" t="inlineStr"/>
    </row>
    <row r="23">
      <c r="A23" s="4" t="inlineStr">
        <is>
          <t>Fresh Food</t>
        </is>
      </c>
      <c r="B23" s="15" t="n">
        <v>0.09035658143654621</v>
      </c>
      <c r="C23" s="15" t="n">
        <v>0.05</v>
      </c>
      <c r="D23" s="16" t="n">
        <v>0.09035658143654621</v>
      </c>
      <c r="E23" s="2" t="inlineStr"/>
    </row>
    <row r="24">
      <c r="A24" s="4" t="inlineStr">
        <is>
          <t>Membership</t>
        </is>
      </c>
      <c r="B24" s="15" t="n">
        <v>0.08445782150781697</v>
      </c>
      <c r="C24" s="15" t="n">
        <v>0.05</v>
      </c>
      <c r="D24" s="16" t="n">
        <v>0.08445782150781697</v>
      </c>
      <c r="E24" s="2" t="inlineStr"/>
    </row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0.04007298722561094</v>
      </c>
      <c r="D29" s="16" t="n">
        <v>0.04007298722561094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0.04243901168931501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6047.8</v>
      </c>
      <c r="D34" s="18" t="n">
        <v>6047.8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0.908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951.6699829101562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454.0627930988536</v>
      </c>
      <c r="C58" s="28" t="n">
        <v>844.7993577584973</v>
      </c>
      <c r="D58" s="28" t="n">
        <v>198.0470308692234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0.003124602612313114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0.001874761567387868</v>
      </c>
      <c r="E66" s="2" t="inlineStr">
        <is>
          <t>fades near-&gt;terminal; also burdens the exit-multiple EBITDA</t>
        </is>
      </c>
    </row>
  </sheetData>
  <conditionalFormatting sqref="B20:B24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COST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Food and Sundries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Food and Sundries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Non-Foods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Non-Foods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Other — near-term growth</t>
        </is>
      </c>
      <c r="B12" t="inlineStr">
        <is>
          <t>B22</t>
        </is>
      </c>
      <c r="C12" s="11">
        <f>Dashboard!B22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Other — terminal growth</t>
        </is>
      </c>
      <c r="B13" t="inlineStr">
        <is>
          <t>C22</t>
        </is>
      </c>
      <c r="C13" s="11">
        <f>Dashboard!C22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Fresh Food — near-term growth</t>
        </is>
      </c>
      <c r="B14" t="inlineStr">
        <is>
          <t>B23</t>
        </is>
      </c>
      <c r="C14" s="11">
        <f>Dashboard!B23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Fresh Food — terminal growth</t>
        </is>
      </c>
      <c r="B15" t="inlineStr">
        <is>
          <t>C23</t>
        </is>
      </c>
      <c r="C15" s="11">
        <f>Dashboard!C23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Membership — near-term growth</t>
        </is>
      </c>
      <c r="B16" t="inlineStr">
        <is>
          <t>B24</t>
        </is>
      </c>
      <c r="C16" s="11">
        <f>Dashboard!B24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Membership — terminal growth</t>
        </is>
      </c>
      <c r="B17" t="inlineStr">
        <is>
          <t>C24</t>
        </is>
      </c>
      <c r="C17" s="11">
        <f>Dashboard!C24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Near-term operating margin</t>
        </is>
      </c>
      <c r="B18" t="inlineStr">
        <is>
          <t>B29</t>
        </is>
      </c>
      <c r="C18" s="11">
        <f>Dashboard!B29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Terminal operating margin</t>
        </is>
      </c>
      <c r="B19" t="inlineStr">
        <is>
          <t>B30</t>
        </is>
      </c>
      <c r="C19" s="11">
        <f>Dashboard!B30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Tax rate</t>
        </is>
      </c>
      <c r="B20" t="inlineStr">
        <is>
          <t>B31</t>
        </is>
      </c>
      <c r="C20" s="11">
        <f>Dashboard!B31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capex / D&amp;A</t>
        </is>
      </c>
      <c r="B21" t="inlineStr">
        <is>
          <t>B35</t>
        </is>
      </c>
      <c r="C21" s="13">
        <f>Dashboard!B35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Risk-free rate (10Y)</t>
        </is>
      </c>
      <c r="B22" t="inlineStr">
        <is>
          <t>B38</t>
        </is>
      </c>
      <c r="C22" s="11">
        <f>Dashboard!B38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Equity risk premium</t>
        </is>
      </c>
      <c r="B23" t="inlineStr">
        <is>
          <t>B39</t>
        </is>
      </c>
      <c r="C23" s="11">
        <f>Dashboard!B39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Beta (levered)</t>
        </is>
      </c>
      <c r="B24" t="inlineStr">
        <is>
          <t>B40</t>
        </is>
      </c>
      <c r="C24" s="32">
        <f>Dashboard!B40</f>
        <v/>
      </c>
      <c r="D24" t="inlineStr">
        <is>
          <t>builder default</t>
        </is>
      </c>
      <c r="E24" t="inlineStr">
        <is>
          <t>—</t>
        </is>
      </c>
      <c r="F24" s="31" t="inlineStr"/>
    </row>
    <row r="25">
      <c r="A25" t="inlineStr">
        <is>
          <t>Pre-tax cost of debt</t>
        </is>
      </c>
      <c r="B25" t="inlineStr">
        <is>
          <t>B41</t>
        </is>
      </c>
      <c r="C25" s="11">
        <f>Dashboard!B41</f>
        <v/>
      </c>
      <c r="D25" t="inlineStr">
        <is>
          <t>builder default</t>
        </is>
      </c>
      <c r="E25" t="inlineStr">
        <is>
          <t>—</t>
        </is>
      </c>
      <c r="F25" s="31" t="inlineStr"/>
    </row>
    <row r="26">
      <c r="A26" t="inlineStr">
        <is>
          <t>Terminal method</t>
        </is>
      </c>
      <c r="B26" t="inlineStr">
        <is>
          <t>B43</t>
        </is>
      </c>
      <c r="C26" s="12">
        <f>Dashboard!B43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Exit basis</t>
        </is>
      </c>
      <c r="B27" t="inlineStr">
        <is>
          <t>B44</t>
        </is>
      </c>
      <c r="C27" s="12">
        <f>Dashboard!B44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Exit multiple</t>
        </is>
      </c>
      <c r="B28" t="inlineStr">
        <is>
          <t>B45</t>
        </is>
      </c>
      <c r="C28" s="13">
        <f>Dashboard!B45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Terminal growth (g)</t>
        </is>
      </c>
      <c r="B29" t="inlineStr">
        <is>
          <t>B46</t>
        </is>
      </c>
      <c r="C29" s="11">
        <f>Dashboard!B46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2026 capex ($M)</t>
        </is>
      </c>
      <c r="B30" t="inlineStr">
        <is>
          <t>B34</t>
        </is>
      </c>
      <c r="C30" s="33">
        <f>Dashboard!B34</f>
        <v/>
      </c>
      <c r="D30" t="inlineStr">
        <is>
          <t>builder default</t>
        </is>
      </c>
      <c r="E30" t="inlineStr">
        <is>
          <t>—</t>
        </is>
      </c>
      <c r="F30" s="31" t="inlineStr">
        <is>
          <t>last-year capex +10% unless set to guidance; edits not tracked</t>
        </is>
      </c>
    </row>
    <row r="31">
      <c r="A31" t="inlineStr">
        <is>
          <t>Bull Δ — segment growth, near-term</t>
        </is>
      </c>
      <c r="B31" t="inlineStr">
        <is>
          <t>C52</t>
        </is>
      </c>
      <c r="C31" s="34">
        <f>Dashboard!C52</f>
        <v/>
      </c>
      <c r="D31" t="inlineStr">
        <is>
          <t>seed default</t>
        </is>
      </c>
      <c r="E31" t="inlineStr">
        <is>
          <t>3.0%</t>
        </is>
      </c>
      <c r="F31" s="31" t="inlineStr"/>
    </row>
    <row r="32">
      <c r="A32" t="inlineStr">
        <is>
          <t>Bear Δ — segment growth, near-term</t>
        </is>
      </c>
      <c r="B32" t="inlineStr">
        <is>
          <t>D52</t>
        </is>
      </c>
      <c r="C32" s="34">
        <f>Dashboard!D52</f>
        <v/>
      </c>
      <c r="D32" t="inlineStr">
        <is>
          <t>seed default</t>
        </is>
      </c>
      <c r="E32" t="inlineStr">
        <is>
          <t>-3.0%</t>
        </is>
      </c>
      <c r="F32" s="31" t="inlineStr"/>
    </row>
    <row r="33">
      <c r="A33" t="inlineStr">
        <is>
          <t>Bull Δ — segment growth, terminal</t>
        </is>
      </c>
      <c r="B33" t="inlineStr">
        <is>
          <t>C53</t>
        </is>
      </c>
      <c r="C33" s="34">
        <f>Dashboard!C53</f>
        <v/>
      </c>
      <c r="D33" t="inlineStr">
        <is>
          <t>seed default</t>
        </is>
      </c>
      <c r="E33" t="inlineStr">
        <is>
          <t>1.0%</t>
        </is>
      </c>
      <c r="F33" s="31" t="inlineStr"/>
    </row>
    <row r="34">
      <c r="A34" t="inlineStr">
        <is>
          <t>Bear Δ — segment growth, terminal</t>
        </is>
      </c>
      <c r="B34" t="inlineStr">
        <is>
          <t>D53</t>
        </is>
      </c>
      <c r="C34" s="34">
        <f>Dashboard!D53</f>
        <v/>
      </c>
      <c r="D34" t="inlineStr">
        <is>
          <t>seed default</t>
        </is>
      </c>
      <c r="E34" t="inlineStr">
        <is>
          <t>-1.0%</t>
        </is>
      </c>
      <c r="F34" s="31" t="inlineStr"/>
    </row>
    <row r="35">
      <c r="A35" t="inlineStr">
        <is>
          <t>Bull Δ — operating margin, near-term</t>
        </is>
      </c>
      <c r="B35" t="inlineStr">
        <is>
          <t>C54</t>
        </is>
      </c>
      <c r="C35" s="34">
        <f>Dashboard!C54</f>
        <v/>
      </c>
      <c r="D35" t="inlineStr">
        <is>
          <t>seed default</t>
        </is>
      </c>
      <c r="E35" t="inlineStr">
        <is>
          <t>1.0%</t>
        </is>
      </c>
      <c r="F35" s="31" t="inlineStr"/>
    </row>
    <row r="36">
      <c r="A36" t="inlineStr">
        <is>
          <t>Bear Δ — operating margin, near-term</t>
        </is>
      </c>
      <c r="B36" t="inlineStr">
        <is>
          <t>D54</t>
        </is>
      </c>
      <c r="C36" s="34">
        <f>Dashboard!D54</f>
        <v/>
      </c>
      <c r="D36" t="inlineStr">
        <is>
          <t>seed default</t>
        </is>
      </c>
      <c r="E36" t="inlineStr">
        <is>
          <t>-1.0%</t>
        </is>
      </c>
      <c r="F36" s="31" t="inlineStr"/>
    </row>
    <row r="37">
      <c r="A37" t="inlineStr">
        <is>
          <t>Bull Δ — operating margin, terminal</t>
        </is>
      </c>
      <c r="B37" t="inlineStr">
        <is>
          <t>C55</t>
        </is>
      </c>
      <c r="C37" s="34">
        <f>Dashboard!C55</f>
        <v/>
      </c>
      <c r="D37" t="inlineStr">
        <is>
          <t>seed default</t>
        </is>
      </c>
      <c r="E37" t="inlineStr">
        <is>
          <t>2.0%</t>
        </is>
      </c>
      <c r="F37" s="31" t="inlineStr"/>
    </row>
    <row r="38">
      <c r="A38" t="inlineStr">
        <is>
          <t>Bear Δ — operating margin, terminal</t>
        </is>
      </c>
      <c r="B38" t="inlineStr">
        <is>
          <t>D55</t>
        </is>
      </c>
      <c r="C38" s="34">
        <f>Dashboard!D55</f>
        <v/>
      </c>
      <c r="D38" t="inlineStr">
        <is>
          <t>seed default</t>
        </is>
      </c>
      <c r="E38" t="inlineStr">
        <is>
          <t>-2.0%</t>
        </is>
      </c>
      <c r="F38" s="31" t="inlineStr"/>
    </row>
    <row r="39">
      <c r="A39" t="inlineStr">
        <is>
          <t>Bull Δ — exit multiple</t>
        </is>
      </c>
      <c r="B39" t="inlineStr">
        <is>
          <t>C56</t>
        </is>
      </c>
      <c r="C39" s="35">
        <f>Dashboard!C56</f>
        <v/>
      </c>
      <c r="D39" t="inlineStr">
        <is>
          <t>seed default</t>
        </is>
      </c>
      <c r="E39" t="inlineStr">
        <is>
          <t>2.0x</t>
        </is>
      </c>
      <c r="F39" s="31" t="inlineStr"/>
    </row>
    <row r="40">
      <c r="A40" t="inlineStr">
        <is>
          <t>Bear Δ — exit multiple</t>
        </is>
      </c>
      <c r="B40" t="inlineStr">
        <is>
          <t>D56</t>
        </is>
      </c>
      <c r="C40" s="35">
        <f>Dashboard!D56</f>
        <v/>
      </c>
      <c r="D40" t="inlineStr">
        <is>
          <t>seed default</t>
        </is>
      </c>
      <c r="E40" t="inlineStr">
        <is>
          <t>-2.0x</t>
        </is>
      </c>
      <c r="F40" s="31" t="inlineStr"/>
    </row>
    <row r="41">
      <c r="A41" t="inlineStr">
        <is>
          <t>Bull Δ — terminal growth (g)</t>
        </is>
      </c>
      <c r="B41" t="inlineStr">
        <is>
          <t>C57</t>
        </is>
      </c>
      <c r="C41" s="34">
        <f>Dashboard!C57</f>
        <v/>
      </c>
      <c r="D41" t="inlineStr">
        <is>
          <t>seed default</t>
        </is>
      </c>
      <c r="E41" t="inlineStr">
        <is>
          <t>0.5%</t>
        </is>
      </c>
      <c r="F41" s="31" t="inlineStr"/>
    </row>
    <row r="42">
      <c r="A42" t="inlineStr">
        <is>
          <t>Bear Δ — terminal growth (g)</t>
        </is>
      </c>
      <c r="B42" t="inlineStr">
        <is>
          <t>D57</t>
        </is>
      </c>
      <c r="C42" s="34">
        <f>Dashboard!D57</f>
        <v/>
      </c>
      <c r="D42" t="inlineStr">
        <is>
          <t>seed default</t>
        </is>
      </c>
      <c r="E42" t="inlineStr">
        <is>
          <t>-0.5%</t>
        </is>
      </c>
      <c r="F42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Food and Sundries</t>
        </is>
      </c>
      <c r="B4" s="33">
        <f>SUM(Financials!H19:K19)</f>
        <v/>
      </c>
      <c r="C4" s="33">
        <f>SUM(Financials!L19:O19)</f>
        <v/>
      </c>
      <c r="D4" s="33">
        <f>SUM(Financials!P19:S19)</f>
        <v/>
      </c>
      <c r="E4" s="33">
        <f>SUM(Financials!T19:W19)</f>
        <v/>
      </c>
      <c r="F4" s="33">
        <f>SUM(Financials!X19:AA19)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Non-Foods</t>
        </is>
      </c>
      <c r="B6" s="33">
        <f>SUM(Financials!H22:K22)</f>
        <v/>
      </c>
      <c r="C6" s="33">
        <f>SUM(Financials!L22:O22)</f>
        <v/>
      </c>
      <c r="D6" s="33">
        <f>SUM(Financials!P22:S22)</f>
        <v/>
      </c>
      <c r="E6" s="33">
        <f>SUM(Financials!T22:W22)</f>
        <v/>
      </c>
      <c r="F6" s="33">
        <f>SUM(Financials!X22:AA22)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Other</t>
        </is>
      </c>
      <c r="B8" s="33">
        <f>SUM(Financials!H25:K25)</f>
        <v/>
      </c>
      <c r="C8" s="33">
        <f>SUM(Financials!L25:O25)</f>
        <v/>
      </c>
      <c r="D8" s="33">
        <f>SUM(Financials!P25:S25)</f>
        <v/>
      </c>
      <c r="E8" s="33">
        <f>SUM(Financials!T25:W25)</f>
        <v/>
      </c>
      <c r="F8" s="33">
        <f>SUM(Financials!X25:AA25)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Fresh Food</t>
        </is>
      </c>
      <c r="B10" s="33">
        <f>SUM(Financials!H28:K28)</f>
        <v/>
      </c>
      <c r="C10" s="33">
        <f>SUM(Financials!L28:O28)</f>
        <v/>
      </c>
      <c r="D10" s="33">
        <f>SUM(Financials!P28:S28)</f>
        <v/>
      </c>
      <c r="E10" s="33">
        <f>SUM(Financials!T28:W28)</f>
        <v/>
      </c>
      <c r="F10" s="33">
        <f>SUM(Financials!X28:AA28)</f>
        <v/>
      </c>
      <c r="G10" s="41">
        <f>F10*(1+G11)</f>
        <v/>
      </c>
      <c r="H10" s="41">
        <f>G10*(1+H11)</f>
        <v/>
      </c>
      <c r="I10" s="41">
        <f>H10*(1+I11)</f>
        <v/>
      </c>
      <c r="J10" s="41">
        <f>I10*(1+J11)</f>
        <v/>
      </c>
      <c r="K10" s="41">
        <f>J10*(1+K11)</f>
        <v/>
      </c>
      <c r="L10" s="41">
        <f>K10*(1+L11)</f>
        <v/>
      </c>
      <c r="M10" s="41">
        <f>L10*(1+M11)</f>
        <v/>
      </c>
      <c r="N10" s="41">
        <f>M10*(1+N11)</f>
        <v/>
      </c>
      <c r="O10" s="41">
        <f>N10*(1+O11)</f>
        <v/>
      </c>
      <c r="P10" s="41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Membership</t>
        </is>
      </c>
      <c r="B12" s="33">
        <f>SUM(Financials!H31:K31)</f>
        <v/>
      </c>
      <c r="C12" s="33">
        <f>SUM(Financials!L31:O31)</f>
        <v/>
      </c>
      <c r="D12" s="33">
        <f>SUM(Financials!P31:S31)</f>
        <v/>
      </c>
      <c r="E12" s="33">
        <f>SUM(Financials!T31:W31)</f>
        <v/>
      </c>
      <c r="F12" s="33">
        <f>SUM(Financials!X31:AA31)</f>
        <v/>
      </c>
      <c r="G12" s="41">
        <f>F12*(1+G13)</f>
        <v/>
      </c>
      <c r="H12" s="41">
        <f>G12*(1+H13)</f>
        <v/>
      </c>
      <c r="I12" s="41">
        <f>H12*(1+I13)</f>
        <v/>
      </c>
      <c r="J12" s="41">
        <f>I12*(1+J13)</f>
        <v/>
      </c>
      <c r="K12" s="41">
        <f>J12*(1+K13)</f>
        <v/>
      </c>
      <c r="L12" s="41">
        <f>K12*(1+L13)</f>
        <v/>
      </c>
      <c r="M12" s="41">
        <f>L12*(1+M13)</f>
        <v/>
      </c>
      <c r="N12" s="41">
        <f>M12*(1+N13)</f>
        <v/>
      </c>
      <c r="O12" s="41">
        <f>N12*(1+O13)</f>
        <v/>
      </c>
      <c r="P12" s="41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3" t="inlineStr">
        <is>
          <t>Total revenue</t>
        </is>
      </c>
      <c r="B14" s="42">
        <f>B4+B6+B8+B10+B12</f>
        <v/>
      </c>
      <c r="C14" s="42">
        <f>C4+C6+C8+C10+C12</f>
        <v/>
      </c>
      <c r="D14" s="42">
        <f>D4+D6+D8+D10+D12</f>
        <v/>
      </c>
      <c r="E14" s="42">
        <f>E4+E6+E8+E10+E12</f>
        <v/>
      </c>
      <c r="F14" s="42">
        <f>F4+F6+F8+F10+F12</f>
        <v/>
      </c>
      <c r="G14" s="42">
        <f>G4+G6+G8+G10+G12</f>
        <v/>
      </c>
      <c r="H14" s="42">
        <f>H4+H6+H8+H10+H12</f>
        <v/>
      </c>
      <c r="I14" s="42">
        <f>I4+I6+I8+I10+I12</f>
        <v/>
      </c>
      <c r="J14" s="42">
        <f>J4+J6+J8+J10+J12</f>
        <v/>
      </c>
      <c r="K14" s="42">
        <f>K4+K6+K8+K10+K12</f>
        <v/>
      </c>
      <c r="L14" s="42">
        <f>L4+L6+L8+L10+L12</f>
        <v/>
      </c>
      <c r="M14" s="42">
        <f>M4+M6+M8+M10+M12</f>
        <v/>
      </c>
      <c r="N14" s="42">
        <f>N4+N6+N8+N10+N12</f>
        <v/>
      </c>
      <c r="O14" s="42">
        <f>O4+O6+O8+O10+O12</f>
        <v/>
      </c>
      <c r="P14" s="42">
        <f>P4+P6+P8+P10+P12</f>
        <v/>
      </c>
    </row>
    <row r="15">
      <c r="A15" s="4" t="inlineStr">
        <is>
          <t xml:space="preserve">    growth %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25">
        <f>IFERROR(G14/F14-1,"")</f>
        <v/>
      </c>
      <c r="H15" s="25">
        <f>IFERROR(H14/G14-1,"")</f>
        <v/>
      </c>
      <c r="I15" s="25">
        <f>IFERROR(I14/H14-1,"")</f>
        <v/>
      </c>
      <c r="J15" s="25">
        <f>IFERROR(J14/I14-1,"")</f>
        <v/>
      </c>
      <c r="K15" s="25">
        <f>IFERROR(K14/J14-1,"")</f>
        <v/>
      </c>
      <c r="L15" s="25">
        <f>IFERROR(L14/K14-1,"")</f>
        <v/>
      </c>
      <c r="M15" s="25">
        <f>IFERROR(M14/L14-1,"")</f>
        <v/>
      </c>
      <c r="N15" s="25">
        <f>IFERROR(N14/M14-1,"")</f>
        <v/>
      </c>
      <c r="O15" s="25">
        <f>IFERROR(O14/N14-1,"")</f>
        <v/>
      </c>
      <c r="P15" s="25">
        <f>IFERROR(P14/O14-1,"")</f>
        <v/>
      </c>
    </row>
    <row r="17">
      <c r="A17" s="5" t="inlineStr">
        <is>
          <t xml:space="preserve">  COST STRUCTURE (yellow = % of revenue)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4" t="inlineStr">
        <is>
          <t>Cost of revenue</t>
        </is>
      </c>
      <c r="B18" s="33">
        <f>SUM(Financials!H5:K5)</f>
        <v/>
      </c>
      <c r="C18" s="33">
        <f>SUM(Financials!L5:O5)</f>
        <v/>
      </c>
      <c r="D18" s="33">
        <f>SUM(Financials!P5:S5)</f>
        <v/>
      </c>
      <c r="E18" s="33">
        <f>SUM(Financials!T5:W5)</f>
        <v/>
      </c>
      <c r="F18" s="33">
        <f>SUM(Financials!X5:AA5)</f>
        <v/>
      </c>
      <c r="G18" s="41">
        <f>G14*G19</f>
        <v/>
      </c>
      <c r="H18" s="41">
        <f>H14*H19</f>
        <v/>
      </c>
      <c r="I18" s="41">
        <f>I14*I19</f>
        <v/>
      </c>
      <c r="J18" s="41">
        <f>J14*J19</f>
        <v/>
      </c>
      <c r="K18" s="41">
        <f>K14*K19</f>
        <v/>
      </c>
      <c r="L18" s="41">
        <f>L14*L19</f>
        <v/>
      </c>
      <c r="M18" s="41">
        <f>M14*M19</f>
        <v/>
      </c>
      <c r="N18" s="41">
        <f>N14*N19</f>
        <v/>
      </c>
      <c r="O18" s="41">
        <f>O14*O19</f>
        <v/>
      </c>
      <c r="P18" s="41">
        <f>P14*P19</f>
        <v/>
      </c>
    </row>
    <row r="19">
      <c r="A19" s="4" t="inlineStr">
        <is>
          <t xml:space="preserve">    % of revenue</t>
        </is>
      </c>
      <c r="B19" s="25">
        <f>IFERROR(B18/B14,"")</f>
        <v/>
      </c>
      <c r="C19" s="25">
        <f>IFERROR(C18/C14,"")</f>
        <v/>
      </c>
      <c r="D19" s="25">
        <f>IFERROR(D18/D14,"")</f>
        <v/>
      </c>
      <c r="E19" s="25">
        <f>IFERROR(E18/E14,"")</f>
        <v/>
      </c>
      <c r="F19" s="25">
        <f>IFERROR(F18/F14,"")</f>
        <v/>
      </c>
      <c r="G19" s="15" t="n">
        <v>0.8715679328573764</v>
      </c>
      <c r="H19" s="15" t="n">
        <v>0.8715679328573764</v>
      </c>
      <c r="I19" s="15" t="n">
        <v>0.8715679328573764</v>
      </c>
      <c r="J19" s="15" t="n">
        <v>0.8715679328573764</v>
      </c>
      <c r="K19" s="15" t="n">
        <v>0.8715679328573764</v>
      </c>
      <c r="L19" s="15" t="n">
        <v>0.8715679328573764</v>
      </c>
      <c r="M19" s="15" t="n">
        <v>0.8715679328573764</v>
      </c>
      <c r="N19" s="15" t="n">
        <v>0.8715679328573764</v>
      </c>
      <c r="O19" s="15" t="n">
        <v>0.8715679328573764</v>
      </c>
      <c r="P19" s="15" t="n">
        <v>0.8715679328573764</v>
      </c>
    </row>
    <row r="20">
      <c r="A20" s="4" t="inlineStr">
        <is>
          <t>R&amp;D / Technology</t>
        </is>
      </c>
      <c r="B20" s="33">
        <f>SUM(Financials!H7:K7)</f>
        <v/>
      </c>
      <c r="C20" s="33">
        <f>SUM(Financials!L7:O7)</f>
        <v/>
      </c>
      <c r="D20" s="33">
        <f>SUM(Financials!P7:S7)</f>
        <v/>
      </c>
      <c r="E20" s="33">
        <f>SUM(Financials!T7:W7)</f>
        <v/>
      </c>
      <c r="F20" s="33">
        <f>SUM(Financials!X7:AA7)</f>
        <v/>
      </c>
      <c r="G20" s="41">
        <f>G14*G21</f>
        <v/>
      </c>
      <c r="H20" s="41">
        <f>H14*H21</f>
        <v/>
      </c>
      <c r="I20" s="41">
        <f>I14*I21</f>
        <v/>
      </c>
      <c r="J20" s="41">
        <f>J14*J21</f>
        <v/>
      </c>
      <c r="K20" s="41">
        <f>K14*K21</f>
        <v/>
      </c>
      <c r="L20" s="41">
        <f>L14*L21</f>
        <v/>
      </c>
      <c r="M20" s="41">
        <f>M14*M21</f>
        <v/>
      </c>
      <c r="N20" s="41">
        <f>N14*N21</f>
        <v/>
      </c>
      <c r="O20" s="41">
        <f>O14*O21</f>
        <v/>
      </c>
      <c r="P20" s="41">
        <f>P14*P21</f>
        <v/>
      </c>
    </row>
    <row r="21">
      <c r="A21" s="4" t="inlineStr">
        <is>
          <t xml:space="preserve">    % of revenue</t>
        </is>
      </c>
      <c r="B21" s="25">
        <f>IFERROR(B20/B14,"")</f>
        <v/>
      </c>
      <c r="C21" s="25">
        <f>IFERROR(C20/C14,"")</f>
        <v/>
      </c>
      <c r="D21" s="25">
        <f>IFERROR(D20/D14,"")</f>
        <v/>
      </c>
      <c r="E21" s="25">
        <f>IFERROR(E20/E14,"")</f>
        <v/>
      </c>
      <c r="F21" s="25">
        <f>IFERROR(F20/F14,"")</f>
        <v/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  <c r="L21" s="15" t="n">
        <v>0</v>
      </c>
      <c r="M21" s="15" t="n">
        <v>0</v>
      </c>
      <c r="N21" s="15" t="n">
        <v>0</v>
      </c>
      <c r="O21" s="15" t="n">
        <v>0</v>
      </c>
      <c r="P21" s="15" t="n">
        <v>0</v>
      </c>
    </row>
    <row r="22">
      <c r="A22" s="4" t="inlineStr">
        <is>
          <t>SG&amp;A</t>
        </is>
      </c>
      <c r="B22" s="33">
        <f>SUM(Financials!H9:K9)</f>
        <v/>
      </c>
      <c r="C22" s="33">
        <f>SUM(Financials!L9:O9)</f>
        <v/>
      </c>
      <c r="D22" s="33">
        <f>SUM(Financials!P9:S9)</f>
        <v/>
      </c>
      <c r="E22" s="33">
        <f>SUM(Financials!T9:W9)</f>
        <v/>
      </c>
      <c r="F22" s="33">
        <f>SUM(Financials!X9:AA9)</f>
        <v/>
      </c>
      <c r="G22" s="41">
        <f>G14*G23</f>
        <v/>
      </c>
      <c r="H22" s="41">
        <f>H14*H23</f>
        <v/>
      </c>
      <c r="I22" s="41">
        <f>I14*I23</f>
        <v/>
      </c>
      <c r="J22" s="41">
        <f>J14*J23</f>
        <v/>
      </c>
      <c r="K22" s="41">
        <f>K14*K23</f>
        <v/>
      </c>
      <c r="L22" s="41">
        <f>L14*L23</f>
        <v/>
      </c>
      <c r="M22" s="41">
        <f>M14*M23</f>
        <v/>
      </c>
      <c r="N22" s="41">
        <f>N14*N23</f>
        <v/>
      </c>
      <c r="O22" s="41">
        <f>O14*O23</f>
        <v/>
      </c>
      <c r="P22" s="41">
        <f>P14*P23</f>
        <v/>
      </c>
    </row>
    <row r="23">
      <c r="A23" s="4" t="inlineStr">
        <is>
          <t xml:space="preserve">    % of revenue</t>
        </is>
      </c>
      <c r="B23" s="25">
        <f>IFERROR(B22/B14,"")</f>
        <v/>
      </c>
      <c r="C23" s="25">
        <f>IFERROR(C22/C14,"")</f>
        <v/>
      </c>
      <c r="D23" s="25">
        <f>IFERROR(D22/D14,"")</f>
        <v/>
      </c>
      <c r="E23" s="25">
        <f>IFERROR(E22/E14,"")</f>
        <v/>
      </c>
      <c r="F23" s="25">
        <f>IFERROR(F22/F14,"")</f>
        <v/>
      </c>
      <c r="G23" s="15" t="n">
        <v>0.09070794048722002</v>
      </c>
      <c r="H23" s="15" t="n">
        <v>0.09070794048722002</v>
      </c>
      <c r="I23" s="15" t="n">
        <v>0.09070794048722002</v>
      </c>
      <c r="J23" s="15" t="n">
        <v>0.09070794048722002</v>
      </c>
      <c r="K23" s="15" t="n">
        <v>0.09070794048722002</v>
      </c>
      <c r="L23" s="15" t="n">
        <v>0.09070794048722002</v>
      </c>
      <c r="M23" s="15" t="n">
        <v>0.09070794048722002</v>
      </c>
      <c r="N23" s="15" t="n">
        <v>0.09070794048722002</v>
      </c>
      <c r="O23" s="15" t="n">
        <v>0.09070794048722002</v>
      </c>
      <c r="P23" s="15" t="n">
        <v>0.09070794048722002</v>
      </c>
    </row>
    <row r="24">
      <c r="A24" s="4" t="inlineStr">
        <is>
          <t>Other opex (fulfilment, etc.)</t>
        </is>
      </c>
      <c r="B24" s="33">
        <f>B14-(B18+B20+B22)-SUM(Financials!H13:K13)</f>
        <v/>
      </c>
      <c r="C24" s="33">
        <f>C14-(C18+C20+C22)-SUM(Financials!L13:O13)</f>
        <v/>
      </c>
      <c r="D24" s="33">
        <f>D14-(D18+D20+D22)-SUM(Financials!P13:S13)</f>
        <v/>
      </c>
      <c r="E24" s="33">
        <f>E14-(E18+E20+E22)-SUM(Financials!T13:W13)</f>
        <v/>
      </c>
      <c r="F24" s="33">
        <f>F14-(F18+F20+F22)-SUM(Financials!X13:AA13)</f>
        <v/>
      </c>
      <c r="G24" s="33">
        <f>G14*(1-(Dashboard!$B$29+(Dashboard!$B$30-Dashboard!$B$29)*MIN(1,0/4)))-(G18+G20+G22)</f>
        <v/>
      </c>
      <c r="H24" s="33">
        <f>H14*(1-(Dashboard!$B$29+(Dashboard!$B$30-Dashboard!$B$29)*MIN(1,1/4)))-(H18+H20+H22)</f>
        <v/>
      </c>
      <c r="I24" s="33">
        <f>I14*(1-(Dashboard!$B$29+(Dashboard!$B$30-Dashboard!$B$29)*MIN(1,2/4)))-(I18+I20+I22)</f>
        <v/>
      </c>
      <c r="J24" s="33">
        <f>J14*(1-(Dashboard!$B$29+(Dashboard!$B$30-Dashboard!$B$29)*MIN(1,3/4)))-(J18+J20+J22)</f>
        <v/>
      </c>
      <c r="K24" s="33">
        <f>K14*(1-(Dashboard!$B$29+(Dashboard!$B$30-Dashboard!$B$29)*MIN(1,4/4)))-(K18+K20+K22)</f>
        <v/>
      </c>
      <c r="L24" s="33">
        <f>L14*(1-(Dashboard!$B$29+(Dashboard!$B$30-Dashboard!$B$29)*MIN(1,5/4)))-(L18+L20+L22)</f>
        <v/>
      </c>
      <c r="M24" s="33">
        <f>M14*(1-(Dashboard!$B$29+(Dashboard!$B$30-Dashboard!$B$29)*MIN(1,6/4)))-(M18+M20+M22)</f>
        <v/>
      </c>
      <c r="N24" s="33">
        <f>N14*(1-(Dashboard!$B$29+(Dashboard!$B$30-Dashboard!$B$29)*MIN(1,7/4)))-(N18+N20+N22)</f>
        <v/>
      </c>
      <c r="O24" s="33">
        <f>O14*(1-(Dashboard!$B$29+(Dashboard!$B$30-Dashboard!$B$29)*MIN(1,8/4)))-(O18+O20+O22)</f>
        <v/>
      </c>
      <c r="P24" s="33">
        <f>P14*(1-(Dashboard!$B$29+(Dashboard!$B$30-Dashboard!$B$29)*MIN(1,9/4)))-(P18+P20+P22)</f>
        <v/>
      </c>
    </row>
    <row r="25">
      <c r="A25" s="4" t="inlineStr">
        <is>
          <t xml:space="preserve">    % of revenue</t>
        </is>
      </c>
      <c r="B25" s="25">
        <f>IFERROR(B24/B14,"")</f>
        <v/>
      </c>
      <c r="C25" s="25">
        <f>IFERROR(C24/C14,"")</f>
        <v/>
      </c>
      <c r="D25" s="25">
        <f>IFERROR(D24/D14,"")</f>
        <v/>
      </c>
      <c r="E25" s="25">
        <f>IFERROR(E24/E14,"")</f>
        <v/>
      </c>
      <c r="F25" s="25">
        <f>IFERROR(F24/F14,"")</f>
        <v/>
      </c>
      <c r="G25" s="25">
        <f>IFERROR(G24/G14,"")</f>
        <v/>
      </c>
      <c r="H25" s="25">
        <f>IFERROR(H24/H14,"")</f>
        <v/>
      </c>
      <c r="I25" s="25">
        <f>IFERROR(I24/I14,"")</f>
        <v/>
      </c>
      <c r="J25" s="25">
        <f>IFERROR(J24/J14,"")</f>
        <v/>
      </c>
      <c r="K25" s="25">
        <f>IFERROR(K24/K14,"")</f>
        <v/>
      </c>
      <c r="L25" s="25">
        <f>IFERROR(L24/L14,"")</f>
        <v/>
      </c>
      <c r="M25" s="25">
        <f>IFERROR(M24/M14,"")</f>
        <v/>
      </c>
      <c r="N25" s="25">
        <f>IFERROR(N24/N14,"")</f>
        <v/>
      </c>
      <c r="O25" s="25">
        <f>IFERROR(O24/O14,"")</f>
        <v/>
      </c>
      <c r="P25" s="25">
        <f>IFERROR(P24/P14,"")</f>
        <v/>
      </c>
    </row>
    <row r="27">
      <c r="A27" s="3" t="inlineStr">
        <is>
          <t>Operating income (EBIT)</t>
        </is>
      </c>
      <c r="B27" s="42">
        <f>B14-(B18+B20+B22)-B24</f>
        <v/>
      </c>
      <c r="C27" s="42">
        <f>C14-(C18+C20+C22)-C24</f>
        <v/>
      </c>
      <c r="D27" s="42">
        <f>D14-(D18+D20+D22)-D24</f>
        <v/>
      </c>
      <c r="E27" s="42">
        <f>E14-(E18+E20+E22)-E24</f>
        <v/>
      </c>
      <c r="F27" s="42">
        <f>F14-(F18+F20+F22)-F24</f>
        <v/>
      </c>
      <c r="G27" s="42">
        <f>G14-(G18+G20+G22)-G24</f>
        <v/>
      </c>
      <c r="H27" s="42">
        <f>H14-(H18+H20+H22)-H24</f>
        <v/>
      </c>
      <c r="I27" s="42">
        <f>I14-(I18+I20+I22)-I24</f>
        <v/>
      </c>
      <c r="J27" s="42">
        <f>J14-(J18+J20+J22)-J24</f>
        <v/>
      </c>
      <c r="K27" s="42">
        <f>K14-(K18+K20+K22)-K24</f>
        <v/>
      </c>
      <c r="L27" s="42">
        <f>L14-(L18+L20+L22)-L24</f>
        <v/>
      </c>
      <c r="M27" s="42">
        <f>M14-(M18+M20+M22)-M24</f>
        <v/>
      </c>
      <c r="N27" s="42">
        <f>N14-(N18+N20+N22)-N24</f>
        <v/>
      </c>
      <c r="O27" s="42">
        <f>O14-(O18+O20+O22)-O24</f>
        <v/>
      </c>
      <c r="P27" s="42">
        <f>P14-(P18+P20+P22)-P24</f>
        <v/>
      </c>
    </row>
    <row r="28">
      <c r="A28" s="4" t="inlineStr">
        <is>
          <t xml:space="preserve">    operating margin</t>
        </is>
      </c>
      <c r="B28" s="25">
        <f>IFERROR(B27/B14,"")</f>
        <v/>
      </c>
      <c r="C28" s="25">
        <f>IFERROR(C27/C14,"")</f>
        <v/>
      </c>
      <c r="D28" s="25">
        <f>IFERROR(D27/D14,"")</f>
        <v/>
      </c>
      <c r="E28" s="25">
        <f>IFERROR(E27/E14,"")</f>
        <v/>
      </c>
      <c r="F28" s="25">
        <f>IFERROR(F27/F14,"")</f>
        <v/>
      </c>
      <c r="G28" s="25">
        <f>IFERROR(G27/G14,"")</f>
        <v/>
      </c>
      <c r="H28" s="25">
        <f>IFERROR(H27/H14,"")</f>
        <v/>
      </c>
      <c r="I28" s="25">
        <f>IFERROR(I27/I14,"")</f>
        <v/>
      </c>
      <c r="J28" s="25">
        <f>IFERROR(J27/J14,"")</f>
        <v/>
      </c>
      <c r="K28" s="25">
        <f>IFERROR(K27/K14,"")</f>
        <v/>
      </c>
      <c r="L28" s="25">
        <f>IFERROR(L27/L14,"")</f>
        <v/>
      </c>
      <c r="M28" s="25">
        <f>IFERROR(M27/M14,"")</f>
        <v/>
      </c>
      <c r="N28" s="25">
        <f>IFERROR(N27/N14,"")</f>
        <v/>
      </c>
      <c r="O28" s="25">
        <f>IFERROR(O27/O14,"")</f>
        <v/>
      </c>
      <c r="P28" s="25">
        <f>IFERROR(P27/P14,"")</f>
        <v/>
      </c>
    </row>
    <row r="30">
      <c r="A30" s="5" t="inlineStr">
        <is>
          <t xml:space="preserve">  FCF BRIDGE (NOPAT + D&amp;A + SBC - dNWC - Capex)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4" t="inlineStr">
        <is>
          <t>NOPAT = EBIT x (1 - tax)</t>
        </is>
      </c>
      <c r="B31" s="33">
        <f>B27*(1-Valuation!$B$5)</f>
        <v/>
      </c>
      <c r="C31" s="33">
        <f>C27*(1-Valuation!$B$5)</f>
        <v/>
      </c>
      <c r="D31" s="33">
        <f>D27*(1-Valuation!$B$5)</f>
        <v/>
      </c>
      <c r="E31" s="33">
        <f>E27*(1-Valuation!$B$5)</f>
        <v/>
      </c>
      <c r="F31" s="33">
        <f>F27*(1-Valuation!$B$5)</f>
        <v/>
      </c>
      <c r="G31" s="33">
        <f>G27*(1-Valuation!$B$5)</f>
        <v/>
      </c>
      <c r="H31" s="33">
        <f>H27*(1-Valuation!$B$5)</f>
        <v/>
      </c>
      <c r="I31" s="33">
        <f>I27*(1-Valuation!$B$5)</f>
        <v/>
      </c>
      <c r="J31" s="33">
        <f>J27*(1-Valuation!$B$5)</f>
        <v/>
      </c>
      <c r="K31" s="33">
        <f>K27*(1-Valuation!$B$5)</f>
        <v/>
      </c>
      <c r="L31" s="33">
        <f>L27*(1-Valuation!$B$5)</f>
        <v/>
      </c>
      <c r="M31" s="33">
        <f>M27*(1-Valuation!$B$5)</f>
        <v/>
      </c>
      <c r="N31" s="33">
        <f>N27*(1-Valuation!$B$5)</f>
        <v/>
      </c>
      <c r="O31" s="33">
        <f>O27*(1-Valuation!$B$5)</f>
        <v/>
      </c>
      <c r="P31" s="33">
        <f>P27*(1-Valuation!$B$5)</f>
        <v/>
      </c>
    </row>
    <row r="32">
      <c r="A32" s="4" t="inlineStr">
        <is>
          <t>+ D&amp;A</t>
        </is>
      </c>
      <c r="B32" s="33">
        <f>SUM(Financials!H47:K47)</f>
        <v/>
      </c>
      <c r="C32" s="33">
        <f>SUM(Financials!L47:O47)</f>
        <v/>
      </c>
      <c r="D32" s="33">
        <f>SUM(Financials!P47:S47)</f>
        <v/>
      </c>
      <c r="E32" s="33">
        <f>SUM(Financials!T47:W47)</f>
        <v/>
      </c>
      <c r="F32" s="33">
        <f>SUM(Financials!X47:AA47)</f>
        <v/>
      </c>
      <c r="G32" s="41">
        <f>G14*0.0088</f>
        <v/>
      </c>
      <c r="H32" s="41">
        <f>H14*0.0088</f>
        <v/>
      </c>
      <c r="I32" s="41">
        <f>I14*0.0088</f>
        <v/>
      </c>
      <c r="J32" s="41">
        <f>J14*0.0088</f>
        <v/>
      </c>
      <c r="K32" s="41">
        <f>K14*0.0088</f>
        <v/>
      </c>
      <c r="L32" s="41">
        <f>L14*0.0088</f>
        <v/>
      </c>
      <c r="M32" s="41">
        <f>M14*0.0088</f>
        <v/>
      </c>
      <c r="N32" s="41">
        <f>N14*0.0088</f>
        <v/>
      </c>
      <c r="O32" s="41">
        <f>O14*0.0088</f>
        <v/>
      </c>
      <c r="P32" s="41">
        <f>P14*0.0088</f>
        <v/>
      </c>
    </row>
    <row r="33">
      <c r="A33" s="4" t="inlineStr">
        <is>
          <t>+ SBC (non-cash)</t>
        </is>
      </c>
      <c r="B33" s="33">
        <f>SUM(Financials!H48:K48)</f>
        <v/>
      </c>
      <c r="C33" s="33">
        <f>SUM(Financials!L48:O48)</f>
        <v/>
      </c>
      <c r="D33" s="33">
        <f>SUM(Financials!P48:S48)</f>
        <v/>
      </c>
      <c r="E33" s="33">
        <f>SUM(Financials!T48:W48)</f>
        <v/>
      </c>
      <c r="F33" s="33">
        <f>SUM(Financials!X48:AA48)</f>
        <v/>
      </c>
      <c r="G33" s="33">
        <f>G14*(Dashboard!$B$65+(Dashboard!$B$66-Dashboard!$B$65)*0/9)</f>
        <v/>
      </c>
      <c r="H33" s="33">
        <f>H14*(Dashboard!$B$65+(Dashboard!$B$66-Dashboard!$B$65)*1/9)</f>
        <v/>
      </c>
      <c r="I33" s="33">
        <f>I14*(Dashboard!$B$65+(Dashboard!$B$66-Dashboard!$B$65)*2/9)</f>
        <v/>
      </c>
      <c r="J33" s="33">
        <f>J14*(Dashboard!$B$65+(Dashboard!$B$66-Dashboard!$B$65)*3/9)</f>
        <v/>
      </c>
      <c r="K33" s="33">
        <f>K14*(Dashboard!$B$65+(Dashboard!$B$66-Dashboard!$B$65)*4/9)</f>
        <v/>
      </c>
      <c r="L33" s="33">
        <f>L14*(Dashboard!$B$65+(Dashboard!$B$66-Dashboard!$B$65)*5/9)</f>
        <v/>
      </c>
      <c r="M33" s="33">
        <f>M14*(Dashboard!$B$65+(Dashboard!$B$66-Dashboard!$B$65)*6/9)</f>
        <v/>
      </c>
      <c r="N33" s="33">
        <f>N14*(Dashboard!$B$65+(Dashboard!$B$66-Dashboard!$B$65)*7/9)</f>
        <v/>
      </c>
      <c r="O33" s="33">
        <f>O14*(Dashboard!$B$65+(Dashboard!$B$66-Dashboard!$B$65)*8/9)</f>
        <v/>
      </c>
      <c r="P33" s="33">
        <f>P14*(Dashboard!$B$65+(Dashboard!$B$66-Dashboard!$B$65)*9/9)</f>
        <v/>
      </c>
    </row>
    <row r="34">
      <c r="A34" s="4" t="inlineStr">
        <is>
          <t>- dNWC</t>
        </is>
      </c>
      <c r="G34" s="41">
        <f>(G14-F14)*0.0050</f>
        <v/>
      </c>
      <c r="H34" s="41">
        <f>(H14-G14)*0.0050</f>
        <v/>
      </c>
      <c r="I34" s="41">
        <f>(I14-H14)*0.0050</f>
        <v/>
      </c>
      <c r="J34" s="41">
        <f>(J14-I14)*0.0050</f>
        <v/>
      </c>
      <c r="K34" s="41">
        <f>(K14-J14)*0.0050</f>
        <v/>
      </c>
      <c r="L34" s="41">
        <f>(L14-K14)*0.0050</f>
        <v/>
      </c>
      <c r="M34" s="41">
        <f>(M14-L14)*0.0050</f>
        <v/>
      </c>
      <c r="N34" s="41">
        <f>(N14-M14)*0.0050</f>
        <v/>
      </c>
      <c r="O34" s="41">
        <f>(O14-N14)*0.0050</f>
        <v/>
      </c>
      <c r="P34" s="41">
        <f>(P14-O14)*0.0050</f>
        <v/>
      </c>
    </row>
    <row r="35">
      <c r="A35" s="4" t="inlineStr">
        <is>
          <t>- Capex</t>
        </is>
      </c>
      <c r="B35" s="33">
        <f>-SUM(Financials!H51:K51)</f>
        <v/>
      </c>
      <c r="C35" s="33">
        <f>-SUM(Financials!L51:O51)</f>
        <v/>
      </c>
      <c r="D35" s="33">
        <f>-SUM(Financials!P51:S51)</f>
        <v/>
      </c>
      <c r="E35" s="33">
        <f>-SUM(Financials!T51:W51)</f>
        <v/>
      </c>
      <c r="F35" s="33">
        <f>-SUM(Financials!X51:AA51)</f>
        <v/>
      </c>
      <c r="G35" s="41">
        <f>G32*G36</f>
        <v/>
      </c>
      <c r="H35" s="41">
        <f>H32*H36</f>
        <v/>
      </c>
      <c r="I35" s="41">
        <f>I32*I36</f>
        <v/>
      </c>
      <c r="J35" s="41">
        <f>J32*J36</f>
        <v/>
      </c>
      <c r="K35" s="41">
        <f>K32*K36</f>
        <v/>
      </c>
      <c r="L35" s="41">
        <f>L32*L36</f>
        <v/>
      </c>
      <c r="M35" s="41">
        <f>M32*M36</f>
        <v/>
      </c>
      <c r="N35" s="41">
        <f>N32*N36</f>
        <v/>
      </c>
      <c r="O35" s="41">
        <f>O32*O36</f>
        <v/>
      </c>
      <c r="P35" s="41">
        <f>P32*P36</f>
        <v/>
      </c>
    </row>
    <row r="36">
      <c r="A36" s="4" t="inlineStr">
        <is>
          <t xml:space="preserve">    Capex / D&amp;A  (from Dashboard: $cap'26 -&gt; terminal)</t>
        </is>
      </c>
      <c r="B36" s="26">
        <f>IFERROR(B35/B32,"")</f>
        <v/>
      </c>
      <c r="C36" s="26">
        <f>IFERROR(C35/C32,"")</f>
        <v/>
      </c>
      <c r="D36" s="26">
        <f>IFERROR(D35/D32,"")</f>
        <v/>
      </c>
      <c r="E36" s="26">
        <f>IFERROR(E35/E32,"")</f>
        <v/>
      </c>
      <c r="F36" s="26">
        <f>IFERROR(F35/F32,"")</f>
        <v/>
      </c>
      <c r="G36" s="13">
        <f>(Dashboard!$B$34/G32)+(Dashboard!$B$35-(Dashboard!$B$34/G32))*0/9</f>
        <v/>
      </c>
      <c r="H36" s="13">
        <f>(Dashboard!$B$34/G32)+(Dashboard!$B$35-(Dashboard!$B$34/G32))*1/9</f>
        <v/>
      </c>
      <c r="I36" s="13">
        <f>(Dashboard!$B$34/G32)+(Dashboard!$B$35-(Dashboard!$B$34/G32))*2/9</f>
        <v/>
      </c>
      <c r="J36" s="13">
        <f>(Dashboard!$B$34/G32)+(Dashboard!$B$35-(Dashboard!$B$34/G32))*3/9</f>
        <v/>
      </c>
      <c r="K36" s="13">
        <f>(Dashboard!$B$34/G32)+(Dashboard!$B$35-(Dashboard!$B$34/G32))*4/9</f>
        <v/>
      </c>
      <c r="L36" s="13">
        <f>(Dashboard!$B$34/G32)+(Dashboard!$B$35-(Dashboard!$B$34/G32))*5/9</f>
        <v/>
      </c>
      <c r="M36" s="13">
        <f>(Dashboard!$B$34/G32)+(Dashboard!$B$35-(Dashboard!$B$34/G32))*6/9</f>
        <v/>
      </c>
      <c r="N36" s="13">
        <f>(Dashboard!$B$34/G32)+(Dashboard!$B$35-(Dashboard!$B$34/G32))*7/9</f>
        <v/>
      </c>
      <c r="O36" s="13">
        <f>(Dashboard!$B$34/G32)+(Dashboard!$B$35-(Dashboard!$B$34/G32))*8/9</f>
        <v/>
      </c>
      <c r="P36" s="13">
        <f>(Dashboard!$B$34/G32)+(Dashboard!$B$35-(Dashboard!$B$34/G32))*9/9</f>
        <v/>
      </c>
    </row>
    <row r="38">
      <c r="A38" s="3" t="inlineStr">
        <is>
          <t>FCFF (firm)</t>
        </is>
      </c>
      <c r="B38" s="42">
        <f>B31+B32+B33-B34-B35</f>
        <v/>
      </c>
      <c r="C38" s="42">
        <f>C31+C32+C33-C34-C35</f>
        <v/>
      </c>
      <c r="D38" s="42">
        <f>D31+D32+D33-D34-D35</f>
        <v/>
      </c>
      <c r="E38" s="42">
        <f>E31+E32+E33-E34-E35</f>
        <v/>
      </c>
      <c r="F38" s="42">
        <f>F31+F32+F33-F34-F35</f>
        <v/>
      </c>
      <c r="G38" s="42">
        <f>G31+G32+G33-G34-G35</f>
        <v/>
      </c>
      <c r="H38" s="42">
        <f>H31+H32+H33-H34-H35</f>
        <v/>
      </c>
      <c r="I38" s="42">
        <f>I31+I32+I33-I34-I35</f>
        <v/>
      </c>
      <c r="J38" s="42">
        <f>J31+J32+J33-J34-J35</f>
        <v/>
      </c>
      <c r="K38" s="42">
        <f>K31+K32+K33-K34-K35</f>
        <v/>
      </c>
      <c r="L38" s="42">
        <f>L31+L32+L33-L34-L35</f>
        <v/>
      </c>
      <c r="M38" s="42">
        <f>M31+M32+M33-M34-M35</f>
        <v/>
      </c>
      <c r="N38" s="42">
        <f>N31+N32+N33-N34-N35</f>
        <v/>
      </c>
      <c r="O38" s="42">
        <f>O31+O32+O33-O34-O35</f>
        <v/>
      </c>
      <c r="P38" s="42">
        <f>P31+P32+P33-P34-P35</f>
        <v/>
      </c>
    </row>
    <row r="39">
      <c r="A39" s="3" t="inlineStr">
        <is>
          <t>Valuation FCF (NOPAT + D&amp;A - dNWC - Capex - after-tax SBC)</t>
        </is>
      </c>
      <c r="B39" s="43">
        <f>B38-B33-B33*(1-Valuation!$B$5)</f>
        <v/>
      </c>
      <c r="C39" s="43">
        <f>C38-C33-C33*(1-Valuation!$B$5)</f>
        <v/>
      </c>
      <c r="D39" s="43">
        <f>D38-D33-D33*(1-Valuation!$B$5)</f>
        <v/>
      </c>
      <c r="E39" s="43">
        <f>E38-E33-E33*(1-Valuation!$B$5)</f>
        <v/>
      </c>
      <c r="F39" s="43">
        <f>F38-F33-F33*(1-Valuation!$B$5)</f>
        <v/>
      </c>
      <c r="G39" s="43">
        <f>G38-G33-G33*(1-Valuation!$B$5)</f>
        <v/>
      </c>
      <c r="H39" s="43">
        <f>H38-H33-H33*(1-Valuation!$B$5)</f>
        <v/>
      </c>
      <c r="I39" s="43">
        <f>I38-I33-I33*(1-Valuation!$B$5)</f>
        <v/>
      </c>
      <c r="J39" s="43">
        <f>J38-J33-J33*(1-Valuation!$B$5)</f>
        <v/>
      </c>
      <c r="K39" s="43">
        <f>K38-K33-K33*(1-Valuation!$B$5)</f>
        <v/>
      </c>
      <c r="L39" s="43">
        <f>L38-L33-L33*(1-Valuation!$B$5)</f>
        <v/>
      </c>
      <c r="M39" s="43">
        <f>M38-M33-M33*(1-Valuation!$B$5)</f>
        <v/>
      </c>
      <c r="N39" s="43">
        <f>N38-N33-N33*(1-Valuation!$B$5)</f>
        <v/>
      </c>
      <c r="O39" s="43">
        <f>O38-O33-O33*(1-Valuation!$B$5)</f>
        <v/>
      </c>
      <c r="P39" s="43">
        <f>P38-P33-P33*(1-Valuation!$B$5)</f>
        <v/>
      </c>
    </row>
    <row r="41">
      <c r="A41" s="5" t="inlineStr">
        <is>
          <t xml:space="preserve">  RETURNS ON CAPITAL &amp; EFFICIENCY  (is new revenue/capital earning its keep?)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4" t="inlineStr">
        <is>
          <t>Invested capital (debt + equity - cash)</t>
        </is>
      </c>
      <c r="B42" s="33">
        <f>Financials!K45+Financials!K44-Financials!K39</f>
        <v/>
      </c>
      <c r="C42" s="33">
        <f>Financials!O45+Financials!O44-Financials!O39</f>
        <v/>
      </c>
      <c r="D42" s="33">
        <f>Financials!S45+Financials!S44-Financials!S39</f>
        <v/>
      </c>
      <c r="E42" s="33">
        <f>Financials!W45+Financials!W44-Financials!W39</f>
        <v/>
      </c>
      <c r="F42" s="33">
        <f>Financials!AA45+Financials!AA44-Financials!AA39</f>
        <v/>
      </c>
      <c r="G42" s="41">
        <f>F42+G35-G32+G34</f>
        <v/>
      </c>
      <c r="H42" s="41">
        <f>G42+H35-H32+H34</f>
        <v/>
      </c>
      <c r="I42" s="41">
        <f>H42+I35-I32+I34</f>
        <v/>
      </c>
      <c r="J42" s="41">
        <f>I42+J35-J32+J34</f>
        <v/>
      </c>
      <c r="K42" s="41">
        <f>J42+K35-K32+K34</f>
        <v/>
      </c>
      <c r="L42" s="41">
        <f>K42+L35-L32+L34</f>
        <v/>
      </c>
      <c r="M42" s="41">
        <f>L42+M35-M32+M34</f>
        <v/>
      </c>
      <c r="N42" s="41">
        <f>M42+N35-N32+N34</f>
        <v/>
      </c>
      <c r="O42" s="41">
        <f>N42+O35-O32+O34</f>
        <v/>
      </c>
      <c r="P42" s="41">
        <f>O42+P35-P32+P34</f>
        <v/>
      </c>
    </row>
    <row r="43">
      <c r="A43" s="4" t="inlineStr">
        <is>
          <t>Book equity (year-end)</t>
        </is>
      </c>
      <c r="B43" s="33">
        <f>Financials!K45</f>
        <v/>
      </c>
      <c r="C43" s="33">
        <f>Financials!O45</f>
        <v/>
      </c>
      <c r="D43" s="33">
        <f>Financials!S45</f>
        <v/>
      </c>
      <c r="E43" s="33">
        <f>Financials!W45</f>
        <v/>
      </c>
      <c r="F43" s="33">
        <f>Financials!AA45</f>
        <v/>
      </c>
      <c r="G43" s="41">
        <f>F43+G31</f>
        <v/>
      </c>
      <c r="H43" s="41">
        <f>G43+H31</f>
        <v/>
      </c>
      <c r="I43" s="41">
        <f>H43+I31</f>
        <v/>
      </c>
      <c r="J43" s="41">
        <f>I43+J31</f>
        <v/>
      </c>
      <c r="K43" s="41">
        <f>J43+K31</f>
        <v/>
      </c>
      <c r="L43" s="41">
        <f>K43+L31</f>
        <v/>
      </c>
      <c r="M43" s="41">
        <f>L43+M31</f>
        <v/>
      </c>
      <c r="N43" s="41">
        <f>M43+N31</f>
        <v/>
      </c>
      <c r="O43" s="41">
        <f>N43+O31</f>
        <v/>
      </c>
      <c r="P43" s="41">
        <f>O43+P31</f>
        <v/>
      </c>
    </row>
    <row r="44">
      <c r="A44" s="3" t="inlineStr">
        <is>
          <t xml:space="preserve">  ROIC (NOPAT / beg. invested capital)</t>
        </is>
      </c>
      <c r="C44" s="25">
        <f>IFERROR(C31/B42,"")</f>
        <v/>
      </c>
      <c r="D44" s="25">
        <f>IFERROR(D31/C42,"")</f>
        <v/>
      </c>
      <c r="E44" s="25">
        <f>IFERROR(E31/D42,"")</f>
        <v/>
      </c>
      <c r="F44" s="25">
        <f>IFERROR(F31/E42,"")</f>
        <v/>
      </c>
      <c r="G44" s="25">
        <f>IFERROR(G31/F42,"")</f>
        <v/>
      </c>
      <c r="H44" s="25">
        <f>IFERROR(H31/G42,"")</f>
        <v/>
      </c>
      <c r="I44" s="25">
        <f>IFERROR(I31/H42,"")</f>
        <v/>
      </c>
      <c r="J44" s="25">
        <f>IFERROR(J31/I42,"")</f>
        <v/>
      </c>
      <c r="K44" s="25">
        <f>IFERROR(K31/J42,"")</f>
        <v/>
      </c>
      <c r="L44" s="25">
        <f>IFERROR(L31/K42,"")</f>
        <v/>
      </c>
      <c r="M44" s="25">
        <f>IFERROR(M31/L42,"")</f>
        <v/>
      </c>
      <c r="N44" s="25">
        <f>IFERROR(N31/M42,"")</f>
        <v/>
      </c>
      <c r="O44" s="25">
        <f>IFERROR(O31/N42,"")</f>
        <v/>
      </c>
      <c r="P44" s="25">
        <f>IFERROR(P31/O42,"")</f>
        <v/>
      </c>
    </row>
    <row r="45">
      <c r="A45" s="3" t="inlineStr">
        <is>
          <t xml:space="preserve">  ROE (earnings / beg. equity)</t>
        </is>
      </c>
      <c r="C45" s="11">
        <f>IFERROR(SUM(Financials!L15:O15)/B43,"")</f>
        <v/>
      </c>
      <c r="D45" s="11">
        <f>IFERROR(SUM(Financials!P15:S15)/C43,"")</f>
        <v/>
      </c>
      <c r="E45" s="11">
        <f>IFERROR(SUM(Financials!T15:W15)/D43,"")</f>
        <v/>
      </c>
      <c r="F45" s="11">
        <f>IFERROR(SUM(Financials!X15:AA15)/E43,"")</f>
        <v/>
      </c>
      <c r="G45" s="25">
        <f>IFERROR(G31/F43,"")</f>
        <v/>
      </c>
      <c r="H45" s="25">
        <f>IFERROR(H31/G43,"")</f>
        <v/>
      </c>
      <c r="I45" s="25">
        <f>IFERROR(I31/H43,"")</f>
        <v/>
      </c>
      <c r="J45" s="25">
        <f>IFERROR(J31/I43,"")</f>
        <v/>
      </c>
      <c r="K45" s="25">
        <f>IFERROR(K31/J43,"")</f>
        <v/>
      </c>
      <c r="L45" s="25">
        <f>IFERROR(L31/K43,"")</f>
        <v/>
      </c>
      <c r="M45" s="25">
        <f>IFERROR(M31/L43,"")</f>
        <v/>
      </c>
      <c r="N45" s="25">
        <f>IFERROR(N31/M43,"")</f>
        <v/>
      </c>
      <c r="O45" s="25">
        <f>IFERROR(O31/N43,"")</f>
        <v/>
      </c>
      <c r="P45" s="25">
        <f>IFERROR(P31/O43,"")</f>
        <v/>
      </c>
    </row>
    <row r="46">
      <c r="A46" s="4" t="inlineStr">
        <is>
          <t xml:space="preserve">  ROIC - WACC spread (value created)</t>
        </is>
      </c>
      <c r="C46" s="11">
        <f>IFERROR(C44-WACC!$B$15,"")</f>
        <v/>
      </c>
      <c r="D46" s="11">
        <f>IFERROR(D44-WACC!$B$15,"")</f>
        <v/>
      </c>
      <c r="E46" s="11">
        <f>IFERROR(E44-WACC!$B$15,"")</f>
        <v/>
      </c>
      <c r="F46" s="11">
        <f>IFERROR(F44-WACC!$B$15,"")</f>
        <v/>
      </c>
      <c r="G46" s="11">
        <f>IFERROR(G44-WACC!$B$15,"")</f>
        <v/>
      </c>
      <c r="H46" s="11">
        <f>IFERROR(H44-WACC!$B$15,"")</f>
        <v/>
      </c>
      <c r="I46" s="11">
        <f>IFERROR(I44-WACC!$B$15,"")</f>
        <v/>
      </c>
      <c r="J46" s="11">
        <f>IFERROR(J44-WACC!$B$15,"")</f>
        <v/>
      </c>
      <c r="K46" s="11">
        <f>IFERROR(K44-WACC!$B$15,"")</f>
        <v/>
      </c>
      <c r="L46" s="11">
        <f>IFERROR(L44-WACC!$B$15,"")</f>
        <v/>
      </c>
      <c r="M46" s="11">
        <f>IFERROR(M44-WACC!$B$15,"")</f>
        <v/>
      </c>
      <c r="N46" s="11">
        <f>IFERROR(N44-WACC!$B$15,"")</f>
        <v/>
      </c>
      <c r="O46" s="11">
        <f>IFERROR(O44-WACC!$B$15,"")</f>
        <v/>
      </c>
      <c r="P46" s="11">
        <f>IFERROR(P44-WACC!$B$15,"")</f>
        <v/>
      </c>
    </row>
    <row r="47">
      <c r="A47" s="4" t="inlineStr">
        <is>
          <t xml:space="preserve">  Incremental op margin (ΔEBIT / ΔRev)</t>
        </is>
      </c>
      <c r="C47" s="25">
        <f>IFERROR((C27-B27)/(C14-B14),"")</f>
        <v/>
      </c>
      <c r="D47" s="25">
        <f>IFERROR((D27-C27)/(D14-C14),"")</f>
        <v/>
      </c>
      <c r="E47" s="25">
        <f>IFERROR((E27-D27)/(E14-D14),"")</f>
        <v/>
      </c>
      <c r="F47" s="25">
        <f>IFERROR((F27-E27)/(F14-E14),"")</f>
        <v/>
      </c>
      <c r="G47" s="25">
        <f>IFERROR((G27-F27)/(G14-F14),"")</f>
        <v/>
      </c>
      <c r="H47" s="25">
        <f>IFERROR((H27-G27)/(H14-G14),"")</f>
        <v/>
      </c>
      <c r="I47" s="25">
        <f>IFERROR((I27-H27)/(I14-H14),"")</f>
        <v/>
      </c>
      <c r="J47" s="25">
        <f>IFERROR((J27-I27)/(J14-I14),"")</f>
        <v/>
      </c>
      <c r="K47" s="25">
        <f>IFERROR((K27-J27)/(K14-J14),"")</f>
        <v/>
      </c>
      <c r="L47" s="25">
        <f>IFERROR((L27-K27)/(L14-K14),"")</f>
        <v/>
      </c>
      <c r="M47" s="25">
        <f>IFERROR((M27-L27)/(M14-L14),"")</f>
        <v/>
      </c>
      <c r="N47" s="25">
        <f>IFERROR((N27-M27)/(N14-M14),"")</f>
        <v/>
      </c>
      <c r="O47" s="25">
        <f>IFERROR((O27-N27)/(O14-N14),"")</f>
        <v/>
      </c>
      <c r="P47" s="25">
        <f>IFERROR((P27-O27)/(P14-O14),"")</f>
        <v/>
      </c>
    </row>
    <row r="48">
      <c r="A48" s="3" t="inlineStr">
        <is>
          <t xml:space="preserve">  ROIIC (ΔNOPAT / ΔInvested capital)</t>
        </is>
      </c>
      <c r="C48" s="25">
        <f>IFERROR((C31-B31)/(C42-B42),"")</f>
        <v/>
      </c>
      <c r="D48" s="25">
        <f>IFERROR((D31-C31)/(D42-C42),"")</f>
        <v/>
      </c>
      <c r="E48" s="25">
        <f>IFERROR((E31-D31)/(E42-D42),"")</f>
        <v/>
      </c>
      <c r="F48" s="25">
        <f>IFERROR((F31-E31)/(F42-E42),"")</f>
        <v/>
      </c>
      <c r="G48" s="25">
        <f>IFERROR((G31-F31)/(G42-F42),"")</f>
        <v/>
      </c>
      <c r="H48" s="25">
        <f>IFERROR((H31-G31)/(H42-G42),"")</f>
        <v/>
      </c>
      <c r="I48" s="25">
        <f>IFERROR((I31-H31)/(I42-H42),"")</f>
        <v/>
      </c>
      <c r="J48" s="25">
        <f>IFERROR((J31-I31)/(J42-I42),"")</f>
        <v/>
      </c>
      <c r="K48" s="25">
        <f>IFERROR((K31-J31)/(K42-J42),"")</f>
        <v/>
      </c>
      <c r="L48" s="25">
        <f>IFERROR((L31-K31)/(L42-K42),"")</f>
        <v/>
      </c>
      <c r="M48" s="25">
        <f>IFERROR((M31-L31)/(M42-L42),"")</f>
        <v/>
      </c>
      <c r="N48" s="25">
        <f>IFERROR((N31-M31)/(N42-M42),"")</f>
        <v/>
      </c>
      <c r="O48" s="25">
        <f>IFERROR((O31-N31)/(O42-N42),"")</f>
        <v/>
      </c>
      <c r="P48" s="25">
        <f>IFERROR((P31-O31)/(P42-O42),"")</f>
        <v/>
      </c>
    </row>
    <row r="49">
      <c r="A49" s="4" t="inlineStr">
        <is>
          <t xml:space="preserve">  Sales-to-capital (ΔRev / ΔInvested capital)</t>
        </is>
      </c>
      <c r="C49" s="44">
        <f>IFERROR((C14-B14)/(C42-B42),"")</f>
        <v/>
      </c>
      <c r="D49" s="44">
        <f>IFERROR((D14-C14)/(D42-C42),"")</f>
        <v/>
      </c>
      <c r="E49" s="44">
        <f>IFERROR((E14-D14)/(E42-D42),"")</f>
        <v/>
      </c>
      <c r="F49" s="44">
        <f>IFERROR((F14-E14)/(F42-E42),"")</f>
        <v/>
      </c>
      <c r="G49" s="44">
        <f>IFERROR((G14-F14)/(G42-F42),"")</f>
        <v/>
      </c>
      <c r="H49" s="44">
        <f>IFERROR((H14-G14)/(H42-G42),"")</f>
        <v/>
      </c>
      <c r="I49" s="44">
        <f>IFERROR((I14-H14)/(I42-H42),"")</f>
        <v/>
      </c>
      <c r="J49" s="44">
        <f>IFERROR((J14-I14)/(J42-I42),"")</f>
        <v/>
      </c>
      <c r="K49" s="44">
        <f>IFERROR((K14-J14)/(K42-J42),"")</f>
        <v/>
      </c>
      <c r="L49" s="44">
        <f>IFERROR((L14-K14)/(L42-K42),"")</f>
        <v/>
      </c>
      <c r="M49" s="44">
        <f>IFERROR((M14-L14)/(M42-L42),"")</f>
        <v/>
      </c>
      <c r="N49" s="44">
        <f>IFERROR((N14-M14)/(N42-M42),"")</f>
        <v/>
      </c>
      <c r="O49" s="44">
        <f>IFERROR((O14-N14)/(O42-N42),"")</f>
        <v/>
      </c>
      <c r="P49" s="44">
        <f>IFERROR((P14-O14)/(P42-O42),"")</f>
        <v/>
      </c>
    </row>
    <row r="50">
      <c r="A50" s="4" t="inlineStr">
        <is>
          <t xml:space="preserve">  Reinvestment rate (ΔInvested capital / NOPAT)</t>
        </is>
      </c>
      <c r="C50" s="25">
        <f>IFERROR((C42-B42)/C31,"")</f>
        <v/>
      </c>
      <c r="D50" s="25">
        <f>IFERROR((D42-C42)/D31,"")</f>
        <v/>
      </c>
      <c r="E50" s="25">
        <f>IFERROR((E42-D42)/E31,"")</f>
        <v/>
      </c>
      <c r="F50" s="25">
        <f>IFERROR((F42-E42)/F31,"")</f>
        <v/>
      </c>
      <c r="G50" s="25">
        <f>IFERROR((G42-F42)/G31,"")</f>
        <v/>
      </c>
      <c r="H50" s="25">
        <f>IFERROR((H42-G42)/H31,"")</f>
        <v/>
      </c>
      <c r="I50" s="25">
        <f>IFERROR((I42-H42)/I31,"")</f>
        <v/>
      </c>
      <c r="J50" s="25">
        <f>IFERROR((J42-I42)/J31,"")</f>
        <v/>
      </c>
      <c r="K50" s="25">
        <f>IFERROR((K42-J42)/K31,"")</f>
        <v/>
      </c>
      <c r="L50" s="25">
        <f>IFERROR((L42-K42)/L31,"")</f>
        <v/>
      </c>
      <c r="M50" s="25">
        <f>IFERROR((M42-L42)/M31,"")</f>
        <v/>
      </c>
      <c r="N50" s="25">
        <f>IFERROR((N42-M42)/N31,"")</f>
        <v/>
      </c>
      <c r="O50" s="25">
        <f>IFERROR((O42-N42)/O31,"")</f>
        <v/>
      </c>
      <c r="P50" s="25">
        <f>IFERROR((P42-O42)/P31,"")</f>
        <v/>
      </c>
    </row>
    <row r="52">
      <c r="A5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Q3 2019</t>
        </is>
      </c>
      <c r="C1" s="45" t="inlineStr">
        <is>
          <t>Q4 2019</t>
        </is>
      </c>
      <c r="D1" s="45" t="inlineStr">
        <is>
          <t>Q1 2020</t>
        </is>
      </c>
      <c r="E1" s="45" t="inlineStr">
        <is>
          <t>Q2 2020</t>
        </is>
      </c>
      <c r="F1" s="45" t="inlineStr">
        <is>
          <t>Q3 2020</t>
        </is>
      </c>
      <c r="G1" s="45" t="inlineStr">
        <is>
          <t>Q4 2020</t>
        </is>
      </c>
      <c r="H1" s="45" t="inlineStr">
        <is>
          <t>Q1 2021</t>
        </is>
      </c>
      <c r="I1" s="45" t="inlineStr">
        <is>
          <t>Q2 2021</t>
        </is>
      </c>
      <c r="J1" s="45" t="inlineStr">
        <is>
          <t>Q3 2021</t>
        </is>
      </c>
      <c r="K1" s="45" t="inlineStr">
        <is>
          <t>Q4 2021</t>
        </is>
      </c>
      <c r="L1" s="45" t="inlineStr">
        <is>
          <t>Q1 2022</t>
        </is>
      </c>
      <c r="M1" s="45" t="inlineStr">
        <is>
          <t>Q2 2022</t>
        </is>
      </c>
      <c r="N1" s="45" t="inlineStr">
        <is>
          <t>Q3 2022</t>
        </is>
      </c>
      <c r="O1" s="45" t="inlineStr">
        <is>
          <t>Q4 2022</t>
        </is>
      </c>
      <c r="P1" s="45" t="inlineStr">
        <is>
          <t>Q1 2023</t>
        </is>
      </c>
      <c r="Q1" s="45" t="inlineStr">
        <is>
          <t>Q2 2023</t>
        </is>
      </c>
      <c r="R1" s="45" t="inlineStr">
        <is>
          <t>Q3 2023</t>
        </is>
      </c>
      <c r="S1" s="45" t="inlineStr">
        <is>
          <t>Q4 2023</t>
        </is>
      </c>
      <c r="T1" s="45" t="inlineStr">
        <is>
          <t>Q1 2024</t>
        </is>
      </c>
      <c r="U1" s="45" t="inlineStr">
        <is>
          <t>Q2 2024</t>
        </is>
      </c>
      <c r="V1" s="45" t="inlineStr">
        <is>
          <t>Q3 2024</t>
        </is>
      </c>
      <c r="W1" s="45" t="inlineStr">
        <is>
          <t>Q4 2024</t>
        </is>
      </c>
      <c r="X1" s="45" t="inlineStr">
        <is>
          <t>Q1 2025</t>
        </is>
      </c>
      <c r="Y1" s="45" t="inlineStr">
        <is>
          <t>Q2 2025</t>
        </is>
      </c>
      <c r="Z1" s="45" t="inlineStr">
        <is>
          <t>Q3 2025</t>
        </is>
      </c>
      <c r="AA1" s="45" t="inlineStr">
        <is>
          <t>Q4 2025</t>
        </is>
      </c>
      <c r="AB1" s="45" t="inlineStr">
        <is>
          <t>Q1 2026</t>
        </is>
      </c>
      <c r="AC1" s="45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34740</v>
      </c>
      <c r="C3" s="18" t="n">
        <v>47498</v>
      </c>
      <c r="D3" s="18" t="n">
        <v>37040</v>
      </c>
      <c r="E3" s="18" t="n">
        <v>39072</v>
      </c>
      <c r="F3" s="18" t="n">
        <v>37266</v>
      </c>
      <c r="G3" s="18" t="n">
        <v>53383</v>
      </c>
      <c r="H3" s="18" t="n">
        <v>43208</v>
      </c>
      <c r="I3" s="18" t="n">
        <v>44769</v>
      </c>
      <c r="J3" s="18" t="n">
        <v>45277</v>
      </c>
      <c r="K3" s="18" t="n">
        <v>62675</v>
      </c>
      <c r="L3" s="18" t="n">
        <v>50363</v>
      </c>
      <c r="M3" s="18" t="n">
        <v>51904</v>
      </c>
      <c r="N3" s="18" t="n">
        <v>52596</v>
      </c>
      <c r="O3" s="18" t="n">
        <v>72091</v>
      </c>
      <c r="P3" s="18" t="n">
        <v>54437</v>
      </c>
      <c r="Q3" s="18" t="n">
        <v>55266</v>
      </c>
      <c r="R3" s="18" t="n">
        <v>53648</v>
      </c>
      <c r="S3" s="18" t="n">
        <v>78939</v>
      </c>
      <c r="T3" s="18" t="n">
        <v>57799</v>
      </c>
      <c r="U3" s="18" t="n">
        <v>58442</v>
      </c>
      <c r="V3" s="18" t="n">
        <v>58515</v>
      </c>
      <c r="W3" s="18" t="n">
        <v>79697</v>
      </c>
      <c r="X3" s="18" t="n">
        <v>62151</v>
      </c>
      <c r="Y3" s="18" t="n">
        <v>63723</v>
      </c>
      <c r="Z3" s="18" t="n">
        <v>63205</v>
      </c>
      <c r="AA3" s="18" t="n">
        <v>86156</v>
      </c>
      <c r="AB3" s="18" t="n">
        <v>67307</v>
      </c>
      <c r="AC3" s="18" t="n">
        <v>69597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30233</v>
      </c>
      <c r="C5" s="18" t="n">
        <v>41310</v>
      </c>
      <c r="D5" s="18" t="n">
        <v>32233</v>
      </c>
      <c r="E5" s="18" t="n">
        <v>34056</v>
      </c>
      <c r="F5" s="18" t="n">
        <v>32249</v>
      </c>
      <c r="G5" s="18" t="n">
        <v>46401</v>
      </c>
      <c r="H5" s="18" t="n">
        <v>37458</v>
      </c>
      <c r="I5" s="18" t="n">
        <v>39078</v>
      </c>
      <c r="J5" s="18" t="n">
        <v>39415</v>
      </c>
      <c r="K5" s="18" t="n">
        <v>54733</v>
      </c>
      <c r="L5" s="18" t="n">
        <v>43952</v>
      </c>
      <c r="M5" s="18" t="n">
        <v>45517</v>
      </c>
      <c r="N5" s="18" t="n">
        <v>46355</v>
      </c>
      <c r="O5" s="18" t="n">
        <v>63558</v>
      </c>
      <c r="P5" s="18" t="n">
        <v>47769</v>
      </c>
      <c r="Q5" s="18" t="n">
        <v>48423</v>
      </c>
      <c r="R5" s="18" t="n">
        <v>47175</v>
      </c>
      <c r="S5" s="18" t="n">
        <v>69219</v>
      </c>
      <c r="T5" s="18" t="n">
        <v>50457</v>
      </c>
      <c r="U5" s="18" t="n">
        <v>51140</v>
      </c>
      <c r="V5" s="18" t="n">
        <v>51173</v>
      </c>
      <c r="W5" s="18" t="n">
        <v>69588</v>
      </c>
      <c r="X5" s="18" t="n">
        <v>54109</v>
      </c>
      <c r="Y5" s="18" t="n">
        <v>55744</v>
      </c>
      <c r="Z5" s="18" t="n">
        <v>54996</v>
      </c>
      <c r="AA5" s="18" t="n">
        <v>75037</v>
      </c>
      <c r="AB5" s="18" t="n">
        <v>58510</v>
      </c>
      <c r="AC5" s="18" t="n">
        <v>60719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3371</v>
      </c>
      <c r="C9" s="18" t="n">
        <v>4684</v>
      </c>
      <c r="D9" s="18" t="n">
        <v>3732</v>
      </c>
      <c r="E9" s="18" t="n">
        <v>3743</v>
      </c>
      <c r="F9" s="18" t="n">
        <v>3830</v>
      </c>
      <c r="G9" s="18" t="n">
        <v>5027</v>
      </c>
      <c r="H9" s="18" t="n">
        <v>4298</v>
      </c>
      <c r="I9" s="18" t="n">
        <v>4342</v>
      </c>
      <c r="J9" s="18" t="n">
        <v>4189</v>
      </c>
      <c r="K9" s="18" t="n">
        <v>5632</v>
      </c>
      <c r="L9" s="18" t="n">
        <v>4690</v>
      </c>
      <c r="M9" s="18" t="n">
        <v>4575</v>
      </c>
      <c r="N9" s="18" t="n">
        <v>4450</v>
      </c>
      <c r="O9" s="18" t="n">
        <v>6036</v>
      </c>
      <c r="P9" s="18" t="n">
        <v>4917</v>
      </c>
      <c r="Q9" s="18" t="n">
        <v>4940</v>
      </c>
      <c r="R9" s="18" t="n">
        <v>4794</v>
      </c>
      <c r="S9" s="18" t="n">
        <v>6939</v>
      </c>
      <c r="T9" s="18" t="n">
        <v>5358</v>
      </c>
      <c r="U9" s="18" t="n">
        <v>5240</v>
      </c>
      <c r="V9" s="18" t="n">
        <v>5145</v>
      </c>
      <c r="W9" s="18" t="n">
        <v>7067</v>
      </c>
      <c r="X9" s="18" t="n">
        <v>5846</v>
      </c>
      <c r="Y9" s="18" t="n">
        <v>5663</v>
      </c>
      <c r="Z9" s="18" t="n">
        <v>5679</v>
      </c>
      <c r="AA9" s="18" t="n">
        <v>7778</v>
      </c>
      <c r="AB9" s="18" t="n">
        <v>6334</v>
      </c>
      <c r="AC9" s="18" t="n">
        <v>6272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4507</v>
      </c>
      <c r="C11" s="18" t="n">
        <v>6188</v>
      </c>
      <c r="D11" s="18" t="n">
        <v>4807</v>
      </c>
      <c r="E11" s="18" t="n">
        <v>5016</v>
      </c>
      <c r="F11" s="18" t="n">
        <v>5017</v>
      </c>
      <c r="G11" s="18" t="n">
        <v>6982</v>
      </c>
      <c r="H11" s="18" t="n">
        <v>5750</v>
      </c>
      <c r="I11" s="18" t="n">
        <v>5691</v>
      </c>
      <c r="J11" s="18" t="n">
        <v>5862</v>
      </c>
      <c r="K11" s="18" t="n">
        <v>7942</v>
      </c>
      <c r="L11" s="18" t="n">
        <v>6411</v>
      </c>
      <c r="M11" s="18" t="n">
        <v>6387</v>
      </c>
      <c r="N11" s="18" t="n">
        <v>6241</v>
      </c>
      <c r="O11" s="18" t="n">
        <v>8533</v>
      </c>
      <c r="P11" s="18" t="n">
        <v>6668</v>
      </c>
      <c r="Q11" s="18" t="n">
        <v>6843</v>
      </c>
      <c r="R11" s="18" t="n">
        <v>6473</v>
      </c>
      <c r="S11" s="18" t="n">
        <v>9720</v>
      </c>
      <c r="T11" s="18" t="n">
        <v>7342</v>
      </c>
      <c r="U11" s="18" t="n">
        <v>7302</v>
      </c>
      <c r="V11" s="18" t="n">
        <v>7342</v>
      </c>
      <c r="W11" s="18" t="n">
        <v>10109</v>
      </c>
      <c r="X11" s="18" t="n">
        <v>8042</v>
      </c>
      <c r="Y11" s="18" t="n">
        <v>7979</v>
      </c>
      <c r="Z11" s="18" t="n">
        <v>8209</v>
      </c>
      <c r="AA11" s="18" t="n">
        <v>11119</v>
      </c>
      <c r="AB11" s="18" t="n">
        <v>8797</v>
      </c>
      <c r="AC11" s="18" t="n">
        <v>8878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1122</v>
      </c>
      <c r="C13" s="18" t="n">
        <v>1463</v>
      </c>
      <c r="D13" s="18" t="n">
        <v>1061</v>
      </c>
      <c r="E13" s="18" t="n">
        <v>1266</v>
      </c>
      <c r="F13" s="18" t="n">
        <v>1179</v>
      </c>
      <c r="G13" s="18" t="n">
        <v>1929</v>
      </c>
      <c r="H13" s="18" t="n">
        <v>1430</v>
      </c>
      <c r="I13" s="18" t="n">
        <v>1340</v>
      </c>
      <c r="J13" s="18" t="n">
        <v>1663</v>
      </c>
      <c r="K13" s="18" t="n">
        <v>2275</v>
      </c>
      <c r="L13" s="18" t="n">
        <v>1693</v>
      </c>
      <c r="M13" s="18" t="n">
        <v>1812</v>
      </c>
      <c r="N13" s="18" t="n">
        <v>1791</v>
      </c>
      <c r="O13" s="18" t="n">
        <v>2497</v>
      </c>
      <c r="P13" s="18" t="n">
        <v>1751</v>
      </c>
      <c r="Q13" s="18" t="n">
        <v>1903</v>
      </c>
      <c r="R13" s="18" t="n">
        <v>1679</v>
      </c>
      <c r="S13" s="18" t="n">
        <v>2781</v>
      </c>
      <c r="T13" s="18" t="n">
        <v>1984</v>
      </c>
      <c r="U13" s="18" t="n">
        <v>2062</v>
      </c>
      <c r="V13" s="18" t="n">
        <v>2197</v>
      </c>
      <c r="W13" s="18" t="n">
        <v>3042</v>
      </c>
      <c r="X13" s="18" t="n">
        <v>2196</v>
      </c>
      <c r="Y13" s="18" t="n">
        <v>2316</v>
      </c>
      <c r="Z13" s="18" t="n">
        <v>2530</v>
      </c>
      <c r="AA13" s="18" t="n">
        <v>3341</v>
      </c>
      <c r="AB13" s="18" t="n">
        <v>2463</v>
      </c>
      <c r="AC13" s="18" t="n">
        <v>2606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906</v>
      </c>
      <c r="C15" s="18" t="n">
        <v>1097</v>
      </c>
      <c r="D15" s="18" t="n">
        <v>844</v>
      </c>
      <c r="E15" s="18" t="n">
        <v>931</v>
      </c>
      <c r="F15" s="18" t="n">
        <v>838</v>
      </c>
      <c r="G15" s="18" t="n">
        <v>1389</v>
      </c>
      <c r="H15" s="18" t="n">
        <v>1166</v>
      </c>
      <c r="I15" s="18" t="n">
        <v>951</v>
      </c>
      <c r="J15" s="18" t="n">
        <v>1220</v>
      </c>
      <c r="K15" s="18" t="n">
        <v>1670</v>
      </c>
      <c r="L15" s="18" t="n">
        <v>1324</v>
      </c>
      <c r="M15" s="18" t="n">
        <v>1299</v>
      </c>
      <c r="N15" s="18" t="n">
        <v>1353</v>
      </c>
      <c r="O15" s="18" t="n">
        <v>1868</v>
      </c>
      <c r="P15" s="18" t="n">
        <v>1364</v>
      </c>
      <c r="Q15" s="18" t="n">
        <v>1466</v>
      </c>
      <c r="R15" s="18" t="n">
        <v>1302</v>
      </c>
      <c r="S15" s="18" t="n">
        <v>2160</v>
      </c>
      <c r="T15" s="18" t="n">
        <v>1589</v>
      </c>
      <c r="U15" s="18" t="n">
        <v>1743</v>
      </c>
      <c r="V15" s="18" t="n">
        <v>1681</v>
      </c>
      <c r="W15" s="18" t="n">
        <v>2354</v>
      </c>
      <c r="X15" s="18" t="n">
        <v>1798</v>
      </c>
      <c r="Y15" s="18" t="n">
        <v>1788</v>
      </c>
      <c r="Z15" s="18" t="n">
        <v>1903</v>
      </c>
      <c r="AA15" s="18" t="n">
        <v>2610</v>
      </c>
      <c r="AB15" s="18" t="n">
        <v>2001</v>
      </c>
      <c r="AC15" s="18" t="n">
        <v>2035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442.642</v>
      </c>
      <c r="C17" s="18" t="n">
        <v>443.997</v>
      </c>
      <c r="D17" s="18" t="n">
        <v>443.68</v>
      </c>
      <c r="E17" s="18" t="n">
        <v>443.727</v>
      </c>
      <c r="F17" s="18" t="n">
        <v>443.855</v>
      </c>
      <c r="G17" s="18" t="n">
        <v>444.342</v>
      </c>
      <c r="H17" s="18" t="n">
        <v>444.386</v>
      </c>
      <c r="I17" s="18" t="n">
        <v>444.494</v>
      </c>
      <c r="J17" s="18" t="n">
        <v>444.127</v>
      </c>
      <c r="K17" s="18" t="n">
        <v>444.376</v>
      </c>
      <c r="L17" s="18" t="n">
        <v>444.604</v>
      </c>
      <c r="M17" s="18" t="n">
        <v>444.916</v>
      </c>
      <c r="N17" s="18" t="n">
        <v>444.886</v>
      </c>
      <c r="O17" s="18" t="n">
        <v>444.655</v>
      </c>
      <c r="P17" s="18" t="n">
        <v>444.531</v>
      </c>
      <c r="Q17" s="18" t="n">
        <v>444.475</v>
      </c>
      <c r="R17" s="18" t="n">
        <v>444.36</v>
      </c>
      <c r="S17" s="18" t="n">
        <v>444.445</v>
      </c>
      <c r="T17" s="18" t="n">
        <v>444.403</v>
      </c>
      <c r="U17" s="18" t="n">
        <v>444.754</v>
      </c>
      <c r="V17" s="18" t="n">
        <v>444.828</v>
      </c>
      <c r="W17" s="18" t="n">
        <v>444.977</v>
      </c>
      <c r="X17" s="18" t="n">
        <v>444.977</v>
      </c>
      <c r="Y17" s="18" t="n">
        <v>444.886</v>
      </c>
      <c r="Z17" s="18" t="n">
        <v>444.762</v>
      </c>
      <c r="AA17" s="18" t="n">
        <v>444.706</v>
      </c>
      <c r="AB17" s="18" t="n">
        <v>444.515</v>
      </c>
      <c r="AC17" s="18" t="n">
        <v>444.515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Food and Sundries</t>
        </is>
      </c>
      <c r="B19" s="18" t="n">
        <v>13524</v>
      </c>
      <c r="C19" s="18" t="n">
        <v>18541</v>
      </c>
      <c r="D19" s="18" t="n">
        <v>14532</v>
      </c>
      <c r="E19" s="18" t="n">
        <v>14984</v>
      </c>
      <c r="F19" s="18" t="n">
        <v>16897</v>
      </c>
      <c r="G19" s="18" t="n">
        <v>22246</v>
      </c>
      <c r="H19" s="18" t="n">
        <v>18019</v>
      </c>
      <c r="I19" s="18" t="n">
        <v>17624</v>
      </c>
      <c r="J19" s="18" t="n">
        <v>17551</v>
      </c>
      <c r="K19" s="18" t="n">
        <v>24083</v>
      </c>
      <c r="L19" s="18" t="n">
        <v>19563</v>
      </c>
      <c r="M19" s="18" t="n">
        <v>19489</v>
      </c>
      <c r="N19" s="18" t="n">
        <v>19594</v>
      </c>
      <c r="O19" s="18" t="n">
        <v>26983</v>
      </c>
      <c r="P19" s="18" t="n">
        <v>21448</v>
      </c>
      <c r="Q19" s="18" t="n">
        <v>21926</v>
      </c>
      <c r="R19" s="18" t="n">
        <v>21298</v>
      </c>
      <c r="S19" s="18" t="n">
        <v>31503</v>
      </c>
      <c r="T19" s="18" t="n">
        <v>23024</v>
      </c>
      <c r="U19" s="18" t="n">
        <v>23675</v>
      </c>
      <c r="V19" s="18" t="n">
        <v>23065</v>
      </c>
      <c r="W19" s="18" t="n">
        <v>31699</v>
      </c>
      <c r="X19" s="18" t="n">
        <v>25062</v>
      </c>
      <c r="Y19" s="18" t="n">
        <v>25112</v>
      </c>
      <c r="Z19" s="18" t="n">
        <v>25149</v>
      </c>
      <c r="AA19" s="18" t="n">
        <v>34241</v>
      </c>
      <c r="AC19" s="18" t="n">
        <v>27149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Non-Foods</t>
        </is>
      </c>
      <c r="K22" s="18" t="n">
        <v>55966</v>
      </c>
      <c r="L22" s="18" t="n">
        <v>14162</v>
      </c>
      <c r="M22" s="18" t="n">
        <v>15105</v>
      </c>
      <c r="N22" s="18" t="n">
        <v>13810</v>
      </c>
      <c r="O22" s="18" t="n">
        <v>18023</v>
      </c>
      <c r="P22" s="18" t="n">
        <v>14032</v>
      </c>
      <c r="Q22" s="18" t="n">
        <v>14741</v>
      </c>
      <c r="R22" s="18" t="n">
        <v>13087</v>
      </c>
      <c r="S22" s="18" t="n">
        <v>19005</v>
      </c>
      <c r="T22" s="18" t="n">
        <v>14766</v>
      </c>
      <c r="U22" s="18" t="n">
        <v>15017</v>
      </c>
      <c r="V22" s="18" t="n">
        <v>14518</v>
      </c>
      <c r="W22" s="18" t="n">
        <v>19672</v>
      </c>
      <c r="X22" s="18" t="n">
        <v>16171</v>
      </c>
      <c r="Y22" s="18" t="n">
        <v>17526</v>
      </c>
      <c r="Z22" s="18" t="n">
        <v>16080</v>
      </c>
      <c r="AA22" s="18" t="n">
        <v>21413</v>
      </c>
      <c r="AC22" s="18" t="n">
        <v>19153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Other</t>
        </is>
      </c>
      <c r="B25" s="18" t="n">
        <v>6793</v>
      </c>
      <c r="C25" s="18" t="n">
        <v>9386</v>
      </c>
      <c r="D25" s="18" t="n">
        <v>6988</v>
      </c>
      <c r="E25" s="18" t="n">
        <v>6915</v>
      </c>
      <c r="F25" s="18" t="n">
        <v>5270</v>
      </c>
      <c r="G25" s="18" t="n">
        <v>7377</v>
      </c>
      <c r="H25" s="18" t="n">
        <v>6081</v>
      </c>
      <c r="I25" s="18" t="n">
        <v>6287</v>
      </c>
      <c r="J25" s="18" t="n">
        <v>7630</v>
      </c>
      <c r="K25" s="18" t="n">
        <v>11628</v>
      </c>
      <c r="L25" s="18" t="n">
        <v>9253</v>
      </c>
      <c r="M25" s="18" t="n">
        <v>9384</v>
      </c>
      <c r="N25" s="18" t="n">
        <v>11395</v>
      </c>
      <c r="O25" s="18" t="n">
        <v>16442</v>
      </c>
      <c r="P25" s="18" t="n">
        <v>11240</v>
      </c>
      <c r="Q25" s="18" t="n">
        <v>10196</v>
      </c>
      <c r="R25" s="18" t="n">
        <v>11025</v>
      </c>
      <c r="S25" s="18" t="n">
        <v>16232</v>
      </c>
      <c r="T25" s="18" t="n">
        <v>11599</v>
      </c>
      <c r="U25" s="18" t="n">
        <v>10643</v>
      </c>
      <c r="V25" s="18" t="n">
        <v>11921</v>
      </c>
      <c r="W25" s="18" t="n">
        <v>15806</v>
      </c>
      <c r="X25" s="18" t="n">
        <v>11534</v>
      </c>
      <c r="Y25" s="18" t="n">
        <v>11056</v>
      </c>
      <c r="Z25" s="18" t="n">
        <v>11951</v>
      </c>
      <c r="AA25" s="18" t="n">
        <v>16629</v>
      </c>
      <c r="AC25" s="18" t="n">
        <v>12053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Fresh Food</t>
        </is>
      </c>
      <c r="B28" s="18" t="n">
        <v>4568</v>
      </c>
      <c r="C28" s="18" t="n">
        <v>6397</v>
      </c>
      <c r="D28" s="18" t="n">
        <v>4576</v>
      </c>
      <c r="E28" s="18" t="n">
        <v>5079</v>
      </c>
      <c r="F28" s="18" t="n">
        <v>5587</v>
      </c>
      <c r="G28" s="18" t="n">
        <v>7962</v>
      </c>
      <c r="H28" s="18" t="n">
        <v>5863</v>
      </c>
      <c r="I28" s="18" t="n">
        <v>6254</v>
      </c>
      <c r="J28" s="18" t="n">
        <v>6296</v>
      </c>
      <c r="K28" s="18" t="n">
        <v>8770</v>
      </c>
      <c r="L28" s="18" t="n">
        <v>6439</v>
      </c>
      <c r="M28" s="18" t="n">
        <v>6959</v>
      </c>
      <c r="N28" s="18" t="n">
        <v>6813</v>
      </c>
      <c r="O28" s="18" t="n">
        <v>9316</v>
      </c>
      <c r="P28" s="18" t="n">
        <v>6717</v>
      </c>
      <c r="Q28" s="18" t="n">
        <v>7376</v>
      </c>
      <c r="R28" s="18" t="n">
        <v>7194</v>
      </c>
      <c r="S28" s="18" t="n">
        <v>10690</v>
      </c>
      <c r="T28" s="18" t="n">
        <v>7328</v>
      </c>
      <c r="U28" s="18" t="n">
        <v>7996</v>
      </c>
      <c r="V28" s="18" t="n">
        <v>7888</v>
      </c>
      <c r="W28" s="18" t="n">
        <v>11008</v>
      </c>
      <c r="X28" s="18" t="n">
        <v>8218</v>
      </c>
      <c r="Y28" s="18" t="n">
        <v>8836</v>
      </c>
      <c r="Z28" s="18" t="n">
        <v>8785</v>
      </c>
      <c r="AA28" s="18" t="n">
        <v>12149</v>
      </c>
      <c r="AC28" s="18" t="n">
        <v>9887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Membership</t>
        </is>
      </c>
      <c r="B31" s="18" t="n">
        <v>776</v>
      </c>
      <c r="C31" s="18" t="n">
        <v>1050</v>
      </c>
      <c r="D31" s="18" t="n">
        <v>804</v>
      </c>
      <c r="E31" s="18" t="n">
        <v>816</v>
      </c>
      <c r="G31" s="18" t="n">
        <v>3541</v>
      </c>
      <c r="H31" s="18" t="n">
        <v>861</v>
      </c>
      <c r="I31" s="18" t="n">
        <v>881</v>
      </c>
      <c r="J31" s="18" t="n">
        <v>901</v>
      </c>
      <c r="K31" s="18" t="n">
        <v>1234</v>
      </c>
      <c r="L31" s="18" t="n">
        <v>946</v>
      </c>
      <c r="M31" s="18" t="n">
        <v>967</v>
      </c>
      <c r="N31" s="18" t="n">
        <v>984</v>
      </c>
      <c r="O31" s="18" t="n">
        <v>1327</v>
      </c>
      <c r="P31" s="18" t="n">
        <v>1000</v>
      </c>
      <c r="Q31" s="18" t="n">
        <v>1027</v>
      </c>
      <c r="R31" s="18" t="n">
        <v>1044</v>
      </c>
      <c r="S31" s="18" t="n">
        <v>2509</v>
      </c>
      <c r="T31" s="18" t="n">
        <v>1082</v>
      </c>
      <c r="U31" s="18" t="n">
        <v>1111</v>
      </c>
      <c r="V31" s="18" t="n">
        <v>1123</v>
      </c>
      <c r="W31" s="18" t="n">
        <v>1512</v>
      </c>
      <c r="X31" s="18" t="n">
        <v>1166</v>
      </c>
      <c r="Y31" s="18" t="n">
        <v>1193</v>
      </c>
      <c r="Z31" s="18" t="n">
        <v>1240</v>
      </c>
      <c r="AA31" s="18" t="n">
        <v>1724</v>
      </c>
      <c r="AC31" s="18" t="n">
        <v>1355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5" t="inlineStr">
        <is>
          <t xml:space="preserve">  REVENUE BY SEGMENT — GEOGRAPHY (% YoY, % of revenue)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4" t="inlineStr">
        <is>
          <t>Other International Operations</t>
        </is>
      </c>
      <c r="B35" s="18" t="n">
        <v>4412</v>
      </c>
      <c r="C35" s="18" t="n">
        <v>5900</v>
      </c>
      <c r="D35" s="18" t="n">
        <v>4848</v>
      </c>
      <c r="E35" s="18" t="n">
        <v>5318</v>
      </c>
      <c r="F35" s="18" t="n">
        <v>4918</v>
      </c>
      <c r="G35" s="18" t="n">
        <v>7101</v>
      </c>
      <c r="H35" s="18" t="n">
        <v>5905</v>
      </c>
      <c r="I35" s="18" t="n">
        <v>6641</v>
      </c>
      <c r="J35" s="18" t="n">
        <v>6219</v>
      </c>
      <c r="K35" s="18" t="n">
        <v>8468</v>
      </c>
      <c r="L35" s="18" t="n">
        <v>6925</v>
      </c>
      <c r="M35" s="18" t="n">
        <v>7320</v>
      </c>
      <c r="N35" s="18" t="n">
        <v>6794</v>
      </c>
      <c r="O35" s="18" t="n">
        <v>8946</v>
      </c>
      <c r="P35" s="18" t="n">
        <v>6936</v>
      </c>
      <c r="Q35" s="18" t="n">
        <v>7822</v>
      </c>
      <c r="R35" s="18" t="n">
        <v>7331</v>
      </c>
      <c r="S35" s="18" t="n">
        <v>10515</v>
      </c>
      <c r="T35" s="18" t="n">
        <v>8065</v>
      </c>
      <c r="U35" s="18" t="n">
        <v>8616</v>
      </c>
      <c r="V35" s="18" t="n">
        <v>8052</v>
      </c>
      <c r="W35" s="18" t="n">
        <v>10703</v>
      </c>
      <c r="X35" s="18" t="n">
        <v>8659</v>
      </c>
      <c r="Y35" s="18" t="n">
        <v>9014</v>
      </c>
      <c r="Z35" s="18" t="n">
        <v>8566</v>
      </c>
      <c r="AA35" s="18" t="n">
        <v>12027</v>
      </c>
      <c r="AC35" s="18" t="n">
        <v>10375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8167</v>
      </c>
      <c r="C39" s="18" t="n">
        <v>9444</v>
      </c>
      <c r="D39" s="18" t="n">
        <v>10020</v>
      </c>
      <c r="E39" s="18" t="n">
        <v>8715</v>
      </c>
      <c r="F39" s="18" t="n">
        <v>11774</v>
      </c>
      <c r="G39" s="18" t="n">
        <v>13305</v>
      </c>
      <c r="H39" s="18" t="n">
        <v>14423</v>
      </c>
      <c r="I39" s="18" t="n">
        <v>9254</v>
      </c>
      <c r="J39" s="18" t="n">
        <v>11126</v>
      </c>
      <c r="K39" s="18" t="n">
        <v>12175</v>
      </c>
      <c r="L39" s="18" t="n">
        <v>13476</v>
      </c>
      <c r="M39" s="18" t="n">
        <v>12296</v>
      </c>
      <c r="N39" s="18" t="n">
        <v>11831</v>
      </c>
      <c r="O39" s="18" t="n">
        <v>11049</v>
      </c>
      <c r="P39" s="18" t="n">
        <v>11673</v>
      </c>
      <c r="Q39" s="18" t="n">
        <v>13705</v>
      </c>
      <c r="R39" s="18" t="n">
        <v>13708</v>
      </c>
      <c r="S39" s="18" t="n">
        <v>15234</v>
      </c>
      <c r="T39" s="18" t="n">
        <v>17864</v>
      </c>
      <c r="U39" s="18" t="n">
        <v>10321</v>
      </c>
      <c r="V39" s="18" t="n">
        <v>11499</v>
      </c>
      <c r="W39" s="18" t="n">
        <v>11144</v>
      </c>
      <c r="X39" s="18" t="n">
        <v>11827</v>
      </c>
      <c r="Y39" s="18" t="n">
        <v>13158</v>
      </c>
      <c r="Z39" s="18" t="n">
        <v>14850</v>
      </c>
      <c r="AA39" s="18" t="n">
        <v>15284</v>
      </c>
      <c r="AB39" s="18" t="n">
        <v>17183</v>
      </c>
      <c r="AC39" s="18" t="n">
        <v>18240</v>
      </c>
    </row>
    <row r="40">
      <c r="A40" s="4" t="inlineStr">
        <is>
          <t>Total Current Assets</t>
        </is>
      </c>
      <c r="B40" s="18" t="n">
        <v>22285</v>
      </c>
      <c r="C40" s="18" t="n">
        <v>23485</v>
      </c>
      <c r="D40" s="18" t="n">
        <v>26643</v>
      </c>
      <c r="E40" s="18" t="n">
        <v>23703</v>
      </c>
      <c r="F40" s="18" t="n">
        <v>25254</v>
      </c>
      <c r="G40" s="18" t="n">
        <v>28120</v>
      </c>
      <c r="H40" s="18" t="n">
        <v>32096</v>
      </c>
      <c r="I40" s="18" t="n">
        <v>26308</v>
      </c>
      <c r="J40" s="18" t="n">
        <v>27916</v>
      </c>
      <c r="K40" s="18" t="n">
        <v>29505</v>
      </c>
      <c r="L40" s="18" t="n">
        <v>33850</v>
      </c>
      <c r="M40" s="18" t="n">
        <v>32565</v>
      </c>
      <c r="N40" s="18" t="n">
        <v>33008</v>
      </c>
      <c r="O40" s="18" t="n">
        <v>32696</v>
      </c>
      <c r="P40" s="18" t="n">
        <v>34150</v>
      </c>
      <c r="Q40" s="18" t="n">
        <v>34330</v>
      </c>
      <c r="R40" s="18" t="n">
        <v>34289</v>
      </c>
      <c r="S40" s="18" t="n">
        <v>35879</v>
      </c>
      <c r="T40" s="18" t="n">
        <v>40080</v>
      </c>
      <c r="U40" s="18" t="n">
        <v>32146</v>
      </c>
      <c r="V40" s="18" t="n">
        <v>33288</v>
      </c>
      <c r="W40" s="18" t="n">
        <v>34246</v>
      </c>
      <c r="X40" s="18" t="n">
        <v>37523</v>
      </c>
      <c r="Y40" s="18" t="n">
        <v>36897</v>
      </c>
      <c r="Z40" s="18" t="n">
        <v>38151</v>
      </c>
      <c r="AA40" s="18" t="n">
        <v>38380</v>
      </c>
      <c r="AB40" s="18" t="n">
        <v>43411</v>
      </c>
      <c r="AC40" s="18" t="n">
        <v>43133</v>
      </c>
    </row>
    <row r="41">
      <c r="A41" s="4" t="inlineStr">
        <is>
          <t>PP&amp;E (net)</t>
        </is>
      </c>
      <c r="B41" s="18" t="n">
        <v>20475</v>
      </c>
      <c r="C41" s="18" t="n">
        <v>20890</v>
      </c>
      <c r="D41" s="18" t="n">
        <v>23834</v>
      </c>
      <c r="E41" s="18" t="n">
        <v>24077</v>
      </c>
      <c r="F41" s="18" t="n">
        <v>24276</v>
      </c>
      <c r="G41" s="18" t="n">
        <v>24595</v>
      </c>
      <c r="H41" s="18" t="n">
        <v>25073</v>
      </c>
      <c r="I41" s="18" t="n">
        <v>25418</v>
      </c>
      <c r="J41" s="18" t="n">
        <v>26052</v>
      </c>
      <c r="K41" s="18" t="n">
        <v>26382</v>
      </c>
      <c r="L41" s="18" t="n">
        <v>26790</v>
      </c>
      <c r="M41" s="18" t="n">
        <v>26892</v>
      </c>
      <c r="N41" s="18" t="n">
        <v>26874</v>
      </c>
      <c r="O41" s="18" t="n">
        <v>27420</v>
      </c>
      <c r="P41" s="18" t="n">
        <v>27931</v>
      </c>
      <c r="Q41" s="18" t="n">
        <v>28583</v>
      </c>
      <c r="R41" s="18" t="n">
        <v>28737</v>
      </c>
      <c r="S41" s="18" t="n">
        <v>29397</v>
      </c>
      <c r="T41" s="18" t="n">
        <v>29840</v>
      </c>
      <c r="U41" s="18" t="n">
        <v>30341</v>
      </c>
      <c r="V41" s="18" t="n">
        <v>30705</v>
      </c>
      <c r="W41" s="18" t="n">
        <v>31649</v>
      </c>
      <c r="X41" s="18" t="n">
        <v>31875</v>
      </c>
      <c r="Y41" s="18" t="n">
        <v>32340</v>
      </c>
      <c r="Z41" s="18" t="n">
        <v>33300</v>
      </c>
      <c r="AA41" s="18" t="n">
        <v>34634</v>
      </c>
      <c r="AB41" s="18" t="n">
        <v>35346</v>
      </c>
      <c r="AC41" s="18" t="n">
        <v>36404</v>
      </c>
    </row>
    <row r="42">
      <c r="A42" s="4" t="inlineStr">
        <is>
          <t>Total Assets</t>
        </is>
      </c>
      <c r="B42" s="18" t="n">
        <v>43752</v>
      </c>
      <c r="C42" s="18" t="n">
        <v>45400</v>
      </c>
      <c r="D42" s="18" t="n">
        <v>51431</v>
      </c>
      <c r="E42" s="18" t="n">
        <v>48782</v>
      </c>
      <c r="F42" s="18" t="n">
        <v>51732</v>
      </c>
      <c r="G42" s="18" t="n">
        <v>55556</v>
      </c>
      <c r="H42" s="18" t="n">
        <v>60217</v>
      </c>
      <c r="I42" s="18" t="n">
        <v>54918</v>
      </c>
      <c r="J42" s="18" t="n">
        <v>57274</v>
      </c>
      <c r="K42" s="18" t="n">
        <v>59268</v>
      </c>
      <c r="L42" s="18" t="n">
        <v>64149</v>
      </c>
      <c r="M42" s="18" t="n">
        <v>63078</v>
      </c>
      <c r="N42" s="18" t="n">
        <v>63852</v>
      </c>
      <c r="O42" s="18" t="n">
        <v>64166</v>
      </c>
      <c r="P42" s="18" t="n">
        <v>66027</v>
      </c>
      <c r="Q42" s="18" t="n">
        <v>66848</v>
      </c>
      <c r="R42" s="18" t="n">
        <v>66752</v>
      </c>
      <c r="S42" s="18" t="n">
        <v>68994</v>
      </c>
      <c r="T42" s="18" t="n">
        <v>73723</v>
      </c>
      <c r="U42" s="18" t="n">
        <v>66323</v>
      </c>
      <c r="V42" s="18" t="n">
        <v>67911</v>
      </c>
      <c r="W42" s="18" t="n">
        <v>69831</v>
      </c>
      <c r="X42" s="18" t="n">
        <v>73386</v>
      </c>
      <c r="Y42" s="18" t="n">
        <v>73224</v>
      </c>
      <c r="Z42" s="18" t="n">
        <v>75482</v>
      </c>
      <c r="AA42" s="18" t="n">
        <v>77099</v>
      </c>
      <c r="AB42" s="18" t="n">
        <v>82790</v>
      </c>
      <c r="AC42" s="18" t="n">
        <v>83639</v>
      </c>
    </row>
    <row r="43">
      <c r="A43" s="4" t="inlineStr">
        <is>
          <t>Total Current Liabilities</t>
        </is>
      </c>
      <c r="B43" s="18" t="n">
        <v>22832</v>
      </c>
      <c r="C43" s="18" t="n">
        <v>23237</v>
      </c>
      <c r="D43" s="18" t="n">
        <v>26265</v>
      </c>
      <c r="E43" s="18" t="n">
        <v>22695</v>
      </c>
      <c r="F43" s="18" t="n">
        <v>22779</v>
      </c>
      <c r="G43" s="18" t="n">
        <v>24844</v>
      </c>
      <c r="H43" s="18" t="n">
        <v>32667</v>
      </c>
      <c r="I43" s="18" t="n">
        <v>26564</v>
      </c>
      <c r="J43" s="18" t="n">
        <v>27982</v>
      </c>
      <c r="K43" s="18" t="n">
        <v>29441</v>
      </c>
      <c r="L43" s="18" t="n">
        <v>33342</v>
      </c>
      <c r="M43" s="18" t="n">
        <v>31545</v>
      </c>
      <c r="N43" s="18" t="n">
        <v>31845</v>
      </c>
      <c r="O43" s="18" t="n">
        <v>31998</v>
      </c>
      <c r="P43" s="18" t="n">
        <v>33067</v>
      </c>
      <c r="Q43" s="18" t="n">
        <v>32516</v>
      </c>
      <c r="R43" s="18" t="n">
        <v>31708</v>
      </c>
      <c r="S43" s="18" t="n">
        <v>33583</v>
      </c>
      <c r="T43" s="18" t="n">
        <v>36768</v>
      </c>
      <c r="U43" s="18" t="n">
        <v>34688</v>
      </c>
      <c r="V43" s="18" t="n">
        <v>35361</v>
      </c>
      <c r="W43" s="18" t="n">
        <v>35464</v>
      </c>
      <c r="X43" s="18" t="n">
        <v>38289</v>
      </c>
      <c r="Y43" s="18" t="n">
        <v>36999</v>
      </c>
      <c r="Z43" s="18" t="n">
        <v>37579</v>
      </c>
      <c r="AA43" s="18" t="n">
        <v>37108</v>
      </c>
      <c r="AB43" s="18" t="n">
        <v>41805</v>
      </c>
      <c r="AC43" s="18" t="n">
        <v>40763</v>
      </c>
    </row>
    <row r="44">
      <c r="A44" s="4" t="inlineStr">
        <is>
          <t>Long-term Debt</t>
        </is>
      </c>
      <c r="B44" s="18" t="n">
        <v>4799</v>
      </c>
      <c r="C44" s="18" t="n">
        <v>5124</v>
      </c>
      <c r="D44" s="18" t="n">
        <v>5107</v>
      </c>
      <c r="E44" s="18" t="n">
        <v>5099</v>
      </c>
      <c r="F44" s="18" t="n">
        <v>7598</v>
      </c>
      <c r="G44" s="18" t="n">
        <v>7514</v>
      </c>
      <c r="H44" s="18" t="n">
        <v>7529</v>
      </c>
      <c r="I44" s="18" t="n">
        <v>7522</v>
      </c>
      <c r="J44" s="18" t="n">
        <v>7495</v>
      </c>
      <c r="K44" s="18" t="n">
        <v>6692</v>
      </c>
      <c r="L44" s="18" t="n">
        <v>6667</v>
      </c>
      <c r="M44" s="18" t="n">
        <v>6658</v>
      </c>
      <c r="N44" s="18" t="n">
        <v>6507</v>
      </c>
      <c r="O44" s="18" t="n">
        <v>6484</v>
      </c>
      <c r="P44" s="18" t="n">
        <v>6472</v>
      </c>
      <c r="Q44" s="18" t="n">
        <v>6506</v>
      </c>
      <c r="R44" s="18" t="n">
        <v>6497</v>
      </c>
      <c r="S44" s="18" t="n">
        <v>5377</v>
      </c>
      <c r="T44" s="18" t="n">
        <v>5866</v>
      </c>
      <c r="U44" s="18" t="n">
        <v>5865</v>
      </c>
      <c r="V44" s="18" t="n">
        <v>5834</v>
      </c>
      <c r="W44" s="18" t="n">
        <v>5794</v>
      </c>
      <c r="X44" s="18" t="n">
        <v>5745</v>
      </c>
      <c r="Y44" s="18" t="n">
        <v>5755</v>
      </c>
      <c r="Z44" s="18" t="n">
        <v>5717</v>
      </c>
      <c r="AA44" s="18" t="n">
        <v>5713</v>
      </c>
      <c r="AB44" s="18" t="n">
        <v>5666</v>
      </c>
      <c r="AC44" s="18" t="n">
        <v>5688</v>
      </c>
    </row>
    <row r="45">
      <c r="A45" s="4" t="inlineStr">
        <is>
          <t>Total Equity</t>
        </is>
      </c>
      <c r="B45" s="18" t="n">
        <v>14486</v>
      </c>
      <c r="C45" s="18" t="n">
        <v>15243</v>
      </c>
      <c r="D45" s="18" t="n">
        <v>15861</v>
      </c>
      <c r="E45" s="18" t="n">
        <v>16614</v>
      </c>
      <c r="F45" s="18" t="n">
        <v>16802</v>
      </c>
      <c r="G45" s="18" t="n">
        <v>18284</v>
      </c>
      <c r="H45" s="18" t="n">
        <v>14860</v>
      </c>
      <c r="I45" s="18" t="n">
        <v>15652</v>
      </c>
      <c r="J45" s="18" t="n">
        <v>16482</v>
      </c>
      <c r="K45" s="18" t="n">
        <v>17564</v>
      </c>
      <c r="L45" s="18" t="n">
        <v>18463</v>
      </c>
      <c r="M45" s="18" t="n">
        <v>19418</v>
      </c>
      <c r="N45" s="18" t="n">
        <v>19968</v>
      </c>
      <c r="O45" s="18" t="n">
        <v>20642</v>
      </c>
      <c r="P45" s="18" t="n">
        <v>21471</v>
      </c>
      <c r="Q45" s="18" t="n">
        <v>22794</v>
      </c>
      <c r="R45" s="18" t="n">
        <v>23568</v>
      </c>
      <c r="S45" s="18" t="n">
        <v>25058</v>
      </c>
      <c r="T45" s="18" t="n">
        <v>26147</v>
      </c>
      <c r="U45" s="18" t="n">
        <v>20760</v>
      </c>
      <c r="V45" s="18" t="n">
        <v>21771</v>
      </c>
      <c r="W45" s="18" t="n">
        <v>23622</v>
      </c>
      <c r="X45" s="18" t="n">
        <v>24451</v>
      </c>
      <c r="Y45" s="18" t="n">
        <v>25577</v>
      </c>
      <c r="Z45" s="18" t="n">
        <v>27125</v>
      </c>
      <c r="AA45" s="18" t="n">
        <v>29164</v>
      </c>
      <c r="AB45" s="18" t="n">
        <v>30303</v>
      </c>
      <c r="AC45" s="18" t="n">
        <v>32087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336</v>
      </c>
      <c r="C47" s="18" t="n">
        <v>473</v>
      </c>
      <c r="D47" s="18" t="n">
        <v>369</v>
      </c>
      <c r="E47" s="18" t="n">
        <v>389</v>
      </c>
      <c r="F47" s="18" t="n">
        <v>382</v>
      </c>
      <c r="G47" s="18" t="n">
        <v>505</v>
      </c>
      <c r="H47" s="18" t="n">
        <v>404</v>
      </c>
      <c r="I47" s="18" t="n">
        <v>416</v>
      </c>
      <c r="J47" s="18" t="n">
        <v>402</v>
      </c>
      <c r="K47" s="18" t="n">
        <v>559</v>
      </c>
      <c r="L47" s="18" t="n">
        <v>432</v>
      </c>
      <c r="M47" s="18" t="n">
        <v>436</v>
      </c>
      <c r="N47" s="18" t="n">
        <v>431</v>
      </c>
      <c r="O47" s="18" t="n">
        <v>601</v>
      </c>
      <c r="P47" s="18" t="n">
        <v>447</v>
      </c>
      <c r="Q47" s="18" t="n">
        <v>470</v>
      </c>
      <c r="R47" s="18" t="n">
        <v>472</v>
      </c>
      <c r="S47" s="18" t="n">
        <v>688</v>
      </c>
      <c r="T47" s="18" t="n">
        <v>501</v>
      </c>
      <c r="U47" s="18" t="n">
        <v>514</v>
      </c>
      <c r="V47" s="18" t="n">
        <v>516</v>
      </c>
      <c r="W47" s="18" t="n">
        <v>706</v>
      </c>
      <c r="X47" s="18" t="n">
        <v>548</v>
      </c>
      <c r="Y47" s="18" t="n">
        <v>552</v>
      </c>
      <c r="Z47" s="18" t="n">
        <v>552</v>
      </c>
      <c r="AA47" s="18" t="n">
        <v>774</v>
      </c>
      <c r="AB47" s="18" t="n">
        <v>597</v>
      </c>
      <c r="AC47" s="18" t="n">
        <v>597</v>
      </c>
    </row>
    <row r="48">
      <c r="A48" s="4" t="inlineStr">
        <is>
          <t>Stock-based Compensation</t>
        </is>
      </c>
      <c r="B48" s="18" t="n">
        <v>93</v>
      </c>
      <c r="C48" s="18" t="n">
        <v>113</v>
      </c>
      <c r="D48" s="18" t="n">
        <v>301</v>
      </c>
      <c r="E48" s="18" t="n">
        <v>118</v>
      </c>
      <c r="F48" s="18" t="n">
        <v>89</v>
      </c>
      <c r="G48" s="18" t="n">
        <v>111</v>
      </c>
      <c r="H48" s="18" t="n">
        <v>341</v>
      </c>
      <c r="I48" s="18" t="n">
        <v>122</v>
      </c>
      <c r="J48" s="18" t="n">
        <v>87</v>
      </c>
      <c r="K48" s="18" t="n">
        <v>115</v>
      </c>
      <c r="L48" s="18" t="n">
        <v>388</v>
      </c>
      <c r="M48" s="18" t="n">
        <v>128</v>
      </c>
      <c r="N48" s="18" t="n">
        <v>90</v>
      </c>
      <c r="O48" s="18" t="n">
        <v>118</v>
      </c>
      <c r="P48" s="18" t="n">
        <v>402</v>
      </c>
      <c r="Q48" s="18" t="n">
        <v>147</v>
      </c>
      <c r="R48" s="18" t="n">
        <v>94</v>
      </c>
      <c r="S48" s="18" t="n">
        <v>131</v>
      </c>
      <c r="T48" s="18" t="n">
        <v>444</v>
      </c>
      <c r="U48" s="18" t="n">
        <v>136</v>
      </c>
      <c r="V48" s="18" t="n">
        <v>106</v>
      </c>
      <c r="W48" s="18" t="n">
        <v>132</v>
      </c>
      <c r="X48" s="18" t="n">
        <v>463</v>
      </c>
      <c r="Y48" s="18" t="n">
        <v>151</v>
      </c>
      <c r="Z48" s="18" t="n">
        <v>106</v>
      </c>
      <c r="AA48" s="18" t="n">
        <v>140</v>
      </c>
      <c r="AB48" s="18" t="n">
        <v>486</v>
      </c>
      <c r="AC48" s="18" t="n">
        <v>166</v>
      </c>
    </row>
    <row r="49">
      <c r="A49" s="4" t="inlineStr">
        <is>
          <t>Change in Working Capital</t>
        </is>
      </c>
      <c r="B49" s="18" t="n">
        <v>762</v>
      </c>
      <c r="C49" s="18" t="n">
        <v>418</v>
      </c>
      <c r="D49" s="18" t="n">
        <v>516</v>
      </c>
      <c r="E49" s="18" t="n">
        <v>-867</v>
      </c>
      <c r="F49" s="18" t="n">
        <v>579</v>
      </c>
      <c r="G49" s="18" t="n">
        <v>1970</v>
      </c>
      <c r="H49" s="18" t="n">
        <v>669</v>
      </c>
      <c r="I49" s="18" t="n">
        <v>-1516</v>
      </c>
      <c r="J49" s="18" t="n">
        <v>1516</v>
      </c>
      <c r="K49" s="18" t="n">
        <v>334</v>
      </c>
      <c r="L49" s="18" t="n">
        <v>912</v>
      </c>
      <c r="M49" s="18" t="n">
        <v>-1536</v>
      </c>
      <c r="N49" s="18" t="n">
        <v>-726</v>
      </c>
      <c r="O49" s="18" t="n">
        <v>-213</v>
      </c>
      <c r="P49" s="18" t="n">
        <v>165</v>
      </c>
      <c r="Q49" s="18" t="n">
        <v>980</v>
      </c>
      <c r="R49" s="18" t="n">
        <v>-707</v>
      </c>
      <c r="S49" s="18" t="n">
        <v>580</v>
      </c>
      <c r="T49" s="18" t="n">
        <v>2000</v>
      </c>
      <c r="U49" s="18" t="n">
        <v>-1686</v>
      </c>
      <c r="V49" s="18" t="n">
        <v>652</v>
      </c>
      <c r="W49" s="18" t="n">
        <v>-355</v>
      </c>
      <c r="X49" s="18" t="n">
        <v>451</v>
      </c>
      <c r="Y49" s="18" t="n">
        <v>199</v>
      </c>
      <c r="Z49" s="18" t="n">
        <v>764</v>
      </c>
      <c r="AA49" s="18" t="n">
        <v>350</v>
      </c>
      <c r="AB49" s="18" t="n">
        <v>1534</v>
      </c>
      <c r="AC49" s="18" t="n">
        <v>-1534</v>
      </c>
    </row>
    <row r="50">
      <c r="A50" s="4" t="inlineStr">
        <is>
          <t>Operating Cash Flow</t>
        </is>
      </c>
      <c r="B50" s="18" t="n">
        <v>2105</v>
      </c>
      <c r="C50" s="18" t="n">
        <v>2293</v>
      </c>
      <c r="D50" s="18" t="n">
        <v>2102</v>
      </c>
      <c r="E50" s="18" t="n">
        <v>619</v>
      </c>
      <c r="F50" s="18" t="n">
        <v>1898</v>
      </c>
      <c r="G50" s="18" t="n">
        <v>4242</v>
      </c>
      <c r="H50" s="18" t="n">
        <v>2647</v>
      </c>
      <c r="I50" s="18" t="n">
        <v>38</v>
      </c>
      <c r="J50" s="18" t="n">
        <v>3333</v>
      </c>
      <c r="K50" s="18" t="n">
        <v>2940</v>
      </c>
      <c r="L50" s="18" t="n">
        <v>3258</v>
      </c>
      <c r="M50" s="18" t="n">
        <v>401</v>
      </c>
      <c r="N50" s="18" t="n">
        <v>1227</v>
      </c>
      <c r="O50" s="18" t="n">
        <v>2506</v>
      </c>
      <c r="P50" s="18" t="n">
        <v>2610</v>
      </c>
      <c r="Q50" s="18" t="n">
        <v>3192</v>
      </c>
      <c r="R50" s="18" t="n">
        <v>1541</v>
      </c>
      <c r="S50" s="18" t="n">
        <v>3725</v>
      </c>
      <c r="T50" s="18" t="n">
        <v>4651</v>
      </c>
      <c r="U50" s="18" t="n">
        <v>731</v>
      </c>
      <c r="V50" s="18" t="n">
        <v>2999</v>
      </c>
      <c r="W50" s="18" t="n">
        <v>2958</v>
      </c>
      <c r="X50" s="18" t="n">
        <v>3260</v>
      </c>
      <c r="Y50" s="18" t="n">
        <v>2748</v>
      </c>
      <c r="Z50" s="18" t="n">
        <v>3460</v>
      </c>
      <c r="AA50" s="18" t="n">
        <v>3867</v>
      </c>
      <c r="AB50" s="18" t="n">
        <v>4688</v>
      </c>
      <c r="AC50" s="18" t="n">
        <v>2996</v>
      </c>
    </row>
    <row r="51">
      <c r="A51" s="4" t="inlineStr">
        <is>
          <t>Capex</t>
        </is>
      </c>
      <c r="B51" s="18" t="n">
        <v>-672</v>
      </c>
      <c r="C51" s="18" t="n">
        <v>-1009</v>
      </c>
      <c r="D51" s="18" t="n">
        <v>-715</v>
      </c>
      <c r="E51" s="18" t="n">
        <v>-545</v>
      </c>
      <c r="F51" s="18" t="n">
        <v>-698</v>
      </c>
      <c r="G51" s="18" t="n">
        <v>-852</v>
      </c>
      <c r="H51" s="18" t="n">
        <v>-893</v>
      </c>
      <c r="I51" s="18" t="n">
        <v>-573</v>
      </c>
      <c r="J51" s="18" t="n">
        <v>-1028</v>
      </c>
      <c r="K51" s="18" t="n">
        <v>-1094</v>
      </c>
      <c r="L51" s="18" t="n">
        <v>-1055</v>
      </c>
      <c r="M51" s="18" t="n">
        <v>-723</v>
      </c>
      <c r="N51" s="18" t="n">
        <v>-854</v>
      </c>
      <c r="O51" s="18" t="n">
        <v>-1259</v>
      </c>
      <c r="P51" s="18" t="n">
        <v>-1057</v>
      </c>
      <c r="Q51" s="18" t="n">
        <v>-890</v>
      </c>
      <c r="R51" s="18" t="n">
        <v>-820</v>
      </c>
      <c r="S51" s="18" t="n">
        <v>-1556</v>
      </c>
      <c r="T51" s="18" t="n">
        <v>-1040</v>
      </c>
      <c r="U51" s="18" t="n">
        <v>-1031</v>
      </c>
      <c r="V51" s="18" t="n">
        <v>-1062</v>
      </c>
      <c r="W51" s="18" t="n">
        <v>-1577</v>
      </c>
      <c r="X51" s="18" t="n">
        <v>-1264</v>
      </c>
      <c r="Y51" s="18" t="n">
        <v>-1137</v>
      </c>
      <c r="Z51" s="18" t="n">
        <v>-1131</v>
      </c>
      <c r="AA51" s="18" t="n">
        <v>-1966</v>
      </c>
      <c r="AB51" s="18" t="n">
        <v>-1526</v>
      </c>
      <c r="AC51" s="18" t="n">
        <v>-1289</v>
      </c>
    </row>
    <row r="52">
      <c r="A52" s="4" t="inlineStr">
        <is>
          <t>Free Cash Flow</t>
        </is>
      </c>
      <c r="B52" s="18" t="n">
        <v>1433</v>
      </c>
      <c r="C52" s="18" t="n">
        <v>1284</v>
      </c>
      <c r="D52" s="18" t="n">
        <v>1387</v>
      </c>
      <c r="E52" s="18" t="n">
        <v>74</v>
      </c>
      <c r="F52" s="18" t="n">
        <v>1200</v>
      </c>
      <c r="G52" s="18" t="n">
        <v>3390</v>
      </c>
      <c r="H52" s="18" t="n">
        <v>1754</v>
      </c>
      <c r="I52" s="18" t="n">
        <v>-535</v>
      </c>
      <c r="J52" s="18" t="n">
        <v>2305</v>
      </c>
      <c r="K52" s="18" t="n">
        <v>1846</v>
      </c>
      <c r="L52" s="18" t="n">
        <v>2203</v>
      </c>
      <c r="M52" s="18" t="n">
        <v>-322</v>
      </c>
      <c r="N52" s="18" t="n">
        <v>373</v>
      </c>
      <c r="O52" s="18" t="n">
        <v>1247</v>
      </c>
      <c r="P52" s="18" t="n">
        <v>1553</v>
      </c>
      <c r="Q52" s="18" t="n">
        <v>2302</v>
      </c>
      <c r="R52" s="18" t="n">
        <v>721</v>
      </c>
      <c r="S52" s="18" t="n">
        <v>2169</v>
      </c>
      <c r="T52" s="18" t="n">
        <v>3611</v>
      </c>
      <c r="U52" s="18" t="n">
        <v>-300</v>
      </c>
      <c r="V52" s="18" t="n">
        <v>1937</v>
      </c>
      <c r="W52" s="18" t="n">
        <v>1381</v>
      </c>
      <c r="X52" s="18" t="n">
        <v>1996</v>
      </c>
      <c r="Y52" s="18" t="n">
        <v>1611</v>
      </c>
      <c r="Z52" s="18" t="n">
        <v>2329</v>
      </c>
      <c r="AA52" s="18" t="n">
        <v>1901</v>
      </c>
      <c r="AB52" s="18" t="n">
        <v>3162</v>
      </c>
      <c r="AC52" s="18" t="n">
        <v>1707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299703.742633</v>
      </c>
      <c r="C4" s="18" t="n">
        <v>323270.005468</v>
      </c>
      <c r="D4" s="18" t="n">
        <v>347705.936168</v>
      </c>
      <c r="E4" s="18" t="n">
        <v>366582.380307</v>
      </c>
      <c r="F4" s="18" t="n">
        <v>385935</v>
      </c>
    </row>
    <row r="5">
      <c r="A5" s="4" t="inlineStr">
        <is>
          <t xml:space="preserve">  model</t>
        </is>
      </c>
      <c r="B5" s="33">
        <f>Model!G14</f>
        <v/>
      </c>
      <c r="C5" s="33">
        <f>Model!H14</f>
        <v/>
      </c>
      <c r="D5" s="33">
        <f>Model!I14</f>
        <v/>
      </c>
      <c r="E5" s="33">
        <f>Model!J14</f>
        <v/>
      </c>
      <c r="F5" s="33">
        <f>Model!K14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16579.540179</v>
      </c>
      <c r="C8" s="18" t="n">
        <v>17883.220267</v>
      </c>
      <c r="D8" s="18" t="n">
        <v>19235.010175</v>
      </c>
      <c r="E8" s="18" t="n">
        <v>20279.250602</v>
      </c>
      <c r="F8" s="18" t="n">
        <v>21349.832947</v>
      </c>
    </row>
    <row r="9">
      <c r="A9" s="4" t="inlineStr">
        <is>
          <t xml:space="preserve">  model</t>
        </is>
      </c>
      <c r="B9" s="33">
        <f>Model!G27+Model!G32</f>
        <v/>
      </c>
      <c r="C9" s="33">
        <f>Model!H27+Model!H32</f>
        <v/>
      </c>
      <c r="D9" s="33">
        <f>Model!I27+Model!I32</f>
        <v/>
      </c>
      <c r="E9" s="33">
        <f>Model!J27+Model!J32</f>
        <v/>
      </c>
      <c r="F9" s="33">
        <f>Model!K27+Model!K32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13957.515859</v>
      </c>
      <c r="C12" s="18" t="n">
        <v>15055.021297</v>
      </c>
      <c r="D12" s="18" t="n">
        <v>16193.028074</v>
      </c>
      <c r="E12" s="18" t="n">
        <v>17072.123764</v>
      </c>
      <c r="F12" s="18" t="n">
        <v>17973.395446</v>
      </c>
    </row>
    <row r="13">
      <c r="A13" s="4" t="inlineStr">
        <is>
          <t xml:space="preserve">  model</t>
        </is>
      </c>
      <c r="B13" s="33">
        <f>Model!G27</f>
        <v/>
      </c>
      <c r="C13" s="33">
        <f>Model!H27</f>
        <v/>
      </c>
      <c r="D13" s="33">
        <f>Model!I27</f>
        <v/>
      </c>
      <c r="E13" s="33">
        <f>Model!J27</f>
        <v/>
      </c>
      <c r="F13" s="33">
        <f>Model!K27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27023.209594</v>
      </c>
      <c r="C16" s="18" t="n">
        <v>29148.094837</v>
      </c>
      <c r="D16" s="18" t="n">
        <v>31351.394906</v>
      </c>
      <c r="E16" s="18" t="n">
        <v>33053.416049</v>
      </c>
      <c r="F16" s="18" t="n">
        <v>34798.37223</v>
      </c>
    </row>
    <row r="17">
      <c r="A17" s="4" t="inlineStr">
        <is>
          <t xml:space="preserve">  model</t>
        </is>
      </c>
      <c r="B17" s="33">
        <f>Model!G22</f>
        <v/>
      </c>
      <c r="C17" s="33">
        <f>Model!H22</f>
        <v/>
      </c>
      <c r="D17" s="33">
        <f>Model!I22</f>
        <v/>
      </c>
      <c r="E17" s="33">
        <f>Model!J22</f>
        <v/>
      </c>
      <c r="F17" s="33">
        <f>Model!K22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9127.61843</v>
      </c>
      <c r="C20" s="18" t="n">
        <v>10009.02185</v>
      </c>
      <c r="D20" s="18" t="n">
        <v>11030.6084</v>
      </c>
      <c r="E20" s="18" t="n">
        <v>11961.944768</v>
      </c>
      <c r="F20" s="18" t="n">
        <v>12447.811982</v>
      </c>
    </row>
    <row r="21">
      <c r="A21" s="4" t="inlineStr">
        <is>
          <t xml:space="preserve">  model</t>
        </is>
      </c>
      <c r="B21" s="33">
        <f>Model!G31</f>
        <v/>
      </c>
      <c r="C21" s="33">
        <f>Model!H31</f>
        <v/>
      </c>
      <c r="D21" s="33">
        <f>Model!I31</f>
        <v/>
      </c>
      <c r="E21" s="33">
        <f>Model!J31</f>
        <v/>
      </c>
      <c r="F21" s="33">
        <f>Model!K31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20.48767</v>
      </c>
      <c r="C24" s="47" t="n">
        <v>22.57898</v>
      </c>
      <c r="D24" s="47" t="n">
        <v>24.87828</v>
      </c>
      <c r="E24" s="47" t="n">
        <v>26.89268</v>
      </c>
      <c r="F24" s="47" t="n">
        <v>27.985</v>
      </c>
    </row>
    <row r="25">
      <c r="A25" s="4" t="inlineStr">
        <is>
          <t xml:space="preserve">  model</t>
        </is>
      </c>
      <c r="B25" s="8">
        <f>Model!G31/Financials!AC17</f>
        <v/>
      </c>
      <c r="C25" s="8">
        <f>Model!H31/Financials!AC17</f>
        <v/>
      </c>
      <c r="D25" s="8">
        <f>Model!I31/Financials!AC17</f>
        <v/>
      </c>
      <c r="E25" s="8">
        <f>Model!J31/Financials!AC17</f>
        <v/>
      </c>
      <c r="F25" s="8">
        <f>Model!K31/Financials!AC17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Costco Wholesale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Model!G39</f>
        <v/>
      </c>
      <c r="D12" s="33">
        <f>Model!H39</f>
        <v/>
      </c>
      <c r="E12" s="33">
        <f>Model!I39</f>
        <v/>
      </c>
      <c r="F12" s="33">
        <f>Model!J39</f>
        <v/>
      </c>
      <c r="G12" s="33">
        <f>Model!K39</f>
        <v/>
      </c>
      <c r="H12" s="33">
        <f>Model!L39</f>
        <v/>
      </c>
      <c r="I12" s="33">
        <f>Model!M39</f>
        <v/>
      </c>
      <c r="J12" s="33">
        <f>Model!N39</f>
        <v/>
      </c>
      <c r="K12" s="33">
        <f>Model!O39</f>
        <v/>
      </c>
      <c r="L12" s="33">
        <f>Model!P39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Model!P14</f>
        <v/>
      </c>
    </row>
    <row r="21">
      <c r="A21" s="4" t="inlineStr">
        <is>
          <t>Terminal EBIT</t>
        </is>
      </c>
      <c r="B21" s="33">
        <f>Model!P27</f>
        <v/>
      </c>
    </row>
    <row r="22">
      <c r="A22" s="4" t="inlineStr">
        <is>
          <t>Terminal EBITDA (SBC-burdened)</t>
        </is>
      </c>
      <c r="B22" s="33">
        <f>Model!P27+Model!P32-Model!P33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Financials!AC39</f>
        <v/>
      </c>
    </row>
    <row r="33">
      <c r="A33" s="4" t="inlineStr">
        <is>
          <t>- Long-term debt</t>
        </is>
      </c>
      <c r="B33" s="33">
        <f>-Financials!AC44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0.06820114024280483</v>
      </c>
      <c r="C4" s="51" t="n">
        <v>0.07320114024280483</v>
      </c>
      <c r="D4" s="51" t="n">
        <v>0.07820114024280482</v>
      </c>
      <c r="E4" s="51" t="n">
        <v>0.08320114024280482</v>
      </c>
      <c r="F4" s="51" t="n">
        <v>0.08820114024280483</v>
      </c>
      <c r="G4" s="51" t="n">
        <v>0.09320114024280482</v>
      </c>
      <c r="H4" s="51" t="n">
        <v>0.09820114024280482</v>
      </c>
    </row>
    <row r="5">
      <c r="A5" s="52" t="n">
        <v>9</v>
      </c>
      <c r="B5" s="53" t="n">
        <v>424.5455529986928</v>
      </c>
      <c r="C5" s="53" t="n">
        <v>409.0353324277685</v>
      </c>
      <c r="D5" s="53" t="n">
        <v>394.2526842352543</v>
      </c>
      <c r="E5" s="53" t="n">
        <v>380.1594869685464</v>
      </c>
      <c r="F5" s="53" t="n">
        <v>366.7198006391592</v>
      </c>
      <c r="G5" s="53" t="n">
        <v>353.8997319796264</v>
      </c>
      <c r="H5" s="53" t="n">
        <v>341.6673086140082</v>
      </c>
    </row>
    <row r="6">
      <c r="A6" s="52" t="n">
        <v>10</v>
      </c>
      <c r="B6" s="53" t="n">
        <v>452.8662100886141</v>
      </c>
      <c r="C6" s="53" t="n">
        <v>436.0638634917761</v>
      </c>
      <c r="D6" s="53" t="n">
        <v>420.0536421255015</v>
      </c>
      <c r="E6" s="53" t="n">
        <v>404.7939223453155</v>
      </c>
      <c r="F6" s="53" t="n">
        <v>390.2454668797922</v>
      </c>
      <c r="G6" s="53" t="n">
        <v>376.371277234301</v>
      </c>
      <c r="H6" s="53" t="n">
        <v>363.1364558683091</v>
      </c>
    </row>
    <row r="7">
      <c r="A7" s="52" t="n">
        <v>11</v>
      </c>
      <c r="B7" s="53" t="n">
        <v>481.1868671785353</v>
      </c>
      <c r="C7" s="53" t="n">
        <v>463.0923945557838</v>
      </c>
      <c r="D7" s="53" t="n">
        <v>445.8546000157486</v>
      </c>
      <c r="E7" s="53" t="n">
        <v>429.4283577220845</v>
      </c>
      <c r="F7" s="53" t="n">
        <v>413.7711331204251</v>
      </c>
      <c r="G7" s="53" t="n">
        <v>398.8428224889756</v>
      </c>
      <c r="H7" s="53" t="n">
        <v>384.60560312261</v>
      </c>
    </row>
    <row r="8">
      <c r="A8" s="52" t="n">
        <v>12</v>
      </c>
      <c r="B8" s="53" t="n">
        <v>509.5075242684566</v>
      </c>
      <c r="C8" s="53" t="n">
        <v>490.1209256197914</v>
      </c>
      <c r="D8" s="53" t="n">
        <v>471.6555579059958</v>
      </c>
      <c r="E8" s="54" t="n">
        <v>454.0627930988536</v>
      </c>
      <c r="F8" s="53" t="n">
        <v>437.2967993610582</v>
      </c>
      <c r="G8" s="53" t="n">
        <v>421.3143677436502</v>
      </c>
      <c r="H8" s="53" t="n">
        <v>406.074750376911</v>
      </c>
    </row>
    <row r="9">
      <c r="A9" s="52" t="n">
        <v>13</v>
      </c>
      <c r="B9" s="53" t="n">
        <v>537.8281813583778</v>
      </c>
      <c r="C9" s="53" t="n">
        <v>517.1494566837989</v>
      </c>
      <c r="D9" s="53" t="n">
        <v>497.456515796243</v>
      </c>
      <c r="E9" s="53" t="n">
        <v>478.6972284756227</v>
      </c>
      <c r="F9" s="53" t="n">
        <v>460.8224656016912</v>
      </c>
      <c r="G9" s="53" t="n">
        <v>443.7859129983248</v>
      </c>
      <c r="H9" s="53" t="n">
        <v>427.543897631212</v>
      </c>
    </row>
    <row r="10">
      <c r="A10" s="52" t="n">
        <v>14</v>
      </c>
      <c r="B10" s="53" t="n">
        <v>566.148838448299</v>
      </c>
      <c r="C10" s="53" t="n">
        <v>544.1779877478066</v>
      </c>
      <c r="D10" s="53" t="n">
        <v>523.2574736864901</v>
      </c>
      <c r="E10" s="53" t="n">
        <v>503.3316638523917</v>
      </c>
      <c r="F10" s="53" t="n">
        <v>484.3481318423243</v>
      </c>
      <c r="G10" s="53" t="n">
        <v>466.2574582529994</v>
      </c>
      <c r="H10" s="53" t="n">
        <v>449.013044885513</v>
      </c>
    </row>
    <row r="11">
      <c r="A11" s="52" t="n">
        <v>15</v>
      </c>
      <c r="B11" s="53" t="n">
        <v>594.4694955382204</v>
      </c>
      <c r="C11" s="53" t="n">
        <v>571.2065188118141</v>
      </c>
      <c r="D11" s="53" t="n">
        <v>549.0584315767373</v>
      </c>
      <c r="E11" s="53" t="n">
        <v>527.9660992291608</v>
      </c>
      <c r="F11" s="53" t="n">
        <v>507.8737980829573</v>
      </c>
      <c r="G11" s="53" t="n">
        <v>488.729003507674</v>
      </c>
      <c r="H11" s="53" t="n">
        <v>470.4821921398139</v>
      </c>
    </row>
    <row r="13">
      <c r="A13" s="3" t="inlineStr">
        <is>
          <t>Current price</t>
        </is>
      </c>
      <c r="B13" s="53" t="n">
        <v>951.6699829101562</v>
      </c>
    </row>
    <row r="14">
      <c r="A14" s="3" t="inlineStr">
        <is>
          <t>Base WACC / multiple</t>
        </is>
      </c>
      <c r="B14" s="55" t="n">
        <v>0.08320114024280482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Model!F14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Model!F28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0.008814285973804204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2.289381228261623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(Model!P14/Model!F14)^(1/10)-1</f>
        <v/>
      </c>
      <c r="D6" s="15" t="n">
        <v>0.0206557826040428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0.015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0.9655944478238966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2026-07-06T20:34:34Z</dcterms:created>
  <dcterms:modified xmlns:dcterms="http://purl.org/dc/terms/" xmlns:xsi="http://www.w3.org/2001/XMLSchema-instance" xsi:type="dcterms:W3CDTF">2026-07-06T20:34:34Z</dcterms:modified>
</cp:coreProperties>
</file>