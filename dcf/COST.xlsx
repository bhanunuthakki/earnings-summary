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Dashboard" sheetId="2" state="visible" r:id="rId2"/>
    <sheet xmlns:r="http://schemas.openxmlformats.org/officeDocument/2006/relationships" name="Assumptions" sheetId="3" state="visible" r:id="rId3"/>
    <sheet xmlns:r="http://schemas.openxmlformats.org/officeDocument/2006/relationships" name="Color Code" sheetId="4" state="visible" r:id="rId4"/>
    <sheet xmlns:r="http://schemas.openxmlformats.org/officeDocument/2006/relationships" name="WACC" sheetId="5" state="visible" r:id="rId5"/>
    <sheet xmlns:r="http://schemas.openxmlformats.org/officeDocument/2006/relationships" name="Model" sheetId="6" state="visible" r:id="rId6"/>
    <sheet xmlns:r="http://schemas.openxmlformats.org/officeDocument/2006/relationships" name="Financials" sheetId="7" state="visible" r:id="rId7"/>
    <sheet xmlns:r="http://schemas.openxmlformats.org/officeDocument/2006/relationships" name="Consensus" sheetId="8" state="visible" r:id="rId8"/>
    <sheet xmlns:r="http://schemas.openxmlformats.org/officeDocument/2006/relationships" name="Valuation" sheetId="9" state="visible" r:id="rId9"/>
    <sheet xmlns:r="http://schemas.openxmlformats.org/officeDocument/2006/relationships" name="Sensitivity" sheetId="10" state="visible" r:id="rId10"/>
    <sheet xmlns:r="http://schemas.openxmlformats.org/officeDocument/2006/relationships" name="Monte Carlo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10">
    <numFmt numFmtId="164" formatCode="0.0%"/>
    <numFmt numFmtId="165" formatCode="0.000"/>
    <numFmt numFmtId="166" formatCode="0.0&quot;x&quot;"/>
    <numFmt numFmtId="167" formatCode="0.00&quot;x&quot;"/>
    <numFmt numFmtId="168" formatCode="+0.0%;(0.0%)"/>
    <numFmt numFmtId="169" formatCode="&quot;$&quot;#,##0.00"/>
    <numFmt numFmtId="170" formatCode="+0%;(0%)"/>
    <numFmt numFmtId="171" formatCode="&quot;$&quot;#,##0"/>
    <numFmt numFmtId="172" formatCode="+0.0%;-0.0%"/>
    <numFmt numFmtId="173" formatCode="+0.0&quot;x&quot;;-0.0&quot;x&quot;"/>
  </numFmts>
  <fonts count="10">
    <font>
      <name val="Calibri"/>
      <family val="2"/>
      <color theme="1"/>
      <sz val="11"/>
      <scheme val="minor"/>
    </font>
    <font>
      <b val="1"/>
    </font>
    <font>
      <b val="1"/>
      <color rgb="00FFFFFF"/>
    </font>
    <font/>
    <font>
      <color rgb="000000CC"/>
    </font>
    <font>
      <i val="1"/>
      <color rgb="00666666"/>
    </font>
    <font>
      <b val="1"/>
      <sz val="15"/>
    </font>
    <font>
      <color rgb="00008000"/>
    </font>
    <font>
      <b val="1"/>
      <color rgb="00008000"/>
    </font>
    <font>
      <b val="1"/>
      <color rgb="001F4E78"/>
      <sz val="16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DEBF7"/>
      </patternFill>
    </fill>
    <fill>
      <patternFill patternType="solid">
        <fgColor rgb="00FFF2CC"/>
      </patternFill>
    </fill>
    <fill>
      <patternFill patternType="solid">
        <fgColor rgb="00FFFF00"/>
      </patternFill>
    </fill>
    <fill>
      <patternFill patternType="solid">
        <fgColor rgb="00FFD9A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8">
    <xf numFmtId="0" fontId="0" fillId="0" borderId="0" pivotButton="0" quotePrefix="0" xfId="0"/>
    <xf numFmtId="0" fontId="6" fillId="0" borderId="0" pivotButton="0" quotePrefix="0" xfId="0"/>
    <xf numFmtId="0" fontId="5" fillId="0" borderId="0" pivotButton="0" quotePrefix="0" xfId="0"/>
    <xf numFmtId="0" fontId="1" fillId="0" borderId="0" pivotButton="0" quotePrefix="0" xfId="0"/>
    <xf numFmtId="0" fontId="3" fillId="0" borderId="0" pivotButton="0" quotePrefix="0" xfId="0"/>
    <xf numFmtId="0" fontId="2" fillId="2" borderId="0" pivotButton="0" quotePrefix="0" xfId="0"/>
    <xf numFmtId="0" fontId="0" fillId="2" borderId="0" pivotButton="0" quotePrefix="0" xfId="0"/>
    <xf numFmtId="169" fontId="9" fillId="0" borderId="0" pivotButton="0" quotePrefix="0" xfId="0"/>
    <xf numFmtId="169" fontId="7" fillId="0" borderId="0" pivotButton="0" quotePrefix="0" xfId="0"/>
    <xf numFmtId="170" fontId="7" fillId="0" borderId="0" pivotButton="0" quotePrefix="0" xfId="0"/>
    <xf numFmtId="0" fontId="8" fillId="0" borderId="0" pivotButton="0" quotePrefix="0" xfId="0"/>
    <xf numFmtId="164" fontId="7" fillId="0" borderId="0" pivotButton="0" quotePrefix="0" xfId="0"/>
    <xf numFmtId="0" fontId="7" fillId="0" borderId="0" pivotButton="0" quotePrefix="0" xfId="0"/>
    <xf numFmtId="166" fontId="7" fillId="0" borderId="0" pivotButton="0" quotePrefix="0" xfId="0"/>
    <xf numFmtId="0" fontId="3" fillId="0" borderId="0" applyAlignment="1" pivotButton="0" quotePrefix="0" xfId="0">
      <alignment vertical="top" wrapText="1"/>
    </xf>
    <xf numFmtId="164" fontId="4" fillId="5" borderId="0" pivotButton="0" quotePrefix="0" xfId="0"/>
    <xf numFmtId="164" fontId="4" fillId="0" borderId="0" pivotButton="0" quotePrefix="0" xfId="0"/>
    <xf numFmtId="3" fontId="4" fillId="5" borderId="0" pivotButton="0" quotePrefix="0" xfId="0"/>
    <xf numFmtId="3" fontId="4" fillId="0" borderId="0" pivotButton="0" quotePrefix="0" xfId="0"/>
    <xf numFmtId="166" fontId="4" fillId="5" borderId="0" pivotButton="0" quotePrefix="0" xfId="0"/>
    <xf numFmtId="165" fontId="4" fillId="5" borderId="0" pivotButton="0" quotePrefix="0" xfId="0"/>
    <xf numFmtId="164" fontId="8" fillId="0" borderId="0" pivotButton="0" quotePrefix="0" xfId="0"/>
    <xf numFmtId="0" fontId="4" fillId="5" borderId="0" pivotButton="0" quotePrefix="0" xfId="0"/>
    <xf numFmtId="169" fontId="4" fillId="5" borderId="0" pivotButton="0" quotePrefix="0" xfId="0"/>
    <xf numFmtId="172" fontId="4" fillId="5" borderId="0" pivotButton="0" quotePrefix="0" xfId="0"/>
    <xf numFmtId="164" fontId="3" fillId="0" borderId="0" pivotButton="0" quotePrefix="0" xfId="0"/>
    <xf numFmtId="166" fontId="3" fillId="0" borderId="0" pivotButton="0" quotePrefix="0" xfId="0"/>
    <xf numFmtId="173" fontId="4" fillId="5" borderId="0" pivotButton="0" quotePrefix="0" xfId="0"/>
    <xf numFmtId="169" fontId="1" fillId="0" borderId="0" pivotButton="0" quotePrefix="0" xfId="0"/>
    <xf numFmtId="170" fontId="3" fillId="0" borderId="0" pivotButton="0" quotePrefix="0" xfId="0"/>
    <xf numFmtId="9" fontId="4" fillId="5" borderId="0" pivotButton="0" quotePrefix="0" xfId="0"/>
    <xf numFmtId="0" fontId="0" fillId="0" borderId="0" applyAlignment="1" pivotButton="0" quotePrefix="0" xfId="0">
      <alignment vertical="top" wrapText="1"/>
    </xf>
    <xf numFmtId="165" fontId="7" fillId="0" borderId="0" pivotButton="0" quotePrefix="0" xfId="0"/>
    <xf numFmtId="3" fontId="7" fillId="0" borderId="0" pivotButton="0" quotePrefix="0" xfId="0"/>
    <xf numFmtId="172" fontId="7" fillId="0" borderId="0" pivotButton="0" quotePrefix="0" xfId="0"/>
    <xf numFmtId="173" fontId="7" fillId="0" borderId="0" pivotButton="0" quotePrefix="0" xfId="0"/>
    <xf numFmtId="0" fontId="4" fillId="0" borderId="0" pivotButton="0" quotePrefix="0" xfId="0"/>
    <xf numFmtId="0" fontId="3" fillId="6" borderId="0" pivotButton="0" quotePrefix="0" xfId="0"/>
    <xf numFmtId="164" fontId="1" fillId="0" borderId="0" pivotButton="0" quotePrefix="0" xfId="0"/>
    <xf numFmtId="0" fontId="1" fillId="3" borderId="0" applyAlignment="1" pivotButton="0" quotePrefix="0" xfId="0">
      <alignment horizontal="right"/>
    </xf>
    <xf numFmtId="0" fontId="1" fillId="4" borderId="0" applyAlignment="1" pivotButton="0" quotePrefix="0" xfId="0">
      <alignment horizontal="right"/>
    </xf>
    <xf numFmtId="3" fontId="3" fillId="0" borderId="0" pivotButton="0" quotePrefix="0" xfId="0"/>
    <xf numFmtId="3" fontId="1" fillId="0" borderId="0" pivotButton="0" quotePrefix="0" xfId="0"/>
    <xf numFmtId="3" fontId="8" fillId="0" borderId="0" pivotButton="0" quotePrefix="0" xfId="0"/>
    <xf numFmtId="167" fontId="3" fillId="0" borderId="0" pivotButton="0" quotePrefix="0" xfId="0"/>
    <xf numFmtId="0" fontId="1" fillId="0" borderId="0" applyAlignment="1" pivotButton="0" quotePrefix="0" xfId="0">
      <alignment horizontal="right"/>
    </xf>
    <xf numFmtId="168" fontId="3" fillId="0" borderId="0" pivotButton="0" quotePrefix="0" xfId="0"/>
    <xf numFmtId="169" fontId="4" fillId="0" borderId="0" pivotButton="0" quotePrefix="0" xfId="0"/>
    <xf numFmtId="165" fontId="3" fillId="0" borderId="0" pivotButton="0" quotePrefix="0" xfId="0"/>
    <xf numFmtId="169" fontId="3" fillId="0" borderId="0" pivotButton="0" quotePrefix="0" xfId="0"/>
    <xf numFmtId="2" fontId="3" fillId="0" borderId="0" pivotButton="0" quotePrefix="0" xfId="0"/>
    <xf numFmtId="164" fontId="1" fillId="0" borderId="0" applyAlignment="1" pivotButton="0" quotePrefix="0" xfId="0">
      <alignment horizontal="right"/>
    </xf>
    <xf numFmtId="166" fontId="1" fillId="0" borderId="0" pivotButton="0" quotePrefix="0" xfId="0"/>
    <xf numFmtId="169" fontId="0" fillId="0" borderId="0" pivotButton="0" quotePrefix="0" xfId="0"/>
    <xf numFmtId="169" fontId="0" fillId="3" borderId="0" pivotButton="0" quotePrefix="0" xfId="0"/>
    <xf numFmtId="164" fontId="0" fillId="0" borderId="0" pivotButton="0" quotePrefix="0" xfId="0"/>
    <xf numFmtId="166" fontId="0" fillId="0" borderId="0" pivotButton="0" quotePrefix="0" xfId="0"/>
    <xf numFmtId="171" fontId="3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FFD9A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Value / share — 1,000 trials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'Monte Carlo'!$A$34:$A$48</f>
            </numRef>
          </cat>
          <val>
            <numRef>
              <f>'Monte Carlo'!$B$34:$B$48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omments/comment1.xml><?xml version="1.0" encoding="utf-8"?>
<comments xmlns="http://schemas.openxmlformats.org/spreadsheetml/2006/main">
  <authors>
    <author>DCF provenance</author>
  </authors>
  <commentList>
    <comment ref="B20" authorId="0" shapeId="0">
      <text>
        <t>builder default</t>
      </text>
    </comment>
    <comment ref="C20" authorId="0" shapeId="0">
      <text>
        <t>builder default</t>
      </text>
    </comment>
    <comment ref="B21" authorId="0" shapeId="0">
      <text>
        <t>builder default</t>
      </text>
    </comment>
    <comment ref="C21" authorId="0" shapeId="0">
      <text>
        <t>builder default</t>
      </text>
    </comment>
    <comment ref="B22" authorId="0" shapeId="0">
      <text>
        <t>builder default</t>
      </text>
    </comment>
    <comment ref="C22" authorId="0" shapeId="0">
      <text>
        <t>builder default</t>
      </text>
    </comment>
    <comment ref="B23" authorId="0" shapeId="0">
      <text>
        <t>builder default</t>
      </text>
    </comment>
    <comment ref="C23" authorId="0" shapeId="0">
      <text>
        <t>builder default</t>
      </text>
    </comment>
    <comment ref="B24" authorId="0" shapeId="0">
      <text>
        <t>builder default</t>
      </text>
    </comment>
    <comment ref="C24" authorId="0" shapeId="0">
      <text>
        <t>builder default</t>
      </text>
    </comment>
    <comment ref="B29" authorId="0" shapeId="0">
      <text>
        <t>builder default</t>
      </text>
    </comment>
    <comment ref="B30" authorId="0" shapeId="0">
      <text>
        <t>builder default</t>
      </text>
    </comment>
    <comment ref="B31" authorId="0" shapeId="0">
      <text>
        <t>builder default</t>
      </text>
    </comment>
    <comment ref="B34" authorId="0" shapeId="0">
      <text>
        <t>builder default — last-year capex +10% unless set to guidance; edits not tracked</t>
      </text>
    </comment>
    <comment ref="B35" authorId="0" shapeId="0">
      <text>
        <t>builder default</t>
      </text>
    </comment>
    <comment ref="B38" authorId="0" shapeId="0">
      <text>
        <t>builder default</t>
      </text>
    </comment>
    <comment ref="B39" authorId="0" shapeId="0">
      <text>
        <t>builder default</t>
      </text>
    </comment>
    <comment ref="B40" authorId="0" shapeId="0">
      <text>
        <t>builder default</t>
      </text>
    </comment>
    <comment ref="B41" authorId="0" shapeId="0">
      <text>
        <t>builder default</t>
      </text>
    </comment>
    <comment ref="B43" authorId="0" shapeId="0">
      <text>
        <t>builder default</t>
      </text>
    </comment>
    <comment ref="B44" authorId="0" shapeId="0">
      <text>
        <t>builder default</t>
      </text>
    </comment>
    <comment ref="B45" authorId="0" shapeId="0">
      <text>
        <t>builder default</t>
      </text>
    </comment>
    <comment ref="B46" authorId="0" shapeId="0">
      <text>
        <t>builder default</t>
      </text>
    </comment>
    <comment ref="C52" authorId="0" shapeId="0">
      <text>
        <t>seed default</t>
      </text>
    </comment>
    <comment ref="D52" authorId="0" shapeId="0">
      <text>
        <t>seed default</t>
      </text>
    </comment>
    <comment ref="C53" authorId="0" shapeId="0">
      <text>
        <t>seed default</t>
      </text>
    </comment>
    <comment ref="D53" authorId="0" shapeId="0">
      <text>
        <t>seed default</t>
      </text>
    </comment>
    <comment ref="C54" authorId="0" shapeId="0">
      <text>
        <t>seed default</t>
      </text>
    </comment>
    <comment ref="D54" authorId="0" shapeId="0">
      <text>
        <t>seed default</t>
      </text>
    </comment>
    <comment ref="C55" authorId="0" shapeId="0">
      <text>
        <t>seed default</t>
      </text>
    </comment>
    <comment ref="D55" authorId="0" shapeId="0">
      <text>
        <t>seed default</t>
      </text>
    </comment>
    <comment ref="C56" authorId="0" shapeId="0">
      <text>
        <t>seed default</t>
      </text>
    </comment>
    <comment ref="D56" authorId="0" shapeId="0">
      <text>
        <t>seed default</t>
      </text>
    </comment>
    <comment ref="C57" authorId="0" shapeId="0">
      <text>
        <t>seed default</t>
      </text>
    </comment>
    <comment ref="D57" authorId="0" shapeId="0">
      <text>
        <t>seed default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49</row>
      <rowOff>0</rowOff>
    </from>
    <ext cx="5400000" cy="30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3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48" customWidth="1" min="2" max="2"/>
  </cols>
  <sheetData>
    <row r="1">
      <c r="A1" s="1" t="inlineStr">
        <is>
          <t>Costco Wholesale Corporation (COST)</t>
        </is>
      </c>
    </row>
    <row r="2">
      <c r="A2" s="2" t="inlineStr">
        <is>
          <t>DCF valuation — exit-multiple terminal · defaults anchored to consensus</t>
        </is>
      </c>
    </row>
    <row r="4">
      <c r="A4" s="3" t="inlineStr">
        <is>
          <t>Last updated</t>
        </is>
      </c>
      <c r="B4" s="4" t="inlineStr">
        <is>
          <t>2026-07-08</t>
        </is>
      </c>
    </row>
    <row r="5">
      <c r="A5" s="3" t="inlineStr">
        <is>
          <t>Data pulled (FMP)</t>
        </is>
      </c>
      <c r="B5" s="4" t="inlineStr">
        <is>
          <t>Q2 2026</t>
        </is>
      </c>
    </row>
    <row r="6">
      <c r="A6" s="3" t="inlineStr">
        <is>
          <t>Assumptions by</t>
        </is>
      </c>
      <c r="B6" s="4" t="inlineStr">
        <is>
          <t>builder defaults (consensus-anchored; no Opus pass)</t>
        </is>
      </c>
    </row>
    <row r="8">
      <c r="A8" s="5" t="inlineStr">
        <is>
          <t xml:space="preserve">  VALUATION SUMMARY</t>
        </is>
      </c>
      <c r="B8" s="6" t="n"/>
    </row>
    <row r="10">
      <c r="A10" s="3" t="inlineStr">
        <is>
          <t>Fair value / share</t>
        </is>
      </c>
      <c r="B10" s="7">
        <f>Valuation!B36</f>
        <v/>
      </c>
    </row>
    <row r="11">
      <c r="A11" s="4" t="inlineStr">
        <is>
          <t>Current price</t>
        </is>
      </c>
      <c r="B11" s="8">
        <f>Valuation!$B$2</f>
        <v/>
      </c>
    </row>
    <row r="12">
      <c r="A12" s="4" t="inlineStr">
        <is>
          <t>Upside / (downside)</t>
        </is>
      </c>
      <c r="B12" s="9">
        <f>Valuation!B42</f>
        <v/>
      </c>
    </row>
    <row r="13">
      <c r="A13" s="3" t="inlineStr">
        <is>
          <t>Verdict</t>
        </is>
      </c>
      <c r="B13" s="10">
        <f>IF(Valuation!B36&gt;Valuation!$B$2,"Undervalued","Overvalued")</f>
        <v/>
      </c>
    </row>
    <row r="14">
      <c r="A14" s="4" t="inlineStr">
        <is>
          <t>Monte Carlo P(undervalued)</t>
        </is>
      </c>
      <c r="B14" s="11">
        <f>'Monte Carlo'!B20</f>
        <v/>
      </c>
    </row>
    <row r="15">
      <c r="A15" s="5" t="inlineStr">
        <is>
          <t xml:space="preserve">  KEY ASSUMPTIONS</t>
        </is>
      </c>
      <c r="B15" s="6" t="n"/>
    </row>
    <row r="17">
      <c r="A17" s="4" t="inlineStr">
        <is>
          <t>WACC (from WACC tab)</t>
        </is>
      </c>
      <c r="B17" s="11">
        <f>WACC!B15</f>
        <v/>
      </c>
    </row>
    <row r="18">
      <c r="A18" s="4" t="inlineStr">
        <is>
          <t>Terminal method</t>
        </is>
      </c>
      <c r="B18" s="12">
        <f>Valuation!$B$6</f>
        <v/>
      </c>
    </row>
    <row r="19">
      <c r="A19" s="4" t="inlineStr">
        <is>
          <t>Exit basis / multiple</t>
        </is>
      </c>
      <c r="B19" s="12">
        <f>Valuation!$B$7</f>
        <v/>
      </c>
    </row>
    <row r="20">
      <c r="A20" s="4" t="inlineStr">
        <is>
          <t>Exit multiple</t>
        </is>
      </c>
      <c r="B20" s="13">
        <f>Valuation!$B$8</f>
        <v/>
      </c>
    </row>
    <row r="21">
      <c r="A21" s="4" t="inlineStr">
        <is>
          <t>Terminal growth (g)</t>
        </is>
      </c>
      <c r="B21" s="11">
        <f>Valuation!$B$4</f>
        <v/>
      </c>
    </row>
    <row r="22">
      <c r="A22" s="4" t="inlineStr">
        <is>
          <t>Terminal weight</t>
        </is>
      </c>
      <c r="B22" s="11">
        <f>Valuation!B39</f>
        <v/>
      </c>
    </row>
    <row r="23">
      <c r="A23" s="4" t="inlineStr">
        <is>
          <t>Forecast horizon</t>
        </is>
      </c>
      <c r="B23" s="4" t="inlineStr">
        <is>
          <t>10 years</t>
        </is>
      </c>
    </row>
    <row r="25">
      <c r="A25" s="5" t="inlineStr">
        <is>
          <t xml:space="preserve">  THE STORY (Opus)</t>
        </is>
      </c>
      <c r="B25" s="6" t="n"/>
    </row>
    <row r="27">
      <c r="A27" s="14" t="inlineStr">
        <is>
          <t>(Opus narrative)</t>
        </is>
      </c>
    </row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</sheetData>
  <mergeCells count="1">
    <mergeCell ref="A27:B4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6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3" customWidth="1" min="2" max="2"/>
    <col width="13" customWidth="1" min="3" max="3"/>
    <col width="14" customWidth="1" min="4" max="4"/>
    <col width="46" customWidth="1" min="5" max="5"/>
  </cols>
  <sheetData>
    <row r="1">
      <c r="A1" s="1" t="inlineStr">
        <is>
          <t>Costco Wholesale Corporation (COST) — Control Dashboard</t>
        </is>
      </c>
    </row>
    <row r="2">
      <c r="A2" s="2" t="inlineStr">
        <is>
          <t>Edit the yellow cells; everything recomputes. Orange = a driver you've moved off consensus.</t>
        </is>
      </c>
    </row>
    <row r="4">
      <c r="A4" s="5" t="inlineStr">
        <is>
          <t xml:space="preserve">  VERDICT</t>
        </is>
      </c>
      <c r="B4" s="6" t="n"/>
      <c r="C4" s="6" t="n"/>
      <c r="D4" s="6" t="n"/>
      <c r="E4" s="6" t="n"/>
    </row>
    <row r="5">
      <c r="A5" s="3" t="inlineStr">
        <is>
          <t>Fair value / share</t>
        </is>
      </c>
      <c r="B5" s="7">
        <f>Valuation!B36</f>
        <v/>
      </c>
    </row>
    <row r="6">
      <c r="A6" s="4" t="inlineStr">
        <is>
          <t>Current price</t>
        </is>
      </c>
      <c r="B6" s="8">
        <f>Dashboard!$B$48</f>
        <v/>
      </c>
    </row>
    <row r="7">
      <c r="A7" s="4" t="inlineStr">
        <is>
          <t>Upside / (downside)</t>
        </is>
      </c>
      <c r="B7" s="9">
        <f>Valuation!B42</f>
        <v/>
      </c>
    </row>
    <row r="8">
      <c r="A8" s="3" t="inlineStr">
        <is>
          <t>Verdict</t>
        </is>
      </c>
      <c r="B8" s="10">
        <f>IF(Valuation!B36&gt;Dashboard!$B$48,"Undervalued","Overvalued")</f>
        <v/>
      </c>
    </row>
    <row r="9">
      <c r="A9" s="4" t="inlineStr">
        <is>
          <t>Monte Carlo P(undervalued)</t>
        </is>
      </c>
      <c r="B9" s="11">
        <f>'Monte Carlo'!B20</f>
        <v/>
      </c>
    </row>
    <row r="11">
      <c r="A11" s="5" t="inlineStr">
        <is>
          <t xml:space="preserve">  GUARDRAIL SIGNALS (are my assumptions sane?)</t>
        </is>
      </c>
      <c r="B11" s="6" t="n"/>
      <c r="C11" s="6" t="n"/>
      <c r="D11" s="6" t="n"/>
      <c r="E11" s="6" t="n"/>
    </row>
    <row r="12">
      <c r="A12" s="3" t="inlineStr">
        <is>
          <t>Signal</t>
        </is>
      </c>
      <c r="B12" s="3" t="inlineStr">
        <is>
          <t>Value</t>
        </is>
      </c>
      <c r="C12" s="3" t="inlineStr">
        <is>
          <t>Flag</t>
        </is>
      </c>
      <c r="D12" s="3" t="inlineStr">
        <is>
          <t>Healthy</t>
        </is>
      </c>
    </row>
    <row r="13">
      <c r="A13" s="4" t="inlineStr">
        <is>
          <t>Terminal weight (% of EV)</t>
        </is>
      </c>
      <c r="B13" s="11">
        <f>Valuation!B39</f>
        <v/>
      </c>
      <c r="C13" s="10">
        <f>IF(Valuation!B39&gt;0.9,"! high","ok")</f>
        <v/>
      </c>
      <c r="D13" s="2" t="inlineStr">
        <is>
          <t>&lt; 90%</t>
        </is>
      </c>
    </row>
    <row r="14">
      <c r="A14" s="4" t="inlineStr">
        <is>
          <t>Implied g vs exit multiple</t>
        </is>
      </c>
      <c r="B14" s="11">
        <f>Valuation!B40</f>
        <v/>
      </c>
      <c r="C14" s="10">
        <f>IF(Valuation!B40&gt;Dashboard!$B$46+0.02,"! rich","ok")</f>
        <v/>
      </c>
      <c r="D14" s="2" t="inlineStr">
        <is>
          <t>near term g</t>
        </is>
      </c>
    </row>
    <row r="15">
      <c r="A15" s="4" t="inlineStr">
        <is>
          <t>ROIC - WACC (2026)</t>
        </is>
      </c>
      <c r="B15" s="11">
        <f>IF(Model!F42&lt;=0,"n/a (neg. capital)",Model!G44-WACC!B15)</f>
        <v/>
      </c>
      <c r="C15" s="10">
        <f>IF(Model!F42&lt;=0,"n/a",IF(Model!G44-WACC!B15&lt;0,"! destroys","creates"))</f>
        <v/>
      </c>
      <c r="D15" s="2" t="inlineStr">
        <is>
          <t>&gt; 0</t>
        </is>
      </c>
    </row>
    <row r="16">
      <c r="A16" s="4" t="inlineStr">
        <is>
          <t>Revenue vs consensus (2026)</t>
        </is>
      </c>
      <c r="B16" s="11">
        <f>Consensus!B6</f>
        <v/>
      </c>
      <c r="C16" s="10">
        <f>IF(ABS(Consensus!B6)&gt;0.05,"! off-Street","on")</f>
        <v/>
      </c>
      <c r="D16" s="2" t="inlineStr">
        <is>
          <t>+/- 5%</t>
        </is>
      </c>
    </row>
    <row r="17">
      <c r="A17" s="4" t="inlineStr">
        <is>
          <t>MC P(undervalued)</t>
        </is>
      </c>
      <c r="B17" s="11">
        <f>'Monte Carlo'!B20</f>
        <v/>
      </c>
      <c r="C17" s="10">
        <f>IF('Monte Carlo'!B20&lt;0.5,"! coin-flip","ok")</f>
        <v/>
      </c>
      <c r="D17" s="2" t="inlineStr">
        <is>
          <t>context</t>
        </is>
      </c>
    </row>
    <row r="18">
      <c r="A18" s="5" t="inlineStr">
        <is>
          <t xml:space="preserve">  REVENUE DRIVERS — near-term &amp; terminal growth per segment</t>
        </is>
      </c>
      <c r="B18" s="6" t="n"/>
      <c r="C18" s="6" t="n"/>
      <c r="D18" s="6" t="n"/>
      <c r="E18" s="6" t="n"/>
    </row>
    <row r="19">
      <c r="A19" s="3" t="inlineStr">
        <is>
          <t>Segment</t>
        </is>
      </c>
      <c r="B19" s="3" t="inlineStr">
        <is>
          <t>Near-term</t>
        </is>
      </c>
      <c r="C19" s="3" t="inlineStr">
        <is>
          <t>Terminal</t>
        </is>
      </c>
      <c r="D19" s="3" t="inlineStr">
        <is>
          <t>Consensus</t>
        </is>
      </c>
      <c r="E19" s="3" t="inlineStr">
        <is>
          <t>Thesis claim</t>
        </is>
      </c>
    </row>
    <row r="20">
      <c r="A20" s="4" t="inlineStr">
        <is>
          <t>Food and Sundries</t>
        </is>
      </c>
      <c r="B20" s="15" t="n">
        <v>0.06681392215940818</v>
      </c>
      <c r="C20" s="15" t="n">
        <v>0.05</v>
      </c>
      <c r="D20" s="16" t="n">
        <v>0.06681392215940818</v>
      </c>
      <c r="E20" s="2" t="inlineStr"/>
    </row>
    <row r="21">
      <c r="A21" s="4" t="inlineStr">
        <is>
          <t>Non-Foods</t>
        </is>
      </c>
      <c r="B21" s="15" t="n">
        <v>0.09245827069563799</v>
      </c>
      <c r="C21" s="15" t="n">
        <v>0.05</v>
      </c>
      <c r="D21" s="16" t="n">
        <v>0.09245827069563799</v>
      </c>
      <c r="E21" s="2" t="inlineStr"/>
    </row>
    <row r="22">
      <c r="A22" s="4" t="inlineStr">
        <is>
          <t>Other</t>
        </is>
      </c>
      <c r="B22" s="15" t="n">
        <v>0.02340846902213602</v>
      </c>
      <c r="C22" s="15" t="n">
        <v>0.05</v>
      </c>
      <c r="D22" s="16" t="n">
        <v>0.02340846902213602</v>
      </c>
      <c r="E22" s="2" t="inlineStr"/>
    </row>
    <row r="23">
      <c r="A23" s="4" t="inlineStr">
        <is>
          <t>Fresh Food</t>
        </is>
      </c>
      <c r="B23" s="15" t="n">
        <v>0.09035658143654621</v>
      </c>
      <c r="C23" s="15" t="n">
        <v>0.05</v>
      </c>
      <c r="D23" s="16" t="n">
        <v>0.09035658143654621</v>
      </c>
      <c r="E23" s="2" t="inlineStr"/>
    </row>
    <row r="24">
      <c r="A24" s="4" t="inlineStr">
        <is>
          <t>Membership</t>
        </is>
      </c>
      <c r="B24" s="15" t="n">
        <v>0.08445782150781697</v>
      </c>
      <c r="C24" s="15" t="n">
        <v>0.05</v>
      </c>
      <c r="D24" s="16" t="n">
        <v>0.08445782150781697</v>
      </c>
      <c r="E24" s="2" t="inlineStr"/>
    </row>
    <row r="25"/>
    <row r="26"/>
    <row r="27"/>
    <row r="28">
      <c r="A28" s="5" t="inlineStr">
        <is>
          <t xml:space="preserve">  PROFITABILITY &amp; TAX</t>
        </is>
      </c>
      <c r="B28" s="6" t="n"/>
      <c r="C28" s="6" t="n"/>
      <c r="D28" s="6" t="n"/>
      <c r="E28" s="6" t="n"/>
    </row>
    <row r="29">
      <c r="A29" s="4" t="inlineStr">
        <is>
          <t>Near-term operating margin</t>
        </is>
      </c>
      <c r="B29" s="15" t="n">
        <v>0.04007298722561094</v>
      </c>
      <c r="D29" s="16" t="n">
        <v>0.04007298722561094</v>
      </c>
      <c r="E29" s="2" t="inlineStr">
        <is>
          <t>consensus-implied; ramps to terminal</t>
        </is>
      </c>
    </row>
    <row r="30">
      <c r="A30" s="4" t="inlineStr">
        <is>
          <t>Terminal operating margin</t>
        </is>
      </c>
      <c r="B30" s="15" t="n">
        <v>0.04243901168931501</v>
      </c>
      <c r="E30" s="2" t="inlineStr">
        <is>
          <t>AI/ads mix + operating leverage</t>
        </is>
      </c>
    </row>
    <row r="31">
      <c r="A31" s="4" t="inlineStr">
        <is>
          <t>Tax rate</t>
        </is>
      </c>
      <c r="B31" s="15" t="n">
        <v>0.24</v>
      </c>
    </row>
    <row r="33">
      <c r="A33" s="5" t="inlineStr">
        <is>
          <t xml:space="preserve">  CAPITAL INTENSITY</t>
        </is>
      </c>
      <c r="B33" s="6" t="n"/>
      <c r="C33" s="6" t="n"/>
      <c r="D33" s="6" t="n"/>
      <c r="E33" s="6" t="n"/>
    </row>
    <row r="34">
      <c r="A34" s="4" t="inlineStr">
        <is>
          <t>2026 capex ($M)</t>
        </is>
      </c>
      <c r="B34" s="17" t="n">
        <v>6047.8</v>
      </c>
      <c r="D34" s="18" t="n">
        <v>6047.8</v>
      </c>
      <c r="E34" s="2" t="inlineStr">
        <is>
          <t>~last-year capex +10%; set to guidance</t>
        </is>
      </c>
    </row>
    <row r="35">
      <c r="A35" s="4" t="inlineStr">
        <is>
          <t>Terminal capex / D&amp;A</t>
        </is>
      </c>
      <c r="B35" s="19" t="n">
        <v>1.05</v>
      </c>
      <c r="E35" s="2" t="inlineStr">
        <is>
          <t>converges to ~1.0x as build-out matures</t>
        </is>
      </c>
    </row>
    <row r="37">
      <c r="A37" s="5" t="inlineStr">
        <is>
          <t xml:space="preserve">  DISCOUNT RATE &amp; TERMINAL</t>
        </is>
      </c>
      <c r="B37" s="6" t="n"/>
      <c r="C37" s="6" t="n"/>
      <c r="D37" s="6" t="n"/>
      <c r="E37" s="6" t="n"/>
    </row>
    <row r="38">
      <c r="A38" s="4" t="inlineStr">
        <is>
          <t>Risk-free rate (10Y)</t>
        </is>
      </c>
      <c r="B38" s="15" t="n">
        <v>0.043</v>
      </c>
    </row>
    <row r="39">
      <c r="A39" s="4" t="inlineStr">
        <is>
          <t>Equity risk premium</t>
        </is>
      </c>
      <c r="B39" s="15" t="n">
        <v>0.045</v>
      </c>
    </row>
    <row r="40">
      <c r="A40" s="4" t="inlineStr">
        <is>
          <t>Beta (levered)</t>
        </is>
      </c>
      <c r="B40" s="20" t="n">
        <v>0.908</v>
      </c>
      <c r="E40" s="2" t="inlineStr">
        <is>
          <t>FMP raw beta; Damodaran bottom-up ~1.2</t>
        </is>
      </c>
    </row>
    <row r="41">
      <c r="A41" s="4" t="inlineStr">
        <is>
          <t>Pre-tax cost of debt</t>
        </is>
      </c>
      <c r="B41" s="15" t="n">
        <v>0.045</v>
      </c>
    </row>
    <row r="42">
      <c r="A42" s="3" t="inlineStr">
        <is>
          <t>WACC (computed)</t>
        </is>
      </c>
      <c r="B42" s="21">
        <f>WACC!B15</f>
        <v/>
      </c>
    </row>
    <row r="43">
      <c r="A43" s="4" t="inlineStr">
        <is>
          <t>Terminal method</t>
        </is>
      </c>
      <c r="B43" s="22" t="inlineStr">
        <is>
          <t>Exit multiple</t>
        </is>
      </c>
    </row>
    <row r="44">
      <c r="A44" s="4" t="inlineStr">
        <is>
          <t>Exit basis</t>
        </is>
      </c>
      <c r="B44" s="22" t="inlineStr">
        <is>
          <t>EV/EBITDA</t>
        </is>
      </c>
    </row>
    <row r="45">
      <c r="A45" s="4" t="inlineStr">
        <is>
          <t>Exit multiple</t>
        </is>
      </c>
      <c r="B45" s="19" t="n">
        <v>12</v>
      </c>
    </row>
    <row r="46">
      <c r="A46" s="4" t="inlineStr">
        <is>
          <t>Terminal growth (g)</t>
        </is>
      </c>
      <c r="B46" s="15" t="n">
        <v>0.045</v>
      </c>
    </row>
    <row r="47">
      <c r="A47" s="4" t="inlineStr">
        <is>
          <t>Country risk premium</t>
        </is>
      </c>
      <c r="B47" s="15" t="n">
        <v>0</v>
      </c>
      <c r="E47" s="2" t="inlineStr">
        <is>
          <t>Damodaran country premiums, revenue-weighted (2026-01); 0 for US/mature</t>
        </is>
      </c>
    </row>
    <row r="48">
      <c r="A48" s="4" t="inlineStr">
        <is>
          <t>Current price</t>
        </is>
      </c>
      <c r="B48" s="23" t="n">
        <v>948.7899780273438</v>
      </c>
    </row>
    <row r="49">
      <c r="A49" s="4" t="inlineStr">
        <is>
          <t>Growth fade curvature</t>
        </is>
      </c>
      <c r="B49" s="20" t="n">
        <v>1</v>
      </c>
      <c r="E49" s="2" t="inlineStr">
        <is>
          <t>convexity of the near-&gt;terminal growth fade, fit to consensus (1.0=linear); higher = faster early deceleration</t>
        </is>
      </c>
    </row>
    <row r="50">
      <c r="A50" s="5" t="inlineStr">
        <is>
          <t xml:space="preserve">  SCENARIOS — Bull / Bear offsets vs Base (edit the yellow Δs)</t>
        </is>
      </c>
      <c r="B50" s="6" t="n"/>
      <c r="C50" s="6" t="n"/>
      <c r="D50" s="6" t="n"/>
      <c r="E50" s="6" t="n"/>
    </row>
    <row r="51">
      <c r="A51" s="3" t="inlineStr">
        <is>
          <t>Scenario lever</t>
        </is>
      </c>
      <c r="B51" s="3" t="inlineStr">
        <is>
          <t>Base</t>
        </is>
      </c>
      <c r="C51" s="3" t="inlineStr">
        <is>
          <t>Bull Δ</t>
        </is>
      </c>
      <c r="D51" s="3" t="inlineStr">
        <is>
          <t>Bear Δ</t>
        </is>
      </c>
    </row>
    <row r="52">
      <c r="A52" s="4" t="inlineStr">
        <is>
          <t>Segment growth, near-term</t>
        </is>
      </c>
      <c r="B52" s="2" t="inlineStr">
        <is>
          <t>per segment</t>
        </is>
      </c>
      <c r="C52" s="24" t="n">
        <v>0.03</v>
      </c>
      <c r="D52" s="24" t="n">
        <v>-0.03</v>
      </c>
    </row>
    <row r="53">
      <c r="A53" s="4" t="inlineStr">
        <is>
          <t>Segment growth, terminal</t>
        </is>
      </c>
      <c r="B53" s="2" t="inlineStr">
        <is>
          <t>per segment</t>
        </is>
      </c>
      <c r="C53" s="24" t="n">
        <v>0.01</v>
      </c>
      <c r="D53" s="24" t="n">
        <v>-0.01</v>
      </c>
    </row>
    <row r="54">
      <c r="A54" s="4" t="inlineStr">
        <is>
          <t>Operating margin, near-term</t>
        </is>
      </c>
      <c r="B54" s="25">
        <f>B29</f>
        <v/>
      </c>
      <c r="C54" s="24" t="n">
        <v>0.01</v>
      </c>
      <c r="D54" s="24" t="n">
        <v>-0.01</v>
      </c>
    </row>
    <row r="55">
      <c r="A55" s="4" t="inlineStr">
        <is>
          <t>Operating margin, terminal</t>
        </is>
      </c>
      <c r="B55" s="25">
        <f>B30</f>
        <v/>
      </c>
      <c r="C55" s="24" t="n">
        <v>0.02</v>
      </c>
      <c r="D55" s="24" t="n">
        <v>-0.02</v>
      </c>
    </row>
    <row r="56">
      <c r="A56" s="4" t="inlineStr">
        <is>
          <t>Exit multiple</t>
        </is>
      </c>
      <c r="B56" s="26">
        <f>B45</f>
        <v/>
      </c>
      <c r="C56" s="27" t="n">
        <v>2</v>
      </c>
      <c r="D56" s="27" t="n">
        <v>-2</v>
      </c>
    </row>
    <row r="57">
      <c r="A57" s="4" t="inlineStr">
        <is>
          <t>Terminal growth (g)</t>
        </is>
      </c>
      <c r="B57" s="25">
        <f>B46</f>
        <v/>
      </c>
      <c r="C57" s="24" t="n">
        <v>0.005</v>
      </c>
      <c r="D57" s="24" t="n">
        <v>-0.005</v>
      </c>
    </row>
    <row r="58">
      <c r="A58" s="3" t="inlineStr">
        <is>
          <t>Fair value / share — Base · Bull · Bear</t>
        </is>
      </c>
      <c r="B58" s="28" t="n">
        <v>454.0695703285991</v>
      </c>
      <c r="C58" s="28" t="n">
        <v>844.8125254848806</v>
      </c>
      <c r="D58" s="28" t="n">
        <v>198.049753918101</v>
      </c>
    </row>
    <row r="59">
      <c r="A59" s="4" t="inlineStr">
        <is>
          <t>Upside vs current price</t>
        </is>
      </c>
      <c r="B59" s="29">
        <f>IFERROR(B58/$B$48-1,"")</f>
        <v/>
      </c>
      <c r="C59" s="29">
        <f>IFERROR(C58/$B$48-1,"")</f>
        <v/>
      </c>
      <c r="D59" s="29">
        <f>IFERROR(D58/$B$48-1,"")</f>
        <v/>
      </c>
    </row>
    <row r="60">
      <c r="A60" s="2" t="inlineStr">
        <is>
          <t>Bull/Bear = Base shifted by the Δ columns (uniform across segments). Row 58 + the Sensitivity sheet are Python-computed — run refresh_dcf after editing.</t>
        </is>
      </c>
    </row>
    <row r="61">
      <c r="A61" s="2" t="inlineStr">
        <is>
          <t>Scenario probability weights (edit — must sum to 1.0; LLM-set, owner overrides):</t>
        </is>
      </c>
    </row>
    <row r="62">
      <c r="A62" s="4" t="inlineStr">
        <is>
          <t>Probability weight</t>
        </is>
      </c>
      <c r="B62" s="30" t="n">
        <v>0.5</v>
      </c>
      <c r="C62" s="30" t="n">
        <v>0.25</v>
      </c>
      <c r="D62" s="30" t="n">
        <v>0.25</v>
      </c>
    </row>
    <row r="64">
      <c r="A64" s="5" t="inlineStr">
        <is>
          <t xml:space="preserve">  STOCK-BASED COMPENSATION (charged after-tax)</t>
        </is>
      </c>
      <c r="B64" s="6" t="n"/>
      <c r="C64" s="6" t="n"/>
      <c r="D64" s="6" t="n"/>
      <c r="E64" s="6" t="n"/>
    </row>
    <row r="65">
      <c r="A65" s="4" t="inlineStr">
        <is>
          <t>SBC % of revenue — near-term</t>
        </is>
      </c>
      <c r="B65" s="15" t="n">
        <v>0.003124602612313114</v>
      </c>
      <c r="E65" s="2" t="inlineStr">
        <is>
          <t>charged as an after-tax expense; op margin is non-GAAP (SBC-excluded)</t>
        </is>
      </c>
    </row>
    <row r="66">
      <c r="A66" s="4" t="inlineStr">
        <is>
          <t>SBC % of revenue — terminal</t>
        </is>
      </c>
      <c r="B66" s="15" t="n">
        <v>0.001874761567387868</v>
      </c>
      <c r="E66" s="2" t="inlineStr">
        <is>
          <t>fades near-&gt;terminal; also burdens the exit-multiple EBITDA</t>
        </is>
      </c>
    </row>
  </sheetData>
  <conditionalFormatting sqref="B20:B24">
    <cfRule type="expression" priority="1" dxfId="0">
      <formula>$B20&lt;&gt;$D20</formula>
    </cfRule>
  </conditionalFormatting>
  <conditionalFormatting sqref="B29">
    <cfRule type="expression" priority="2" dxfId="0">
      <formula>$B29&lt;&gt;$D29</formula>
    </cfRule>
  </conditionalFormatting>
  <conditionalFormatting sqref="B34">
    <cfRule type="expression" priority="3" dxfId="0">
      <formula>$B34&lt;&gt;$D34</formula>
    </cfRule>
  </conditionalFormatting>
  <dataValidations count="2">
    <dataValidation sqref="B43" showDropDown="0" showInputMessage="0" showErrorMessage="0" allowBlank="0" type="list">
      <formula1>"Perpetuity,Exit multiple"</formula1>
    </dataValidation>
    <dataValidation sqref="B44" showDropDown="0" showInputMessage="0" showErrorMessage="0" allowBlank="0" type="list">
      <formula1>"EV/EBITDA,EV/Sales,EV/EBIT,EV/FCF"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2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7" customWidth="1" min="2" max="2"/>
    <col width="12" customWidth="1" min="3" max="3"/>
    <col width="16" customWidth="1" min="4" max="4"/>
    <col width="12" customWidth="1" min="5" max="5"/>
    <col width="52" customWidth="1" min="6" max="6"/>
  </cols>
  <sheetData>
    <row r="1">
      <c r="A1" s="1" t="inlineStr">
        <is>
          <t>COST — Assumptions &amp; Reasoning</t>
        </is>
      </c>
    </row>
    <row r="2">
      <c r="A2" s="2" t="inlineStr">
        <is>
          <t>Provenance of every Dashboard input. Read-only — regenerated by each build/refresh. Current is a live link to the Dashboard; Source / Opus value / Note are as of the last refresh_dcf run.</t>
        </is>
      </c>
    </row>
    <row r="4">
      <c r="A4" s="3" t="inlineStr">
        <is>
          <t>Assumptions baseline</t>
        </is>
      </c>
      <c r="B4" t="inlineStr">
        <is>
          <t>no Opus assumptions file — every input is a builder default</t>
        </is>
      </c>
    </row>
    <row r="6">
      <c r="A6" s="5" t="inlineStr">
        <is>
          <t xml:space="preserve">  DASHBOARD INPUTS — value · source · reasoning</t>
        </is>
      </c>
      <c r="B6" s="6" t="n"/>
      <c r="C6" s="6" t="n"/>
      <c r="D6" s="6" t="n"/>
      <c r="E6" s="6" t="n"/>
      <c r="F6" s="6" t="n"/>
    </row>
    <row r="7">
      <c r="A7" s="3" t="inlineStr">
        <is>
          <t>Input</t>
        </is>
      </c>
      <c r="B7" s="3" t="inlineStr">
        <is>
          <t>Cell</t>
        </is>
      </c>
      <c r="C7" s="3" t="inlineStr">
        <is>
          <t>Current</t>
        </is>
      </c>
      <c r="D7" s="3" t="inlineStr">
        <is>
          <t>Source</t>
        </is>
      </c>
      <c r="E7" s="3" t="inlineStr">
        <is>
          <t>Opus value</t>
        </is>
      </c>
      <c r="F7" s="3" t="inlineStr">
        <is>
          <t>Note</t>
        </is>
      </c>
    </row>
    <row r="8">
      <c r="A8" t="inlineStr">
        <is>
          <t>Food and Sundries — near-term growth</t>
        </is>
      </c>
      <c r="B8" t="inlineStr">
        <is>
          <t>B20</t>
        </is>
      </c>
      <c r="C8" s="11">
        <f>Dashboard!B20</f>
        <v/>
      </c>
      <c r="D8" t="inlineStr">
        <is>
          <t>builder default</t>
        </is>
      </c>
      <c r="E8" t="inlineStr">
        <is>
          <t>—</t>
        </is>
      </c>
      <c r="F8" s="31" t="inlineStr"/>
    </row>
    <row r="9">
      <c r="A9" t="inlineStr">
        <is>
          <t>Food and Sundries — terminal growth</t>
        </is>
      </c>
      <c r="B9" t="inlineStr">
        <is>
          <t>C20</t>
        </is>
      </c>
      <c r="C9" s="11">
        <f>Dashboard!C20</f>
        <v/>
      </c>
      <c r="D9" t="inlineStr">
        <is>
          <t>builder default</t>
        </is>
      </c>
      <c r="E9" t="inlineStr">
        <is>
          <t>—</t>
        </is>
      </c>
      <c r="F9" s="31" t="inlineStr"/>
    </row>
    <row r="10">
      <c r="A10" t="inlineStr">
        <is>
          <t>Non-Foods — near-term growth</t>
        </is>
      </c>
      <c r="B10" t="inlineStr">
        <is>
          <t>B21</t>
        </is>
      </c>
      <c r="C10" s="11">
        <f>Dashboard!B21</f>
        <v/>
      </c>
      <c r="D10" t="inlineStr">
        <is>
          <t>builder default</t>
        </is>
      </c>
      <c r="E10" t="inlineStr">
        <is>
          <t>—</t>
        </is>
      </c>
      <c r="F10" s="31" t="inlineStr"/>
    </row>
    <row r="11">
      <c r="A11" t="inlineStr">
        <is>
          <t>Non-Foods — terminal growth</t>
        </is>
      </c>
      <c r="B11" t="inlineStr">
        <is>
          <t>C21</t>
        </is>
      </c>
      <c r="C11" s="11">
        <f>Dashboard!C21</f>
        <v/>
      </c>
      <c r="D11" t="inlineStr">
        <is>
          <t>builder default</t>
        </is>
      </c>
      <c r="E11" t="inlineStr">
        <is>
          <t>—</t>
        </is>
      </c>
      <c r="F11" s="31" t="inlineStr"/>
    </row>
    <row r="12">
      <c r="A12" t="inlineStr">
        <is>
          <t>Other — near-term growth</t>
        </is>
      </c>
      <c r="B12" t="inlineStr">
        <is>
          <t>B22</t>
        </is>
      </c>
      <c r="C12" s="11">
        <f>Dashboard!B22</f>
        <v/>
      </c>
      <c r="D12" t="inlineStr">
        <is>
          <t>builder default</t>
        </is>
      </c>
      <c r="E12" t="inlineStr">
        <is>
          <t>—</t>
        </is>
      </c>
      <c r="F12" s="31" t="inlineStr"/>
    </row>
    <row r="13">
      <c r="A13" t="inlineStr">
        <is>
          <t>Other — terminal growth</t>
        </is>
      </c>
      <c r="B13" t="inlineStr">
        <is>
          <t>C22</t>
        </is>
      </c>
      <c r="C13" s="11">
        <f>Dashboard!C22</f>
        <v/>
      </c>
      <c r="D13" t="inlineStr">
        <is>
          <t>builder default</t>
        </is>
      </c>
      <c r="E13" t="inlineStr">
        <is>
          <t>—</t>
        </is>
      </c>
      <c r="F13" s="31" t="inlineStr"/>
    </row>
    <row r="14">
      <c r="A14" t="inlineStr">
        <is>
          <t>Fresh Food — near-term growth</t>
        </is>
      </c>
      <c r="B14" t="inlineStr">
        <is>
          <t>B23</t>
        </is>
      </c>
      <c r="C14" s="11">
        <f>Dashboard!B23</f>
        <v/>
      </c>
      <c r="D14" t="inlineStr">
        <is>
          <t>builder default</t>
        </is>
      </c>
      <c r="E14" t="inlineStr">
        <is>
          <t>—</t>
        </is>
      </c>
      <c r="F14" s="31" t="inlineStr"/>
    </row>
    <row r="15">
      <c r="A15" t="inlineStr">
        <is>
          <t>Fresh Food — terminal growth</t>
        </is>
      </c>
      <c r="B15" t="inlineStr">
        <is>
          <t>C23</t>
        </is>
      </c>
      <c r="C15" s="11">
        <f>Dashboard!C23</f>
        <v/>
      </c>
      <c r="D15" t="inlineStr">
        <is>
          <t>builder default</t>
        </is>
      </c>
      <c r="E15" t="inlineStr">
        <is>
          <t>—</t>
        </is>
      </c>
      <c r="F15" s="31" t="inlineStr"/>
    </row>
    <row r="16">
      <c r="A16" t="inlineStr">
        <is>
          <t>Membership — near-term growth</t>
        </is>
      </c>
      <c r="B16" t="inlineStr">
        <is>
          <t>B24</t>
        </is>
      </c>
      <c r="C16" s="11">
        <f>Dashboard!B24</f>
        <v/>
      </c>
      <c r="D16" t="inlineStr">
        <is>
          <t>builder default</t>
        </is>
      </c>
      <c r="E16" t="inlineStr">
        <is>
          <t>—</t>
        </is>
      </c>
      <c r="F16" s="31" t="inlineStr"/>
    </row>
    <row r="17">
      <c r="A17" t="inlineStr">
        <is>
          <t>Membership — terminal growth</t>
        </is>
      </c>
      <c r="B17" t="inlineStr">
        <is>
          <t>C24</t>
        </is>
      </c>
      <c r="C17" s="11">
        <f>Dashboard!C24</f>
        <v/>
      </c>
      <c r="D17" t="inlineStr">
        <is>
          <t>builder default</t>
        </is>
      </c>
      <c r="E17" t="inlineStr">
        <is>
          <t>—</t>
        </is>
      </c>
      <c r="F17" s="31" t="inlineStr"/>
    </row>
    <row r="18">
      <c r="A18" t="inlineStr">
        <is>
          <t>Near-term operating margin</t>
        </is>
      </c>
      <c r="B18" t="inlineStr">
        <is>
          <t>B29</t>
        </is>
      </c>
      <c r="C18" s="11">
        <f>Dashboard!B29</f>
        <v/>
      </c>
      <c r="D18" t="inlineStr">
        <is>
          <t>builder default</t>
        </is>
      </c>
      <c r="E18" t="inlineStr">
        <is>
          <t>—</t>
        </is>
      </c>
      <c r="F18" s="31" t="inlineStr"/>
    </row>
    <row r="19">
      <c r="A19" t="inlineStr">
        <is>
          <t>Terminal operating margin</t>
        </is>
      </c>
      <c r="B19" t="inlineStr">
        <is>
          <t>B30</t>
        </is>
      </c>
      <c r="C19" s="11">
        <f>Dashboard!B30</f>
        <v/>
      </c>
      <c r="D19" t="inlineStr">
        <is>
          <t>builder default</t>
        </is>
      </c>
      <c r="E19" t="inlineStr">
        <is>
          <t>—</t>
        </is>
      </c>
      <c r="F19" s="31" t="inlineStr"/>
    </row>
    <row r="20">
      <c r="A20" t="inlineStr">
        <is>
          <t>Tax rate</t>
        </is>
      </c>
      <c r="B20" t="inlineStr">
        <is>
          <t>B31</t>
        </is>
      </c>
      <c r="C20" s="11">
        <f>Dashboard!B31</f>
        <v/>
      </c>
      <c r="D20" t="inlineStr">
        <is>
          <t>builder default</t>
        </is>
      </c>
      <c r="E20" t="inlineStr">
        <is>
          <t>—</t>
        </is>
      </c>
      <c r="F20" s="31" t="inlineStr"/>
    </row>
    <row r="21">
      <c r="A21" t="inlineStr">
        <is>
          <t>Terminal capex / D&amp;A</t>
        </is>
      </c>
      <c r="B21" t="inlineStr">
        <is>
          <t>B35</t>
        </is>
      </c>
      <c r="C21" s="13">
        <f>Dashboard!B35</f>
        <v/>
      </c>
      <c r="D21" t="inlineStr">
        <is>
          <t>builder default</t>
        </is>
      </c>
      <c r="E21" t="inlineStr">
        <is>
          <t>—</t>
        </is>
      </c>
      <c r="F21" s="31" t="inlineStr"/>
    </row>
    <row r="22">
      <c r="A22" t="inlineStr">
        <is>
          <t>Risk-free rate (10Y)</t>
        </is>
      </c>
      <c r="B22" t="inlineStr">
        <is>
          <t>B38</t>
        </is>
      </c>
      <c r="C22" s="11">
        <f>Dashboard!B38</f>
        <v/>
      </c>
      <c r="D22" t="inlineStr">
        <is>
          <t>builder default</t>
        </is>
      </c>
      <c r="E22" t="inlineStr">
        <is>
          <t>—</t>
        </is>
      </c>
      <c r="F22" s="31" t="inlineStr"/>
    </row>
    <row r="23">
      <c r="A23" t="inlineStr">
        <is>
          <t>Equity risk premium</t>
        </is>
      </c>
      <c r="B23" t="inlineStr">
        <is>
          <t>B39</t>
        </is>
      </c>
      <c r="C23" s="11">
        <f>Dashboard!B39</f>
        <v/>
      </c>
      <c r="D23" t="inlineStr">
        <is>
          <t>builder default</t>
        </is>
      </c>
      <c r="E23" t="inlineStr">
        <is>
          <t>—</t>
        </is>
      </c>
      <c r="F23" s="31" t="inlineStr"/>
    </row>
    <row r="24">
      <c r="A24" t="inlineStr">
        <is>
          <t>Beta (levered)</t>
        </is>
      </c>
      <c r="B24" t="inlineStr">
        <is>
          <t>B40</t>
        </is>
      </c>
      <c r="C24" s="32">
        <f>Dashboard!B40</f>
        <v/>
      </c>
      <c r="D24" t="inlineStr">
        <is>
          <t>builder default</t>
        </is>
      </c>
      <c r="E24" t="inlineStr">
        <is>
          <t>—</t>
        </is>
      </c>
      <c r="F24" s="31" t="inlineStr"/>
    </row>
    <row r="25">
      <c r="A25" t="inlineStr">
        <is>
          <t>Pre-tax cost of debt</t>
        </is>
      </c>
      <c r="B25" t="inlineStr">
        <is>
          <t>B41</t>
        </is>
      </c>
      <c r="C25" s="11">
        <f>Dashboard!B41</f>
        <v/>
      </c>
      <c r="D25" t="inlineStr">
        <is>
          <t>builder default</t>
        </is>
      </c>
      <c r="E25" t="inlineStr">
        <is>
          <t>—</t>
        </is>
      </c>
      <c r="F25" s="31" t="inlineStr"/>
    </row>
    <row r="26">
      <c r="A26" t="inlineStr">
        <is>
          <t>Terminal method</t>
        </is>
      </c>
      <c r="B26" t="inlineStr">
        <is>
          <t>B43</t>
        </is>
      </c>
      <c r="C26" s="12">
        <f>Dashboard!B43</f>
        <v/>
      </c>
      <c r="D26" t="inlineStr">
        <is>
          <t>builder default</t>
        </is>
      </c>
      <c r="E26" t="inlineStr">
        <is>
          <t>—</t>
        </is>
      </c>
      <c r="F26" s="31" t="inlineStr"/>
    </row>
    <row r="27">
      <c r="A27" t="inlineStr">
        <is>
          <t>Exit basis</t>
        </is>
      </c>
      <c r="B27" t="inlineStr">
        <is>
          <t>B44</t>
        </is>
      </c>
      <c r="C27" s="12">
        <f>Dashboard!B44</f>
        <v/>
      </c>
      <c r="D27" t="inlineStr">
        <is>
          <t>builder default</t>
        </is>
      </c>
      <c r="E27" t="inlineStr">
        <is>
          <t>—</t>
        </is>
      </c>
      <c r="F27" s="31" t="inlineStr"/>
    </row>
    <row r="28">
      <c r="A28" t="inlineStr">
        <is>
          <t>Exit multiple</t>
        </is>
      </c>
      <c r="B28" t="inlineStr">
        <is>
          <t>B45</t>
        </is>
      </c>
      <c r="C28" s="13">
        <f>Dashboard!B45</f>
        <v/>
      </c>
      <c r="D28" t="inlineStr">
        <is>
          <t>builder default</t>
        </is>
      </c>
      <c r="E28" t="inlineStr">
        <is>
          <t>—</t>
        </is>
      </c>
      <c r="F28" s="31" t="inlineStr"/>
    </row>
    <row r="29">
      <c r="A29" t="inlineStr">
        <is>
          <t>Terminal growth (g)</t>
        </is>
      </c>
      <c r="B29" t="inlineStr">
        <is>
          <t>B46</t>
        </is>
      </c>
      <c r="C29" s="11">
        <f>Dashboard!B46</f>
        <v/>
      </c>
      <c r="D29" t="inlineStr">
        <is>
          <t>builder default</t>
        </is>
      </c>
      <c r="E29" t="inlineStr">
        <is>
          <t>—</t>
        </is>
      </c>
      <c r="F29" s="31" t="inlineStr"/>
    </row>
    <row r="30">
      <c r="A30" t="inlineStr">
        <is>
          <t>2026 capex ($M)</t>
        </is>
      </c>
      <c r="B30" t="inlineStr">
        <is>
          <t>B34</t>
        </is>
      </c>
      <c r="C30" s="33">
        <f>Dashboard!B34</f>
        <v/>
      </c>
      <c r="D30" t="inlineStr">
        <is>
          <t>builder default</t>
        </is>
      </c>
      <c r="E30" t="inlineStr">
        <is>
          <t>—</t>
        </is>
      </c>
      <c r="F30" s="31" t="inlineStr">
        <is>
          <t>last-year capex +10% unless set to guidance; edits not tracked</t>
        </is>
      </c>
    </row>
    <row r="31">
      <c r="A31" t="inlineStr">
        <is>
          <t>Bull Δ — segment growth, near-term</t>
        </is>
      </c>
      <c r="B31" t="inlineStr">
        <is>
          <t>C52</t>
        </is>
      </c>
      <c r="C31" s="34">
        <f>Dashboard!C52</f>
        <v/>
      </c>
      <c r="D31" t="inlineStr">
        <is>
          <t>seed default</t>
        </is>
      </c>
      <c r="E31" t="inlineStr">
        <is>
          <t>3.0%</t>
        </is>
      </c>
      <c r="F31" s="31" t="inlineStr"/>
    </row>
    <row r="32">
      <c r="A32" t="inlineStr">
        <is>
          <t>Bear Δ — segment growth, near-term</t>
        </is>
      </c>
      <c r="B32" t="inlineStr">
        <is>
          <t>D52</t>
        </is>
      </c>
      <c r="C32" s="34">
        <f>Dashboard!D52</f>
        <v/>
      </c>
      <c r="D32" t="inlineStr">
        <is>
          <t>seed default</t>
        </is>
      </c>
      <c r="E32" t="inlineStr">
        <is>
          <t>-3.0%</t>
        </is>
      </c>
      <c r="F32" s="31" t="inlineStr"/>
    </row>
    <row r="33">
      <c r="A33" t="inlineStr">
        <is>
          <t>Bull Δ — segment growth, terminal</t>
        </is>
      </c>
      <c r="B33" t="inlineStr">
        <is>
          <t>C53</t>
        </is>
      </c>
      <c r="C33" s="34">
        <f>Dashboard!C53</f>
        <v/>
      </c>
      <c r="D33" t="inlineStr">
        <is>
          <t>seed default</t>
        </is>
      </c>
      <c r="E33" t="inlineStr">
        <is>
          <t>1.0%</t>
        </is>
      </c>
      <c r="F33" s="31" t="inlineStr"/>
    </row>
    <row r="34">
      <c r="A34" t="inlineStr">
        <is>
          <t>Bear Δ — segment growth, terminal</t>
        </is>
      </c>
      <c r="B34" t="inlineStr">
        <is>
          <t>D53</t>
        </is>
      </c>
      <c r="C34" s="34">
        <f>Dashboard!D53</f>
        <v/>
      </c>
      <c r="D34" t="inlineStr">
        <is>
          <t>seed default</t>
        </is>
      </c>
      <c r="E34" t="inlineStr">
        <is>
          <t>-1.0%</t>
        </is>
      </c>
      <c r="F34" s="31" t="inlineStr"/>
    </row>
    <row r="35">
      <c r="A35" t="inlineStr">
        <is>
          <t>Bull Δ — operating margin, near-term</t>
        </is>
      </c>
      <c r="B35" t="inlineStr">
        <is>
          <t>C54</t>
        </is>
      </c>
      <c r="C35" s="34">
        <f>Dashboard!C54</f>
        <v/>
      </c>
      <c r="D35" t="inlineStr">
        <is>
          <t>seed default</t>
        </is>
      </c>
      <c r="E35" t="inlineStr">
        <is>
          <t>1.0%</t>
        </is>
      </c>
      <c r="F35" s="31" t="inlineStr"/>
    </row>
    <row r="36">
      <c r="A36" t="inlineStr">
        <is>
          <t>Bear Δ — operating margin, near-term</t>
        </is>
      </c>
      <c r="B36" t="inlineStr">
        <is>
          <t>D54</t>
        </is>
      </c>
      <c r="C36" s="34">
        <f>Dashboard!D54</f>
        <v/>
      </c>
      <c r="D36" t="inlineStr">
        <is>
          <t>seed default</t>
        </is>
      </c>
      <c r="E36" t="inlineStr">
        <is>
          <t>-1.0%</t>
        </is>
      </c>
      <c r="F36" s="31" t="inlineStr"/>
    </row>
    <row r="37">
      <c r="A37" t="inlineStr">
        <is>
          <t>Bull Δ — operating margin, terminal</t>
        </is>
      </c>
      <c r="B37" t="inlineStr">
        <is>
          <t>C55</t>
        </is>
      </c>
      <c r="C37" s="34">
        <f>Dashboard!C55</f>
        <v/>
      </c>
      <c r="D37" t="inlineStr">
        <is>
          <t>seed default</t>
        </is>
      </c>
      <c r="E37" t="inlineStr">
        <is>
          <t>2.0%</t>
        </is>
      </c>
      <c r="F37" s="31" t="inlineStr"/>
    </row>
    <row r="38">
      <c r="A38" t="inlineStr">
        <is>
          <t>Bear Δ — operating margin, terminal</t>
        </is>
      </c>
      <c r="B38" t="inlineStr">
        <is>
          <t>D55</t>
        </is>
      </c>
      <c r="C38" s="34">
        <f>Dashboard!D55</f>
        <v/>
      </c>
      <c r="D38" t="inlineStr">
        <is>
          <t>seed default</t>
        </is>
      </c>
      <c r="E38" t="inlineStr">
        <is>
          <t>-2.0%</t>
        </is>
      </c>
      <c r="F38" s="31" t="inlineStr"/>
    </row>
    <row r="39">
      <c r="A39" t="inlineStr">
        <is>
          <t>Bull Δ — exit multiple</t>
        </is>
      </c>
      <c r="B39" t="inlineStr">
        <is>
          <t>C56</t>
        </is>
      </c>
      <c r="C39" s="35">
        <f>Dashboard!C56</f>
        <v/>
      </c>
      <c r="D39" t="inlineStr">
        <is>
          <t>seed default</t>
        </is>
      </c>
      <c r="E39" t="inlineStr">
        <is>
          <t>2.0x</t>
        </is>
      </c>
      <c r="F39" s="31" t="inlineStr"/>
    </row>
    <row r="40">
      <c r="A40" t="inlineStr">
        <is>
          <t>Bear Δ — exit multiple</t>
        </is>
      </c>
      <c r="B40" t="inlineStr">
        <is>
          <t>D56</t>
        </is>
      </c>
      <c r="C40" s="35">
        <f>Dashboard!D56</f>
        <v/>
      </c>
      <c r="D40" t="inlineStr">
        <is>
          <t>seed default</t>
        </is>
      </c>
      <c r="E40" t="inlineStr">
        <is>
          <t>-2.0x</t>
        </is>
      </c>
      <c r="F40" s="31" t="inlineStr"/>
    </row>
    <row r="41">
      <c r="A41" t="inlineStr">
        <is>
          <t>Bull Δ — terminal growth (g)</t>
        </is>
      </c>
      <c r="B41" t="inlineStr">
        <is>
          <t>C57</t>
        </is>
      </c>
      <c r="C41" s="34">
        <f>Dashboard!C57</f>
        <v/>
      </c>
      <c r="D41" t="inlineStr">
        <is>
          <t>seed default</t>
        </is>
      </c>
      <c r="E41" t="inlineStr">
        <is>
          <t>0.5%</t>
        </is>
      </c>
      <c r="F41" s="31" t="inlineStr"/>
    </row>
    <row r="42">
      <c r="A42" t="inlineStr">
        <is>
          <t>Bear Δ — terminal growth (g)</t>
        </is>
      </c>
      <c r="B42" t="inlineStr">
        <is>
          <t>D57</t>
        </is>
      </c>
      <c r="C42" s="34">
        <f>Dashboard!D57</f>
        <v/>
      </c>
      <c r="D42" t="inlineStr">
        <is>
          <t>seed default</t>
        </is>
      </c>
      <c r="E42" t="inlineStr">
        <is>
          <t>-0.5%</t>
        </is>
      </c>
      <c r="F42" s="31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74" customWidth="1" min="2" max="2"/>
  </cols>
  <sheetData>
    <row r="1">
      <c r="A1" s="3" t="inlineStr">
        <is>
          <t>Color</t>
        </is>
      </c>
      <c r="B1" s="3" t="inlineStr">
        <is>
          <t>Meaning</t>
        </is>
      </c>
    </row>
    <row r="2">
      <c r="A2" s="4" t="inlineStr">
        <is>
          <t>Black</t>
        </is>
      </c>
      <c r="B2" s="4" t="inlineStr">
        <is>
          <t>Formula-driven (same-sheet)</t>
        </is>
      </c>
    </row>
    <row r="3">
      <c r="A3" s="36" t="inlineStr">
        <is>
          <t>Blue</t>
        </is>
      </c>
      <c r="B3" s="4" t="inlineStr">
        <is>
          <t>Hard-coded actuals (from FMP filings)</t>
        </is>
      </c>
    </row>
    <row r="4">
      <c r="A4" s="22" t="inlineStr">
        <is>
          <t>Yellow</t>
        </is>
      </c>
      <c r="B4" s="4" t="inlineStr">
        <is>
          <t>An assumption you can change — edit these to drive the model</t>
        </is>
      </c>
    </row>
    <row r="5">
      <c r="A5" s="12" t="inlineStr">
        <is>
          <t>Green</t>
        </is>
      </c>
      <c r="B5" s="4" t="inlineStr">
        <is>
          <t>A formula that links to another sheet</t>
        </is>
      </c>
    </row>
    <row r="6">
      <c r="A6" s="37" t="inlineStr">
        <is>
          <t>Orange</t>
        </is>
      </c>
      <c r="B6" s="4" t="inlineStr">
        <is>
          <t>(Dashboard) an assumption you've moved off consensus — your active bet</t>
        </is>
      </c>
    </row>
    <row r="7">
      <c r="A7" s="3" t="inlineStr">
        <is>
          <t>How to use</t>
        </is>
      </c>
      <c r="B7" s="4" t="inlineStr">
        <is>
          <t>Edit yellow cells (Model assumptions, WACC drivers, Valuation toggles). Everything else recomputes.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7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4" customWidth="1" min="2" max="2"/>
  </cols>
  <sheetData>
    <row r="1">
      <c r="A1" s="1" t="inlineStr">
        <is>
          <t>WACC Calculator</t>
        </is>
      </c>
    </row>
    <row r="2">
      <c r="A2" s="4" t="inlineStr">
        <is>
          <t>Risk-free rate (10Y)</t>
        </is>
      </c>
      <c r="B2" s="11">
        <f>Dashboard!$B$38</f>
        <v/>
      </c>
    </row>
    <row r="3">
      <c r="A3" s="4" t="inlineStr">
        <is>
          <t>Equity risk premium</t>
        </is>
      </c>
      <c r="B3" s="11">
        <f>Dashboard!$B$39</f>
        <v/>
      </c>
    </row>
    <row r="4">
      <c r="A4" s="4" t="inlineStr">
        <is>
          <t>Beta (levered)</t>
        </is>
      </c>
      <c r="B4" s="32">
        <f>Dashboard!$B$40</f>
        <v/>
      </c>
    </row>
    <row r="5">
      <c r="A5" s="4" t="inlineStr">
        <is>
          <t>Country risk premium</t>
        </is>
      </c>
      <c r="B5" s="11">
        <f>Dashboard!$B$47</f>
        <v/>
      </c>
    </row>
    <row r="6">
      <c r="A6" s="4" t="inlineStr">
        <is>
          <t>Cost of equity (CAPM)</t>
        </is>
      </c>
      <c r="B6" s="25">
        <f>B2+B4*B3+B5</f>
        <v/>
      </c>
    </row>
    <row r="7">
      <c r="A7" s="4" t="inlineStr">
        <is>
          <t>Pre-tax cost of debt</t>
        </is>
      </c>
      <c r="B7" s="11">
        <f>Dashboard!$B$41</f>
        <v/>
      </c>
    </row>
    <row r="8">
      <c r="A8" s="4" t="inlineStr">
        <is>
          <t>Tax rate</t>
        </is>
      </c>
      <c r="B8" s="11">
        <f>Dashboard!$B$31</f>
        <v/>
      </c>
    </row>
    <row r="9">
      <c r="A9" s="4" t="inlineStr">
        <is>
          <t>After-tax cost of debt</t>
        </is>
      </c>
      <c r="B9" s="25">
        <f>B7*(1-B8)</f>
        <v/>
      </c>
    </row>
    <row r="10">
      <c r="A10" s="4" t="inlineStr">
        <is>
          <t>Market cap (E)</t>
        </is>
      </c>
      <c r="B10" s="33">
        <f>Dashboard!$B$48*Financials!AC17</f>
        <v/>
      </c>
    </row>
    <row r="11">
      <c r="A11" s="4" t="inlineStr">
        <is>
          <t>Total debt (D)</t>
        </is>
      </c>
      <c r="B11" s="33">
        <f>Financials!AC44</f>
        <v/>
      </c>
    </row>
    <row r="12">
      <c r="A12" s="4" t="inlineStr">
        <is>
          <t>Equity weight</t>
        </is>
      </c>
      <c r="B12" s="25">
        <f>B10/(B10+B11)</f>
        <v/>
      </c>
    </row>
    <row r="13">
      <c r="A13" s="4" t="inlineStr">
        <is>
          <t>Debt weight</t>
        </is>
      </c>
      <c r="B13" s="25">
        <f>B11/(B10+B11)</f>
        <v/>
      </c>
    </row>
    <row r="15">
      <c r="A15" s="3" t="inlineStr">
        <is>
          <t>WACC</t>
        </is>
      </c>
      <c r="B15" s="38">
        <f>B12*B6+B13*B9</f>
        <v/>
      </c>
    </row>
    <row r="17">
      <c r="A17" s="2" t="inlineStr">
        <is>
          <t>Yellow = edit. CAPM cost of equity (incl. country risk premium); market-value weights. Feeds Valuation!WACC.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52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</cols>
  <sheetData>
    <row r="1">
      <c r="A1" s="3" t="inlineStr">
        <is>
          <t>$M unless noted</t>
        </is>
      </c>
      <c r="B1" s="39" t="inlineStr">
        <is>
          <t>FY2021A</t>
        </is>
      </c>
      <c r="C1" s="39" t="inlineStr">
        <is>
          <t>FY2022A</t>
        </is>
      </c>
      <c r="D1" s="39" t="inlineStr">
        <is>
          <t>FY2023A</t>
        </is>
      </c>
      <c r="E1" s="39" t="inlineStr">
        <is>
          <t>FY2024A</t>
        </is>
      </c>
      <c r="F1" s="39" t="inlineStr">
        <is>
          <t>FY2025A</t>
        </is>
      </c>
      <c r="G1" s="40" t="inlineStr">
        <is>
          <t>FY2026E</t>
        </is>
      </c>
      <c r="H1" s="40" t="inlineStr">
        <is>
          <t>FY2027E</t>
        </is>
      </c>
      <c r="I1" s="40" t="inlineStr">
        <is>
          <t>FY2028E</t>
        </is>
      </c>
      <c r="J1" s="40" t="inlineStr">
        <is>
          <t>FY2029E</t>
        </is>
      </c>
      <c r="K1" s="40" t="inlineStr">
        <is>
          <t>FY2030E</t>
        </is>
      </c>
      <c r="L1" s="40" t="inlineStr">
        <is>
          <t>FY2031E</t>
        </is>
      </c>
      <c r="M1" s="40" t="inlineStr">
        <is>
          <t>FY2032E</t>
        </is>
      </c>
      <c r="N1" s="40" t="inlineStr">
        <is>
          <t>FY2033E</t>
        </is>
      </c>
      <c r="O1" s="40" t="inlineStr">
        <is>
          <t>FY2034E</t>
        </is>
      </c>
      <c r="P1" s="40" t="inlineStr">
        <is>
          <t>FY2035E</t>
        </is>
      </c>
    </row>
    <row r="3">
      <c r="A3" s="5" t="inlineStr">
        <is>
          <t xml:space="preserve">  REVENUE BY SEGMENT (yellow = growth assumption; actuals link to Financials)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</row>
    <row r="4">
      <c r="A4" s="4" t="inlineStr">
        <is>
          <t>Food and Sundries</t>
        </is>
      </c>
      <c r="B4" s="33">
        <f>SUM(Financials!H19:K19)</f>
        <v/>
      </c>
      <c r="C4" s="33">
        <f>SUM(Financials!L19:O19)</f>
        <v/>
      </c>
      <c r="D4" s="33">
        <f>SUM(Financials!P19:S19)</f>
        <v/>
      </c>
      <c r="E4" s="33">
        <f>SUM(Financials!T19:W19)</f>
        <v/>
      </c>
      <c r="F4" s="33">
        <f>SUM(Financials!X19:AA19)</f>
        <v/>
      </c>
      <c r="G4" s="41">
        <f>F4*(1+G5)</f>
        <v/>
      </c>
      <c r="H4" s="41">
        <f>G4*(1+H5)</f>
        <v/>
      </c>
      <c r="I4" s="41">
        <f>H4*(1+I5)</f>
        <v/>
      </c>
      <c r="J4" s="41">
        <f>I4*(1+J5)</f>
        <v/>
      </c>
      <c r="K4" s="41">
        <f>J4*(1+K5)</f>
        <v/>
      </c>
      <c r="L4" s="41">
        <f>K4*(1+L5)</f>
        <v/>
      </c>
      <c r="M4" s="41">
        <f>L4*(1+M5)</f>
        <v/>
      </c>
      <c r="N4" s="41">
        <f>M4*(1+N5)</f>
        <v/>
      </c>
      <c r="O4" s="41">
        <f>N4*(1+O5)</f>
        <v/>
      </c>
      <c r="P4" s="41">
        <f>O4*(1+P5)</f>
        <v/>
      </c>
    </row>
    <row r="5">
      <c r="A5" s="4" t="inlineStr">
        <is>
          <t xml:space="preserve">    growth % (convex fade; curvature from Dashboard)</t>
        </is>
      </c>
      <c r="C5" s="25">
        <f>IFERROR(C4/B4-1,"")</f>
        <v/>
      </c>
      <c r="D5" s="25">
        <f>IFERROR(D4/C4-1,"")</f>
        <v/>
      </c>
      <c r="E5" s="25">
        <f>IFERROR(E4/D4-1,"")</f>
        <v/>
      </c>
      <c r="F5" s="25">
        <f>IFERROR(F4/E4-1,"")</f>
        <v/>
      </c>
      <c r="G5" s="11">
        <f>Dashboard!$C$20+(Dashboard!$B$20-Dashboard!$C$20)*((9-0)/9)^Dashboard!$B$49</f>
        <v/>
      </c>
      <c r="H5" s="11">
        <f>Dashboard!$C$20+(Dashboard!$B$20-Dashboard!$C$20)*((9-1)/9)^Dashboard!$B$49</f>
        <v/>
      </c>
      <c r="I5" s="11">
        <f>Dashboard!$C$20+(Dashboard!$B$20-Dashboard!$C$20)*((9-2)/9)^Dashboard!$B$49</f>
        <v/>
      </c>
      <c r="J5" s="11">
        <f>Dashboard!$C$20+(Dashboard!$B$20-Dashboard!$C$20)*((9-3)/9)^Dashboard!$B$49</f>
        <v/>
      </c>
      <c r="K5" s="11">
        <f>Dashboard!$C$20+(Dashboard!$B$20-Dashboard!$C$20)*((9-4)/9)^Dashboard!$B$49</f>
        <v/>
      </c>
      <c r="L5" s="11">
        <f>Dashboard!$C$20+(Dashboard!$B$20-Dashboard!$C$20)*((9-5)/9)^Dashboard!$B$49</f>
        <v/>
      </c>
      <c r="M5" s="11">
        <f>Dashboard!$C$20+(Dashboard!$B$20-Dashboard!$C$20)*((9-6)/9)^Dashboard!$B$49</f>
        <v/>
      </c>
      <c r="N5" s="11">
        <f>Dashboard!$C$20+(Dashboard!$B$20-Dashboard!$C$20)*((9-7)/9)^Dashboard!$B$49</f>
        <v/>
      </c>
      <c r="O5" s="11">
        <f>Dashboard!$C$20+(Dashboard!$B$20-Dashboard!$C$20)*((9-8)/9)^Dashboard!$B$49</f>
        <v/>
      </c>
      <c r="P5" s="11">
        <f>Dashboard!$C$20+(Dashboard!$B$20-Dashboard!$C$20)*((9-9)/9)^Dashboard!$B$49</f>
        <v/>
      </c>
    </row>
    <row r="6">
      <c r="A6" s="4" t="inlineStr">
        <is>
          <t>Non-Foods</t>
        </is>
      </c>
      <c r="B6" s="33">
        <f>SUM(Financials!H22:K22)</f>
        <v/>
      </c>
      <c r="C6" s="33">
        <f>SUM(Financials!L22:O22)</f>
        <v/>
      </c>
      <c r="D6" s="33">
        <f>SUM(Financials!P22:S22)</f>
        <v/>
      </c>
      <c r="E6" s="33">
        <f>SUM(Financials!T22:W22)</f>
        <v/>
      </c>
      <c r="F6" s="33">
        <f>SUM(Financials!X22:AA22)</f>
        <v/>
      </c>
      <c r="G6" s="41">
        <f>F6*(1+G7)</f>
        <v/>
      </c>
      <c r="H6" s="41">
        <f>G6*(1+H7)</f>
        <v/>
      </c>
      <c r="I6" s="41">
        <f>H6*(1+I7)</f>
        <v/>
      </c>
      <c r="J6" s="41">
        <f>I6*(1+J7)</f>
        <v/>
      </c>
      <c r="K6" s="41">
        <f>J6*(1+K7)</f>
        <v/>
      </c>
      <c r="L6" s="41">
        <f>K6*(1+L7)</f>
        <v/>
      </c>
      <c r="M6" s="41">
        <f>L6*(1+M7)</f>
        <v/>
      </c>
      <c r="N6" s="41">
        <f>M6*(1+N7)</f>
        <v/>
      </c>
      <c r="O6" s="41">
        <f>N6*(1+O7)</f>
        <v/>
      </c>
      <c r="P6" s="41">
        <f>O6*(1+P7)</f>
        <v/>
      </c>
    </row>
    <row r="7">
      <c r="A7" s="4" t="inlineStr">
        <is>
          <t xml:space="preserve">    growth % (convex fade; curvature from Dashboard)</t>
        </is>
      </c>
      <c r="C7" s="25">
        <f>IFERROR(C6/B6-1,"")</f>
        <v/>
      </c>
      <c r="D7" s="25">
        <f>IFERROR(D6/C6-1,"")</f>
        <v/>
      </c>
      <c r="E7" s="25">
        <f>IFERROR(E6/D6-1,"")</f>
        <v/>
      </c>
      <c r="F7" s="25">
        <f>IFERROR(F6/E6-1,"")</f>
        <v/>
      </c>
      <c r="G7" s="11">
        <f>Dashboard!$C$21+(Dashboard!$B$21-Dashboard!$C$21)*((9-0)/9)^Dashboard!$B$49</f>
        <v/>
      </c>
      <c r="H7" s="11">
        <f>Dashboard!$C$21+(Dashboard!$B$21-Dashboard!$C$21)*((9-1)/9)^Dashboard!$B$49</f>
        <v/>
      </c>
      <c r="I7" s="11">
        <f>Dashboard!$C$21+(Dashboard!$B$21-Dashboard!$C$21)*((9-2)/9)^Dashboard!$B$49</f>
        <v/>
      </c>
      <c r="J7" s="11">
        <f>Dashboard!$C$21+(Dashboard!$B$21-Dashboard!$C$21)*((9-3)/9)^Dashboard!$B$49</f>
        <v/>
      </c>
      <c r="K7" s="11">
        <f>Dashboard!$C$21+(Dashboard!$B$21-Dashboard!$C$21)*((9-4)/9)^Dashboard!$B$49</f>
        <v/>
      </c>
      <c r="L7" s="11">
        <f>Dashboard!$C$21+(Dashboard!$B$21-Dashboard!$C$21)*((9-5)/9)^Dashboard!$B$49</f>
        <v/>
      </c>
      <c r="M7" s="11">
        <f>Dashboard!$C$21+(Dashboard!$B$21-Dashboard!$C$21)*((9-6)/9)^Dashboard!$B$49</f>
        <v/>
      </c>
      <c r="N7" s="11">
        <f>Dashboard!$C$21+(Dashboard!$B$21-Dashboard!$C$21)*((9-7)/9)^Dashboard!$B$49</f>
        <v/>
      </c>
      <c r="O7" s="11">
        <f>Dashboard!$C$21+(Dashboard!$B$21-Dashboard!$C$21)*((9-8)/9)^Dashboard!$B$49</f>
        <v/>
      </c>
      <c r="P7" s="11">
        <f>Dashboard!$C$21+(Dashboard!$B$21-Dashboard!$C$21)*((9-9)/9)^Dashboard!$B$49</f>
        <v/>
      </c>
    </row>
    <row r="8">
      <c r="A8" s="4" t="inlineStr">
        <is>
          <t>Other</t>
        </is>
      </c>
      <c r="B8" s="33">
        <f>SUM(Financials!H25:K25)</f>
        <v/>
      </c>
      <c r="C8" s="33">
        <f>SUM(Financials!L25:O25)</f>
        <v/>
      </c>
      <c r="D8" s="33">
        <f>SUM(Financials!P25:S25)</f>
        <v/>
      </c>
      <c r="E8" s="33">
        <f>SUM(Financials!T25:W25)</f>
        <v/>
      </c>
      <c r="F8" s="33">
        <f>SUM(Financials!X25:AA25)</f>
        <v/>
      </c>
      <c r="G8" s="41">
        <f>F8*(1+G9)</f>
        <v/>
      </c>
      <c r="H8" s="41">
        <f>G8*(1+H9)</f>
        <v/>
      </c>
      <c r="I8" s="41">
        <f>H8*(1+I9)</f>
        <v/>
      </c>
      <c r="J8" s="41">
        <f>I8*(1+J9)</f>
        <v/>
      </c>
      <c r="K8" s="41">
        <f>J8*(1+K9)</f>
        <v/>
      </c>
      <c r="L8" s="41">
        <f>K8*(1+L9)</f>
        <v/>
      </c>
      <c r="M8" s="41">
        <f>L8*(1+M9)</f>
        <v/>
      </c>
      <c r="N8" s="41">
        <f>M8*(1+N9)</f>
        <v/>
      </c>
      <c r="O8" s="41">
        <f>N8*(1+O9)</f>
        <v/>
      </c>
      <c r="P8" s="41">
        <f>O8*(1+P9)</f>
        <v/>
      </c>
    </row>
    <row r="9">
      <c r="A9" s="4" t="inlineStr">
        <is>
          <t xml:space="preserve">    growth % (convex fade; curvature from Dashboard)</t>
        </is>
      </c>
      <c r="C9" s="25">
        <f>IFERROR(C8/B8-1,"")</f>
        <v/>
      </c>
      <c r="D9" s="25">
        <f>IFERROR(D8/C8-1,"")</f>
        <v/>
      </c>
      <c r="E9" s="25">
        <f>IFERROR(E8/D8-1,"")</f>
        <v/>
      </c>
      <c r="F9" s="25">
        <f>IFERROR(F8/E8-1,"")</f>
        <v/>
      </c>
      <c r="G9" s="11">
        <f>Dashboard!$C$22+(Dashboard!$B$22-Dashboard!$C$22)*((9-0)/9)^Dashboard!$B$49</f>
        <v/>
      </c>
      <c r="H9" s="11">
        <f>Dashboard!$C$22+(Dashboard!$B$22-Dashboard!$C$22)*((9-1)/9)^Dashboard!$B$49</f>
        <v/>
      </c>
      <c r="I9" s="11">
        <f>Dashboard!$C$22+(Dashboard!$B$22-Dashboard!$C$22)*((9-2)/9)^Dashboard!$B$49</f>
        <v/>
      </c>
      <c r="J9" s="11">
        <f>Dashboard!$C$22+(Dashboard!$B$22-Dashboard!$C$22)*((9-3)/9)^Dashboard!$B$49</f>
        <v/>
      </c>
      <c r="K9" s="11">
        <f>Dashboard!$C$22+(Dashboard!$B$22-Dashboard!$C$22)*((9-4)/9)^Dashboard!$B$49</f>
        <v/>
      </c>
      <c r="L9" s="11">
        <f>Dashboard!$C$22+(Dashboard!$B$22-Dashboard!$C$22)*((9-5)/9)^Dashboard!$B$49</f>
        <v/>
      </c>
      <c r="M9" s="11">
        <f>Dashboard!$C$22+(Dashboard!$B$22-Dashboard!$C$22)*((9-6)/9)^Dashboard!$B$49</f>
        <v/>
      </c>
      <c r="N9" s="11">
        <f>Dashboard!$C$22+(Dashboard!$B$22-Dashboard!$C$22)*((9-7)/9)^Dashboard!$B$49</f>
        <v/>
      </c>
      <c r="O9" s="11">
        <f>Dashboard!$C$22+(Dashboard!$B$22-Dashboard!$C$22)*((9-8)/9)^Dashboard!$B$49</f>
        <v/>
      </c>
      <c r="P9" s="11">
        <f>Dashboard!$C$22+(Dashboard!$B$22-Dashboard!$C$22)*((9-9)/9)^Dashboard!$B$49</f>
        <v/>
      </c>
    </row>
    <row r="10">
      <c r="A10" s="4" t="inlineStr">
        <is>
          <t>Fresh Food</t>
        </is>
      </c>
      <c r="B10" s="33">
        <f>SUM(Financials!H28:K28)</f>
        <v/>
      </c>
      <c r="C10" s="33">
        <f>SUM(Financials!L28:O28)</f>
        <v/>
      </c>
      <c r="D10" s="33">
        <f>SUM(Financials!P28:S28)</f>
        <v/>
      </c>
      <c r="E10" s="33">
        <f>SUM(Financials!T28:W28)</f>
        <v/>
      </c>
      <c r="F10" s="33">
        <f>SUM(Financials!X28:AA28)</f>
        <v/>
      </c>
      <c r="G10" s="41">
        <f>F10*(1+G11)</f>
        <v/>
      </c>
      <c r="H10" s="41">
        <f>G10*(1+H11)</f>
        <v/>
      </c>
      <c r="I10" s="41">
        <f>H10*(1+I11)</f>
        <v/>
      </c>
      <c r="J10" s="41">
        <f>I10*(1+J11)</f>
        <v/>
      </c>
      <c r="K10" s="41">
        <f>J10*(1+K11)</f>
        <v/>
      </c>
      <c r="L10" s="41">
        <f>K10*(1+L11)</f>
        <v/>
      </c>
      <c r="M10" s="41">
        <f>L10*(1+M11)</f>
        <v/>
      </c>
      <c r="N10" s="41">
        <f>M10*(1+N11)</f>
        <v/>
      </c>
      <c r="O10" s="41">
        <f>N10*(1+O11)</f>
        <v/>
      </c>
      <c r="P10" s="41">
        <f>O10*(1+P11)</f>
        <v/>
      </c>
    </row>
    <row r="11">
      <c r="A11" s="4" t="inlineStr">
        <is>
          <t xml:space="preserve">    growth % (convex fade; curvature from Dashboard)</t>
        </is>
      </c>
      <c r="C11" s="25">
        <f>IFERROR(C10/B10-1,"")</f>
        <v/>
      </c>
      <c r="D11" s="25">
        <f>IFERROR(D10/C10-1,"")</f>
        <v/>
      </c>
      <c r="E11" s="25">
        <f>IFERROR(E10/D10-1,"")</f>
        <v/>
      </c>
      <c r="F11" s="25">
        <f>IFERROR(F10/E10-1,"")</f>
        <v/>
      </c>
      <c r="G11" s="11">
        <f>Dashboard!$C$23+(Dashboard!$B$23-Dashboard!$C$23)*((9-0)/9)^Dashboard!$B$49</f>
        <v/>
      </c>
      <c r="H11" s="11">
        <f>Dashboard!$C$23+(Dashboard!$B$23-Dashboard!$C$23)*((9-1)/9)^Dashboard!$B$49</f>
        <v/>
      </c>
      <c r="I11" s="11">
        <f>Dashboard!$C$23+(Dashboard!$B$23-Dashboard!$C$23)*((9-2)/9)^Dashboard!$B$49</f>
        <v/>
      </c>
      <c r="J11" s="11">
        <f>Dashboard!$C$23+(Dashboard!$B$23-Dashboard!$C$23)*((9-3)/9)^Dashboard!$B$49</f>
        <v/>
      </c>
      <c r="K11" s="11">
        <f>Dashboard!$C$23+(Dashboard!$B$23-Dashboard!$C$23)*((9-4)/9)^Dashboard!$B$49</f>
        <v/>
      </c>
      <c r="L11" s="11">
        <f>Dashboard!$C$23+(Dashboard!$B$23-Dashboard!$C$23)*((9-5)/9)^Dashboard!$B$49</f>
        <v/>
      </c>
      <c r="M11" s="11">
        <f>Dashboard!$C$23+(Dashboard!$B$23-Dashboard!$C$23)*((9-6)/9)^Dashboard!$B$49</f>
        <v/>
      </c>
      <c r="N11" s="11">
        <f>Dashboard!$C$23+(Dashboard!$B$23-Dashboard!$C$23)*((9-7)/9)^Dashboard!$B$49</f>
        <v/>
      </c>
      <c r="O11" s="11">
        <f>Dashboard!$C$23+(Dashboard!$B$23-Dashboard!$C$23)*((9-8)/9)^Dashboard!$B$49</f>
        <v/>
      </c>
      <c r="P11" s="11">
        <f>Dashboard!$C$23+(Dashboard!$B$23-Dashboard!$C$23)*((9-9)/9)^Dashboard!$B$49</f>
        <v/>
      </c>
    </row>
    <row r="12">
      <c r="A12" s="4" t="inlineStr">
        <is>
          <t>Membership</t>
        </is>
      </c>
      <c r="B12" s="33">
        <f>SUM(Financials!H31:K31)</f>
        <v/>
      </c>
      <c r="C12" s="33">
        <f>SUM(Financials!L31:O31)</f>
        <v/>
      </c>
      <c r="D12" s="33">
        <f>SUM(Financials!P31:S31)</f>
        <v/>
      </c>
      <c r="E12" s="33">
        <f>SUM(Financials!T31:W31)</f>
        <v/>
      </c>
      <c r="F12" s="33">
        <f>SUM(Financials!X31:AA31)</f>
        <v/>
      </c>
      <c r="G12" s="41">
        <f>F12*(1+G13)</f>
        <v/>
      </c>
      <c r="H12" s="41">
        <f>G12*(1+H13)</f>
        <v/>
      </c>
      <c r="I12" s="41">
        <f>H12*(1+I13)</f>
        <v/>
      </c>
      <c r="J12" s="41">
        <f>I12*(1+J13)</f>
        <v/>
      </c>
      <c r="K12" s="41">
        <f>J12*(1+K13)</f>
        <v/>
      </c>
      <c r="L12" s="41">
        <f>K12*(1+L13)</f>
        <v/>
      </c>
      <c r="M12" s="41">
        <f>L12*(1+M13)</f>
        <v/>
      </c>
      <c r="N12" s="41">
        <f>M12*(1+N13)</f>
        <v/>
      </c>
      <c r="O12" s="41">
        <f>N12*(1+O13)</f>
        <v/>
      </c>
      <c r="P12" s="41">
        <f>O12*(1+P13)</f>
        <v/>
      </c>
    </row>
    <row r="13">
      <c r="A13" s="4" t="inlineStr">
        <is>
          <t xml:space="preserve">    growth % (convex fade; curvature from Dashboard)</t>
        </is>
      </c>
      <c r="C13" s="25">
        <f>IFERROR(C12/B12-1,"")</f>
        <v/>
      </c>
      <c r="D13" s="25">
        <f>IFERROR(D12/C12-1,"")</f>
        <v/>
      </c>
      <c r="E13" s="25">
        <f>IFERROR(E12/D12-1,"")</f>
        <v/>
      </c>
      <c r="F13" s="25">
        <f>IFERROR(F12/E12-1,"")</f>
        <v/>
      </c>
      <c r="G13" s="11">
        <f>Dashboard!$C$24+(Dashboard!$B$24-Dashboard!$C$24)*((9-0)/9)^Dashboard!$B$49</f>
        <v/>
      </c>
      <c r="H13" s="11">
        <f>Dashboard!$C$24+(Dashboard!$B$24-Dashboard!$C$24)*((9-1)/9)^Dashboard!$B$49</f>
        <v/>
      </c>
      <c r="I13" s="11">
        <f>Dashboard!$C$24+(Dashboard!$B$24-Dashboard!$C$24)*((9-2)/9)^Dashboard!$B$49</f>
        <v/>
      </c>
      <c r="J13" s="11">
        <f>Dashboard!$C$24+(Dashboard!$B$24-Dashboard!$C$24)*((9-3)/9)^Dashboard!$B$49</f>
        <v/>
      </c>
      <c r="K13" s="11">
        <f>Dashboard!$C$24+(Dashboard!$B$24-Dashboard!$C$24)*((9-4)/9)^Dashboard!$B$49</f>
        <v/>
      </c>
      <c r="L13" s="11">
        <f>Dashboard!$C$24+(Dashboard!$B$24-Dashboard!$C$24)*((9-5)/9)^Dashboard!$B$49</f>
        <v/>
      </c>
      <c r="M13" s="11">
        <f>Dashboard!$C$24+(Dashboard!$B$24-Dashboard!$C$24)*((9-6)/9)^Dashboard!$B$49</f>
        <v/>
      </c>
      <c r="N13" s="11">
        <f>Dashboard!$C$24+(Dashboard!$B$24-Dashboard!$C$24)*((9-7)/9)^Dashboard!$B$49</f>
        <v/>
      </c>
      <c r="O13" s="11">
        <f>Dashboard!$C$24+(Dashboard!$B$24-Dashboard!$C$24)*((9-8)/9)^Dashboard!$B$49</f>
        <v/>
      </c>
      <c r="P13" s="11">
        <f>Dashboard!$C$24+(Dashboard!$B$24-Dashboard!$C$24)*((9-9)/9)^Dashboard!$B$49</f>
        <v/>
      </c>
    </row>
    <row r="14">
      <c r="A14" s="3" t="inlineStr">
        <is>
          <t>Total revenue</t>
        </is>
      </c>
      <c r="B14" s="42">
        <f>B4+B6+B8+B10+B12</f>
        <v/>
      </c>
      <c r="C14" s="42">
        <f>C4+C6+C8+C10+C12</f>
        <v/>
      </c>
      <c r="D14" s="42">
        <f>D4+D6+D8+D10+D12</f>
        <v/>
      </c>
      <c r="E14" s="42">
        <f>E4+E6+E8+E10+E12</f>
        <v/>
      </c>
      <c r="F14" s="42">
        <f>F4+F6+F8+F10+F12</f>
        <v/>
      </c>
      <c r="G14" s="42">
        <f>G4+G6+G8+G10+G12</f>
        <v/>
      </c>
      <c r="H14" s="42">
        <f>H4+H6+H8+H10+H12</f>
        <v/>
      </c>
      <c r="I14" s="42">
        <f>I4+I6+I8+I10+I12</f>
        <v/>
      </c>
      <c r="J14" s="42">
        <f>J4+J6+J8+J10+J12</f>
        <v/>
      </c>
      <c r="K14" s="42">
        <f>K4+K6+K8+K10+K12</f>
        <v/>
      </c>
      <c r="L14" s="42">
        <f>L4+L6+L8+L10+L12</f>
        <v/>
      </c>
      <c r="M14" s="42">
        <f>M4+M6+M8+M10+M12</f>
        <v/>
      </c>
      <c r="N14" s="42">
        <f>N4+N6+N8+N10+N12</f>
        <v/>
      </c>
      <c r="O14" s="42">
        <f>O4+O6+O8+O10+O12</f>
        <v/>
      </c>
      <c r="P14" s="42">
        <f>P4+P6+P8+P10+P12</f>
        <v/>
      </c>
    </row>
    <row r="15">
      <c r="A15" s="4" t="inlineStr">
        <is>
          <t xml:space="preserve">    growth %</t>
        </is>
      </c>
      <c r="C15" s="25">
        <f>IFERROR(C14/B14-1,"")</f>
        <v/>
      </c>
      <c r="D15" s="25">
        <f>IFERROR(D14/C14-1,"")</f>
        <v/>
      </c>
      <c r="E15" s="25">
        <f>IFERROR(E14/D14-1,"")</f>
        <v/>
      </c>
      <c r="F15" s="25">
        <f>IFERROR(F14/E14-1,"")</f>
        <v/>
      </c>
      <c r="G15" s="25">
        <f>IFERROR(G14/F14-1,"")</f>
        <v/>
      </c>
      <c r="H15" s="25">
        <f>IFERROR(H14/G14-1,"")</f>
        <v/>
      </c>
      <c r="I15" s="25">
        <f>IFERROR(I14/H14-1,"")</f>
        <v/>
      </c>
      <c r="J15" s="25">
        <f>IFERROR(J14/I14-1,"")</f>
        <v/>
      </c>
      <c r="K15" s="25">
        <f>IFERROR(K14/J14-1,"")</f>
        <v/>
      </c>
      <c r="L15" s="25">
        <f>IFERROR(L14/K14-1,"")</f>
        <v/>
      </c>
      <c r="M15" s="25">
        <f>IFERROR(M14/L14-1,"")</f>
        <v/>
      </c>
      <c r="N15" s="25">
        <f>IFERROR(N14/M14-1,"")</f>
        <v/>
      </c>
      <c r="O15" s="25">
        <f>IFERROR(O14/N14-1,"")</f>
        <v/>
      </c>
      <c r="P15" s="25">
        <f>IFERROR(P14/O14-1,"")</f>
        <v/>
      </c>
    </row>
    <row r="17">
      <c r="A17" s="5" t="inlineStr">
        <is>
          <t xml:space="preserve">  COST STRUCTURE (yellow = % of revenue)</t>
        </is>
      </c>
      <c r="B17" s="6" t="n"/>
      <c r="C17" s="6" t="n"/>
      <c r="D17" s="6" t="n"/>
      <c r="E17" s="6" t="n"/>
      <c r="F17" s="6" t="n"/>
      <c r="G17" s="6" t="n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</row>
    <row r="18">
      <c r="A18" s="4" t="inlineStr">
        <is>
          <t>Cost of revenue</t>
        </is>
      </c>
      <c r="B18" s="33">
        <f>SUM(Financials!H5:K5)</f>
        <v/>
      </c>
      <c r="C18" s="33">
        <f>SUM(Financials!L5:O5)</f>
        <v/>
      </c>
      <c r="D18" s="33">
        <f>SUM(Financials!P5:S5)</f>
        <v/>
      </c>
      <c r="E18" s="33">
        <f>SUM(Financials!T5:W5)</f>
        <v/>
      </c>
      <c r="F18" s="33">
        <f>SUM(Financials!X5:AA5)</f>
        <v/>
      </c>
      <c r="G18" s="41">
        <f>G14*G19</f>
        <v/>
      </c>
      <c r="H18" s="41">
        <f>H14*H19</f>
        <v/>
      </c>
      <c r="I18" s="41">
        <f>I14*I19</f>
        <v/>
      </c>
      <c r="J18" s="41">
        <f>J14*J19</f>
        <v/>
      </c>
      <c r="K18" s="41">
        <f>K14*K19</f>
        <v/>
      </c>
      <c r="L18" s="41">
        <f>L14*L19</f>
        <v/>
      </c>
      <c r="M18" s="41">
        <f>M14*M19</f>
        <v/>
      </c>
      <c r="N18" s="41">
        <f>N14*N19</f>
        <v/>
      </c>
      <c r="O18" s="41">
        <f>O14*O19</f>
        <v/>
      </c>
      <c r="P18" s="41">
        <f>P14*P19</f>
        <v/>
      </c>
    </row>
    <row r="19">
      <c r="A19" s="4" t="inlineStr">
        <is>
          <t xml:space="preserve">    % of revenue</t>
        </is>
      </c>
      <c r="B19" s="25">
        <f>IFERROR(B18/B14,"")</f>
        <v/>
      </c>
      <c r="C19" s="25">
        <f>IFERROR(C18/C14,"")</f>
        <v/>
      </c>
      <c r="D19" s="25">
        <f>IFERROR(D18/D14,"")</f>
        <v/>
      </c>
      <c r="E19" s="25">
        <f>IFERROR(E18/E14,"")</f>
        <v/>
      </c>
      <c r="F19" s="25">
        <f>IFERROR(F18/F14,"")</f>
        <v/>
      </c>
      <c r="G19" s="15" t="n">
        <v>0.8715679328573764</v>
      </c>
      <c r="H19" s="15" t="n">
        <v>0.8715679328573764</v>
      </c>
      <c r="I19" s="15" t="n">
        <v>0.8715679328573764</v>
      </c>
      <c r="J19" s="15" t="n">
        <v>0.8715679328573764</v>
      </c>
      <c r="K19" s="15" t="n">
        <v>0.8715679328573764</v>
      </c>
      <c r="L19" s="15" t="n">
        <v>0.8715679328573764</v>
      </c>
      <c r="M19" s="15" t="n">
        <v>0.8715679328573764</v>
      </c>
      <c r="N19" s="15" t="n">
        <v>0.8715679328573764</v>
      </c>
      <c r="O19" s="15" t="n">
        <v>0.8715679328573764</v>
      </c>
      <c r="P19" s="15" t="n">
        <v>0.8715679328573764</v>
      </c>
    </row>
    <row r="20">
      <c r="A20" s="4" t="inlineStr">
        <is>
          <t>R&amp;D / Technology</t>
        </is>
      </c>
      <c r="B20" s="33">
        <f>SUM(Financials!H7:K7)</f>
        <v/>
      </c>
      <c r="C20" s="33">
        <f>SUM(Financials!L7:O7)</f>
        <v/>
      </c>
      <c r="D20" s="33">
        <f>SUM(Financials!P7:S7)</f>
        <v/>
      </c>
      <c r="E20" s="33">
        <f>SUM(Financials!T7:W7)</f>
        <v/>
      </c>
      <c r="F20" s="33">
        <f>SUM(Financials!X7:AA7)</f>
        <v/>
      </c>
      <c r="G20" s="41">
        <f>G14*G21</f>
        <v/>
      </c>
      <c r="H20" s="41">
        <f>H14*H21</f>
        <v/>
      </c>
      <c r="I20" s="41">
        <f>I14*I21</f>
        <v/>
      </c>
      <c r="J20" s="41">
        <f>J14*J21</f>
        <v/>
      </c>
      <c r="K20" s="41">
        <f>K14*K21</f>
        <v/>
      </c>
      <c r="L20" s="41">
        <f>L14*L21</f>
        <v/>
      </c>
      <c r="M20" s="41">
        <f>M14*M21</f>
        <v/>
      </c>
      <c r="N20" s="41">
        <f>N14*N21</f>
        <v/>
      </c>
      <c r="O20" s="41">
        <f>O14*O21</f>
        <v/>
      </c>
      <c r="P20" s="41">
        <f>P14*P21</f>
        <v/>
      </c>
    </row>
    <row r="21">
      <c r="A21" s="4" t="inlineStr">
        <is>
          <t xml:space="preserve">    % of revenue</t>
        </is>
      </c>
      <c r="B21" s="25">
        <f>IFERROR(B20/B14,"")</f>
        <v/>
      </c>
      <c r="C21" s="25">
        <f>IFERROR(C20/C14,"")</f>
        <v/>
      </c>
      <c r="D21" s="25">
        <f>IFERROR(D20/D14,"")</f>
        <v/>
      </c>
      <c r="E21" s="25">
        <f>IFERROR(E20/E14,"")</f>
        <v/>
      </c>
      <c r="F21" s="25">
        <f>IFERROR(F20/F14,"")</f>
        <v/>
      </c>
      <c r="G21" s="15" t="n">
        <v>0</v>
      </c>
      <c r="H21" s="15" t="n">
        <v>0</v>
      </c>
      <c r="I21" s="15" t="n">
        <v>0</v>
      </c>
      <c r="J21" s="15" t="n">
        <v>0</v>
      </c>
      <c r="K21" s="15" t="n">
        <v>0</v>
      </c>
      <c r="L21" s="15" t="n">
        <v>0</v>
      </c>
      <c r="M21" s="15" t="n">
        <v>0</v>
      </c>
      <c r="N21" s="15" t="n">
        <v>0</v>
      </c>
      <c r="O21" s="15" t="n">
        <v>0</v>
      </c>
      <c r="P21" s="15" t="n">
        <v>0</v>
      </c>
    </row>
    <row r="22">
      <c r="A22" s="4" t="inlineStr">
        <is>
          <t>SG&amp;A</t>
        </is>
      </c>
      <c r="B22" s="33">
        <f>SUM(Financials!H9:K9)</f>
        <v/>
      </c>
      <c r="C22" s="33">
        <f>SUM(Financials!L9:O9)</f>
        <v/>
      </c>
      <c r="D22" s="33">
        <f>SUM(Financials!P9:S9)</f>
        <v/>
      </c>
      <c r="E22" s="33">
        <f>SUM(Financials!T9:W9)</f>
        <v/>
      </c>
      <c r="F22" s="33">
        <f>SUM(Financials!X9:AA9)</f>
        <v/>
      </c>
      <c r="G22" s="41">
        <f>G14*G23</f>
        <v/>
      </c>
      <c r="H22" s="41">
        <f>H14*H23</f>
        <v/>
      </c>
      <c r="I22" s="41">
        <f>I14*I23</f>
        <v/>
      </c>
      <c r="J22" s="41">
        <f>J14*J23</f>
        <v/>
      </c>
      <c r="K22" s="41">
        <f>K14*K23</f>
        <v/>
      </c>
      <c r="L22" s="41">
        <f>L14*L23</f>
        <v/>
      </c>
      <c r="M22" s="41">
        <f>M14*M23</f>
        <v/>
      </c>
      <c r="N22" s="41">
        <f>N14*N23</f>
        <v/>
      </c>
      <c r="O22" s="41">
        <f>O14*O23</f>
        <v/>
      </c>
      <c r="P22" s="41">
        <f>P14*P23</f>
        <v/>
      </c>
    </row>
    <row r="23">
      <c r="A23" s="4" t="inlineStr">
        <is>
          <t xml:space="preserve">    % of revenue</t>
        </is>
      </c>
      <c r="B23" s="25">
        <f>IFERROR(B22/B14,"")</f>
        <v/>
      </c>
      <c r="C23" s="25">
        <f>IFERROR(C22/C14,"")</f>
        <v/>
      </c>
      <c r="D23" s="25">
        <f>IFERROR(D22/D14,"")</f>
        <v/>
      </c>
      <c r="E23" s="25">
        <f>IFERROR(E22/E14,"")</f>
        <v/>
      </c>
      <c r="F23" s="25">
        <f>IFERROR(F22/F14,"")</f>
        <v/>
      </c>
      <c r="G23" s="15" t="n">
        <v>0.09070794048722002</v>
      </c>
      <c r="H23" s="15" t="n">
        <v>0.09070794048722002</v>
      </c>
      <c r="I23" s="15" t="n">
        <v>0.09070794048722002</v>
      </c>
      <c r="J23" s="15" t="n">
        <v>0.09070794048722002</v>
      </c>
      <c r="K23" s="15" t="n">
        <v>0.09070794048722002</v>
      </c>
      <c r="L23" s="15" t="n">
        <v>0.09070794048722002</v>
      </c>
      <c r="M23" s="15" t="n">
        <v>0.09070794048722002</v>
      </c>
      <c r="N23" s="15" t="n">
        <v>0.09070794048722002</v>
      </c>
      <c r="O23" s="15" t="n">
        <v>0.09070794048722002</v>
      </c>
      <c r="P23" s="15" t="n">
        <v>0.09070794048722002</v>
      </c>
    </row>
    <row r="24">
      <c r="A24" s="4" t="inlineStr">
        <is>
          <t>Other opex (fulfilment, etc.)</t>
        </is>
      </c>
      <c r="B24" s="33">
        <f>B14-(B18+B20+B22)-SUM(Financials!H13:K13)</f>
        <v/>
      </c>
      <c r="C24" s="33">
        <f>C14-(C18+C20+C22)-SUM(Financials!L13:O13)</f>
        <v/>
      </c>
      <c r="D24" s="33">
        <f>D14-(D18+D20+D22)-SUM(Financials!P13:S13)</f>
        <v/>
      </c>
      <c r="E24" s="33">
        <f>E14-(E18+E20+E22)-SUM(Financials!T13:W13)</f>
        <v/>
      </c>
      <c r="F24" s="33">
        <f>F14-(F18+F20+F22)-SUM(Financials!X13:AA13)</f>
        <v/>
      </c>
      <c r="G24" s="33">
        <f>G14*(1-(Dashboard!$B$29+(Dashboard!$B$30-Dashboard!$B$29)*MIN(1,0/4)))-(G18+G20+G22)</f>
        <v/>
      </c>
      <c r="H24" s="33">
        <f>H14*(1-(Dashboard!$B$29+(Dashboard!$B$30-Dashboard!$B$29)*MIN(1,1/4)))-(H18+H20+H22)</f>
        <v/>
      </c>
      <c r="I24" s="33">
        <f>I14*(1-(Dashboard!$B$29+(Dashboard!$B$30-Dashboard!$B$29)*MIN(1,2/4)))-(I18+I20+I22)</f>
        <v/>
      </c>
      <c r="J24" s="33">
        <f>J14*(1-(Dashboard!$B$29+(Dashboard!$B$30-Dashboard!$B$29)*MIN(1,3/4)))-(J18+J20+J22)</f>
        <v/>
      </c>
      <c r="K24" s="33">
        <f>K14*(1-(Dashboard!$B$29+(Dashboard!$B$30-Dashboard!$B$29)*MIN(1,4/4)))-(K18+K20+K22)</f>
        <v/>
      </c>
      <c r="L24" s="33">
        <f>L14*(1-(Dashboard!$B$29+(Dashboard!$B$30-Dashboard!$B$29)*MIN(1,5/4)))-(L18+L20+L22)</f>
        <v/>
      </c>
      <c r="M24" s="33">
        <f>M14*(1-(Dashboard!$B$29+(Dashboard!$B$30-Dashboard!$B$29)*MIN(1,6/4)))-(M18+M20+M22)</f>
        <v/>
      </c>
      <c r="N24" s="33">
        <f>N14*(1-(Dashboard!$B$29+(Dashboard!$B$30-Dashboard!$B$29)*MIN(1,7/4)))-(N18+N20+N22)</f>
        <v/>
      </c>
      <c r="O24" s="33">
        <f>O14*(1-(Dashboard!$B$29+(Dashboard!$B$30-Dashboard!$B$29)*MIN(1,8/4)))-(O18+O20+O22)</f>
        <v/>
      </c>
      <c r="P24" s="33">
        <f>P14*(1-(Dashboard!$B$29+(Dashboard!$B$30-Dashboard!$B$29)*MIN(1,9/4)))-(P18+P20+P22)</f>
        <v/>
      </c>
    </row>
    <row r="25">
      <c r="A25" s="4" t="inlineStr">
        <is>
          <t xml:space="preserve">    % of revenue</t>
        </is>
      </c>
      <c r="B25" s="25">
        <f>IFERROR(B24/B14,"")</f>
        <v/>
      </c>
      <c r="C25" s="25">
        <f>IFERROR(C24/C14,"")</f>
        <v/>
      </c>
      <c r="D25" s="25">
        <f>IFERROR(D24/D14,"")</f>
        <v/>
      </c>
      <c r="E25" s="25">
        <f>IFERROR(E24/E14,"")</f>
        <v/>
      </c>
      <c r="F25" s="25">
        <f>IFERROR(F24/F14,"")</f>
        <v/>
      </c>
      <c r="G25" s="25">
        <f>IFERROR(G24/G14,"")</f>
        <v/>
      </c>
      <c r="H25" s="25">
        <f>IFERROR(H24/H14,"")</f>
        <v/>
      </c>
      <c r="I25" s="25">
        <f>IFERROR(I24/I14,"")</f>
        <v/>
      </c>
      <c r="J25" s="25">
        <f>IFERROR(J24/J14,"")</f>
        <v/>
      </c>
      <c r="K25" s="25">
        <f>IFERROR(K24/K14,"")</f>
        <v/>
      </c>
      <c r="L25" s="25">
        <f>IFERROR(L24/L14,"")</f>
        <v/>
      </c>
      <c r="M25" s="25">
        <f>IFERROR(M24/M14,"")</f>
        <v/>
      </c>
      <c r="N25" s="25">
        <f>IFERROR(N24/N14,"")</f>
        <v/>
      </c>
      <c r="O25" s="25">
        <f>IFERROR(O24/O14,"")</f>
        <v/>
      </c>
      <c r="P25" s="25">
        <f>IFERROR(P24/P14,"")</f>
        <v/>
      </c>
    </row>
    <row r="27">
      <c r="A27" s="3" t="inlineStr">
        <is>
          <t>Operating income (EBIT)</t>
        </is>
      </c>
      <c r="B27" s="42">
        <f>B14-(B18+B20+B22)-B24</f>
        <v/>
      </c>
      <c r="C27" s="42">
        <f>C14-(C18+C20+C22)-C24</f>
        <v/>
      </c>
      <c r="D27" s="42">
        <f>D14-(D18+D20+D22)-D24</f>
        <v/>
      </c>
      <c r="E27" s="42">
        <f>E14-(E18+E20+E22)-E24</f>
        <v/>
      </c>
      <c r="F27" s="42">
        <f>F14-(F18+F20+F22)-F24</f>
        <v/>
      </c>
      <c r="G27" s="42">
        <f>G14-(G18+G20+G22)-G24</f>
        <v/>
      </c>
      <c r="H27" s="42">
        <f>H14-(H18+H20+H22)-H24</f>
        <v/>
      </c>
      <c r="I27" s="42">
        <f>I14-(I18+I20+I22)-I24</f>
        <v/>
      </c>
      <c r="J27" s="42">
        <f>J14-(J18+J20+J22)-J24</f>
        <v/>
      </c>
      <c r="K27" s="42">
        <f>K14-(K18+K20+K22)-K24</f>
        <v/>
      </c>
      <c r="L27" s="42">
        <f>L14-(L18+L20+L22)-L24</f>
        <v/>
      </c>
      <c r="M27" s="42">
        <f>M14-(M18+M20+M22)-M24</f>
        <v/>
      </c>
      <c r="N27" s="42">
        <f>N14-(N18+N20+N22)-N24</f>
        <v/>
      </c>
      <c r="O27" s="42">
        <f>O14-(O18+O20+O22)-O24</f>
        <v/>
      </c>
      <c r="P27" s="42">
        <f>P14-(P18+P20+P22)-P24</f>
        <v/>
      </c>
    </row>
    <row r="28">
      <c r="A28" s="4" t="inlineStr">
        <is>
          <t xml:space="preserve">    operating margin</t>
        </is>
      </c>
      <c r="B28" s="25">
        <f>IFERROR(B27/B14,"")</f>
        <v/>
      </c>
      <c r="C28" s="25">
        <f>IFERROR(C27/C14,"")</f>
        <v/>
      </c>
      <c r="D28" s="25">
        <f>IFERROR(D27/D14,"")</f>
        <v/>
      </c>
      <c r="E28" s="25">
        <f>IFERROR(E27/E14,"")</f>
        <v/>
      </c>
      <c r="F28" s="25">
        <f>IFERROR(F27/F14,"")</f>
        <v/>
      </c>
      <c r="G28" s="25">
        <f>IFERROR(G27/G14,"")</f>
        <v/>
      </c>
      <c r="H28" s="25">
        <f>IFERROR(H27/H14,"")</f>
        <v/>
      </c>
      <c r="I28" s="25">
        <f>IFERROR(I27/I14,"")</f>
        <v/>
      </c>
      <c r="J28" s="25">
        <f>IFERROR(J27/J14,"")</f>
        <v/>
      </c>
      <c r="K28" s="25">
        <f>IFERROR(K27/K14,"")</f>
        <v/>
      </c>
      <c r="L28" s="25">
        <f>IFERROR(L27/L14,"")</f>
        <v/>
      </c>
      <c r="M28" s="25">
        <f>IFERROR(M27/M14,"")</f>
        <v/>
      </c>
      <c r="N28" s="25">
        <f>IFERROR(N27/N14,"")</f>
        <v/>
      </c>
      <c r="O28" s="25">
        <f>IFERROR(O27/O14,"")</f>
        <v/>
      </c>
      <c r="P28" s="25">
        <f>IFERROR(P27/P14,"")</f>
        <v/>
      </c>
    </row>
    <row r="30">
      <c r="A30" s="5" t="inlineStr">
        <is>
          <t xml:space="preserve">  FCF BRIDGE (NOPAT + D&amp;A + SBC - dNWC - Capex)</t>
        </is>
      </c>
      <c r="B30" s="6" t="n"/>
      <c r="C30" s="6" t="n"/>
      <c r="D30" s="6" t="n"/>
      <c r="E30" s="6" t="n"/>
      <c r="F30" s="6" t="n"/>
      <c r="G30" s="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</row>
    <row r="31">
      <c r="A31" s="4" t="inlineStr">
        <is>
          <t>NOPAT = EBIT x (1 - tax)</t>
        </is>
      </c>
      <c r="B31" s="33">
        <f>B27*(1-Valuation!$B$5)</f>
        <v/>
      </c>
      <c r="C31" s="33">
        <f>C27*(1-Valuation!$B$5)</f>
        <v/>
      </c>
      <c r="D31" s="33">
        <f>D27*(1-Valuation!$B$5)</f>
        <v/>
      </c>
      <c r="E31" s="33">
        <f>E27*(1-Valuation!$B$5)</f>
        <v/>
      </c>
      <c r="F31" s="33">
        <f>F27*(1-Valuation!$B$5)</f>
        <v/>
      </c>
      <c r="G31" s="33">
        <f>G27*(1-Valuation!$B$5)</f>
        <v/>
      </c>
      <c r="H31" s="33">
        <f>H27*(1-Valuation!$B$5)</f>
        <v/>
      </c>
      <c r="I31" s="33">
        <f>I27*(1-Valuation!$B$5)</f>
        <v/>
      </c>
      <c r="J31" s="33">
        <f>J27*(1-Valuation!$B$5)</f>
        <v/>
      </c>
      <c r="K31" s="33">
        <f>K27*(1-Valuation!$B$5)</f>
        <v/>
      </c>
      <c r="L31" s="33">
        <f>L27*(1-Valuation!$B$5)</f>
        <v/>
      </c>
      <c r="M31" s="33">
        <f>M27*(1-Valuation!$B$5)</f>
        <v/>
      </c>
      <c r="N31" s="33">
        <f>N27*(1-Valuation!$B$5)</f>
        <v/>
      </c>
      <c r="O31" s="33">
        <f>O27*(1-Valuation!$B$5)</f>
        <v/>
      </c>
      <c r="P31" s="33">
        <f>P27*(1-Valuation!$B$5)</f>
        <v/>
      </c>
    </row>
    <row r="32">
      <c r="A32" s="4" t="inlineStr">
        <is>
          <t>+ D&amp;A</t>
        </is>
      </c>
      <c r="B32" s="33">
        <f>SUM(Financials!H47:K47)</f>
        <v/>
      </c>
      <c r="C32" s="33">
        <f>SUM(Financials!L47:O47)</f>
        <v/>
      </c>
      <c r="D32" s="33">
        <f>SUM(Financials!P47:S47)</f>
        <v/>
      </c>
      <c r="E32" s="33">
        <f>SUM(Financials!T47:W47)</f>
        <v/>
      </c>
      <c r="F32" s="33">
        <f>SUM(Financials!X47:AA47)</f>
        <v/>
      </c>
      <c r="G32" s="41">
        <f>G14*0.0088</f>
        <v/>
      </c>
      <c r="H32" s="41">
        <f>H14*0.0088</f>
        <v/>
      </c>
      <c r="I32" s="41">
        <f>I14*0.0088</f>
        <v/>
      </c>
      <c r="J32" s="41">
        <f>J14*0.0088</f>
        <v/>
      </c>
      <c r="K32" s="41">
        <f>K14*0.0088</f>
        <v/>
      </c>
      <c r="L32" s="41">
        <f>L14*0.0088</f>
        <v/>
      </c>
      <c r="M32" s="41">
        <f>M14*0.0088</f>
        <v/>
      </c>
      <c r="N32" s="41">
        <f>N14*0.0088</f>
        <v/>
      </c>
      <c r="O32" s="41">
        <f>O14*0.0088</f>
        <v/>
      </c>
      <c r="P32" s="41">
        <f>P14*0.0088</f>
        <v/>
      </c>
    </row>
    <row r="33">
      <c r="A33" s="4" t="inlineStr">
        <is>
          <t>+ SBC (non-cash)</t>
        </is>
      </c>
      <c r="B33" s="33">
        <f>SUM(Financials!H48:K48)</f>
        <v/>
      </c>
      <c r="C33" s="33">
        <f>SUM(Financials!L48:O48)</f>
        <v/>
      </c>
      <c r="D33" s="33">
        <f>SUM(Financials!P48:S48)</f>
        <v/>
      </c>
      <c r="E33" s="33">
        <f>SUM(Financials!T48:W48)</f>
        <v/>
      </c>
      <c r="F33" s="33">
        <f>SUM(Financials!X48:AA48)</f>
        <v/>
      </c>
      <c r="G33" s="33">
        <f>G14*(Dashboard!$B$65+(Dashboard!$B$66-Dashboard!$B$65)*0/9)</f>
        <v/>
      </c>
      <c r="H33" s="33">
        <f>H14*(Dashboard!$B$65+(Dashboard!$B$66-Dashboard!$B$65)*1/9)</f>
        <v/>
      </c>
      <c r="I33" s="33">
        <f>I14*(Dashboard!$B$65+(Dashboard!$B$66-Dashboard!$B$65)*2/9)</f>
        <v/>
      </c>
      <c r="J33" s="33">
        <f>J14*(Dashboard!$B$65+(Dashboard!$B$66-Dashboard!$B$65)*3/9)</f>
        <v/>
      </c>
      <c r="K33" s="33">
        <f>K14*(Dashboard!$B$65+(Dashboard!$B$66-Dashboard!$B$65)*4/9)</f>
        <v/>
      </c>
      <c r="L33" s="33">
        <f>L14*(Dashboard!$B$65+(Dashboard!$B$66-Dashboard!$B$65)*5/9)</f>
        <v/>
      </c>
      <c r="M33" s="33">
        <f>M14*(Dashboard!$B$65+(Dashboard!$B$66-Dashboard!$B$65)*6/9)</f>
        <v/>
      </c>
      <c r="N33" s="33">
        <f>N14*(Dashboard!$B$65+(Dashboard!$B$66-Dashboard!$B$65)*7/9)</f>
        <v/>
      </c>
      <c r="O33" s="33">
        <f>O14*(Dashboard!$B$65+(Dashboard!$B$66-Dashboard!$B$65)*8/9)</f>
        <v/>
      </c>
      <c r="P33" s="33">
        <f>P14*(Dashboard!$B$65+(Dashboard!$B$66-Dashboard!$B$65)*9/9)</f>
        <v/>
      </c>
    </row>
    <row r="34">
      <c r="A34" s="4" t="inlineStr">
        <is>
          <t>- dNWC</t>
        </is>
      </c>
      <c r="G34" s="41">
        <f>(G14-F14)*0.0050</f>
        <v/>
      </c>
      <c r="H34" s="41">
        <f>(H14-G14)*0.0050</f>
        <v/>
      </c>
      <c r="I34" s="41">
        <f>(I14-H14)*0.0050</f>
        <v/>
      </c>
      <c r="J34" s="41">
        <f>(J14-I14)*0.0050</f>
        <v/>
      </c>
      <c r="K34" s="41">
        <f>(K14-J14)*0.0050</f>
        <v/>
      </c>
      <c r="L34" s="41">
        <f>(L14-K14)*0.0050</f>
        <v/>
      </c>
      <c r="M34" s="41">
        <f>(M14-L14)*0.0050</f>
        <v/>
      </c>
      <c r="N34" s="41">
        <f>(N14-M14)*0.0050</f>
        <v/>
      </c>
      <c r="O34" s="41">
        <f>(O14-N14)*0.0050</f>
        <v/>
      </c>
      <c r="P34" s="41">
        <f>(P14-O14)*0.0050</f>
        <v/>
      </c>
    </row>
    <row r="35">
      <c r="A35" s="4" t="inlineStr">
        <is>
          <t>- Capex</t>
        </is>
      </c>
      <c r="B35" s="33">
        <f>-SUM(Financials!H51:K51)</f>
        <v/>
      </c>
      <c r="C35" s="33">
        <f>-SUM(Financials!L51:O51)</f>
        <v/>
      </c>
      <c r="D35" s="33">
        <f>-SUM(Financials!P51:S51)</f>
        <v/>
      </c>
      <c r="E35" s="33">
        <f>-SUM(Financials!T51:W51)</f>
        <v/>
      </c>
      <c r="F35" s="33">
        <f>-SUM(Financials!X51:AA51)</f>
        <v/>
      </c>
      <c r="G35" s="41">
        <f>G32*G36</f>
        <v/>
      </c>
      <c r="H35" s="41">
        <f>H32*H36</f>
        <v/>
      </c>
      <c r="I35" s="41">
        <f>I32*I36</f>
        <v/>
      </c>
      <c r="J35" s="41">
        <f>J32*J36</f>
        <v/>
      </c>
      <c r="K35" s="41">
        <f>K32*K36</f>
        <v/>
      </c>
      <c r="L35" s="41">
        <f>L32*L36</f>
        <v/>
      </c>
      <c r="M35" s="41">
        <f>M32*M36</f>
        <v/>
      </c>
      <c r="N35" s="41">
        <f>N32*N36</f>
        <v/>
      </c>
      <c r="O35" s="41">
        <f>O32*O36</f>
        <v/>
      </c>
      <c r="P35" s="41">
        <f>P32*P36</f>
        <v/>
      </c>
    </row>
    <row r="36">
      <c r="A36" s="4" t="inlineStr">
        <is>
          <t xml:space="preserve">    Capex / D&amp;A  (from Dashboard: $cap'26 -&gt; terminal)</t>
        </is>
      </c>
      <c r="B36" s="26">
        <f>IFERROR(B35/B32,"")</f>
        <v/>
      </c>
      <c r="C36" s="26">
        <f>IFERROR(C35/C32,"")</f>
        <v/>
      </c>
      <c r="D36" s="26">
        <f>IFERROR(D35/D32,"")</f>
        <v/>
      </c>
      <c r="E36" s="26">
        <f>IFERROR(E35/E32,"")</f>
        <v/>
      </c>
      <c r="F36" s="26">
        <f>IFERROR(F35/F32,"")</f>
        <v/>
      </c>
      <c r="G36" s="13">
        <f>(Dashboard!$B$34/G32)+(Dashboard!$B$35-(Dashboard!$B$34/G32))*0/9</f>
        <v/>
      </c>
      <c r="H36" s="13">
        <f>(Dashboard!$B$34/G32)+(Dashboard!$B$35-(Dashboard!$B$34/G32))*1/9</f>
        <v/>
      </c>
      <c r="I36" s="13">
        <f>(Dashboard!$B$34/G32)+(Dashboard!$B$35-(Dashboard!$B$34/G32))*2/9</f>
        <v/>
      </c>
      <c r="J36" s="13">
        <f>(Dashboard!$B$34/G32)+(Dashboard!$B$35-(Dashboard!$B$34/G32))*3/9</f>
        <v/>
      </c>
      <c r="K36" s="13">
        <f>(Dashboard!$B$34/G32)+(Dashboard!$B$35-(Dashboard!$B$34/G32))*4/9</f>
        <v/>
      </c>
      <c r="L36" s="13">
        <f>(Dashboard!$B$34/G32)+(Dashboard!$B$35-(Dashboard!$B$34/G32))*5/9</f>
        <v/>
      </c>
      <c r="M36" s="13">
        <f>(Dashboard!$B$34/G32)+(Dashboard!$B$35-(Dashboard!$B$34/G32))*6/9</f>
        <v/>
      </c>
      <c r="N36" s="13">
        <f>(Dashboard!$B$34/G32)+(Dashboard!$B$35-(Dashboard!$B$34/G32))*7/9</f>
        <v/>
      </c>
      <c r="O36" s="13">
        <f>(Dashboard!$B$34/G32)+(Dashboard!$B$35-(Dashboard!$B$34/G32))*8/9</f>
        <v/>
      </c>
      <c r="P36" s="13">
        <f>(Dashboard!$B$34/G32)+(Dashboard!$B$35-(Dashboard!$B$34/G32))*9/9</f>
        <v/>
      </c>
    </row>
    <row r="38">
      <c r="A38" s="3" t="inlineStr">
        <is>
          <t>FCFF (firm)</t>
        </is>
      </c>
      <c r="B38" s="42">
        <f>B31+B32+B33-B34-B35</f>
        <v/>
      </c>
      <c r="C38" s="42">
        <f>C31+C32+C33-C34-C35</f>
        <v/>
      </c>
      <c r="D38" s="42">
        <f>D31+D32+D33-D34-D35</f>
        <v/>
      </c>
      <c r="E38" s="42">
        <f>E31+E32+E33-E34-E35</f>
        <v/>
      </c>
      <c r="F38" s="42">
        <f>F31+F32+F33-F34-F35</f>
        <v/>
      </c>
      <c r="G38" s="42">
        <f>G31+G32+G33-G34-G35</f>
        <v/>
      </c>
      <c r="H38" s="42">
        <f>H31+H32+H33-H34-H35</f>
        <v/>
      </c>
      <c r="I38" s="42">
        <f>I31+I32+I33-I34-I35</f>
        <v/>
      </c>
      <c r="J38" s="42">
        <f>J31+J32+J33-J34-J35</f>
        <v/>
      </c>
      <c r="K38" s="42">
        <f>K31+K32+K33-K34-K35</f>
        <v/>
      </c>
      <c r="L38" s="42">
        <f>L31+L32+L33-L34-L35</f>
        <v/>
      </c>
      <c r="M38" s="42">
        <f>M31+M32+M33-M34-M35</f>
        <v/>
      </c>
      <c r="N38" s="42">
        <f>N31+N32+N33-N34-N35</f>
        <v/>
      </c>
      <c r="O38" s="42">
        <f>O31+O32+O33-O34-O35</f>
        <v/>
      </c>
      <c r="P38" s="42">
        <f>P31+P32+P33-P34-P35</f>
        <v/>
      </c>
    </row>
    <row r="39">
      <c r="A39" s="3" t="inlineStr">
        <is>
          <t>Valuation FCF (NOPAT + D&amp;A - dNWC - Capex - after-tax SBC)</t>
        </is>
      </c>
      <c r="B39" s="43">
        <f>B38-B33-B33*(1-Valuation!$B$5)</f>
        <v/>
      </c>
      <c r="C39" s="43">
        <f>C38-C33-C33*(1-Valuation!$B$5)</f>
        <v/>
      </c>
      <c r="D39" s="43">
        <f>D38-D33-D33*(1-Valuation!$B$5)</f>
        <v/>
      </c>
      <c r="E39" s="43">
        <f>E38-E33-E33*(1-Valuation!$B$5)</f>
        <v/>
      </c>
      <c r="F39" s="43">
        <f>F38-F33-F33*(1-Valuation!$B$5)</f>
        <v/>
      </c>
      <c r="G39" s="43">
        <f>G38-G33-G33*(1-Valuation!$B$5)</f>
        <v/>
      </c>
      <c r="H39" s="43">
        <f>H38-H33-H33*(1-Valuation!$B$5)</f>
        <v/>
      </c>
      <c r="I39" s="43">
        <f>I38-I33-I33*(1-Valuation!$B$5)</f>
        <v/>
      </c>
      <c r="J39" s="43">
        <f>J38-J33-J33*(1-Valuation!$B$5)</f>
        <v/>
      </c>
      <c r="K39" s="43">
        <f>K38-K33-K33*(1-Valuation!$B$5)</f>
        <v/>
      </c>
      <c r="L39" s="43">
        <f>L38-L33-L33*(1-Valuation!$B$5)</f>
        <v/>
      </c>
      <c r="M39" s="43">
        <f>M38-M33-M33*(1-Valuation!$B$5)</f>
        <v/>
      </c>
      <c r="N39" s="43">
        <f>N38-N33-N33*(1-Valuation!$B$5)</f>
        <v/>
      </c>
      <c r="O39" s="43">
        <f>O38-O33-O33*(1-Valuation!$B$5)</f>
        <v/>
      </c>
      <c r="P39" s="43">
        <f>P38-P33-P33*(1-Valuation!$B$5)</f>
        <v/>
      </c>
    </row>
    <row r="41">
      <c r="A41" s="5" t="inlineStr">
        <is>
          <t xml:space="preserve">  RETURNS ON CAPITAL &amp; EFFICIENCY  (is new revenue/capital earning its keep?)</t>
        </is>
      </c>
      <c r="B41" s="6" t="n"/>
      <c r="C41" s="6" t="n"/>
      <c r="D41" s="6" t="n"/>
      <c r="E41" s="6" t="n"/>
      <c r="F41" s="6" t="n"/>
      <c r="G41" s="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</row>
    <row r="42">
      <c r="A42" s="4" t="inlineStr">
        <is>
          <t>Invested capital (debt + equity - cash)</t>
        </is>
      </c>
      <c r="B42" s="33">
        <f>Financials!K45+Financials!K44-Financials!K39</f>
        <v/>
      </c>
      <c r="C42" s="33">
        <f>Financials!O45+Financials!O44-Financials!O39</f>
        <v/>
      </c>
      <c r="D42" s="33">
        <f>Financials!S45+Financials!S44-Financials!S39</f>
        <v/>
      </c>
      <c r="E42" s="33">
        <f>Financials!W45+Financials!W44-Financials!W39</f>
        <v/>
      </c>
      <c r="F42" s="33">
        <f>Financials!AA45+Financials!AA44-Financials!AA39</f>
        <v/>
      </c>
      <c r="G42" s="41">
        <f>F42+G35-G32+G34</f>
        <v/>
      </c>
      <c r="H42" s="41">
        <f>G42+H35-H32+H34</f>
        <v/>
      </c>
      <c r="I42" s="41">
        <f>H42+I35-I32+I34</f>
        <v/>
      </c>
      <c r="J42" s="41">
        <f>I42+J35-J32+J34</f>
        <v/>
      </c>
      <c r="K42" s="41">
        <f>J42+K35-K32+K34</f>
        <v/>
      </c>
      <c r="L42" s="41">
        <f>K42+L35-L32+L34</f>
        <v/>
      </c>
      <c r="M42" s="41">
        <f>L42+M35-M32+M34</f>
        <v/>
      </c>
      <c r="N42" s="41">
        <f>M42+N35-N32+N34</f>
        <v/>
      </c>
      <c r="O42" s="41">
        <f>N42+O35-O32+O34</f>
        <v/>
      </c>
      <c r="P42" s="41">
        <f>O42+P35-P32+P34</f>
        <v/>
      </c>
    </row>
    <row r="43">
      <c r="A43" s="4" t="inlineStr">
        <is>
          <t>Book equity (year-end)</t>
        </is>
      </c>
      <c r="B43" s="33">
        <f>Financials!K45</f>
        <v/>
      </c>
      <c r="C43" s="33">
        <f>Financials!O45</f>
        <v/>
      </c>
      <c r="D43" s="33">
        <f>Financials!S45</f>
        <v/>
      </c>
      <c r="E43" s="33">
        <f>Financials!W45</f>
        <v/>
      </c>
      <c r="F43" s="33">
        <f>Financials!AA45</f>
        <v/>
      </c>
      <c r="G43" s="41">
        <f>F43+G31</f>
        <v/>
      </c>
      <c r="H43" s="41">
        <f>G43+H31</f>
        <v/>
      </c>
      <c r="I43" s="41">
        <f>H43+I31</f>
        <v/>
      </c>
      <c r="J43" s="41">
        <f>I43+J31</f>
        <v/>
      </c>
      <c r="K43" s="41">
        <f>J43+K31</f>
        <v/>
      </c>
      <c r="L43" s="41">
        <f>K43+L31</f>
        <v/>
      </c>
      <c r="M43" s="41">
        <f>L43+M31</f>
        <v/>
      </c>
      <c r="N43" s="41">
        <f>M43+N31</f>
        <v/>
      </c>
      <c r="O43" s="41">
        <f>N43+O31</f>
        <v/>
      </c>
      <c r="P43" s="41">
        <f>O43+P31</f>
        <v/>
      </c>
    </row>
    <row r="44">
      <c r="A44" s="3" t="inlineStr">
        <is>
          <t xml:space="preserve">  ROIC (NOPAT / beg. invested capital)</t>
        </is>
      </c>
      <c r="C44" s="25">
        <f>IFERROR(C31/B42,"")</f>
        <v/>
      </c>
      <c r="D44" s="25">
        <f>IFERROR(D31/C42,"")</f>
        <v/>
      </c>
      <c r="E44" s="25">
        <f>IFERROR(E31/D42,"")</f>
        <v/>
      </c>
      <c r="F44" s="25">
        <f>IFERROR(F31/E42,"")</f>
        <v/>
      </c>
      <c r="G44" s="25">
        <f>IFERROR(G31/F42,"")</f>
        <v/>
      </c>
      <c r="H44" s="25">
        <f>IFERROR(H31/G42,"")</f>
        <v/>
      </c>
      <c r="I44" s="25">
        <f>IFERROR(I31/H42,"")</f>
        <v/>
      </c>
      <c r="J44" s="25">
        <f>IFERROR(J31/I42,"")</f>
        <v/>
      </c>
      <c r="K44" s="25">
        <f>IFERROR(K31/J42,"")</f>
        <v/>
      </c>
      <c r="L44" s="25">
        <f>IFERROR(L31/K42,"")</f>
        <v/>
      </c>
      <c r="M44" s="25">
        <f>IFERROR(M31/L42,"")</f>
        <v/>
      </c>
      <c r="N44" s="25">
        <f>IFERROR(N31/M42,"")</f>
        <v/>
      </c>
      <c r="O44" s="25">
        <f>IFERROR(O31/N42,"")</f>
        <v/>
      </c>
      <c r="P44" s="25">
        <f>IFERROR(P31/O42,"")</f>
        <v/>
      </c>
    </row>
    <row r="45">
      <c r="A45" s="3" t="inlineStr">
        <is>
          <t xml:space="preserve">  ROE (earnings / beg. equity)</t>
        </is>
      </c>
      <c r="C45" s="11">
        <f>IFERROR(SUM(Financials!L15:O15)/B43,"")</f>
        <v/>
      </c>
      <c r="D45" s="11">
        <f>IFERROR(SUM(Financials!P15:S15)/C43,"")</f>
        <v/>
      </c>
      <c r="E45" s="11">
        <f>IFERROR(SUM(Financials!T15:W15)/D43,"")</f>
        <v/>
      </c>
      <c r="F45" s="11">
        <f>IFERROR(SUM(Financials!X15:AA15)/E43,"")</f>
        <v/>
      </c>
      <c r="G45" s="25">
        <f>IFERROR(G31/F43,"")</f>
        <v/>
      </c>
      <c r="H45" s="25">
        <f>IFERROR(H31/G43,"")</f>
        <v/>
      </c>
      <c r="I45" s="25">
        <f>IFERROR(I31/H43,"")</f>
        <v/>
      </c>
      <c r="J45" s="25">
        <f>IFERROR(J31/I43,"")</f>
        <v/>
      </c>
      <c r="K45" s="25">
        <f>IFERROR(K31/J43,"")</f>
        <v/>
      </c>
      <c r="L45" s="25">
        <f>IFERROR(L31/K43,"")</f>
        <v/>
      </c>
      <c r="M45" s="25">
        <f>IFERROR(M31/L43,"")</f>
        <v/>
      </c>
      <c r="N45" s="25">
        <f>IFERROR(N31/M43,"")</f>
        <v/>
      </c>
      <c r="O45" s="25">
        <f>IFERROR(O31/N43,"")</f>
        <v/>
      </c>
      <c r="P45" s="25">
        <f>IFERROR(P31/O43,"")</f>
        <v/>
      </c>
    </row>
    <row r="46">
      <c r="A46" s="4" t="inlineStr">
        <is>
          <t xml:space="preserve">  ROIC - WACC spread (value created)</t>
        </is>
      </c>
      <c r="C46" s="11">
        <f>IFERROR(C44-WACC!$B$15,"")</f>
        <v/>
      </c>
      <c r="D46" s="11">
        <f>IFERROR(D44-WACC!$B$15,"")</f>
        <v/>
      </c>
      <c r="E46" s="11">
        <f>IFERROR(E44-WACC!$B$15,"")</f>
        <v/>
      </c>
      <c r="F46" s="11">
        <f>IFERROR(F44-WACC!$B$15,"")</f>
        <v/>
      </c>
      <c r="G46" s="11">
        <f>IFERROR(G44-WACC!$B$15,"")</f>
        <v/>
      </c>
      <c r="H46" s="11">
        <f>IFERROR(H44-WACC!$B$15,"")</f>
        <v/>
      </c>
      <c r="I46" s="11">
        <f>IFERROR(I44-WACC!$B$15,"")</f>
        <v/>
      </c>
      <c r="J46" s="11">
        <f>IFERROR(J44-WACC!$B$15,"")</f>
        <v/>
      </c>
      <c r="K46" s="11">
        <f>IFERROR(K44-WACC!$B$15,"")</f>
        <v/>
      </c>
      <c r="L46" s="11">
        <f>IFERROR(L44-WACC!$B$15,"")</f>
        <v/>
      </c>
      <c r="M46" s="11">
        <f>IFERROR(M44-WACC!$B$15,"")</f>
        <v/>
      </c>
      <c r="N46" s="11">
        <f>IFERROR(N44-WACC!$B$15,"")</f>
        <v/>
      </c>
      <c r="O46" s="11">
        <f>IFERROR(O44-WACC!$B$15,"")</f>
        <v/>
      </c>
      <c r="P46" s="11">
        <f>IFERROR(P44-WACC!$B$15,"")</f>
        <v/>
      </c>
    </row>
    <row r="47">
      <c r="A47" s="4" t="inlineStr">
        <is>
          <t xml:space="preserve">  Incremental op margin (ΔEBIT / ΔRev)</t>
        </is>
      </c>
      <c r="C47" s="25">
        <f>IFERROR((C27-B27)/(C14-B14),"")</f>
        <v/>
      </c>
      <c r="D47" s="25">
        <f>IFERROR((D27-C27)/(D14-C14),"")</f>
        <v/>
      </c>
      <c r="E47" s="25">
        <f>IFERROR((E27-D27)/(E14-D14),"")</f>
        <v/>
      </c>
      <c r="F47" s="25">
        <f>IFERROR((F27-E27)/(F14-E14),"")</f>
        <v/>
      </c>
      <c r="G47" s="25">
        <f>IFERROR((G27-F27)/(G14-F14),"")</f>
        <v/>
      </c>
      <c r="H47" s="25">
        <f>IFERROR((H27-G27)/(H14-G14),"")</f>
        <v/>
      </c>
      <c r="I47" s="25">
        <f>IFERROR((I27-H27)/(I14-H14),"")</f>
        <v/>
      </c>
      <c r="J47" s="25">
        <f>IFERROR((J27-I27)/(J14-I14),"")</f>
        <v/>
      </c>
      <c r="K47" s="25">
        <f>IFERROR((K27-J27)/(K14-J14),"")</f>
        <v/>
      </c>
      <c r="L47" s="25">
        <f>IFERROR((L27-K27)/(L14-K14),"")</f>
        <v/>
      </c>
      <c r="M47" s="25">
        <f>IFERROR((M27-L27)/(M14-L14),"")</f>
        <v/>
      </c>
      <c r="N47" s="25">
        <f>IFERROR((N27-M27)/(N14-M14),"")</f>
        <v/>
      </c>
      <c r="O47" s="25">
        <f>IFERROR((O27-N27)/(O14-N14),"")</f>
        <v/>
      </c>
      <c r="P47" s="25">
        <f>IFERROR((P27-O27)/(P14-O14),"")</f>
        <v/>
      </c>
    </row>
    <row r="48">
      <c r="A48" s="3" t="inlineStr">
        <is>
          <t xml:space="preserve">  ROIIC (ΔNOPAT / ΔInvested capital)</t>
        </is>
      </c>
      <c r="C48" s="25">
        <f>IFERROR((C31-B31)/(C42-B42),"")</f>
        <v/>
      </c>
      <c r="D48" s="25">
        <f>IFERROR((D31-C31)/(D42-C42),"")</f>
        <v/>
      </c>
      <c r="E48" s="25">
        <f>IFERROR((E31-D31)/(E42-D42),"")</f>
        <v/>
      </c>
      <c r="F48" s="25">
        <f>IFERROR((F31-E31)/(F42-E42),"")</f>
        <v/>
      </c>
      <c r="G48" s="25">
        <f>IFERROR((G31-F31)/(G42-F42),"")</f>
        <v/>
      </c>
      <c r="H48" s="25">
        <f>IFERROR((H31-G31)/(H42-G42),"")</f>
        <v/>
      </c>
      <c r="I48" s="25">
        <f>IFERROR((I31-H31)/(I42-H42),"")</f>
        <v/>
      </c>
      <c r="J48" s="25">
        <f>IFERROR((J31-I31)/(J42-I42),"")</f>
        <v/>
      </c>
      <c r="K48" s="25">
        <f>IFERROR((K31-J31)/(K42-J42),"")</f>
        <v/>
      </c>
      <c r="L48" s="25">
        <f>IFERROR((L31-K31)/(L42-K42),"")</f>
        <v/>
      </c>
      <c r="M48" s="25">
        <f>IFERROR((M31-L31)/(M42-L42),"")</f>
        <v/>
      </c>
      <c r="N48" s="25">
        <f>IFERROR((N31-M31)/(N42-M42),"")</f>
        <v/>
      </c>
      <c r="O48" s="25">
        <f>IFERROR((O31-N31)/(O42-N42),"")</f>
        <v/>
      </c>
      <c r="P48" s="25">
        <f>IFERROR((P31-O31)/(P42-O42),"")</f>
        <v/>
      </c>
    </row>
    <row r="49">
      <c r="A49" s="4" t="inlineStr">
        <is>
          <t xml:space="preserve">  Sales-to-capital (ΔRev / ΔInvested capital)</t>
        </is>
      </c>
      <c r="C49" s="44">
        <f>IFERROR((C14-B14)/(C42-B42),"")</f>
        <v/>
      </c>
      <c r="D49" s="44">
        <f>IFERROR((D14-C14)/(D42-C42),"")</f>
        <v/>
      </c>
      <c r="E49" s="44">
        <f>IFERROR((E14-D14)/(E42-D42),"")</f>
        <v/>
      </c>
      <c r="F49" s="44">
        <f>IFERROR((F14-E14)/(F42-E42),"")</f>
        <v/>
      </c>
      <c r="G49" s="44">
        <f>IFERROR((G14-F14)/(G42-F42),"")</f>
        <v/>
      </c>
      <c r="H49" s="44">
        <f>IFERROR((H14-G14)/(H42-G42),"")</f>
        <v/>
      </c>
      <c r="I49" s="44">
        <f>IFERROR((I14-H14)/(I42-H42),"")</f>
        <v/>
      </c>
      <c r="J49" s="44">
        <f>IFERROR((J14-I14)/(J42-I42),"")</f>
        <v/>
      </c>
      <c r="K49" s="44">
        <f>IFERROR((K14-J14)/(K42-J42),"")</f>
        <v/>
      </c>
      <c r="L49" s="44">
        <f>IFERROR((L14-K14)/(L42-K42),"")</f>
        <v/>
      </c>
      <c r="M49" s="44">
        <f>IFERROR((M14-L14)/(M42-L42),"")</f>
        <v/>
      </c>
      <c r="N49" s="44">
        <f>IFERROR((N14-M14)/(N42-M42),"")</f>
        <v/>
      </c>
      <c r="O49" s="44">
        <f>IFERROR((O14-N14)/(O42-N42),"")</f>
        <v/>
      </c>
      <c r="P49" s="44">
        <f>IFERROR((P14-O14)/(P42-O42),"")</f>
        <v/>
      </c>
    </row>
    <row r="50">
      <c r="A50" s="4" t="inlineStr">
        <is>
          <t xml:space="preserve">  Reinvestment rate (ΔInvested capital / NOPAT)</t>
        </is>
      </c>
      <c r="C50" s="25">
        <f>IFERROR((C42-B42)/C31,"")</f>
        <v/>
      </c>
      <c r="D50" s="25">
        <f>IFERROR((D42-C42)/D31,"")</f>
        <v/>
      </c>
      <c r="E50" s="25">
        <f>IFERROR((E42-D42)/E31,"")</f>
        <v/>
      </c>
      <c r="F50" s="25">
        <f>IFERROR((F42-E42)/F31,"")</f>
        <v/>
      </c>
      <c r="G50" s="25">
        <f>IFERROR((G42-F42)/G31,"")</f>
        <v/>
      </c>
      <c r="H50" s="25">
        <f>IFERROR((H42-G42)/H31,"")</f>
        <v/>
      </c>
      <c r="I50" s="25">
        <f>IFERROR((I42-H42)/I31,"")</f>
        <v/>
      </c>
      <c r="J50" s="25">
        <f>IFERROR((J42-I42)/J31,"")</f>
        <v/>
      </c>
      <c r="K50" s="25">
        <f>IFERROR((K42-J42)/K31,"")</f>
        <v/>
      </c>
      <c r="L50" s="25">
        <f>IFERROR((L42-K42)/L31,"")</f>
        <v/>
      </c>
      <c r="M50" s="25">
        <f>IFERROR((M42-L42)/M31,"")</f>
        <v/>
      </c>
      <c r="N50" s="25">
        <f>IFERROR((N42-M42)/N31,"")</f>
        <v/>
      </c>
      <c r="O50" s="25">
        <f>IFERROR((O42-N42)/O31,"")</f>
        <v/>
      </c>
      <c r="P50" s="25">
        <f>IFERROR((P42-O42)/P31,"")</f>
        <v/>
      </c>
    </row>
    <row r="52">
      <c r="A52" s="2" t="inlineStr">
        <is>
          <t>Blue/green = actual  ·  Yellow = assumption  ·  Black = formula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54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</cols>
  <sheetData>
    <row r="1">
      <c r="A1" s="3" t="inlineStr">
        <is>
          <t>Line Item ($M)</t>
        </is>
      </c>
      <c r="B1" s="45" t="inlineStr">
        <is>
          <t>Q3 2019</t>
        </is>
      </c>
      <c r="C1" s="45" t="inlineStr">
        <is>
          <t>Q4 2019</t>
        </is>
      </c>
      <c r="D1" s="45" t="inlineStr">
        <is>
          <t>Q1 2020</t>
        </is>
      </c>
      <c r="E1" s="45" t="inlineStr">
        <is>
          <t>Q2 2020</t>
        </is>
      </c>
      <c r="F1" s="45" t="inlineStr">
        <is>
          <t>Q3 2020</t>
        </is>
      </c>
      <c r="G1" s="45" t="inlineStr">
        <is>
          <t>Q4 2020</t>
        </is>
      </c>
      <c r="H1" s="45" t="inlineStr">
        <is>
          <t>Q1 2021</t>
        </is>
      </c>
      <c r="I1" s="45" t="inlineStr">
        <is>
          <t>Q2 2021</t>
        </is>
      </c>
      <c r="J1" s="45" t="inlineStr">
        <is>
          <t>Q3 2021</t>
        </is>
      </c>
      <c r="K1" s="45" t="inlineStr">
        <is>
          <t>Q4 2021</t>
        </is>
      </c>
      <c r="L1" s="45" t="inlineStr">
        <is>
          <t>Q1 2022</t>
        </is>
      </c>
      <c r="M1" s="45" t="inlineStr">
        <is>
          <t>Q2 2022</t>
        </is>
      </c>
      <c r="N1" s="45" t="inlineStr">
        <is>
          <t>Q3 2022</t>
        </is>
      </c>
      <c r="O1" s="45" t="inlineStr">
        <is>
          <t>Q4 2022</t>
        </is>
      </c>
      <c r="P1" s="45" t="inlineStr">
        <is>
          <t>Q1 2023</t>
        </is>
      </c>
      <c r="Q1" s="45" t="inlineStr">
        <is>
          <t>Q2 2023</t>
        </is>
      </c>
      <c r="R1" s="45" t="inlineStr">
        <is>
          <t>Q3 2023</t>
        </is>
      </c>
      <c r="S1" s="45" t="inlineStr">
        <is>
          <t>Q4 2023</t>
        </is>
      </c>
      <c r="T1" s="45" t="inlineStr">
        <is>
          <t>Q1 2024</t>
        </is>
      </c>
      <c r="U1" s="45" t="inlineStr">
        <is>
          <t>Q2 2024</t>
        </is>
      </c>
      <c r="V1" s="45" t="inlineStr">
        <is>
          <t>Q3 2024</t>
        </is>
      </c>
      <c r="W1" s="45" t="inlineStr">
        <is>
          <t>Q4 2024</t>
        </is>
      </c>
      <c r="X1" s="45" t="inlineStr">
        <is>
          <t>Q1 2025</t>
        </is>
      </c>
      <c r="Y1" s="45" t="inlineStr">
        <is>
          <t>Q2 2025</t>
        </is>
      </c>
      <c r="Z1" s="45" t="inlineStr">
        <is>
          <t>Q3 2025</t>
        </is>
      </c>
      <c r="AA1" s="45" t="inlineStr">
        <is>
          <t>Q4 2025</t>
        </is>
      </c>
      <c r="AB1" s="45" t="inlineStr">
        <is>
          <t>Q1 2026</t>
        </is>
      </c>
      <c r="AC1" s="45" t="inlineStr">
        <is>
          <t>Q2 2026</t>
        </is>
      </c>
    </row>
    <row r="2">
      <c r="A2" s="5" t="inlineStr">
        <is>
          <t xml:space="preserve">  INCOME STATEMENT</t>
        </is>
      </c>
      <c r="B2" s="6" t="n"/>
      <c r="C2" s="6" t="n"/>
      <c r="D2" s="6" t="n"/>
      <c r="E2" s="6" t="n"/>
      <c r="F2" s="6" t="n"/>
      <c r="G2" s="6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  <c r="AA2" s="6" t="n"/>
      <c r="AB2" s="6" t="n"/>
      <c r="AC2" s="6" t="n"/>
    </row>
    <row r="3">
      <c r="A3" s="4" t="inlineStr">
        <is>
          <t>Revenue</t>
        </is>
      </c>
      <c r="B3" s="18" t="n">
        <v>34740</v>
      </c>
      <c r="C3" s="18" t="n">
        <v>47498</v>
      </c>
      <c r="D3" s="18" t="n">
        <v>37040</v>
      </c>
      <c r="E3" s="18" t="n">
        <v>39072</v>
      </c>
      <c r="F3" s="18" t="n">
        <v>37266</v>
      </c>
      <c r="G3" s="18" t="n">
        <v>53383</v>
      </c>
      <c r="H3" s="18" t="n">
        <v>43208</v>
      </c>
      <c r="I3" s="18" t="n">
        <v>44769</v>
      </c>
      <c r="J3" s="18" t="n">
        <v>45277</v>
      </c>
      <c r="K3" s="18" t="n">
        <v>62675</v>
      </c>
      <c r="L3" s="18" t="n">
        <v>50363</v>
      </c>
      <c r="M3" s="18" t="n">
        <v>51904</v>
      </c>
      <c r="N3" s="18" t="n">
        <v>52596</v>
      </c>
      <c r="O3" s="18" t="n">
        <v>72091</v>
      </c>
      <c r="P3" s="18" t="n">
        <v>54437</v>
      </c>
      <c r="Q3" s="18" t="n">
        <v>55266</v>
      </c>
      <c r="R3" s="18" t="n">
        <v>53648</v>
      </c>
      <c r="S3" s="18" t="n">
        <v>78939</v>
      </c>
      <c r="T3" s="18" t="n">
        <v>57799</v>
      </c>
      <c r="U3" s="18" t="n">
        <v>58442</v>
      </c>
      <c r="V3" s="18" t="n">
        <v>58515</v>
      </c>
      <c r="W3" s="18" t="n">
        <v>79697</v>
      </c>
      <c r="X3" s="18" t="n">
        <v>62151</v>
      </c>
      <c r="Y3" s="18" t="n">
        <v>63723</v>
      </c>
      <c r="Z3" s="18" t="n">
        <v>63205</v>
      </c>
      <c r="AA3" s="18" t="n">
        <v>86156</v>
      </c>
      <c r="AB3" s="18" t="n">
        <v>67307</v>
      </c>
      <c r="AC3" s="18" t="n">
        <v>69597</v>
      </c>
    </row>
    <row r="4">
      <c r="A4" s="4" t="inlineStr">
        <is>
          <t xml:space="preserve">    % YoY</t>
        </is>
      </c>
      <c r="F4" s="25">
        <f>IFERROR(F3/B3-1,"")</f>
        <v/>
      </c>
      <c r="G4" s="25">
        <f>IFERROR(G3/C3-1,"")</f>
        <v/>
      </c>
      <c r="H4" s="25">
        <f>IFERROR(H3/D3-1,"")</f>
        <v/>
      </c>
      <c r="I4" s="25">
        <f>IFERROR(I3/E3-1,"")</f>
        <v/>
      </c>
      <c r="J4" s="25">
        <f>IFERROR(J3/F3-1,"")</f>
        <v/>
      </c>
      <c r="K4" s="25">
        <f>IFERROR(K3/G3-1,"")</f>
        <v/>
      </c>
      <c r="L4" s="25">
        <f>IFERROR(L3/H3-1,"")</f>
        <v/>
      </c>
      <c r="M4" s="25">
        <f>IFERROR(M3/I3-1,"")</f>
        <v/>
      </c>
      <c r="N4" s="25">
        <f>IFERROR(N3/J3-1,"")</f>
        <v/>
      </c>
      <c r="O4" s="25">
        <f>IFERROR(O3/K3-1,"")</f>
        <v/>
      </c>
      <c r="P4" s="25">
        <f>IFERROR(P3/L3-1,"")</f>
        <v/>
      </c>
      <c r="Q4" s="25">
        <f>IFERROR(Q3/M3-1,"")</f>
        <v/>
      </c>
      <c r="R4" s="25">
        <f>IFERROR(R3/N3-1,"")</f>
        <v/>
      </c>
      <c r="S4" s="25">
        <f>IFERROR(S3/O3-1,"")</f>
        <v/>
      </c>
      <c r="T4" s="25">
        <f>IFERROR(T3/P3-1,"")</f>
        <v/>
      </c>
      <c r="U4" s="25">
        <f>IFERROR(U3/Q3-1,"")</f>
        <v/>
      </c>
      <c r="V4" s="25">
        <f>IFERROR(V3/R3-1,"")</f>
        <v/>
      </c>
      <c r="W4" s="25">
        <f>IFERROR(W3/S3-1,"")</f>
        <v/>
      </c>
      <c r="X4" s="25">
        <f>IFERROR(X3/T3-1,"")</f>
        <v/>
      </c>
      <c r="Y4" s="25">
        <f>IFERROR(Y3/U3-1,"")</f>
        <v/>
      </c>
      <c r="Z4" s="25">
        <f>IFERROR(Z3/V3-1,"")</f>
        <v/>
      </c>
      <c r="AA4" s="25">
        <f>IFERROR(AA3/W3-1,"")</f>
        <v/>
      </c>
      <c r="AB4" s="25">
        <f>IFERROR(AB3/X3-1,"")</f>
        <v/>
      </c>
      <c r="AC4" s="25">
        <f>IFERROR(AC3/Y3-1,"")</f>
        <v/>
      </c>
    </row>
    <row r="5">
      <c r="A5" s="4" t="inlineStr">
        <is>
          <t>Cost of Revenue</t>
        </is>
      </c>
      <c r="B5" s="18" t="n">
        <v>30233</v>
      </c>
      <c r="C5" s="18" t="n">
        <v>41310</v>
      </c>
      <c r="D5" s="18" t="n">
        <v>32233</v>
      </c>
      <c r="E5" s="18" t="n">
        <v>34056</v>
      </c>
      <c r="F5" s="18" t="n">
        <v>32249</v>
      </c>
      <c r="G5" s="18" t="n">
        <v>46401</v>
      </c>
      <c r="H5" s="18" t="n">
        <v>37458</v>
      </c>
      <c r="I5" s="18" t="n">
        <v>39078</v>
      </c>
      <c r="J5" s="18" t="n">
        <v>39415</v>
      </c>
      <c r="K5" s="18" t="n">
        <v>54733</v>
      </c>
      <c r="L5" s="18" t="n">
        <v>43952</v>
      </c>
      <c r="M5" s="18" t="n">
        <v>45517</v>
      </c>
      <c r="N5" s="18" t="n">
        <v>46355</v>
      </c>
      <c r="O5" s="18" t="n">
        <v>63558</v>
      </c>
      <c r="P5" s="18" t="n">
        <v>47769</v>
      </c>
      <c r="Q5" s="18" t="n">
        <v>48423</v>
      </c>
      <c r="R5" s="18" t="n">
        <v>47175</v>
      </c>
      <c r="S5" s="18" t="n">
        <v>69219</v>
      </c>
      <c r="T5" s="18" t="n">
        <v>50457</v>
      </c>
      <c r="U5" s="18" t="n">
        <v>51140</v>
      </c>
      <c r="V5" s="18" t="n">
        <v>51173</v>
      </c>
      <c r="W5" s="18" t="n">
        <v>69588</v>
      </c>
      <c r="X5" s="18" t="n">
        <v>54109</v>
      </c>
      <c r="Y5" s="18" t="n">
        <v>55744</v>
      </c>
      <c r="Z5" s="18" t="n">
        <v>54996</v>
      </c>
      <c r="AA5" s="18" t="n">
        <v>75037</v>
      </c>
      <c r="AB5" s="18" t="n">
        <v>58510</v>
      </c>
      <c r="AC5" s="18" t="n">
        <v>60719</v>
      </c>
    </row>
    <row r="6">
      <c r="A6" s="4" t="inlineStr">
        <is>
          <t xml:space="preserve">    % of revenue</t>
        </is>
      </c>
      <c r="B6" s="25">
        <f>IFERROR(B5/B3,"")</f>
        <v/>
      </c>
      <c r="C6" s="25">
        <f>IFERROR(C5/C3,"")</f>
        <v/>
      </c>
      <c r="D6" s="25">
        <f>IFERROR(D5/D3,"")</f>
        <v/>
      </c>
      <c r="E6" s="25">
        <f>IFERROR(E5/E3,"")</f>
        <v/>
      </c>
      <c r="F6" s="25">
        <f>IFERROR(F5/F3,"")</f>
        <v/>
      </c>
      <c r="G6" s="25">
        <f>IFERROR(G5/G3,"")</f>
        <v/>
      </c>
      <c r="H6" s="25">
        <f>IFERROR(H5/H3,"")</f>
        <v/>
      </c>
      <c r="I6" s="25">
        <f>IFERROR(I5/I3,"")</f>
        <v/>
      </c>
      <c r="J6" s="25">
        <f>IFERROR(J5/J3,"")</f>
        <v/>
      </c>
      <c r="K6" s="25">
        <f>IFERROR(K5/K3,"")</f>
        <v/>
      </c>
      <c r="L6" s="25">
        <f>IFERROR(L5/L3,"")</f>
        <v/>
      </c>
      <c r="M6" s="25">
        <f>IFERROR(M5/M3,"")</f>
        <v/>
      </c>
      <c r="N6" s="25">
        <f>IFERROR(N5/N3,"")</f>
        <v/>
      </c>
      <c r="O6" s="25">
        <f>IFERROR(O5/O3,"")</f>
        <v/>
      </c>
      <c r="P6" s="25">
        <f>IFERROR(P5/P3,"")</f>
        <v/>
      </c>
      <c r="Q6" s="25">
        <f>IFERROR(Q5/Q3,"")</f>
        <v/>
      </c>
      <c r="R6" s="25">
        <f>IFERROR(R5/R3,"")</f>
        <v/>
      </c>
      <c r="S6" s="25">
        <f>IFERROR(S5/S3,"")</f>
        <v/>
      </c>
      <c r="T6" s="25">
        <f>IFERROR(T5/T3,"")</f>
        <v/>
      </c>
      <c r="U6" s="25">
        <f>IFERROR(U5/U3,"")</f>
        <v/>
      </c>
      <c r="V6" s="25">
        <f>IFERROR(V5/V3,"")</f>
        <v/>
      </c>
      <c r="W6" s="25">
        <f>IFERROR(W5/W3,"")</f>
        <v/>
      </c>
      <c r="X6" s="25">
        <f>IFERROR(X5/X3,"")</f>
        <v/>
      </c>
      <c r="Y6" s="25">
        <f>IFERROR(Y5/Y3,"")</f>
        <v/>
      </c>
      <c r="Z6" s="25">
        <f>IFERROR(Z5/Z3,"")</f>
        <v/>
      </c>
      <c r="AA6" s="25">
        <f>IFERROR(AA5/AA3,"")</f>
        <v/>
      </c>
      <c r="AB6" s="25">
        <f>IFERROR(AB5/AB3,"")</f>
        <v/>
      </c>
      <c r="AC6" s="25">
        <f>IFERROR(AC5/AC3,"")</f>
        <v/>
      </c>
    </row>
    <row r="7">
      <c r="A7" s="4" t="inlineStr">
        <is>
          <t>R&amp;D Expense</t>
        </is>
      </c>
      <c r="B7" s="18" t="n">
        <v>0</v>
      </c>
      <c r="C7" s="18" t="n">
        <v>0</v>
      </c>
      <c r="D7" s="18" t="n">
        <v>0</v>
      </c>
      <c r="E7" s="18" t="n">
        <v>0</v>
      </c>
      <c r="F7" s="18" t="n">
        <v>0</v>
      </c>
      <c r="G7" s="18" t="n">
        <v>0</v>
      </c>
      <c r="H7" s="18" t="n">
        <v>0</v>
      </c>
      <c r="I7" s="18" t="n">
        <v>0</v>
      </c>
      <c r="J7" s="18" t="n">
        <v>0</v>
      </c>
      <c r="K7" s="18" t="n">
        <v>0</v>
      </c>
      <c r="L7" s="18" t="n">
        <v>0</v>
      </c>
      <c r="M7" s="18" t="n">
        <v>0</v>
      </c>
      <c r="N7" s="18" t="n">
        <v>0</v>
      </c>
      <c r="O7" s="18" t="n">
        <v>0</v>
      </c>
      <c r="P7" s="18" t="n">
        <v>0</v>
      </c>
      <c r="Q7" s="18" t="n">
        <v>0</v>
      </c>
      <c r="R7" s="18" t="n">
        <v>0</v>
      </c>
      <c r="S7" s="18" t="n">
        <v>0</v>
      </c>
      <c r="T7" s="18" t="n">
        <v>0</v>
      </c>
      <c r="U7" s="18" t="n">
        <v>0</v>
      </c>
      <c r="V7" s="18" t="n">
        <v>0</v>
      </c>
      <c r="W7" s="18" t="n">
        <v>0</v>
      </c>
      <c r="X7" s="18" t="n">
        <v>0</v>
      </c>
      <c r="Y7" s="18" t="n">
        <v>0</v>
      </c>
      <c r="Z7" s="18" t="n">
        <v>0</v>
      </c>
      <c r="AA7" s="18" t="n">
        <v>0</v>
      </c>
      <c r="AB7" s="18" t="n">
        <v>0</v>
      </c>
      <c r="AC7" s="18" t="n">
        <v>0</v>
      </c>
    </row>
    <row r="8">
      <c r="A8" s="4" t="inlineStr">
        <is>
          <t xml:space="preserve">    % of revenue</t>
        </is>
      </c>
      <c r="B8" s="25">
        <f>IFERROR(B7/B3,"")</f>
        <v/>
      </c>
      <c r="C8" s="25">
        <f>IFERROR(C7/C3,"")</f>
        <v/>
      </c>
      <c r="D8" s="25">
        <f>IFERROR(D7/D3,"")</f>
        <v/>
      </c>
      <c r="E8" s="25">
        <f>IFERROR(E7/E3,"")</f>
        <v/>
      </c>
      <c r="F8" s="25">
        <f>IFERROR(F7/F3,"")</f>
        <v/>
      </c>
      <c r="G8" s="25">
        <f>IFERROR(G7/G3,"")</f>
        <v/>
      </c>
      <c r="H8" s="25">
        <f>IFERROR(H7/H3,"")</f>
        <v/>
      </c>
      <c r="I8" s="25">
        <f>IFERROR(I7/I3,"")</f>
        <v/>
      </c>
      <c r="J8" s="25">
        <f>IFERROR(J7/J3,"")</f>
        <v/>
      </c>
      <c r="K8" s="25">
        <f>IFERROR(K7/K3,"")</f>
        <v/>
      </c>
      <c r="L8" s="25">
        <f>IFERROR(L7/L3,"")</f>
        <v/>
      </c>
      <c r="M8" s="25">
        <f>IFERROR(M7/M3,"")</f>
        <v/>
      </c>
      <c r="N8" s="25">
        <f>IFERROR(N7/N3,"")</f>
        <v/>
      </c>
      <c r="O8" s="25">
        <f>IFERROR(O7/O3,"")</f>
        <v/>
      </c>
      <c r="P8" s="25">
        <f>IFERROR(P7/P3,"")</f>
        <v/>
      </c>
      <c r="Q8" s="25">
        <f>IFERROR(Q7/Q3,"")</f>
        <v/>
      </c>
      <c r="R8" s="25">
        <f>IFERROR(R7/R3,"")</f>
        <v/>
      </c>
      <c r="S8" s="25">
        <f>IFERROR(S7/S3,"")</f>
        <v/>
      </c>
      <c r="T8" s="25">
        <f>IFERROR(T7/T3,"")</f>
        <v/>
      </c>
      <c r="U8" s="25">
        <f>IFERROR(U7/U3,"")</f>
        <v/>
      </c>
      <c r="V8" s="25">
        <f>IFERROR(V7/V3,"")</f>
        <v/>
      </c>
      <c r="W8" s="25">
        <f>IFERROR(W7/W3,"")</f>
        <v/>
      </c>
      <c r="X8" s="25">
        <f>IFERROR(X7/X3,"")</f>
        <v/>
      </c>
      <c r="Y8" s="25">
        <f>IFERROR(Y7/Y3,"")</f>
        <v/>
      </c>
      <c r="Z8" s="25">
        <f>IFERROR(Z7/Z3,"")</f>
        <v/>
      </c>
      <c r="AA8" s="25">
        <f>IFERROR(AA7/AA3,"")</f>
        <v/>
      </c>
      <c r="AB8" s="25">
        <f>IFERROR(AB7/AB3,"")</f>
        <v/>
      </c>
      <c r="AC8" s="25">
        <f>IFERROR(AC7/AC3,"")</f>
        <v/>
      </c>
    </row>
    <row r="9">
      <c r="A9" s="4" t="inlineStr">
        <is>
          <t>SG&amp;A Expense</t>
        </is>
      </c>
      <c r="B9" s="18" t="n">
        <v>3371</v>
      </c>
      <c r="C9" s="18" t="n">
        <v>4684</v>
      </c>
      <c r="D9" s="18" t="n">
        <v>3732</v>
      </c>
      <c r="E9" s="18" t="n">
        <v>3743</v>
      </c>
      <c r="F9" s="18" t="n">
        <v>3830</v>
      </c>
      <c r="G9" s="18" t="n">
        <v>5027</v>
      </c>
      <c r="H9" s="18" t="n">
        <v>4298</v>
      </c>
      <c r="I9" s="18" t="n">
        <v>4342</v>
      </c>
      <c r="J9" s="18" t="n">
        <v>4189</v>
      </c>
      <c r="K9" s="18" t="n">
        <v>5632</v>
      </c>
      <c r="L9" s="18" t="n">
        <v>4690</v>
      </c>
      <c r="M9" s="18" t="n">
        <v>4575</v>
      </c>
      <c r="N9" s="18" t="n">
        <v>4450</v>
      </c>
      <c r="O9" s="18" t="n">
        <v>6036</v>
      </c>
      <c r="P9" s="18" t="n">
        <v>4917</v>
      </c>
      <c r="Q9" s="18" t="n">
        <v>4940</v>
      </c>
      <c r="R9" s="18" t="n">
        <v>4794</v>
      </c>
      <c r="S9" s="18" t="n">
        <v>6939</v>
      </c>
      <c r="T9" s="18" t="n">
        <v>5358</v>
      </c>
      <c r="U9" s="18" t="n">
        <v>5240</v>
      </c>
      <c r="V9" s="18" t="n">
        <v>5145</v>
      </c>
      <c r="W9" s="18" t="n">
        <v>7067</v>
      </c>
      <c r="X9" s="18" t="n">
        <v>5846</v>
      </c>
      <c r="Y9" s="18" t="n">
        <v>5663</v>
      </c>
      <c r="Z9" s="18" t="n">
        <v>5679</v>
      </c>
      <c r="AA9" s="18" t="n">
        <v>7778</v>
      </c>
      <c r="AB9" s="18" t="n">
        <v>6334</v>
      </c>
      <c r="AC9" s="18" t="n">
        <v>6272</v>
      </c>
    </row>
    <row r="10">
      <c r="A10" s="4" t="inlineStr">
        <is>
          <t xml:space="preserve">    % of revenue</t>
        </is>
      </c>
      <c r="B10" s="25">
        <f>IFERROR(B9/B3,"")</f>
        <v/>
      </c>
      <c r="C10" s="25">
        <f>IFERROR(C9/C3,"")</f>
        <v/>
      </c>
      <c r="D10" s="25">
        <f>IFERROR(D9/D3,"")</f>
        <v/>
      </c>
      <c r="E10" s="25">
        <f>IFERROR(E9/E3,"")</f>
        <v/>
      </c>
      <c r="F10" s="25">
        <f>IFERROR(F9/F3,"")</f>
        <v/>
      </c>
      <c r="G10" s="25">
        <f>IFERROR(G9/G3,"")</f>
        <v/>
      </c>
      <c r="H10" s="25">
        <f>IFERROR(H9/H3,"")</f>
        <v/>
      </c>
      <c r="I10" s="25">
        <f>IFERROR(I9/I3,"")</f>
        <v/>
      </c>
      <c r="J10" s="25">
        <f>IFERROR(J9/J3,"")</f>
        <v/>
      </c>
      <c r="K10" s="25">
        <f>IFERROR(K9/K3,"")</f>
        <v/>
      </c>
      <c r="L10" s="25">
        <f>IFERROR(L9/L3,"")</f>
        <v/>
      </c>
      <c r="M10" s="25">
        <f>IFERROR(M9/M3,"")</f>
        <v/>
      </c>
      <c r="N10" s="25">
        <f>IFERROR(N9/N3,"")</f>
        <v/>
      </c>
      <c r="O10" s="25">
        <f>IFERROR(O9/O3,"")</f>
        <v/>
      </c>
      <c r="P10" s="25">
        <f>IFERROR(P9/P3,"")</f>
        <v/>
      </c>
      <c r="Q10" s="25">
        <f>IFERROR(Q9/Q3,"")</f>
        <v/>
      </c>
      <c r="R10" s="25">
        <f>IFERROR(R9/R3,"")</f>
        <v/>
      </c>
      <c r="S10" s="25">
        <f>IFERROR(S9/S3,"")</f>
        <v/>
      </c>
      <c r="T10" s="25">
        <f>IFERROR(T9/T3,"")</f>
        <v/>
      </c>
      <c r="U10" s="25">
        <f>IFERROR(U9/U3,"")</f>
        <v/>
      </c>
      <c r="V10" s="25">
        <f>IFERROR(V9/V3,"")</f>
        <v/>
      </c>
      <c r="W10" s="25">
        <f>IFERROR(W9/W3,"")</f>
        <v/>
      </c>
      <c r="X10" s="25">
        <f>IFERROR(X9/X3,"")</f>
        <v/>
      </c>
      <c r="Y10" s="25">
        <f>IFERROR(Y9/Y3,"")</f>
        <v/>
      </c>
      <c r="Z10" s="25">
        <f>IFERROR(Z9/Z3,"")</f>
        <v/>
      </c>
      <c r="AA10" s="25">
        <f>IFERROR(AA9/AA3,"")</f>
        <v/>
      </c>
      <c r="AB10" s="25">
        <f>IFERROR(AB9/AB3,"")</f>
        <v/>
      </c>
      <c r="AC10" s="25">
        <f>IFERROR(AC9/AC3,"")</f>
        <v/>
      </c>
    </row>
    <row r="11">
      <c r="A11" s="4" t="inlineStr">
        <is>
          <t>Gross Profit</t>
        </is>
      </c>
      <c r="B11" s="18" t="n">
        <v>4507</v>
      </c>
      <c r="C11" s="18" t="n">
        <v>6188</v>
      </c>
      <c r="D11" s="18" t="n">
        <v>4807</v>
      </c>
      <c r="E11" s="18" t="n">
        <v>5016</v>
      </c>
      <c r="F11" s="18" t="n">
        <v>5017</v>
      </c>
      <c r="G11" s="18" t="n">
        <v>6982</v>
      </c>
      <c r="H11" s="18" t="n">
        <v>5750</v>
      </c>
      <c r="I11" s="18" t="n">
        <v>5691</v>
      </c>
      <c r="J11" s="18" t="n">
        <v>5862</v>
      </c>
      <c r="K11" s="18" t="n">
        <v>7942</v>
      </c>
      <c r="L11" s="18" t="n">
        <v>6411</v>
      </c>
      <c r="M11" s="18" t="n">
        <v>6387</v>
      </c>
      <c r="N11" s="18" t="n">
        <v>6241</v>
      </c>
      <c r="O11" s="18" t="n">
        <v>8533</v>
      </c>
      <c r="P11" s="18" t="n">
        <v>6668</v>
      </c>
      <c r="Q11" s="18" t="n">
        <v>6843</v>
      </c>
      <c r="R11" s="18" t="n">
        <v>6473</v>
      </c>
      <c r="S11" s="18" t="n">
        <v>9720</v>
      </c>
      <c r="T11" s="18" t="n">
        <v>7342</v>
      </c>
      <c r="U11" s="18" t="n">
        <v>7302</v>
      </c>
      <c r="V11" s="18" t="n">
        <v>7342</v>
      </c>
      <c r="W11" s="18" t="n">
        <v>10109</v>
      </c>
      <c r="X11" s="18" t="n">
        <v>8042</v>
      </c>
      <c r="Y11" s="18" t="n">
        <v>7979</v>
      </c>
      <c r="Z11" s="18" t="n">
        <v>8209</v>
      </c>
      <c r="AA11" s="18" t="n">
        <v>11119</v>
      </c>
      <c r="AB11" s="18" t="n">
        <v>8797</v>
      </c>
      <c r="AC11" s="18" t="n">
        <v>8878</v>
      </c>
    </row>
    <row r="12">
      <c r="A12" s="4" t="inlineStr">
        <is>
          <t xml:space="preserve">    gross margin</t>
        </is>
      </c>
      <c r="B12" s="25">
        <f>IFERROR(B11/B3,"")</f>
        <v/>
      </c>
      <c r="C12" s="25">
        <f>IFERROR(C11/C3,"")</f>
        <v/>
      </c>
      <c r="D12" s="25">
        <f>IFERROR(D11/D3,"")</f>
        <v/>
      </c>
      <c r="E12" s="25">
        <f>IFERROR(E11/E3,"")</f>
        <v/>
      </c>
      <c r="F12" s="25">
        <f>IFERROR(F11/F3,"")</f>
        <v/>
      </c>
      <c r="G12" s="25">
        <f>IFERROR(G11/G3,"")</f>
        <v/>
      </c>
      <c r="H12" s="25">
        <f>IFERROR(H11/H3,"")</f>
        <v/>
      </c>
      <c r="I12" s="25">
        <f>IFERROR(I11/I3,"")</f>
        <v/>
      </c>
      <c r="J12" s="25">
        <f>IFERROR(J11/J3,"")</f>
        <v/>
      </c>
      <c r="K12" s="25">
        <f>IFERROR(K11/K3,"")</f>
        <v/>
      </c>
      <c r="L12" s="25">
        <f>IFERROR(L11/L3,"")</f>
        <v/>
      </c>
      <c r="M12" s="25">
        <f>IFERROR(M11/M3,"")</f>
        <v/>
      </c>
      <c r="N12" s="25">
        <f>IFERROR(N11/N3,"")</f>
        <v/>
      </c>
      <c r="O12" s="25">
        <f>IFERROR(O11/O3,"")</f>
        <v/>
      </c>
      <c r="P12" s="25">
        <f>IFERROR(P11/P3,"")</f>
        <v/>
      </c>
      <c r="Q12" s="25">
        <f>IFERROR(Q11/Q3,"")</f>
        <v/>
      </c>
      <c r="R12" s="25">
        <f>IFERROR(R11/R3,"")</f>
        <v/>
      </c>
      <c r="S12" s="25">
        <f>IFERROR(S11/S3,"")</f>
        <v/>
      </c>
      <c r="T12" s="25">
        <f>IFERROR(T11/T3,"")</f>
        <v/>
      </c>
      <c r="U12" s="25">
        <f>IFERROR(U11/U3,"")</f>
        <v/>
      </c>
      <c r="V12" s="25">
        <f>IFERROR(V11/V3,"")</f>
        <v/>
      </c>
      <c r="W12" s="25">
        <f>IFERROR(W11/W3,"")</f>
        <v/>
      </c>
      <c r="X12" s="25">
        <f>IFERROR(X11/X3,"")</f>
        <v/>
      </c>
      <c r="Y12" s="25">
        <f>IFERROR(Y11/Y3,"")</f>
        <v/>
      </c>
      <c r="Z12" s="25">
        <f>IFERROR(Z11/Z3,"")</f>
        <v/>
      </c>
      <c r="AA12" s="25">
        <f>IFERROR(AA11/AA3,"")</f>
        <v/>
      </c>
      <c r="AB12" s="25">
        <f>IFERROR(AB11/AB3,"")</f>
        <v/>
      </c>
      <c r="AC12" s="25">
        <f>IFERROR(AC11/AC3,"")</f>
        <v/>
      </c>
    </row>
    <row r="13">
      <c r="A13" s="4" t="inlineStr">
        <is>
          <t>Operating Income</t>
        </is>
      </c>
      <c r="B13" s="18" t="n">
        <v>1122</v>
      </c>
      <c r="C13" s="18" t="n">
        <v>1463</v>
      </c>
      <c r="D13" s="18" t="n">
        <v>1061</v>
      </c>
      <c r="E13" s="18" t="n">
        <v>1266</v>
      </c>
      <c r="F13" s="18" t="n">
        <v>1179</v>
      </c>
      <c r="G13" s="18" t="n">
        <v>1929</v>
      </c>
      <c r="H13" s="18" t="n">
        <v>1430</v>
      </c>
      <c r="I13" s="18" t="n">
        <v>1340</v>
      </c>
      <c r="J13" s="18" t="n">
        <v>1663</v>
      </c>
      <c r="K13" s="18" t="n">
        <v>2275</v>
      </c>
      <c r="L13" s="18" t="n">
        <v>1693</v>
      </c>
      <c r="M13" s="18" t="n">
        <v>1812</v>
      </c>
      <c r="N13" s="18" t="n">
        <v>1791</v>
      </c>
      <c r="O13" s="18" t="n">
        <v>2497</v>
      </c>
      <c r="P13" s="18" t="n">
        <v>1751</v>
      </c>
      <c r="Q13" s="18" t="n">
        <v>1903</v>
      </c>
      <c r="R13" s="18" t="n">
        <v>1679</v>
      </c>
      <c r="S13" s="18" t="n">
        <v>2781</v>
      </c>
      <c r="T13" s="18" t="n">
        <v>1984</v>
      </c>
      <c r="U13" s="18" t="n">
        <v>2062</v>
      </c>
      <c r="V13" s="18" t="n">
        <v>2197</v>
      </c>
      <c r="W13" s="18" t="n">
        <v>3042</v>
      </c>
      <c r="X13" s="18" t="n">
        <v>2196</v>
      </c>
      <c r="Y13" s="18" t="n">
        <v>2316</v>
      </c>
      <c r="Z13" s="18" t="n">
        <v>2530</v>
      </c>
      <c r="AA13" s="18" t="n">
        <v>3341</v>
      </c>
      <c r="AB13" s="18" t="n">
        <v>2463</v>
      </c>
      <c r="AC13" s="18" t="n">
        <v>2606</v>
      </c>
    </row>
    <row r="14">
      <c r="A14" s="4" t="inlineStr">
        <is>
          <t xml:space="preserve">    operating margin</t>
        </is>
      </c>
      <c r="B14" s="25">
        <f>IFERROR(B13/B3,"")</f>
        <v/>
      </c>
      <c r="C14" s="25">
        <f>IFERROR(C13/C3,"")</f>
        <v/>
      </c>
      <c r="D14" s="25">
        <f>IFERROR(D13/D3,"")</f>
        <v/>
      </c>
      <c r="E14" s="25">
        <f>IFERROR(E13/E3,"")</f>
        <v/>
      </c>
      <c r="F14" s="25">
        <f>IFERROR(F13/F3,"")</f>
        <v/>
      </c>
      <c r="G14" s="25">
        <f>IFERROR(G13/G3,"")</f>
        <v/>
      </c>
      <c r="H14" s="25">
        <f>IFERROR(H13/H3,"")</f>
        <v/>
      </c>
      <c r="I14" s="25">
        <f>IFERROR(I13/I3,"")</f>
        <v/>
      </c>
      <c r="J14" s="25">
        <f>IFERROR(J13/J3,"")</f>
        <v/>
      </c>
      <c r="K14" s="25">
        <f>IFERROR(K13/K3,"")</f>
        <v/>
      </c>
      <c r="L14" s="25">
        <f>IFERROR(L13/L3,"")</f>
        <v/>
      </c>
      <c r="M14" s="25">
        <f>IFERROR(M13/M3,"")</f>
        <v/>
      </c>
      <c r="N14" s="25">
        <f>IFERROR(N13/N3,"")</f>
        <v/>
      </c>
      <c r="O14" s="25">
        <f>IFERROR(O13/O3,"")</f>
        <v/>
      </c>
      <c r="P14" s="25">
        <f>IFERROR(P13/P3,"")</f>
        <v/>
      </c>
      <c r="Q14" s="25">
        <f>IFERROR(Q13/Q3,"")</f>
        <v/>
      </c>
      <c r="R14" s="25">
        <f>IFERROR(R13/R3,"")</f>
        <v/>
      </c>
      <c r="S14" s="25">
        <f>IFERROR(S13/S3,"")</f>
        <v/>
      </c>
      <c r="T14" s="25">
        <f>IFERROR(T13/T3,"")</f>
        <v/>
      </c>
      <c r="U14" s="25">
        <f>IFERROR(U13/U3,"")</f>
        <v/>
      </c>
      <c r="V14" s="25">
        <f>IFERROR(V13/V3,"")</f>
        <v/>
      </c>
      <c r="W14" s="25">
        <f>IFERROR(W13/W3,"")</f>
        <v/>
      </c>
      <c r="X14" s="25">
        <f>IFERROR(X13/X3,"")</f>
        <v/>
      </c>
      <c r="Y14" s="25">
        <f>IFERROR(Y13/Y3,"")</f>
        <v/>
      </c>
      <c r="Z14" s="25">
        <f>IFERROR(Z13/Z3,"")</f>
        <v/>
      </c>
      <c r="AA14" s="25">
        <f>IFERROR(AA13/AA3,"")</f>
        <v/>
      </c>
      <c r="AB14" s="25">
        <f>IFERROR(AB13/AB3,"")</f>
        <v/>
      </c>
      <c r="AC14" s="25">
        <f>IFERROR(AC13/AC3,"")</f>
        <v/>
      </c>
    </row>
    <row r="15">
      <c r="A15" s="4" t="inlineStr">
        <is>
          <t>Net Income</t>
        </is>
      </c>
      <c r="B15" s="18" t="n">
        <v>906</v>
      </c>
      <c r="C15" s="18" t="n">
        <v>1097</v>
      </c>
      <c r="D15" s="18" t="n">
        <v>844</v>
      </c>
      <c r="E15" s="18" t="n">
        <v>931</v>
      </c>
      <c r="F15" s="18" t="n">
        <v>838</v>
      </c>
      <c r="G15" s="18" t="n">
        <v>1389</v>
      </c>
      <c r="H15" s="18" t="n">
        <v>1166</v>
      </c>
      <c r="I15" s="18" t="n">
        <v>951</v>
      </c>
      <c r="J15" s="18" t="n">
        <v>1220</v>
      </c>
      <c r="K15" s="18" t="n">
        <v>1670</v>
      </c>
      <c r="L15" s="18" t="n">
        <v>1324</v>
      </c>
      <c r="M15" s="18" t="n">
        <v>1299</v>
      </c>
      <c r="N15" s="18" t="n">
        <v>1353</v>
      </c>
      <c r="O15" s="18" t="n">
        <v>1868</v>
      </c>
      <c r="P15" s="18" t="n">
        <v>1364</v>
      </c>
      <c r="Q15" s="18" t="n">
        <v>1466</v>
      </c>
      <c r="R15" s="18" t="n">
        <v>1302</v>
      </c>
      <c r="S15" s="18" t="n">
        <v>2160</v>
      </c>
      <c r="T15" s="18" t="n">
        <v>1589</v>
      </c>
      <c r="U15" s="18" t="n">
        <v>1743</v>
      </c>
      <c r="V15" s="18" t="n">
        <v>1681</v>
      </c>
      <c r="W15" s="18" t="n">
        <v>2354</v>
      </c>
      <c r="X15" s="18" t="n">
        <v>1798</v>
      </c>
      <c r="Y15" s="18" t="n">
        <v>1788</v>
      </c>
      <c r="Z15" s="18" t="n">
        <v>1903</v>
      </c>
      <c r="AA15" s="18" t="n">
        <v>2610</v>
      </c>
      <c r="AB15" s="18" t="n">
        <v>2001</v>
      </c>
      <c r="AC15" s="18" t="n">
        <v>2035</v>
      </c>
    </row>
    <row r="16">
      <c r="A16" s="4" t="inlineStr">
        <is>
          <t xml:space="preserve">    net margin</t>
        </is>
      </c>
      <c r="B16" s="25">
        <f>IFERROR(B15/B3,"")</f>
        <v/>
      </c>
      <c r="C16" s="25">
        <f>IFERROR(C15/C3,"")</f>
        <v/>
      </c>
      <c r="D16" s="25">
        <f>IFERROR(D15/D3,"")</f>
        <v/>
      </c>
      <c r="E16" s="25">
        <f>IFERROR(E15/E3,"")</f>
        <v/>
      </c>
      <c r="F16" s="25">
        <f>IFERROR(F15/F3,"")</f>
        <v/>
      </c>
      <c r="G16" s="25">
        <f>IFERROR(G15/G3,"")</f>
        <v/>
      </c>
      <c r="H16" s="25">
        <f>IFERROR(H15/H3,"")</f>
        <v/>
      </c>
      <c r="I16" s="25">
        <f>IFERROR(I15/I3,"")</f>
        <v/>
      </c>
      <c r="J16" s="25">
        <f>IFERROR(J15/J3,"")</f>
        <v/>
      </c>
      <c r="K16" s="25">
        <f>IFERROR(K15/K3,"")</f>
        <v/>
      </c>
      <c r="L16" s="25">
        <f>IFERROR(L15/L3,"")</f>
        <v/>
      </c>
      <c r="M16" s="25">
        <f>IFERROR(M15/M3,"")</f>
        <v/>
      </c>
      <c r="N16" s="25">
        <f>IFERROR(N15/N3,"")</f>
        <v/>
      </c>
      <c r="O16" s="25">
        <f>IFERROR(O15/O3,"")</f>
        <v/>
      </c>
      <c r="P16" s="25">
        <f>IFERROR(P15/P3,"")</f>
        <v/>
      </c>
      <c r="Q16" s="25">
        <f>IFERROR(Q15/Q3,"")</f>
        <v/>
      </c>
      <c r="R16" s="25">
        <f>IFERROR(R15/R3,"")</f>
        <v/>
      </c>
      <c r="S16" s="25">
        <f>IFERROR(S15/S3,"")</f>
        <v/>
      </c>
      <c r="T16" s="25">
        <f>IFERROR(T15/T3,"")</f>
        <v/>
      </c>
      <c r="U16" s="25">
        <f>IFERROR(U15/U3,"")</f>
        <v/>
      </c>
      <c r="V16" s="25">
        <f>IFERROR(V15/V3,"")</f>
        <v/>
      </c>
      <c r="W16" s="25">
        <f>IFERROR(W15/W3,"")</f>
        <v/>
      </c>
      <c r="X16" s="25">
        <f>IFERROR(X15/X3,"")</f>
        <v/>
      </c>
      <c r="Y16" s="25">
        <f>IFERROR(Y15/Y3,"")</f>
        <v/>
      </c>
      <c r="Z16" s="25">
        <f>IFERROR(Z15/Z3,"")</f>
        <v/>
      </c>
      <c r="AA16" s="25">
        <f>IFERROR(AA15/AA3,"")</f>
        <v/>
      </c>
      <c r="AB16" s="25">
        <f>IFERROR(AB15/AB3,"")</f>
        <v/>
      </c>
      <c r="AC16" s="25">
        <f>IFERROR(AC15/AC3,"")</f>
        <v/>
      </c>
    </row>
    <row r="17">
      <c r="A17" s="4" t="inlineStr">
        <is>
          <t>Diluted Shares (M)</t>
        </is>
      </c>
      <c r="B17" s="18" t="n">
        <v>442.642</v>
      </c>
      <c r="C17" s="18" t="n">
        <v>443.997</v>
      </c>
      <c r="D17" s="18" t="n">
        <v>443.68</v>
      </c>
      <c r="E17" s="18" t="n">
        <v>443.727</v>
      </c>
      <c r="F17" s="18" t="n">
        <v>443.855</v>
      </c>
      <c r="G17" s="18" t="n">
        <v>444.342</v>
      </c>
      <c r="H17" s="18" t="n">
        <v>444.386</v>
      </c>
      <c r="I17" s="18" t="n">
        <v>444.494</v>
      </c>
      <c r="J17" s="18" t="n">
        <v>444.127</v>
      </c>
      <c r="K17" s="18" t="n">
        <v>444.376</v>
      </c>
      <c r="L17" s="18" t="n">
        <v>444.604</v>
      </c>
      <c r="M17" s="18" t="n">
        <v>444.916</v>
      </c>
      <c r="N17" s="18" t="n">
        <v>444.886</v>
      </c>
      <c r="O17" s="18" t="n">
        <v>444.655</v>
      </c>
      <c r="P17" s="18" t="n">
        <v>444.531</v>
      </c>
      <c r="Q17" s="18" t="n">
        <v>444.475</v>
      </c>
      <c r="R17" s="18" t="n">
        <v>444.36</v>
      </c>
      <c r="S17" s="18" t="n">
        <v>444.445</v>
      </c>
      <c r="T17" s="18" t="n">
        <v>444.403</v>
      </c>
      <c r="U17" s="18" t="n">
        <v>444.754</v>
      </c>
      <c r="V17" s="18" t="n">
        <v>444.828</v>
      </c>
      <c r="W17" s="18" t="n">
        <v>444.977</v>
      </c>
      <c r="X17" s="18" t="n">
        <v>444.977</v>
      </c>
      <c r="Y17" s="18" t="n">
        <v>444.886</v>
      </c>
      <c r="Z17" s="18" t="n">
        <v>444.762</v>
      </c>
      <c r="AA17" s="18" t="n">
        <v>444.706</v>
      </c>
      <c r="AB17" s="18" t="n">
        <v>444.515</v>
      </c>
      <c r="AC17" s="18" t="n">
        <v>444.515</v>
      </c>
    </row>
    <row r="18">
      <c r="A18" s="5" t="inlineStr">
        <is>
          <t xml:space="preserve">  REVENUE BY SEGMENT — PRODUCT (% YoY, % of revenue)</t>
        </is>
      </c>
      <c r="B18" s="6" t="n"/>
      <c r="C18" s="6" t="n"/>
      <c r="D18" s="6" t="n"/>
      <c r="E18" s="6" t="n"/>
      <c r="F18" s="6" t="n"/>
      <c r="G18" s="6" t="n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  <c r="Y18" s="6" t="n"/>
      <c r="Z18" s="6" t="n"/>
      <c r="AA18" s="6" t="n"/>
      <c r="AB18" s="6" t="n"/>
      <c r="AC18" s="6" t="n"/>
    </row>
    <row r="19">
      <c r="A19" s="4" t="inlineStr">
        <is>
          <t>Food and Sundries</t>
        </is>
      </c>
      <c r="B19" s="18" t="n">
        <v>13524</v>
      </c>
      <c r="C19" s="18" t="n">
        <v>18541</v>
      </c>
      <c r="D19" s="18" t="n">
        <v>14532</v>
      </c>
      <c r="E19" s="18" t="n">
        <v>14984</v>
      </c>
      <c r="F19" s="18" t="n">
        <v>16897</v>
      </c>
      <c r="G19" s="18" t="n">
        <v>22246</v>
      </c>
      <c r="H19" s="18" t="n">
        <v>18019</v>
      </c>
      <c r="I19" s="18" t="n">
        <v>17624</v>
      </c>
      <c r="J19" s="18" t="n">
        <v>17551</v>
      </c>
      <c r="K19" s="18" t="n">
        <v>24083</v>
      </c>
      <c r="L19" s="18" t="n">
        <v>19563</v>
      </c>
      <c r="M19" s="18" t="n">
        <v>19489</v>
      </c>
      <c r="N19" s="18" t="n">
        <v>19594</v>
      </c>
      <c r="O19" s="18" t="n">
        <v>26983</v>
      </c>
      <c r="P19" s="18" t="n">
        <v>21448</v>
      </c>
      <c r="Q19" s="18" t="n">
        <v>21926</v>
      </c>
      <c r="R19" s="18" t="n">
        <v>21298</v>
      </c>
      <c r="S19" s="18" t="n">
        <v>31503</v>
      </c>
      <c r="T19" s="18" t="n">
        <v>23024</v>
      </c>
      <c r="U19" s="18" t="n">
        <v>23675</v>
      </c>
      <c r="V19" s="18" t="n">
        <v>23065</v>
      </c>
      <c r="W19" s="18" t="n">
        <v>31699</v>
      </c>
      <c r="X19" s="18" t="n">
        <v>25062</v>
      </c>
      <c r="Y19" s="18" t="n">
        <v>25112</v>
      </c>
      <c r="Z19" s="18" t="n">
        <v>25149</v>
      </c>
      <c r="AA19" s="18" t="n">
        <v>34241</v>
      </c>
      <c r="AC19" s="18" t="n">
        <v>27149</v>
      </c>
    </row>
    <row r="20">
      <c r="A20" s="4" t="inlineStr">
        <is>
          <t xml:space="preserve">    % YoY</t>
        </is>
      </c>
      <c r="F20" s="25">
        <f>IFERROR(F19/B19-1,"")</f>
        <v/>
      </c>
      <c r="G20" s="25">
        <f>IFERROR(G19/C19-1,"")</f>
        <v/>
      </c>
      <c r="H20" s="25">
        <f>IFERROR(H19/D19-1,"")</f>
        <v/>
      </c>
      <c r="I20" s="25">
        <f>IFERROR(I19/E19-1,"")</f>
        <v/>
      </c>
      <c r="J20" s="25">
        <f>IFERROR(J19/F19-1,"")</f>
        <v/>
      </c>
      <c r="K20" s="25">
        <f>IFERROR(K19/G19-1,"")</f>
        <v/>
      </c>
      <c r="L20" s="25">
        <f>IFERROR(L19/H19-1,"")</f>
        <v/>
      </c>
      <c r="M20" s="25">
        <f>IFERROR(M19/I19-1,"")</f>
        <v/>
      </c>
      <c r="N20" s="25">
        <f>IFERROR(N19/J19-1,"")</f>
        <v/>
      </c>
      <c r="O20" s="25">
        <f>IFERROR(O19/K19-1,"")</f>
        <v/>
      </c>
      <c r="P20" s="25">
        <f>IFERROR(P19/L19-1,"")</f>
        <v/>
      </c>
      <c r="Q20" s="25">
        <f>IFERROR(Q19/M19-1,"")</f>
        <v/>
      </c>
      <c r="R20" s="25">
        <f>IFERROR(R19/N19-1,"")</f>
        <v/>
      </c>
      <c r="S20" s="25">
        <f>IFERROR(S19/O19-1,"")</f>
        <v/>
      </c>
      <c r="T20" s="25">
        <f>IFERROR(T19/P19-1,"")</f>
        <v/>
      </c>
      <c r="U20" s="25">
        <f>IFERROR(U19/Q19-1,"")</f>
        <v/>
      </c>
      <c r="V20" s="25">
        <f>IFERROR(V19/R19-1,"")</f>
        <v/>
      </c>
      <c r="W20" s="25">
        <f>IFERROR(W19/S19-1,"")</f>
        <v/>
      </c>
      <c r="X20" s="25">
        <f>IFERROR(X19/T19-1,"")</f>
        <v/>
      </c>
      <c r="Y20" s="25">
        <f>IFERROR(Y19/U19-1,"")</f>
        <v/>
      </c>
      <c r="Z20" s="25">
        <f>IFERROR(Z19/V19-1,"")</f>
        <v/>
      </c>
      <c r="AA20" s="25">
        <f>IFERROR(AA19/W19-1,"")</f>
        <v/>
      </c>
      <c r="AB20" s="25">
        <f>IFERROR(AB19/X19-1,"")</f>
        <v/>
      </c>
      <c r="AC20" s="25">
        <f>IFERROR(AC19/Y19-1,"")</f>
        <v/>
      </c>
    </row>
    <row r="21">
      <c r="A21" s="4" t="inlineStr">
        <is>
          <t xml:space="preserve">    % of revenue</t>
        </is>
      </c>
      <c r="B21" s="25">
        <f>IFERROR(B19/B3,"")</f>
        <v/>
      </c>
      <c r="C21" s="25">
        <f>IFERROR(C19/C3,"")</f>
        <v/>
      </c>
      <c r="D21" s="25">
        <f>IFERROR(D19/D3,"")</f>
        <v/>
      </c>
      <c r="E21" s="25">
        <f>IFERROR(E19/E3,"")</f>
        <v/>
      </c>
      <c r="F21" s="25">
        <f>IFERROR(F19/F3,"")</f>
        <v/>
      </c>
      <c r="G21" s="25">
        <f>IFERROR(G19/G3,"")</f>
        <v/>
      </c>
      <c r="H21" s="25">
        <f>IFERROR(H19/H3,"")</f>
        <v/>
      </c>
      <c r="I21" s="25">
        <f>IFERROR(I19/I3,"")</f>
        <v/>
      </c>
      <c r="J21" s="25">
        <f>IFERROR(J19/J3,"")</f>
        <v/>
      </c>
      <c r="K21" s="25">
        <f>IFERROR(K19/K3,"")</f>
        <v/>
      </c>
      <c r="L21" s="25">
        <f>IFERROR(L19/L3,"")</f>
        <v/>
      </c>
      <c r="M21" s="25">
        <f>IFERROR(M19/M3,"")</f>
        <v/>
      </c>
      <c r="N21" s="25">
        <f>IFERROR(N19/N3,"")</f>
        <v/>
      </c>
      <c r="O21" s="25">
        <f>IFERROR(O19/O3,"")</f>
        <v/>
      </c>
      <c r="P21" s="25">
        <f>IFERROR(P19/P3,"")</f>
        <v/>
      </c>
      <c r="Q21" s="25">
        <f>IFERROR(Q19/Q3,"")</f>
        <v/>
      </c>
      <c r="R21" s="25">
        <f>IFERROR(R19/R3,"")</f>
        <v/>
      </c>
      <c r="S21" s="25">
        <f>IFERROR(S19/S3,"")</f>
        <v/>
      </c>
      <c r="T21" s="25">
        <f>IFERROR(T19/T3,"")</f>
        <v/>
      </c>
      <c r="U21" s="25">
        <f>IFERROR(U19/U3,"")</f>
        <v/>
      </c>
      <c r="V21" s="25">
        <f>IFERROR(V19/V3,"")</f>
        <v/>
      </c>
      <c r="W21" s="25">
        <f>IFERROR(W19/W3,"")</f>
        <v/>
      </c>
      <c r="X21" s="25">
        <f>IFERROR(X19/X3,"")</f>
        <v/>
      </c>
      <c r="Y21" s="25">
        <f>IFERROR(Y19/Y3,"")</f>
        <v/>
      </c>
      <c r="Z21" s="25">
        <f>IFERROR(Z19/Z3,"")</f>
        <v/>
      </c>
      <c r="AA21" s="25">
        <f>IFERROR(AA19/AA3,"")</f>
        <v/>
      </c>
      <c r="AB21" s="25">
        <f>IFERROR(AB19/AB3,"")</f>
        <v/>
      </c>
      <c r="AC21" s="25">
        <f>IFERROR(AC19/AC3,"")</f>
        <v/>
      </c>
    </row>
    <row r="22">
      <c r="A22" s="4" t="inlineStr">
        <is>
          <t>Non-Foods</t>
        </is>
      </c>
      <c r="K22" s="18" t="n">
        <v>55966</v>
      </c>
      <c r="L22" s="18" t="n">
        <v>14162</v>
      </c>
      <c r="M22" s="18" t="n">
        <v>15105</v>
      </c>
      <c r="N22" s="18" t="n">
        <v>13810</v>
      </c>
      <c r="O22" s="18" t="n">
        <v>18023</v>
      </c>
      <c r="P22" s="18" t="n">
        <v>14032</v>
      </c>
      <c r="Q22" s="18" t="n">
        <v>14741</v>
      </c>
      <c r="R22" s="18" t="n">
        <v>13087</v>
      </c>
      <c r="S22" s="18" t="n">
        <v>19005</v>
      </c>
      <c r="T22" s="18" t="n">
        <v>14766</v>
      </c>
      <c r="U22" s="18" t="n">
        <v>15017</v>
      </c>
      <c r="V22" s="18" t="n">
        <v>14518</v>
      </c>
      <c r="W22" s="18" t="n">
        <v>19672</v>
      </c>
      <c r="X22" s="18" t="n">
        <v>16171</v>
      </c>
      <c r="Y22" s="18" t="n">
        <v>17526</v>
      </c>
      <c r="Z22" s="18" t="n">
        <v>16080</v>
      </c>
      <c r="AA22" s="18" t="n">
        <v>21413</v>
      </c>
      <c r="AC22" s="18" t="n">
        <v>19153</v>
      </c>
    </row>
    <row r="23">
      <c r="A23" s="4" t="inlineStr">
        <is>
          <t xml:space="preserve">    % YoY</t>
        </is>
      </c>
      <c r="F23" s="25">
        <f>IFERROR(F22/B22-1,"")</f>
        <v/>
      </c>
      <c r="G23" s="25">
        <f>IFERROR(G22/C22-1,"")</f>
        <v/>
      </c>
      <c r="H23" s="25">
        <f>IFERROR(H22/D22-1,"")</f>
        <v/>
      </c>
      <c r="I23" s="25">
        <f>IFERROR(I22/E22-1,"")</f>
        <v/>
      </c>
      <c r="J23" s="25">
        <f>IFERROR(J22/F22-1,"")</f>
        <v/>
      </c>
      <c r="K23" s="25">
        <f>IFERROR(K22/G22-1,"")</f>
        <v/>
      </c>
      <c r="L23" s="25">
        <f>IFERROR(L22/H22-1,"")</f>
        <v/>
      </c>
      <c r="M23" s="25">
        <f>IFERROR(M22/I22-1,"")</f>
        <v/>
      </c>
      <c r="N23" s="25">
        <f>IFERROR(N22/J22-1,"")</f>
        <v/>
      </c>
      <c r="O23" s="25">
        <f>IFERROR(O22/K22-1,"")</f>
        <v/>
      </c>
      <c r="P23" s="25">
        <f>IFERROR(P22/L22-1,"")</f>
        <v/>
      </c>
      <c r="Q23" s="25">
        <f>IFERROR(Q22/M22-1,"")</f>
        <v/>
      </c>
      <c r="R23" s="25">
        <f>IFERROR(R22/N22-1,"")</f>
        <v/>
      </c>
      <c r="S23" s="25">
        <f>IFERROR(S22/O22-1,"")</f>
        <v/>
      </c>
      <c r="T23" s="25">
        <f>IFERROR(T22/P22-1,"")</f>
        <v/>
      </c>
      <c r="U23" s="25">
        <f>IFERROR(U22/Q22-1,"")</f>
        <v/>
      </c>
      <c r="V23" s="25">
        <f>IFERROR(V22/R22-1,"")</f>
        <v/>
      </c>
      <c r="W23" s="25">
        <f>IFERROR(W22/S22-1,"")</f>
        <v/>
      </c>
      <c r="X23" s="25">
        <f>IFERROR(X22/T22-1,"")</f>
        <v/>
      </c>
      <c r="Y23" s="25">
        <f>IFERROR(Y22/U22-1,"")</f>
        <v/>
      </c>
      <c r="Z23" s="25">
        <f>IFERROR(Z22/V22-1,"")</f>
        <v/>
      </c>
      <c r="AA23" s="25">
        <f>IFERROR(AA22/W22-1,"")</f>
        <v/>
      </c>
      <c r="AB23" s="25">
        <f>IFERROR(AB22/X22-1,"")</f>
        <v/>
      </c>
      <c r="AC23" s="25">
        <f>IFERROR(AC22/Y22-1,"")</f>
        <v/>
      </c>
    </row>
    <row r="24">
      <c r="A24" s="4" t="inlineStr">
        <is>
          <t xml:space="preserve">    % of revenue</t>
        </is>
      </c>
      <c r="B24" s="25">
        <f>IFERROR(B22/B3,"")</f>
        <v/>
      </c>
      <c r="C24" s="25">
        <f>IFERROR(C22/C3,"")</f>
        <v/>
      </c>
      <c r="D24" s="25">
        <f>IFERROR(D22/D3,"")</f>
        <v/>
      </c>
      <c r="E24" s="25">
        <f>IFERROR(E22/E3,"")</f>
        <v/>
      </c>
      <c r="F24" s="25">
        <f>IFERROR(F22/F3,"")</f>
        <v/>
      </c>
      <c r="G24" s="25">
        <f>IFERROR(G22/G3,"")</f>
        <v/>
      </c>
      <c r="H24" s="25">
        <f>IFERROR(H22/H3,"")</f>
        <v/>
      </c>
      <c r="I24" s="25">
        <f>IFERROR(I22/I3,"")</f>
        <v/>
      </c>
      <c r="J24" s="25">
        <f>IFERROR(J22/J3,"")</f>
        <v/>
      </c>
      <c r="K24" s="25">
        <f>IFERROR(K22/K3,"")</f>
        <v/>
      </c>
      <c r="L24" s="25">
        <f>IFERROR(L22/L3,"")</f>
        <v/>
      </c>
      <c r="M24" s="25">
        <f>IFERROR(M22/M3,"")</f>
        <v/>
      </c>
      <c r="N24" s="25">
        <f>IFERROR(N22/N3,"")</f>
        <v/>
      </c>
      <c r="O24" s="25">
        <f>IFERROR(O22/O3,"")</f>
        <v/>
      </c>
      <c r="P24" s="25">
        <f>IFERROR(P22/P3,"")</f>
        <v/>
      </c>
      <c r="Q24" s="25">
        <f>IFERROR(Q22/Q3,"")</f>
        <v/>
      </c>
      <c r="R24" s="25">
        <f>IFERROR(R22/R3,"")</f>
        <v/>
      </c>
      <c r="S24" s="25">
        <f>IFERROR(S22/S3,"")</f>
        <v/>
      </c>
      <c r="T24" s="25">
        <f>IFERROR(T22/T3,"")</f>
        <v/>
      </c>
      <c r="U24" s="25">
        <f>IFERROR(U22/U3,"")</f>
        <v/>
      </c>
      <c r="V24" s="25">
        <f>IFERROR(V22/V3,"")</f>
        <v/>
      </c>
      <c r="W24" s="25">
        <f>IFERROR(W22/W3,"")</f>
        <v/>
      </c>
      <c r="X24" s="25">
        <f>IFERROR(X22/X3,"")</f>
        <v/>
      </c>
      <c r="Y24" s="25">
        <f>IFERROR(Y22/Y3,"")</f>
        <v/>
      </c>
      <c r="Z24" s="25">
        <f>IFERROR(Z22/Z3,"")</f>
        <v/>
      </c>
      <c r="AA24" s="25">
        <f>IFERROR(AA22/AA3,"")</f>
        <v/>
      </c>
      <c r="AB24" s="25">
        <f>IFERROR(AB22/AB3,"")</f>
        <v/>
      </c>
      <c r="AC24" s="25">
        <f>IFERROR(AC22/AC3,"")</f>
        <v/>
      </c>
    </row>
    <row r="25">
      <c r="A25" s="4" t="inlineStr">
        <is>
          <t>Other</t>
        </is>
      </c>
      <c r="B25" s="18" t="n">
        <v>6793</v>
      </c>
      <c r="C25" s="18" t="n">
        <v>9386</v>
      </c>
      <c r="D25" s="18" t="n">
        <v>6988</v>
      </c>
      <c r="E25" s="18" t="n">
        <v>6915</v>
      </c>
      <c r="F25" s="18" t="n">
        <v>5270</v>
      </c>
      <c r="G25" s="18" t="n">
        <v>7377</v>
      </c>
      <c r="H25" s="18" t="n">
        <v>6081</v>
      </c>
      <c r="I25" s="18" t="n">
        <v>6287</v>
      </c>
      <c r="J25" s="18" t="n">
        <v>7630</v>
      </c>
      <c r="K25" s="18" t="n">
        <v>11628</v>
      </c>
      <c r="L25" s="18" t="n">
        <v>9253</v>
      </c>
      <c r="M25" s="18" t="n">
        <v>9384</v>
      </c>
      <c r="N25" s="18" t="n">
        <v>11395</v>
      </c>
      <c r="O25" s="18" t="n">
        <v>16442</v>
      </c>
      <c r="P25" s="18" t="n">
        <v>11240</v>
      </c>
      <c r="Q25" s="18" t="n">
        <v>10196</v>
      </c>
      <c r="R25" s="18" t="n">
        <v>11025</v>
      </c>
      <c r="S25" s="18" t="n">
        <v>16232</v>
      </c>
      <c r="T25" s="18" t="n">
        <v>11599</v>
      </c>
      <c r="U25" s="18" t="n">
        <v>10643</v>
      </c>
      <c r="V25" s="18" t="n">
        <v>11921</v>
      </c>
      <c r="W25" s="18" t="n">
        <v>15806</v>
      </c>
      <c r="X25" s="18" t="n">
        <v>11534</v>
      </c>
      <c r="Y25" s="18" t="n">
        <v>11056</v>
      </c>
      <c r="Z25" s="18" t="n">
        <v>11951</v>
      </c>
      <c r="AA25" s="18" t="n">
        <v>16629</v>
      </c>
      <c r="AC25" s="18" t="n">
        <v>12053</v>
      </c>
    </row>
    <row r="26">
      <c r="A26" s="4" t="inlineStr">
        <is>
          <t xml:space="preserve">    % YoY</t>
        </is>
      </c>
      <c r="F26" s="25">
        <f>IFERROR(F25/B25-1,"")</f>
        <v/>
      </c>
      <c r="G26" s="25">
        <f>IFERROR(G25/C25-1,"")</f>
        <v/>
      </c>
      <c r="H26" s="25">
        <f>IFERROR(H25/D25-1,"")</f>
        <v/>
      </c>
      <c r="I26" s="25">
        <f>IFERROR(I25/E25-1,"")</f>
        <v/>
      </c>
      <c r="J26" s="25">
        <f>IFERROR(J25/F25-1,"")</f>
        <v/>
      </c>
      <c r="K26" s="25">
        <f>IFERROR(K25/G25-1,"")</f>
        <v/>
      </c>
      <c r="L26" s="25">
        <f>IFERROR(L25/H25-1,"")</f>
        <v/>
      </c>
      <c r="M26" s="25">
        <f>IFERROR(M25/I25-1,"")</f>
        <v/>
      </c>
      <c r="N26" s="25">
        <f>IFERROR(N25/J25-1,"")</f>
        <v/>
      </c>
      <c r="O26" s="25">
        <f>IFERROR(O25/K25-1,"")</f>
        <v/>
      </c>
      <c r="P26" s="25">
        <f>IFERROR(P25/L25-1,"")</f>
        <v/>
      </c>
      <c r="Q26" s="25">
        <f>IFERROR(Q25/M25-1,"")</f>
        <v/>
      </c>
      <c r="R26" s="25">
        <f>IFERROR(R25/N25-1,"")</f>
        <v/>
      </c>
      <c r="S26" s="25">
        <f>IFERROR(S25/O25-1,"")</f>
        <v/>
      </c>
      <c r="T26" s="25">
        <f>IFERROR(T25/P25-1,"")</f>
        <v/>
      </c>
      <c r="U26" s="25">
        <f>IFERROR(U25/Q25-1,"")</f>
        <v/>
      </c>
      <c r="V26" s="25">
        <f>IFERROR(V25/R25-1,"")</f>
        <v/>
      </c>
      <c r="W26" s="25">
        <f>IFERROR(W25/S25-1,"")</f>
        <v/>
      </c>
      <c r="X26" s="25">
        <f>IFERROR(X25/T25-1,"")</f>
        <v/>
      </c>
      <c r="Y26" s="25">
        <f>IFERROR(Y25/U25-1,"")</f>
        <v/>
      </c>
      <c r="Z26" s="25">
        <f>IFERROR(Z25/V25-1,"")</f>
        <v/>
      </c>
      <c r="AA26" s="25">
        <f>IFERROR(AA25/W25-1,"")</f>
        <v/>
      </c>
      <c r="AB26" s="25">
        <f>IFERROR(AB25/X25-1,"")</f>
        <v/>
      </c>
      <c r="AC26" s="25">
        <f>IFERROR(AC25/Y25-1,"")</f>
        <v/>
      </c>
    </row>
    <row r="27">
      <c r="A27" s="4" t="inlineStr">
        <is>
          <t xml:space="preserve">    % of revenue</t>
        </is>
      </c>
      <c r="B27" s="25">
        <f>IFERROR(B25/B3,"")</f>
        <v/>
      </c>
      <c r="C27" s="25">
        <f>IFERROR(C25/C3,"")</f>
        <v/>
      </c>
      <c r="D27" s="25">
        <f>IFERROR(D25/D3,"")</f>
        <v/>
      </c>
      <c r="E27" s="25">
        <f>IFERROR(E25/E3,"")</f>
        <v/>
      </c>
      <c r="F27" s="25">
        <f>IFERROR(F25/F3,"")</f>
        <v/>
      </c>
      <c r="G27" s="25">
        <f>IFERROR(G25/G3,"")</f>
        <v/>
      </c>
      <c r="H27" s="25">
        <f>IFERROR(H25/H3,"")</f>
        <v/>
      </c>
      <c r="I27" s="25">
        <f>IFERROR(I25/I3,"")</f>
        <v/>
      </c>
      <c r="J27" s="25">
        <f>IFERROR(J25/J3,"")</f>
        <v/>
      </c>
      <c r="K27" s="25">
        <f>IFERROR(K25/K3,"")</f>
        <v/>
      </c>
      <c r="L27" s="25">
        <f>IFERROR(L25/L3,"")</f>
        <v/>
      </c>
      <c r="M27" s="25">
        <f>IFERROR(M25/M3,"")</f>
        <v/>
      </c>
      <c r="N27" s="25">
        <f>IFERROR(N25/N3,"")</f>
        <v/>
      </c>
      <c r="O27" s="25">
        <f>IFERROR(O25/O3,"")</f>
        <v/>
      </c>
      <c r="P27" s="25">
        <f>IFERROR(P25/P3,"")</f>
        <v/>
      </c>
      <c r="Q27" s="25">
        <f>IFERROR(Q25/Q3,"")</f>
        <v/>
      </c>
      <c r="R27" s="25">
        <f>IFERROR(R25/R3,"")</f>
        <v/>
      </c>
      <c r="S27" s="25">
        <f>IFERROR(S25/S3,"")</f>
        <v/>
      </c>
      <c r="T27" s="25">
        <f>IFERROR(T25/T3,"")</f>
        <v/>
      </c>
      <c r="U27" s="25">
        <f>IFERROR(U25/U3,"")</f>
        <v/>
      </c>
      <c r="V27" s="25">
        <f>IFERROR(V25/V3,"")</f>
        <v/>
      </c>
      <c r="W27" s="25">
        <f>IFERROR(W25/W3,"")</f>
        <v/>
      </c>
      <c r="X27" s="25">
        <f>IFERROR(X25/X3,"")</f>
        <v/>
      </c>
      <c r="Y27" s="25">
        <f>IFERROR(Y25/Y3,"")</f>
        <v/>
      </c>
      <c r="Z27" s="25">
        <f>IFERROR(Z25/Z3,"")</f>
        <v/>
      </c>
      <c r="AA27" s="25">
        <f>IFERROR(AA25/AA3,"")</f>
        <v/>
      </c>
      <c r="AB27" s="25">
        <f>IFERROR(AB25/AB3,"")</f>
        <v/>
      </c>
      <c r="AC27" s="25">
        <f>IFERROR(AC25/AC3,"")</f>
        <v/>
      </c>
    </row>
    <row r="28">
      <c r="A28" s="4" t="inlineStr">
        <is>
          <t>Fresh Food</t>
        </is>
      </c>
      <c r="B28" s="18" t="n">
        <v>4568</v>
      </c>
      <c r="C28" s="18" t="n">
        <v>6397</v>
      </c>
      <c r="D28" s="18" t="n">
        <v>4576</v>
      </c>
      <c r="E28" s="18" t="n">
        <v>5079</v>
      </c>
      <c r="F28" s="18" t="n">
        <v>5587</v>
      </c>
      <c r="G28" s="18" t="n">
        <v>7962</v>
      </c>
      <c r="H28" s="18" t="n">
        <v>5863</v>
      </c>
      <c r="I28" s="18" t="n">
        <v>6254</v>
      </c>
      <c r="J28" s="18" t="n">
        <v>6296</v>
      </c>
      <c r="K28" s="18" t="n">
        <v>8770</v>
      </c>
      <c r="L28" s="18" t="n">
        <v>6439</v>
      </c>
      <c r="M28" s="18" t="n">
        <v>6959</v>
      </c>
      <c r="N28" s="18" t="n">
        <v>6813</v>
      </c>
      <c r="O28" s="18" t="n">
        <v>9316</v>
      </c>
      <c r="P28" s="18" t="n">
        <v>6717</v>
      </c>
      <c r="Q28" s="18" t="n">
        <v>7376</v>
      </c>
      <c r="R28" s="18" t="n">
        <v>7194</v>
      </c>
      <c r="S28" s="18" t="n">
        <v>10690</v>
      </c>
      <c r="T28" s="18" t="n">
        <v>7328</v>
      </c>
      <c r="U28" s="18" t="n">
        <v>7996</v>
      </c>
      <c r="V28" s="18" t="n">
        <v>7888</v>
      </c>
      <c r="W28" s="18" t="n">
        <v>11008</v>
      </c>
      <c r="X28" s="18" t="n">
        <v>8218</v>
      </c>
      <c r="Y28" s="18" t="n">
        <v>8836</v>
      </c>
      <c r="Z28" s="18" t="n">
        <v>8785</v>
      </c>
      <c r="AA28" s="18" t="n">
        <v>12149</v>
      </c>
      <c r="AC28" s="18" t="n">
        <v>9887</v>
      </c>
    </row>
    <row r="29">
      <c r="A29" s="4" t="inlineStr">
        <is>
          <t xml:space="preserve">    % YoY</t>
        </is>
      </c>
      <c r="F29" s="25">
        <f>IFERROR(F28/B28-1,"")</f>
        <v/>
      </c>
      <c r="G29" s="25">
        <f>IFERROR(G28/C28-1,"")</f>
        <v/>
      </c>
      <c r="H29" s="25">
        <f>IFERROR(H28/D28-1,"")</f>
        <v/>
      </c>
      <c r="I29" s="25">
        <f>IFERROR(I28/E28-1,"")</f>
        <v/>
      </c>
      <c r="J29" s="25">
        <f>IFERROR(J28/F28-1,"")</f>
        <v/>
      </c>
      <c r="K29" s="25">
        <f>IFERROR(K28/G28-1,"")</f>
        <v/>
      </c>
      <c r="L29" s="25">
        <f>IFERROR(L28/H28-1,"")</f>
        <v/>
      </c>
      <c r="M29" s="25">
        <f>IFERROR(M28/I28-1,"")</f>
        <v/>
      </c>
      <c r="N29" s="25">
        <f>IFERROR(N28/J28-1,"")</f>
        <v/>
      </c>
      <c r="O29" s="25">
        <f>IFERROR(O28/K28-1,"")</f>
        <v/>
      </c>
      <c r="P29" s="25">
        <f>IFERROR(P28/L28-1,"")</f>
        <v/>
      </c>
      <c r="Q29" s="25">
        <f>IFERROR(Q28/M28-1,"")</f>
        <v/>
      </c>
      <c r="R29" s="25">
        <f>IFERROR(R28/N28-1,"")</f>
        <v/>
      </c>
      <c r="S29" s="25">
        <f>IFERROR(S28/O28-1,"")</f>
        <v/>
      </c>
      <c r="T29" s="25">
        <f>IFERROR(T28/P28-1,"")</f>
        <v/>
      </c>
      <c r="U29" s="25">
        <f>IFERROR(U28/Q28-1,"")</f>
        <v/>
      </c>
      <c r="V29" s="25">
        <f>IFERROR(V28/R28-1,"")</f>
        <v/>
      </c>
      <c r="W29" s="25">
        <f>IFERROR(W28/S28-1,"")</f>
        <v/>
      </c>
      <c r="X29" s="25">
        <f>IFERROR(X28/T28-1,"")</f>
        <v/>
      </c>
      <c r="Y29" s="25">
        <f>IFERROR(Y28/U28-1,"")</f>
        <v/>
      </c>
      <c r="Z29" s="25">
        <f>IFERROR(Z28/V28-1,"")</f>
        <v/>
      </c>
      <c r="AA29" s="25">
        <f>IFERROR(AA28/W28-1,"")</f>
        <v/>
      </c>
      <c r="AB29" s="25">
        <f>IFERROR(AB28/X28-1,"")</f>
        <v/>
      </c>
      <c r="AC29" s="25">
        <f>IFERROR(AC28/Y28-1,"")</f>
        <v/>
      </c>
    </row>
    <row r="30">
      <c r="A30" s="4" t="inlineStr">
        <is>
          <t xml:space="preserve">    % of revenue</t>
        </is>
      </c>
      <c r="B30" s="25">
        <f>IFERROR(B28/B3,"")</f>
        <v/>
      </c>
      <c r="C30" s="25">
        <f>IFERROR(C28/C3,"")</f>
        <v/>
      </c>
      <c r="D30" s="25">
        <f>IFERROR(D28/D3,"")</f>
        <v/>
      </c>
      <c r="E30" s="25">
        <f>IFERROR(E28/E3,"")</f>
        <v/>
      </c>
      <c r="F30" s="25">
        <f>IFERROR(F28/F3,"")</f>
        <v/>
      </c>
      <c r="G30" s="25">
        <f>IFERROR(G28/G3,"")</f>
        <v/>
      </c>
      <c r="H30" s="25">
        <f>IFERROR(H28/H3,"")</f>
        <v/>
      </c>
      <c r="I30" s="25">
        <f>IFERROR(I28/I3,"")</f>
        <v/>
      </c>
      <c r="J30" s="25">
        <f>IFERROR(J28/J3,"")</f>
        <v/>
      </c>
      <c r="K30" s="25">
        <f>IFERROR(K28/K3,"")</f>
        <v/>
      </c>
      <c r="L30" s="25">
        <f>IFERROR(L28/L3,"")</f>
        <v/>
      </c>
      <c r="M30" s="25">
        <f>IFERROR(M28/M3,"")</f>
        <v/>
      </c>
      <c r="N30" s="25">
        <f>IFERROR(N28/N3,"")</f>
        <v/>
      </c>
      <c r="O30" s="25">
        <f>IFERROR(O28/O3,"")</f>
        <v/>
      </c>
      <c r="P30" s="25">
        <f>IFERROR(P28/P3,"")</f>
        <v/>
      </c>
      <c r="Q30" s="25">
        <f>IFERROR(Q28/Q3,"")</f>
        <v/>
      </c>
      <c r="R30" s="25">
        <f>IFERROR(R28/R3,"")</f>
        <v/>
      </c>
      <c r="S30" s="25">
        <f>IFERROR(S28/S3,"")</f>
        <v/>
      </c>
      <c r="T30" s="25">
        <f>IFERROR(T28/T3,"")</f>
        <v/>
      </c>
      <c r="U30" s="25">
        <f>IFERROR(U28/U3,"")</f>
        <v/>
      </c>
      <c r="V30" s="25">
        <f>IFERROR(V28/V3,"")</f>
        <v/>
      </c>
      <c r="W30" s="25">
        <f>IFERROR(W28/W3,"")</f>
        <v/>
      </c>
      <c r="X30" s="25">
        <f>IFERROR(X28/X3,"")</f>
        <v/>
      </c>
      <c r="Y30" s="25">
        <f>IFERROR(Y28/Y3,"")</f>
        <v/>
      </c>
      <c r="Z30" s="25">
        <f>IFERROR(Z28/Z3,"")</f>
        <v/>
      </c>
      <c r="AA30" s="25">
        <f>IFERROR(AA28/AA3,"")</f>
        <v/>
      </c>
      <c r="AB30" s="25">
        <f>IFERROR(AB28/AB3,"")</f>
        <v/>
      </c>
      <c r="AC30" s="25">
        <f>IFERROR(AC28/AC3,"")</f>
        <v/>
      </c>
    </row>
    <row r="31">
      <c r="A31" s="4" t="inlineStr">
        <is>
          <t>Membership</t>
        </is>
      </c>
      <c r="B31" s="18" t="n">
        <v>776</v>
      </c>
      <c r="C31" s="18" t="n">
        <v>1050</v>
      </c>
      <c r="D31" s="18" t="n">
        <v>804</v>
      </c>
      <c r="E31" s="18" t="n">
        <v>816</v>
      </c>
      <c r="G31" s="18" t="n">
        <v>3541</v>
      </c>
      <c r="H31" s="18" t="n">
        <v>861</v>
      </c>
      <c r="I31" s="18" t="n">
        <v>881</v>
      </c>
      <c r="J31" s="18" t="n">
        <v>901</v>
      </c>
      <c r="K31" s="18" t="n">
        <v>1234</v>
      </c>
      <c r="L31" s="18" t="n">
        <v>946</v>
      </c>
      <c r="M31" s="18" t="n">
        <v>967</v>
      </c>
      <c r="N31" s="18" t="n">
        <v>984</v>
      </c>
      <c r="O31" s="18" t="n">
        <v>1327</v>
      </c>
      <c r="P31" s="18" t="n">
        <v>1000</v>
      </c>
      <c r="Q31" s="18" t="n">
        <v>1027</v>
      </c>
      <c r="R31" s="18" t="n">
        <v>1044</v>
      </c>
      <c r="S31" s="18" t="n">
        <v>2509</v>
      </c>
      <c r="T31" s="18" t="n">
        <v>1082</v>
      </c>
      <c r="U31" s="18" t="n">
        <v>1111</v>
      </c>
      <c r="V31" s="18" t="n">
        <v>1123</v>
      </c>
      <c r="W31" s="18" t="n">
        <v>1512</v>
      </c>
      <c r="X31" s="18" t="n">
        <v>1166</v>
      </c>
      <c r="Y31" s="18" t="n">
        <v>1193</v>
      </c>
      <c r="Z31" s="18" t="n">
        <v>1240</v>
      </c>
      <c r="AA31" s="18" t="n">
        <v>1724</v>
      </c>
      <c r="AC31" s="18" t="n">
        <v>1355</v>
      </c>
    </row>
    <row r="32">
      <c r="A32" s="4" t="inlineStr">
        <is>
          <t xml:space="preserve">    % YoY</t>
        </is>
      </c>
      <c r="F32" s="25">
        <f>IFERROR(F31/B31-1,"")</f>
        <v/>
      </c>
      <c r="G32" s="25">
        <f>IFERROR(G31/C31-1,"")</f>
        <v/>
      </c>
      <c r="H32" s="25">
        <f>IFERROR(H31/D31-1,"")</f>
        <v/>
      </c>
      <c r="I32" s="25">
        <f>IFERROR(I31/E31-1,"")</f>
        <v/>
      </c>
      <c r="J32" s="25">
        <f>IFERROR(J31/F31-1,"")</f>
        <v/>
      </c>
      <c r="K32" s="25">
        <f>IFERROR(K31/G31-1,"")</f>
        <v/>
      </c>
      <c r="L32" s="25">
        <f>IFERROR(L31/H31-1,"")</f>
        <v/>
      </c>
      <c r="M32" s="25">
        <f>IFERROR(M31/I31-1,"")</f>
        <v/>
      </c>
      <c r="N32" s="25">
        <f>IFERROR(N31/J31-1,"")</f>
        <v/>
      </c>
      <c r="O32" s="25">
        <f>IFERROR(O31/K31-1,"")</f>
        <v/>
      </c>
      <c r="P32" s="25">
        <f>IFERROR(P31/L31-1,"")</f>
        <v/>
      </c>
      <c r="Q32" s="25">
        <f>IFERROR(Q31/M31-1,"")</f>
        <v/>
      </c>
      <c r="R32" s="25">
        <f>IFERROR(R31/N31-1,"")</f>
        <v/>
      </c>
      <c r="S32" s="25">
        <f>IFERROR(S31/O31-1,"")</f>
        <v/>
      </c>
      <c r="T32" s="25">
        <f>IFERROR(T31/P31-1,"")</f>
        <v/>
      </c>
      <c r="U32" s="25">
        <f>IFERROR(U31/Q31-1,"")</f>
        <v/>
      </c>
      <c r="V32" s="25">
        <f>IFERROR(V31/R31-1,"")</f>
        <v/>
      </c>
      <c r="W32" s="25">
        <f>IFERROR(W31/S31-1,"")</f>
        <v/>
      </c>
      <c r="X32" s="25">
        <f>IFERROR(X31/T31-1,"")</f>
        <v/>
      </c>
      <c r="Y32" s="25">
        <f>IFERROR(Y31/U31-1,"")</f>
        <v/>
      </c>
      <c r="Z32" s="25">
        <f>IFERROR(Z31/V31-1,"")</f>
        <v/>
      </c>
      <c r="AA32" s="25">
        <f>IFERROR(AA31/W31-1,"")</f>
        <v/>
      </c>
      <c r="AB32" s="25">
        <f>IFERROR(AB31/X31-1,"")</f>
        <v/>
      </c>
      <c r="AC32" s="25">
        <f>IFERROR(AC31/Y31-1,"")</f>
        <v/>
      </c>
    </row>
    <row r="33">
      <c r="A33" s="4" t="inlineStr">
        <is>
          <t xml:space="preserve">    % of revenue</t>
        </is>
      </c>
      <c r="B33" s="25">
        <f>IFERROR(B31/B3,"")</f>
        <v/>
      </c>
      <c r="C33" s="25">
        <f>IFERROR(C31/C3,"")</f>
        <v/>
      </c>
      <c r="D33" s="25">
        <f>IFERROR(D31/D3,"")</f>
        <v/>
      </c>
      <c r="E33" s="25">
        <f>IFERROR(E31/E3,"")</f>
        <v/>
      </c>
      <c r="F33" s="25">
        <f>IFERROR(F31/F3,"")</f>
        <v/>
      </c>
      <c r="G33" s="25">
        <f>IFERROR(G31/G3,"")</f>
        <v/>
      </c>
      <c r="H33" s="25">
        <f>IFERROR(H31/H3,"")</f>
        <v/>
      </c>
      <c r="I33" s="25">
        <f>IFERROR(I31/I3,"")</f>
        <v/>
      </c>
      <c r="J33" s="25">
        <f>IFERROR(J31/J3,"")</f>
        <v/>
      </c>
      <c r="K33" s="25">
        <f>IFERROR(K31/K3,"")</f>
        <v/>
      </c>
      <c r="L33" s="25">
        <f>IFERROR(L31/L3,"")</f>
        <v/>
      </c>
      <c r="M33" s="25">
        <f>IFERROR(M31/M3,"")</f>
        <v/>
      </c>
      <c r="N33" s="25">
        <f>IFERROR(N31/N3,"")</f>
        <v/>
      </c>
      <c r="O33" s="25">
        <f>IFERROR(O31/O3,"")</f>
        <v/>
      </c>
      <c r="P33" s="25">
        <f>IFERROR(P31/P3,"")</f>
        <v/>
      </c>
      <c r="Q33" s="25">
        <f>IFERROR(Q31/Q3,"")</f>
        <v/>
      </c>
      <c r="R33" s="25">
        <f>IFERROR(R31/R3,"")</f>
        <v/>
      </c>
      <c r="S33" s="25">
        <f>IFERROR(S31/S3,"")</f>
        <v/>
      </c>
      <c r="T33" s="25">
        <f>IFERROR(T31/T3,"")</f>
        <v/>
      </c>
      <c r="U33" s="25">
        <f>IFERROR(U31/U3,"")</f>
        <v/>
      </c>
      <c r="V33" s="25">
        <f>IFERROR(V31/V3,"")</f>
        <v/>
      </c>
      <c r="W33" s="25">
        <f>IFERROR(W31/W3,"")</f>
        <v/>
      </c>
      <c r="X33" s="25">
        <f>IFERROR(X31/X3,"")</f>
        <v/>
      </c>
      <c r="Y33" s="25">
        <f>IFERROR(Y31/Y3,"")</f>
        <v/>
      </c>
      <c r="Z33" s="25">
        <f>IFERROR(Z31/Z3,"")</f>
        <v/>
      </c>
      <c r="AA33" s="25">
        <f>IFERROR(AA31/AA3,"")</f>
        <v/>
      </c>
      <c r="AB33" s="25">
        <f>IFERROR(AB31/AB3,"")</f>
        <v/>
      </c>
      <c r="AC33" s="25">
        <f>IFERROR(AC31/AC3,"")</f>
        <v/>
      </c>
    </row>
    <row r="34">
      <c r="A34" s="5" t="inlineStr">
        <is>
          <t xml:space="preserve">  REVENUE BY SEGMENT — GEOGRAPHY (% YoY, % of revenue)</t>
        </is>
      </c>
      <c r="B34" s="6" t="n"/>
      <c r="C34" s="6" t="n"/>
      <c r="D34" s="6" t="n"/>
      <c r="E34" s="6" t="n"/>
      <c r="F34" s="6" t="n"/>
      <c r="G34" s="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  <c r="AB34" s="6" t="n"/>
      <c r="AC34" s="6" t="n"/>
    </row>
    <row r="35">
      <c r="A35" s="4" t="inlineStr">
        <is>
          <t>Other International Operations</t>
        </is>
      </c>
      <c r="B35" s="18" t="n">
        <v>4412</v>
      </c>
      <c r="C35" s="18" t="n">
        <v>5900</v>
      </c>
      <c r="D35" s="18" t="n">
        <v>4848</v>
      </c>
      <c r="E35" s="18" t="n">
        <v>5318</v>
      </c>
      <c r="F35" s="18" t="n">
        <v>4918</v>
      </c>
      <c r="G35" s="18" t="n">
        <v>7101</v>
      </c>
      <c r="H35" s="18" t="n">
        <v>5905</v>
      </c>
      <c r="I35" s="18" t="n">
        <v>6641</v>
      </c>
      <c r="J35" s="18" t="n">
        <v>6219</v>
      </c>
      <c r="K35" s="18" t="n">
        <v>8468</v>
      </c>
      <c r="L35" s="18" t="n">
        <v>6925</v>
      </c>
      <c r="M35" s="18" t="n">
        <v>7320</v>
      </c>
      <c r="N35" s="18" t="n">
        <v>6794</v>
      </c>
      <c r="O35" s="18" t="n">
        <v>8946</v>
      </c>
      <c r="P35" s="18" t="n">
        <v>6936</v>
      </c>
      <c r="Q35" s="18" t="n">
        <v>7822</v>
      </c>
      <c r="R35" s="18" t="n">
        <v>7331</v>
      </c>
      <c r="S35" s="18" t="n">
        <v>10515</v>
      </c>
      <c r="T35" s="18" t="n">
        <v>8065</v>
      </c>
      <c r="U35" s="18" t="n">
        <v>8616</v>
      </c>
      <c r="V35" s="18" t="n">
        <v>8052</v>
      </c>
      <c r="W35" s="18" t="n">
        <v>10703</v>
      </c>
      <c r="X35" s="18" t="n">
        <v>8659</v>
      </c>
      <c r="Y35" s="18" t="n">
        <v>9014</v>
      </c>
      <c r="Z35" s="18" t="n">
        <v>8566</v>
      </c>
      <c r="AA35" s="18" t="n">
        <v>12027</v>
      </c>
      <c r="AC35" s="18" t="n">
        <v>10375</v>
      </c>
    </row>
    <row r="36">
      <c r="A36" s="4" t="inlineStr">
        <is>
          <t xml:space="preserve">    % YoY</t>
        </is>
      </c>
      <c r="F36" s="25">
        <f>IFERROR(F35/B35-1,"")</f>
        <v/>
      </c>
      <c r="G36" s="25">
        <f>IFERROR(G35/C35-1,"")</f>
        <v/>
      </c>
      <c r="H36" s="25">
        <f>IFERROR(H35/D35-1,"")</f>
        <v/>
      </c>
      <c r="I36" s="25">
        <f>IFERROR(I35/E35-1,"")</f>
        <v/>
      </c>
      <c r="J36" s="25">
        <f>IFERROR(J35/F35-1,"")</f>
        <v/>
      </c>
      <c r="K36" s="25">
        <f>IFERROR(K35/G35-1,"")</f>
        <v/>
      </c>
      <c r="L36" s="25">
        <f>IFERROR(L35/H35-1,"")</f>
        <v/>
      </c>
      <c r="M36" s="25">
        <f>IFERROR(M35/I35-1,"")</f>
        <v/>
      </c>
      <c r="N36" s="25">
        <f>IFERROR(N35/J35-1,"")</f>
        <v/>
      </c>
      <c r="O36" s="25">
        <f>IFERROR(O35/K35-1,"")</f>
        <v/>
      </c>
      <c r="P36" s="25">
        <f>IFERROR(P35/L35-1,"")</f>
        <v/>
      </c>
      <c r="Q36" s="25">
        <f>IFERROR(Q35/M35-1,"")</f>
        <v/>
      </c>
      <c r="R36" s="25">
        <f>IFERROR(R35/N35-1,"")</f>
        <v/>
      </c>
      <c r="S36" s="25">
        <f>IFERROR(S35/O35-1,"")</f>
        <v/>
      </c>
      <c r="T36" s="25">
        <f>IFERROR(T35/P35-1,"")</f>
        <v/>
      </c>
      <c r="U36" s="25">
        <f>IFERROR(U35/Q35-1,"")</f>
        <v/>
      </c>
      <c r="V36" s="25">
        <f>IFERROR(V35/R35-1,"")</f>
        <v/>
      </c>
      <c r="W36" s="25">
        <f>IFERROR(W35/S35-1,"")</f>
        <v/>
      </c>
      <c r="X36" s="25">
        <f>IFERROR(X35/T35-1,"")</f>
        <v/>
      </c>
      <c r="Y36" s="25">
        <f>IFERROR(Y35/U35-1,"")</f>
        <v/>
      </c>
      <c r="Z36" s="25">
        <f>IFERROR(Z35/V35-1,"")</f>
        <v/>
      </c>
      <c r="AA36" s="25">
        <f>IFERROR(AA35/W35-1,"")</f>
        <v/>
      </c>
      <c r="AB36" s="25">
        <f>IFERROR(AB35/X35-1,"")</f>
        <v/>
      </c>
      <c r="AC36" s="25">
        <f>IFERROR(AC35/Y35-1,"")</f>
        <v/>
      </c>
    </row>
    <row r="37">
      <c r="A37" s="4" t="inlineStr">
        <is>
          <t xml:space="preserve">    % of revenue</t>
        </is>
      </c>
      <c r="B37" s="25">
        <f>IFERROR(B35/B3,"")</f>
        <v/>
      </c>
      <c r="C37" s="25">
        <f>IFERROR(C35/C3,"")</f>
        <v/>
      </c>
      <c r="D37" s="25">
        <f>IFERROR(D35/D3,"")</f>
        <v/>
      </c>
      <c r="E37" s="25">
        <f>IFERROR(E35/E3,"")</f>
        <v/>
      </c>
      <c r="F37" s="25">
        <f>IFERROR(F35/F3,"")</f>
        <v/>
      </c>
      <c r="G37" s="25">
        <f>IFERROR(G35/G3,"")</f>
        <v/>
      </c>
      <c r="H37" s="25">
        <f>IFERROR(H35/H3,"")</f>
        <v/>
      </c>
      <c r="I37" s="25">
        <f>IFERROR(I35/I3,"")</f>
        <v/>
      </c>
      <c r="J37" s="25">
        <f>IFERROR(J35/J3,"")</f>
        <v/>
      </c>
      <c r="K37" s="25">
        <f>IFERROR(K35/K3,"")</f>
        <v/>
      </c>
      <c r="L37" s="25">
        <f>IFERROR(L35/L3,"")</f>
        <v/>
      </c>
      <c r="M37" s="25">
        <f>IFERROR(M35/M3,"")</f>
        <v/>
      </c>
      <c r="N37" s="25">
        <f>IFERROR(N35/N3,"")</f>
        <v/>
      </c>
      <c r="O37" s="25">
        <f>IFERROR(O35/O3,"")</f>
        <v/>
      </c>
      <c r="P37" s="25">
        <f>IFERROR(P35/P3,"")</f>
        <v/>
      </c>
      <c r="Q37" s="25">
        <f>IFERROR(Q35/Q3,"")</f>
        <v/>
      </c>
      <c r="R37" s="25">
        <f>IFERROR(R35/R3,"")</f>
        <v/>
      </c>
      <c r="S37" s="25">
        <f>IFERROR(S35/S3,"")</f>
        <v/>
      </c>
      <c r="T37" s="25">
        <f>IFERROR(T35/T3,"")</f>
        <v/>
      </c>
      <c r="U37" s="25">
        <f>IFERROR(U35/U3,"")</f>
        <v/>
      </c>
      <c r="V37" s="25">
        <f>IFERROR(V35/V3,"")</f>
        <v/>
      </c>
      <c r="W37" s="25">
        <f>IFERROR(W35/W3,"")</f>
        <v/>
      </c>
      <c r="X37" s="25">
        <f>IFERROR(X35/X3,"")</f>
        <v/>
      </c>
      <c r="Y37" s="25">
        <f>IFERROR(Y35/Y3,"")</f>
        <v/>
      </c>
      <c r="Z37" s="25">
        <f>IFERROR(Z35/Z3,"")</f>
        <v/>
      </c>
      <c r="AA37" s="25">
        <f>IFERROR(AA35/AA3,"")</f>
        <v/>
      </c>
      <c r="AB37" s="25">
        <f>IFERROR(AB35/AB3,"")</f>
        <v/>
      </c>
      <c r="AC37" s="25">
        <f>IFERROR(AC35/AC3,"")</f>
        <v/>
      </c>
    </row>
    <row r="38">
      <c r="A38" s="5" t="inlineStr">
        <is>
          <t xml:space="preserve">  BALANCE SHEET</t>
        </is>
      </c>
      <c r="B38" s="6" t="n"/>
      <c r="C38" s="6" t="n"/>
      <c r="D38" s="6" t="n"/>
      <c r="E38" s="6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  <c r="AB38" s="6" t="n"/>
      <c r="AC38" s="6" t="n"/>
    </row>
    <row r="39">
      <c r="A39" s="4" t="inlineStr">
        <is>
          <t>Cash &amp; ST Investments</t>
        </is>
      </c>
      <c r="B39" s="18" t="n">
        <v>8167</v>
      </c>
      <c r="C39" s="18" t="n">
        <v>9444</v>
      </c>
      <c r="D39" s="18" t="n">
        <v>10020</v>
      </c>
      <c r="E39" s="18" t="n">
        <v>8715</v>
      </c>
      <c r="F39" s="18" t="n">
        <v>11774</v>
      </c>
      <c r="G39" s="18" t="n">
        <v>13305</v>
      </c>
      <c r="H39" s="18" t="n">
        <v>14423</v>
      </c>
      <c r="I39" s="18" t="n">
        <v>9254</v>
      </c>
      <c r="J39" s="18" t="n">
        <v>11126</v>
      </c>
      <c r="K39" s="18" t="n">
        <v>12175</v>
      </c>
      <c r="L39" s="18" t="n">
        <v>13476</v>
      </c>
      <c r="M39" s="18" t="n">
        <v>12296</v>
      </c>
      <c r="N39" s="18" t="n">
        <v>11831</v>
      </c>
      <c r="O39" s="18" t="n">
        <v>11049</v>
      </c>
      <c r="P39" s="18" t="n">
        <v>11673</v>
      </c>
      <c r="Q39" s="18" t="n">
        <v>13705</v>
      </c>
      <c r="R39" s="18" t="n">
        <v>13708</v>
      </c>
      <c r="S39" s="18" t="n">
        <v>15234</v>
      </c>
      <c r="T39" s="18" t="n">
        <v>17864</v>
      </c>
      <c r="U39" s="18" t="n">
        <v>10321</v>
      </c>
      <c r="V39" s="18" t="n">
        <v>11499</v>
      </c>
      <c r="W39" s="18" t="n">
        <v>11144</v>
      </c>
      <c r="X39" s="18" t="n">
        <v>11827</v>
      </c>
      <c r="Y39" s="18" t="n">
        <v>13158</v>
      </c>
      <c r="Z39" s="18" t="n">
        <v>14850</v>
      </c>
      <c r="AA39" s="18" t="n">
        <v>15284</v>
      </c>
      <c r="AB39" s="18" t="n">
        <v>17183</v>
      </c>
      <c r="AC39" s="18" t="n">
        <v>18240</v>
      </c>
    </row>
    <row r="40">
      <c r="A40" s="4" t="inlineStr">
        <is>
          <t>Total Current Assets</t>
        </is>
      </c>
      <c r="B40" s="18" t="n">
        <v>22285</v>
      </c>
      <c r="C40" s="18" t="n">
        <v>23485</v>
      </c>
      <c r="D40" s="18" t="n">
        <v>26643</v>
      </c>
      <c r="E40" s="18" t="n">
        <v>23703</v>
      </c>
      <c r="F40" s="18" t="n">
        <v>25254</v>
      </c>
      <c r="G40" s="18" t="n">
        <v>28120</v>
      </c>
      <c r="H40" s="18" t="n">
        <v>32096</v>
      </c>
      <c r="I40" s="18" t="n">
        <v>26308</v>
      </c>
      <c r="J40" s="18" t="n">
        <v>27916</v>
      </c>
      <c r="K40" s="18" t="n">
        <v>29505</v>
      </c>
      <c r="L40" s="18" t="n">
        <v>33850</v>
      </c>
      <c r="M40" s="18" t="n">
        <v>32565</v>
      </c>
      <c r="N40" s="18" t="n">
        <v>33008</v>
      </c>
      <c r="O40" s="18" t="n">
        <v>32696</v>
      </c>
      <c r="P40" s="18" t="n">
        <v>34150</v>
      </c>
      <c r="Q40" s="18" t="n">
        <v>34330</v>
      </c>
      <c r="R40" s="18" t="n">
        <v>34289</v>
      </c>
      <c r="S40" s="18" t="n">
        <v>35879</v>
      </c>
      <c r="T40" s="18" t="n">
        <v>40080</v>
      </c>
      <c r="U40" s="18" t="n">
        <v>32146</v>
      </c>
      <c r="V40" s="18" t="n">
        <v>33288</v>
      </c>
      <c r="W40" s="18" t="n">
        <v>34246</v>
      </c>
      <c r="X40" s="18" t="n">
        <v>37523</v>
      </c>
      <c r="Y40" s="18" t="n">
        <v>36897</v>
      </c>
      <c r="Z40" s="18" t="n">
        <v>38151</v>
      </c>
      <c r="AA40" s="18" t="n">
        <v>38380</v>
      </c>
      <c r="AB40" s="18" t="n">
        <v>43411</v>
      </c>
      <c r="AC40" s="18" t="n">
        <v>43133</v>
      </c>
    </row>
    <row r="41">
      <c r="A41" s="4" t="inlineStr">
        <is>
          <t>PP&amp;E (net)</t>
        </is>
      </c>
      <c r="B41" s="18" t="n">
        <v>20475</v>
      </c>
      <c r="C41" s="18" t="n">
        <v>20890</v>
      </c>
      <c r="D41" s="18" t="n">
        <v>23834</v>
      </c>
      <c r="E41" s="18" t="n">
        <v>24077</v>
      </c>
      <c r="F41" s="18" t="n">
        <v>24276</v>
      </c>
      <c r="G41" s="18" t="n">
        <v>24595</v>
      </c>
      <c r="H41" s="18" t="n">
        <v>25073</v>
      </c>
      <c r="I41" s="18" t="n">
        <v>25418</v>
      </c>
      <c r="J41" s="18" t="n">
        <v>26052</v>
      </c>
      <c r="K41" s="18" t="n">
        <v>26382</v>
      </c>
      <c r="L41" s="18" t="n">
        <v>26790</v>
      </c>
      <c r="M41" s="18" t="n">
        <v>26892</v>
      </c>
      <c r="N41" s="18" t="n">
        <v>26874</v>
      </c>
      <c r="O41" s="18" t="n">
        <v>27420</v>
      </c>
      <c r="P41" s="18" t="n">
        <v>27931</v>
      </c>
      <c r="Q41" s="18" t="n">
        <v>28583</v>
      </c>
      <c r="R41" s="18" t="n">
        <v>28737</v>
      </c>
      <c r="S41" s="18" t="n">
        <v>29397</v>
      </c>
      <c r="T41" s="18" t="n">
        <v>29840</v>
      </c>
      <c r="U41" s="18" t="n">
        <v>30341</v>
      </c>
      <c r="V41" s="18" t="n">
        <v>30705</v>
      </c>
      <c r="W41" s="18" t="n">
        <v>31649</v>
      </c>
      <c r="X41" s="18" t="n">
        <v>31875</v>
      </c>
      <c r="Y41" s="18" t="n">
        <v>32340</v>
      </c>
      <c r="Z41" s="18" t="n">
        <v>33300</v>
      </c>
      <c r="AA41" s="18" t="n">
        <v>34634</v>
      </c>
      <c r="AB41" s="18" t="n">
        <v>35346</v>
      </c>
      <c r="AC41" s="18" t="n">
        <v>36404</v>
      </c>
    </row>
    <row r="42">
      <c r="A42" s="4" t="inlineStr">
        <is>
          <t>Total Assets</t>
        </is>
      </c>
      <c r="B42" s="18" t="n">
        <v>43752</v>
      </c>
      <c r="C42" s="18" t="n">
        <v>45400</v>
      </c>
      <c r="D42" s="18" t="n">
        <v>51431</v>
      </c>
      <c r="E42" s="18" t="n">
        <v>48782</v>
      </c>
      <c r="F42" s="18" t="n">
        <v>51732</v>
      </c>
      <c r="G42" s="18" t="n">
        <v>55556</v>
      </c>
      <c r="H42" s="18" t="n">
        <v>60217</v>
      </c>
      <c r="I42" s="18" t="n">
        <v>54918</v>
      </c>
      <c r="J42" s="18" t="n">
        <v>57274</v>
      </c>
      <c r="K42" s="18" t="n">
        <v>59268</v>
      </c>
      <c r="L42" s="18" t="n">
        <v>64149</v>
      </c>
      <c r="M42" s="18" t="n">
        <v>63078</v>
      </c>
      <c r="N42" s="18" t="n">
        <v>63852</v>
      </c>
      <c r="O42" s="18" t="n">
        <v>64166</v>
      </c>
      <c r="P42" s="18" t="n">
        <v>66027</v>
      </c>
      <c r="Q42" s="18" t="n">
        <v>66848</v>
      </c>
      <c r="R42" s="18" t="n">
        <v>66752</v>
      </c>
      <c r="S42" s="18" t="n">
        <v>68994</v>
      </c>
      <c r="T42" s="18" t="n">
        <v>73723</v>
      </c>
      <c r="U42" s="18" t="n">
        <v>66323</v>
      </c>
      <c r="V42" s="18" t="n">
        <v>67911</v>
      </c>
      <c r="W42" s="18" t="n">
        <v>69831</v>
      </c>
      <c r="X42" s="18" t="n">
        <v>73386</v>
      </c>
      <c r="Y42" s="18" t="n">
        <v>73224</v>
      </c>
      <c r="Z42" s="18" t="n">
        <v>75482</v>
      </c>
      <c r="AA42" s="18" t="n">
        <v>77099</v>
      </c>
      <c r="AB42" s="18" t="n">
        <v>82790</v>
      </c>
      <c r="AC42" s="18" t="n">
        <v>83639</v>
      </c>
    </row>
    <row r="43">
      <c r="A43" s="4" t="inlineStr">
        <is>
          <t>Total Current Liabilities</t>
        </is>
      </c>
      <c r="B43" s="18" t="n">
        <v>22832</v>
      </c>
      <c r="C43" s="18" t="n">
        <v>23237</v>
      </c>
      <c r="D43" s="18" t="n">
        <v>26265</v>
      </c>
      <c r="E43" s="18" t="n">
        <v>22695</v>
      </c>
      <c r="F43" s="18" t="n">
        <v>22779</v>
      </c>
      <c r="G43" s="18" t="n">
        <v>24844</v>
      </c>
      <c r="H43" s="18" t="n">
        <v>32667</v>
      </c>
      <c r="I43" s="18" t="n">
        <v>26564</v>
      </c>
      <c r="J43" s="18" t="n">
        <v>27982</v>
      </c>
      <c r="K43" s="18" t="n">
        <v>29441</v>
      </c>
      <c r="L43" s="18" t="n">
        <v>33342</v>
      </c>
      <c r="M43" s="18" t="n">
        <v>31545</v>
      </c>
      <c r="N43" s="18" t="n">
        <v>31845</v>
      </c>
      <c r="O43" s="18" t="n">
        <v>31998</v>
      </c>
      <c r="P43" s="18" t="n">
        <v>33067</v>
      </c>
      <c r="Q43" s="18" t="n">
        <v>32516</v>
      </c>
      <c r="R43" s="18" t="n">
        <v>31708</v>
      </c>
      <c r="S43" s="18" t="n">
        <v>33583</v>
      </c>
      <c r="T43" s="18" t="n">
        <v>36768</v>
      </c>
      <c r="U43" s="18" t="n">
        <v>34688</v>
      </c>
      <c r="V43" s="18" t="n">
        <v>35361</v>
      </c>
      <c r="W43" s="18" t="n">
        <v>35464</v>
      </c>
      <c r="X43" s="18" t="n">
        <v>38289</v>
      </c>
      <c r="Y43" s="18" t="n">
        <v>36999</v>
      </c>
      <c r="Z43" s="18" t="n">
        <v>37579</v>
      </c>
      <c r="AA43" s="18" t="n">
        <v>37108</v>
      </c>
      <c r="AB43" s="18" t="n">
        <v>41805</v>
      </c>
      <c r="AC43" s="18" t="n">
        <v>40763</v>
      </c>
    </row>
    <row r="44">
      <c r="A44" s="4" t="inlineStr">
        <is>
          <t>Long-term Debt</t>
        </is>
      </c>
      <c r="B44" s="18" t="n">
        <v>4799</v>
      </c>
      <c r="C44" s="18" t="n">
        <v>5124</v>
      </c>
      <c r="D44" s="18" t="n">
        <v>5107</v>
      </c>
      <c r="E44" s="18" t="n">
        <v>5099</v>
      </c>
      <c r="F44" s="18" t="n">
        <v>7598</v>
      </c>
      <c r="G44" s="18" t="n">
        <v>7514</v>
      </c>
      <c r="H44" s="18" t="n">
        <v>7529</v>
      </c>
      <c r="I44" s="18" t="n">
        <v>7522</v>
      </c>
      <c r="J44" s="18" t="n">
        <v>7495</v>
      </c>
      <c r="K44" s="18" t="n">
        <v>6692</v>
      </c>
      <c r="L44" s="18" t="n">
        <v>6667</v>
      </c>
      <c r="M44" s="18" t="n">
        <v>6658</v>
      </c>
      <c r="N44" s="18" t="n">
        <v>6507</v>
      </c>
      <c r="O44" s="18" t="n">
        <v>6484</v>
      </c>
      <c r="P44" s="18" t="n">
        <v>6472</v>
      </c>
      <c r="Q44" s="18" t="n">
        <v>6506</v>
      </c>
      <c r="R44" s="18" t="n">
        <v>6497</v>
      </c>
      <c r="S44" s="18" t="n">
        <v>5377</v>
      </c>
      <c r="T44" s="18" t="n">
        <v>5866</v>
      </c>
      <c r="U44" s="18" t="n">
        <v>5865</v>
      </c>
      <c r="V44" s="18" t="n">
        <v>5834</v>
      </c>
      <c r="W44" s="18" t="n">
        <v>5794</v>
      </c>
      <c r="X44" s="18" t="n">
        <v>5745</v>
      </c>
      <c r="Y44" s="18" t="n">
        <v>5755</v>
      </c>
      <c r="Z44" s="18" t="n">
        <v>5717</v>
      </c>
      <c r="AA44" s="18" t="n">
        <v>5713</v>
      </c>
      <c r="AB44" s="18" t="n">
        <v>5666</v>
      </c>
      <c r="AC44" s="18" t="n">
        <v>5688</v>
      </c>
    </row>
    <row r="45">
      <c r="A45" s="4" t="inlineStr">
        <is>
          <t>Total Equity</t>
        </is>
      </c>
      <c r="B45" s="18" t="n">
        <v>14486</v>
      </c>
      <c r="C45" s="18" t="n">
        <v>15243</v>
      </c>
      <c r="D45" s="18" t="n">
        <v>15861</v>
      </c>
      <c r="E45" s="18" t="n">
        <v>16614</v>
      </c>
      <c r="F45" s="18" t="n">
        <v>16802</v>
      </c>
      <c r="G45" s="18" t="n">
        <v>18284</v>
      </c>
      <c r="H45" s="18" t="n">
        <v>14860</v>
      </c>
      <c r="I45" s="18" t="n">
        <v>15652</v>
      </c>
      <c r="J45" s="18" t="n">
        <v>16482</v>
      </c>
      <c r="K45" s="18" t="n">
        <v>17564</v>
      </c>
      <c r="L45" s="18" t="n">
        <v>18463</v>
      </c>
      <c r="M45" s="18" t="n">
        <v>19418</v>
      </c>
      <c r="N45" s="18" t="n">
        <v>19968</v>
      </c>
      <c r="O45" s="18" t="n">
        <v>20642</v>
      </c>
      <c r="P45" s="18" t="n">
        <v>21471</v>
      </c>
      <c r="Q45" s="18" t="n">
        <v>22794</v>
      </c>
      <c r="R45" s="18" t="n">
        <v>23568</v>
      </c>
      <c r="S45" s="18" t="n">
        <v>25058</v>
      </c>
      <c r="T45" s="18" t="n">
        <v>26147</v>
      </c>
      <c r="U45" s="18" t="n">
        <v>20760</v>
      </c>
      <c r="V45" s="18" t="n">
        <v>21771</v>
      </c>
      <c r="W45" s="18" t="n">
        <v>23622</v>
      </c>
      <c r="X45" s="18" t="n">
        <v>24451</v>
      </c>
      <c r="Y45" s="18" t="n">
        <v>25577</v>
      </c>
      <c r="Z45" s="18" t="n">
        <v>27125</v>
      </c>
      <c r="AA45" s="18" t="n">
        <v>29164</v>
      </c>
      <c r="AB45" s="18" t="n">
        <v>30303</v>
      </c>
      <c r="AC45" s="18" t="n">
        <v>32087</v>
      </c>
    </row>
    <row r="46">
      <c r="A46" s="5" t="inlineStr">
        <is>
          <t xml:space="preserve">  CASH FLOW</t>
        </is>
      </c>
      <c r="B46" s="6" t="n"/>
      <c r="C46" s="6" t="n"/>
      <c r="D46" s="6" t="n"/>
      <c r="E46" s="6" t="n"/>
      <c r="F46" s="6" t="n"/>
      <c r="G46" s="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  <c r="Y46" s="6" t="n"/>
      <c r="Z46" s="6" t="n"/>
      <c r="AA46" s="6" t="n"/>
      <c r="AB46" s="6" t="n"/>
      <c r="AC46" s="6" t="n"/>
    </row>
    <row r="47">
      <c r="A47" s="4" t="inlineStr">
        <is>
          <t>D&amp;A</t>
        </is>
      </c>
      <c r="B47" s="18" t="n">
        <v>336</v>
      </c>
      <c r="C47" s="18" t="n">
        <v>473</v>
      </c>
      <c r="D47" s="18" t="n">
        <v>369</v>
      </c>
      <c r="E47" s="18" t="n">
        <v>389</v>
      </c>
      <c r="F47" s="18" t="n">
        <v>382</v>
      </c>
      <c r="G47" s="18" t="n">
        <v>505</v>
      </c>
      <c r="H47" s="18" t="n">
        <v>404</v>
      </c>
      <c r="I47" s="18" t="n">
        <v>416</v>
      </c>
      <c r="J47" s="18" t="n">
        <v>402</v>
      </c>
      <c r="K47" s="18" t="n">
        <v>559</v>
      </c>
      <c r="L47" s="18" t="n">
        <v>432</v>
      </c>
      <c r="M47" s="18" t="n">
        <v>436</v>
      </c>
      <c r="N47" s="18" t="n">
        <v>431</v>
      </c>
      <c r="O47" s="18" t="n">
        <v>601</v>
      </c>
      <c r="P47" s="18" t="n">
        <v>447</v>
      </c>
      <c r="Q47" s="18" t="n">
        <v>470</v>
      </c>
      <c r="R47" s="18" t="n">
        <v>472</v>
      </c>
      <c r="S47" s="18" t="n">
        <v>688</v>
      </c>
      <c r="T47" s="18" t="n">
        <v>501</v>
      </c>
      <c r="U47" s="18" t="n">
        <v>514</v>
      </c>
      <c r="V47" s="18" t="n">
        <v>516</v>
      </c>
      <c r="W47" s="18" t="n">
        <v>706</v>
      </c>
      <c r="X47" s="18" t="n">
        <v>548</v>
      </c>
      <c r="Y47" s="18" t="n">
        <v>552</v>
      </c>
      <c r="Z47" s="18" t="n">
        <v>552</v>
      </c>
      <c r="AA47" s="18" t="n">
        <v>774</v>
      </c>
      <c r="AB47" s="18" t="n">
        <v>597</v>
      </c>
      <c r="AC47" s="18" t="n">
        <v>597</v>
      </c>
    </row>
    <row r="48">
      <c r="A48" s="4" t="inlineStr">
        <is>
          <t>Stock-based Compensation</t>
        </is>
      </c>
      <c r="B48" s="18" t="n">
        <v>93</v>
      </c>
      <c r="C48" s="18" t="n">
        <v>113</v>
      </c>
      <c r="D48" s="18" t="n">
        <v>301</v>
      </c>
      <c r="E48" s="18" t="n">
        <v>118</v>
      </c>
      <c r="F48" s="18" t="n">
        <v>89</v>
      </c>
      <c r="G48" s="18" t="n">
        <v>111</v>
      </c>
      <c r="H48" s="18" t="n">
        <v>341</v>
      </c>
      <c r="I48" s="18" t="n">
        <v>122</v>
      </c>
      <c r="J48" s="18" t="n">
        <v>87</v>
      </c>
      <c r="K48" s="18" t="n">
        <v>115</v>
      </c>
      <c r="L48" s="18" t="n">
        <v>388</v>
      </c>
      <c r="M48" s="18" t="n">
        <v>128</v>
      </c>
      <c r="N48" s="18" t="n">
        <v>90</v>
      </c>
      <c r="O48" s="18" t="n">
        <v>118</v>
      </c>
      <c r="P48" s="18" t="n">
        <v>402</v>
      </c>
      <c r="Q48" s="18" t="n">
        <v>147</v>
      </c>
      <c r="R48" s="18" t="n">
        <v>94</v>
      </c>
      <c r="S48" s="18" t="n">
        <v>131</v>
      </c>
      <c r="T48" s="18" t="n">
        <v>444</v>
      </c>
      <c r="U48" s="18" t="n">
        <v>136</v>
      </c>
      <c r="V48" s="18" t="n">
        <v>106</v>
      </c>
      <c r="W48" s="18" t="n">
        <v>132</v>
      </c>
      <c r="X48" s="18" t="n">
        <v>463</v>
      </c>
      <c r="Y48" s="18" t="n">
        <v>151</v>
      </c>
      <c r="Z48" s="18" t="n">
        <v>106</v>
      </c>
      <c r="AA48" s="18" t="n">
        <v>140</v>
      </c>
      <c r="AB48" s="18" t="n">
        <v>486</v>
      </c>
      <c r="AC48" s="18" t="n">
        <v>166</v>
      </c>
    </row>
    <row r="49">
      <c r="A49" s="4" t="inlineStr">
        <is>
          <t>Change in Working Capital</t>
        </is>
      </c>
      <c r="B49" s="18" t="n">
        <v>762</v>
      </c>
      <c r="C49" s="18" t="n">
        <v>418</v>
      </c>
      <c r="D49" s="18" t="n">
        <v>516</v>
      </c>
      <c r="E49" s="18" t="n">
        <v>-867</v>
      </c>
      <c r="F49" s="18" t="n">
        <v>579</v>
      </c>
      <c r="G49" s="18" t="n">
        <v>1970</v>
      </c>
      <c r="H49" s="18" t="n">
        <v>669</v>
      </c>
      <c r="I49" s="18" t="n">
        <v>-1516</v>
      </c>
      <c r="J49" s="18" t="n">
        <v>1516</v>
      </c>
      <c r="K49" s="18" t="n">
        <v>334</v>
      </c>
      <c r="L49" s="18" t="n">
        <v>912</v>
      </c>
      <c r="M49" s="18" t="n">
        <v>-1536</v>
      </c>
      <c r="N49" s="18" t="n">
        <v>-726</v>
      </c>
      <c r="O49" s="18" t="n">
        <v>-213</v>
      </c>
      <c r="P49" s="18" t="n">
        <v>165</v>
      </c>
      <c r="Q49" s="18" t="n">
        <v>980</v>
      </c>
      <c r="R49" s="18" t="n">
        <v>-707</v>
      </c>
      <c r="S49" s="18" t="n">
        <v>580</v>
      </c>
      <c r="T49" s="18" t="n">
        <v>2000</v>
      </c>
      <c r="U49" s="18" t="n">
        <v>-1686</v>
      </c>
      <c r="V49" s="18" t="n">
        <v>652</v>
      </c>
      <c r="W49" s="18" t="n">
        <v>-355</v>
      </c>
      <c r="X49" s="18" t="n">
        <v>451</v>
      </c>
      <c r="Y49" s="18" t="n">
        <v>199</v>
      </c>
      <c r="Z49" s="18" t="n">
        <v>764</v>
      </c>
      <c r="AA49" s="18" t="n">
        <v>350</v>
      </c>
      <c r="AB49" s="18" t="n">
        <v>1534</v>
      </c>
      <c r="AC49" s="18" t="n">
        <v>-1534</v>
      </c>
    </row>
    <row r="50">
      <c r="A50" s="4" t="inlineStr">
        <is>
          <t>Operating Cash Flow</t>
        </is>
      </c>
      <c r="B50" s="18" t="n">
        <v>2105</v>
      </c>
      <c r="C50" s="18" t="n">
        <v>2293</v>
      </c>
      <c r="D50" s="18" t="n">
        <v>2102</v>
      </c>
      <c r="E50" s="18" t="n">
        <v>619</v>
      </c>
      <c r="F50" s="18" t="n">
        <v>1898</v>
      </c>
      <c r="G50" s="18" t="n">
        <v>4242</v>
      </c>
      <c r="H50" s="18" t="n">
        <v>2647</v>
      </c>
      <c r="I50" s="18" t="n">
        <v>38</v>
      </c>
      <c r="J50" s="18" t="n">
        <v>3333</v>
      </c>
      <c r="K50" s="18" t="n">
        <v>2940</v>
      </c>
      <c r="L50" s="18" t="n">
        <v>3258</v>
      </c>
      <c r="M50" s="18" t="n">
        <v>401</v>
      </c>
      <c r="N50" s="18" t="n">
        <v>1227</v>
      </c>
      <c r="O50" s="18" t="n">
        <v>2506</v>
      </c>
      <c r="P50" s="18" t="n">
        <v>2610</v>
      </c>
      <c r="Q50" s="18" t="n">
        <v>3192</v>
      </c>
      <c r="R50" s="18" t="n">
        <v>1541</v>
      </c>
      <c r="S50" s="18" t="n">
        <v>3725</v>
      </c>
      <c r="T50" s="18" t="n">
        <v>4651</v>
      </c>
      <c r="U50" s="18" t="n">
        <v>731</v>
      </c>
      <c r="V50" s="18" t="n">
        <v>2999</v>
      </c>
      <c r="W50" s="18" t="n">
        <v>2958</v>
      </c>
      <c r="X50" s="18" t="n">
        <v>3260</v>
      </c>
      <c r="Y50" s="18" t="n">
        <v>2748</v>
      </c>
      <c r="Z50" s="18" t="n">
        <v>3460</v>
      </c>
      <c r="AA50" s="18" t="n">
        <v>3867</v>
      </c>
      <c r="AB50" s="18" t="n">
        <v>4688</v>
      </c>
      <c r="AC50" s="18" t="n">
        <v>2996</v>
      </c>
    </row>
    <row r="51">
      <c r="A51" s="4" t="inlineStr">
        <is>
          <t>Capex</t>
        </is>
      </c>
      <c r="B51" s="18" t="n">
        <v>-672</v>
      </c>
      <c r="C51" s="18" t="n">
        <v>-1009</v>
      </c>
      <c r="D51" s="18" t="n">
        <v>-715</v>
      </c>
      <c r="E51" s="18" t="n">
        <v>-545</v>
      </c>
      <c r="F51" s="18" t="n">
        <v>-698</v>
      </c>
      <c r="G51" s="18" t="n">
        <v>-852</v>
      </c>
      <c r="H51" s="18" t="n">
        <v>-893</v>
      </c>
      <c r="I51" s="18" t="n">
        <v>-573</v>
      </c>
      <c r="J51" s="18" t="n">
        <v>-1028</v>
      </c>
      <c r="K51" s="18" t="n">
        <v>-1094</v>
      </c>
      <c r="L51" s="18" t="n">
        <v>-1055</v>
      </c>
      <c r="M51" s="18" t="n">
        <v>-723</v>
      </c>
      <c r="N51" s="18" t="n">
        <v>-854</v>
      </c>
      <c r="O51" s="18" t="n">
        <v>-1259</v>
      </c>
      <c r="P51" s="18" t="n">
        <v>-1057</v>
      </c>
      <c r="Q51" s="18" t="n">
        <v>-890</v>
      </c>
      <c r="R51" s="18" t="n">
        <v>-820</v>
      </c>
      <c r="S51" s="18" t="n">
        <v>-1556</v>
      </c>
      <c r="T51" s="18" t="n">
        <v>-1040</v>
      </c>
      <c r="U51" s="18" t="n">
        <v>-1031</v>
      </c>
      <c r="V51" s="18" t="n">
        <v>-1062</v>
      </c>
      <c r="W51" s="18" t="n">
        <v>-1577</v>
      </c>
      <c r="X51" s="18" t="n">
        <v>-1264</v>
      </c>
      <c r="Y51" s="18" t="n">
        <v>-1137</v>
      </c>
      <c r="Z51" s="18" t="n">
        <v>-1131</v>
      </c>
      <c r="AA51" s="18" t="n">
        <v>-1966</v>
      </c>
      <c r="AB51" s="18" t="n">
        <v>-1526</v>
      </c>
      <c r="AC51" s="18" t="n">
        <v>-1289</v>
      </c>
    </row>
    <row r="52">
      <c r="A52" s="4" t="inlineStr">
        <is>
          <t>Free Cash Flow</t>
        </is>
      </c>
      <c r="B52" s="18" t="n">
        <v>1433</v>
      </c>
      <c r="C52" s="18" t="n">
        <v>1284</v>
      </c>
      <c r="D52" s="18" t="n">
        <v>1387</v>
      </c>
      <c r="E52" s="18" t="n">
        <v>74</v>
      </c>
      <c r="F52" s="18" t="n">
        <v>1200</v>
      </c>
      <c r="G52" s="18" t="n">
        <v>3390</v>
      </c>
      <c r="H52" s="18" t="n">
        <v>1754</v>
      </c>
      <c r="I52" s="18" t="n">
        <v>-535</v>
      </c>
      <c r="J52" s="18" t="n">
        <v>2305</v>
      </c>
      <c r="K52" s="18" t="n">
        <v>1846</v>
      </c>
      <c r="L52" s="18" t="n">
        <v>2203</v>
      </c>
      <c r="M52" s="18" t="n">
        <v>-322</v>
      </c>
      <c r="N52" s="18" t="n">
        <v>373</v>
      </c>
      <c r="O52" s="18" t="n">
        <v>1247</v>
      </c>
      <c r="P52" s="18" t="n">
        <v>1553</v>
      </c>
      <c r="Q52" s="18" t="n">
        <v>2302</v>
      </c>
      <c r="R52" s="18" t="n">
        <v>721</v>
      </c>
      <c r="S52" s="18" t="n">
        <v>2169</v>
      </c>
      <c r="T52" s="18" t="n">
        <v>3611</v>
      </c>
      <c r="U52" s="18" t="n">
        <v>-300</v>
      </c>
      <c r="V52" s="18" t="n">
        <v>1937</v>
      </c>
      <c r="W52" s="18" t="n">
        <v>1381</v>
      </c>
      <c r="X52" s="18" t="n">
        <v>1996</v>
      </c>
      <c r="Y52" s="18" t="n">
        <v>1611</v>
      </c>
      <c r="Z52" s="18" t="n">
        <v>2329</v>
      </c>
      <c r="AA52" s="18" t="n">
        <v>1901</v>
      </c>
      <c r="AB52" s="18" t="n">
        <v>3162</v>
      </c>
      <c r="AC52" s="18" t="n">
        <v>1707</v>
      </c>
    </row>
    <row r="54">
      <c r="A54" s="2" t="inlineStr">
        <is>
          <t>Blue = hardcoded actuals from FMP filings. Same-sheet ratios are formulas.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9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Full consensus check — model vs Street (FMP estimates, $M)</t>
        </is>
      </c>
    </row>
    <row r="2">
      <c r="A2" s="3" t="inlineStr">
        <is>
          <t>Fiscal year</t>
        </is>
      </c>
      <c r="B2" s="45" t="n">
        <v>2026</v>
      </c>
      <c r="C2" s="45" t="n">
        <v>2027</v>
      </c>
      <c r="D2" s="45" t="n">
        <v>2028</v>
      </c>
      <c r="E2" s="45" t="n">
        <v>2029</v>
      </c>
      <c r="F2" s="45" t="n">
        <v>2030</v>
      </c>
    </row>
    <row r="3">
      <c r="A3" s="5" t="inlineStr">
        <is>
          <t xml:space="preserve">  EVERY AVAILABLE FMP CONSENSUS FIELD (consensus / model / % diff)</t>
        </is>
      </c>
      <c r="B3" s="6" t="n"/>
      <c r="C3" s="6" t="n"/>
      <c r="D3" s="6" t="n"/>
      <c r="E3" s="6" t="n"/>
      <c r="F3" s="6" t="n"/>
    </row>
    <row r="4">
      <c r="A4" s="3" t="inlineStr">
        <is>
          <t>Revenue — consensus</t>
        </is>
      </c>
      <c r="B4" s="18" t="n">
        <v>299703.742633</v>
      </c>
      <c r="C4" s="18" t="n">
        <v>323270.005468</v>
      </c>
      <c r="D4" s="18" t="n">
        <v>347705.936168</v>
      </c>
      <c r="E4" s="18" t="n">
        <v>366582.380307</v>
      </c>
      <c r="F4" s="18" t="n">
        <v>385935</v>
      </c>
    </row>
    <row r="5">
      <c r="A5" s="4" t="inlineStr">
        <is>
          <t xml:space="preserve">  model</t>
        </is>
      </c>
      <c r="B5" s="33">
        <f>Model!G14</f>
        <v/>
      </c>
      <c r="C5" s="33">
        <f>Model!H14</f>
        <v/>
      </c>
      <c r="D5" s="33">
        <f>Model!I14</f>
        <v/>
      </c>
      <c r="E5" s="33">
        <f>Model!J14</f>
        <v/>
      </c>
      <c r="F5" s="33">
        <f>Model!K14</f>
        <v/>
      </c>
    </row>
    <row r="6">
      <c r="A6" s="4" t="inlineStr">
        <is>
          <t xml:space="preserve">  vs consensus</t>
        </is>
      </c>
      <c r="B6" s="46">
        <f>IFERROR(B5/B4-1,"")</f>
        <v/>
      </c>
      <c r="C6" s="46">
        <f>IFERROR(C5/C4-1,"")</f>
        <v/>
      </c>
      <c r="D6" s="46">
        <f>IFERROR(D5/D4-1,"")</f>
        <v/>
      </c>
      <c r="E6" s="46">
        <f>IFERROR(E5/E4-1,"")</f>
        <v/>
      </c>
      <c r="F6" s="46">
        <f>IFERROR(F5/F4-1,"")</f>
        <v/>
      </c>
    </row>
    <row r="8">
      <c r="A8" s="3" t="inlineStr">
        <is>
          <t>EBITDA* — consensus</t>
        </is>
      </c>
      <c r="B8" s="18" t="n">
        <v>16579.540179</v>
      </c>
      <c r="C8" s="18" t="n">
        <v>17883.220267</v>
      </c>
      <c r="D8" s="18" t="n">
        <v>19235.010175</v>
      </c>
      <c r="E8" s="18" t="n">
        <v>20279.250602</v>
      </c>
      <c r="F8" s="18" t="n">
        <v>21349.832947</v>
      </c>
    </row>
    <row r="9">
      <c r="A9" s="4" t="inlineStr">
        <is>
          <t xml:space="preserve">  model</t>
        </is>
      </c>
      <c r="B9" s="33">
        <f>Model!G27+Model!G32</f>
        <v/>
      </c>
      <c r="C9" s="33">
        <f>Model!H27+Model!H32</f>
        <v/>
      </c>
      <c r="D9" s="33">
        <f>Model!I27+Model!I32</f>
        <v/>
      </c>
      <c r="E9" s="33">
        <f>Model!J27+Model!J32</f>
        <v/>
      </c>
      <c r="F9" s="33">
        <f>Model!K27+Model!K32</f>
        <v/>
      </c>
    </row>
    <row r="10">
      <c r="A10" s="4" t="inlineStr">
        <is>
          <t xml:space="preserve">  vs consensus</t>
        </is>
      </c>
      <c r="B10" s="46">
        <f>IFERROR(B9/B8-1,"")</f>
        <v/>
      </c>
      <c r="C10" s="46">
        <f>IFERROR(C9/C8-1,"")</f>
        <v/>
      </c>
      <c r="D10" s="46">
        <f>IFERROR(D9/D8-1,"")</f>
        <v/>
      </c>
      <c r="E10" s="46">
        <f>IFERROR(E9/E8-1,"")</f>
        <v/>
      </c>
      <c r="F10" s="46">
        <f>IFERROR(F9/F8-1,"")</f>
        <v/>
      </c>
    </row>
    <row r="12">
      <c r="A12" s="3" t="inlineStr">
        <is>
          <t>EBIT* — consensus</t>
        </is>
      </c>
      <c r="B12" s="18" t="n">
        <v>13957.515859</v>
      </c>
      <c r="C12" s="18" t="n">
        <v>15055.021297</v>
      </c>
      <c r="D12" s="18" t="n">
        <v>16193.028074</v>
      </c>
      <c r="E12" s="18" t="n">
        <v>17072.123764</v>
      </c>
      <c r="F12" s="18" t="n">
        <v>17973.395446</v>
      </c>
    </row>
    <row r="13">
      <c r="A13" s="4" t="inlineStr">
        <is>
          <t xml:space="preserve">  model</t>
        </is>
      </c>
      <c r="B13" s="33">
        <f>Model!G27</f>
        <v/>
      </c>
      <c r="C13" s="33">
        <f>Model!H27</f>
        <v/>
      </c>
      <c r="D13" s="33">
        <f>Model!I27</f>
        <v/>
      </c>
      <c r="E13" s="33">
        <f>Model!J27</f>
        <v/>
      </c>
      <c r="F13" s="33">
        <f>Model!K27</f>
        <v/>
      </c>
    </row>
    <row r="14">
      <c r="A14" s="4" t="inlineStr">
        <is>
          <t xml:space="preserve">  vs consensus</t>
        </is>
      </c>
      <c r="B14" s="46">
        <f>IFERROR(B13/B12-1,"")</f>
        <v/>
      </c>
      <c r="C14" s="46">
        <f>IFERROR(C13/C12-1,"")</f>
        <v/>
      </c>
      <c r="D14" s="46">
        <f>IFERROR(D13/D12-1,"")</f>
        <v/>
      </c>
      <c r="E14" s="46">
        <f>IFERROR(E13/E12-1,"")</f>
        <v/>
      </c>
      <c r="F14" s="46">
        <f>IFERROR(F13/F12-1,"")</f>
        <v/>
      </c>
    </row>
    <row r="16">
      <c r="A16" s="3" t="inlineStr">
        <is>
          <t>SG&amp;A — consensus</t>
        </is>
      </c>
      <c r="B16" s="18" t="n">
        <v>27023.209594</v>
      </c>
      <c r="C16" s="18" t="n">
        <v>29148.094837</v>
      </c>
      <c r="D16" s="18" t="n">
        <v>31351.394906</v>
      </c>
      <c r="E16" s="18" t="n">
        <v>33053.416049</v>
      </c>
      <c r="F16" s="18" t="n">
        <v>34798.37223</v>
      </c>
    </row>
    <row r="17">
      <c r="A17" s="4" t="inlineStr">
        <is>
          <t xml:space="preserve">  model</t>
        </is>
      </c>
      <c r="B17" s="33">
        <f>Model!G22</f>
        <v/>
      </c>
      <c r="C17" s="33">
        <f>Model!H22</f>
        <v/>
      </c>
      <c r="D17" s="33">
        <f>Model!I22</f>
        <v/>
      </c>
      <c r="E17" s="33">
        <f>Model!J22</f>
        <v/>
      </c>
      <c r="F17" s="33">
        <f>Model!K22</f>
        <v/>
      </c>
    </row>
    <row r="18">
      <c r="A18" s="4" t="inlineStr">
        <is>
          <t xml:space="preserve">  vs consensus</t>
        </is>
      </c>
      <c r="B18" s="46">
        <f>IFERROR(B17/B16-1,"")</f>
        <v/>
      </c>
      <c r="C18" s="46">
        <f>IFERROR(C17/C16-1,"")</f>
        <v/>
      </c>
      <c r="D18" s="46">
        <f>IFERROR(D17/D16-1,"")</f>
        <v/>
      </c>
      <c r="E18" s="46">
        <f>IFERROR(E17/E16-1,"")</f>
        <v/>
      </c>
      <c r="F18" s="46">
        <f>IFERROR(F17/F16-1,"")</f>
        <v/>
      </c>
    </row>
    <row r="20">
      <c r="A20" s="3" t="inlineStr">
        <is>
          <t>Net income (NOPAT) — consensus</t>
        </is>
      </c>
      <c r="B20" s="18" t="n">
        <v>9127.61843</v>
      </c>
      <c r="C20" s="18" t="n">
        <v>10009.02185</v>
      </c>
      <c r="D20" s="18" t="n">
        <v>11030.6084</v>
      </c>
      <c r="E20" s="18" t="n">
        <v>11961.944768</v>
      </c>
      <c r="F20" s="18" t="n">
        <v>12447.811982</v>
      </c>
    </row>
    <row r="21">
      <c r="A21" s="4" t="inlineStr">
        <is>
          <t xml:space="preserve">  model</t>
        </is>
      </c>
      <c r="B21" s="33">
        <f>Model!G31</f>
        <v/>
      </c>
      <c r="C21" s="33">
        <f>Model!H31</f>
        <v/>
      </c>
      <c r="D21" s="33">
        <f>Model!I31</f>
        <v/>
      </c>
      <c r="E21" s="33">
        <f>Model!J31</f>
        <v/>
      </c>
      <c r="F21" s="33">
        <f>Model!K31</f>
        <v/>
      </c>
    </row>
    <row r="22">
      <c r="A22" s="4" t="inlineStr">
        <is>
          <t xml:space="preserve">  vs consensus</t>
        </is>
      </c>
      <c r="B22" s="46">
        <f>IFERROR(B21/B20-1,"")</f>
        <v/>
      </c>
      <c r="C22" s="46">
        <f>IFERROR(C21/C20-1,"")</f>
        <v/>
      </c>
      <c r="D22" s="46">
        <f>IFERROR(D21/D20-1,"")</f>
        <v/>
      </c>
      <c r="E22" s="46">
        <f>IFERROR(E21/E20-1,"")</f>
        <v/>
      </c>
      <c r="F22" s="46">
        <f>IFERROR(F21/F20-1,"")</f>
        <v/>
      </c>
    </row>
    <row r="24">
      <c r="A24" s="3" t="inlineStr">
        <is>
          <t>EPS — consensus</t>
        </is>
      </c>
      <c r="B24" s="47" t="n">
        <v>20.48767</v>
      </c>
      <c r="C24" s="47" t="n">
        <v>22.57898</v>
      </c>
      <c r="D24" s="47" t="n">
        <v>24.87828</v>
      </c>
      <c r="E24" s="47" t="n">
        <v>26.89268</v>
      </c>
      <c r="F24" s="47" t="n">
        <v>27.985</v>
      </c>
    </row>
    <row r="25">
      <c r="A25" s="4" t="inlineStr">
        <is>
          <t xml:space="preserve">  model</t>
        </is>
      </c>
      <c r="B25" s="8">
        <f>Model!G31/Financials!AC17</f>
        <v/>
      </c>
      <c r="C25" s="8">
        <f>Model!H31/Financials!AC17</f>
        <v/>
      </c>
      <c r="D25" s="8">
        <f>Model!I31/Financials!AC17</f>
        <v/>
      </c>
      <c r="E25" s="8">
        <f>Model!J31/Financials!AC17</f>
        <v/>
      </c>
      <c r="F25" s="8">
        <f>Model!K31/Financials!AC17</f>
        <v/>
      </c>
    </row>
    <row r="26">
      <c r="A26" s="4" t="inlineStr">
        <is>
          <t xml:space="preserve">  vs consensus</t>
        </is>
      </c>
      <c r="B26" s="46">
        <f>IFERROR(B25/B24-1,"")</f>
        <v/>
      </c>
      <c r="C26" s="46">
        <f>IFERROR(C25/C24-1,"")</f>
        <v/>
      </c>
      <c r="D26" s="46">
        <f>IFERROR(D25/D24-1,"")</f>
        <v/>
      </c>
      <c r="E26" s="46">
        <f>IFERROR(E25/E24-1,"")</f>
        <v/>
      </c>
      <c r="F26" s="46">
        <f>IFERROR(F25/F24-1,"")</f>
        <v/>
      </c>
    </row>
    <row r="28">
      <c r="A28" s="2" t="inlineStr">
        <is>
          <t>Defaults anchored to consensus revenue + net income (≈0% diff). Other rows show where the model sits vs Street.</t>
        </is>
      </c>
    </row>
    <row r="29">
      <c r="A29" s="2" t="inlineStr">
        <is>
          <t>*FMP's EBITDA/EBIT estimates look unreliable for AMZN (it reports NI &gt; EBIT) — don't over-read those two.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5"/>
  <sheetViews>
    <sheetView showGridLines="0" workbookViewId="0">
      <selection activeCell="A1" sqref="A1"/>
    </sheetView>
  </sheetViews>
  <sheetFormatPr baseColWidth="8" defaultRowHeight="15"/>
  <cols>
    <col width="36" customWidth="1" min="1" max="1"/>
    <col width="14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</cols>
  <sheetData>
    <row r="1">
      <c r="A1" s="1" t="inlineStr">
        <is>
          <t>Costco Wholesale Corporation — DCF Valuation</t>
        </is>
      </c>
    </row>
    <row r="2">
      <c r="A2" s="4" t="inlineStr">
        <is>
          <t>Current price</t>
        </is>
      </c>
      <c r="B2" s="8">
        <f>Dashboard!$B$48</f>
        <v/>
      </c>
    </row>
    <row r="3">
      <c r="A3" s="4" t="inlineStr">
        <is>
          <t>WACC</t>
        </is>
      </c>
      <c r="B3" s="11">
        <f>WACC!B15</f>
        <v/>
      </c>
    </row>
    <row r="4">
      <c r="A4" s="4" t="inlineStr">
        <is>
          <t>Terminal growth (g)</t>
        </is>
      </c>
      <c r="B4" s="11">
        <f>Dashboard!$B$46</f>
        <v/>
      </c>
    </row>
    <row r="5">
      <c r="A5" s="4" t="inlineStr">
        <is>
          <t>Tax rate</t>
        </is>
      </c>
      <c r="B5" s="11">
        <f>Dashboard!$B$31</f>
        <v/>
      </c>
    </row>
    <row r="6">
      <c r="A6" s="4" t="inlineStr">
        <is>
          <t>Terminal method</t>
        </is>
      </c>
      <c r="B6" s="12">
        <f>Dashboard!$B$43</f>
        <v/>
      </c>
    </row>
    <row r="7">
      <c r="A7" s="4" t="inlineStr">
        <is>
          <t>Exit basis</t>
        </is>
      </c>
      <c r="B7" s="12">
        <f>Dashboard!$B$44</f>
        <v/>
      </c>
    </row>
    <row r="8">
      <c r="A8" s="4" t="inlineStr">
        <is>
          <t>Exit multiple</t>
        </is>
      </c>
      <c r="B8" s="13">
        <f>Dashboard!$B$45</f>
        <v/>
      </c>
    </row>
    <row r="11">
      <c r="A11" s="3" t="inlineStr">
        <is>
          <t>Forecast year</t>
        </is>
      </c>
      <c r="C11" s="45" t="n">
        <v>2026</v>
      </c>
      <c r="D11" s="45" t="n">
        <v>2027</v>
      </c>
      <c r="E11" s="45" t="n">
        <v>2028</v>
      </c>
      <c r="F11" s="45" t="n">
        <v>2029</v>
      </c>
      <c r="G11" s="45" t="n">
        <v>2030</v>
      </c>
      <c r="H11" s="45" t="n">
        <v>2031</v>
      </c>
      <c r="I11" s="45" t="n">
        <v>2032</v>
      </c>
      <c r="J11" s="45" t="n">
        <v>2033</v>
      </c>
      <c r="K11" s="45" t="n">
        <v>2034</v>
      </c>
      <c r="L11" s="45" t="n">
        <v>2035</v>
      </c>
    </row>
    <row r="12">
      <c r="A12" s="4" t="inlineStr">
        <is>
          <t>FCFF ($M)</t>
        </is>
      </c>
      <c r="C12" s="33">
        <f>Model!G39</f>
        <v/>
      </c>
      <c r="D12" s="33">
        <f>Model!H39</f>
        <v/>
      </c>
      <c r="E12" s="33">
        <f>Model!I39</f>
        <v/>
      </c>
      <c r="F12" s="33">
        <f>Model!J39</f>
        <v/>
      </c>
      <c r="G12" s="33">
        <f>Model!K39</f>
        <v/>
      </c>
      <c r="H12" s="33">
        <f>Model!L39</f>
        <v/>
      </c>
      <c r="I12" s="33">
        <f>Model!M39</f>
        <v/>
      </c>
      <c r="J12" s="33">
        <f>Model!N39</f>
        <v/>
      </c>
      <c r="K12" s="33">
        <f>Model!O39</f>
        <v/>
      </c>
      <c r="L12" s="33">
        <f>Model!P39</f>
        <v/>
      </c>
    </row>
    <row r="13">
      <c r="A13" s="4" t="inlineStr">
        <is>
          <t>PV factor</t>
        </is>
      </c>
      <c r="C13" s="48">
        <f>1/(1+$B$3)^1</f>
        <v/>
      </c>
      <c r="D13" s="48">
        <f>1/(1+$B$3)^2</f>
        <v/>
      </c>
      <c r="E13" s="48">
        <f>1/(1+$B$3)^3</f>
        <v/>
      </c>
      <c r="F13" s="48">
        <f>1/(1+$B$3)^4</f>
        <v/>
      </c>
      <c r="G13" s="48">
        <f>1/(1+$B$3)^5</f>
        <v/>
      </c>
      <c r="H13" s="48">
        <f>1/(1+$B$3)^6</f>
        <v/>
      </c>
      <c r="I13" s="48">
        <f>1/(1+$B$3)^7</f>
        <v/>
      </c>
      <c r="J13" s="48">
        <f>1/(1+$B$3)^8</f>
        <v/>
      </c>
      <c r="K13" s="48">
        <f>1/(1+$B$3)^9</f>
        <v/>
      </c>
      <c r="L13" s="48">
        <f>1/(1+$B$3)^10</f>
        <v/>
      </c>
    </row>
    <row r="14">
      <c r="A14" s="4" t="inlineStr">
        <is>
          <t>PV of FCFF ($M)</t>
        </is>
      </c>
      <c r="C14" s="41">
        <f>C12*C13</f>
        <v/>
      </c>
      <c r="D14" s="41">
        <f>D12*D13</f>
        <v/>
      </c>
      <c r="E14" s="41">
        <f>E12*E13</f>
        <v/>
      </c>
      <c r="F14" s="41">
        <f>F12*F13</f>
        <v/>
      </c>
      <c r="G14" s="41">
        <f>G12*G13</f>
        <v/>
      </c>
      <c r="H14" s="41">
        <f>H12*H13</f>
        <v/>
      </c>
      <c r="I14" s="41">
        <f>I12*I13</f>
        <v/>
      </c>
      <c r="J14" s="41">
        <f>J12*J13</f>
        <v/>
      </c>
      <c r="K14" s="41">
        <f>K12*K13</f>
        <v/>
      </c>
      <c r="L14" s="41">
        <f>L12*L13</f>
        <v/>
      </c>
    </row>
    <row r="16">
      <c r="A16" s="3" t="inlineStr">
        <is>
          <t>Sum PV of FCFF</t>
        </is>
      </c>
      <c r="B16" s="42">
        <f>SUM(C14:L14)</f>
        <v/>
      </c>
    </row>
    <row r="18">
      <c r="A18" s="5" t="inlineStr">
        <is>
          <t xml:space="preserve">  TERMINAL VALUE (exit multiple = default; perpetuity = cross-check)</t>
        </is>
      </c>
      <c r="B18" s="6" t="n"/>
      <c r="C18" s="6" t="n"/>
    </row>
    <row r="19">
      <c r="A19" s="4" t="inlineStr">
        <is>
          <t>Terminal-year FCFF</t>
        </is>
      </c>
      <c r="B19" s="41">
        <f>L12</f>
        <v/>
      </c>
    </row>
    <row r="20">
      <c r="A20" s="4" t="inlineStr">
        <is>
          <t>Terminal revenue</t>
        </is>
      </c>
      <c r="B20" s="33">
        <f>Model!P14</f>
        <v/>
      </c>
    </row>
    <row r="21">
      <c r="A21" s="4" t="inlineStr">
        <is>
          <t>Terminal EBIT</t>
        </is>
      </c>
      <c r="B21" s="33">
        <f>Model!P27</f>
        <v/>
      </c>
    </row>
    <row r="22">
      <c r="A22" s="4" t="inlineStr">
        <is>
          <t>Terminal EBITDA (SBC-burdened)</t>
        </is>
      </c>
      <c r="B22" s="33">
        <f>Model!P27+Model!P32-Model!P33</f>
        <v/>
      </c>
    </row>
    <row r="23">
      <c r="A23" s="4" t="inlineStr">
        <is>
          <t>Terminal metric (per exit basis)</t>
        </is>
      </c>
      <c r="B23" s="41">
        <f>IF($B$7="EV/EBITDA",B22,IF($B$7="EV/Sales",B20,IF($B$7="EV/EBIT",B21,B19)))</f>
        <v/>
      </c>
    </row>
    <row r="24">
      <c r="A24" s="4" t="inlineStr">
        <is>
          <t>TV (exit) = metric x multiple</t>
        </is>
      </c>
      <c r="B24" s="41">
        <f>B23*$B$8</f>
        <v/>
      </c>
    </row>
    <row r="25">
      <c r="A25" s="4" t="inlineStr">
        <is>
          <t>PV of TV — exit multiple</t>
        </is>
      </c>
      <c r="B25" s="41">
        <f>B24/(1+$B$3)^10</f>
        <v/>
      </c>
    </row>
    <row r="26">
      <c r="A26" s="4" t="inlineStr">
        <is>
          <t>TV (perpetuity) = FCFF(1+g)/(WACC-g)</t>
        </is>
      </c>
      <c r="B26" s="41">
        <f>B19*(1+$B$4)/($B$3-$B$4)</f>
        <v/>
      </c>
    </row>
    <row r="27">
      <c r="A27" s="4" t="inlineStr">
        <is>
          <t>PV of TV — perpetuity</t>
        </is>
      </c>
      <c r="B27" s="41">
        <f>B26/(1+$B$3)^10</f>
        <v/>
      </c>
    </row>
    <row r="28">
      <c r="A28" s="3" t="inlineStr">
        <is>
          <t>PV of TV — SELECTED</t>
        </is>
      </c>
      <c r="B28" s="42">
        <f>IF($B$6="Perpetuity",B27,B25)</f>
        <v/>
      </c>
    </row>
    <row r="30">
      <c r="A30" s="5" t="inlineStr">
        <is>
          <t xml:space="preserve">  EQUITY BRIDGE -&gt; VALUE / SHARE</t>
        </is>
      </c>
      <c r="B30" s="6" t="n"/>
      <c r="C30" s="6" t="n"/>
    </row>
    <row r="31">
      <c r="A31" s="3" t="inlineStr">
        <is>
          <t>Operating value (enterprise value)</t>
        </is>
      </c>
      <c r="B31" s="42">
        <f>B16+B28</f>
        <v/>
      </c>
    </row>
    <row r="32">
      <c r="A32" s="4" t="inlineStr">
        <is>
          <t>+ Cash &amp; ST investments</t>
        </is>
      </c>
      <c r="B32" s="33">
        <f>Financials!AC39</f>
        <v/>
      </c>
    </row>
    <row r="33">
      <c r="A33" s="4" t="inlineStr">
        <is>
          <t>- Long-term debt</t>
        </is>
      </c>
      <c r="B33" s="33">
        <f>-Financials!AC44</f>
        <v/>
      </c>
    </row>
    <row r="34">
      <c r="A34" s="3" t="inlineStr">
        <is>
          <t>Equity value</t>
        </is>
      </c>
      <c r="B34" s="42">
        <f>B31+B32+B33</f>
        <v/>
      </c>
    </row>
    <row r="35">
      <c r="A35" s="4" t="inlineStr">
        <is>
          <t>Diluted shares (M)</t>
        </is>
      </c>
      <c r="B35" s="33">
        <f>Financials!AC17</f>
        <v/>
      </c>
    </row>
    <row r="36">
      <c r="A36" s="3" t="inlineStr">
        <is>
          <t>VALUE / SHARE</t>
        </is>
      </c>
      <c r="B36" s="7">
        <f>B34/B35*1.0</f>
        <v/>
      </c>
    </row>
    <row r="38">
      <c r="A38" s="5" t="inlineStr">
        <is>
          <t xml:space="preserve">  CROSS-CHECKS &amp; RETURN</t>
        </is>
      </c>
      <c r="B38" s="6" t="n"/>
      <c r="C38" s="6" t="n"/>
    </row>
    <row r="39">
      <c r="A39" s="4" t="inlineStr">
        <is>
          <t>Terminal weight (% of EV)</t>
        </is>
      </c>
      <c r="B39" s="25">
        <f>B28/B31</f>
        <v/>
      </c>
    </row>
    <row r="40">
      <c r="A40" s="4" t="inlineStr">
        <is>
          <t>Implied perpetuity g (from exit multiple)</t>
        </is>
      </c>
      <c r="B40" s="25">
        <f>(B24*$B$3-B19)/(B24+B19)</f>
        <v/>
      </c>
    </row>
    <row r="41">
      <c r="A41" s="4" t="inlineStr">
        <is>
          <t>Implied exit EV/EBITDA (from perpetuity)</t>
        </is>
      </c>
      <c r="B41" s="26">
        <f>B26/B22</f>
        <v/>
      </c>
    </row>
    <row r="42">
      <c r="A42" s="4" t="inlineStr">
        <is>
          <t>Upside / (downside) to fair value</t>
        </is>
      </c>
      <c r="B42" s="29">
        <f>B36/$B$2-1</f>
        <v/>
      </c>
    </row>
    <row r="44">
      <c r="A44" s="4" t="inlineStr">
        <is>
          <t>Owner cashflow / share</t>
        </is>
      </c>
      <c r="B44" s="49">
        <f>-$B$2</f>
        <v/>
      </c>
      <c r="C44" s="50">
        <f>C12/B35</f>
        <v/>
      </c>
      <c r="D44" s="50">
        <f>D12/B35</f>
        <v/>
      </c>
      <c r="E44" s="50">
        <f>E12/B35</f>
        <v/>
      </c>
      <c r="F44" s="50">
        <f>F12/B35</f>
        <v/>
      </c>
      <c r="G44" s="50">
        <f>G12/B35</f>
        <v/>
      </c>
      <c r="H44" s="50">
        <f>H12/B35</f>
        <v/>
      </c>
      <c r="I44" s="50">
        <f>I12/B35</f>
        <v/>
      </c>
      <c r="J44" s="50">
        <f>J12/B35</f>
        <v/>
      </c>
      <c r="K44" s="50">
        <f>K12/B35</f>
        <v/>
      </c>
      <c r="L44" s="50">
        <f>L12/B35+B36</f>
        <v/>
      </c>
    </row>
    <row r="45">
      <c r="A45" s="3" t="inlineStr">
        <is>
          <t>IRR (buy at price, hold 10y)</t>
        </is>
      </c>
      <c r="B45" s="38">
        <f>IRR(B44:L44)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4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</cols>
  <sheetData>
    <row r="1">
      <c r="A1" s="1" t="inlineStr">
        <is>
          <t>Sensitivity — fair value / share (USD)</t>
        </is>
      </c>
    </row>
    <row r="2">
      <c r="A2" s="2" t="inlineStr">
        <is>
          <t>WACC x exit multiple (EV/EBITDA). Static grid recomputed by every rebuild/refresh — edit the Dashboard, re-run refresh_dcf to update. Shaded = base case; green = above current price.</t>
        </is>
      </c>
    </row>
    <row r="4">
      <c r="A4" s="3" t="inlineStr">
        <is>
          <t>EV/EBITDA x  \  WACC</t>
        </is>
      </c>
      <c r="B4" s="51" t="n">
        <v>0.06819916692016592</v>
      </c>
      <c r="C4" s="51" t="n">
        <v>0.07319916692016593</v>
      </c>
      <c r="D4" s="51" t="n">
        <v>0.07819916692016592</v>
      </c>
      <c r="E4" s="51" t="n">
        <v>0.08319916692016592</v>
      </c>
      <c r="F4" s="51" t="n">
        <v>0.08819916692016593</v>
      </c>
      <c r="G4" s="51" t="n">
        <v>0.09319916692016592</v>
      </c>
      <c r="H4" s="51" t="n">
        <v>0.09819916692016592</v>
      </c>
    </row>
    <row r="5">
      <c r="A5" s="52" t="n">
        <v>9</v>
      </c>
      <c r="B5" s="53" t="n">
        <v>424.5518232074305</v>
      </c>
      <c r="C5" s="53" t="n">
        <v>409.041307662731</v>
      </c>
      <c r="D5" s="53" t="n">
        <v>394.2583799909401</v>
      </c>
      <c r="E5" s="53" t="n">
        <v>380.1649178506667</v>
      </c>
      <c r="F5" s="53" t="n">
        <v>366.7249804196675</v>
      </c>
      <c r="G5" s="53" t="n">
        <v>353.9046736480915</v>
      </c>
      <c r="H5" s="53" t="n">
        <v>341.6720244256046</v>
      </c>
    </row>
    <row r="6">
      <c r="A6" s="52" t="n">
        <v>10</v>
      </c>
      <c r="B6" s="53" t="n">
        <v>452.8730034793584</v>
      </c>
      <c r="C6" s="53" t="n">
        <v>436.0703357123421</v>
      </c>
      <c r="D6" s="53" t="n">
        <v>420.0598100948116</v>
      </c>
      <c r="E6" s="53" t="n">
        <v>404.7998020099774</v>
      </c>
      <c r="F6" s="53" t="n">
        <v>390.2510732743803</v>
      </c>
      <c r="G6" s="53" t="n">
        <v>376.3766245376268</v>
      </c>
      <c r="H6" s="53" t="n">
        <v>363.1415574559848</v>
      </c>
    </row>
    <row r="7">
      <c r="A7" s="52" t="n">
        <v>11</v>
      </c>
      <c r="B7" s="53" t="n">
        <v>481.1941837512862</v>
      </c>
      <c r="C7" s="53" t="n">
        <v>463.0993637619532</v>
      </c>
      <c r="D7" s="53" t="n">
        <v>445.8612401986831</v>
      </c>
      <c r="E7" s="53" t="n">
        <v>429.4346861692883</v>
      </c>
      <c r="F7" s="53" t="n">
        <v>413.7771661290931</v>
      </c>
      <c r="G7" s="53" t="n">
        <v>398.8485754271622</v>
      </c>
      <c r="H7" s="53" t="n">
        <v>384.611090486365</v>
      </c>
    </row>
    <row r="8">
      <c r="A8" s="52" t="n">
        <v>12</v>
      </c>
      <c r="B8" s="53" t="n">
        <v>509.5153640232142</v>
      </c>
      <c r="C8" s="53" t="n">
        <v>490.1283918115643</v>
      </c>
      <c r="D8" s="53" t="n">
        <v>471.6626703025546</v>
      </c>
      <c r="E8" s="54" t="n">
        <v>454.0695703285991</v>
      </c>
      <c r="F8" s="53" t="n">
        <v>437.303258983806</v>
      </c>
      <c r="G8" s="53" t="n">
        <v>421.3205263166975</v>
      </c>
      <c r="H8" s="53" t="n">
        <v>406.0806235167452</v>
      </c>
    </row>
    <row r="9">
      <c r="A9" s="52" t="n">
        <v>13</v>
      </c>
      <c r="B9" s="53" t="n">
        <v>537.8365442951421</v>
      </c>
      <c r="C9" s="53" t="n">
        <v>517.1574198611753</v>
      </c>
      <c r="D9" s="53" t="n">
        <v>497.4641004064261</v>
      </c>
      <c r="E9" s="53" t="n">
        <v>478.70445448791</v>
      </c>
      <c r="F9" s="53" t="n">
        <v>460.8293518385188</v>
      </c>
      <c r="G9" s="53" t="n">
        <v>443.7924772062328</v>
      </c>
      <c r="H9" s="53" t="n">
        <v>427.5501565471254</v>
      </c>
    </row>
    <row r="10">
      <c r="A10" s="52" t="n">
        <v>14</v>
      </c>
      <c r="B10" s="53" t="n">
        <v>566.15772456707</v>
      </c>
      <c r="C10" s="53" t="n">
        <v>544.1864479107865</v>
      </c>
      <c r="D10" s="53" t="n">
        <v>523.2655305102976</v>
      </c>
      <c r="E10" s="53" t="n">
        <v>503.3393386472208</v>
      </c>
      <c r="F10" s="53" t="n">
        <v>484.3554446932316</v>
      </c>
      <c r="G10" s="53" t="n">
        <v>466.2644280957682</v>
      </c>
      <c r="H10" s="53" t="n">
        <v>449.0196895775056</v>
      </c>
    </row>
    <row r="11">
      <c r="A11" s="52" t="n">
        <v>15</v>
      </c>
      <c r="B11" s="53" t="n">
        <v>594.4789048389978</v>
      </c>
      <c r="C11" s="53" t="n">
        <v>571.2154759603975</v>
      </c>
      <c r="D11" s="53" t="n">
        <v>549.0669606141693</v>
      </c>
      <c r="E11" s="53" t="n">
        <v>527.9742228065317</v>
      </c>
      <c r="F11" s="53" t="n">
        <v>507.8815375479443</v>
      </c>
      <c r="G11" s="53" t="n">
        <v>488.7363789853035</v>
      </c>
      <c r="H11" s="53" t="n">
        <v>470.4892226078857</v>
      </c>
    </row>
    <row r="13">
      <c r="A13" s="3" t="inlineStr">
        <is>
          <t>Current price</t>
        </is>
      </c>
      <c r="B13" s="53" t="n">
        <v>948.7899780273438</v>
      </c>
    </row>
    <row r="14">
      <c r="A14" s="3" t="inlineStr">
        <is>
          <t>Base WACC / multiple</t>
        </is>
      </c>
      <c r="B14" s="55" t="n">
        <v>0.08319916692016592</v>
      </c>
      <c r="C14" s="56" t="n">
        <v>12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1001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3" customWidth="1" min="2" max="2"/>
    <col width="13" customWidth="1" min="3" max="3"/>
    <col width="13" customWidth="1" min="4" max="4"/>
    <col width="3" customWidth="1" min="7" max="7"/>
    <col hidden="1" width="20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hidden="1" width="13" customWidth="1" min="13" max="13"/>
    <col hidden="1" width="13" customWidth="1" min="14" max="14"/>
    <col hidden="1" width="13" customWidth="1" min="15" max="15"/>
  </cols>
  <sheetData>
    <row r="1">
      <c r="A1" s="1" t="inlineStr">
        <is>
          <t>Monte Carlo simulation (live)</t>
        </is>
      </c>
      <c r="H1" s="3" t="inlineStr">
        <is>
          <t>SIMULATION ENGINE — leave as-is</t>
        </is>
      </c>
      <c r="K1" s="3" t="inlineStr">
        <is>
          <t>cagr</t>
        </is>
      </c>
      <c r="L1" s="3" t="inlineStr">
        <is>
          <t>term margin</t>
        </is>
      </c>
      <c r="M1" s="3" t="inlineStr">
        <is>
          <t>wacc</t>
        </is>
      </c>
      <c r="N1" s="3" t="inlineStr">
        <is>
          <t>exit</t>
        </is>
      </c>
      <c r="O1" s="3" t="inlineStr">
        <is>
          <t>value/share</t>
        </is>
      </c>
    </row>
    <row r="2">
      <c r="A2" s="2" t="inlineStr">
        <is>
          <t>1,000 trials, recomputed in-sheet on every edit. Edit the yellow driver distributions to re-roll. Engine grid is to the right (cols H+).</t>
        </is>
      </c>
      <c r="H2" s="4" t="inlineStr">
        <is>
          <t>R0 (base revenue)</t>
        </is>
      </c>
      <c r="I2" s="12">
        <f>Model!F14</f>
        <v/>
      </c>
      <c r="K2" s="25">
        <f>MAX(-0.05,NORMINV(RAND(),$C$6,$D$6))</f>
        <v/>
      </c>
      <c r="L2" s="25">
        <f>MAX(0.02,NORMINV(RAND(),$C$7,$D$7))</f>
        <v/>
      </c>
      <c r="M2" s="25">
        <f>MIN(0.16,MAX(0.05,NORMINV(RAND(),$C$8,$D$8)))</f>
        <v/>
      </c>
      <c r="N2" s="26">
        <f>MIN(24,MAX(5,NORMINV(RAND(),$C$9,$D$9)))</f>
        <v/>
      </c>
      <c r="O2" s="49">
        <f>$I$8*(SUMPRODUCT(($I$2*(1+K2)^{1;2;3;4;5;6;7;8;9;10})*(($I$3+(L2-$I$3)*{1;2;3;4;5;6;7;8;9;10}/10)*(1-$I$7)+$I$4-$I$4*($I$5+(1.05-$I$5)*{1;2;3;4;5;6;7;8;9;10}/10)-(K2/(1+K2))*$I$6)/(1+M2)^{1;2;3;4;5;6;7;8;9;10})+$I$2*(1+K2)^10*(L2+$I$4)*N2/(1+M2)^10+$I$9-$I$10)/$I$11</f>
        <v/>
      </c>
    </row>
    <row r="3">
      <c r="H3" s="4" t="inlineStr">
        <is>
          <t>m0 (base op margin)</t>
        </is>
      </c>
      <c r="I3" s="12">
        <f>Model!F28</f>
        <v/>
      </c>
      <c r="K3" s="25">
        <f>MAX(-0.05,NORMINV(RAND(),$C$6,$D$6))</f>
        <v/>
      </c>
      <c r="L3" s="25">
        <f>MAX(0.02,NORMINV(RAND(),$C$7,$D$7))</f>
        <v/>
      </c>
      <c r="M3" s="25">
        <f>MIN(0.16,MAX(0.05,NORMINV(RAND(),$C$8,$D$8)))</f>
        <v/>
      </c>
      <c r="N3" s="26">
        <f>MIN(24,MAX(5,NORMINV(RAND(),$C$9,$D$9)))</f>
        <v/>
      </c>
      <c r="O3" s="49">
        <f>$I$8*(SUMPRODUCT(($I$2*(1+K3)^{1;2;3;4;5;6;7;8;9;10})*(($I$3+(L3-$I$3)*{1;2;3;4;5;6;7;8;9;10}/10)*(1-$I$7)+$I$4-$I$4*($I$5+(1.05-$I$5)*{1;2;3;4;5;6;7;8;9;10}/10)-(K3/(1+K3))*$I$6)/(1+M3)^{1;2;3;4;5;6;7;8;9;10})+$I$2*(1+K3)^10*(L3+$I$4)*N3/(1+M3)^10+$I$9-$I$10)/$I$11</f>
        <v/>
      </c>
    </row>
    <row r="4">
      <c r="A4" s="5" t="inlineStr">
        <is>
          <t xml:space="preserve">  DRIVER DISTRIBUTIONS (yellow = edit; Opus-set defaults)</t>
        </is>
      </c>
      <c r="B4" s="6" t="n"/>
      <c r="C4" s="6" t="n"/>
      <c r="D4" s="6" t="n"/>
      <c r="H4" s="4" t="inlineStr">
        <is>
          <t>da (D&amp;A / revenue)</t>
        </is>
      </c>
      <c r="I4" s="48" t="n">
        <v>0.008814285973804204</v>
      </c>
      <c r="K4" s="25">
        <f>MAX(-0.05,NORMINV(RAND(),$C$6,$D$6))</f>
        <v/>
      </c>
      <c r="L4" s="25">
        <f>MAX(0.02,NORMINV(RAND(),$C$7,$D$7))</f>
        <v/>
      </c>
      <c r="M4" s="25">
        <f>MIN(0.16,MAX(0.05,NORMINV(RAND(),$C$8,$D$8)))</f>
        <v/>
      </c>
      <c r="N4" s="26">
        <f>MIN(24,MAX(5,NORMINV(RAND(),$C$9,$D$9)))</f>
        <v/>
      </c>
      <c r="O4" s="49">
        <f>$I$8*(SUMPRODUCT(($I$2*(1+K4)^{1;2;3;4;5;6;7;8;9;10})*(($I$3+(L4-$I$3)*{1;2;3;4;5;6;7;8;9;10}/10)*(1-$I$7)+$I$4-$I$4*($I$5+(1.05-$I$5)*{1;2;3;4;5;6;7;8;9;10}/10)-(K4/(1+K4))*$I$6)/(1+M4)^{1;2;3;4;5;6;7;8;9;10})+$I$2*(1+K4)^10*(L4+$I$4)*N4/(1+M4)^10+$I$9-$I$10)/$I$11</f>
        <v/>
      </c>
    </row>
    <row r="5">
      <c r="A5" s="3" t="inlineStr">
        <is>
          <t>Driver</t>
        </is>
      </c>
      <c r="B5" s="3" t="inlineStr">
        <is>
          <t>Dist</t>
        </is>
      </c>
      <c r="C5" s="3" t="inlineStr">
        <is>
          <t>Mean</t>
        </is>
      </c>
      <c r="D5" s="3" t="inlineStr">
        <is>
          <t>Std dev</t>
        </is>
      </c>
      <c r="H5" s="4" t="inlineStr">
        <is>
          <t>cda0 (2026 capex/D&amp;A)</t>
        </is>
      </c>
      <c r="I5" s="48" t="n">
        <v>2.289381228261623</v>
      </c>
      <c r="K5" s="25">
        <f>MAX(-0.05,NORMINV(RAND(),$C$6,$D$6))</f>
        <v/>
      </c>
      <c r="L5" s="25">
        <f>MAX(0.02,NORMINV(RAND(),$C$7,$D$7))</f>
        <v/>
      </c>
      <c r="M5" s="25">
        <f>MIN(0.16,MAX(0.05,NORMINV(RAND(),$C$8,$D$8)))</f>
        <v/>
      </c>
      <c r="N5" s="26">
        <f>MIN(24,MAX(5,NORMINV(RAND(),$C$9,$D$9)))</f>
        <v/>
      </c>
      <c r="O5" s="49">
        <f>$I$8*(SUMPRODUCT(($I$2*(1+K5)^{1;2;3;4;5;6;7;8;9;10})*(($I$3+(L5-$I$3)*{1;2;3;4;5;6;7;8;9;10}/10)*(1-$I$7)+$I$4-$I$4*($I$5+(1.05-$I$5)*{1;2;3;4;5;6;7;8;9;10}/10)-(K5/(1+K5))*$I$6)/(1+M5)^{1;2;3;4;5;6;7;8;9;10})+$I$2*(1+K5)^10*(L5+$I$4)*N5/(1+M5)^10+$I$9-$I$10)/$I$11</f>
        <v/>
      </c>
    </row>
    <row r="6">
      <c r="A6" s="4" t="inlineStr">
        <is>
          <t>Revenue 10y CAGR</t>
        </is>
      </c>
      <c r="B6" s="4" t="inlineStr">
        <is>
          <t>Normal</t>
        </is>
      </c>
      <c r="C6" s="11">
        <f>(Model!P14/Model!F14)^(1/10)-1</f>
        <v/>
      </c>
      <c r="D6" s="15" t="n">
        <v>0.0206557826040428</v>
      </c>
      <c r="H6" s="4" t="inlineStr">
        <is>
          <t>nwc (% incr revenue)</t>
        </is>
      </c>
      <c r="I6" s="48" t="n">
        <v>0.005</v>
      </c>
      <c r="K6" s="25">
        <f>MAX(-0.05,NORMINV(RAND(),$C$6,$D$6))</f>
        <v/>
      </c>
      <c r="L6" s="25">
        <f>MAX(0.02,NORMINV(RAND(),$C$7,$D$7))</f>
        <v/>
      </c>
      <c r="M6" s="25">
        <f>MIN(0.16,MAX(0.05,NORMINV(RAND(),$C$8,$D$8)))</f>
        <v/>
      </c>
      <c r="N6" s="26">
        <f>MIN(24,MAX(5,NORMINV(RAND(),$C$9,$D$9)))</f>
        <v/>
      </c>
      <c r="O6" s="49">
        <f>$I$8*(SUMPRODUCT(($I$2*(1+K6)^{1;2;3;4;5;6;7;8;9;10})*(($I$3+(L6-$I$3)*{1;2;3;4;5;6;7;8;9;10}/10)*(1-$I$7)+$I$4-$I$4*($I$5+(1.05-$I$5)*{1;2;3;4;5;6;7;8;9;10}/10)-(K6/(1+K6))*$I$6)/(1+M6)^{1;2;3;4;5;6;7;8;9;10})+$I$2*(1+K6)^10*(L6+$I$4)*N6/(1+M6)^10+$I$9-$I$10)/$I$11</f>
        <v/>
      </c>
    </row>
    <row r="7">
      <c r="A7" s="4" t="inlineStr">
        <is>
          <t>Terminal operating margin</t>
        </is>
      </c>
      <c r="B7" s="4" t="inlineStr">
        <is>
          <t>Normal</t>
        </is>
      </c>
      <c r="C7" s="11">
        <f>Dashboard!$B$30</f>
        <v/>
      </c>
      <c r="D7" s="15" t="n">
        <v>0.015</v>
      </c>
      <c r="H7" s="4" t="inlineStr">
        <is>
          <t>tax</t>
        </is>
      </c>
      <c r="I7" s="12">
        <f>Valuation!$B$5</f>
        <v/>
      </c>
      <c r="K7" s="25">
        <f>MAX(-0.05,NORMINV(RAND(),$C$6,$D$6))</f>
        <v/>
      </c>
      <c r="L7" s="25">
        <f>MAX(0.02,NORMINV(RAND(),$C$7,$D$7))</f>
        <v/>
      </c>
      <c r="M7" s="25">
        <f>MIN(0.16,MAX(0.05,NORMINV(RAND(),$C$8,$D$8)))</f>
        <v/>
      </c>
      <c r="N7" s="26">
        <f>MIN(24,MAX(5,NORMINV(RAND(),$C$9,$D$9)))</f>
        <v/>
      </c>
      <c r="O7" s="49">
        <f>$I$8*(SUMPRODUCT(($I$2*(1+K7)^{1;2;3;4;5;6;7;8;9;10})*(($I$3+(L7-$I$3)*{1;2;3;4;5;6;7;8;9;10}/10)*(1-$I$7)+$I$4-$I$4*($I$5+(1.05-$I$5)*{1;2;3;4;5;6;7;8;9;10}/10)-(K7/(1+K7))*$I$6)/(1+M7)^{1;2;3;4;5;6;7;8;9;10})+$I$2*(1+K7)^10*(L7+$I$4)*N7/(1+M7)^10+$I$9-$I$10)/$I$11</f>
        <v/>
      </c>
    </row>
    <row r="8">
      <c r="A8" s="4" t="inlineStr">
        <is>
          <t>WACC</t>
        </is>
      </c>
      <c r="B8" s="4" t="inlineStr">
        <is>
          <t>Normal</t>
        </is>
      </c>
      <c r="C8" s="11">
        <f>WACC!B15</f>
        <v/>
      </c>
      <c r="D8" s="15" t="n">
        <v>0.005</v>
      </c>
      <c r="H8" s="4" t="inlineStr">
        <is>
          <t>k (calibration)</t>
        </is>
      </c>
      <c r="I8" s="48" t="n">
        <v>0.9655944373945814</v>
      </c>
      <c r="K8" s="25">
        <f>MAX(-0.05,NORMINV(RAND(),$C$6,$D$6))</f>
        <v/>
      </c>
      <c r="L8" s="25">
        <f>MAX(0.02,NORMINV(RAND(),$C$7,$D$7))</f>
        <v/>
      </c>
      <c r="M8" s="25">
        <f>MIN(0.16,MAX(0.05,NORMINV(RAND(),$C$8,$D$8)))</f>
        <v/>
      </c>
      <c r="N8" s="26">
        <f>MIN(24,MAX(5,NORMINV(RAND(),$C$9,$D$9)))</f>
        <v/>
      </c>
      <c r="O8" s="49">
        <f>$I$8*(SUMPRODUCT(($I$2*(1+K8)^{1;2;3;4;5;6;7;8;9;10})*(($I$3+(L8-$I$3)*{1;2;3;4;5;6;7;8;9;10}/10)*(1-$I$7)+$I$4-$I$4*($I$5+(1.05-$I$5)*{1;2;3;4;5;6;7;8;9;10}/10)-(K8/(1+K8))*$I$6)/(1+M8)^{1;2;3;4;5;6;7;8;9;10})+$I$2*(1+K8)^10*(L8+$I$4)*N8/(1+M8)^10+$I$9-$I$10)/$I$11</f>
        <v/>
      </c>
    </row>
    <row r="9">
      <c r="A9" s="4" t="inlineStr">
        <is>
          <t>Exit EV/EBITDA multiple</t>
        </is>
      </c>
      <c r="B9" s="4" t="inlineStr">
        <is>
          <t>Normal</t>
        </is>
      </c>
      <c r="C9" s="13">
        <f>Dashboard!$B$45</f>
        <v/>
      </c>
      <c r="D9" s="19" t="n">
        <v>1.5</v>
      </c>
      <c r="H9" s="4" t="inlineStr">
        <is>
          <t>cash</t>
        </is>
      </c>
      <c r="I9" s="12">
        <f>Financials!AC39</f>
        <v/>
      </c>
      <c r="K9" s="25">
        <f>MAX(-0.05,NORMINV(RAND(),$C$6,$D$6))</f>
        <v/>
      </c>
      <c r="L9" s="25">
        <f>MAX(0.02,NORMINV(RAND(),$C$7,$D$7))</f>
        <v/>
      </c>
      <c r="M9" s="25">
        <f>MIN(0.16,MAX(0.05,NORMINV(RAND(),$C$8,$D$8)))</f>
        <v/>
      </c>
      <c r="N9" s="26">
        <f>MIN(24,MAX(5,NORMINV(RAND(),$C$9,$D$9)))</f>
        <v/>
      </c>
      <c r="O9" s="49">
        <f>$I$8*(SUMPRODUCT(($I$2*(1+K9)^{1;2;3;4;5;6;7;8;9;10})*(($I$3+(L9-$I$3)*{1;2;3;4;5;6;7;8;9;10}/10)*(1-$I$7)+$I$4-$I$4*($I$5+(1.05-$I$5)*{1;2;3;4;5;6;7;8;9;10}/10)-(K9/(1+K9))*$I$6)/(1+M9)^{1;2;3;4;5;6;7;8;9;10})+$I$2*(1+K9)^10*(L9+$I$4)*N9/(1+M9)^10+$I$9-$I$10)/$I$11</f>
        <v/>
      </c>
    </row>
    <row r="10">
      <c r="H10" s="4" t="inlineStr">
        <is>
          <t>debt</t>
        </is>
      </c>
      <c r="I10" s="12">
        <f>Financials!AC44</f>
        <v/>
      </c>
      <c r="K10" s="25">
        <f>MAX(-0.05,NORMINV(RAND(),$C$6,$D$6))</f>
        <v/>
      </c>
      <c r="L10" s="25">
        <f>MAX(0.02,NORMINV(RAND(),$C$7,$D$7))</f>
        <v/>
      </c>
      <c r="M10" s="25">
        <f>MIN(0.16,MAX(0.05,NORMINV(RAND(),$C$8,$D$8)))</f>
        <v/>
      </c>
      <c r="N10" s="26">
        <f>MIN(24,MAX(5,NORMINV(RAND(),$C$9,$D$9)))</f>
        <v/>
      </c>
      <c r="O10" s="49">
        <f>$I$8*(SUMPRODUCT(($I$2*(1+K10)^{1;2;3;4;5;6;7;8;9;10})*(($I$3+(L10-$I$3)*{1;2;3;4;5;6;7;8;9;10}/10)*(1-$I$7)+$I$4-$I$4*($I$5+(1.05-$I$5)*{1;2;3;4;5;6;7;8;9;10}/10)-(K10/(1+K10))*$I$6)/(1+M10)^{1;2;3;4;5;6;7;8;9;10})+$I$2*(1+K10)^10*(L10+$I$4)*N10/(1+M10)^10+$I$9-$I$10)/$I$11</f>
        <v/>
      </c>
    </row>
    <row r="11">
      <c r="A11" s="5" t="inlineStr">
        <is>
          <t xml:space="preserve">  SIMULATION OUTPUT — value / share (live)</t>
        </is>
      </c>
      <c r="B11" s="6" t="n"/>
      <c r="C11" s="6" t="n"/>
      <c r="D11" s="6" t="n"/>
      <c r="H11" s="4" t="inlineStr">
        <is>
          <t>shares</t>
        </is>
      </c>
      <c r="I11" s="12">
        <f>Financials!AC17</f>
        <v/>
      </c>
      <c r="K11" s="25">
        <f>MAX(-0.05,NORMINV(RAND(),$C$6,$D$6))</f>
        <v/>
      </c>
      <c r="L11" s="25">
        <f>MAX(0.02,NORMINV(RAND(),$C$7,$D$7))</f>
        <v/>
      </c>
      <c r="M11" s="25">
        <f>MIN(0.16,MAX(0.05,NORMINV(RAND(),$C$8,$D$8)))</f>
        <v/>
      </c>
      <c r="N11" s="26">
        <f>MIN(24,MAX(5,NORMINV(RAND(),$C$9,$D$9)))</f>
        <v/>
      </c>
      <c r="O11" s="49">
        <f>$I$8*(SUMPRODUCT(($I$2*(1+K11)^{1;2;3;4;5;6;7;8;9;10})*(($I$3+(L11-$I$3)*{1;2;3;4;5;6;7;8;9;10}/10)*(1-$I$7)+$I$4-$I$4*($I$5+(1.05-$I$5)*{1;2;3;4;5;6;7;8;9;10}/10)-(K11/(1+K11))*$I$6)/(1+M11)^{1;2;3;4;5;6;7;8;9;10})+$I$2*(1+K11)^10*(L11+$I$4)*N11/(1+M11)^10+$I$9-$I$10)/$I$11</f>
        <v/>
      </c>
    </row>
    <row r="12">
      <c r="A12" s="4" t="inlineStr">
        <is>
          <t>Mean</t>
        </is>
      </c>
      <c r="B12" s="49">
        <f>AVERAGE($O$2:$O$1001)</f>
        <v/>
      </c>
      <c r="K12" s="25">
        <f>MAX(-0.05,NORMINV(RAND(),$C$6,$D$6))</f>
        <v/>
      </c>
      <c r="L12" s="25">
        <f>MAX(0.02,NORMINV(RAND(),$C$7,$D$7))</f>
        <v/>
      </c>
      <c r="M12" s="25">
        <f>MIN(0.16,MAX(0.05,NORMINV(RAND(),$C$8,$D$8)))</f>
        <v/>
      </c>
      <c r="N12" s="26">
        <f>MIN(24,MAX(5,NORMINV(RAND(),$C$9,$D$9)))</f>
        <v/>
      </c>
      <c r="O12" s="49">
        <f>$I$8*(SUMPRODUCT(($I$2*(1+K12)^{1;2;3;4;5;6;7;8;9;10})*(($I$3+(L12-$I$3)*{1;2;3;4;5;6;7;8;9;10}/10)*(1-$I$7)+$I$4-$I$4*($I$5+(1.05-$I$5)*{1;2;3;4;5;6;7;8;9;10}/10)-(K12/(1+K12))*$I$6)/(1+M12)^{1;2;3;4;5;6;7;8;9;10})+$I$2*(1+K12)^10*(L12+$I$4)*N12/(1+M12)^10+$I$9-$I$10)/$I$11</f>
        <v/>
      </c>
    </row>
    <row r="13">
      <c r="A13" s="4" t="inlineStr">
        <is>
          <t>Median (P50)</t>
        </is>
      </c>
      <c r="B13" s="28">
        <f>MEDIAN($O$2:$O$1001)</f>
        <v/>
      </c>
      <c r="K13" s="25">
        <f>MAX(-0.05,NORMINV(RAND(),$C$6,$D$6))</f>
        <v/>
      </c>
      <c r="L13" s="25">
        <f>MAX(0.02,NORMINV(RAND(),$C$7,$D$7))</f>
        <v/>
      </c>
      <c r="M13" s="25">
        <f>MIN(0.16,MAX(0.05,NORMINV(RAND(),$C$8,$D$8)))</f>
        <v/>
      </c>
      <c r="N13" s="26">
        <f>MIN(24,MAX(5,NORMINV(RAND(),$C$9,$D$9)))</f>
        <v/>
      </c>
      <c r="O13" s="49">
        <f>$I$8*(SUMPRODUCT(($I$2*(1+K13)^{1;2;3;4;5;6;7;8;9;10})*(($I$3+(L13-$I$3)*{1;2;3;4;5;6;7;8;9;10}/10)*(1-$I$7)+$I$4-$I$4*($I$5+(1.05-$I$5)*{1;2;3;4;5;6;7;8;9;10}/10)-(K13/(1+K13))*$I$6)/(1+M13)^{1;2;3;4;5;6;7;8;9;10})+$I$2*(1+K13)^10*(L13+$I$4)*N13/(1+M13)^10+$I$9-$I$10)/$I$11</f>
        <v/>
      </c>
    </row>
    <row r="14">
      <c r="A14" s="4" t="inlineStr">
        <is>
          <t>Std dev</t>
        </is>
      </c>
      <c r="B14" s="49">
        <f>STDEV($O$2:$O$1001)</f>
        <v/>
      </c>
      <c r="K14" s="25">
        <f>MAX(-0.05,NORMINV(RAND(),$C$6,$D$6))</f>
        <v/>
      </c>
      <c r="L14" s="25">
        <f>MAX(0.02,NORMINV(RAND(),$C$7,$D$7))</f>
        <v/>
      </c>
      <c r="M14" s="25">
        <f>MIN(0.16,MAX(0.05,NORMINV(RAND(),$C$8,$D$8)))</f>
        <v/>
      </c>
      <c r="N14" s="26">
        <f>MIN(24,MAX(5,NORMINV(RAND(),$C$9,$D$9)))</f>
        <v/>
      </c>
      <c r="O14" s="49">
        <f>$I$8*(SUMPRODUCT(($I$2*(1+K14)^{1;2;3;4;5;6;7;8;9;10})*(($I$3+(L14-$I$3)*{1;2;3;4;5;6;7;8;9;10}/10)*(1-$I$7)+$I$4-$I$4*($I$5+(1.05-$I$5)*{1;2;3;4;5;6;7;8;9;10}/10)-(K14/(1+K14))*$I$6)/(1+M14)^{1;2;3;4;5;6;7;8;9;10})+$I$2*(1+K14)^10*(L14+$I$4)*N14/(1+M14)^10+$I$9-$I$10)/$I$11</f>
        <v/>
      </c>
    </row>
    <row r="15">
      <c r="A15" s="4" t="inlineStr">
        <is>
          <t>Min</t>
        </is>
      </c>
      <c r="B15" s="49">
        <f>MIN($O$2:$O$1001)</f>
        <v/>
      </c>
      <c r="K15" s="25">
        <f>MAX(-0.05,NORMINV(RAND(),$C$6,$D$6))</f>
        <v/>
      </c>
      <c r="L15" s="25">
        <f>MAX(0.02,NORMINV(RAND(),$C$7,$D$7))</f>
        <v/>
      </c>
      <c r="M15" s="25">
        <f>MIN(0.16,MAX(0.05,NORMINV(RAND(),$C$8,$D$8)))</f>
        <v/>
      </c>
      <c r="N15" s="26">
        <f>MIN(24,MAX(5,NORMINV(RAND(),$C$9,$D$9)))</f>
        <v/>
      </c>
      <c r="O15" s="49">
        <f>$I$8*(SUMPRODUCT(($I$2*(1+K15)^{1;2;3;4;5;6;7;8;9;10})*(($I$3+(L15-$I$3)*{1;2;3;4;5;6;7;8;9;10}/10)*(1-$I$7)+$I$4-$I$4*($I$5+(1.05-$I$5)*{1;2;3;4;5;6;7;8;9;10}/10)-(K15/(1+K15))*$I$6)/(1+M15)^{1;2;3;4;5;6;7;8;9;10})+$I$2*(1+K15)^10*(L15+$I$4)*N15/(1+M15)^10+$I$9-$I$10)/$I$11</f>
        <v/>
      </c>
    </row>
    <row r="16">
      <c r="A16" s="4" t="inlineStr">
        <is>
          <t>Max</t>
        </is>
      </c>
      <c r="B16" s="49">
        <f>MAX($O$2:$O$1001)</f>
        <v/>
      </c>
      <c r="K16" s="25">
        <f>MAX(-0.05,NORMINV(RAND(),$C$6,$D$6))</f>
        <v/>
      </c>
      <c r="L16" s="25">
        <f>MAX(0.02,NORMINV(RAND(),$C$7,$D$7))</f>
        <v/>
      </c>
      <c r="M16" s="25">
        <f>MIN(0.16,MAX(0.05,NORMINV(RAND(),$C$8,$D$8)))</f>
        <v/>
      </c>
      <c r="N16" s="26">
        <f>MIN(24,MAX(5,NORMINV(RAND(),$C$9,$D$9)))</f>
        <v/>
      </c>
      <c r="O16" s="49">
        <f>$I$8*(SUMPRODUCT(($I$2*(1+K16)^{1;2;3;4;5;6;7;8;9;10})*(($I$3+(L16-$I$3)*{1;2;3;4;5;6;7;8;9;10}/10)*(1-$I$7)+$I$4-$I$4*($I$5+(1.05-$I$5)*{1;2;3;4;5;6;7;8;9;10}/10)-(K16/(1+K16))*$I$6)/(1+M16)^{1;2;3;4;5;6;7;8;9;10})+$I$2*(1+K16)^10*(L16+$I$4)*N16/(1+M16)^10+$I$9-$I$10)/$I$11</f>
        <v/>
      </c>
    </row>
    <row r="17">
      <c r="A17" s="4" t="inlineStr">
        <is>
          <t>Current price</t>
        </is>
      </c>
      <c r="B17" s="8">
        <f>Valuation!$B$2</f>
        <v/>
      </c>
      <c r="K17" s="25">
        <f>MAX(-0.05,NORMINV(RAND(),$C$6,$D$6))</f>
        <v/>
      </c>
      <c r="L17" s="25">
        <f>MAX(0.02,NORMINV(RAND(),$C$7,$D$7))</f>
        <v/>
      </c>
      <c r="M17" s="25">
        <f>MIN(0.16,MAX(0.05,NORMINV(RAND(),$C$8,$D$8)))</f>
        <v/>
      </c>
      <c r="N17" s="26">
        <f>MIN(24,MAX(5,NORMINV(RAND(),$C$9,$D$9)))</f>
        <v/>
      </c>
      <c r="O17" s="49">
        <f>$I$8*(SUMPRODUCT(($I$2*(1+K17)^{1;2;3;4;5;6;7;8;9;10})*(($I$3+(L17-$I$3)*{1;2;3;4;5;6;7;8;9;10}/10)*(1-$I$7)+$I$4-$I$4*($I$5+(1.05-$I$5)*{1;2;3;4;5;6;7;8;9;10}/10)-(K17/(1+K17))*$I$6)/(1+M17)^{1;2;3;4;5;6;7;8;9;10})+$I$2*(1+K17)^10*(L17+$I$4)*N17/(1+M17)^10+$I$9-$I$10)/$I$11</f>
        <v/>
      </c>
    </row>
    <row r="18">
      <c r="A18" s="4" t="inlineStr">
        <is>
          <t>Base case (full model)</t>
        </is>
      </c>
      <c r="B18" s="8">
        <f>Valuation!B36</f>
        <v/>
      </c>
      <c r="K18" s="25">
        <f>MAX(-0.05,NORMINV(RAND(),$C$6,$D$6))</f>
        <v/>
      </c>
      <c r="L18" s="25">
        <f>MAX(0.02,NORMINV(RAND(),$C$7,$D$7))</f>
        <v/>
      </c>
      <c r="M18" s="25">
        <f>MIN(0.16,MAX(0.05,NORMINV(RAND(),$C$8,$D$8)))</f>
        <v/>
      </c>
      <c r="N18" s="26">
        <f>MIN(24,MAX(5,NORMINV(RAND(),$C$9,$D$9)))</f>
        <v/>
      </c>
      <c r="O18" s="49">
        <f>$I$8*(SUMPRODUCT(($I$2*(1+K18)^{1;2;3;4;5;6;7;8;9;10})*(($I$3+(L18-$I$3)*{1;2;3;4;5;6;7;8;9;10}/10)*(1-$I$7)+$I$4-$I$4*($I$5+(1.05-$I$5)*{1;2;3;4;5;6;7;8;9;10}/10)-(K18/(1+K18))*$I$6)/(1+M18)^{1;2;3;4;5;6;7;8;9;10})+$I$2*(1+K18)^10*(L18+$I$4)*N18/(1+M18)^10+$I$9-$I$10)/$I$11</f>
        <v/>
      </c>
    </row>
    <row r="19">
      <c r="K19" s="25">
        <f>MAX(-0.05,NORMINV(RAND(),$C$6,$D$6))</f>
        <v/>
      </c>
      <c r="L19" s="25">
        <f>MAX(0.02,NORMINV(RAND(),$C$7,$D$7))</f>
        <v/>
      </c>
      <c r="M19" s="25">
        <f>MIN(0.16,MAX(0.05,NORMINV(RAND(),$C$8,$D$8)))</f>
        <v/>
      </c>
      <c r="N19" s="26">
        <f>MIN(24,MAX(5,NORMINV(RAND(),$C$9,$D$9)))</f>
        <v/>
      </c>
      <c r="O19" s="49">
        <f>$I$8*(SUMPRODUCT(($I$2*(1+K19)^{1;2;3;4;5;6;7;8;9;10})*(($I$3+(L19-$I$3)*{1;2;3;4;5;6;7;8;9;10}/10)*(1-$I$7)+$I$4-$I$4*($I$5+(1.05-$I$5)*{1;2;3;4;5;6;7;8;9;10}/10)-(K19/(1+K19))*$I$6)/(1+M19)^{1;2;3;4;5;6;7;8;9;10})+$I$2*(1+K19)^10*(L19+$I$4)*N19/(1+M19)^10+$I$9-$I$10)/$I$11</f>
        <v/>
      </c>
    </row>
    <row r="20">
      <c r="A20" s="3" t="inlineStr">
        <is>
          <t>P(undervalued at current price)</t>
        </is>
      </c>
      <c r="B20" s="21">
        <f>COUNTIF($O$2:$O$1001,"&gt;"&amp;Valuation!$B$2)/1000</f>
        <v/>
      </c>
      <c r="K20" s="25">
        <f>MAX(-0.05,NORMINV(RAND(),$C$6,$D$6))</f>
        <v/>
      </c>
      <c r="L20" s="25">
        <f>MAX(0.02,NORMINV(RAND(),$C$7,$D$7))</f>
        <v/>
      </c>
      <c r="M20" s="25">
        <f>MIN(0.16,MAX(0.05,NORMINV(RAND(),$C$8,$D$8)))</f>
        <v/>
      </c>
      <c r="N20" s="26">
        <f>MIN(24,MAX(5,NORMINV(RAND(),$C$9,$D$9)))</f>
        <v/>
      </c>
      <c r="O20" s="49">
        <f>$I$8*(SUMPRODUCT(($I$2*(1+K20)^{1;2;3;4;5;6;7;8;9;10})*(($I$3+(L20-$I$3)*{1;2;3;4;5;6;7;8;9;10}/10)*(1-$I$7)+$I$4-$I$4*($I$5+(1.05-$I$5)*{1;2;3;4;5;6;7;8;9;10}/10)-(K20/(1+K20))*$I$6)/(1+M20)^{1;2;3;4;5;6;7;8;9;10})+$I$2*(1+K20)^10*(L20+$I$4)*N20/(1+M20)^10+$I$9-$I$10)/$I$11</f>
        <v/>
      </c>
    </row>
    <row r="21">
      <c r="A21" s="4" t="inlineStr">
        <is>
          <t>P(&gt;20% upside)</t>
        </is>
      </c>
      <c r="B21" s="11">
        <f>COUNTIF($O$2:$O$1001,"&gt;"&amp;Valuation!$B$2*1.2)/1000</f>
        <v/>
      </c>
      <c r="K21" s="25">
        <f>MAX(-0.05,NORMINV(RAND(),$C$6,$D$6))</f>
        <v/>
      </c>
      <c r="L21" s="25">
        <f>MAX(0.02,NORMINV(RAND(),$C$7,$D$7))</f>
        <v/>
      </c>
      <c r="M21" s="25">
        <f>MIN(0.16,MAX(0.05,NORMINV(RAND(),$C$8,$D$8)))</f>
        <v/>
      </c>
      <c r="N21" s="26">
        <f>MIN(24,MAX(5,NORMINV(RAND(),$C$9,$D$9)))</f>
        <v/>
      </c>
      <c r="O21" s="49">
        <f>$I$8*(SUMPRODUCT(($I$2*(1+K21)^{1;2;3;4;5;6;7;8;9;10})*(($I$3+(L21-$I$3)*{1;2;3;4;5;6;7;8;9;10}/10)*(1-$I$7)+$I$4-$I$4*($I$5+(1.05-$I$5)*{1;2;3;4;5;6;7;8;9;10}/10)-(K21/(1+K21))*$I$6)/(1+M21)^{1;2;3;4;5;6;7;8;9;10})+$I$2*(1+K21)^10*(L21+$I$4)*N21/(1+M21)^10+$I$9-$I$10)/$I$11</f>
        <v/>
      </c>
    </row>
    <row r="22">
      <c r="K22" s="25">
        <f>MAX(-0.05,NORMINV(RAND(),$C$6,$D$6))</f>
        <v/>
      </c>
      <c r="L22" s="25">
        <f>MAX(0.02,NORMINV(RAND(),$C$7,$D$7))</f>
        <v/>
      </c>
      <c r="M22" s="25">
        <f>MIN(0.16,MAX(0.05,NORMINV(RAND(),$C$8,$D$8)))</f>
        <v/>
      </c>
      <c r="N22" s="26">
        <f>MIN(24,MAX(5,NORMINV(RAND(),$C$9,$D$9)))</f>
        <v/>
      </c>
      <c r="O22" s="49">
        <f>$I$8*(SUMPRODUCT(($I$2*(1+K22)^{1;2;3;4;5;6;7;8;9;10})*(($I$3+(L22-$I$3)*{1;2;3;4;5;6;7;8;9;10}/10)*(1-$I$7)+$I$4-$I$4*($I$5+(1.05-$I$5)*{1;2;3;4;5;6;7;8;9;10}/10)-(K22/(1+K22))*$I$6)/(1+M22)^{1;2;3;4;5;6;7;8;9;10})+$I$2*(1+K22)^10*(L22+$I$4)*N22/(1+M22)^10+$I$9-$I$10)/$I$11</f>
        <v/>
      </c>
    </row>
    <row r="23">
      <c r="A23" s="5" t="inlineStr">
        <is>
          <t xml:space="preserve">  PERCENTILES (live)</t>
        </is>
      </c>
      <c r="B23" s="6" t="n"/>
      <c r="C23" s="6" t="n"/>
      <c r="D23" s="6" t="n"/>
      <c r="K23" s="25">
        <f>MAX(-0.05,NORMINV(RAND(),$C$6,$D$6))</f>
        <v/>
      </c>
      <c r="L23" s="25">
        <f>MAX(0.02,NORMINV(RAND(),$C$7,$D$7))</f>
        <v/>
      </c>
      <c r="M23" s="25">
        <f>MIN(0.16,MAX(0.05,NORMINV(RAND(),$C$8,$D$8)))</f>
        <v/>
      </c>
      <c r="N23" s="26">
        <f>MIN(24,MAX(5,NORMINV(RAND(),$C$9,$D$9)))</f>
        <v/>
      </c>
      <c r="O23" s="49">
        <f>$I$8*(SUMPRODUCT(($I$2*(1+K23)^{1;2;3;4;5;6;7;8;9;10})*(($I$3+(L23-$I$3)*{1;2;3;4;5;6;7;8;9;10}/10)*(1-$I$7)+$I$4-$I$4*($I$5+(1.05-$I$5)*{1;2;3;4;5;6;7;8;9;10}/10)-(K23/(1+K23))*$I$6)/(1+M23)^{1;2;3;4;5;6;7;8;9;10})+$I$2*(1+K23)^10*(L23+$I$4)*N23/(1+M23)^10+$I$9-$I$10)/$I$11</f>
        <v/>
      </c>
    </row>
    <row r="24">
      <c r="A24" s="4" t="inlineStr">
        <is>
          <t>P5</t>
        </is>
      </c>
      <c r="B24" s="49">
        <f>PERCENTILE($O$2:$O$1001,0.05)</f>
        <v/>
      </c>
      <c r="K24" s="25">
        <f>MAX(-0.05,NORMINV(RAND(),$C$6,$D$6))</f>
        <v/>
      </c>
      <c r="L24" s="25">
        <f>MAX(0.02,NORMINV(RAND(),$C$7,$D$7))</f>
        <v/>
      </c>
      <c r="M24" s="25">
        <f>MIN(0.16,MAX(0.05,NORMINV(RAND(),$C$8,$D$8)))</f>
        <v/>
      </c>
      <c r="N24" s="26">
        <f>MIN(24,MAX(5,NORMINV(RAND(),$C$9,$D$9)))</f>
        <v/>
      </c>
      <c r="O24" s="49">
        <f>$I$8*(SUMPRODUCT(($I$2*(1+K24)^{1;2;3;4;5;6;7;8;9;10})*(($I$3+(L24-$I$3)*{1;2;3;4;5;6;7;8;9;10}/10)*(1-$I$7)+$I$4-$I$4*($I$5+(1.05-$I$5)*{1;2;3;4;5;6;7;8;9;10}/10)-(K24/(1+K24))*$I$6)/(1+M24)^{1;2;3;4;5;6;7;8;9;10})+$I$2*(1+K24)^10*(L24+$I$4)*N24/(1+M24)^10+$I$9-$I$10)/$I$11</f>
        <v/>
      </c>
    </row>
    <row r="25">
      <c r="A25" s="4" t="inlineStr">
        <is>
          <t>P10</t>
        </is>
      </c>
      <c r="B25" s="49">
        <f>PERCENTILE($O$2:$O$1001,0.1)</f>
        <v/>
      </c>
      <c r="K25" s="25">
        <f>MAX(-0.05,NORMINV(RAND(),$C$6,$D$6))</f>
        <v/>
      </c>
      <c r="L25" s="25">
        <f>MAX(0.02,NORMINV(RAND(),$C$7,$D$7))</f>
        <v/>
      </c>
      <c r="M25" s="25">
        <f>MIN(0.16,MAX(0.05,NORMINV(RAND(),$C$8,$D$8)))</f>
        <v/>
      </c>
      <c r="N25" s="26">
        <f>MIN(24,MAX(5,NORMINV(RAND(),$C$9,$D$9)))</f>
        <v/>
      </c>
      <c r="O25" s="49">
        <f>$I$8*(SUMPRODUCT(($I$2*(1+K25)^{1;2;3;4;5;6;7;8;9;10})*(($I$3+(L25-$I$3)*{1;2;3;4;5;6;7;8;9;10}/10)*(1-$I$7)+$I$4-$I$4*($I$5+(1.05-$I$5)*{1;2;3;4;5;6;7;8;9;10}/10)-(K25/(1+K25))*$I$6)/(1+M25)^{1;2;3;4;5;6;7;8;9;10})+$I$2*(1+K25)^10*(L25+$I$4)*N25/(1+M25)^10+$I$9-$I$10)/$I$11</f>
        <v/>
      </c>
    </row>
    <row r="26">
      <c r="A26" s="4" t="inlineStr">
        <is>
          <t>P25</t>
        </is>
      </c>
      <c r="B26" s="49">
        <f>PERCENTILE($O$2:$O$1001,0.25)</f>
        <v/>
      </c>
      <c r="K26" s="25">
        <f>MAX(-0.05,NORMINV(RAND(),$C$6,$D$6))</f>
        <v/>
      </c>
      <c r="L26" s="25">
        <f>MAX(0.02,NORMINV(RAND(),$C$7,$D$7))</f>
        <v/>
      </c>
      <c r="M26" s="25">
        <f>MIN(0.16,MAX(0.05,NORMINV(RAND(),$C$8,$D$8)))</f>
        <v/>
      </c>
      <c r="N26" s="26">
        <f>MIN(24,MAX(5,NORMINV(RAND(),$C$9,$D$9)))</f>
        <v/>
      </c>
      <c r="O26" s="49">
        <f>$I$8*(SUMPRODUCT(($I$2*(1+K26)^{1;2;3;4;5;6;7;8;9;10})*(($I$3+(L26-$I$3)*{1;2;3;4;5;6;7;8;9;10}/10)*(1-$I$7)+$I$4-$I$4*($I$5+(1.05-$I$5)*{1;2;3;4;5;6;7;8;9;10}/10)-(K26/(1+K26))*$I$6)/(1+M26)^{1;2;3;4;5;6;7;8;9;10})+$I$2*(1+K26)^10*(L26+$I$4)*N26/(1+M26)^10+$I$9-$I$10)/$I$11</f>
        <v/>
      </c>
    </row>
    <row r="27">
      <c r="A27" s="4" t="inlineStr">
        <is>
          <t>P50</t>
        </is>
      </c>
      <c r="B27" s="49">
        <f>PERCENTILE($O$2:$O$1001,0.5)</f>
        <v/>
      </c>
      <c r="K27" s="25">
        <f>MAX(-0.05,NORMINV(RAND(),$C$6,$D$6))</f>
        <v/>
      </c>
      <c r="L27" s="25">
        <f>MAX(0.02,NORMINV(RAND(),$C$7,$D$7))</f>
        <v/>
      </c>
      <c r="M27" s="25">
        <f>MIN(0.16,MAX(0.05,NORMINV(RAND(),$C$8,$D$8)))</f>
        <v/>
      </c>
      <c r="N27" s="26">
        <f>MIN(24,MAX(5,NORMINV(RAND(),$C$9,$D$9)))</f>
        <v/>
      </c>
      <c r="O27" s="49">
        <f>$I$8*(SUMPRODUCT(($I$2*(1+K27)^{1;2;3;4;5;6;7;8;9;10})*(($I$3+(L27-$I$3)*{1;2;3;4;5;6;7;8;9;10}/10)*(1-$I$7)+$I$4-$I$4*($I$5+(1.05-$I$5)*{1;2;3;4;5;6;7;8;9;10}/10)-(K27/(1+K27))*$I$6)/(1+M27)^{1;2;3;4;5;6;7;8;9;10})+$I$2*(1+K27)^10*(L27+$I$4)*N27/(1+M27)^10+$I$9-$I$10)/$I$11</f>
        <v/>
      </c>
    </row>
    <row r="28">
      <c r="A28" s="4" t="inlineStr">
        <is>
          <t>P75</t>
        </is>
      </c>
      <c r="B28" s="49">
        <f>PERCENTILE($O$2:$O$1001,0.75)</f>
        <v/>
      </c>
      <c r="K28" s="25">
        <f>MAX(-0.05,NORMINV(RAND(),$C$6,$D$6))</f>
        <v/>
      </c>
      <c r="L28" s="25">
        <f>MAX(0.02,NORMINV(RAND(),$C$7,$D$7))</f>
        <v/>
      </c>
      <c r="M28" s="25">
        <f>MIN(0.16,MAX(0.05,NORMINV(RAND(),$C$8,$D$8)))</f>
        <v/>
      </c>
      <c r="N28" s="26">
        <f>MIN(24,MAX(5,NORMINV(RAND(),$C$9,$D$9)))</f>
        <v/>
      </c>
      <c r="O28" s="49">
        <f>$I$8*(SUMPRODUCT(($I$2*(1+K28)^{1;2;3;4;5;6;7;8;9;10})*(($I$3+(L28-$I$3)*{1;2;3;4;5;6;7;8;9;10}/10)*(1-$I$7)+$I$4-$I$4*($I$5+(1.05-$I$5)*{1;2;3;4;5;6;7;8;9;10}/10)-(K28/(1+K28))*$I$6)/(1+M28)^{1;2;3;4;5;6;7;8;9;10})+$I$2*(1+K28)^10*(L28+$I$4)*N28/(1+M28)^10+$I$9-$I$10)/$I$11</f>
        <v/>
      </c>
    </row>
    <row r="29">
      <c r="A29" s="4" t="inlineStr">
        <is>
          <t>P90</t>
        </is>
      </c>
      <c r="B29" s="49">
        <f>PERCENTILE($O$2:$O$1001,0.9)</f>
        <v/>
      </c>
      <c r="K29" s="25">
        <f>MAX(-0.05,NORMINV(RAND(),$C$6,$D$6))</f>
        <v/>
      </c>
      <c r="L29" s="25">
        <f>MAX(0.02,NORMINV(RAND(),$C$7,$D$7))</f>
        <v/>
      </c>
      <c r="M29" s="25">
        <f>MIN(0.16,MAX(0.05,NORMINV(RAND(),$C$8,$D$8)))</f>
        <v/>
      </c>
      <c r="N29" s="26">
        <f>MIN(24,MAX(5,NORMINV(RAND(),$C$9,$D$9)))</f>
        <v/>
      </c>
      <c r="O29" s="49">
        <f>$I$8*(SUMPRODUCT(($I$2*(1+K29)^{1;2;3;4;5;6;7;8;9;10})*(($I$3+(L29-$I$3)*{1;2;3;4;5;6;7;8;9;10}/10)*(1-$I$7)+$I$4-$I$4*($I$5+(1.05-$I$5)*{1;2;3;4;5;6;7;8;9;10}/10)-(K29/(1+K29))*$I$6)/(1+M29)^{1;2;3;4;5;6;7;8;9;10})+$I$2*(1+K29)^10*(L29+$I$4)*N29/(1+M29)^10+$I$9-$I$10)/$I$11</f>
        <v/>
      </c>
    </row>
    <row r="30">
      <c r="A30" s="4" t="inlineStr">
        <is>
          <t>P95</t>
        </is>
      </c>
      <c r="B30" s="49">
        <f>PERCENTILE($O$2:$O$1001,0.95)</f>
        <v/>
      </c>
      <c r="K30" s="25">
        <f>MAX(-0.05,NORMINV(RAND(),$C$6,$D$6))</f>
        <v/>
      </c>
      <c r="L30" s="25">
        <f>MAX(0.02,NORMINV(RAND(),$C$7,$D$7))</f>
        <v/>
      </c>
      <c r="M30" s="25">
        <f>MIN(0.16,MAX(0.05,NORMINV(RAND(),$C$8,$D$8)))</f>
        <v/>
      </c>
      <c r="N30" s="26">
        <f>MIN(24,MAX(5,NORMINV(RAND(),$C$9,$D$9)))</f>
        <v/>
      </c>
      <c r="O30" s="49">
        <f>$I$8*(SUMPRODUCT(($I$2*(1+K30)^{1;2;3;4;5;6;7;8;9;10})*(($I$3+(L30-$I$3)*{1;2;3;4;5;6;7;8;9;10}/10)*(1-$I$7)+$I$4-$I$4*($I$5+(1.05-$I$5)*{1;2;3;4;5;6;7;8;9;10}/10)-(K30/(1+K30))*$I$6)/(1+M30)^{1;2;3;4;5;6;7;8;9;10})+$I$2*(1+K30)^10*(L30+$I$4)*N30/(1+M30)^10+$I$9-$I$10)/$I$11</f>
        <v/>
      </c>
    </row>
    <row r="31">
      <c r="K31" s="25">
        <f>MAX(-0.05,NORMINV(RAND(),$C$6,$D$6))</f>
        <v/>
      </c>
      <c r="L31" s="25">
        <f>MAX(0.02,NORMINV(RAND(),$C$7,$D$7))</f>
        <v/>
      </c>
      <c r="M31" s="25">
        <f>MIN(0.16,MAX(0.05,NORMINV(RAND(),$C$8,$D$8)))</f>
        <v/>
      </c>
      <c r="N31" s="26">
        <f>MIN(24,MAX(5,NORMINV(RAND(),$C$9,$D$9)))</f>
        <v/>
      </c>
      <c r="O31" s="49">
        <f>$I$8*(SUMPRODUCT(($I$2*(1+K31)^{1;2;3;4;5;6;7;8;9;10})*(($I$3+(L31-$I$3)*{1;2;3;4;5;6;7;8;9;10}/10)*(1-$I$7)+$I$4-$I$4*($I$5+(1.05-$I$5)*{1;2;3;4;5;6;7;8;9;10}/10)-(K31/(1+K31))*$I$6)/(1+M31)^{1;2;3;4;5;6;7;8;9;10})+$I$2*(1+K31)^10*(L31+$I$4)*N31/(1+M31)^10+$I$9-$I$10)/$I$11</f>
        <v/>
      </c>
    </row>
    <row r="32">
      <c r="A32" s="5" t="inlineStr">
        <is>
          <t xml:space="preserve">  VALUE DISTRIBUTION (live histogram)</t>
        </is>
      </c>
      <c r="B32" s="6" t="n"/>
      <c r="C32" s="6" t="n"/>
      <c r="D32" s="6" t="n"/>
      <c r="K32" s="25">
        <f>MAX(-0.05,NORMINV(RAND(),$C$6,$D$6))</f>
        <v/>
      </c>
      <c r="L32" s="25">
        <f>MAX(0.02,NORMINV(RAND(),$C$7,$D$7))</f>
        <v/>
      </c>
      <c r="M32" s="25">
        <f>MIN(0.16,MAX(0.05,NORMINV(RAND(),$C$8,$D$8)))</f>
        <v/>
      </c>
      <c r="N32" s="26">
        <f>MIN(24,MAX(5,NORMINV(RAND(),$C$9,$D$9)))</f>
        <v/>
      </c>
      <c r="O32" s="49">
        <f>$I$8*(SUMPRODUCT(($I$2*(1+K32)^{1;2;3;4;5;6;7;8;9;10})*(($I$3+(L32-$I$3)*{1;2;3;4;5;6;7;8;9;10}/10)*(1-$I$7)+$I$4-$I$4*($I$5+(1.05-$I$5)*{1;2;3;4;5;6;7;8;9;10}/10)-(K32/(1+K32))*$I$6)/(1+M32)^{1;2;3;4;5;6;7;8;9;10})+$I$2*(1+K32)^10*(L32+$I$4)*N32/(1+M32)^10+$I$9-$I$10)/$I$11</f>
        <v/>
      </c>
    </row>
    <row r="33">
      <c r="A33" s="3" t="inlineStr">
        <is>
          <t>Bin midpoint ($/sh)</t>
        </is>
      </c>
      <c r="B33" s="3" t="inlineStr">
        <is>
          <t>Count</t>
        </is>
      </c>
      <c r="K33" s="25">
        <f>MAX(-0.05,NORMINV(RAND(),$C$6,$D$6))</f>
        <v/>
      </c>
      <c r="L33" s="25">
        <f>MAX(0.02,NORMINV(RAND(),$C$7,$D$7))</f>
        <v/>
      </c>
      <c r="M33" s="25">
        <f>MIN(0.16,MAX(0.05,NORMINV(RAND(),$C$8,$D$8)))</f>
        <v/>
      </c>
      <c r="N33" s="26">
        <f>MIN(24,MAX(5,NORMINV(RAND(),$C$9,$D$9)))</f>
        <v/>
      </c>
      <c r="O33" s="49">
        <f>$I$8*(SUMPRODUCT(($I$2*(1+K33)^{1;2;3;4;5;6;7;8;9;10})*(($I$3+(L33-$I$3)*{1;2;3;4;5;6;7;8;9;10}/10)*(1-$I$7)+$I$4-$I$4*($I$5+(1.05-$I$5)*{1;2;3;4;5;6;7;8;9;10}/10)-(K33/(1+K33))*$I$6)/(1+M33)^{1;2;3;4;5;6;7;8;9;10})+$I$2*(1+K33)^10*(L33+$I$4)*N33/(1+M33)^10+$I$9-$I$10)/$I$11</f>
        <v/>
      </c>
    </row>
    <row r="34">
      <c r="A34" s="57">
        <f>$B$15+0.5*($B$16-$B$15)/15</f>
        <v/>
      </c>
      <c r="B34" s="4">
        <f>COUNTIFS($O$2:$O$1001,"&gt;="&amp;($B$15+0*($B$16-$B$15)/15),$O$2:$O$1001,"&lt;"&amp;($B$15+1*($B$16-$B$15)/15))</f>
        <v/>
      </c>
      <c r="K34" s="25">
        <f>MAX(-0.05,NORMINV(RAND(),$C$6,$D$6))</f>
        <v/>
      </c>
      <c r="L34" s="25">
        <f>MAX(0.02,NORMINV(RAND(),$C$7,$D$7))</f>
        <v/>
      </c>
      <c r="M34" s="25">
        <f>MIN(0.16,MAX(0.05,NORMINV(RAND(),$C$8,$D$8)))</f>
        <v/>
      </c>
      <c r="N34" s="26">
        <f>MIN(24,MAX(5,NORMINV(RAND(),$C$9,$D$9)))</f>
        <v/>
      </c>
      <c r="O34" s="49">
        <f>$I$8*(SUMPRODUCT(($I$2*(1+K34)^{1;2;3;4;5;6;7;8;9;10})*(($I$3+(L34-$I$3)*{1;2;3;4;5;6;7;8;9;10}/10)*(1-$I$7)+$I$4-$I$4*($I$5+(1.05-$I$5)*{1;2;3;4;5;6;7;8;9;10}/10)-(K34/(1+K34))*$I$6)/(1+M34)^{1;2;3;4;5;6;7;8;9;10})+$I$2*(1+K34)^10*(L34+$I$4)*N34/(1+M34)^10+$I$9-$I$10)/$I$11</f>
        <v/>
      </c>
    </row>
    <row r="35">
      <c r="A35" s="57">
        <f>$B$15+1.5*($B$16-$B$15)/15</f>
        <v/>
      </c>
      <c r="B35" s="4">
        <f>COUNTIFS($O$2:$O$1001,"&gt;="&amp;($B$15+1*($B$16-$B$15)/15),$O$2:$O$1001,"&lt;"&amp;($B$15+2*($B$16-$B$15)/15))</f>
        <v/>
      </c>
      <c r="K35" s="25">
        <f>MAX(-0.05,NORMINV(RAND(),$C$6,$D$6))</f>
        <v/>
      </c>
      <c r="L35" s="25">
        <f>MAX(0.02,NORMINV(RAND(),$C$7,$D$7))</f>
        <v/>
      </c>
      <c r="M35" s="25">
        <f>MIN(0.16,MAX(0.05,NORMINV(RAND(),$C$8,$D$8)))</f>
        <v/>
      </c>
      <c r="N35" s="26">
        <f>MIN(24,MAX(5,NORMINV(RAND(),$C$9,$D$9)))</f>
        <v/>
      </c>
      <c r="O35" s="49">
        <f>$I$8*(SUMPRODUCT(($I$2*(1+K35)^{1;2;3;4;5;6;7;8;9;10})*(($I$3+(L35-$I$3)*{1;2;3;4;5;6;7;8;9;10}/10)*(1-$I$7)+$I$4-$I$4*($I$5+(1.05-$I$5)*{1;2;3;4;5;6;7;8;9;10}/10)-(K35/(1+K35))*$I$6)/(1+M35)^{1;2;3;4;5;6;7;8;9;10})+$I$2*(1+K35)^10*(L35+$I$4)*N35/(1+M35)^10+$I$9-$I$10)/$I$11</f>
        <v/>
      </c>
    </row>
    <row r="36">
      <c r="A36" s="57">
        <f>$B$15+2.5*($B$16-$B$15)/15</f>
        <v/>
      </c>
      <c r="B36" s="4">
        <f>COUNTIFS($O$2:$O$1001,"&gt;="&amp;($B$15+2*($B$16-$B$15)/15),$O$2:$O$1001,"&lt;"&amp;($B$15+3*($B$16-$B$15)/15))</f>
        <v/>
      </c>
      <c r="K36" s="25">
        <f>MAX(-0.05,NORMINV(RAND(),$C$6,$D$6))</f>
        <v/>
      </c>
      <c r="L36" s="25">
        <f>MAX(0.02,NORMINV(RAND(),$C$7,$D$7))</f>
        <v/>
      </c>
      <c r="M36" s="25">
        <f>MIN(0.16,MAX(0.05,NORMINV(RAND(),$C$8,$D$8)))</f>
        <v/>
      </c>
      <c r="N36" s="26">
        <f>MIN(24,MAX(5,NORMINV(RAND(),$C$9,$D$9)))</f>
        <v/>
      </c>
      <c r="O36" s="49">
        <f>$I$8*(SUMPRODUCT(($I$2*(1+K36)^{1;2;3;4;5;6;7;8;9;10})*(($I$3+(L36-$I$3)*{1;2;3;4;5;6;7;8;9;10}/10)*(1-$I$7)+$I$4-$I$4*($I$5+(1.05-$I$5)*{1;2;3;4;5;6;7;8;9;10}/10)-(K36/(1+K36))*$I$6)/(1+M36)^{1;2;3;4;5;6;7;8;9;10})+$I$2*(1+K36)^10*(L36+$I$4)*N36/(1+M36)^10+$I$9-$I$10)/$I$11</f>
        <v/>
      </c>
    </row>
    <row r="37">
      <c r="A37" s="57">
        <f>$B$15+3.5*($B$16-$B$15)/15</f>
        <v/>
      </c>
      <c r="B37" s="4">
        <f>COUNTIFS($O$2:$O$1001,"&gt;="&amp;($B$15+3*($B$16-$B$15)/15),$O$2:$O$1001,"&lt;"&amp;($B$15+4*($B$16-$B$15)/15))</f>
        <v/>
      </c>
      <c r="K37" s="25">
        <f>MAX(-0.05,NORMINV(RAND(),$C$6,$D$6))</f>
        <v/>
      </c>
      <c r="L37" s="25">
        <f>MAX(0.02,NORMINV(RAND(),$C$7,$D$7))</f>
        <v/>
      </c>
      <c r="M37" s="25">
        <f>MIN(0.16,MAX(0.05,NORMINV(RAND(),$C$8,$D$8)))</f>
        <v/>
      </c>
      <c r="N37" s="26">
        <f>MIN(24,MAX(5,NORMINV(RAND(),$C$9,$D$9)))</f>
        <v/>
      </c>
      <c r="O37" s="49">
        <f>$I$8*(SUMPRODUCT(($I$2*(1+K37)^{1;2;3;4;5;6;7;8;9;10})*(($I$3+(L37-$I$3)*{1;2;3;4;5;6;7;8;9;10}/10)*(1-$I$7)+$I$4-$I$4*($I$5+(1.05-$I$5)*{1;2;3;4;5;6;7;8;9;10}/10)-(K37/(1+K37))*$I$6)/(1+M37)^{1;2;3;4;5;6;7;8;9;10})+$I$2*(1+K37)^10*(L37+$I$4)*N37/(1+M37)^10+$I$9-$I$10)/$I$11</f>
        <v/>
      </c>
    </row>
    <row r="38">
      <c r="A38" s="57">
        <f>$B$15+4.5*($B$16-$B$15)/15</f>
        <v/>
      </c>
      <c r="B38" s="4">
        <f>COUNTIFS($O$2:$O$1001,"&gt;="&amp;($B$15+4*($B$16-$B$15)/15),$O$2:$O$1001,"&lt;"&amp;($B$15+5*($B$16-$B$15)/15))</f>
        <v/>
      </c>
      <c r="K38" s="25">
        <f>MAX(-0.05,NORMINV(RAND(),$C$6,$D$6))</f>
        <v/>
      </c>
      <c r="L38" s="25">
        <f>MAX(0.02,NORMINV(RAND(),$C$7,$D$7))</f>
        <v/>
      </c>
      <c r="M38" s="25">
        <f>MIN(0.16,MAX(0.05,NORMINV(RAND(),$C$8,$D$8)))</f>
        <v/>
      </c>
      <c r="N38" s="26">
        <f>MIN(24,MAX(5,NORMINV(RAND(),$C$9,$D$9)))</f>
        <v/>
      </c>
      <c r="O38" s="49">
        <f>$I$8*(SUMPRODUCT(($I$2*(1+K38)^{1;2;3;4;5;6;7;8;9;10})*(($I$3+(L38-$I$3)*{1;2;3;4;5;6;7;8;9;10}/10)*(1-$I$7)+$I$4-$I$4*($I$5+(1.05-$I$5)*{1;2;3;4;5;6;7;8;9;10}/10)-(K38/(1+K38))*$I$6)/(1+M38)^{1;2;3;4;5;6;7;8;9;10})+$I$2*(1+K38)^10*(L38+$I$4)*N38/(1+M38)^10+$I$9-$I$10)/$I$11</f>
        <v/>
      </c>
    </row>
    <row r="39">
      <c r="A39" s="57">
        <f>$B$15+5.5*($B$16-$B$15)/15</f>
        <v/>
      </c>
      <c r="B39" s="4">
        <f>COUNTIFS($O$2:$O$1001,"&gt;="&amp;($B$15+5*($B$16-$B$15)/15),$O$2:$O$1001,"&lt;"&amp;($B$15+6*($B$16-$B$15)/15))</f>
        <v/>
      </c>
      <c r="K39" s="25">
        <f>MAX(-0.05,NORMINV(RAND(),$C$6,$D$6))</f>
        <v/>
      </c>
      <c r="L39" s="25">
        <f>MAX(0.02,NORMINV(RAND(),$C$7,$D$7))</f>
        <v/>
      </c>
      <c r="M39" s="25">
        <f>MIN(0.16,MAX(0.05,NORMINV(RAND(),$C$8,$D$8)))</f>
        <v/>
      </c>
      <c r="N39" s="26">
        <f>MIN(24,MAX(5,NORMINV(RAND(),$C$9,$D$9)))</f>
        <v/>
      </c>
      <c r="O39" s="49">
        <f>$I$8*(SUMPRODUCT(($I$2*(1+K39)^{1;2;3;4;5;6;7;8;9;10})*(($I$3+(L39-$I$3)*{1;2;3;4;5;6;7;8;9;10}/10)*(1-$I$7)+$I$4-$I$4*($I$5+(1.05-$I$5)*{1;2;3;4;5;6;7;8;9;10}/10)-(K39/(1+K39))*$I$6)/(1+M39)^{1;2;3;4;5;6;7;8;9;10})+$I$2*(1+K39)^10*(L39+$I$4)*N39/(1+M39)^10+$I$9-$I$10)/$I$11</f>
        <v/>
      </c>
    </row>
    <row r="40">
      <c r="A40" s="57">
        <f>$B$15+6.5*($B$16-$B$15)/15</f>
        <v/>
      </c>
      <c r="B40" s="4">
        <f>COUNTIFS($O$2:$O$1001,"&gt;="&amp;($B$15+6*($B$16-$B$15)/15),$O$2:$O$1001,"&lt;"&amp;($B$15+7*($B$16-$B$15)/15))</f>
        <v/>
      </c>
      <c r="K40" s="25">
        <f>MAX(-0.05,NORMINV(RAND(),$C$6,$D$6))</f>
        <v/>
      </c>
      <c r="L40" s="25">
        <f>MAX(0.02,NORMINV(RAND(),$C$7,$D$7))</f>
        <v/>
      </c>
      <c r="M40" s="25">
        <f>MIN(0.16,MAX(0.05,NORMINV(RAND(),$C$8,$D$8)))</f>
        <v/>
      </c>
      <c r="N40" s="26">
        <f>MIN(24,MAX(5,NORMINV(RAND(),$C$9,$D$9)))</f>
        <v/>
      </c>
      <c r="O40" s="49">
        <f>$I$8*(SUMPRODUCT(($I$2*(1+K40)^{1;2;3;4;5;6;7;8;9;10})*(($I$3+(L40-$I$3)*{1;2;3;4;5;6;7;8;9;10}/10)*(1-$I$7)+$I$4-$I$4*($I$5+(1.05-$I$5)*{1;2;3;4;5;6;7;8;9;10}/10)-(K40/(1+K40))*$I$6)/(1+M40)^{1;2;3;4;5;6;7;8;9;10})+$I$2*(1+K40)^10*(L40+$I$4)*N40/(1+M40)^10+$I$9-$I$10)/$I$11</f>
        <v/>
      </c>
    </row>
    <row r="41">
      <c r="A41" s="57">
        <f>$B$15+7.5*($B$16-$B$15)/15</f>
        <v/>
      </c>
      <c r="B41" s="4">
        <f>COUNTIFS($O$2:$O$1001,"&gt;="&amp;($B$15+7*($B$16-$B$15)/15),$O$2:$O$1001,"&lt;"&amp;($B$15+8*($B$16-$B$15)/15))</f>
        <v/>
      </c>
      <c r="K41" s="25">
        <f>MAX(-0.05,NORMINV(RAND(),$C$6,$D$6))</f>
        <v/>
      </c>
      <c r="L41" s="25">
        <f>MAX(0.02,NORMINV(RAND(),$C$7,$D$7))</f>
        <v/>
      </c>
      <c r="M41" s="25">
        <f>MIN(0.16,MAX(0.05,NORMINV(RAND(),$C$8,$D$8)))</f>
        <v/>
      </c>
      <c r="N41" s="26">
        <f>MIN(24,MAX(5,NORMINV(RAND(),$C$9,$D$9)))</f>
        <v/>
      </c>
      <c r="O41" s="49">
        <f>$I$8*(SUMPRODUCT(($I$2*(1+K41)^{1;2;3;4;5;6;7;8;9;10})*(($I$3+(L41-$I$3)*{1;2;3;4;5;6;7;8;9;10}/10)*(1-$I$7)+$I$4-$I$4*($I$5+(1.05-$I$5)*{1;2;3;4;5;6;7;8;9;10}/10)-(K41/(1+K41))*$I$6)/(1+M41)^{1;2;3;4;5;6;7;8;9;10})+$I$2*(1+K41)^10*(L41+$I$4)*N41/(1+M41)^10+$I$9-$I$10)/$I$11</f>
        <v/>
      </c>
    </row>
    <row r="42">
      <c r="A42" s="57">
        <f>$B$15+8.5*($B$16-$B$15)/15</f>
        <v/>
      </c>
      <c r="B42" s="4">
        <f>COUNTIFS($O$2:$O$1001,"&gt;="&amp;($B$15+8*($B$16-$B$15)/15),$O$2:$O$1001,"&lt;"&amp;($B$15+9*($B$16-$B$15)/15))</f>
        <v/>
      </c>
      <c r="K42" s="25">
        <f>MAX(-0.05,NORMINV(RAND(),$C$6,$D$6))</f>
        <v/>
      </c>
      <c r="L42" s="25">
        <f>MAX(0.02,NORMINV(RAND(),$C$7,$D$7))</f>
        <v/>
      </c>
      <c r="M42" s="25">
        <f>MIN(0.16,MAX(0.05,NORMINV(RAND(),$C$8,$D$8)))</f>
        <v/>
      </c>
      <c r="N42" s="26">
        <f>MIN(24,MAX(5,NORMINV(RAND(),$C$9,$D$9)))</f>
        <v/>
      </c>
      <c r="O42" s="49">
        <f>$I$8*(SUMPRODUCT(($I$2*(1+K42)^{1;2;3;4;5;6;7;8;9;10})*(($I$3+(L42-$I$3)*{1;2;3;4;5;6;7;8;9;10}/10)*(1-$I$7)+$I$4-$I$4*($I$5+(1.05-$I$5)*{1;2;3;4;5;6;7;8;9;10}/10)-(K42/(1+K42))*$I$6)/(1+M42)^{1;2;3;4;5;6;7;8;9;10})+$I$2*(1+K42)^10*(L42+$I$4)*N42/(1+M42)^10+$I$9-$I$10)/$I$11</f>
        <v/>
      </c>
    </row>
    <row r="43">
      <c r="A43" s="57">
        <f>$B$15+9.5*($B$16-$B$15)/15</f>
        <v/>
      </c>
      <c r="B43" s="4">
        <f>COUNTIFS($O$2:$O$1001,"&gt;="&amp;($B$15+9*($B$16-$B$15)/15),$O$2:$O$1001,"&lt;"&amp;($B$15+10*($B$16-$B$15)/15))</f>
        <v/>
      </c>
      <c r="K43" s="25">
        <f>MAX(-0.05,NORMINV(RAND(),$C$6,$D$6))</f>
        <v/>
      </c>
      <c r="L43" s="25">
        <f>MAX(0.02,NORMINV(RAND(),$C$7,$D$7))</f>
        <v/>
      </c>
      <c r="M43" s="25">
        <f>MIN(0.16,MAX(0.05,NORMINV(RAND(),$C$8,$D$8)))</f>
        <v/>
      </c>
      <c r="N43" s="26">
        <f>MIN(24,MAX(5,NORMINV(RAND(),$C$9,$D$9)))</f>
        <v/>
      </c>
      <c r="O43" s="49">
        <f>$I$8*(SUMPRODUCT(($I$2*(1+K43)^{1;2;3;4;5;6;7;8;9;10})*(($I$3+(L43-$I$3)*{1;2;3;4;5;6;7;8;9;10}/10)*(1-$I$7)+$I$4-$I$4*($I$5+(1.05-$I$5)*{1;2;3;4;5;6;7;8;9;10}/10)-(K43/(1+K43))*$I$6)/(1+M43)^{1;2;3;4;5;6;7;8;9;10})+$I$2*(1+K43)^10*(L43+$I$4)*N43/(1+M43)^10+$I$9-$I$10)/$I$11</f>
        <v/>
      </c>
    </row>
    <row r="44">
      <c r="A44" s="57">
        <f>$B$15+10.5*($B$16-$B$15)/15</f>
        <v/>
      </c>
      <c r="B44" s="4">
        <f>COUNTIFS($O$2:$O$1001,"&gt;="&amp;($B$15+10*($B$16-$B$15)/15),$O$2:$O$1001,"&lt;"&amp;($B$15+11*($B$16-$B$15)/15))</f>
        <v/>
      </c>
      <c r="K44" s="25">
        <f>MAX(-0.05,NORMINV(RAND(),$C$6,$D$6))</f>
        <v/>
      </c>
      <c r="L44" s="25">
        <f>MAX(0.02,NORMINV(RAND(),$C$7,$D$7))</f>
        <v/>
      </c>
      <c r="M44" s="25">
        <f>MIN(0.16,MAX(0.05,NORMINV(RAND(),$C$8,$D$8)))</f>
        <v/>
      </c>
      <c r="N44" s="26">
        <f>MIN(24,MAX(5,NORMINV(RAND(),$C$9,$D$9)))</f>
        <v/>
      </c>
      <c r="O44" s="49">
        <f>$I$8*(SUMPRODUCT(($I$2*(1+K44)^{1;2;3;4;5;6;7;8;9;10})*(($I$3+(L44-$I$3)*{1;2;3;4;5;6;7;8;9;10}/10)*(1-$I$7)+$I$4-$I$4*($I$5+(1.05-$I$5)*{1;2;3;4;5;6;7;8;9;10}/10)-(K44/(1+K44))*$I$6)/(1+M44)^{1;2;3;4;5;6;7;8;9;10})+$I$2*(1+K44)^10*(L44+$I$4)*N44/(1+M44)^10+$I$9-$I$10)/$I$11</f>
        <v/>
      </c>
    </row>
    <row r="45">
      <c r="A45" s="57">
        <f>$B$15+11.5*($B$16-$B$15)/15</f>
        <v/>
      </c>
      <c r="B45" s="4">
        <f>COUNTIFS($O$2:$O$1001,"&gt;="&amp;($B$15+11*($B$16-$B$15)/15),$O$2:$O$1001,"&lt;"&amp;($B$15+12*($B$16-$B$15)/15))</f>
        <v/>
      </c>
      <c r="K45" s="25">
        <f>MAX(-0.05,NORMINV(RAND(),$C$6,$D$6))</f>
        <v/>
      </c>
      <c r="L45" s="25">
        <f>MAX(0.02,NORMINV(RAND(),$C$7,$D$7))</f>
        <v/>
      </c>
      <c r="M45" s="25">
        <f>MIN(0.16,MAX(0.05,NORMINV(RAND(),$C$8,$D$8)))</f>
        <v/>
      </c>
      <c r="N45" s="26">
        <f>MIN(24,MAX(5,NORMINV(RAND(),$C$9,$D$9)))</f>
        <v/>
      </c>
      <c r="O45" s="49">
        <f>$I$8*(SUMPRODUCT(($I$2*(1+K45)^{1;2;3;4;5;6;7;8;9;10})*(($I$3+(L45-$I$3)*{1;2;3;4;5;6;7;8;9;10}/10)*(1-$I$7)+$I$4-$I$4*($I$5+(1.05-$I$5)*{1;2;3;4;5;6;7;8;9;10}/10)-(K45/(1+K45))*$I$6)/(1+M45)^{1;2;3;4;5;6;7;8;9;10})+$I$2*(1+K45)^10*(L45+$I$4)*N45/(1+M45)^10+$I$9-$I$10)/$I$11</f>
        <v/>
      </c>
    </row>
    <row r="46">
      <c r="A46" s="57">
        <f>$B$15+12.5*($B$16-$B$15)/15</f>
        <v/>
      </c>
      <c r="B46" s="4">
        <f>COUNTIFS($O$2:$O$1001,"&gt;="&amp;($B$15+12*($B$16-$B$15)/15),$O$2:$O$1001,"&lt;"&amp;($B$15+13*($B$16-$B$15)/15))</f>
        <v/>
      </c>
      <c r="K46" s="25">
        <f>MAX(-0.05,NORMINV(RAND(),$C$6,$D$6))</f>
        <v/>
      </c>
      <c r="L46" s="25">
        <f>MAX(0.02,NORMINV(RAND(),$C$7,$D$7))</f>
        <v/>
      </c>
      <c r="M46" s="25">
        <f>MIN(0.16,MAX(0.05,NORMINV(RAND(),$C$8,$D$8)))</f>
        <v/>
      </c>
      <c r="N46" s="26">
        <f>MIN(24,MAX(5,NORMINV(RAND(),$C$9,$D$9)))</f>
        <v/>
      </c>
      <c r="O46" s="49">
        <f>$I$8*(SUMPRODUCT(($I$2*(1+K46)^{1;2;3;4;5;6;7;8;9;10})*(($I$3+(L46-$I$3)*{1;2;3;4;5;6;7;8;9;10}/10)*(1-$I$7)+$I$4-$I$4*($I$5+(1.05-$I$5)*{1;2;3;4;5;6;7;8;9;10}/10)-(K46/(1+K46))*$I$6)/(1+M46)^{1;2;3;4;5;6;7;8;9;10})+$I$2*(1+K46)^10*(L46+$I$4)*N46/(1+M46)^10+$I$9-$I$10)/$I$11</f>
        <v/>
      </c>
    </row>
    <row r="47">
      <c r="A47" s="57">
        <f>$B$15+13.5*($B$16-$B$15)/15</f>
        <v/>
      </c>
      <c r="B47" s="4">
        <f>COUNTIFS($O$2:$O$1001,"&gt;="&amp;($B$15+13*($B$16-$B$15)/15),$O$2:$O$1001,"&lt;"&amp;($B$15+14*($B$16-$B$15)/15))</f>
        <v/>
      </c>
      <c r="K47" s="25">
        <f>MAX(-0.05,NORMINV(RAND(),$C$6,$D$6))</f>
        <v/>
      </c>
      <c r="L47" s="25">
        <f>MAX(0.02,NORMINV(RAND(),$C$7,$D$7))</f>
        <v/>
      </c>
      <c r="M47" s="25">
        <f>MIN(0.16,MAX(0.05,NORMINV(RAND(),$C$8,$D$8)))</f>
        <v/>
      </c>
      <c r="N47" s="26">
        <f>MIN(24,MAX(5,NORMINV(RAND(),$C$9,$D$9)))</f>
        <v/>
      </c>
      <c r="O47" s="49">
        <f>$I$8*(SUMPRODUCT(($I$2*(1+K47)^{1;2;3;4;5;6;7;8;9;10})*(($I$3+(L47-$I$3)*{1;2;3;4;5;6;7;8;9;10}/10)*(1-$I$7)+$I$4-$I$4*($I$5+(1.05-$I$5)*{1;2;3;4;5;6;7;8;9;10}/10)-(K47/(1+K47))*$I$6)/(1+M47)^{1;2;3;4;5;6;7;8;9;10})+$I$2*(1+K47)^10*(L47+$I$4)*N47/(1+M47)^10+$I$9-$I$10)/$I$11</f>
        <v/>
      </c>
    </row>
    <row r="48">
      <c r="A48" s="57">
        <f>$B$15+14.5*($B$16-$B$15)/15</f>
        <v/>
      </c>
      <c r="B48" s="4">
        <f>COUNTIF($O$2:$O$1001,"&gt;="&amp;($B$15+14*($B$16-$B$15)/15))</f>
        <v/>
      </c>
      <c r="K48" s="25">
        <f>MAX(-0.05,NORMINV(RAND(),$C$6,$D$6))</f>
        <v/>
      </c>
      <c r="L48" s="25">
        <f>MAX(0.02,NORMINV(RAND(),$C$7,$D$7))</f>
        <v/>
      </c>
      <c r="M48" s="25">
        <f>MIN(0.16,MAX(0.05,NORMINV(RAND(),$C$8,$D$8)))</f>
        <v/>
      </c>
      <c r="N48" s="26">
        <f>MIN(24,MAX(5,NORMINV(RAND(),$C$9,$D$9)))</f>
        <v/>
      </c>
      <c r="O48" s="49">
        <f>$I$8*(SUMPRODUCT(($I$2*(1+K48)^{1;2;3;4;5;6;7;8;9;10})*(($I$3+(L48-$I$3)*{1;2;3;4;5;6;7;8;9;10}/10)*(1-$I$7)+$I$4-$I$4*($I$5+(1.05-$I$5)*{1;2;3;4;5;6;7;8;9;10}/10)-(K48/(1+K48))*$I$6)/(1+M48)^{1;2;3;4;5;6;7;8;9;10})+$I$2*(1+K48)^10*(L48+$I$4)*N48/(1+M48)^10+$I$9-$I$10)/$I$11</f>
        <v/>
      </c>
    </row>
    <row r="49">
      <c r="K49" s="25">
        <f>MAX(-0.05,NORMINV(RAND(),$C$6,$D$6))</f>
        <v/>
      </c>
      <c r="L49" s="25">
        <f>MAX(0.02,NORMINV(RAND(),$C$7,$D$7))</f>
        <v/>
      </c>
      <c r="M49" s="25">
        <f>MIN(0.16,MAX(0.05,NORMINV(RAND(),$C$8,$D$8)))</f>
        <v/>
      </c>
      <c r="N49" s="26">
        <f>MIN(24,MAX(5,NORMINV(RAND(),$C$9,$D$9)))</f>
        <v/>
      </c>
      <c r="O49" s="49">
        <f>$I$8*(SUMPRODUCT(($I$2*(1+K49)^{1;2;3;4;5;6;7;8;9;10})*(($I$3+(L49-$I$3)*{1;2;3;4;5;6;7;8;9;10}/10)*(1-$I$7)+$I$4-$I$4*($I$5+(1.05-$I$5)*{1;2;3;4;5;6;7;8;9;10}/10)-(K49/(1+K49))*$I$6)/(1+M49)^{1;2;3;4;5;6;7;8;9;10})+$I$2*(1+K49)^10*(L49+$I$4)*N49/(1+M49)^10+$I$9-$I$10)/$I$11</f>
        <v/>
      </c>
    </row>
    <row r="50">
      <c r="K50" s="25">
        <f>MAX(-0.05,NORMINV(RAND(),$C$6,$D$6))</f>
        <v/>
      </c>
      <c r="L50" s="25">
        <f>MAX(0.02,NORMINV(RAND(),$C$7,$D$7))</f>
        <v/>
      </c>
      <c r="M50" s="25">
        <f>MIN(0.16,MAX(0.05,NORMINV(RAND(),$C$8,$D$8)))</f>
        <v/>
      </c>
      <c r="N50" s="26">
        <f>MIN(24,MAX(5,NORMINV(RAND(),$C$9,$D$9)))</f>
        <v/>
      </c>
      <c r="O50" s="49">
        <f>$I$8*(SUMPRODUCT(($I$2*(1+K50)^{1;2;3;4;5;6;7;8;9;10})*(($I$3+(L50-$I$3)*{1;2;3;4;5;6;7;8;9;10}/10)*(1-$I$7)+$I$4-$I$4*($I$5+(1.05-$I$5)*{1;2;3;4;5;6;7;8;9;10}/10)-(K50/(1+K50))*$I$6)/(1+M50)^{1;2;3;4;5;6;7;8;9;10})+$I$2*(1+K50)^10*(L50+$I$4)*N50/(1+M50)^10+$I$9-$I$10)/$I$11</f>
        <v/>
      </c>
    </row>
    <row r="51">
      <c r="K51" s="25">
        <f>MAX(-0.05,NORMINV(RAND(),$C$6,$D$6))</f>
        <v/>
      </c>
      <c r="L51" s="25">
        <f>MAX(0.02,NORMINV(RAND(),$C$7,$D$7))</f>
        <v/>
      </c>
      <c r="M51" s="25">
        <f>MIN(0.16,MAX(0.05,NORMINV(RAND(),$C$8,$D$8)))</f>
        <v/>
      </c>
      <c r="N51" s="26">
        <f>MIN(24,MAX(5,NORMINV(RAND(),$C$9,$D$9)))</f>
        <v/>
      </c>
      <c r="O51" s="49">
        <f>$I$8*(SUMPRODUCT(($I$2*(1+K51)^{1;2;3;4;5;6;7;8;9;10})*(($I$3+(L51-$I$3)*{1;2;3;4;5;6;7;8;9;10}/10)*(1-$I$7)+$I$4-$I$4*($I$5+(1.05-$I$5)*{1;2;3;4;5;6;7;8;9;10}/10)-(K51/(1+K51))*$I$6)/(1+M51)^{1;2;3;4;5;6;7;8;9;10})+$I$2*(1+K51)^10*(L51+$I$4)*N51/(1+M51)^10+$I$9-$I$10)/$I$11</f>
        <v/>
      </c>
    </row>
    <row r="52">
      <c r="K52" s="25">
        <f>MAX(-0.05,NORMINV(RAND(),$C$6,$D$6))</f>
        <v/>
      </c>
      <c r="L52" s="25">
        <f>MAX(0.02,NORMINV(RAND(),$C$7,$D$7))</f>
        <v/>
      </c>
      <c r="M52" s="25">
        <f>MIN(0.16,MAX(0.05,NORMINV(RAND(),$C$8,$D$8)))</f>
        <v/>
      </c>
      <c r="N52" s="26">
        <f>MIN(24,MAX(5,NORMINV(RAND(),$C$9,$D$9)))</f>
        <v/>
      </c>
      <c r="O52" s="49">
        <f>$I$8*(SUMPRODUCT(($I$2*(1+K52)^{1;2;3;4;5;6;7;8;9;10})*(($I$3+(L52-$I$3)*{1;2;3;4;5;6;7;8;9;10}/10)*(1-$I$7)+$I$4-$I$4*($I$5+(1.05-$I$5)*{1;2;3;4;5;6;7;8;9;10}/10)-(K52/(1+K52))*$I$6)/(1+M52)^{1;2;3;4;5;6;7;8;9;10})+$I$2*(1+K52)^10*(L52+$I$4)*N52/(1+M52)^10+$I$9-$I$10)/$I$11</f>
        <v/>
      </c>
    </row>
    <row r="53">
      <c r="K53" s="25">
        <f>MAX(-0.05,NORMINV(RAND(),$C$6,$D$6))</f>
        <v/>
      </c>
      <c r="L53" s="25">
        <f>MAX(0.02,NORMINV(RAND(),$C$7,$D$7))</f>
        <v/>
      </c>
      <c r="M53" s="25">
        <f>MIN(0.16,MAX(0.05,NORMINV(RAND(),$C$8,$D$8)))</f>
        <v/>
      </c>
      <c r="N53" s="26">
        <f>MIN(24,MAX(5,NORMINV(RAND(),$C$9,$D$9)))</f>
        <v/>
      </c>
      <c r="O53" s="49">
        <f>$I$8*(SUMPRODUCT(($I$2*(1+K53)^{1;2;3;4;5;6;7;8;9;10})*(($I$3+(L53-$I$3)*{1;2;3;4;5;6;7;8;9;10}/10)*(1-$I$7)+$I$4-$I$4*($I$5+(1.05-$I$5)*{1;2;3;4;5;6;7;8;9;10}/10)-(K53/(1+K53))*$I$6)/(1+M53)^{1;2;3;4;5;6;7;8;9;10})+$I$2*(1+K53)^10*(L53+$I$4)*N53/(1+M53)^10+$I$9-$I$10)/$I$11</f>
        <v/>
      </c>
    </row>
    <row r="54">
      <c r="K54" s="25">
        <f>MAX(-0.05,NORMINV(RAND(),$C$6,$D$6))</f>
        <v/>
      </c>
      <c r="L54" s="25">
        <f>MAX(0.02,NORMINV(RAND(),$C$7,$D$7))</f>
        <v/>
      </c>
      <c r="M54" s="25">
        <f>MIN(0.16,MAX(0.05,NORMINV(RAND(),$C$8,$D$8)))</f>
        <v/>
      </c>
      <c r="N54" s="26">
        <f>MIN(24,MAX(5,NORMINV(RAND(),$C$9,$D$9)))</f>
        <v/>
      </c>
      <c r="O54" s="49">
        <f>$I$8*(SUMPRODUCT(($I$2*(1+K54)^{1;2;3;4;5;6;7;8;9;10})*(($I$3+(L54-$I$3)*{1;2;3;4;5;6;7;8;9;10}/10)*(1-$I$7)+$I$4-$I$4*($I$5+(1.05-$I$5)*{1;2;3;4;5;6;7;8;9;10}/10)-(K54/(1+K54))*$I$6)/(1+M54)^{1;2;3;4;5;6;7;8;9;10})+$I$2*(1+K54)^10*(L54+$I$4)*N54/(1+M54)^10+$I$9-$I$10)/$I$11</f>
        <v/>
      </c>
    </row>
    <row r="55">
      <c r="K55" s="25">
        <f>MAX(-0.05,NORMINV(RAND(),$C$6,$D$6))</f>
        <v/>
      </c>
      <c r="L55" s="25">
        <f>MAX(0.02,NORMINV(RAND(),$C$7,$D$7))</f>
        <v/>
      </c>
      <c r="M55" s="25">
        <f>MIN(0.16,MAX(0.05,NORMINV(RAND(),$C$8,$D$8)))</f>
        <v/>
      </c>
      <c r="N55" s="26">
        <f>MIN(24,MAX(5,NORMINV(RAND(),$C$9,$D$9)))</f>
        <v/>
      </c>
      <c r="O55" s="49">
        <f>$I$8*(SUMPRODUCT(($I$2*(1+K55)^{1;2;3;4;5;6;7;8;9;10})*(($I$3+(L55-$I$3)*{1;2;3;4;5;6;7;8;9;10}/10)*(1-$I$7)+$I$4-$I$4*($I$5+(1.05-$I$5)*{1;2;3;4;5;6;7;8;9;10}/10)-(K55/(1+K55))*$I$6)/(1+M55)^{1;2;3;4;5;6;7;8;9;10})+$I$2*(1+K55)^10*(L55+$I$4)*N55/(1+M55)^10+$I$9-$I$10)/$I$11</f>
        <v/>
      </c>
    </row>
    <row r="56">
      <c r="K56" s="25">
        <f>MAX(-0.05,NORMINV(RAND(),$C$6,$D$6))</f>
        <v/>
      </c>
      <c r="L56" s="25">
        <f>MAX(0.02,NORMINV(RAND(),$C$7,$D$7))</f>
        <v/>
      </c>
      <c r="M56" s="25">
        <f>MIN(0.16,MAX(0.05,NORMINV(RAND(),$C$8,$D$8)))</f>
        <v/>
      </c>
      <c r="N56" s="26">
        <f>MIN(24,MAX(5,NORMINV(RAND(),$C$9,$D$9)))</f>
        <v/>
      </c>
      <c r="O56" s="49">
        <f>$I$8*(SUMPRODUCT(($I$2*(1+K56)^{1;2;3;4;5;6;7;8;9;10})*(($I$3+(L56-$I$3)*{1;2;3;4;5;6;7;8;9;10}/10)*(1-$I$7)+$I$4-$I$4*($I$5+(1.05-$I$5)*{1;2;3;4;5;6;7;8;9;10}/10)-(K56/(1+K56))*$I$6)/(1+M56)^{1;2;3;4;5;6;7;8;9;10})+$I$2*(1+K56)^10*(L56+$I$4)*N56/(1+M56)^10+$I$9-$I$10)/$I$11</f>
        <v/>
      </c>
    </row>
    <row r="57">
      <c r="K57" s="25">
        <f>MAX(-0.05,NORMINV(RAND(),$C$6,$D$6))</f>
        <v/>
      </c>
      <c r="L57" s="25">
        <f>MAX(0.02,NORMINV(RAND(),$C$7,$D$7))</f>
        <v/>
      </c>
      <c r="M57" s="25">
        <f>MIN(0.16,MAX(0.05,NORMINV(RAND(),$C$8,$D$8)))</f>
        <v/>
      </c>
      <c r="N57" s="26">
        <f>MIN(24,MAX(5,NORMINV(RAND(),$C$9,$D$9)))</f>
        <v/>
      </c>
      <c r="O57" s="49">
        <f>$I$8*(SUMPRODUCT(($I$2*(1+K57)^{1;2;3;4;5;6;7;8;9;10})*(($I$3+(L57-$I$3)*{1;2;3;4;5;6;7;8;9;10}/10)*(1-$I$7)+$I$4-$I$4*($I$5+(1.05-$I$5)*{1;2;3;4;5;6;7;8;9;10}/10)-(K57/(1+K57))*$I$6)/(1+M57)^{1;2;3;4;5;6;7;8;9;10})+$I$2*(1+K57)^10*(L57+$I$4)*N57/(1+M57)^10+$I$9-$I$10)/$I$11</f>
        <v/>
      </c>
    </row>
    <row r="58">
      <c r="K58" s="25">
        <f>MAX(-0.05,NORMINV(RAND(),$C$6,$D$6))</f>
        <v/>
      </c>
      <c r="L58" s="25">
        <f>MAX(0.02,NORMINV(RAND(),$C$7,$D$7))</f>
        <v/>
      </c>
      <c r="M58" s="25">
        <f>MIN(0.16,MAX(0.05,NORMINV(RAND(),$C$8,$D$8)))</f>
        <v/>
      </c>
      <c r="N58" s="26">
        <f>MIN(24,MAX(5,NORMINV(RAND(),$C$9,$D$9)))</f>
        <v/>
      </c>
      <c r="O58" s="49">
        <f>$I$8*(SUMPRODUCT(($I$2*(1+K58)^{1;2;3;4;5;6;7;8;9;10})*(($I$3+(L58-$I$3)*{1;2;3;4;5;6;7;8;9;10}/10)*(1-$I$7)+$I$4-$I$4*($I$5+(1.05-$I$5)*{1;2;3;4;5;6;7;8;9;10}/10)-(K58/(1+K58))*$I$6)/(1+M58)^{1;2;3;4;5;6;7;8;9;10})+$I$2*(1+K58)^10*(L58+$I$4)*N58/(1+M58)^10+$I$9-$I$10)/$I$11</f>
        <v/>
      </c>
    </row>
    <row r="59">
      <c r="K59" s="25">
        <f>MAX(-0.05,NORMINV(RAND(),$C$6,$D$6))</f>
        <v/>
      </c>
      <c r="L59" s="25">
        <f>MAX(0.02,NORMINV(RAND(),$C$7,$D$7))</f>
        <v/>
      </c>
      <c r="M59" s="25">
        <f>MIN(0.16,MAX(0.05,NORMINV(RAND(),$C$8,$D$8)))</f>
        <v/>
      </c>
      <c r="N59" s="26">
        <f>MIN(24,MAX(5,NORMINV(RAND(),$C$9,$D$9)))</f>
        <v/>
      </c>
      <c r="O59" s="49">
        <f>$I$8*(SUMPRODUCT(($I$2*(1+K59)^{1;2;3;4;5;6;7;8;9;10})*(($I$3+(L59-$I$3)*{1;2;3;4;5;6;7;8;9;10}/10)*(1-$I$7)+$I$4-$I$4*($I$5+(1.05-$I$5)*{1;2;3;4;5;6;7;8;9;10}/10)-(K59/(1+K59))*$I$6)/(1+M59)^{1;2;3;4;5;6;7;8;9;10})+$I$2*(1+K59)^10*(L59+$I$4)*N59/(1+M59)^10+$I$9-$I$10)/$I$11</f>
        <v/>
      </c>
    </row>
    <row r="60">
      <c r="K60" s="25">
        <f>MAX(-0.05,NORMINV(RAND(),$C$6,$D$6))</f>
        <v/>
      </c>
      <c r="L60" s="25">
        <f>MAX(0.02,NORMINV(RAND(),$C$7,$D$7))</f>
        <v/>
      </c>
      <c r="M60" s="25">
        <f>MIN(0.16,MAX(0.05,NORMINV(RAND(),$C$8,$D$8)))</f>
        <v/>
      </c>
      <c r="N60" s="26">
        <f>MIN(24,MAX(5,NORMINV(RAND(),$C$9,$D$9)))</f>
        <v/>
      </c>
      <c r="O60" s="49">
        <f>$I$8*(SUMPRODUCT(($I$2*(1+K60)^{1;2;3;4;5;6;7;8;9;10})*(($I$3+(L60-$I$3)*{1;2;3;4;5;6;7;8;9;10}/10)*(1-$I$7)+$I$4-$I$4*($I$5+(1.05-$I$5)*{1;2;3;4;5;6;7;8;9;10}/10)-(K60/(1+K60))*$I$6)/(1+M60)^{1;2;3;4;5;6;7;8;9;10})+$I$2*(1+K60)^10*(L60+$I$4)*N60/(1+M60)^10+$I$9-$I$10)/$I$11</f>
        <v/>
      </c>
    </row>
    <row r="61">
      <c r="K61" s="25">
        <f>MAX(-0.05,NORMINV(RAND(),$C$6,$D$6))</f>
        <v/>
      </c>
      <c r="L61" s="25">
        <f>MAX(0.02,NORMINV(RAND(),$C$7,$D$7))</f>
        <v/>
      </c>
      <c r="M61" s="25">
        <f>MIN(0.16,MAX(0.05,NORMINV(RAND(),$C$8,$D$8)))</f>
        <v/>
      </c>
      <c r="N61" s="26">
        <f>MIN(24,MAX(5,NORMINV(RAND(),$C$9,$D$9)))</f>
        <v/>
      </c>
      <c r="O61" s="49">
        <f>$I$8*(SUMPRODUCT(($I$2*(1+K61)^{1;2;3;4;5;6;7;8;9;10})*(($I$3+(L61-$I$3)*{1;2;3;4;5;6;7;8;9;10}/10)*(1-$I$7)+$I$4-$I$4*($I$5+(1.05-$I$5)*{1;2;3;4;5;6;7;8;9;10}/10)-(K61/(1+K61))*$I$6)/(1+M61)^{1;2;3;4;5;6;7;8;9;10})+$I$2*(1+K61)^10*(L61+$I$4)*N61/(1+M61)^10+$I$9-$I$10)/$I$11</f>
        <v/>
      </c>
    </row>
    <row r="62">
      <c r="K62" s="25">
        <f>MAX(-0.05,NORMINV(RAND(),$C$6,$D$6))</f>
        <v/>
      </c>
      <c r="L62" s="25">
        <f>MAX(0.02,NORMINV(RAND(),$C$7,$D$7))</f>
        <v/>
      </c>
      <c r="M62" s="25">
        <f>MIN(0.16,MAX(0.05,NORMINV(RAND(),$C$8,$D$8)))</f>
        <v/>
      </c>
      <c r="N62" s="26">
        <f>MIN(24,MAX(5,NORMINV(RAND(),$C$9,$D$9)))</f>
        <v/>
      </c>
      <c r="O62" s="49">
        <f>$I$8*(SUMPRODUCT(($I$2*(1+K62)^{1;2;3;4;5;6;7;8;9;10})*(($I$3+(L62-$I$3)*{1;2;3;4;5;6;7;8;9;10}/10)*(1-$I$7)+$I$4-$I$4*($I$5+(1.05-$I$5)*{1;2;3;4;5;6;7;8;9;10}/10)-(K62/(1+K62))*$I$6)/(1+M62)^{1;2;3;4;5;6;7;8;9;10})+$I$2*(1+K62)^10*(L62+$I$4)*N62/(1+M62)^10+$I$9-$I$10)/$I$11</f>
        <v/>
      </c>
    </row>
    <row r="63">
      <c r="K63" s="25">
        <f>MAX(-0.05,NORMINV(RAND(),$C$6,$D$6))</f>
        <v/>
      </c>
      <c r="L63" s="25">
        <f>MAX(0.02,NORMINV(RAND(),$C$7,$D$7))</f>
        <v/>
      </c>
      <c r="M63" s="25">
        <f>MIN(0.16,MAX(0.05,NORMINV(RAND(),$C$8,$D$8)))</f>
        <v/>
      </c>
      <c r="N63" s="26">
        <f>MIN(24,MAX(5,NORMINV(RAND(),$C$9,$D$9)))</f>
        <v/>
      </c>
      <c r="O63" s="49">
        <f>$I$8*(SUMPRODUCT(($I$2*(1+K63)^{1;2;3;4;5;6;7;8;9;10})*(($I$3+(L63-$I$3)*{1;2;3;4;5;6;7;8;9;10}/10)*(1-$I$7)+$I$4-$I$4*($I$5+(1.05-$I$5)*{1;2;3;4;5;6;7;8;9;10}/10)-(K63/(1+K63))*$I$6)/(1+M63)^{1;2;3;4;5;6;7;8;9;10})+$I$2*(1+K63)^10*(L63+$I$4)*N63/(1+M63)^10+$I$9-$I$10)/$I$11</f>
        <v/>
      </c>
    </row>
    <row r="64">
      <c r="K64" s="25">
        <f>MAX(-0.05,NORMINV(RAND(),$C$6,$D$6))</f>
        <v/>
      </c>
      <c r="L64" s="25">
        <f>MAX(0.02,NORMINV(RAND(),$C$7,$D$7))</f>
        <v/>
      </c>
      <c r="M64" s="25">
        <f>MIN(0.16,MAX(0.05,NORMINV(RAND(),$C$8,$D$8)))</f>
        <v/>
      </c>
      <c r="N64" s="26">
        <f>MIN(24,MAX(5,NORMINV(RAND(),$C$9,$D$9)))</f>
        <v/>
      </c>
      <c r="O64" s="49">
        <f>$I$8*(SUMPRODUCT(($I$2*(1+K64)^{1;2;3;4;5;6;7;8;9;10})*(($I$3+(L64-$I$3)*{1;2;3;4;5;6;7;8;9;10}/10)*(1-$I$7)+$I$4-$I$4*($I$5+(1.05-$I$5)*{1;2;3;4;5;6;7;8;9;10}/10)-(K64/(1+K64))*$I$6)/(1+M64)^{1;2;3;4;5;6;7;8;9;10})+$I$2*(1+K64)^10*(L64+$I$4)*N64/(1+M64)^10+$I$9-$I$10)/$I$11</f>
        <v/>
      </c>
    </row>
    <row r="65">
      <c r="K65" s="25">
        <f>MAX(-0.05,NORMINV(RAND(),$C$6,$D$6))</f>
        <v/>
      </c>
      <c r="L65" s="25">
        <f>MAX(0.02,NORMINV(RAND(),$C$7,$D$7))</f>
        <v/>
      </c>
      <c r="M65" s="25">
        <f>MIN(0.16,MAX(0.05,NORMINV(RAND(),$C$8,$D$8)))</f>
        <v/>
      </c>
      <c r="N65" s="26">
        <f>MIN(24,MAX(5,NORMINV(RAND(),$C$9,$D$9)))</f>
        <v/>
      </c>
      <c r="O65" s="49">
        <f>$I$8*(SUMPRODUCT(($I$2*(1+K65)^{1;2;3;4;5;6;7;8;9;10})*(($I$3+(L65-$I$3)*{1;2;3;4;5;6;7;8;9;10}/10)*(1-$I$7)+$I$4-$I$4*($I$5+(1.05-$I$5)*{1;2;3;4;5;6;7;8;9;10}/10)-(K65/(1+K65))*$I$6)/(1+M65)^{1;2;3;4;5;6;7;8;9;10})+$I$2*(1+K65)^10*(L65+$I$4)*N65/(1+M65)^10+$I$9-$I$10)/$I$11</f>
        <v/>
      </c>
    </row>
    <row r="66">
      <c r="K66" s="25">
        <f>MAX(-0.05,NORMINV(RAND(),$C$6,$D$6))</f>
        <v/>
      </c>
      <c r="L66" s="25">
        <f>MAX(0.02,NORMINV(RAND(),$C$7,$D$7))</f>
        <v/>
      </c>
      <c r="M66" s="25">
        <f>MIN(0.16,MAX(0.05,NORMINV(RAND(),$C$8,$D$8)))</f>
        <v/>
      </c>
      <c r="N66" s="26">
        <f>MIN(24,MAX(5,NORMINV(RAND(),$C$9,$D$9)))</f>
        <v/>
      </c>
      <c r="O66" s="49">
        <f>$I$8*(SUMPRODUCT(($I$2*(1+K66)^{1;2;3;4;5;6;7;8;9;10})*(($I$3+(L66-$I$3)*{1;2;3;4;5;6;7;8;9;10}/10)*(1-$I$7)+$I$4-$I$4*($I$5+(1.05-$I$5)*{1;2;3;4;5;6;7;8;9;10}/10)-(K66/(1+K66))*$I$6)/(1+M66)^{1;2;3;4;5;6;7;8;9;10})+$I$2*(1+K66)^10*(L66+$I$4)*N66/(1+M66)^10+$I$9-$I$10)/$I$11</f>
        <v/>
      </c>
    </row>
    <row r="67">
      <c r="K67" s="25">
        <f>MAX(-0.05,NORMINV(RAND(),$C$6,$D$6))</f>
        <v/>
      </c>
      <c r="L67" s="25">
        <f>MAX(0.02,NORMINV(RAND(),$C$7,$D$7))</f>
        <v/>
      </c>
      <c r="M67" s="25">
        <f>MIN(0.16,MAX(0.05,NORMINV(RAND(),$C$8,$D$8)))</f>
        <v/>
      </c>
      <c r="N67" s="26">
        <f>MIN(24,MAX(5,NORMINV(RAND(),$C$9,$D$9)))</f>
        <v/>
      </c>
      <c r="O67" s="49">
        <f>$I$8*(SUMPRODUCT(($I$2*(1+K67)^{1;2;3;4;5;6;7;8;9;10})*(($I$3+(L67-$I$3)*{1;2;3;4;5;6;7;8;9;10}/10)*(1-$I$7)+$I$4-$I$4*($I$5+(1.05-$I$5)*{1;2;3;4;5;6;7;8;9;10}/10)-(K67/(1+K67))*$I$6)/(1+M67)^{1;2;3;4;5;6;7;8;9;10})+$I$2*(1+K67)^10*(L67+$I$4)*N67/(1+M67)^10+$I$9-$I$10)/$I$11</f>
        <v/>
      </c>
    </row>
    <row r="68">
      <c r="K68" s="25">
        <f>MAX(-0.05,NORMINV(RAND(),$C$6,$D$6))</f>
        <v/>
      </c>
      <c r="L68" s="25">
        <f>MAX(0.02,NORMINV(RAND(),$C$7,$D$7))</f>
        <v/>
      </c>
      <c r="M68" s="25">
        <f>MIN(0.16,MAX(0.05,NORMINV(RAND(),$C$8,$D$8)))</f>
        <v/>
      </c>
      <c r="N68" s="26">
        <f>MIN(24,MAX(5,NORMINV(RAND(),$C$9,$D$9)))</f>
        <v/>
      </c>
      <c r="O68" s="49">
        <f>$I$8*(SUMPRODUCT(($I$2*(1+K68)^{1;2;3;4;5;6;7;8;9;10})*(($I$3+(L68-$I$3)*{1;2;3;4;5;6;7;8;9;10}/10)*(1-$I$7)+$I$4-$I$4*($I$5+(1.05-$I$5)*{1;2;3;4;5;6;7;8;9;10}/10)-(K68/(1+K68))*$I$6)/(1+M68)^{1;2;3;4;5;6;7;8;9;10})+$I$2*(1+K68)^10*(L68+$I$4)*N68/(1+M68)^10+$I$9-$I$10)/$I$11</f>
        <v/>
      </c>
    </row>
    <row r="69">
      <c r="K69" s="25">
        <f>MAX(-0.05,NORMINV(RAND(),$C$6,$D$6))</f>
        <v/>
      </c>
      <c r="L69" s="25">
        <f>MAX(0.02,NORMINV(RAND(),$C$7,$D$7))</f>
        <v/>
      </c>
      <c r="M69" s="25">
        <f>MIN(0.16,MAX(0.05,NORMINV(RAND(),$C$8,$D$8)))</f>
        <v/>
      </c>
      <c r="N69" s="26">
        <f>MIN(24,MAX(5,NORMINV(RAND(),$C$9,$D$9)))</f>
        <v/>
      </c>
      <c r="O69" s="49">
        <f>$I$8*(SUMPRODUCT(($I$2*(1+K69)^{1;2;3;4;5;6;7;8;9;10})*(($I$3+(L69-$I$3)*{1;2;3;4;5;6;7;8;9;10}/10)*(1-$I$7)+$I$4-$I$4*($I$5+(1.05-$I$5)*{1;2;3;4;5;6;7;8;9;10}/10)-(K69/(1+K69))*$I$6)/(1+M69)^{1;2;3;4;5;6;7;8;9;10})+$I$2*(1+K69)^10*(L69+$I$4)*N69/(1+M69)^10+$I$9-$I$10)/$I$11</f>
        <v/>
      </c>
    </row>
    <row r="70">
      <c r="K70" s="25">
        <f>MAX(-0.05,NORMINV(RAND(),$C$6,$D$6))</f>
        <v/>
      </c>
      <c r="L70" s="25">
        <f>MAX(0.02,NORMINV(RAND(),$C$7,$D$7))</f>
        <v/>
      </c>
      <c r="M70" s="25">
        <f>MIN(0.16,MAX(0.05,NORMINV(RAND(),$C$8,$D$8)))</f>
        <v/>
      </c>
      <c r="N70" s="26">
        <f>MIN(24,MAX(5,NORMINV(RAND(),$C$9,$D$9)))</f>
        <v/>
      </c>
      <c r="O70" s="49">
        <f>$I$8*(SUMPRODUCT(($I$2*(1+K70)^{1;2;3;4;5;6;7;8;9;10})*(($I$3+(L70-$I$3)*{1;2;3;4;5;6;7;8;9;10}/10)*(1-$I$7)+$I$4-$I$4*($I$5+(1.05-$I$5)*{1;2;3;4;5;6;7;8;9;10}/10)-(K70/(1+K70))*$I$6)/(1+M70)^{1;2;3;4;5;6;7;8;9;10})+$I$2*(1+K70)^10*(L70+$I$4)*N70/(1+M70)^10+$I$9-$I$10)/$I$11</f>
        <v/>
      </c>
    </row>
    <row r="71">
      <c r="K71" s="25">
        <f>MAX(-0.05,NORMINV(RAND(),$C$6,$D$6))</f>
        <v/>
      </c>
      <c r="L71" s="25">
        <f>MAX(0.02,NORMINV(RAND(),$C$7,$D$7))</f>
        <v/>
      </c>
      <c r="M71" s="25">
        <f>MIN(0.16,MAX(0.05,NORMINV(RAND(),$C$8,$D$8)))</f>
        <v/>
      </c>
      <c r="N71" s="26">
        <f>MIN(24,MAX(5,NORMINV(RAND(),$C$9,$D$9)))</f>
        <v/>
      </c>
      <c r="O71" s="49">
        <f>$I$8*(SUMPRODUCT(($I$2*(1+K71)^{1;2;3;4;5;6;7;8;9;10})*(($I$3+(L71-$I$3)*{1;2;3;4;5;6;7;8;9;10}/10)*(1-$I$7)+$I$4-$I$4*($I$5+(1.05-$I$5)*{1;2;3;4;5;6;7;8;9;10}/10)-(K71/(1+K71))*$I$6)/(1+M71)^{1;2;3;4;5;6;7;8;9;10})+$I$2*(1+K71)^10*(L71+$I$4)*N71/(1+M71)^10+$I$9-$I$10)/$I$11</f>
        <v/>
      </c>
    </row>
    <row r="72">
      <c r="K72" s="25">
        <f>MAX(-0.05,NORMINV(RAND(),$C$6,$D$6))</f>
        <v/>
      </c>
      <c r="L72" s="25">
        <f>MAX(0.02,NORMINV(RAND(),$C$7,$D$7))</f>
        <v/>
      </c>
      <c r="M72" s="25">
        <f>MIN(0.16,MAX(0.05,NORMINV(RAND(),$C$8,$D$8)))</f>
        <v/>
      </c>
      <c r="N72" s="26">
        <f>MIN(24,MAX(5,NORMINV(RAND(),$C$9,$D$9)))</f>
        <v/>
      </c>
      <c r="O72" s="49">
        <f>$I$8*(SUMPRODUCT(($I$2*(1+K72)^{1;2;3;4;5;6;7;8;9;10})*(($I$3+(L72-$I$3)*{1;2;3;4;5;6;7;8;9;10}/10)*(1-$I$7)+$I$4-$I$4*($I$5+(1.05-$I$5)*{1;2;3;4;5;6;7;8;9;10}/10)-(K72/(1+K72))*$I$6)/(1+M72)^{1;2;3;4;5;6;7;8;9;10})+$I$2*(1+K72)^10*(L72+$I$4)*N72/(1+M72)^10+$I$9-$I$10)/$I$11</f>
        <v/>
      </c>
    </row>
    <row r="73">
      <c r="K73" s="25">
        <f>MAX(-0.05,NORMINV(RAND(),$C$6,$D$6))</f>
        <v/>
      </c>
      <c r="L73" s="25">
        <f>MAX(0.02,NORMINV(RAND(),$C$7,$D$7))</f>
        <v/>
      </c>
      <c r="M73" s="25">
        <f>MIN(0.16,MAX(0.05,NORMINV(RAND(),$C$8,$D$8)))</f>
        <v/>
      </c>
      <c r="N73" s="26">
        <f>MIN(24,MAX(5,NORMINV(RAND(),$C$9,$D$9)))</f>
        <v/>
      </c>
      <c r="O73" s="49">
        <f>$I$8*(SUMPRODUCT(($I$2*(1+K73)^{1;2;3;4;5;6;7;8;9;10})*(($I$3+(L73-$I$3)*{1;2;3;4;5;6;7;8;9;10}/10)*(1-$I$7)+$I$4-$I$4*($I$5+(1.05-$I$5)*{1;2;3;4;5;6;7;8;9;10}/10)-(K73/(1+K73))*$I$6)/(1+M73)^{1;2;3;4;5;6;7;8;9;10})+$I$2*(1+K73)^10*(L73+$I$4)*N73/(1+M73)^10+$I$9-$I$10)/$I$11</f>
        <v/>
      </c>
    </row>
    <row r="74">
      <c r="K74" s="25">
        <f>MAX(-0.05,NORMINV(RAND(),$C$6,$D$6))</f>
        <v/>
      </c>
      <c r="L74" s="25">
        <f>MAX(0.02,NORMINV(RAND(),$C$7,$D$7))</f>
        <v/>
      </c>
      <c r="M74" s="25">
        <f>MIN(0.16,MAX(0.05,NORMINV(RAND(),$C$8,$D$8)))</f>
        <v/>
      </c>
      <c r="N74" s="26">
        <f>MIN(24,MAX(5,NORMINV(RAND(),$C$9,$D$9)))</f>
        <v/>
      </c>
      <c r="O74" s="49">
        <f>$I$8*(SUMPRODUCT(($I$2*(1+K74)^{1;2;3;4;5;6;7;8;9;10})*(($I$3+(L74-$I$3)*{1;2;3;4;5;6;7;8;9;10}/10)*(1-$I$7)+$I$4-$I$4*($I$5+(1.05-$I$5)*{1;2;3;4;5;6;7;8;9;10}/10)-(K74/(1+K74))*$I$6)/(1+M74)^{1;2;3;4;5;6;7;8;9;10})+$I$2*(1+K74)^10*(L74+$I$4)*N74/(1+M74)^10+$I$9-$I$10)/$I$11</f>
        <v/>
      </c>
    </row>
    <row r="75">
      <c r="K75" s="25">
        <f>MAX(-0.05,NORMINV(RAND(),$C$6,$D$6))</f>
        <v/>
      </c>
      <c r="L75" s="25">
        <f>MAX(0.02,NORMINV(RAND(),$C$7,$D$7))</f>
        <v/>
      </c>
      <c r="M75" s="25">
        <f>MIN(0.16,MAX(0.05,NORMINV(RAND(),$C$8,$D$8)))</f>
        <v/>
      </c>
      <c r="N75" s="26">
        <f>MIN(24,MAX(5,NORMINV(RAND(),$C$9,$D$9)))</f>
        <v/>
      </c>
      <c r="O75" s="49">
        <f>$I$8*(SUMPRODUCT(($I$2*(1+K75)^{1;2;3;4;5;6;7;8;9;10})*(($I$3+(L75-$I$3)*{1;2;3;4;5;6;7;8;9;10}/10)*(1-$I$7)+$I$4-$I$4*($I$5+(1.05-$I$5)*{1;2;3;4;5;6;7;8;9;10}/10)-(K75/(1+K75))*$I$6)/(1+M75)^{1;2;3;4;5;6;7;8;9;10})+$I$2*(1+K75)^10*(L75+$I$4)*N75/(1+M75)^10+$I$9-$I$10)/$I$11</f>
        <v/>
      </c>
    </row>
    <row r="76">
      <c r="K76" s="25">
        <f>MAX(-0.05,NORMINV(RAND(),$C$6,$D$6))</f>
        <v/>
      </c>
      <c r="L76" s="25">
        <f>MAX(0.02,NORMINV(RAND(),$C$7,$D$7))</f>
        <v/>
      </c>
      <c r="M76" s="25">
        <f>MIN(0.16,MAX(0.05,NORMINV(RAND(),$C$8,$D$8)))</f>
        <v/>
      </c>
      <c r="N76" s="26">
        <f>MIN(24,MAX(5,NORMINV(RAND(),$C$9,$D$9)))</f>
        <v/>
      </c>
      <c r="O76" s="49">
        <f>$I$8*(SUMPRODUCT(($I$2*(1+K76)^{1;2;3;4;5;6;7;8;9;10})*(($I$3+(L76-$I$3)*{1;2;3;4;5;6;7;8;9;10}/10)*(1-$I$7)+$I$4-$I$4*($I$5+(1.05-$I$5)*{1;2;3;4;5;6;7;8;9;10}/10)-(K76/(1+K76))*$I$6)/(1+M76)^{1;2;3;4;5;6;7;8;9;10})+$I$2*(1+K76)^10*(L76+$I$4)*N76/(1+M76)^10+$I$9-$I$10)/$I$11</f>
        <v/>
      </c>
    </row>
    <row r="77">
      <c r="K77" s="25">
        <f>MAX(-0.05,NORMINV(RAND(),$C$6,$D$6))</f>
        <v/>
      </c>
      <c r="L77" s="25">
        <f>MAX(0.02,NORMINV(RAND(),$C$7,$D$7))</f>
        <v/>
      </c>
      <c r="M77" s="25">
        <f>MIN(0.16,MAX(0.05,NORMINV(RAND(),$C$8,$D$8)))</f>
        <v/>
      </c>
      <c r="N77" s="26">
        <f>MIN(24,MAX(5,NORMINV(RAND(),$C$9,$D$9)))</f>
        <v/>
      </c>
      <c r="O77" s="49">
        <f>$I$8*(SUMPRODUCT(($I$2*(1+K77)^{1;2;3;4;5;6;7;8;9;10})*(($I$3+(L77-$I$3)*{1;2;3;4;5;6;7;8;9;10}/10)*(1-$I$7)+$I$4-$I$4*($I$5+(1.05-$I$5)*{1;2;3;4;5;6;7;8;9;10}/10)-(K77/(1+K77))*$I$6)/(1+M77)^{1;2;3;4;5;6;7;8;9;10})+$I$2*(1+K77)^10*(L77+$I$4)*N77/(1+M77)^10+$I$9-$I$10)/$I$11</f>
        <v/>
      </c>
    </row>
    <row r="78">
      <c r="K78" s="25">
        <f>MAX(-0.05,NORMINV(RAND(),$C$6,$D$6))</f>
        <v/>
      </c>
      <c r="L78" s="25">
        <f>MAX(0.02,NORMINV(RAND(),$C$7,$D$7))</f>
        <v/>
      </c>
      <c r="M78" s="25">
        <f>MIN(0.16,MAX(0.05,NORMINV(RAND(),$C$8,$D$8)))</f>
        <v/>
      </c>
      <c r="N78" s="26">
        <f>MIN(24,MAX(5,NORMINV(RAND(),$C$9,$D$9)))</f>
        <v/>
      </c>
      <c r="O78" s="49">
        <f>$I$8*(SUMPRODUCT(($I$2*(1+K78)^{1;2;3;4;5;6;7;8;9;10})*(($I$3+(L78-$I$3)*{1;2;3;4;5;6;7;8;9;10}/10)*(1-$I$7)+$I$4-$I$4*($I$5+(1.05-$I$5)*{1;2;3;4;5;6;7;8;9;10}/10)-(K78/(1+K78))*$I$6)/(1+M78)^{1;2;3;4;5;6;7;8;9;10})+$I$2*(1+K78)^10*(L78+$I$4)*N78/(1+M78)^10+$I$9-$I$10)/$I$11</f>
        <v/>
      </c>
    </row>
    <row r="79">
      <c r="K79" s="25">
        <f>MAX(-0.05,NORMINV(RAND(),$C$6,$D$6))</f>
        <v/>
      </c>
      <c r="L79" s="25">
        <f>MAX(0.02,NORMINV(RAND(),$C$7,$D$7))</f>
        <v/>
      </c>
      <c r="M79" s="25">
        <f>MIN(0.16,MAX(0.05,NORMINV(RAND(),$C$8,$D$8)))</f>
        <v/>
      </c>
      <c r="N79" s="26">
        <f>MIN(24,MAX(5,NORMINV(RAND(),$C$9,$D$9)))</f>
        <v/>
      </c>
      <c r="O79" s="49">
        <f>$I$8*(SUMPRODUCT(($I$2*(1+K79)^{1;2;3;4;5;6;7;8;9;10})*(($I$3+(L79-$I$3)*{1;2;3;4;5;6;7;8;9;10}/10)*(1-$I$7)+$I$4-$I$4*($I$5+(1.05-$I$5)*{1;2;3;4;5;6;7;8;9;10}/10)-(K79/(1+K79))*$I$6)/(1+M79)^{1;2;3;4;5;6;7;8;9;10})+$I$2*(1+K79)^10*(L79+$I$4)*N79/(1+M79)^10+$I$9-$I$10)/$I$11</f>
        <v/>
      </c>
    </row>
    <row r="80">
      <c r="K80" s="25">
        <f>MAX(-0.05,NORMINV(RAND(),$C$6,$D$6))</f>
        <v/>
      </c>
      <c r="L80" s="25">
        <f>MAX(0.02,NORMINV(RAND(),$C$7,$D$7))</f>
        <v/>
      </c>
      <c r="M80" s="25">
        <f>MIN(0.16,MAX(0.05,NORMINV(RAND(),$C$8,$D$8)))</f>
        <v/>
      </c>
      <c r="N80" s="26">
        <f>MIN(24,MAX(5,NORMINV(RAND(),$C$9,$D$9)))</f>
        <v/>
      </c>
      <c r="O80" s="49">
        <f>$I$8*(SUMPRODUCT(($I$2*(1+K80)^{1;2;3;4;5;6;7;8;9;10})*(($I$3+(L80-$I$3)*{1;2;3;4;5;6;7;8;9;10}/10)*(1-$I$7)+$I$4-$I$4*($I$5+(1.05-$I$5)*{1;2;3;4;5;6;7;8;9;10}/10)-(K80/(1+K80))*$I$6)/(1+M80)^{1;2;3;4;5;6;7;8;9;10})+$I$2*(1+K80)^10*(L80+$I$4)*N80/(1+M80)^10+$I$9-$I$10)/$I$11</f>
        <v/>
      </c>
    </row>
    <row r="81">
      <c r="K81" s="25">
        <f>MAX(-0.05,NORMINV(RAND(),$C$6,$D$6))</f>
        <v/>
      </c>
      <c r="L81" s="25">
        <f>MAX(0.02,NORMINV(RAND(),$C$7,$D$7))</f>
        <v/>
      </c>
      <c r="M81" s="25">
        <f>MIN(0.16,MAX(0.05,NORMINV(RAND(),$C$8,$D$8)))</f>
        <v/>
      </c>
      <c r="N81" s="26">
        <f>MIN(24,MAX(5,NORMINV(RAND(),$C$9,$D$9)))</f>
        <v/>
      </c>
      <c r="O81" s="49">
        <f>$I$8*(SUMPRODUCT(($I$2*(1+K81)^{1;2;3;4;5;6;7;8;9;10})*(($I$3+(L81-$I$3)*{1;2;3;4;5;6;7;8;9;10}/10)*(1-$I$7)+$I$4-$I$4*($I$5+(1.05-$I$5)*{1;2;3;4;5;6;7;8;9;10}/10)-(K81/(1+K81))*$I$6)/(1+M81)^{1;2;3;4;5;6;7;8;9;10})+$I$2*(1+K81)^10*(L81+$I$4)*N81/(1+M81)^10+$I$9-$I$10)/$I$11</f>
        <v/>
      </c>
    </row>
    <row r="82">
      <c r="K82" s="25">
        <f>MAX(-0.05,NORMINV(RAND(),$C$6,$D$6))</f>
        <v/>
      </c>
      <c r="L82" s="25">
        <f>MAX(0.02,NORMINV(RAND(),$C$7,$D$7))</f>
        <v/>
      </c>
      <c r="M82" s="25">
        <f>MIN(0.16,MAX(0.05,NORMINV(RAND(),$C$8,$D$8)))</f>
        <v/>
      </c>
      <c r="N82" s="26">
        <f>MIN(24,MAX(5,NORMINV(RAND(),$C$9,$D$9)))</f>
        <v/>
      </c>
      <c r="O82" s="49">
        <f>$I$8*(SUMPRODUCT(($I$2*(1+K82)^{1;2;3;4;5;6;7;8;9;10})*(($I$3+(L82-$I$3)*{1;2;3;4;5;6;7;8;9;10}/10)*(1-$I$7)+$I$4-$I$4*($I$5+(1.05-$I$5)*{1;2;3;4;5;6;7;8;9;10}/10)-(K82/(1+K82))*$I$6)/(1+M82)^{1;2;3;4;5;6;7;8;9;10})+$I$2*(1+K82)^10*(L82+$I$4)*N82/(1+M82)^10+$I$9-$I$10)/$I$11</f>
        <v/>
      </c>
    </row>
    <row r="83">
      <c r="K83" s="25">
        <f>MAX(-0.05,NORMINV(RAND(),$C$6,$D$6))</f>
        <v/>
      </c>
      <c r="L83" s="25">
        <f>MAX(0.02,NORMINV(RAND(),$C$7,$D$7))</f>
        <v/>
      </c>
      <c r="M83" s="25">
        <f>MIN(0.16,MAX(0.05,NORMINV(RAND(),$C$8,$D$8)))</f>
        <v/>
      </c>
      <c r="N83" s="26">
        <f>MIN(24,MAX(5,NORMINV(RAND(),$C$9,$D$9)))</f>
        <v/>
      </c>
      <c r="O83" s="49">
        <f>$I$8*(SUMPRODUCT(($I$2*(1+K83)^{1;2;3;4;5;6;7;8;9;10})*(($I$3+(L83-$I$3)*{1;2;3;4;5;6;7;8;9;10}/10)*(1-$I$7)+$I$4-$I$4*($I$5+(1.05-$I$5)*{1;2;3;4;5;6;7;8;9;10}/10)-(K83/(1+K83))*$I$6)/(1+M83)^{1;2;3;4;5;6;7;8;9;10})+$I$2*(1+K83)^10*(L83+$I$4)*N83/(1+M83)^10+$I$9-$I$10)/$I$11</f>
        <v/>
      </c>
    </row>
    <row r="84">
      <c r="K84" s="25">
        <f>MAX(-0.05,NORMINV(RAND(),$C$6,$D$6))</f>
        <v/>
      </c>
      <c r="L84" s="25">
        <f>MAX(0.02,NORMINV(RAND(),$C$7,$D$7))</f>
        <v/>
      </c>
      <c r="M84" s="25">
        <f>MIN(0.16,MAX(0.05,NORMINV(RAND(),$C$8,$D$8)))</f>
        <v/>
      </c>
      <c r="N84" s="26">
        <f>MIN(24,MAX(5,NORMINV(RAND(),$C$9,$D$9)))</f>
        <v/>
      </c>
      <c r="O84" s="49">
        <f>$I$8*(SUMPRODUCT(($I$2*(1+K84)^{1;2;3;4;5;6;7;8;9;10})*(($I$3+(L84-$I$3)*{1;2;3;4;5;6;7;8;9;10}/10)*(1-$I$7)+$I$4-$I$4*($I$5+(1.05-$I$5)*{1;2;3;4;5;6;7;8;9;10}/10)-(K84/(1+K84))*$I$6)/(1+M84)^{1;2;3;4;5;6;7;8;9;10})+$I$2*(1+K84)^10*(L84+$I$4)*N84/(1+M84)^10+$I$9-$I$10)/$I$11</f>
        <v/>
      </c>
    </row>
    <row r="85">
      <c r="K85" s="25">
        <f>MAX(-0.05,NORMINV(RAND(),$C$6,$D$6))</f>
        <v/>
      </c>
      <c r="L85" s="25">
        <f>MAX(0.02,NORMINV(RAND(),$C$7,$D$7))</f>
        <v/>
      </c>
      <c r="M85" s="25">
        <f>MIN(0.16,MAX(0.05,NORMINV(RAND(),$C$8,$D$8)))</f>
        <v/>
      </c>
      <c r="N85" s="26">
        <f>MIN(24,MAX(5,NORMINV(RAND(),$C$9,$D$9)))</f>
        <v/>
      </c>
      <c r="O85" s="49">
        <f>$I$8*(SUMPRODUCT(($I$2*(1+K85)^{1;2;3;4;5;6;7;8;9;10})*(($I$3+(L85-$I$3)*{1;2;3;4;5;6;7;8;9;10}/10)*(1-$I$7)+$I$4-$I$4*($I$5+(1.05-$I$5)*{1;2;3;4;5;6;7;8;9;10}/10)-(K85/(1+K85))*$I$6)/(1+M85)^{1;2;3;4;5;6;7;8;9;10})+$I$2*(1+K85)^10*(L85+$I$4)*N85/(1+M85)^10+$I$9-$I$10)/$I$11</f>
        <v/>
      </c>
    </row>
    <row r="86">
      <c r="K86" s="25">
        <f>MAX(-0.05,NORMINV(RAND(),$C$6,$D$6))</f>
        <v/>
      </c>
      <c r="L86" s="25">
        <f>MAX(0.02,NORMINV(RAND(),$C$7,$D$7))</f>
        <v/>
      </c>
      <c r="M86" s="25">
        <f>MIN(0.16,MAX(0.05,NORMINV(RAND(),$C$8,$D$8)))</f>
        <v/>
      </c>
      <c r="N86" s="26">
        <f>MIN(24,MAX(5,NORMINV(RAND(),$C$9,$D$9)))</f>
        <v/>
      </c>
      <c r="O86" s="49">
        <f>$I$8*(SUMPRODUCT(($I$2*(1+K86)^{1;2;3;4;5;6;7;8;9;10})*(($I$3+(L86-$I$3)*{1;2;3;4;5;6;7;8;9;10}/10)*(1-$I$7)+$I$4-$I$4*($I$5+(1.05-$I$5)*{1;2;3;4;5;6;7;8;9;10}/10)-(K86/(1+K86))*$I$6)/(1+M86)^{1;2;3;4;5;6;7;8;9;10})+$I$2*(1+K86)^10*(L86+$I$4)*N86/(1+M86)^10+$I$9-$I$10)/$I$11</f>
        <v/>
      </c>
    </row>
    <row r="87">
      <c r="K87" s="25">
        <f>MAX(-0.05,NORMINV(RAND(),$C$6,$D$6))</f>
        <v/>
      </c>
      <c r="L87" s="25">
        <f>MAX(0.02,NORMINV(RAND(),$C$7,$D$7))</f>
        <v/>
      </c>
      <c r="M87" s="25">
        <f>MIN(0.16,MAX(0.05,NORMINV(RAND(),$C$8,$D$8)))</f>
        <v/>
      </c>
      <c r="N87" s="26">
        <f>MIN(24,MAX(5,NORMINV(RAND(),$C$9,$D$9)))</f>
        <v/>
      </c>
      <c r="O87" s="49">
        <f>$I$8*(SUMPRODUCT(($I$2*(1+K87)^{1;2;3;4;5;6;7;8;9;10})*(($I$3+(L87-$I$3)*{1;2;3;4;5;6;7;8;9;10}/10)*(1-$I$7)+$I$4-$I$4*($I$5+(1.05-$I$5)*{1;2;3;4;5;6;7;8;9;10}/10)-(K87/(1+K87))*$I$6)/(1+M87)^{1;2;3;4;5;6;7;8;9;10})+$I$2*(1+K87)^10*(L87+$I$4)*N87/(1+M87)^10+$I$9-$I$10)/$I$11</f>
        <v/>
      </c>
    </row>
    <row r="88">
      <c r="K88" s="25">
        <f>MAX(-0.05,NORMINV(RAND(),$C$6,$D$6))</f>
        <v/>
      </c>
      <c r="L88" s="25">
        <f>MAX(0.02,NORMINV(RAND(),$C$7,$D$7))</f>
        <v/>
      </c>
      <c r="M88" s="25">
        <f>MIN(0.16,MAX(0.05,NORMINV(RAND(),$C$8,$D$8)))</f>
        <v/>
      </c>
      <c r="N88" s="26">
        <f>MIN(24,MAX(5,NORMINV(RAND(),$C$9,$D$9)))</f>
        <v/>
      </c>
      <c r="O88" s="49">
        <f>$I$8*(SUMPRODUCT(($I$2*(1+K88)^{1;2;3;4;5;6;7;8;9;10})*(($I$3+(L88-$I$3)*{1;2;3;4;5;6;7;8;9;10}/10)*(1-$I$7)+$I$4-$I$4*($I$5+(1.05-$I$5)*{1;2;3;4;5;6;7;8;9;10}/10)-(K88/(1+K88))*$I$6)/(1+M88)^{1;2;3;4;5;6;7;8;9;10})+$I$2*(1+K88)^10*(L88+$I$4)*N88/(1+M88)^10+$I$9-$I$10)/$I$11</f>
        <v/>
      </c>
    </row>
    <row r="89">
      <c r="K89" s="25">
        <f>MAX(-0.05,NORMINV(RAND(),$C$6,$D$6))</f>
        <v/>
      </c>
      <c r="L89" s="25">
        <f>MAX(0.02,NORMINV(RAND(),$C$7,$D$7))</f>
        <v/>
      </c>
      <c r="M89" s="25">
        <f>MIN(0.16,MAX(0.05,NORMINV(RAND(),$C$8,$D$8)))</f>
        <v/>
      </c>
      <c r="N89" s="26">
        <f>MIN(24,MAX(5,NORMINV(RAND(),$C$9,$D$9)))</f>
        <v/>
      </c>
      <c r="O89" s="49">
        <f>$I$8*(SUMPRODUCT(($I$2*(1+K89)^{1;2;3;4;5;6;7;8;9;10})*(($I$3+(L89-$I$3)*{1;2;3;4;5;6;7;8;9;10}/10)*(1-$I$7)+$I$4-$I$4*($I$5+(1.05-$I$5)*{1;2;3;4;5;6;7;8;9;10}/10)-(K89/(1+K89))*$I$6)/(1+M89)^{1;2;3;4;5;6;7;8;9;10})+$I$2*(1+K89)^10*(L89+$I$4)*N89/(1+M89)^10+$I$9-$I$10)/$I$11</f>
        <v/>
      </c>
    </row>
    <row r="90">
      <c r="K90" s="25">
        <f>MAX(-0.05,NORMINV(RAND(),$C$6,$D$6))</f>
        <v/>
      </c>
      <c r="L90" s="25">
        <f>MAX(0.02,NORMINV(RAND(),$C$7,$D$7))</f>
        <v/>
      </c>
      <c r="M90" s="25">
        <f>MIN(0.16,MAX(0.05,NORMINV(RAND(),$C$8,$D$8)))</f>
        <v/>
      </c>
      <c r="N90" s="26">
        <f>MIN(24,MAX(5,NORMINV(RAND(),$C$9,$D$9)))</f>
        <v/>
      </c>
      <c r="O90" s="49">
        <f>$I$8*(SUMPRODUCT(($I$2*(1+K90)^{1;2;3;4;5;6;7;8;9;10})*(($I$3+(L90-$I$3)*{1;2;3;4;5;6;7;8;9;10}/10)*(1-$I$7)+$I$4-$I$4*($I$5+(1.05-$I$5)*{1;2;3;4;5;6;7;8;9;10}/10)-(K90/(1+K90))*$I$6)/(1+M90)^{1;2;3;4;5;6;7;8;9;10})+$I$2*(1+K90)^10*(L90+$I$4)*N90/(1+M90)^10+$I$9-$I$10)/$I$11</f>
        <v/>
      </c>
    </row>
    <row r="91">
      <c r="K91" s="25">
        <f>MAX(-0.05,NORMINV(RAND(),$C$6,$D$6))</f>
        <v/>
      </c>
      <c r="L91" s="25">
        <f>MAX(0.02,NORMINV(RAND(),$C$7,$D$7))</f>
        <v/>
      </c>
      <c r="M91" s="25">
        <f>MIN(0.16,MAX(0.05,NORMINV(RAND(),$C$8,$D$8)))</f>
        <v/>
      </c>
      <c r="N91" s="26">
        <f>MIN(24,MAX(5,NORMINV(RAND(),$C$9,$D$9)))</f>
        <v/>
      </c>
      <c r="O91" s="49">
        <f>$I$8*(SUMPRODUCT(($I$2*(1+K91)^{1;2;3;4;5;6;7;8;9;10})*(($I$3+(L91-$I$3)*{1;2;3;4;5;6;7;8;9;10}/10)*(1-$I$7)+$I$4-$I$4*($I$5+(1.05-$I$5)*{1;2;3;4;5;6;7;8;9;10}/10)-(K91/(1+K91))*$I$6)/(1+M91)^{1;2;3;4;5;6;7;8;9;10})+$I$2*(1+K91)^10*(L91+$I$4)*N91/(1+M91)^10+$I$9-$I$10)/$I$11</f>
        <v/>
      </c>
    </row>
    <row r="92">
      <c r="K92" s="25">
        <f>MAX(-0.05,NORMINV(RAND(),$C$6,$D$6))</f>
        <v/>
      </c>
      <c r="L92" s="25">
        <f>MAX(0.02,NORMINV(RAND(),$C$7,$D$7))</f>
        <v/>
      </c>
      <c r="M92" s="25">
        <f>MIN(0.16,MAX(0.05,NORMINV(RAND(),$C$8,$D$8)))</f>
        <v/>
      </c>
      <c r="N92" s="26">
        <f>MIN(24,MAX(5,NORMINV(RAND(),$C$9,$D$9)))</f>
        <v/>
      </c>
      <c r="O92" s="49">
        <f>$I$8*(SUMPRODUCT(($I$2*(1+K92)^{1;2;3;4;5;6;7;8;9;10})*(($I$3+(L92-$I$3)*{1;2;3;4;5;6;7;8;9;10}/10)*(1-$I$7)+$I$4-$I$4*($I$5+(1.05-$I$5)*{1;2;3;4;5;6;7;8;9;10}/10)-(K92/(1+K92))*$I$6)/(1+M92)^{1;2;3;4;5;6;7;8;9;10})+$I$2*(1+K92)^10*(L92+$I$4)*N92/(1+M92)^10+$I$9-$I$10)/$I$11</f>
        <v/>
      </c>
    </row>
    <row r="93">
      <c r="K93" s="25">
        <f>MAX(-0.05,NORMINV(RAND(),$C$6,$D$6))</f>
        <v/>
      </c>
      <c r="L93" s="25">
        <f>MAX(0.02,NORMINV(RAND(),$C$7,$D$7))</f>
        <v/>
      </c>
      <c r="M93" s="25">
        <f>MIN(0.16,MAX(0.05,NORMINV(RAND(),$C$8,$D$8)))</f>
        <v/>
      </c>
      <c r="N93" s="26">
        <f>MIN(24,MAX(5,NORMINV(RAND(),$C$9,$D$9)))</f>
        <v/>
      </c>
      <c r="O93" s="49">
        <f>$I$8*(SUMPRODUCT(($I$2*(1+K93)^{1;2;3;4;5;6;7;8;9;10})*(($I$3+(L93-$I$3)*{1;2;3;4;5;6;7;8;9;10}/10)*(1-$I$7)+$I$4-$I$4*($I$5+(1.05-$I$5)*{1;2;3;4;5;6;7;8;9;10}/10)-(K93/(1+K93))*$I$6)/(1+M93)^{1;2;3;4;5;6;7;8;9;10})+$I$2*(1+K93)^10*(L93+$I$4)*N93/(1+M93)^10+$I$9-$I$10)/$I$11</f>
        <v/>
      </c>
    </row>
    <row r="94">
      <c r="K94" s="25">
        <f>MAX(-0.05,NORMINV(RAND(),$C$6,$D$6))</f>
        <v/>
      </c>
      <c r="L94" s="25">
        <f>MAX(0.02,NORMINV(RAND(),$C$7,$D$7))</f>
        <v/>
      </c>
      <c r="M94" s="25">
        <f>MIN(0.16,MAX(0.05,NORMINV(RAND(),$C$8,$D$8)))</f>
        <v/>
      </c>
      <c r="N94" s="26">
        <f>MIN(24,MAX(5,NORMINV(RAND(),$C$9,$D$9)))</f>
        <v/>
      </c>
      <c r="O94" s="49">
        <f>$I$8*(SUMPRODUCT(($I$2*(1+K94)^{1;2;3;4;5;6;7;8;9;10})*(($I$3+(L94-$I$3)*{1;2;3;4;5;6;7;8;9;10}/10)*(1-$I$7)+$I$4-$I$4*($I$5+(1.05-$I$5)*{1;2;3;4;5;6;7;8;9;10}/10)-(K94/(1+K94))*$I$6)/(1+M94)^{1;2;3;4;5;6;7;8;9;10})+$I$2*(1+K94)^10*(L94+$I$4)*N94/(1+M94)^10+$I$9-$I$10)/$I$11</f>
        <v/>
      </c>
    </row>
    <row r="95">
      <c r="K95" s="25">
        <f>MAX(-0.05,NORMINV(RAND(),$C$6,$D$6))</f>
        <v/>
      </c>
      <c r="L95" s="25">
        <f>MAX(0.02,NORMINV(RAND(),$C$7,$D$7))</f>
        <v/>
      </c>
      <c r="M95" s="25">
        <f>MIN(0.16,MAX(0.05,NORMINV(RAND(),$C$8,$D$8)))</f>
        <v/>
      </c>
      <c r="N95" s="26">
        <f>MIN(24,MAX(5,NORMINV(RAND(),$C$9,$D$9)))</f>
        <v/>
      </c>
      <c r="O95" s="49">
        <f>$I$8*(SUMPRODUCT(($I$2*(1+K95)^{1;2;3;4;5;6;7;8;9;10})*(($I$3+(L95-$I$3)*{1;2;3;4;5;6;7;8;9;10}/10)*(1-$I$7)+$I$4-$I$4*($I$5+(1.05-$I$5)*{1;2;3;4;5;6;7;8;9;10}/10)-(K95/(1+K95))*$I$6)/(1+M95)^{1;2;3;4;5;6;7;8;9;10})+$I$2*(1+K95)^10*(L95+$I$4)*N95/(1+M95)^10+$I$9-$I$10)/$I$11</f>
        <v/>
      </c>
    </row>
    <row r="96">
      <c r="K96" s="25">
        <f>MAX(-0.05,NORMINV(RAND(),$C$6,$D$6))</f>
        <v/>
      </c>
      <c r="L96" s="25">
        <f>MAX(0.02,NORMINV(RAND(),$C$7,$D$7))</f>
        <v/>
      </c>
      <c r="M96" s="25">
        <f>MIN(0.16,MAX(0.05,NORMINV(RAND(),$C$8,$D$8)))</f>
        <v/>
      </c>
      <c r="N96" s="26">
        <f>MIN(24,MAX(5,NORMINV(RAND(),$C$9,$D$9)))</f>
        <v/>
      </c>
      <c r="O96" s="49">
        <f>$I$8*(SUMPRODUCT(($I$2*(1+K96)^{1;2;3;4;5;6;7;8;9;10})*(($I$3+(L96-$I$3)*{1;2;3;4;5;6;7;8;9;10}/10)*(1-$I$7)+$I$4-$I$4*($I$5+(1.05-$I$5)*{1;2;3;4;5;6;7;8;9;10}/10)-(K96/(1+K96))*$I$6)/(1+M96)^{1;2;3;4;5;6;7;8;9;10})+$I$2*(1+K96)^10*(L96+$I$4)*N96/(1+M96)^10+$I$9-$I$10)/$I$11</f>
        <v/>
      </c>
    </row>
    <row r="97">
      <c r="K97" s="25">
        <f>MAX(-0.05,NORMINV(RAND(),$C$6,$D$6))</f>
        <v/>
      </c>
      <c r="L97" s="25">
        <f>MAX(0.02,NORMINV(RAND(),$C$7,$D$7))</f>
        <v/>
      </c>
      <c r="M97" s="25">
        <f>MIN(0.16,MAX(0.05,NORMINV(RAND(),$C$8,$D$8)))</f>
        <v/>
      </c>
      <c r="N97" s="26">
        <f>MIN(24,MAX(5,NORMINV(RAND(),$C$9,$D$9)))</f>
        <v/>
      </c>
      <c r="O97" s="49">
        <f>$I$8*(SUMPRODUCT(($I$2*(1+K97)^{1;2;3;4;5;6;7;8;9;10})*(($I$3+(L97-$I$3)*{1;2;3;4;5;6;7;8;9;10}/10)*(1-$I$7)+$I$4-$I$4*($I$5+(1.05-$I$5)*{1;2;3;4;5;6;7;8;9;10}/10)-(K97/(1+K97))*$I$6)/(1+M97)^{1;2;3;4;5;6;7;8;9;10})+$I$2*(1+K97)^10*(L97+$I$4)*N97/(1+M97)^10+$I$9-$I$10)/$I$11</f>
        <v/>
      </c>
    </row>
    <row r="98">
      <c r="K98" s="25">
        <f>MAX(-0.05,NORMINV(RAND(),$C$6,$D$6))</f>
        <v/>
      </c>
      <c r="L98" s="25">
        <f>MAX(0.02,NORMINV(RAND(),$C$7,$D$7))</f>
        <v/>
      </c>
      <c r="M98" s="25">
        <f>MIN(0.16,MAX(0.05,NORMINV(RAND(),$C$8,$D$8)))</f>
        <v/>
      </c>
      <c r="N98" s="26">
        <f>MIN(24,MAX(5,NORMINV(RAND(),$C$9,$D$9)))</f>
        <v/>
      </c>
      <c r="O98" s="49">
        <f>$I$8*(SUMPRODUCT(($I$2*(1+K98)^{1;2;3;4;5;6;7;8;9;10})*(($I$3+(L98-$I$3)*{1;2;3;4;5;6;7;8;9;10}/10)*(1-$I$7)+$I$4-$I$4*($I$5+(1.05-$I$5)*{1;2;3;4;5;6;7;8;9;10}/10)-(K98/(1+K98))*$I$6)/(1+M98)^{1;2;3;4;5;6;7;8;9;10})+$I$2*(1+K98)^10*(L98+$I$4)*N98/(1+M98)^10+$I$9-$I$10)/$I$11</f>
        <v/>
      </c>
    </row>
    <row r="99">
      <c r="K99" s="25">
        <f>MAX(-0.05,NORMINV(RAND(),$C$6,$D$6))</f>
        <v/>
      </c>
      <c r="L99" s="25">
        <f>MAX(0.02,NORMINV(RAND(),$C$7,$D$7))</f>
        <v/>
      </c>
      <c r="M99" s="25">
        <f>MIN(0.16,MAX(0.05,NORMINV(RAND(),$C$8,$D$8)))</f>
        <v/>
      </c>
      <c r="N99" s="26">
        <f>MIN(24,MAX(5,NORMINV(RAND(),$C$9,$D$9)))</f>
        <v/>
      </c>
      <c r="O99" s="49">
        <f>$I$8*(SUMPRODUCT(($I$2*(1+K99)^{1;2;3;4;5;6;7;8;9;10})*(($I$3+(L99-$I$3)*{1;2;3;4;5;6;7;8;9;10}/10)*(1-$I$7)+$I$4-$I$4*($I$5+(1.05-$I$5)*{1;2;3;4;5;6;7;8;9;10}/10)-(K99/(1+K99))*$I$6)/(1+M99)^{1;2;3;4;5;6;7;8;9;10})+$I$2*(1+K99)^10*(L99+$I$4)*N99/(1+M99)^10+$I$9-$I$10)/$I$11</f>
        <v/>
      </c>
    </row>
    <row r="100">
      <c r="K100" s="25">
        <f>MAX(-0.05,NORMINV(RAND(),$C$6,$D$6))</f>
        <v/>
      </c>
      <c r="L100" s="25">
        <f>MAX(0.02,NORMINV(RAND(),$C$7,$D$7))</f>
        <v/>
      </c>
      <c r="M100" s="25">
        <f>MIN(0.16,MAX(0.05,NORMINV(RAND(),$C$8,$D$8)))</f>
        <v/>
      </c>
      <c r="N100" s="26">
        <f>MIN(24,MAX(5,NORMINV(RAND(),$C$9,$D$9)))</f>
        <v/>
      </c>
      <c r="O100" s="49">
        <f>$I$8*(SUMPRODUCT(($I$2*(1+K100)^{1;2;3;4;5;6;7;8;9;10})*(($I$3+(L100-$I$3)*{1;2;3;4;5;6;7;8;9;10}/10)*(1-$I$7)+$I$4-$I$4*($I$5+(1.05-$I$5)*{1;2;3;4;5;6;7;8;9;10}/10)-(K100/(1+K100))*$I$6)/(1+M100)^{1;2;3;4;5;6;7;8;9;10})+$I$2*(1+K100)^10*(L100+$I$4)*N100/(1+M100)^10+$I$9-$I$10)/$I$11</f>
        <v/>
      </c>
    </row>
    <row r="101">
      <c r="K101" s="25">
        <f>MAX(-0.05,NORMINV(RAND(),$C$6,$D$6))</f>
        <v/>
      </c>
      <c r="L101" s="25">
        <f>MAX(0.02,NORMINV(RAND(),$C$7,$D$7))</f>
        <v/>
      </c>
      <c r="M101" s="25">
        <f>MIN(0.16,MAX(0.05,NORMINV(RAND(),$C$8,$D$8)))</f>
        <v/>
      </c>
      <c r="N101" s="26">
        <f>MIN(24,MAX(5,NORMINV(RAND(),$C$9,$D$9)))</f>
        <v/>
      </c>
      <c r="O101" s="49">
        <f>$I$8*(SUMPRODUCT(($I$2*(1+K101)^{1;2;3;4;5;6;7;8;9;10})*(($I$3+(L101-$I$3)*{1;2;3;4;5;6;7;8;9;10}/10)*(1-$I$7)+$I$4-$I$4*($I$5+(1.05-$I$5)*{1;2;3;4;5;6;7;8;9;10}/10)-(K101/(1+K101))*$I$6)/(1+M101)^{1;2;3;4;5;6;7;8;9;10})+$I$2*(1+K101)^10*(L101+$I$4)*N101/(1+M101)^10+$I$9-$I$10)/$I$11</f>
        <v/>
      </c>
    </row>
    <row r="102">
      <c r="K102" s="25">
        <f>MAX(-0.05,NORMINV(RAND(),$C$6,$D$6))</f>
        <v/>
      </c>
      <c r="L102" s="25">
        <f>MAX(0.02,NORMINV(RAND(),$C$7,$D$7))</f>
        <v/>
      </c>
      <c r="M102" s="25">
        <f>MIN(0.16,MAX(0.05,NORMINV(RAND(),$C$8,$D$8)))</f>
        <v/>
      </c>
      <c r="N102" s="26">
        <f>MIN(24,MAX(5,NORMINV(RAND(),$C$9,$D$9)))</f>
        <v/>
      </c>
      <c r="O102" s="49">
        <f>$I$8*(SUMPRODUCT(($I$2*(1+K102)^{1;2;3;4;5;6;7;8;9;10})*(($I$3+(L102-$I$3)*{1;2;3;4;5;6;7;8;9;10}/10)*(1-$I$7)+$I$4-$I$4*($I$5+(1.05-$I$5)*{1;2;3;4;5;6;7;8;9;10}/10)-(K102/(1+K102))*$I$6)/(1+M102)^{1;2;3;4;5;6;7;8;9;10})+$I$2*(1+K102)^10*(L102+$I$4)*N102/(1+M102)^10+$I$9-$I$10)/$I$11</f>
        <v/>
      </c>
    </row>
    <row r="103">
      <c r="K103" s="25">
        <f>MAX(-0.05,NORMINV(RAND(),$C$6,$D$6))</f>
        <v/>
      </c>
      <c r="L103" s="25">
        <f>MAX(0.02,NORMINV(RAND(),$C$7,$D$7))</f>
        <v/>
      </c>
      <c r="M103" s="25">
        <f>MIN(0.16,MAX(0.05,NORMINV(RAND(),$C$8,$D$8)))</f>
        <v/>
      </c>
      <c r="N103" s="26">
        <f>MIN(24,MAX(5,NORMINV(RAND(),$C$9,$D$9)))</f>
        <v/>
      </c>
      <c r="O103" s="49">
        <f>$I$8*(SUMPRODUCT(($I$2*(1+K103)^{1;2;3;4;5;6;7;8;9;10})*(($I$3+(L103-$I$3)*{1;2;3;4;5;6;7;8;9;10}/10)*(1-$I$7)+$I$4-$I$4*($I$5+(1.05-$I$5)*{1;2;3;4;5;6;7;8;9;10}/10)-(K103/(1+K103))*$I$6)/(1+M103)^{1;2;3;4;5;6;7;8;9;10})+$I$2*(1+K103)^10*(L103+$I$4)*N103/(1+M103)^10+$I$9-$I$10)/$I$11</f>
        <v/>
      </c>
    </row>
    <row r="104">
      <c r="K104" s="25">
        <f>MAX(-0.05,NORMINV(RAND(),$C$6,$D$6))</f>
        <v/>
      </c>
      <c r="L104" s="25">
        <f>MAX(0.02,NORMINV(RAND(),$C$7,$D$7))</f>
        <v/>
      </c>
      <c r="M104" s="25">
        <f>MIN(0.16,MAX(0.05,NORMINV(RAND(),$C$8,$D$8)))</f>
        <v/>
      </c>
      <c r="N104" s="26">
        <f>MIN(24,MAX(5,NORMINV(RAND(),$C$9,$D$9)))</f>
        <v/>
      </c>
      <c r="O104" s="49">
        <f>$I$8*(SUMPRODUCT(($I$2*(1+K104)^{1;2;3;4;5;6;7;8;9;10})*(($I$3+(L104-$I$3)*{1;2;3;4;5;6;7;8;9;10}/10)*(1-$I$7)+$I$4-$I$4*($I$5+(1.05-$I$5)*{1;2;3;4;5;6;7;8;9;10}/10)-(K104/(1+K104))*$I$6)/(1+M104)^{1;2;3;4;5;6;7;8;9;10})+$I$2*(1+K104)^10*(L104+$I$4)*N104/(1+M104)^10+$I$9-$I$10)/$I$11</f>
        <v/>
      </c>
    </row>
    <row r="105">
      <c r="K105" s="25">
        <f>MAX(-0.05,NORMINV(RAND(),$C$6,$D$6))</f>
        <v/>
      </c>
      <c r="L105" s="25">
        <f>MAX(0.02,NORMINV(RAND(),$C$7,$D$7))</f>
        <v/>
      </c>
      <c r="M105" s="25">
        <f>MIN(0.16,MAX(0.05,NORMINV(RAND(),$C$8,$D$8)))</f>
        <v/>
      </c>
      <c r="N105" s="26">
        <f>MIN(24,MAX(5,NORMINV(RAND(),$C$9,$D$9)))</f>
        <v/>
      </c>
      <c r="O105" s="49">
        <f>$I$8*(SUMPRODUCT(($I$2*(1+K105)^{1;2;3;4;5;6;7;8;9;10})*(($I$3+(L105-$I$3)*{1;2;3;4;5;6;7;8;9;10}/10)*(1-$I$7)+$I$4-$I$4*($I$5+(1.05-$I$5)*{1;2;3;4;5;6;7;8;9;10}/10)-(K105/(1+K105))*$I$6)/(1+M105)^{1;2;3;4;5;6;7;8;9;10})+$I$2*(1+K105)^10*(L105+$I$4)*N105/(1+M105)^10+$I$9-$I$10)/$I$11</f>
        <v/>
      </c>
    </row>
    <row r="106">
      <c r="K106" s="25">
        <f>MAX(-0.05,NORMINV(RAND(),$C$6,$D$6))</f>
        <v/>
      </c>
      <c r="L106" s="25">
        <f>MAX(0.02,NORMINV(RAND(),$C$7,$D$7))</f>
        <v/>
      </c>
      <c r="M106" s="25">
        <f>MIN(0.16,MAX(0.05,NORMINV(RAND(),$C$8,$D$8)))</f>
        <v/>
      </c>
      <c r="N106" s="26">
        <f>MIN(24,MAX(5,NORMINV(RAND(),$C$9,$D$9)))</f>
        <v/>
      </c>
      <c r="O106" s="49">
        <f>$I$8*(SUMPRODUCT(($I$2*(1+K106)^{1;2;3;4;5;6;7;8;9;10})*(($I$3+(L106-$I$3)*{1;2;3;4;5;6;7;8;9;10}/10)*(1-$I$7)+$I$4-$I$4*($I$5+(1.05-$I$5)*{1;2;3;4;5;6;7;8;9;10}/10)-(K106/(1+K106))*$I$6)/(1+M106)^{1;2;3;4;5;6;7;8;9;10})+$I$2*(1+K106)^10*(L106+$I$4)*N106/(1+M106)^10+$I$9-$I$10)/$I$11</f>
        <v/>
      </c>
    </row>
    <row r="107">
      <c r="K107" s="25">
        <f>MAX(-0.05,NORMINV(RAND(),$C$6,$D$6))</f>
        <v/>
      </c>
      <c r="L107" s="25">
        <f>MAX(0.02,NORMINV(RAND(),$C$7,$D$7))</f>
        <v/>
      </c>
      <c r="M107" s="25">
        <f>MIN(0.16,MAX(0.05,NORMINV(RAND(),$C$8,$D$8)))</f>
        <v/>
      </c>
      <c r="N107" s="26">
        <f>MIN(24,MAX(5,NORMINV(RAND(),$C$9,$D$9)))</f>
        <v/>
      </c>
      <c r="O107" s="49">
        <f>$I$8*(SUMPRODUCT(($I$2*(1+K107)^{1;2;3;4;5;6;7;8;9;10})*(($I$3+(L107-$I$3)*{1;2;3;4;5;6;7;8;9;10}/10)*(1-$I$7)+$I$4-$I$4*($I$5+(1.05-$I$5)*{1;2;3;4;5;6;7;8;9;10}/10)-(K107/(1+K107))*$I$6)/(1+M107)^{1;2;3;4;5;6;7;8;9;10})+$I$2*(1+K107)^10*(L107+$I$4)*N107/(1+M107)^10+$I$9-$I$10)/$I$11</f>
        <v/>
      </c>
    </row>
    <row r="108">
      <c r="K108" s="25">
        <f>MAX(-0.05,NORMINV(RAND(),$C$6,$D$6))</f>
        <v/>
      </c>
      <c r="L108" s="25">
        <f>MAX(0.02,NORMINV(RAND(),$C$7,$D$7))</f>
        <v/>
      </c>
      <c r="M108" s="25">
        <f>MIN(0.16,MAX(0.05,NORMINV(RAND(),$C$8,$D$8)))</f>
        <v/>
      </c>
      <c r="N108" s="26">
        <f>MIN(24,MAX(5,NORMINV(RAND(),$C$9,$D$9)))</f>
        <v/>
      </c>
      <c r="O108" s="49">
        <f>$I$8*(SUMPRODUCT(($I$2*(1+K108)^{1;2;3;4;5;6;7;8;9;10})*(($I$3+(L108-$I$3)*{1;2;3;4;5;6;7;8;9;10}/10)*(1-$I$7)+$I$4-$I$4*($I$5+(1.05-$I$5)*{1;2;3;4;5;6;7;8;9;10}/10)-(K108/(1+K108))*$I$6)/(1+M108)^{1;2;3;4;5;6;7;8;9;10})+$I$2*(1+K108)^10*(L108+$I$4)*N108/(1+M108)^10+$I$9-$I$10)/$I$11</f>
        <v/>
      </c>
    </row>
    <row r="109">
      <c r="K109" s="25">
        <f>MAX(-0.05,NORMINV(RAND(),$C$6,$D$6))</f>
        <v/>
      </c>
      <c r="L109" s="25">
        <f>MAX(0.02,NORMINV(RAND(),$C$7,$D$7))</f>
        <v/>
      </c>
      <c r="M109" s="25">
        <f>MIN(0.16,MAX(0.05,NORMINV(RAND(),$C$8,$D$8)))</f>
        <v/>
      </c>
      <c r="N109" s="26">
        <f>MIN(24,MAX(5,NORMINV(RAND(),$C$9,$D$9)))</f>
        <v/>
      </c>
      <c r="O109" s="49">
        <f>$I$8*(SUMPRODUCT(($I$2*(1+K109)^{1;2;3;4;5;6;7;8;9;10})*(($I$3+(L109-$I$3)*{1;2;3;4;5;6;7;8;9;10}/10)*(1-$I$7)+$I$4-$I$4*($I$5+(1.05-$I$5)*{1;2;3;4;5;6;7;8;9;10}/10)-(K109/(1+K109))*$I$6)/(1+M109)^{1;2;3;4;5;6;7;8;9;10})+$I$2*(1+K109)^10*(L109+$I$4)*N109/(1+M109)^10+$I$9-$I$10)/$I$11</f>
        <v/>
      </c>
    </row>
    <row r="110">
      <c r="K110" s="25">
        <f>MAX(-0.05,NORMINV(RAND(),$C$6,$D$6))</f>
        <v/>
      </c>
      <c r="L110" s="25">
        <f>MAX(0.02,NORMINV(RAND(),$C$7,$D$7))</f>
        <v/>
      </c>
      <c r="M110" s="25">
        <f>MIN(0.16,MAX(0.05,NORMINV(RAND(),$C$8,$D$8)))</f>
        <v/>
      </c>
      <c r="N110" s="26">
        <f>MIN(24,MAX(5,NORMINV(RAND(),$C$9,$D$9)))</f>
        <v/>
      </c>
      <c r="O110" s="49">
        <f>$I$8*(SUMPRODUCT(($I$2*(1+K110)^{1;2;3;4;5;6;7;8;9;10})*(($I$3+(L110-$I$3)*{1;2;3;4;5;6;7;8;9;10}/10)*(1-$I$7)+$I$4-$I$4*($I$5+(1.05-$I$5)*{1;2;3;4;5;6;7;8;9;10}/10)-(K110/(1+K110))*$I$6)/(1+M110)^{1;2;3;4;5;6;7;8;9;10})+$I$2*(1+K110)^10*(L110+$I$4)*N110/(1+M110)^10+$I$9-$I$10)/$I$11</f>
        <v/>
      </c>
    </row>
    <row r="111">
      <c r="K111" s="25">
        <f>MAX(-0.05,NORMINV(RAND(),$C$6,$D$6))</f>
        <v/>
      </c>
      <c r="L111" s="25">
        <f>MAX(0.02,NORMINV(RAND(),$C$7,$D$7))</f>
        <v/>
      </c>
      <c r="M111" s="25">
        <f>MIN(0.16,MAX(0.05,NORMINV(RAND(),$C$8,$D$8)))</f>
        <v/>
      </c>
      <c r="N111" s="26">
        <f>MIN(24,MAX(5,NORMINV(RAND(),$C$9,$D$9)))</f>
        <v/>
      </c>
      <c r="O111" s="49">
        <f>$I$8*(SUMPRODUCT(($I$2*(1+K111)^{1;2;3;4;5;6;7;8;9;10})*(($I$3+(L111-$I$3)*{1;2;3;4;5;6;7;8;9;10}/10)*(1-$I$7)+$I$4-$I$4*($I$5+(1.05-$I$5)*{1;2;3;4;5;6;7;8;9;10}/10)-(K111/(1+K111))*$I$6)/(1+M111)^{1;2;3;4;5;6;7;8;9;10})+$I$2*(1+K111)^10*(L111+$I$4)*N111/(1+M111)^10+$I$9-$I$10)/$I$11</f>
        <v/>
      </c>
    </row>
    <row r="112">
      <c r="K112" s="25">
        <f>MAX(-0.05,NORMINV(RAND(),$C$6,$D$6))</f>
        <v/>
      </c>
      <c r="L112" s="25">
        <f>MAX(0.02,NORMINV(RAND(),$C$7,$D$7))</f>
        <v/>
      </c>
      <c r="M112" s="25">
        <f>MIN(0.16,MAX(0.05,NORMINV(RAND(),$C$8,$D$8)))</f>
        <v/>
      </c>
      <c r="N112" s="26">
        <f>MIN(24,MAX(5,NORMINV(RAND(),$C$9,$D$9)))</f>
        <v/>
      </c>
      <c r="O112" s="49">
        <f>$I$8*(SUMPRODUCT(($I$2*(1+K112)^{1;2;3;4;5;6;7;8;9;10})*(($I$3+(L112-$I$3)*{1;2;3;4;5;6;7;8;9;10}/10)*(1-$I$7)+$I$4-$I$4*($I$5+(1.05-$I$5)*{1;2;3;4;5;6;7;8;9;10}/10)-(K112/(1+K112))*$I$6)/(1+M112)^{1;2;3;4;5;6;7;8;9;10})+$I$2*(1+K112)^10*(L112+$I$4)*N112/(1+M112)^10+$I$9-$I$10)/$I$11</f>
        <v/>
      </c>
    </row>
    <row r="113">
      <c r="K113" s="25">
        <f>MAX(-0.05,NORMINV(RAND(),$C$6,$D$6))</f>
        <v/>
      </c>
      <c r="L113" s="25">
        <f>MAX(0.02,NORMINV(RAND(),$C$7,$D$7))</f>
        <v/>
      </c>
      <c r="M113" s="25">
        <f>MIN(0.16,MAX(0.05,NORMINV(RAND(),$C$8,$D$8)))</f>
        <v/>
      </c>
      <c r="N113" s="26">
        <f>MIN(24,MAX(5,NORMINV(RAND(),$C$9,$D$9)))</f>
        <v/>
      </c>
      <c r="O113" s="49">
        <f>$I$8*(SUMPRODUCT(($I$2*(1+K113)^{1;2;3;4;5;6;7;8;9;10})*(($I$3+(L113-$I$3)*{1;2;3;4;5;6;7;8;9;10}/10)*(1-$I$7)+$I$4-$I$4*($I$5+(1.05-$I$5)*{1;2;3;4;5;6;7;8;9;10}/10)-(K113/(1+K113))*$I$6)/(1+M113)^{1;2;3;4;5;6;7;8;9;10})+$I$2*(1+K113)^10*(L113+$I$4)*N113/(1+M113)^10+$I$9-$I$10)/$I$11</f>
        <v/>
      </c>
    </row>
    <row r="114">
      <c r="K114" s="25">
        <f>MAX(-0.05,NORMINV(RAND(),$C$6,$D$6))</f>
        <v/>
      </c>
      <c r="L114" s="25">
        <f>MAX(0.02,NORMINV(RAND(),$C$7,$D$7))</f>
        <v/>
      </c>
      <c r="M114" s="25">
        <f>MIN(0.16,MAX(0.05,NORMINV(RAND(),$C$8,$D$8)))</f>
        <v/>
      </c>
      <c r="N114" s="26">
        <f>MIN(24,MAX(5,NORMINV(RAND(),$C$9,$D$9)))</f>
        <v/>
      </c>
      <c r="O114" s="49">
        <f>$I$8*(SUMPRODUCT(($I$2*(1+K114)^{1;2;3;4;5;6;7;8;9;10})*(($I$3+(L114-$I$3)*{1;2;3;4;5;6;7;8;9;10}/10)*(1-$I$7)+$I$4-$I$4*($I$5+(1.05-$I$5)*{1;2;3;4;5;6;7;8;9;10}/10)-(K114/(1+K114))*$I$6)/(1+M114)^{1;2;3;4;5;6;7;8;9;10})+$I$2*(1+K114)^10*(L114+$I$4)*N114/(1+M114)^10+$I$9-$I$10)/$I$11</f>
        <v/>
      </c>
    </row>
    <row r="115">
      <c r="K115" s="25">
        <f>MAX(-0.05,NORMINV(RAND(),$C$6,$D$6))</f>
        <v/>
      </c>
      <c r="L115" s="25">
        <f>MAX(0.02,NORMINV(RAND(),$C$7,$D$7))</f>
        <v/>
      </c>
      <c r="M115" s="25">
        <f>MIN(0.16,MAX(0.05,NORMINV(RAND(),$C$8,$D$8)))</f>
        <v/>
      </c>
      <c r="N115" s="26">
        <f>MIN(24,MAX(5,NORMINV(RAND(),$C$9,$D$9)))</f>
        <v/>
      </c>
      <c r="O115" s="49">
        <f>$I$8*(SUMPRODUCT(($I$2*(1+K115)^{1;2;3;4;5;6;7;8;9;10})*(($I$3+(L115-$I$3)*{1;2;3;4;5;6;7;8;9;10}/10)*(1-$I$7)+$I$4-$I$4*($I$5+(1.05-$I$5)*{1;2;3;4;5;6;7;8;9;10}/10)-(K115/(1+K115))*$I$6)/(1+M115)^{1;2;3;4;5;6;7;8;9;10})+$I$2*(1+K115)^10*(L115+$I$4)*N115/(1+M115)^10+$I$9-$I$10)/$I$11</f>
        <v/>
      </c>
    </row>
    <row r="116">
      <c r="K116" s="25">
        <f>MAX(-0.05,NORMINV(RAND(),$C$6,$D$6))</f>
        <v/>
      </c>
      <c r="L116" s="25">
        <f>MAX(0.02,NORMINV(RAND(),$C$7,$D$7))</f>
        <v/>
      </c>
      <c r="M116" s="25">
        <f>MIN(0.16,MAX(0.05,NORMINV(RAND(),$C$8,$D$8)))</f>
        <v/>
      </c>
      <c r="N116" s="26">
        <f>MIN(24,MAX(5,NORMINV(RAND(),$C$9,$D$9)))</f>
        <v/>
      </c>
      <c r="O116" s="49">
        <f>$I$8*(SUMPRODUCT(($I$2*(1+K116)^{1;2;3;4;5;6;7;8;9;10})*(($I$3+(L116-$I$3)*{1;2;3;4;5;6;7;8;9;10}/10)*(1-$I$7)+$I$4-$I$4*($I$5+(1.05-$I$5)*{1;2;3;4;5;6;7;8;9;10}/10)-(K116/(1+K116))*$I$6)/(1+M116)^{1;2;3;4;5;6;7;8;9;10})+$I$2*(1+K116)^10*(L116+$I$4)*N116/(1+M116)^10+$I$9-$I$10)/$I$11</f>
        <v/>
      </c>
    </row>
    <row r="117">
      <c r="K117" s="25">
        <f>MAX(-0.05,NORMINV(RAND(),$C$6,$D$6))</f>
        <v/>
      </c>
      <c r="L117" s="25">
        <f>MAX(0.02,NORMINV(RAND(),$C$7,$D$7))</f>
        <v/>
      </c>
      <c r="M117" s="25">
        <f>MIN(0.16,MAX(0.05,NORMINV(RAND(),$C$8,$D$8)))</f>
        <v/>
      </c>
      <c r="N117" s="26">
        <f>MIN(24,MAX(5,NORMINV(RAND(),$C$9,$D$9)))</f>
        <v/>
      </c>
      <c r="O117" s="49">
        <f>$I$8*(SUMPRODUCT(($I$2*(1+K117)^{1;2;3;4;5;6;7;8;9;10})*(($I$3+(L117-$I$3)*{1;2;3;4;5;6;7;8;9;10}/10)*(1-$I$7)+$I$4-$I$4*($I$5+(1.05-$I$5)*{1;2;3;4;5;6;7;8;9;10}/10)-(K117/(1+K117))*$I$6)/(1+M117)^{1;2;3;4;5;6;7;8;9;10})+$I$2*(1+K117)^10*(L117+$I$4)*N117/(1+M117)^10+$I$9-$I$10)/$I$11</f>
        <v/>
      </c>
    </row>
    <row r="118">
      <c r="K118" s="25">
        <f>MAX(-0.05,NORMINV(RAND(),$C$6,$D$6))</f>
        <v/>
      </c>
      <c r="L118" s="25">
        <f>MAX(0.02,NORMINV(RAND(),$C$7,$D$7))</f>
        <v/>
      </c>
      <c r="M118" s="25">
        <f>MIN(0.16,MAX(0.05,NORMINV(RAND(),$C$8,$D$8)))</f>
        <v/>
      </c>
      <c r="N118" s="26">
        <f>MIN(24,MAX(5,NORMINV(RAND(),$C$9,$D$9)))</f>
        <v/>
      </c>
      <c r="O118" s="49">
        <f>$I$8*(SUMPRODUCT(($I$2*(1+K118)^{1;2;3;4;5;6;7;8;9;10})*(($I$3+(L118-$I$3)*{1;2;3;4;5;6;7;8;9;10}/10)*(1-$I$7)+$I$4-$I$4*($I$5+(1.05-$I$5)*{1;2;3;4;5;6;7;8;9;10}/10)-(K118/(1+K118))*$I$6)/(1+M118)^{1;2;3;4;5;6;7;8;9;10})+$I$2*(1+K118)^10*(L118+$I$4)*N118/(1+M118)^10+$I$9-$I$10)/$I$11</f>
        <v/>
      </c>
    </row>
    <row r="119">
      <c r="K119" s="25">
        <f>MAX(-0.05,NORMINV(RAND(),$C$6,$D$6))</f>
        <v/>
      </c>
      <c r="L119" s="25">
        <f>MAX(0.02,NORMINV(RAND(),$C$7,$D$7))</f>
        <v/>
      </c>
      <c r="M119" s="25">
        <f>MIN(0.16,MAX(0.05,NORMINV(RAND(),$C$8,$D$8)))</f>
        <v/>
      </c>
      <c r="N119" s="26">
        <f>MIN(24,MAX(5,NORMINV(RAND(),$C$9,$D$9)))</f>
        <v/>
      </c>
      <c r="O119" s="49">
        <f>$I$8*(SUMPRODUCT(($I$2*(1+K119)^{1;2;3;4;5;6;7;8;9;10})*(($I$3+(L119-$I$3)*{1;2;3;4;5;6;7;8;9;10}/10)*(1-$I$7)+$I$4-$I$4*($I$5+(1.05-$I$5)*{1;2;3;4;5;6;7;8;9;10}/10)-(K119/(1+K119))*$I$6)/(1+M119)^{1;2;3;4;5;6;7;8;9;10})+$I$2*(1+K119)^10*(L119+$I$4)*N119/(1+M119)^10+$I$9-$I$10)/$I$11</f>
        <v/>
      </c>
    </row>
    <row r="120">
      <c r="K120" s="25">
        <f>MAX(-0.05,NORMINV(RAND(),$C$6,$D$6))</f>
        <v/>
      </c>
      <c r="L120" s="25">
        <f>MAX(0.02,NORMINV(RAND(),$C$7,$D$7))</f>
        <v/>
      </c>
      <c r="M120" s="25">
        <f>MIN(0.16,MAX(0.05,NORMINV(RAND(),$C$8,$D$8)))</f>
        <v/>
      </c>
      <c r="N120" s="26">
        <f>MIN(24,MAX(5,NORMINV(RAND(),$C$9,$D$9)))</f>
        <v/>
      </c>
      <c r="O120" s="49">
        <f>$I$8*(SUMPRODUCT(($I$2*(1+K120)^{1;2;3;4;5;6;7;8;9;10})*(($I$3+(L120-$I$3)*{1;2;3;4;5;6;7;8;9;10}/10)*(1-$I$7)+$I$4-$I$4*($I$5+(1.05-$I$5)*{1;2;3;4;5;6;7;8;9;10}/10)-(K120/(1+K120))*$I$6)/(1+M120)^{1;2;3;4;5;6;7;8;9;10})+$I$2*(1+K120)^10*(L120+$I$4)*N120/(1+M120)^10+$I$9-$I$10)/$I$11</f>
        <v/>
      </c>
    </row>
    <row r="121">
      <c r="K121" s="25">
        <f>MAX(-0.05,NORMINV(RAND(),$C$6,$D$6))</f>
        <v/>
      </c>
      <c r="L121" s="25">
        <f>MAX(0.02,NORMINV(RAND(),$C$7,$D$7))</f>
        <v/>
      </c>
      <c r="M121" s="25">
        <f>MIN(0.16,MAX(0.05,NORMINV(RAND(),$C$8,$D$8)))</f>
        <v/>
      </c>
      <c r="N121" s="26">
        <f>MIN(24,MAX(5,NORMINV(RAND(),$C$9,$D$9)))</f>
        <v/>
      </c>
      <c r="O121" s="49">
        <f>$I$8*(SUMPRODUCT(($I$2*(1+K121)^{1;2;3;4;5;6;7;8;9;10})*(($I$3+(L121-$I$3)*{1;2;3;4;5;6;7;8;9;10}/10)*(1-$I$7)+$I$4-$I$4*($I$5+(1.05-$I$5)*{1;2;3;4;5;6;7;8;9;10}/10)-(K121/(1+K121))*$I$6)/(1+M121)^{1;2;3;4;5;6;7;8;9;10})+$I$2*(1+K121)^10*(L121+$I$4)*N121/(1+M121)^10+$I$9-$I$10)/$I$11</f>
        <v/>
      </c>
    </row>
    <row r="122">
      <c r="K122" s="25">
        <f>MAX(-0.05,NORMINV(RAND(),$C$6,$D$6))</f>
        <v/>
      </c>
      <c r="L122" s="25">
        <f>MAX(0.02,NORMINV(RAND(),$C$7,$D$7))</f>
        <v/>
      </c>
      <c r="M122" s="25">
        <f>MIN(0.16,MAX(0.05,NORMINV(RAND(),$C$8,$D$8)))</f>
        <v/>
      </c>
      <c r="N122" s="26">
        <f>MIN(24,MAX(5,NORMINV(RAND(),$C$9,$D$9)))</f>
        <v/>
      </c>
      <c r="O122" s="49">
        <f>$I$8*(SUMPRODUCT(($I$2*(1+K122)^{1;2;3;4;5;6;7;8;9;10})*(($I$3+(L122-$I$3)*{1;2;3;4;5;6;7;8;9;10}/10)*(1-$I$7)+$I$4-$I$4*($I$5+(1.05-$I$5)*{1;2;3;4;5;6;7;8;9;10}/10)-(K122/(1+K122))*$I$6)/(1+M122)^{1;2;3;4;5;6;7;8;9;10})+$I$2*(1+K122)^10*(L122+$I$4)*N122/(1+M122)^10+$I$9-$I$10)/$I$11</f>
        <v/>
      </c>
    </row>
    <row r="123">
      <c r="K123" s="25">
        <f>MAX(-0.05,NORMINV(RAND(),$C$6,$D$6))</f>
        <v/>
      </c>
      <c r="L123" s="25">
        <f>MAX(0.02,NORMINV(RAND(),$C$7,$D$7))</f>
        <v/>
      </c>
      <c r="M123" s="25">
        <f>MIN(0.16,MAX(0.05,NORMINV(RAND(),$C$8,$D$8)))</f>
        <v/>
      </c>
      <c r="N123" s="26">
        <f>MIN(24,MAX(5,NORMINV(RAND(),$C$9,$D$9)))</f>
        <v/>
      </c>
      <c r="O123" s="49">
        <f>$I$8*(SUMPRODUCT(($I$2*(1+K123)^{1;2;3;4;5;6;7;8;9;10})*(($I$3+(L123-$I$3)*{1;2;3;4;5;6;7;8;9;10}/10)*(1-$I$7)+$I$4-$I$4*($I$5+(1.05-$I$5)*{1;2;3;4;5;6;7;8;9;10}/10)-(K123/(1+K123))*$I$6)/(1+M123)^{1;2;3;4;5;6;7;8;9;10})+$I$2*(1+K123)^10*(L123+$I$4)*N123/(1+M123)^10+$I$9-$I$10)/$I$11</f>
        <v/>
      </c>
    </row>
    <row r="124">
      <c r="K124" s="25">
        <f>MAX(-0.05,NORMINV(RAND(),$C$6,$D$6))</f>
        <v/>
      </c>
      <c r="L124" s="25">
        <f>MAX(0.02,NORMINV(RAND(),$C$7,$D$7))</f>
        <v/>
      </c>
      <c r="M124" s="25">
        <f>MIN(0.16,MAX(0.05,NORMINV(RAND(),$C$8,$D$8)))</f>
        <v/>
      </c>
      <c r="N124" s="26">
        <f>MIN(24,MAX(5,NORMINV(RAND(),$C$9,$D$9)))</f>
        <v/>
      </c>
      <c r="O124" s="49">
        <f>$I$8*(SUMPRODUCT(($I$2*(1+K124)^{1;2;3;4;5;6;7;8;9;10})*(($I$3+(L124-$I$3)*{1;2;3;4;5;6;7;8;9;10}/10)*(1-$I$7)+$I$4-$I$4*($I$5+(1.05-$I$5)*{1;2;3;4;5;6;7;8;9;10}/10)-(K124/(1+K124))*$I$6)/(1+M124)^{1;2;3;4;5;6;7;8;9;10})+$I$2*(1+K124)^10*(L124+$I$4)*N124/(1+M124)^10+$I$9-$I$10)/$I$11</f>
        <v/>
      </c>
    </row>
    <row r="125">
      <c r="K125" s="25">
        <f>MAX(-0.05,NORMINV(RAND(),$C$6,$D$6))</f>
        <v/>
      </c>
      <c r="L125" s="25">
        <f>MAX(0.02,NORMINV(RAND(),$C$7,$D$7))</f>
        <v/>
      </c>
      <c r="M125" s="25">
        <f>MIN(0.16,MAX(0.05,NORMINV(RAND(),$C$8,$D$8)))</f>
        <v/>
      </c>
      <c r="N125" s="26">
        <f>MIN(24,MAX(5,NORMINV(RAND(),$C$9,$D$9)))</f>
        <v/>
      </c>
      <c r="O125" s="49">
        <f>$I$8*(SUMPRODUCT(($I$2*(1+K125)^{1;2;3;4;5;6;7;8;9;10})*(($I$3+(L125-$I$3)*{1;2;3;4;5;6;7;8;9;10}/10)*(1-$I$7)+$I$4-$I$4*($I$5+(1.05-$I$5)*{1;2;3;4;5;6;7;8;9;10}/10)-(K125/(1+K125))*$I$6)/(1+M125)^{1;2;3;4;5;6;7;8;9;10})+$I$2*(1+K125)^10*(L125+$I$4)*N125/(1+M125)^10+$I$9-$I$10)/$I$11</f>
        <v/>
      </c>
    </row>
    <row r="126">
      <c r="K126" s="25">
        <f>MAX(-0.05,NORMINV(RAND(),$C$6,$D$6))</f>
        <v/>
      </c>
      <c r="L126" s="25">
        <f>MAX(0.02,NORMINV(RAND(),$C$7,$D$7))</f>
        <v/>
      </c>
      <c r="M126" s="25">
        <f>MIN(0.16,MAX(0.05,NORMINV(RAND(),$C$8,$D$8)))</f>
        <v/>
      </c>
      <c r="N126" s="26">
        <f>MIN(24,MAX(5,NORMINV(RAND(),$C$9,$D$9)))</f>
        <v/>
      </c>
      <c r="O126" s="49">
        <f>$I$8*(SUMPRODUCT(($I$2*(1+K126)^{1;2;3;4;5;6;7;8;9;10})*(($I$3+(L126-$I$3)*{1;2;3;4;5;6;7;8;9;10}/10)*(1-$I$7)+$I$4-$I$4*($I$5+(1.05-$I$5)*{1;2;3;4;5;6;7;8;9;10}/10)-(K126/(1+K126))*$I$6)/(1+M126)^{1;2;3;4;5;6;7;8;9;10})+$I$2*(1+K126)^10*(L126+$I$4)*N126/(1+M126)^10+$I$9-$I$10)/$I$11</f>
        <v/>
      </c>
    </row>
    <row r="127">
      <c r="K127" s="25">
        <f>MAX(-0.05,NORMINV(RAND(),$C$6,$D$6))</f>
        <v/>
      </c>
      <c r="L127" s="25">
        <f>MAX(0.02,NORMINV(RAND(),$C$7,$D$7))</f>
        <v/>
      </c>
      <c r="M127" s="25">
        <f>MIN(0.16,MAX(0.05,NORMINV(RAND(),$C$8,$D$8)))</f>
        <v/>
      </c>
      <c r="N127" s="26">
        <f>MIN(24,MAX(5,NORMINV(RAND(),$C$9,$D$9)))</f>
        <v/>
      </c>
      <c r="O127" s="49">
        <f>$I$8*(SUMPRODUCT(($I$2*(1+K127)^{1;2;3;4;5;6;7;8;9;10})*(($I$3+(L127-$I$3)*{1;2;3;4;5;6;7;8;9;10}/10)*(1-$I$7)+$I$4-$I$4*($I$5+(1.05-$I$5)*{1;2;3;4;5;6;7;8;9;10}/10)-(K127/(1+K127))*$I$6)/(1+M127)^{1;2;3;4;5;6;7;8;9;10})+$I$2*(1+K127)^10*(L127+$I$4)*N127/(1+M127)^10+$I$9-$I$10)/$I$11</f>
        <v/>
      </c>
    </row>
    <row r="128">
      <c r="K128" s="25">
        <f>MAX(-0.05,NORMINV(RAND(),$C$6,$D$6))</f>
        <v/>
      </c>
      <c r="L128" s="25">
        <f>MAX(0.02,NORMINV(RAND(),$C$7,$D$7))</f>
        <v/>
      </c>
      <c r="M128" s="25">
        <f>MIN(0.16,MAX(0.05,NORMINV(RAND(),$C$8,$D$8)))</f>
        <v/>
      </c>
      <c r="N128" s="26">
        <f>MIN(24,MAX(5,NORMINV(RAND(),$C$9,$D$9)))</f>
        <v/>
      </c>
      <c r="O128" s="49">
        <f>$I$8*(SUMPRODUCT(($I$2*(1+K128)^{1;2;3;4;5;6;7;8;9;10})*(($I$3+(L128-$I$3)*{1;2;3;4;5;6;7;8;9;10}/10)*(1-$I$7)+$I$4-$I$4*($I$5+(1.05-$I$5)*{1;2;3;4;5;6;7;8;9;10}/10)-(K128/(1+K128))*$I$6)/(1+M128)^{1;2;3;4;5;6;7;8;9;10})+$I$2*(1+K128)^10*(L128+$I$4)*N128/(1+M128)^10+$I$9-$I$10)/$I$11</f>
        <v/>
      </c>
    </row>
    <row r="129">
      <c r="K129" s="25">
        <f>MAX(-0.05,NORMINV(RAND(),$C$6,$D$6))</f>
        <v/>
      </c>
      <c r="L129" s="25">
        <f>MAX(0.02,NORMINV(RAND(),$C$7,$D$7))</f>
        <v/>
      </c>
      <c r="M129" s="25">
        <f>MIN(0.16,MAX(0.05,NORMINV(RAND(),$C$8,$D$8)))</f>
        <v/>
      </c>
      <c r="N129" s="26">
        <f>MIN(24,MAX(5,NORMINV(RAND(),$C$9,$D$9)))</f>
        <v/>
      </c>
      <c r="O129" s="49">
        <f>$I$8*(SUMPRODUCT(($I$2*(1+K129)^{1;2;3;4;5;6;7;8;9;10})*(($I$3+(L129-$I$3)*{1;2;3;4;5;6;7;8;9;10}/10)*(1-$I$7)+$I$4-$I$4*($I$5+(1.05-$I$5)*{1;2;3;4;5;6;7;8;9;10}/10)-(K129/(1+K129))*$I$6)/(1+M129)^{1;2;3;4;5;6;7;8;9;10})+$I$2*(1+K129)^10*(L129+$I$4)*N129/(1+M129)^10+$I$9-$I$10)/$I$11</f>
        <v/>
      </c>
    </row>
    <row r="130">
      <c r="K130" s="25">
        <f>MAX(-0.05,NORMINV(RAND(),$C$6,$D$6))</f>
        <v/>
      </c>
      <c r="L130" s="25">
        <f>MAX(0.02,NORMINV(RAND(),$C$7,$D$7))</f>
        <v/>
      </c>
      <c r="M130" s="25">
        <f>MIN(0.16,MAX(0.05,NORMINV(RAND(),$C$8,$D$8)))</f>
        <v/>
      </c>
      <c r="N130" s="26">
        <f>MIN(24,MAX(5,NORMINV(RAND(),$C$9,$D$9)))</f>
        <v/>
      </c>
      <c r="O130" s="49">
        <f>$I$8*(SUMPRODUCT(($I$2*(1+K130)^{1;2;3;4;5;6;7;8;9;10})*(($I$3+(L130-$I$3)*{1;2;3;4;5;6;7;8;9;10}/10)*(1-$I$7)+$I$4-$I$4*($I$5+(1.05-$I$5)*{1;2;3;4;5;6;7;8;9;10}/10)-(K130/(1+K130))*$I$6)/(1+M130)^{1;2;3;4;5;6;7;8;9;10})+$I$2*(1+K130)^10*(L130+$I$4)*N130/(1+M130)^10+$I$9-$I$10)/$I$11</f>
        <v/>
      </c>
    </row>
    <row r="131">
      <c r="K131" s="25">
        <f>MAX(-0.05,NORMINV(RAND(),$C$6,$D$6))</f>
        <v/>
      </c>
      <c r="L131" s="25">
        <f>MAX(0.02,NORMINV(RAND(),$C$7,$D$7))</f>
        <v/>
      </c>
      <c r="M131" s="25">
        <f>MIN(0.16,MAX(0.05,NORMINV(RAND(),$C$8,$D$8)))</f>
        <v/>
      </c>
      <c r="N131" s="26">
        <f>MIN(24,MAX(5,NORMINV(RAND(),$C$9,$D$9)))</f>
        <v/>
      </c>
      <c r="O131" s="49">
        <f>$I$8*(SUMPRODUCT(($I$2*(1+K131)^{1;2;3;4;5;6;7;8;9;10})*(($I$3+(L131-$I$3)*{1;2;3;4;5;6;7;8;9;10}/10)*(1-$I$7)+$I$4-$I$4*($I$5+(1.05-$I$5)*{1;2;3;4;5;6;7;8;9;10}/10)-(K131/(1+K131))*$I$6)/(1+M131)^{1;2;3;4;5;6;7;8;9;10})+$I$2*(1+K131)^10*(L131+$I$4)*N131/(1+M131)^10+$I$9-$I$10)/$I$11</f>
        <v/>
      </c>
    </row>
    <row r="132">
      <c r="K132" s="25">
        <f>MAX(-0.05,NORMINV(RAND(),$C$6,$D$6))</f>
        <v/>
      </c>
      <c r="L132" s="25">
        <f>MAX(0.02,NORMINV(RAND(),$C$7,$D$7))</f>
        <v/>
      </c>
      <c r="M132" s="25">
        <f>MIN(0.16,MAX(0.05,NORMINV(RAND(),$C$8,$D$8)))</f>
        <v/>
      </c>
      <c r="N132" s="26">
        <f>MIN(24,MAX(5,NORMINV(RAND(),$C$9,$D$9)))</f>
        <v/>
      </c>
      <c r="O132" s="49">
        <f>$I$8*(SUMPRODUCT(($I$2*(1+K132)^{1;2;3;4;5;6;7;8;9;10})*(($I$3+(L132-$I$3)*{1;2;3;4;5;6;7;8;9;10}/10)*(1-$I$7)+$I$4-$I$4*($I$5+(1.05-$I$5)*{1;2;3;4;5;6;7;8;9;10}/10)-(K132/(1+K132))*$I$6)/(1+M132)^{1;2;3;4;5;6;7;8;9;10})+$I$2*(1+K132)^10*(L132+$I$4)*N132/(1+M132)^10+$I$9-$I$10)/$I$11</f>
        <v/>
      </c>
    </row>
    <row r="133">
      <c r="K133" s="25">
        <f>MAX(-0.05,NORMINV(RAND(),$C$6,$D$6))</f>
        <v/>
      </c>
      <c r="L133" s="25">
        <f>MAX(0.02,NORMINV(RAND(),$C$7,$D$7))</f>
        <v/>
      </c>
      <c r="M133" s="25">
        <f>MIN(0.16,MAX(0.05,NORMINV(RAND(),$C$8,$D$8)))</f>
        <v/>
      </c>
      <c r="N133" s="26">
        <f>MIN(24,MAX(5,NORMINV(RAND(),$C$9,$D$9)))</f>
        <v/>
      </c>
      <c r="O133" s="49">
        <f>$I$8*(SUMPRODUCT(($I$2*(1+K133)^{1;2;3;4;5;6;7;8;9;10})*(($I$3+(L133-$I$3)*{1;2;3;4;5;6;7;8;9;10}/10)*(1-$I$7)+$I$4-$I$4*($I$5+(1.05-$I$5)*{1;2;3;4;5;6;7;8;9;10}/10)-(K133/(1+K133))*$I$6)/(1+M133)^{1;2;3;4;5;6;7;8;9;10})+$I$2*(1+K133)^10*(L133+$I$4)*N133/(1+M133)^10+$I$9-$I$10)/$I$11</f>
        <v/>
      </c>
    </row>
    <row r="134">
      <c r="K134" s="25">
        <f>MAX(-0.05,NORMINV(RAND(),$C$6,$D$6))</f>
        <v/>
      </c>
      <c r="L134" s="25">
        <f>MAX(0.02,NORMINV(RAND(),$C$7,$D$7))</f>
        <v/>
      </c>
      <c r="M134" s="25">
        <f>MIN(0.16,MAX(0.05,NORMINV(RAND(),$C$8,$D$8)))</f>
        <v/>
      </c>
      <c r="N134" s="26">
        <f>MIN(24,MAX(5,NORMINV(RAND(),$C$9,$D$9)))</f>
        <v/>
      </c>
      <c r="O134" s="49">
        <f>$I$8*(SUMPRODUCT(($I$2*(1+K134)^{1;2;3;4;5;6;7;8;9;10})*(($I$3+(L134-$I$3)*{1;2;3;4;5;6;7;8;9;10}/10)*(1-$I$7)+$I$4-$I$4*($I$5+(1.05-$I$5)*{1;2;3;4;5;6;7;8;9;10}/10)-(K134/(1+K134))*$I$6)/(1+M134)^{1;2;3;4;5;6;7;8;9;10})+$I$2*(1+K134)^10*(L134+$I$4)*N134/(1+M134)^10+$I$9-$I$10)/$I$11</f>
        <v/>
      </c>
    </row>
    <row r="135">
      <c r="K135" s="25">
        <f>MAX(-0.05,NORMINV(RAND(),$C$6,$D$6))</f>
        <v/>
      </c>
      <c r="L135" s="25">
        <f>MAX(0.02,NORMINV(RAND(),$C$7,$D$7))</f>
        <v/>
      </c>
      <c r="M135" s="25">
        <f>MIN(0.16,MAX(0.05,NORMINV(RAND(),$C$8,$D$8)))</f>
        <v/>
      </c>
      <c r="N135" s="26">
        <f>MIN(24,MAX(5,NORMINV(RAND(),$C$9,$D$9)))</f>
        <v/>
      </c>
      <c r="O135" s="49">
        <f>$I$8*(SUMPRODUCT(($I$2*(1+K135)^{1;2;3;4;5;6;7;8;9;10})*(($I$3+(L135-$I$3)*{1;2;3;4;5;6;7;8;9;10}/10)*(1-$I$7)+$I$4-$I$4*($I$5+(1.05-$I$5)*{1;2;3;4;5;6;7;8;9;10}/10)-(K135/(1+K135))*$I$6)/(1+M135)^{1;2;3;4;5;6;7;8;9;10})+$I$2*(1+K135)^10*(L135+$I$4)*N135/(1+M135)^10+$I$9-$I$10)/$I$11</f>
        <v/>
      </c>
    </row>
    <row r="136">
      <c r="K136" s="25">
        <f>MAX(-0.05,NORMINV(RAND(),$C$6,$D$6))</f>
        <v/>
      </c>
      <c r="L136" s="25">
        <f>MAX(0.02,NORMINV(RAND(),$C$7,$D$7))</f>
        <v/>
      </c>
      <c r="M136" s="25">
        <f>MIN(0.16,MAX(0.05,NORMINV(RAND(),$C$8,$D$8)))</f>
        <v/>
      </c>
      <c r="N136" s="26">
        <f>MIN(24,MAX(5,NORMINV(RAND(),$C$9,$D$9)))</f>
        <v/>
      </c>
      <c r="O136" s="49">
        <f>$I$8*(SUMPRODUCT(($I$2*(1+K136)^{1;2;3;4;5;6;7;8;9;10})*(($I$3+(L136-$I$3)*{1;2;3;4;5;6;7;8;9;10}/10)*(1-$I$7)+$I$4-$I$4*($I$5+(1.05-$I$5)*{1;2;3;4;5;6;7;8;9;10}/10)-(K136/(1+K136))*$I$6)/(1+M136)^{1;2;3;4;5;6;7;8;9;10})+$I$2*(1+K136)^10*(L136+$I$4)*N136/(1+M136)^10+$I$9-$I$10)/$I$11</f>
        <v/>
      </c>
    </row>
    <row r="137">
      <c r="K137" s="25">
        <f>MAX(-0.05,NORMINV(RAND(),$C$6,$D$6))</f>
        <v/>
      </c>
      <c r="L137" s="25">
        <f>MAX(0.02,NORMINV(RAND(),$C$7,$D$7))</f>
        <v/>
      </c>
      <c r="M137" s="25">
        <f>MIN(0.16,MAX(0.05,NORMINV(RAND(),$C$8,$D$8)))</f>
        <v/>
      </c>
      <c r="N137" s="26">
        <f>MIN(24,MAX(5,NORMINV(RAND(),$C$9,$D$9)))</f>
        <v/>
      </c>
      <c r="O137" s="49">
        <f>$I$8*(SUMPRODUCT(($I$2*(1+K137)^{1;2;3;4;5;6;7;8;9;10})*(($I$3+(L137-$I$3)*{1;2;3;4;5;6;7;8;9;10}/10)*(1-$I$7)+$I$4-$I$4*($I$5+(1.05-$I$5)*{1;2;3;4;5;6;7;8;9;10}/10)-(K137/(1+K137))*$I$6)/(1+M137)^{1;2;3;4;5;6;7;8;9;10})+$I$2*(1+K137)^10*(L137+$I$4)*N137/(1+M137)^10+$I$9-$I$10)/$I$11</f>
        <v/>
      </c>
    </row>
    <row r="138">
      <c r="K138" s="25">
        <f>MAX(-0.05,NORMINV(RAND(),$C$6,$D$6))</f>
        <v/>
      </c>
      <c r="L138" s="25">
        <f>MAX(0.02,NORMINV(RAND(),$C$7,$D$7))</f>
        <v/>
      </c>
      <c r="M138" s="25">
        <f>MIN(0.16,MAX(0.05,NORMINV(RAND(),$C$8,$D$8)))</f>
        <v/>
      </c>
      <c r="N138" s="26">
        <f>MIN(24,MAX(5,NORMINV(RAND(),$C$9,$D$9)))</f>
        <v/>
      </c>
      <c r="O138" s="49">
        <f>$I$8*(SUMPRODUCT(($I$2*(1+K138)^{1;2;3;4;5;6;7;8;9;10})*(($I$3+(L138-$I$3)*{1;2;3;4;5;6;7;8;9;10}/10)*(1-$I$7)+$I$4-$I$4*($I$5+(1.05-$I$5)*{1;2;3;4;5;6;7;8;9;10}/10)-(K138/(1+K138))*$I$6)/(1+M138)^{1;2;3;4;5;6;7;8;9;10})+$I$2*(1+K138)^10*(L138+$I$4)*N138/(1+M138)^10+$I$9-$I$10)/$I$11</f>
        <v/>
      </c>
    </row>
    <row r="139">
      <c r="K139" s="25">
        <f>MAX(-0.05,NORMINV(RAND(),$C$6,$D$6))</f>
        <v/>
      </c>
      <c r="L139" s="25">
        <f>MAX(0.02,NORMINV(RAND(),$C$7,$D$7))</f>
        <v/>
      </c>
      <c r="M139" s="25">
        <f>MIN(0.16,MAX(0.05,NORMINV(RAND(),$C$8,$D$8)))</f>
        <v/>
      </c>
      <c r="N139" s="26">
        <f>MIN(24,MAX(5,NORMINV(RAND(),$C$9,$D$9)))</f>
        <v/>
      </c>
      <c r="O139" s="49">
        <f>$I$8*(SUMPRODUCT(($I$2*(1+K139)^{1;2;3;4;5;6;7;8;9;10})*(($I$3+(L139-$I$3)*{1;2;3;4;5;6;7;8;9;10}/10)*(1-$I$7)+$I$4-$I$4*($I$5+(1.05-$I$5)*{1;2;3;4;5;6;7;8;9;10}/10)-(K139/(1+K139))*$I$6)/(1+M139)^{1;2;3;4;5;6;7;8;9;10})+$I$2*(1+K139)^10*(L139+$I$4)*N139/(1+M139)^10+$I$9-$I$10)/$I$11</f>
        <v/>
      </c>
    </row>
    <row r="140">
      <c r="K140" s="25">
        <f>MAX(-0.05,NORMINV(RAND(),$C$6,$D$6))</f>
        <v/>
      </c>
      <c r="L140" s="25">
        <f>MAX(0.02,NORMINV(RAND(),$C$7,$D$7))</f>
        <v/>
      </c>
      <c r="M140" s="25">
        <f>MIN(0.16,MAX(0.05,NORMINV(RAND(),$C$8,$D$8)))</f>
        <v/>
      </c>
      <c r="N140" s="26">
        <f>MIN(24,MAX(5,NORMINV(RAND(),$C$9,$D$9)))</f>
        <v/>
      </c>
      <c r="O140" s="49">
        <f>$I$8*(SUMPRODUCT(($I$2*(1+K140)^{1;2;3;4;5;6;7;8;9;10})*(($I$3+(L140-$I$3)*{1;2;3;4;5;6;7;8;9;10}/10)*(1-$I$7)+$I$4-$I$4*($I$5+(1.05-$I$5)*{1;2;3;4;5;6;7;8;9;10}/10)-(K140/(1+K140))*$I$6)/(1+M140)^{1;2;3;4;5;6;7;8;9;10})+$I$2*(1+K140)^10*(L140+$I$4)*N140/(1+M140)^10+$I$9-$I$10)/$I$11</f>
        <v/>
      </c>
    </row>
    <row r="141">
      <c r="K141" s="25">
        <f>MAX(-0.05,NORMINV(RAND(),$C$6,$D$6))</f>
        <v/>
      </c>
      <c r="L141" s="25">
        <f>MAX(0.02,NORMINV(RAND(),$C$7,$D$7))</f>
        <v/>
      </c>
      <c r="M141" s="25">
        <f>MIN(0.16,MAX(0.05,NORMINV(RAND(),$C$8,$D$8)))</f>
        <v/>
      </c>
      <c r="N141" s="26">
        <f>MIN(24,MAX(5,NORMINV(RAND(),$C$9,$D$9)))</f>
        <v/>
      </c>
      <c r="O141" s="49">
        <f>$I$8*(SUMPRODUCT(($I$2*(1+K141)^{1;2;3;4;5;6;7;8;9;10})*(($I$3+(L141-$I$3)*{1;2;3;4;5;6;7;8;9;10}/10)*(1-$I$7)+$I$4-$I$4*($I$5+(1.05-$I$5)*{1;2;3;4;5;6;7;8;9;10}/10)-(K141/(1+K141))*$I$6)/(1+M141)^{1;2;3;4;5;6;7;8;9;10})+$I$2*(1+K141)^10*(L141+$I$4)*N141/(1+M141)^10+$I$9-$I$10)/$I$11</f>
        <v/>
      </c>
    </row>
    <row r="142">
      <c r="K142" s="25">
        <f>MAX(-0.05,NORMINV(RAND(),$C$6,$D$6))</f>
        <v/>
      </c>
      <c r="L142" s="25">
        <f>MAX(0.02,NORMINV(RAND(),$C$7,$D$7))</f>
        <v/>
      </c>
      <c r="M142" s="25">
        <f>MIN(0.16,MAX(0.05,NORMINV(RAND(),$C$8,$D$8)))</f>
        <v/>
      </c>
      <c r="N142" s="26">
        <f>MIN(24,MAX(5,NORMINV(RAND(),$C$9,$D$9)))</f>
        <v/>
      </c>
      <c r="O142" s="49">
        <f>$I$8*(SUMPRODUCT(($I$2*(1+K142)^{1;2;3;4;5;6;7;8;9;10})*(($I$3+(L142-$I$3)*{1;2;3;4;5;6;7;8;9;10}/10)*(1-$I$7)+$I$4-$I$4*($I$5+(1.05-$I$5)*{1;2;3;4;5;6;7;8;9;10}/10)-(K142/(1+K142))*$I$6)/(1+M142)^{1;2;3;4;5;6;7;8;9;10})+$I$2*(1+K142)^10*(L142+$I$4)*N142/(1+M142)^10+$I$9-$I$10)/$I$11</f>
        <v/>
      </c>
    </row>
    <row r="143">
      <c r="K143" s="25">
        <f>MAX(-0.05,NORMINV(RAND(),$C$6,$D$6))</f>
        <v/>
      </c>
      <c r="L143" s="25">
        <f>MAX(0.02,NORMINV(RAND(),$C$7,$D$7))</f>
        <v/>
      </c>
      <c r="M143" s="25">
        <f>MIN(0.16,MAX(0.05,NORMINV(RAND(),$C$8,$D$8)))</f>
        <v/>
      </c>
      <c r="N143" s="26">
        <f>MIN(24,MAX(5,NORMINV(RAND(),$C$9,$D$9)))</f>
        <v/>
      </c>
      <c r="O143" s="49">
        <f>$I$8*(SUMPRODUCT(($I$2*(1+K143)^{1;2;3;4;5;6;7;8;9;10})*(($I$3+(L143-$I$3)*{1;2;3;4;5;6;7;8;9;10}/10)*(1-$I$7)+$I$4-$I$4*($I$5+(1.05-$I$5)*{1;2;3;4;5;6;7;8;9;10}/10)-(K143/(1+K143))*$I$6)/(1+M143)^{1;2;3;4;5;6;7;8;9;10})+$I$2*(1+K143)^10*(L143+$I$4)*N143/(1+M143)^10+$I$9-$I$10)/$I$11</f>
        <v/>
      </c>
    </row>
    <row r="144">
      <c r="K144" s="25">
        <f>MAX(-0.05,NORMINV(RAND(),$C$6,$D$6))</f>
        <v/>
      </c>
      <c r="L144" s="25">
        <f>MAX(0.02,NORMINV(RAND(),$C$7,$D$7))</f>
        <v/>
      </c>
      <c r="M144" s="25">
        <f>MIN(0.16,MAX(0.05,NORMINV(RAND(),$C$8,$D$8)))</f>
        <v/>
      </c>
      <c r="N144" s="26">
        <f>MIN(24,MAX(5,NORMINV(RAND(),$C$9,$D$9)))</f>
        <v/>
      </c>
      <c r="O144" s="49">
        <f>$I$8*(SUMPRODUCT(($I$2*(1+K144)^{1;2;3;4;5;6;7;8;9;10})*(($I$3+(L144-$I$3)*{1;2;3;4;5;6;7;8;9;10}/10)*(1-$I$7)+$I$4-$I$4*($I$5+(1.05-$I$5)*{1;2;3;4;5;6;7;8;9;10}/10)-(K144/(1+K144))*$I$6)/(1+M144)^{1;2;3;4;5;6;7;8;9;10})+$I$2*(1+K144)^10*(L144+$I$4)*N144/(1+M144)^10+$I$9-$I$10)/$I$11</f>
        <v/>
      </c>
    </row>
    <row r="145">
      <c r="K145" s="25">
        <f>MAX(-0.05,NORMINV(RAND(),$C$6,$D$6))</f>
        <v/>
      </c>
      <c r="L145" s="25">
        <f>MAX(0.02,NORMINV(RAND(),$C$7,$D$7))</f>
        <v/>
      </c>
      <c r="M145" s="25">
        <f>MIN(0.16,MAX(0.05,NORMINV(RAND(),$C$8,$D$8)))</f>
        <v/>
      </c>
      <c r="N145" s="26">
        <f>MIN(24,MAX(5,NORMINV(RAND(),$C$9,$D$9)))</f>
        <v/>
      </c>
      <c r="O145" s="49">
        <f>$I$8*(SUMPRODUCT(($I$2*(1+K145)^{1;2;3;4;5;6;7;8;9;10})*(($I$3+(L145-$I$3)*{1;2;3;4;5;6;7;8;9;10}/10)*(1-$I$7)+$I$4-$I$4*($I$5+(1.05-$I$5)*{1;2;3;4;5;6;7;8;9;10}/10)-(K145/(1+K145))*$I$6)/(1+M145)^{1;2;3;4;5;6;7;8;9;10})+$I$2*(1+K145)^10*(L145+$I$4)*N145/(1+M145)^10+$I$9-$I$10)/$I$11</f>
        <v/>
      </c>
    </row>
    <row r="146">
      <c r="K146" s="25">
        <f>MAX(-0.05,NORMINV(RAND(),$C$6,$D$6))</f>
        <v/>
      </c>
      <c r="L146" s="25">
        <f>MAX(0.02,NORMINV(RAND(),$C$7,$D$7))</f>
        <v/>
      </c>
      <c r="M146" s="25">
        <f>MIN(0.16,MAX(0.05,NORMINV(RAND(),$C$8,$D$8)))</f>
        <v/>
      </c>
      <c r="N146" s="26">
        <f>MIN(24,MAX(5,NORMINV(RAND(),$C$9,$D$9)))</f>
        <v/>
      </c>
      <c r="O146" s="49">
        <f>$I$8*(SUMPRODUCT(($I$2*(1+K146)^{1;2;3;4;5;6;7;8;9;10})*(($I$3+(L146-$I$3)*{1;2;3;4;5;6;7;8;9;10}/10)*(1-$I$7)+$I$4-$I$4*($I$5+(1.05-$I$5)*{1;2;3;4;5;6;7;8;9;10}/10)-(K146/(1+K146))*$I$6)/(1+M146)^{1;2;3;4;5;6;7;8;9;10})+$I$2*(1+K146)^10*(L146+$I$4)*N146/(1+M146)^10+$I$9-$I$10)/$I$11</f>
        <v/>
      </c>
    </row>
    <row r="147">
      <c r="K147" s="25">
        <f>MAX(-0.05,NORMINV(RAND(),$C$6,$D$6))</f>
        <v/>
      </c>
      <c r="L147" s="25">
        <f>MAX(0.02,NORMINV(RAND(),$C$7,$D$7))</f>
        <v/>
      </c>
      <c r="M147" s="25">
        <f>MIN(0.16,MAX(0.05,NORMINV(RAND(),$C$8,$D$8)))</f>
        <v/>
      </c>
      <c r="N147" s="26">
        <f>MIN(24,MAX(5,NORMINV(RAND(),$C$9,$D$9)))</f>
        <v/>
      </c>
      <c r="O147" s="49">
        <f>$I$8*(SUMPRODUCT(($I$2*(1+K147)^{1;2;3;4;5;6;7;8;9;10})*(($I$3+(L147-$I$3)*{1;2;3;4;5;6;7;8;9;10}/10)*(1-$I$7)+$I$4-$I$4*($I$5+(1.05-$I$5)*{1;2;3;4;5;6;7;8;9;10}/10)-(K147/(1+K147))*$I$6)/(1+M147)^{1;2;3;4;5;6;7;8;9;10})+$I$2*(1+K147)^10*(L147+$I$4)*N147/(1+M147)^10+$I$9-$I$10)/$I$11</f>
        <v/>
      </c>
    </row>
    <row r="148">
      <c r="K148" s="25">
        <f>MAX(-0.05,NORMINV(RAND(),$C$6,$D$6))</f>
        <v/>
      </c>
      <c r="L148" s="25">
        <f>MAX(0.02,NORMINV(RAND(),$C$7,$D$7))</f>
        <v/>
      </c>
      <c r="M148" s="25">
        <f>MIN(0.16,MAX(0.05,NORMINV(RAND(),$C$8,$D$8)))</f>
        <v/>
      </c>
      <c r="N148" s="26">
        <f>MIN(24,MAX(5,NORMINV(RAND(),$C$9,$D$9)))</f>
        <v/>
      </c>
      <c r="O148" s="49">
        <f>$I$8*(SUMPRODUCT(($I$2*(1+K148)^{1;2;3;4;5;6;7;8;9;10})*(($I$3+(L148-$I$3)*{1;2;3;4;5;6;7;8;9;10}/10)*(1-$I$7)+$I$4-$I$4*($I$5+(1.05-$I$5)*{1;2;3;4;5;6;7;8;9;10}/10)-(K148/(1+K148))*$I$6)/(1+M148)^{1;2;3;4;5;6;7;8;9;10})+$I$2*(1+K148)^10*(L148+$I$4)*N148/(1+M148)^10+$I$9-$I$10)/$I$11</f>
        <v/>
      </c>
    </row>
    <row r="149">
      <c r="K149" s="25">
        <f>MAX(-0.05,NORMINV(RAND(),$C$6,$D$6))</f>
        <v/>
      </c>
      <c r="L149" s="25">
        <f>MAX(0.02,NORMINV(RAND(),$C$7,$D$7))</f>
        <v/>
      </c>
      <c r="M149" s="25">
        <f>MIN(0.16,MAX(0.05,NORMINV(RAND(),$C$8,$D$8)))</f>
        <v/>
      </c>
      <c r="N149" s="26">
        <f>MIN(24,MAX(5,NORMINV(RAND(),$C$9,$D$9)))</f>
        <v/>
      </c>
      <c r="O149" s="49">
        <f>$I$8*(SUMPRODUCT(($I$2*(1+K149)^{1;2;3;4;5;6;7;8;9;10})*(($I$3+(L149-$I$3)*{1;2;3;4;5;6;7;8;9;10}/10)*(1-$I$7)+$I$4-$I$4*($I$5+(1.05-$I$5)*{1;2;3;4;5;6;7;8;9;10}/10)-(K149/(1+K149))*$I$6)/(1+M149)^{1;2;3;4;5;6;7;8;9;10})+$I$2*(1+K149)^10*(L149+$I$4)*N149/(1+M149)^10+$I$9-$I$10)/$I$11</f>
        <v/>
      </c>
    </row>
    <row r="150">
      <c r="K150" s="25">
        <f>MAX(-0.05,NORMINV(RAND(),$C$6,$D$6))</f>
        <v/>
      </c>
      <c r="L150" s="25">
        <f>MAX(0.02,NORMINV(RAND(),$C$7,$D$7))</f>
        <v/>
      </c>
      <c r="M150" s="25">
        <f>MIN(0.16,MAX(0.05,NORMINV(RAND(),$C$8,$D$8)))</f>
        <v/>
      </c>
      <c r="N150" s="26">
        <f>MIN(24,MAX(5,NORMINV(RAND(),$C$9,$D$9)))</f>
        <v/>
      </c>
      <c r="O150" s="49">
        <f>$I$8*(SUMPRODUCT(($I$2*(1+K150)^{1;2;3;4;5;6;7;8;9;10})*(($I$3+(L150-$I$3)*{1;2;3;4;5;6;7;8;9;10}/10)*(1-$I$7)+$I$4-$I$4*($I$5+(1.05-$I$5)*{1;2;3;4;5;6;7;8;9;10}/10)-(K150/(1+K150))*$I$6)/(1+M150)^{1;2;3;4;5;6;7;8;9;10})+$I$2*(1+K150)^10*(L150+$I$4)*N150/(1+M150)^10+$I$9-$I$10)/$I$11</f>
        <v/>
      </c>
    </row>
    <row r="151">
      <c r="K151" s="25">
        <f>MAX(-0.05,NORMINV(RAND(),$C$6,$D$6))</f>
        <v/>
      </c>
      <c r="L151" s="25">
        <f>MAX(0.02,NORMINV(RAND(),$C$7,$D$7))</f>
        <v/>
      </c>
      <c r="M151" s="25">
        <f>MIN(0.16,MAX(0.05,NORMINV(RAND(),$C$8,$D$8)))</f>
        <v/>
      </c>
      <c r="N151" s="26">
        <f>MIN(24,MAX(5,NORMINV(RAND(),$C$9,$D$9)))</f>
        <v/>
      </c>
      <c r="O151" s="49">
        <f>$I$8*(SUMPRODUCT(($I$2*(1+K151)^{1;2;3;4;5;6;7;8;9;10})*(($I$3+(L151-$I$3)*{1;2;3;4;5;6;7;8;9;10}/10)*(1-$I$7)+$I$4-$I$4*($I$5+(1.05-$I$5)*{1;2;3;4;5;6;7;8;9;10}/10)-(K151/(1+K151))*$I$6)/(1+M151)^{1;2;3;4;5;6;7;8;9;10})+$I$2*(1+K151)^10*(L151+$I$4)*N151/(1+M151)^10+$I$9-$I$10)/$I$11</f>
        <v/>
      </c>
    </row>
    <row r="152">
      <c r="K152" s="25">
        <f>MAX(-0.05,NORMINV(RAND(),$C$6,$D$6))</f>
        <v/>
      </c>
      <c r="L152" s="25">
        <f>MAX(0.02,NORMINV(RAND(),$C$7,$D$7))</f>
        <v/>
      </c>
      <c r="M152" s="25">
        <f>MIN(0.16,MAX(0.05,NORMINV(RAND(),$C$8,$D$8)))</f>
        <v/>
      </c>
      <c r="N152" s="26">
        <f>MIN(24,MAX(5,NORMINV(RAND(),$C$9,$D$9)))</f>
        <v/>
      </c>
      <c r="O152" s="49">
        <f>$I$8*(SUMPRODUCT(($I$2*(1+K152)^{1;2;3;4;5;6;7;8;9;10})*(($I$3+(L152-$I$3)*{1;2;3;4;5;6;7;8;9;10}/10)*(1-$I$7)+$I$4-$I$4*($I$5+(1.05-$I$5)*{1;2;3;4;5;6;7;8;9;10}/10)-(K152/(1+K152))*$I$6)/(1+M152)^{1;2;3;4;5;6;7;8;9;10})+$I$2*(1+K152)^10*(L152+$I$4)*N152/(1+M152)^10+$I$9-$I$10)/$I$11</f>
        <v/>
      </c>
    </row>
    <row r="153">
      <c r="K153" s="25">
        <f>MAX(-0.05,NORMINV(RAND(),$C$6,$D$6))</f>
        <v/>
      </c>
      <c r="L153" s="25">
        <f>MAX(0.02,NORMINV(RAND(),$C$7,$D$7))</f>
        <v/>
      </c>
      <c r="M153" s="25">
        <f>MIN(0.16,MAX(0.05,NORMINV(RAND(),$C$8,$D$8)))</f>
        <v/>
      </c>
      <c r="N153" s="26">
        <f>MIN(24,MAX(5,NORMINV(RAND(),$C$9,$D$9)))</f>
        <v/>
      </c>
      <c r="O153" s="49">
        <f>$I$8*(SUMPRODUCT(($I$2*(1+K153)^{1;2;3;4;5;6;7;8;9;10})*(($I$3+(L153-$I$3)*{1;2;3;4;5;6;7;8;9;10}/10)*(1-$I$7)+$I$4-$I$4*($I$5+(1.05-$I$5)*{1;2;3;4;5;6;7;8;9;10}/10)-(K153/(1+K153))*$I$6)/(1+M153)^{1;2;3;4;5;6;7;8;9;10})+$I$2*(1+K153)^10*(L153+$I$4)*N153/(1+M153)^10+$I$9-$I$10)/$I$11</f>
        <v/>
      </c>
    </row>
    <row r="154">
      <c r="K154" s="25">
        <f>MAX(-0.05,NORMINV(RAND(),$C$6,$D$6))</f>
        <v/>
      </c>
      <c r="L154" s="25">
        <f>MAX(0.02,NORMINV(RAND(),$C$7,$D$7))</f>
        <v/>
      </c>
      <c r="M154" s="25">
        <f>MIN(0.16,MAX(0.05,NORMINV(RAND(),$C$8,$D$8)))</f>
        <v/>
      </c>
      <c r="N154" s="26">
        <f>MIN(24,MAX(5,NORMINV(RAND(),$C$9,$D$9)))</f>
        <v/>
      </c>
      <c r="O154" s="49">
        <f>$I$8*(SUMPRODUCT(($I$2*(1+K154)^{1;2;3;4;5;6;7;8;9;10})*(($I$3+(L154-$I$3)*{1;2;3;4;5;6;7;8;9;10}/10)*(1-$I$7)+$I$4-$I$4*($I$5+(1.05-$I$5)*{1;2;3;4;5;6;7;8;9;10}/10)-(K154/(1+K154))*$I$6)/(1+M154)^{1;2;3;4;5;6;7;8;9;10})+$I$2*(1+K154)^10*(L154+$I$4)*N154/(1+M154)^10+$I$9-$I$10)/$I$11</f>
        <v/>
      </c>
    </row>
    <row r="155">
      <c r="K155" s="25">
        <f>MAX(-0.05,NORMINV(RAND(),$C$6,$D$6))</f>
        <v/>
      </c>
      <c r="L155" s="25">
        <f>MAX(0.02,NORMINV(RAND(),$C$7,$D$7))</f>
        <v/>
      </c>
      <c r="M155" s="25">
        <f>MIN(0.16,MAX(0.05,NORMINV(RAND(),$C$8,$D$8)))</f>
        <v/>
      </c>
      <c r="N155" s="26">
        <f>MIN(24,MAX(5,NORMINV(RAND(),$C$9,$D$9)))</f>
        <v/>
      </c>
      <c r="O155" s="49">
        <f>$I$8*(SUMPRODUCT(($I$2*(1+K155)^{1;2;3;4;5;6;7;8;9;10})*(($I$3+(L155-$I$3)*{1;2;3;4;5;6;7;8;9;10}/10)*(1-$I$7)+$I$4-$I$4*($I$5+(1.05-$I$5)*{1;2;3;4;5;6;7;8;9;10}/10)-(K155/(1+K155))*$I$6)/(1+M155)^{1;2;3;4;5;6;7;8;9;10})+$I$2*(1+K155)^10*(L155+$I$4)*N155/(1+M155)^10+$I$9-$I$10)/$I$11</f>
        <v/>
      </c>
    </row>
    <row r="156">
      <c r="K156" s="25">
        <f>MAX(-0.05,NORMINV(RAND(),$C$6,$D$6))</f>
        <v/>
      </c>
      <c r="L156" s="25">
        <f>MAX(0.02,NORMINV(RAND(),$C$7,$D$7))</f>
        <v/>
      </c>
      <c r="M156" s="25">
        <f>MIN(0.16,MAX(0.05,NORMINV(RAND(),$C$8,$D$8)))</f>
        <v/>
      </c>
      <c r="N156" s="26">
        <f>MIN(24,MAX(5,NORMINV(RAND(),$C$9,$D$9)))</f>
        <v/>
      </c>
      <c r="O156" s="49">
        <f>$I$8*(SUMPRODUCT(($I$2*(1+K156)^{1;2;3;4;5;6;7;8;9;10})*(($I$3+(L156-$I$3)*{1;2;3;4;5;6;7;8;9;10}/10)*(1-$I$7)+$I$4-$I$4*($I$5+(1.05-$I$5)*{1;2;3;4;5;6;7;8;9;10}/10)-(K156/(1+K156))*$I$6)/(1+M156)^{1;2;3;4;5;6;7;8;9;10})+$I$2*(1+K156)^10*(L156+$I$4)*N156/(1+M156)^10+$I$9-$I$10)/$I$11</f>
        <v/>
      </c>
    </row>
    <row r="157">
      <c r="K157" s="25">
        <f>MAX(-0.05,NORMINV(RAND(),$C$6,$D$6))</f>
        <v/>
      </c>
      <c r="L157" s="25">
        <f>MAX(0.02,NORMINV(RAND(),$C$7,$D$7))</f>
        <v/>
      </c>
      <c r="M157" s="25">
        <f>MIN(0.16,MAX(0.05,NORMINV(RAND(),$C$8,$D$8)))</f>
        <v/>
      </c>
      <c r="N157" s="26">
        <f>MIN(24,MAX(5,NORMINV(RAND(),$C$9,$D$9)))</f>
        <v/>
      </c>
      <c r="O157" s="49">
        <f>$I$8*(SUMPRODUCT(($I$2*(1+K157)^{1;2;3;4;5;6;7;8;9;10})*(($I$3+(L157-$I$3)*{1;2;3;4;5;6;7;8;9;10}/10)*(1-$I$7)+$I$4-$I$4*($I$5+(1.05-$I$5)*{1;2;3;4;5;6;7;8;9;10}/10)-(K157/(1+K157))*$I$6)/(1+M157)^{1;2;3;4;5;6;7;8;9;10})+$I$2*(1+K157)^10*(L157+$I$4)*N157/(1+M157)^10+$I$9-$I$10)/$I$11</f>
        <v/>
      </c>
    </row>
    <row r="158">
      <c r="K158" s="25">
        <f>MAX(-0.05,NORMINV(RAND(),$C$6,$D$6))</f>
        <v/>
      </c>
      <c r="L158" s="25">
        <f>MAX(0.02,NORMINV(RAND(),$C$7,$D$7))</f>
        <v/>
      </c>
      <c r="M158" s="25">
        <f>MIN(0.16,MAX(0.05,NORMINV(RAND(),$C$8,$D$8)))</f>
        <v/>
      </c>
      <c r="N158" s="26">
        <f>MIN(24,MAX(5,NORMINV(RAND(),$C$9,$D$9)))</f>
        <v/>
      </c>
      <c r="O158" s="49">
        <f>$I$8*(SUMPRODUCT(($I$2*(1+K158)^{1;2;3;4;5;6;7;8;9;10})*(($I$3+(L158-$I$3)*{1;2;3;4;5;6;7;8;9;10}/10)*(1-$I$7)+$I$4-$I$4*($I$5+(1.05-$I$5)*{1;2;3;4;5;6;7;8;9;10}/10)-(K158/(1+K158))*$I$6)/(1+M158)^{1;2;3;4;5;6;7;8;9;10})+$I$2*(1+K158)^10*(L158+$I$4)*N158/(1+M158)^10+$I$9-$I$10)/$I$11</f>
        <v/>
      </c>
    </row>
    <row r="159">
      <c r="K159" s="25">
        <f>MAX(-0.05,NORMINV(RAND(),$C$6,$D$6))</f>
        <v/>
      </c>
      <c r="L159" s="25">
        <f>MAX(0.02,NORMINV(RAND(),$C$7,$D$7))</f>
        <v/>
      </c>
      <c r="M159" s="25">
        <f>MIN(0.16,MAX(0.05,NORMINV(RAND(),$C$8,$D$8)))</f>
        <v/>
      </c>
      <c r="N159" s="26">
        <f>MIN(24,MAX(5,NORMINV(RAND(),$C$9,$D$9)))</f>
        <v/>
      </c>
      <c r="O159" s="49">
        <f>$I$8*(SUMPRODUCT(($I$2*(1+K159)^{1;2;3;4;5;6;7;8;9;10})*(($I$3+(L159-$I$3)*{1;2;3;4;5;6;7;8;9;10}/10)*(1-$I$7)+$I$4-$I$4*($I$5+(1.05-$I$5)*{1;2;3;4;5;6;7;8;9;10}/10)-(K159/(1+K159))*$I$6)/(1+M159)^{1;2;3;4;5;6;7;8;9;10})+$I$2*(1+K159)^10*(L159+$I$4)*N159/(1+M159)^10+$I$9-$I$10)/$I$11</f>
        <v/>
      </c>
    </row>
    <row r="160">
      <c r="K160" s="25">
        <f>MAX(-0.05,NORMINV(RAND(),$C$6,$D$6))</f>
        <v/>
      </c>
      <c r="L160" s="25">
        <f>MAX(0.02,NORMINV(RAND(),$C$7,$D$7))</f>
        <v/>
      </c>
      <c r="M160" s="25">
        <f>MIN(0.16,MAX(0.05,NORMINV(RAND(),$C$8,$D$8)))</f>
        <v/>
      </c>
      <c r="N160" s="26">
        <f>MIN(24,MAX(5,NORMINV(RAND(),$C$9,$D$9)))</f>
        <v/>
      </c>
      <c r="O160" s="49">
        <f>$I$8*(SUMPRODUCT(($I$2*(1+K160)^{1;2;3;4;5;6;7;8;9;10})*(($I$3+(L160-$I$3)*{1;2;3;4;5;6;7;8;9;10}/10)*(1-$I$7)+$I$4-$I$4*($I$5+(1.05-$I$5)*{1;2;3;4;5;6;7;8;9;10}/10)-(K160/(1+K160))*$I$6)/(1+M160)^{1;2;3;4;5;6;7;8;9;10})+$I$2*(1+K160)^10*(L160+$I$4)*N160/(1+M160)^10+$I$9-$I$10)/$I$11</f>
        <v/>
      </c>
    </row>
    <row r="161">
      <c r="K161" s="25">
        <f>MAX(-0.05,NORMINV(RAND(),$C$6,$D$6))</f>
        <v/>
      </c>
      <c r="L161" s="25">
        <f>MAX(0.02,NORMINV(RAND(),$C$7,$D$7))</f>
        <v/>
      </c>
      <c r="M161" s="25">
        <f>MIN(0.16,MAX(0.05,NORMINV(RAND(),$C$8,$D$8)))</f>
        <v/>
      </c>
      <c r="N161" s="26">
        <f>MIN(24,MAX(5,NORMINV(RAND(),$C$9,$D$9)))</f>
        <v/>
      </c>
      <c r="O161" s="49">
        <f>$I$8*(SUMPRODUCT(($I$2*(1+K161)^{1;2;3;4;5;6;7;8;9;10})*(($I$3+(L161-$I$3)*{1;2;3;4;5;6;7;8;9;10}/10)*(1-$I$7)+$I$4-$I$4*($I$5+(1.05-$I$5)*{1;2;3;4;5;6;7;8;9;10}/10)-(K161/(1+K161))*$I$6)/(1+M161)^{1;2;3;4;5;6;7;8;9;10})+$I$2*(1+K161)^10*(L161+$I$4)*N161/(1+M161)^10+$I$9-$I$10)/$I$11</f>
        <v/>
      </c>
    </row>
    <row r="162">
      <c r="K162" s="25">
        <f>MAX(-0.05,NORMINV(RAND(),$C$6,$D$6))</f>
        <v/>
      </c>
      <c r="L162" s="25">
        <f>MAX(0.02,NORMINV(RAND(),$C$7,$D$7))</f>
        <v/>
      </c>
      <c r="M162" s="25">
        <f>MIN(0.16,MAX(0.05,NORMINV(RAND(),$C$8,$D$8)))</f>
        <v/>
      </c>
      <c r="N162" s="26">
        <f>MIN(24,MAX(5,NORMINV(RAND(),$C$9,$D$9)))</f>
        <v/>
      </c>
      <c r="O162" s="49">
        <f>$I$8*(SUMPRODUCT(($I$2*(1+K162)^{1;2;3;4;5;6;7;8;9;10})*(($I$3+(L162-$I$3)*{1;2;3;4;5;6;7;8;9;10}/10)*(1-$I$7)+$I$4-$I$4*($I$5+(1.05-$I$5)*{1;2;3;4;5;6;7;8;9;10}/10)-(K162/(1+K162))*$I$6)/(1+M162)^{1;2;3;4;5;6;7;8;9;10})+$I$2*(1+K162)^10*(L162+$I$4)*N162/(1+M162)^10+$I$9-$I$10)/$I$11</f>
        <v/>
      </c>
    </row>
    <row r="163">
      <c r="K163" s="25">
        <f>MAX(-0.05,NORMINV(RAND(),$C$6,$D$6))</f>
        <v/>
      </c>
      <c r="L163" s="25">
        <f>MAX(0.02,NORMINV(RAND(),$C$7,$D$7))</f>
        <v/>
      </c>
      <c r="M163" s="25">
        <f>MIN(0.16,MAX(0.05,NORMINV(RAND(),$C$8,$D$8)))</f>
        <v/>
      </c>
      <c r="N163" s="26">
        <f>MIN(24,MAX(5,NORMINV(RAND(),$C$9,$D$9)))</f>
        <v/>
      </c>
      <c r="O163" s="49">
        <f>$I$8*(SUMPRODUCT(($I$2*(1+K163)^{1;2;3;4;5;6;7;8;9;10})*(($I$3+(L163-$I$3)*{1;2;3;4;5;6;7;8;9;10}/10)*(1-$I$7)+$I$4-$I$4*($I$5+(1.05-$I$5)*{1;2;3;4;5;6;7;8;9;10}/10)-(K163/(1+K163))*$I$6)/(1+M163)^{1;2;3;4;5;6;7;8;9;10})+$I$2*(1+K163)^10*(L163+$I$4)*N163/(1+M163)^10+$I$9-$I$10)/$I$11</f>
        <v/>
      </c>
    </row>
    <row r="164">
      <c r="K164" s="25">
        <f>MAX(-0.05,NORMINV(RAND(),$C$6,$D$6))</f>
        <v/>
      </c>
      <c r="L164" s="25">
        <f>MAX(0.02,NORMINV(RAND(),$C$7,$D$7))</f>
        <v/>
      </c>
      <c r="M164" s="25">
        <f>MIN(0.16,MAX(0.05,NORMINV(RAND(),$C$8,$D$8)))</f>
        <v/>
      </c>
      <c r="N164" s="26">
        <f>MIN(24,MAX(5,NORMINV(RAND(),$C$9,$D$9)))</f>
        <v/>
      </c>
      <c r="O164" s="49">
        <f>$I$8*(SUMPRODUCT(($I$2*(1+K164)^{1;2;3;4;5;6;7;8;9;10})*(($I$3+(L164-$I$3)*{1;2;3;4;5;6;7;8;9;10}/10)*(1-$I$7)+$I$4-$I$4*($I$5+(1.05-$I$5)*{1;2;3;4;5;6;7;8;9;10}/10)-(K164/(1+K164))*$I$6)/(1+M164)^{1;2;3;4;5;6;7;8;9;10})+$I$2*(1+K164)^10*(L164+$I$4)*N164/(1+M164)^10+$I$9-$I$10)/$I$11</f>
        <v/>
      </c>
    </row>
    <row r="165">
      <c r="K165" s="25">
        <f>MAX(-0.05,NORMINV(RAND(),$C$6,$D$6))</f>
        <v/>
      </c>
      <c r="L165" s="25">
        <f>MAX(0.02,NORMINV(RAND(),$C$7,$D$7))</f>
        <v/>
      </c>
      <c r="M165" s="25">
        <f>MIN(0.16,MAX(0.05,NORMINV(RAND(),$C$8,$D$8)))</f>
        <v/>
      </c>
      <c r="N165" s="26">
        <f>MIN(24,MAX(5,NORMINV(RAND(),$C$9,$D$9)))</f>
        <v/>
      </c>
      <c r="O165" s="49">
        <f>$I$8*(SUMPRODUCT(($I$2*(1+K165)^{1;2;3;4;5;6;7;8;9;10})*(($I$3+(L165-$I$3)*{1;2;3;4;5;6;7;8;9;10}/10)*(1-$I$7)+$I$4-$I$4*($I$5+(1.05-$I$5)*{1;2;3;4;5;6;7;8;9;10}/10)-(K165/(1+K165))*$I$6)/(1+M165)^{1;2;3;4;5;6;7;8;9;10})+$I$2*(1+K165)^10*(L165+$I$4)*N165/(1+M165)^10+$I$9-$I$10)/$I$11</f>
        <v/>
      </c>
    </row>
    <row r="166">
      <c r="K166" s="25">
        <f>MAX(-0.05,NORMINV(RAND(),$C$6,$D$6))</f>
        <v/>
      </c>
      <c r="L166" s="25">
        <f>MAX(0.02,NORMINV(RAND(),$C$7,$D$7))</f>
        <v/>
      </c>
      <c r="M166" s="25">
        <f>MIN(0.16,MAX(0.05,NORMINV(RAND(),$C$8,$D$8)))</f>
        <v/>
      </c>
      <c r="N166" s="26">
        <f>MIN(24,MAX(5,NORMINV(RAND(),$C$9,$D$9)))</f>
        <v/>
      </c>
      <c r="O166" s="49">
        <f>$I$8*(SUMPRODUCT(($I$2*(1+K166)^{1;2;3;4;5;6;7;8;9;10})*(($I$3+(L166-$I$3)*{1;2;3;4;5;6;7;8;9;10}/10)*(1-$I$7)+$I$4-$I$4*($I$5+(1.05-$I$5)*{1;2;3;4;5;6;7;8;9;10}/10)-(K166/(1+K166))*$I$6)/(1+M166)^{1;2;3;4;5;6;7;8;9;10})+$I$2*(1+K166)^10*(L166+$I$4)*N166/(1+M166)^10+$I$9-$I$10)/$I$11</f>
        <v/>
      </c>
    </row>
    <row r="167">
      <c r="K167" s="25">
        <f>MAX(-0.05,NORMINV(RAND(),$C$6,$D$6))</f>
        <v/>
      </c>
      <c r="L167" s="25">
        <f>MAX(0.02,NORMINV(RAND(),$C$7,$D$7))</f>
        <v/>
      </c>
      <c r="M167" s="25">
        <f>MIN(0.16,MAX(0.05,NORMINV(RAND(),$C$8,$D$8)))</f>
        <v/>
      </c>
      <c r="N167" s="26">
        <f>MIN(24,MAX(5,NORMINV(RAND(),$C$9,$D$9)))</f>
        <v/>
      </c>
      <c r="O167" s="49">
        <f>$I$8*(SUMPRODUCT(($I$2*(1+K167)^{1;2;3;4;5;6;7;8;9;10})*(($I$3+(L167-$I$3)*{1;2;3;4;5;6;7;8;9;10}/10)*(1-$I$7)+$I$4-$I$4*($I$5+(1.05-$I$5)*{1;2;3;4;5;6;7;8;9;10}/10)-(K167/(1+K167))*$I$6)/(1+M167)^{1;2;3;4;5;6;7;8;9;10})+$I$2*(1+K167)^10*(L167+$I$4)*N167/(1+M167)^10+$I$9-$I$10)/$I$11</f>
        <v/>
      </c>
    </row>
    <row r="168">
      <c r="K168" s="25">
        <f>MAX(-0.05,NORMINV(RAND(),$C$6,$D$6))</f>
        <v/>
      </c>
      <c r="L168" s="25">
        <f>MAX(0.02,NORMINV(RAND(),$C$7,$D$7))</f>
        <v/>
      </c>
      <c r="M168" s="25">
        <f>MIN(0.16,MAX(0.05,NORMINV(RAND(),$C$8,$D$8)))</f>
        <v/>
      </c>
      <c r="N168" s="26">
        <f>MIN(24,MAX(5,NORMINV(RAND(),$C$9,$D$9)))</f>
        <v/>
      </c>
      <c r="O168" s="49">
        <f>$I$8*(SUMPRODUCT(($I$2*(1+K168)^{1;2;3;4;5;6;7;8;9;10})*(($I$3+(L168-$I$3)*{1;2;3;4;5;6;7;8;9;10}/10)*(1-$I$7)+$I$4-$I$4*($I$5+(1.05-$I$5)*{1;2;3;4;5;6;7;8;9;10}/10)-(K168/(1+K168))*$I$6)/(1+M168)^{1;2;3;4;5;6;7;8;9;10})+$I$2*(1+K168)^10*(L168+$I$4)*N168/(1+M168)^10+$I$9-$I$10)/$I$11</f>
        <v/>
      </c>
    </row>
    <row r="169">
      <c r="K169" s="25">
        <f>MAX(-0.05,NORMINV(RAND(),$C$6,$D$6))</f>
        <v/>
      </c>
      <c r="L169" s="25">
        <f>MAX(0.02,NORMINV(RAND(),$C$7,$D$7))</f>
        <v/>
      </c>
      <c r="M169" s="25">
        <f>MIN(0.16,MAX(0.05,NORMINV(RAND(),$C$8,$D$8)))</f>
        <v/>
      </c>
      <c r="N169" s="26">
        <f>MIN(24,MAX(5,NORMINV(RAND(),$C$9,$D$9)))</f>
        <v/>
      </c>
      <c r="O169" s="49">
        <f>$I$8*(SUMPRODUCT(($I$2*(1+K169)^{1;2;3;4;5;6;7;8;9;10})*(($I$3+(L169-$I$3)*{1;2;3;4;5;6;7;8;9;10}/10)*(1-$I$7)+$I$4-$I$4*($I$5+(1.05-$I$5)*{1;2;3;4;5;6;7;8;9;10}/10)-(K169/(1+K169))*$I$6)/(1+M169)^{1;2;3;4;5;6;7;8;9;10})+$I$2*(1+K169)^10*(L169+$I$4)*N169/(1+M169)^10+$I$9-$I$10)/$I$11</f>
        <v/>
      </c>
    </row>
    <row r="170">
      <c r="K170" s="25">
        <f>MAX(-0.05,NORMINV(RAND(),$C$6,$D$6))</f>
        <v/>
      </c>
      <c r="L170" s="25">
        <f>MAX(0.02,NORMINV(RAND(),$C$7,$D$7))</f>
        <v/>
      </c>
      <c r="M170" s="25">
        <f>MIN(0.16,MAX(0.05,NORMINV(RAND(),$C$8,$D$8)))</f>
        <v/>
      </c>
      <c r="N170" s="26">
        <f>MIN(24,MAX(5,NORMINV(RAND(),$C$9,$D$9)))</f>
        <v/>
      </c>
      <c r="O170" s="49">
        <f>$I$8*(SUMPRODUCT(($I$2*(1+K170)^{1;2;3;4;5;6;7;8;9;10})*(($I$3+(L170-$I$3)*{1;2;3;4;5;6;7;8;9;10}/10)*(1-$I$7)+$I$4-$I$4*($I$5+(1.05-$I$5)*{1;2;3;4;5;6;7;8;9;10}/10)-(K170/(1+K170))*$I$6)/(1+M170)^{1;2;3;4;5;6;7;8;9;10})+$I$2*(1+K170)^10*(L170+$I$4)*N170/(1+M170)^10+$I$9-$I$10)/$I$11</f>
        <v/>
      </c>
    </row>
    <row r="171">
      <c r="K171" s="25">
        <f>MAX(-0.05,NORMINV(RAND(),$C$6,$D$6))</f>
        <v/>
      </c>
      <c r="L171" s="25">
        <f>MAX(0.02,NORMINV(RAND(),$C$7,$D$7))</f>
        <v/>
      </c>
      <c r="M171" s="25">
        <f>MIN(0.16,MAX(0.05,NORMINV(RAND(),$C$8,$D$8)))</f>
        <v/>
      </c>
      <c r="N171" s="26">
        <f>MIN(24,MAX(5,NORMINV(RAND(),$C$9,$D$9)))</f>
        <v/>
      </c>
      <c r="O171" s="49">
        <f>$I$8*(SUMPRODUCT(($I$2*(1+K171)^{1;2;3;4;5;6;7;8;9;10})*(($I$3+(L171-$I$3)*{1;2;3;4;5;6;7;8;9;10}/10)*(1-$I$7)+$I$4-$I$4*($I$5+(1.05-$I$5)*{1;2;3;4;5;6;7;8;9;10}/10)-(K171/(1+K171))*$I$6)/(1+M171)^{1;2;3;4;5;6;7;8;9;10})+$I$2*(1+K171)^10*(L171+$I$4)*N171/(1+M171)^10+$I$9-$I$10)/$I$11</f>
        <v/>
      </c>
    </row>
    <row r="172">
      <c r="K172" s="25">
        <f>MAX(-0.05,NORMINV(RAND(),$C$6,$D$6))</f>
        <v/>
      </c>
      <c r="L172" s="25">
        <f>MAX(0.02,NORMINV(RAND(),$C$7,$D$7))</f>
        <v/>
      </c>
      <c r="M172" s="25">
        <f>MIN(0.16,MAX(0.05,NORMINV(RAND(),$C$8,$D$8)))</f>
        <v/>
      </c>
      <c r="N172" s="26">
        <f>MIN(24,MAX(5,NORMINV(RAND(),$C$9,$D$9)))</f>
        <v/>
      </c>
      <c r="O172" s="49">
        <f>$I$8*(SUMPRODUCT(($I$2*(1+K172)^{1;2;3;4;5;6;7;8;9;10})*(($I$3+(L172-$I$3)*{1;2;3;4;5;6;7;8;9;10}/10)*(1-$I$7)+$I$4-$I$4*($I$5+(1.05-$I$5)*{1;2;3;4;5;6;7;8;9;10}/10)-(K172/(1+K172))*$I$6)/(1+M172)^{1;2;3;4;5;6;7;8;9;10})+$I$2*(1+K172)^10*(L172+$I$4)*N172/(1+M172)^10+$I$9-$I$10)/$I$11</f>
        <v/>
      </c>
    </row>
    <row r="173">
      <c r="K173" s="25">
        <f>MAX(-0.05,NORMINV(RAND(),$C$6,$D$6))</f>
        <v/>
      </c>
      <c r="L173" s="25">
        <f>MAX(0.02,NORMINV(RAND(),$C$7,$D$7))</f>
        <v/>
      </c>
      <c r="M173" s="25">
        <f>MIN(0.16,MAX(0.05,NORMINV(RAND(),$C$8,$D$8)))</f>
        <v/>
      </c>
      <c r="N173" s="26">
        <f>MIN(24,MAX(5,NORMINV(RAND(),$C$9,$D$9)))</f>
        <v/>
      </c>
      <c r="O173" s="49">
        <f>$I$8*(SUMPRODUCT(($I$2*(1+K173)^{1;2;3;4;5;6;7;8;9;10})*(($I$3+(L173-$I$3)*{1;2;3;4;5;6;7;8;9;10}/10)*(1-$I$7)+$I$4-$I$4*($I$5+(1.05-$I$5)*{1;2;3;4;5;6;7;8;9;10}/10)-(K173/(1+K173))*$I$6)/(1+M173)^{1;2;3;4;5;6;7;8;9;10})+$I$2*(1+K173)^10*(L173+$I$4)*N173/(1+M173)^10+$I$9-$I$10)/$I$11</f>
        <v/>
      </c>
    </row>
    <row r="174">
      <c r="K174" s="25">
        <f>MAX(-0.05,NORMINV(RAND(),$C$6,$D$6))</f>
        <v/>
      </c>
      <c r="L174" s="25">
        <f>MAX(0.02,NORMINV(RAND(),$C$7,$D$7))</f>
        <v/>
      </c>
      <c r="M174" s="25">
        <f>MIN(0.16,MAX(0.05,NORMINV(RAND(),$C$8,$D$8)))</f>
        <v/>
      </c>
      <c r="N174" s="26">
        <f>MIN(24,MAX(5,NORMINV(RAND(),$C$9,$D$9)))</f>
        <v/>
      </c>
      <c r="O174" s="49">
        <f>$I$8*(SUMPRODUCT(($I$2*(1+K174)^{1;2;3;4;5;6;7;8;9;10})*(($I$3+(L174-$I$3)*{1;2;3;4;5;6;7;8;9;10}/10)*(1-$I$7)+$I$4-$I$4*($I$5+(1.05-$I$5)*{1;2;3;4;5;6;7;8;9;10}/10)-(K174/(1+K174))*$I$6)/(1+M174)^{1;2;3;4;5;6;7;8;9;10})+$I$2*(1+K174)^10*(L174+$I$4)*N174/(1+M174)^10+$I$9-$I$10)/$I$11</f>
        <v/>
      </c>
    </row>
    <row r="175">
      <c r="K175" s="25">
        <f>MAX(-0.05,NORMINV(RAND(),$C$6,$D$6))</f>
        <v/>
      </c>
      <c r="L175" s="25">
        <f>MAX(0.02,NORMINV(RAND(),$C$7,$D$7))</f>
        <v/>
      </c>
      <c r="M175" s="25">
        <f>MIN(0.16,MAX(0.05,NORMINV(RAND(),$C$8,$D$8)))</f>
        <v/>
      </c>
      <c r="N175" s="26">
        <f>MIN(24,MAX(5,NORMINV(RAND(),$C$9,$D$9)))</f>
        <v/>
      </c>
      <c r="O175" s="49">
        <f>$I$8*(SUMPRODUCT(($I$2*(1+K175)^{1;2;3;4;5;6;7;8;9;10})*(($I$3+(L175-$I$3)*{1;2;3;4;5;6;7;8;9;10}/10)*(1-$I$7)+$I$4-$I$4*($I$5+(1.05-$I$5)*{1;2;3;4;5;6;7;8;9;10}/10)-(K175/(1+K175))*$I$6)/(1+M175)^{1;2;3;4;5;6;7;8;9;10})+$I$2*(1+K175)^10*(L175+$I$4)*N175/(1+M175)^10+$I$9-$I$10)/$I$11</f>
        <v/>
      </c>
    </row>
    <row r="176">
      <c r="K176" s="25">
        <f>MAX(-0.05,NORMINV(RAND(),$C$6,$D$6))</f>
        <v/>
      </c>
      <c r="L176" s="25">
        <f>MAX(0.02,NORMINV(RAND(),$C$7,$D$7))</f>
        <v/>
      </c>
      <c r="M176" s="25">
        <f>MIN(0.16,MAX(0.05,NORMINV(RAND(),$C$8,$D$8)))</f>
        <v/>
      </c>
      <c r="N176" s="26">
        <f>MIN(24,MAX(5,NORMINV(RAND(),$C$9,$D$9)))</f>
        <v/>
      </c>
      <c r="O176" s="49">
        <f>$I$8*(SUMPRODUCT(($I$2*(1+K176)^{1;2;3;4;5;6;7;8;9;10})*(($I$3+(L176-$I$3)*{1;2;3;4;5;6;7;8;9;10}/10)*(1-$I$7)+$I$4-$I$4*($I$5+(1.05-$I$5)*{1;2;3;4;5;6;7;8;9;10}/10)-(K176/(1+K176))*$I$6)/(1+M176)^{1;2;3;4;5;6;7;8;9;10})+$I$2*(1+K176)^10*(L176+$I$4)*N176/(1+M176)^10+$I$9-$I$10)/$I$11</f>
        <v/>
      </c>
    </row>
    <row r="177">
      <c r="K177" s="25">
        <f>MAX(-0.05,NORMINV(RAND(),$C$6,$D$6))</f>
        <v/>
      </c>
      <c r="L177" s="25">
        <f>MAX(0.02,NORMINV(RAND(),$C$7,$D$7))</f>
        <v/>
      </c>
      <c r="M177" s="25">
        <f>MIN(0.16,MAX(0.05,NORMINV(RAND(),$C$8,$D$8)))</f>
        <v/>
      </c>
      <c r="N177" s="26">
        <f>MIN(24,MAX(5,NORMINV(RAND(),$C$9,$D$9)))</f>
        <v/>
      </c>
      <c r="O177" s="49">
        <f>$I$8*(SUMPRODUCT(($I$2*(1+K177)^{1;2;3;4;5;6;7;8;9;10})*(($I$3+(L177-$I$3)*{1;2;3;4;5;6;7;8;9;10}/10)*(1-$I$7)+$I$4-$I$4*($I$5+(1.05-$I$5)*{1;2;3;4;5;6;7;8;9;10}/10)-(K177/(1+K177))*$I$6)/(1+M177)^{1;2;3;4;5;6;7;8;9;10})+$I$2*(1+K177)^10*(L177+$I$4)*N177/(1+M177)^10+$I$9-$I$10)/$I$11</f>
        <v/>
      </c>
    </row>
    <row r="178">
      <c r="K178" s="25">
        <f>MAX(-0.05,NORMINV(RAND(),$C$6,$D$6))</f>
        <v/>
      </c>
      <c r="L178" s="25">
        <f>MAX(0.02,NORMINV(RAND(),$C$7,$D$7))</f>
        <v/>
      </c>
      <c r="M178" s="25">
        <f>MIN(0.16,MAX(0.05,NORMINV(RAND(),$C$8,$D$8)))</f>
        <v/>
      </c>
      <c r="N178" s="26">
        <f>MIN(24,MAX(5,NORMINV(RAND(),$C$9,$D$9)))</f>
        <v/>
      </c>
      <c r="O178" s="49">
        <f>$I$8*(SUMPRODUCT(($I$2*(1+K178)^{1;2;3;4;5;6;7;8;9;10})*(($I$3+(L178-$I$3)*{1;2;3;4;5;6;7;8;9;10}/10)*(1-$I$7)+$I$4-$I$4*($I$5+(1.05-$I$5)*{1;2;3;4;5;6;7;8;9;10}/10)-(K178/(1+K178))*$I$6)/(1+M178)^{1;2;3;4;5;6;7;8;9;10})+$I$2*(1+K178)^10*(L178+$I$4)*N178/(1+M178)^10+$I$9-$I$10)/$I$11</f>
        <v/>
      </c>
    </row>
    <row r="179">
      <c r="K179" s="25">
        <f>MAX(-0.05,NORMINV(RAND(),$C$6,$D$6))</f>
        <v/>
      </c>
      <c r="L179" s="25">
        <f>MAX(0.02,NORMINV(RAND(),$C$7,$D$7))</f>
        <v/>
      </c>
      <c r="M179" s="25">
        <f>MIN(0.16,MAX(0.05,NORMINV(RAND(),$C$8,$D$8)))</f>
        <v/>
      </c>
      <c r="N179" s="26">
        <f>MIN(24,MAX(5,NORMINV(RAND(),$C$9,$D$9)))</f>
        <v/>
      </c>
      <c r="O179" s="49">
        <f>$I$8*(SUMPRODUCT(($I$2*(1+K179)^{1;2;3;4;5;6;7;8;9;10})*(($I$3+(L179-$I$3)*{1;2;3;4;5;6;7;8;9;10}/10)*(1-$I$7)+$I$4-$I$4*($I$5+(1.05-$I$5)*{1;2;3;4;5;6;7;8;9;10}/10)-(K179/(1+K179))*$I$6)/(1+M179)^{1;2;3;4;5;6;7;8;9;10})+$I$2*(1+K179)^10*(L179+$I$4)*N179/(1+M179)^10+$I$9-$I$10)/$I$11</f>
        <v/>
      </c>
    </row>
    <row r="180">
      <c r="K180" s="25">
        <f>MAX(-0.05,NORMINV(RAND(),$C$6,$D$6))</f>
        <v/>
      </c>
      <c r="L180" s="25">
        <f>MAX(0.02,NORMINV(RAND(),$C$7,$D$7))</f>
        <v/>
      </c>
      <c r="M180" s="25">
        <f>MIN(0.16,MAX(0.05,NORMINV(RAND(),$C$8,$D$8)))</f>
        <v/>
      </c>
      <c r="N180" s="26">
        <f>MIN(24,MAX(5,NORMINV(RAND(),$C$9,$D$9)))</f>
        <v/>
      </c>
      <c r="O180" s="49">
        <f>$I$8*(SUMPRODUCT(($I$2*(1+K180)^{1;2;3;4;5;6;7;8;9;10})*(($I$3+(L180-$I$3)*{1;2;3;4;5;6;7;8;9;10}/10)*(1-$I$7)+$I$4-$I$4*($I$5+(1.05-$I$5)*{1;2;3;4;5;6;7;8;9;10}/10)-(K180/(1+K180))*$I$6)/(1+M180)^{1;2;3;4;5;6;7;8;9;10})+$I$2*(1+K180)^10*(L180+$I$4)*N180/(1+M180)^10+$I$9-$I$10)/$I$11</f>
        <v/>
      </c>
    </row>
    <row r="181">
      <c r="K181" s="25">
        <f>MAX(-0.05,NORMINV(RAND(),$C$6,$D$6))</f>
        <v/>
      </c>
      <c r="L181" s="25">
        <f>MAX(0.02,NORMINV(RAND(),$C$7,$D$7))</f>
        <v/>
      </c>
      <c r="M181" s="25">
        <f>MIN(0.16,MAX(0.05,NORMINV(RAND(),$C$8,$D$8)))</f>
        <v/>
      </c>
      <c r="N181" s="26">
        <f>MIN(24,MAX(5,NORMINV(RAND(),$C$9,$D$9)))</f>
        <v/>
      </c>
      <c r="O181" s="49">
        <f>$I$8*(SUMPRODUCT(($I$2*(1+K181)^{1;2;3;4;5;6;7;8;9;10})*(($I$3+(L181-$I$3)*{1;2;3;4;5;6;7;8;9;10}/10)*(1-$I$7)+$I$4-$I$4*($I$5+(1.05-$I$5)*{1;2;3;4;5;6;7;8;9;10}/10)-(K181/(1+K181))*$I$6)/(1+M181)^{1;2;3;4;5;6;7;8;9;10})+$I$2*(1+K181)^10*(L181+$I$4)*N181/(1+M181)^10+$I$9-$I$10)/$I$11</f>
        <v/>
      </c>
    </row>
    <row r="182">
      <c r="K182" s="25">
        <f>MAX(-0.05,NORMINV(RAND(),$C$6,$D$6))</f>
        <v/>
      </c>
      <c r="L182" s="25">
        <f>MAX(0.02,NORMINV(RAND(),$C$7,$D$7))</f>
        <v/>
      </c>
      <c r="M182" s="25">
        <f>MIN(0.16,MAX(0.05,NORMINV(RAND(),$C$8,$D$8)))</f>
        <v/>
      </c>
      <c r="N182" s="26">
        <f>MIN(24,MAX(5,NORMINV(RAND(),$C$9,$D$9)))</f>
        <v/>
      </c>
      <c r="O182" s="49">
        <f>$I$8*(SUMPRODUCT(($I$2*(1+K182)^{1;2;3;4;5;6;7;8;9;10})*(($I$3+(L182-$I$3)*{1;2;3;4;5;6;7;8;9;10}/10)*(1-$I$7)+$I$4-$I$4*($I$5+(1.05-$I$5)*{1;2;3;4;5;6;7;8;9;10}/10)-(K182/(1+K182))*$I$6)/(1+M182)^{1;2;3;4;5;6;7;8;9;10})+$I$2*(1+K182)^10*(L182+$I$4)*N182/(1+M182)^10+$I$9-$I$10)/$I$11</f>
        <v/>
      </c>
    </row>
    <row r="183">
      <c r="K183" s="25">
        <f>MAX(-0.05,NORMINV(RAND(),$C$6,$D$6))</f>
        <v/>
      </c>
      <c r="L183" s="25">
        <f>MAX(0.02,NORMINV(RAND(),$C$7,$D$7))</f>
        <v/>
      </c>
      <c r="M183" s="25">
        <f>MIN(0.16,MAX(0.05,NORMINV(RAND(),$C$8,$D$8)))</f>
        <v/>
      </c>
      <c r="N183" s="26">
        <f>MIN(24,MAX(5,NORMINV(RAND(),$C$9,$D$9)))</f>
        <v/>
      </c>
      <c r="O183" s="49">
        <f>$I$8*(SUMPRODUCT(($I$2*(1+K183)^{1;2;3;4;5;6;7;8;9;10})*(($I$3+(L183-$I$3)*{1;2;3;4;5;6;7;8;9;10}/10)*(1-$I$7)+$I$4-$I$4*($I$5+(1.05-$I$5)*{1;2;3;4;5;6;7;8;9;10}/10)-(K183/(1+K183))*$I$6)/(1+M183)^{1;2;3;4;5;6;7;8;9;10})+$I$2*(1+K183)^10*(L183+$I$4)*N183/(1+M183)^10+$I$9-$I$10)/$I$11</f>
        <v/>
      </c>
    </row>
    <row r="184">
      <c r="K184" s="25">
        <f>MAX(-0.05,NORMINV(RAND(),$C$6,$D$6))</f>
        <v/>
      </c>
      <c r="L184" s="25">
        <f>MAX(0.02,NORMINV(RAND(),$C$7,$D$7))</f>
        <v/>
      </c>
      <c r="M184" s="25">
        <f>MIN(0.16,MAX(0.05,NORMINV(RAND(),$C$8,$D$8)))</f>
        <v/>
      </c>
      <c r="N184" s="26">
        <f>MIN(24,MAX(5,NORMINV(RAND(),$C$9,$D$9)))</f>
        <v/>
      </c>
      <c r="O184" s="49">
        <f>$I$8*(SUMPRODUCT(($I$2*(1+K184)^{1;2;3;4;5;6;7;8;9;10})*(($I$3+(L184-$I$3)*{1;2;3;4;5;6;7;8;9;10}/10)*(1-$I$7)+$I$4-$I$4*($I$5+(1.05-$I$5)*{1;2;3;4;5;6;7;8;9;10}/10)-(K184/(1+K184))*$I$6)/(1+M184)^{1;2;3;4;5;6;7;8;9;10})+$I$2*(1+K184)^10*(L184+$I$4)*N184/(1+M184)^10+$I$9-$I$10)/$I$11</f>
        <v/>
      </c>
    </row>
    <row r="185">
      <c r="K185" s="25">
        <f>MAX(-0.05,NORMINV(RAND(),$C$6,$D$6))</f>
        <v/>
      </c>
      <c r="L185" s="25">
        <f>MAX(0.02,NORMINV(RAND(),$C$7,$D$7))</f>
        <v/>
      </c>
      <c r="M185" s="25">
        <f>MIN(0.16,MAX(0.05,NORMINV(RAND(),$C$8,$D$8)))</f>
        <v/>
      </c>
      <c r="N185" s="26">
        <f>MIN(24,MAX(5,NORMINV(RAND(),$C$9,$D$9)))</f>
        <v/>
      </c>
      <c r="O185" s="49">
        <f>$I$8*(SUMPRODUCT(($I$2*(1+K185)^{1;2;3;4;5;6;7;8;9;10})*(($I$3+(L185-$I$3)*{1;2;3;4;5;6;7;8;9;10}/10)*(1-$I$7)+$I$4-$I$4*($I$5+(1.05-$I$5)*{1;2;3;4;5;6;7;8;9;10}/10)-(K185/(1+K185))*$I$6)/(1+M185)^{1;2;3;4;5;6;7;8;9;10})+$I$2*(1+K185)^10*(L185+$I$4)*N185/(1+M185)^10+$I$9-$I$10)/$I$11</f>
        <v/>
      </c>
    </row>
    <row r="186">
      <c r="K186" s="25">
        <f>MAX(-0.05,NORMINV(RAND(),$C$6,$D$6))</f>
        <v/>
      </c>
      <c r="L186" s="25">
        <f>MAX(0.02,NORMINV(RAND(),$C$7,$D$7))</f>
        <v/>
      </c>
      <c r="M186" s="25">
        <f>MIN(0.16,MAX(0.05,NORMINV(RAND(),$C$8,$D$8)))</f>
        <v/>
      </c>
      <c r="N186" s="26">
        <f>MIN(24,MAX(5,NORMINV(RAND(),$C$9,$D$9)))</f>
        <v/>
      </c>
      <c r="O186" s="49">
        <f>$I$8*(SUMPRODUCT(($I$2*(1+K186)^{1;2;3;4;5;6;7;8;9;10})*(($I$3+(L186-$I$3)*{1;2;3;4;5;6;7;8;9;10}/10)*(1-$I$7)+$I$4-$I$4*($I$5+(1.05-$I$5)*{1;2;3;4;5;6;7;8;9;10}/10)-(K186/(1+K186))*$I$6)/(1+M186)^{1;2;3;4;5;6;7;8;9;10})+$I$2*(1+K186)^10*(L186+$I$4)*N186/(1+M186)^10+$I$9-$I$10)/$I$11</f>
        <v/>
      </c>
    </row>
    <row r="187">
      <c r="K187" s="25">
        <f>MAX(-0.05,NORMINV(RAND(),$C$6,$D$6))</f>
        <v/>
      </c>
      <c r="L187" s="25">
        <f>MAX(0.02,NORMINV(RAND(),$C$7,$D$7))</f>
        <v/>
      </c>
      <c r="M187" s="25">
        <f>MIN(0.16,MAX(0.05,NORMINV(RAND(),$C$8,$D$8)))</f>
        <v/>
      </c>
      <c r="N187" s="26">
        <f>MIN(24,MAX(5,NORMINV(RAND(),$C$9,$D$9)))</f>
        <v/>
      </c>
      <c r="O187" s="49">
        <f>$I$8*(SUMPRODUCT(($I$2*(1+K187)^{1;2;3;4;5;6;7;8;9;10})*(($I$3+(L187-$I$3)*{1;2;3;4;5;6;7;8;9;10}/10)*(1-$I$7)+$I$4-$I$4*($I$5+(1.05-$I$5)*{1;2;3;4;5;6;7;8;9;10}/10)-(K187/(1+K187))*$I$6)/(1+M187)^{1;2;3;4;5;6;7;8;9;10})+$I$2*(1+K187)^10*(L187+$I$4)*N187/(1+M187)^10+$I$9-$I$10)/$I$11</f>
        <v/>
      </c>
    </row>
    <row r="188">
      <c r="K188" s="25">
        <f>MAX(-0.05,NORMINV(RAND(),$C$6,$D$6))</f>
        <v/>
      </c>
      <c r="L188" s="25">
        <f>MAX(0.02,NORMINV(RAND(),$C$7,$D$7))</f>
        <v/>
      </c>
      <c r="M188" s="25">
        <f>MIN(0.16,MAX(0.05,NORMINV(RAND(),$C$8,$D$8)))</f>
        <v/>
      </c>
      <c r="N188" s="26">
        <f>MIN(24,MAX(5,NORMINV(RAND(),$C$9,$D$9)))</f>
        <v/>
      </c>
      <c r="O188" s="49">
        <f>$I$8*(SUMPRODUCT(($I$2*(1+K188)^{1;2;3;4;5;6;7;8;9;10})*(($I$3+(L188-$I$3)*{1;2;3;4;5;6;7;8;9;10}/10)*(1-$I$7)+$I$4-$I$4*($I$5+(1.05-$I$5)*{1;2;3;4;5;6;7;8;9;10}/10)-(K188/(1+K188))*$I$6)/(1+M188)^{1;2;3;4;5;6;7;8;9;10})+$I$2*(1+K188)^10*(L188+$I$4)*N188/(1+M188)^10+$I$9-$I$10)/$I$11</f>
        <v/>
      </c>
    </row>
    <row r="189">
      <c r="K189" s="25">
        <f>MAX(-0.05,NORMINV(RAND(),$C$6,$D$6))</f>
        <v/>
      </c>
      <c r="L189" s="25">
        <f>MAX(0.02,NORMINV(RAND(),$C$7,$D$7))</f>
        <v/>
      </c>
      <c r="M189" s="25">
        <f>MIN(0.16,MAX(0.05,NORMINV(RAND(),$C$8,$D$8)))</f>
        <v/>
      </c>
      <c r="N189" s="26">
        <f>MIN(24,MAX(5,NORMINV(RAND(),$C$9,$D$9)))</f>
        <v/>
      </c>
      <c r="O189" s="49">
        <f>$I$8*(SUMPRODUCT(($I$2*(1+K189)^{1;2;3;4;5;6;7;8;9;10})*(($I$3+(L189-$I$3)*{1;2;3;4;5;6;7;8;9;10}/10)*(1-$I$7)+$I$4-$I$4*($I$5+(1.05-$I$5)*{1;2;3;4;5;6;7;8;9;10}/10)-(K189/(1+K189))*$I$6)/(1+M189)^{1;2;3;4;5;6;7;8;9;10})+$I$2*(1+K189)^10*(L189+$I$4)*N189/(1+M189)^10+$I$9-$I$10)/$I$11</f>
        <v/>
      </c>
    </row>
    <row r="190">
      <c r="K190" s="25">
        <f>MAX(-0.05,NORMINV(RAND(),$C$6,$D$6))</f>
        <v/>
      </c>
      <c r="L190" s="25">
        <f>MAX(0.02,NORMINV(RAND(),$C$7,$D$7))</f>
        <v/>
      </c>
      <c r="M190" s="25">
        <f>MIN(0.16,MAX(0.05,NORMINV(RAND(),$C$8,$D$8)))</f>
        <v/>
      </c>
      <c r="N190" s="26">
        <f>MIN(24,MAX(5,NORMINV(RAND(),$C$9,$D$9)))</f>
        <v/>
      </c>
      <c r="O190" s="49">
        <f>$I$8*(SUMPRODUCT(($I$2*(1+K190)^{1;2;3;4;5;6;7;8;9;10})*(($I$3+(L190-$I$3)*{1;2;3;4;5;6;7;8;9;10}/10)*(1-$I$7)+$I$4-$I$4*($I$5+(1.05-$I$5)*{1;2;3;4;5;6;7;8;9;10}/10)-(K190/(1+K190))*$I$6)/(1+M190)^{1;2;3;4;5;6;7;8;9;10})+$I$2*(1+K190)^10*(L190+$I$4)*N190/(1+M190)^10+$I$9-$I$10)/$I$11</f>
        <v/>
      </c>
    </row>
    <row r="191">
      <c r="K191" s="25">
        <f>MAX(-0.05,NORMINV(RAND(),$C$6,$D$6))</f>
        <v/>
      </c>
      <c r="L191" s="25">
        <f>MAX(0.02,NORMINV(RAND(),$C$7,$D$7))</f>
        <v/>
      </c>
      <c r="M191" s="25">
        <f>MIN(0.16,MAX(0.05,NORMINV(RAND(),$C$8,$D$8)))</f>
        <v/>
      </c>
      <c r="N191" s="26">
        <f>MIN(24,MAX(5,NORMINV(RAND(),$C$9,$D$9)))</f>
        <v/>
      </c>
      <c r="O191" s="49">
        <f>$I$8*(SUMPRODUCT(($I$2*(1+K191)^{1;2;3;4;5;6;7;8;9;10})*(($I$3+(L191-$I$3)*{1;2;3;4;5;6;7;8;9;10}/10)*(1-$I$7)+$I$4-$I$4*($I$5+(1.05-$I$5)*{1;2;3;4;5;6;7;8;9;10}/10)-(K191/(1+K191))*$I$6)/(1+M191)^{1;2;3;4;5;6;7;8;9;10})+$I$2*(1+K191)^10*(L191+$I$4)*N191/(1+M191)^10+$I$9-$I$10)/$I$11</f>
        <v/>
      </c>
    </row>
    <row r="192">
      <c r="K192" s="25">
        <f>MAX(-0.05,NORMINV(RAND(),$C$6,$D$6))</f>
        <v/>
      </c>
      <c r="L192" s="25">
        <f>MAX(0.02,NORMINV(RAND(),$C$7,$D$7))</f>
        <v/>
      </c>
      <c r="M192" s="25">
        <f>MIN(0.16,MAX(0.05,NORMINV(RAND(),$C$8,$D$8)))</f>
        <v/>
      </c>
      <c r="N192" s="26">
        <f>MIN(24,MAX(5,NORMINV(RAND(),$C$9,$D$9)))</f>
        <v/>
      </c>
      <c r="O192" s="49">
        <f>$I$8*(SUMPRODUCT(($I$2*(1+K192)^{1;2;3;4;5;6;7;8;9;10})*(($I$3+(L192-$I$3)*{1;2;3;4;5;6;7;8;9;10}/10)*(1-$I$7)+$I$4-$I$4*($I$5+(1.05-$I$5)*{1;2;3;4;5;6;7;8;9;10}/10)-(K192/(1+K192))*$I$6)/(1+M192)^{1;2;3;4;5;6;7;8;9;10})+$I$2*(1+K192)^10*(L192+$I$4)*N192/(1+M192)^10+$I$9-$I$10)/$I$11</f>
        <v/>
      </c>
    </row>
    <row r="193">
      <c r="K193" s="25">
        <f>MAX(-0.05,NORMINV(RAND(),$C$6,$D$6))</f>
        <v/>
      </c>
      <c r="L193" s="25">
        <f>MAX(0.02,NORMINV(RAND(),$C$7,$D$7))</f>
        <v/>
      </c>
      <c r="M193" s="25">
        <f>MIN(0.16,MAX(0.05,NORMINV(RAND(),$C$8,$D$8)))</f>
        <v/>
      </c>
      <c r="N193" s="26">
        <f>MIN(24,MAX(5,NORMINV(RAND(),$C$9,$D$9)))</f>
        <v/>
      </c>
      <c r="O193" s="49">
        <f>$I$8*(SUMPRODUCT(($I$2*(1+K193)^{1;2;3;4;5;6;7;8;9;10})*(($I$3+(L193-$I$3)*{1;2;3;4;5;6;7;8;9;10}/10)*(1-$I$7)+$I$4-$I$4*($I$5+(1.05-$I$5)*{1;2;3;4;5;6;7;8;9;10}/10)-(K193/(1+K193))*$I$6)/(1+M193)^{1;2;3;4;5;6;7;8;9;10})+$I$2*(1+K193)^10*(L193+$I$4)*N193/(1+M193)^10+$I$9-$I$10)/$I$11</f>
        <v/>
      </c>
    </row>
    <row r="194">
      <c r="K194" s="25">
        <f>MAX(-0.05,NORMINV(RAND(),$C$6,$D$6))</f>
        <v/>
      </c>
      <c r="L194" s="25">
        <f>MAX(0.02,NORMINV(RAND(),$C$7,$D$7))</f>
        <v/>
      </c>
      <c r="M194" s="25">
        <f>MIN(0.16,MAX(0.05,NORMINV(RAND(),$C$8,$D$8)))</f>
        <v/>
      </c>
      <c r="N194" s="26">
        <f>MIN(24,MAX(5,NORMINV(RAND(),$C$9,$D$9)))</f>
        <v/>
      </c>
      <c r="O194" s="49">
        <f>$I$8*(SUMPRODUCT(($I$2*(1+K194)^{1;2;3;4;5;6;7;8;9;10})*(($I$3+(L194-$I$3)*{1;2;3;4;5;6;7;8;9;10}/10)*(1-$I$7)+$I$4-$I$4*($I$5+(1.05-$I$5)*{1;2;3;4;5;6;7;8;9;10}/10)-(K194/(1+K194))*$I$6)/(1+M194)^{1;2;3;4;5;6;7;8;9;10})+$I$2*(1+K194)^10*(L194+$I$4)*N194/(1+M194)^10+$I$9-$I$10)/$I$11</f>
        <v/>
      </c>
    </row>
    <row r="195">
      <c r="K195" s="25">
        <f>MAX(-0.05,NORMINV(RAND(),$C$6,$D$6))</f>
        <v/>
      </c>
      <c r="L195" s="25">
        <f>MAX(0.02,NORMINV(RAND(),$C$7,$D$7))</f>
        <v/>
      </c>
      <c r="M195" s="25">
        <f>MIN(0.16,MAX(0.05,NORMINV(RAND(),$C$8,$D$8)))</f>
        <v/>
      </c>
      <c r="N195" s="26">
        <f>MIN(24,MAX(5,NORMINV(RAND(),$C$9,$D$9)))</f>
        <v/>
      </c>
      <c r="O195" s="49">
        <f>$I$8*(SUMPRODUCT(($I$2*(1+K195)^{1;2;3;4;5;6;7;8;9;10})*(($I$3+(L195-$I$3)*{1;2;3;4;5;6;7;8;9;10}/10)*(1-$I$7)+$I$4-$I$4*($I$5+(1.05-$I$5)*{1;2;3;4;5;6;7;8;9;10}/10)-(K195/(1+K195))*$I$6)/(1+M195)^{1;2;3;4;5;6;7;8;9;10})+$I$2*(1+K195)^10*(L195+$I$4)*N195/(1+M195)^10+$I$9-$I$10)/$I$11</f>
        <v/>
      </c>
    </row>
    <row r="196">
      <c r="K196" s="25">
        <f>MAX(-0.05,NORMINV(RAND(),$C$6,$D$6))</f>
        <v/>
      </c>
      <c r="L196" s="25">
        <f>MAX(0.02,NORMINV(RAND(),$C$7,$D$7))</f>
        <v/>
      </c>
      <c r="M196" s="25">
        <f>MIN(0.16,MAX(0.05,NORMINV(RAND(),$C$8,$D$8)))</f>
        <v/>
      </c>
      <c r="N196" s="26">
        <f>MIN(24,MAX(5,NORMINV(RAND(),$C$9,$D$9)))</f>
        <v/>
      </c>
      <c r="O196" s="49">
        <f>$I$8*(SUMPRODUCT(($I$2*(1+K196)^{1;2;3;4;5;6;7;8;9;10})*(($I$3+(L196-$I$3)*{1;2;3;4;5;6;7;8;9;10}/10)*(1-$I$7)+$I$4-$I$4*($I$5+(1.05-$I$5)*{1;2;3;4;5;6;7;8;9;10}/10)-(K196/(1+K196))*$I$6)/(1+M196)^{1;2;3;4;5;6;7;8;9;10})+$I$2*(1+K196)^10*(L196+$I$4)*N196/(1+M196)^10+$I$9-$I$10)/$I$11</f>
        <v/>
      </c>
    </row>
    <row r="197">
      <c r="K197" s="25">
        <f>MAX(-0.05,NORMINV(RAND(),$C$6,$D$6))</f>
        <v/>
      </c>
      <c r="L197" s="25">
        <f>MAX(0.02,NORMINV(RAND(),$C$7,$D$7))</f>
        <v/>
      </c>
      <c r="M197" s="25">
        <f>MIN(0.16,MAX(0.05,NORMINV(RAND(),$C$8,$D$8)))</f>
        <v/>
      </c>
      <c r="N197" s="26">
        <f>MIN(24,MAX(5,NORMINV(RAND(),$C$9,$D$9)))</f>
        <v/>
      </c>
      <c r="O197" s="49">
        <f>$I$8*(SUMPRODUCT(($I$2*(1+K197)^{1;2;3;4;5;6;7;8;9;10})*(($I$3+(L197-$I$3)*{1;2;3;4;5;6;7;8;9;10}/10)*(1-$I$7)+$I$4-$I$4*($I$5+(1.05-$I$5)*{1;2;3;4;5;6;7;8;9;10}/10)-(K197/(1+K197))*$I$6)/(1+M197)^{1;2;3;4;5;6;7;8;9;10})+$I$2*(1+K197)^10*(L197+$I$4)*N197/(1+M197)^10+$I$9-$I$10)/$I$11</f>
        <v/>
      </c>
    </row>
    <row r="198">
      <c r="K198" s="25">
        <f>MAX(-0.05,NORMINV(RAND(),$C$6,$D$6))</f>
        <v/>
      </c>
      <c r="L198" s="25">
        <f>MAX(0.02,NORMINV(RAND(),$C$7,$D$7))</f>
        <v/>
      </c>
      <c r="M198" s="25">
        <f>MIN(0.16,MAX(0.05,NORMINV(RAND(),$C$8,$D$8)))</f>
        <v/>
      </c>
      <c r="N198" s="26">
        <f>MIN(24,MAX(5,NORMINV(RAND(),$C$9,$D$9)))</f>
        <v/>
      </c>
      <c r="O198" s="49">
        <f>$I$8*(SUMPRODUCT(($I$2*(1+K198)^{1;2;3;4;5;6;7;8;9;10})*(($I$3+(L198-$I$3)*{1;2;3;4;5;6;7;8;9;10}/10)*(1-$I$7)+$I$4-$I$4*($I$5+(1.05-$I$5)*{1;2;3;4;5;6;7;8;9;10}/10)-(K198/(1+K198))*$I$6)/(1+M198)^{1;2;3;4;5;6;7;8;9;10})+$I$2*(1+K198)^10*(L198+$I$4)*N198/(1+M198)^10+$I$9-$I$10)/$I$11</f>
        <v/>
      </c>
    </row>
    <row r="199">
      <c r="K199" s="25">
        <f>MAX(-0.05,NORMINV(RAND(),$C$6,$D$6))</f>
        <v/>
      </c>
      <c r="L199" s="25">
        <f>MAX(0.02,NORMINV(RAND(),$C$7,$D$7))</f>
        <v/>
      </c>
      <c r="M199" s="25">
        <f>MIN(0.16,MAX(0.05,NORMINV(RAND(),$C$8,$D$8)))</f>
        <v/>
      </c>
      <c r="N199" s="26">
        <f>MIN(24,MAX(5,NORMINV(RAND(),$C$9,$D$9)))</f>
        <v/>
      </c>
      <c r="O199" s="49">
        <f>$I$8*(SUMPRODUCT(($I$2*(1+K199)^{1;2;3;4;5;6;7;8;9;10})*(($I$3+(L199-$I$3)*{1;2;3;4;5;6;7;8;9;10}/10)*(1-$I$7)+$I$4-$I$4*($I$5+(1.05-$I$5)*{1;2;3;4;5;6;7;8;9;10}/10)-(K199/(1+K199))*$I$6)/(1+M199)^{1;2;3;4;5;6;7;8;9;10})+$I$2*(1+K199)^10*(L199+$I$4)*N199/(1+M199)^10+$I$9-$I$10)/$I$11</f>
        <v/>
      </c>
    </row>
    <row r="200">
      <c r="K200" s="25">
        <f>MAX(-0.05,NORMINV(RAND(),$C$6,$D$6))</f>
        <v/>
      </c>
      <c r="L200" s="25">
        <f>MAX(0.02,NORMINV(RAND(),$C$7,$D$7))</f>
        <v/>
      </c>
      <c r="M200" s="25">
        <f>MIN(0.16,MAX(0.05,NORMINV(RAND(),$C$8,$D$8)))</f>
        <v/>
      </c>
      <c r="N200" s="26">
        <f>MIN(24,MAX(5,NORMINV(RAND(),$C$9,$D$9)))</f>
        <v/>
      </c>
      <c r="O200" s="49">
        <f>$I$8*(SUMPRODUCT(($I$2*(1+K200)^{1;2;3;4;5;6;7;8;9;10})*(($I$3+(L200-$I$3)*{1;2;3;4;5;6;7;8;9;10}/10)*(1-$I$7)+$I$4-$I$4*($I$5+(1.05-$I$5)*{1;2;3;4;5;6;7;8;9;10}/10)-(K200/(1+K200))*$I$6)/(1+M200)^{1;2;3;4;5;6;7;8;9;10})+$I$2*(1+K200)^10*(L200+$I$4)*N200/(1+M200)^10+$I$9-$I$10)/$I$11</f>
        <v/>
      </c>
    </row>
    <row r="201">
      <c r="K201" s="25">
        <f>MAX(-0.05,NORMINV(RAND(),$C$6,$D$6))</f>
        <v/>
      </c>
      <c r="L201" s="25">
        <f>MAX(0.02,NORMINV(RAND(),$C$7,$D$7))</f>
        <v/>
      </c>
      <c r="M201" s="25">
        <f>MIN(0.16,MAX(0.05,NORMINV(RAND(),$C$8,$D$8)))</f>
        <v/>
      </c>
      <c r="N201" s="26">
        <f>MIN(24,MAX(5,NORMINV(RAND(),$C$9,$D$9)))</f>
        <v/>
      </c>
      <c r="O201" s="49">
        <f>$I$8*(SUMPRODUCT(($I$2*(1+K201)^{1;2;3;4;5;6;7;8;9;10})*(($I$3+(L201-$I$3)*{1;2;3;4;5;6;7;8;9;10}/10)*(1-$I$7)+$I$4-$I$4*($I$5+(1.05-$I$5)*{1;2;3;4;5;6;7;8;9;10}/10)-(K201/(1+K201))*$I$6)/(1+M201)^{1;2;3;4;5;6;7;8;9;10})+$I$2*(1+K201)^10*(L201+$I$4)*N201/(1+M201)^10+$I$9-$I$10)/$I$11</f>
        <v/>
      </c>
    </row>
    <row r="202">
      <c r="K202" s="25">
        <f>MAX(-0.05,NORMINV(RAND(),$C$6,$D$6))</f>
        <v/>
      </c>
      <c r="L202" s="25">
        <f>MAX(0.02,NORMINV(RAND(),$C$7,$D$7))</f>
        <v/>
      </c>
      <c r="M202" s="25">
        <f>MIN(0.16,MAX(0.05,NORMINV(RAND(),$C$8,$D$8)))</f>
        <v/>
      </c>
      <c r="N202" s="26">
        <f>MIN(24,MAX(5,NORMINV(RAND(),$C$9,$D$9)))</f>
        <v/>
      </c>
      <c r="O202" s="49">
        <f>$I$8*(SUMPRODUCT(($I$2*(1+K202)^{1;2;3;4;5;6;7;8;9;10})*(($I$3+(L202-$I$3)*{1;2;3;4;5;6;7;8;9;10}/10)*(1-$I$7)+$I$4-$I$4*($I$5+(1.05-$I$5)*{1;2;3;4;5;6;7;8;9;10}/10)-(K202/(1+K202))*$I$6)/(1+M202)^{1;2;3;4;5;6;7;8;9;10})+$I$2*(1+K202)^10*(L202+$I$4)*N202/(1+M202)^10+$I$9-$I$10)/$I$11</f>
        <v/>
      </c>
    </row>
    <row r="203">
      <c r="K203" s="25">
        <f>MAX(-0.05,NORMINV(RAND(),$C$6,$D$6))</f>
        <v/>
      </c>
      <c r="L203" s="25">
        <f>MAX(0.02,NORMINV(RAND(),$C$7,$D$7))</f>
        <v/>
      </c>
      <c r="M203" s="25">
        <f>MIN(0.16,MAX(0.05,NORMINV(RAND(),$C$8,$D$8)))</f>
        <v/>
      </c>
      <c r="N203" s="26">
        <f>MIN(24,MAX(5,NORMINV(RAND(),$C$9,$D$9)))</f>
        <v/>
      </c>
      <c r="O203" s="49">
        <f>$I$8*(SUMPRODUCT(($I$2*(1+K203)^{1;2;3;4;5;6;7;8;9;10})*(($I$3+(L203-$I$3)*{1;2;3;4;5;6;7;8;9;10}/10)*(1-$I$7)+$I$4-$I$4*($I$5+(1.05-$I$5)*{1;2;3;4;5;6;7;8;9;10}/10)-(K203/(1+K203))*$I$6)/(1+M203)^{1;2;3;4;5;6;7;8;9;10})+$I$2*(1+K203)^10*(L203+$I$4)*N203/(1+M203)^10+$I$9-$I$10)/$I$11</f>
        <v/>
      </c>
    </row>
    <row r="204">
      <c r="K204" s="25">
        <f>MAX(-0.05,NORMINV(RAND(),$C$6,$D$6))</f>
        <v/>
      </c>
      <c r="L204" s="25">
        <f>MAX(0.02,NORMINV(RAND(),$C$7,$D$7))</f>
        <v/>
      </c>
      <c r="M204" s="25">
        <f>MIN(0.16,MAX(0.05,NORMINV(RAND(),$C$8,$D$8)))</f>
        <v/>
      </c>
      <c r="N204" s="26">
        <f>MIN(24,MAX(5,NORMINV(RAND(),$C$9,$D$9)))</f>
        <v/>
      </c>
      <c r="O204" s="49">
        <f>$I$8*(SUMPRODUCT(($I$2*(1+K204)^{1;2;3;4;5;6;7;8;9;10})*(($I$3+(L204-$I$3)*{1;2;3;4;5;6;7;8;9;10}/10)*(1-$I$7)+$I$4-$I$4*($I$5+(1.05-$I$5)*{1;2;3;4;5;6;7;8;9;10}/10)-(K204/(1+K204))*$I$6)/(1+M204)^{1;2;3;4;5;6;7;8;9;10})+$I$2*(1+K204)^10*(L204+$I$4)*N204/(1+M204)^10+$I$9-$I$10)/$I$11</f>
        <v/>
      </c>
    </row>
    <row r="205">
      <c r="K205" s="25">
        <f>MAX(-0.05,NORMINV(RAND(),$C$6,$D$6))</f>
        <v/>
      </c>
      <c r="L205" s="25">
        <f>MAX(0.02,NORMINV(RAND(),$C$7,$D$7))</f>
        <v/>
      </c>
      <c r="M205" s="25">
        <f>MIN(0.16,MAX(0.05,NORMINV(RAND(),$C$8,$D$8)))</f>
        <v/>
      </c>
      <c r="N205" s="26">
        <f>MIN(24,MAX(5,NORMINV(RAND(),$C$9,$D$9)))</f>
        <v/>
      </c>
      <c r="O205" s="49">
        <f>$I$8*(SUMPRODUCT(($I$2*(1+K205)^{1;2;3;4;5;6;7;8;9;10})*(($I$3+(L205-$I$3)*{1;2;3;4;5;6;7;8;9;10}/10)*(1-$I$7)+$I$4-$I$4*($I$5+(1.05-$I$5)*{1;2;3;4;5;6;7;8;9;10}/10)-(K205/(1+K205))*$I$6)/(1+M205)^{1;2;3;4;5;6;7;8;9;10})+$I$2*(1+K205)^10*(L205+$I$4)*N205/(1+M205)^10+$I$9-$I$10)/$I$11</f>
        <v/>
      </c>
    </row>
    <row r="206">
      <c r="K206" s="25">
        <f>MAX(-0.05,NORMINV(RAND(),$C$6,$D$6))</f>
        <v/>
      </c>
      <c r="L206" s="25">
        <f>MAX(0.02,NORMINV(RAND(),$C$7,$D$7))</f>
        <v/>
      </c>
      <c r="M206" s="25">
        <f>MIN(0.16,MAX(0.05,NORMINV(RAND(),$C$8,$D$8)))</f>
        <v/>
      </c>
      <c r="N206" s="26">
        <f>MIN(24,MAX(5,NORMINV(RAND(),$C$9,$D$9)))</f>
        <v/>
      </c>
      <c r="O206" s="49">
        <f>$I$8*(SUMPRODUCT(($I$2*(1+K206)^{1;2;3;4;5;6;7;8;9;10})*(($I$3+(L206-$I$3)*{1;2;3;4;5;6;7;8;9;10}/10)*(1-$I$7)+$I$4-$I$4*($I$5+(1.05-$I$5)*{1;2;3;4;5;6;7;8;9;10}/10)-(K206/(1+K206))*$I$6)/(1+M206)^{1;2;3;4;5;6;7;8;9;10})+$I$2*(1+K206)^10*(L206+$I$4)*N206/(1+M206)^10+$I$9-$I$10)/$I$11</f>
        <v/>
      </c>
    </row>
    <row r="207">
      <c r="K207" s="25">
        <f>MAX(-0.05,NORMINV(RAND(),$C$6,$D$6))</f>
        <v/>
      </c>
      <c r="L207" s="25">
        <f>MAX(0.02,NORMINV(RAND(),$C$7,$D$7))</f>
        <v/>
      </c>
      <c r="M207" s="25">
        <f>MIN(0.16,MAX(0.05,NORMINV(RAND(),$C$8,$D$8)))</f>
        <v/>
      </c>
      <c r="N207" s="26">
        <f>MIN(24,MAX(5,NORMINV(RAND(),$C$9,$D$9)))</f>
        <v/>
      </c>
      <c r="O207" s="49">
        <f>$I$8*(SUMPRODUCT(($I$2*(1+K207)^{1;2;3;4;5;6;7;8;9;10})*(($I$3+(L207-$I$3)*{1;2;3;4;5;6;7;8;9;10}/10)*(1-$I$7)+$I$4-$I$4*($I$5+(1.05-$I$5)*{1;2;3;4;5;6;7;8;9;10}/10)-(K207/(1+K207))*$I$6)/(1+M207)^{1;2;3;4;5;6;7;8;9;10})+$I$2*(1+K207)^10*(L207+$I$4)*N207/(1+M207)^10+$I$9-$I$10)/$I$11</f>
        <v/>
      </c>
    </row>
    <row r="208">
      <c r="K208" s="25">
        <f>MAX(-0.05,NORMINV(RAND(),$C$6,$D$6))</f>
        <v/>
      </c>
      <c r="L208" s="25">
        <f>MAX(0.02,NORMINV(RAND(),$C$7,$D$7))</f>
        <v/>
      </c>
      <c r="M208" s="25">
        <f>MIN(0.16,MAX(0.05,NORMINV(RAND(),$C$8,$D$8)))</f>
        <v/>
      </c>
      <c r="N208" s="26">
        <f>MIN(24,MAX(5,NORMINV(RAND(),$C$9,$D$9)))</f>
        <v/>
      </c>
      <c r="O208" s="49">
        <f>$I$8*(SUMPRODUCT(($I$2*(1+K208)^{1;2;3;4;5;6;7;8;9;10})*(($I$3+(L208-$I$3)*{1;2;3;4;5;6;7;8;9;10}/10)*(1-$I$7)+$I$4-$I$4*($I$5+(1.05-$I$5)*{1;2;3;4;5;6;7;8;9;10}/10)-(K208/(1+K208))*$I$6)/(1+M208)^{1;2;3;4;5;6;7;8;9;10})+$I$2*(1+K208)^10*(L208+$I$4)*N208/(1+M208)^10+$I$9-$I$10)/$I$11</f>
        <v/>
      </c>
    </row>
    <row r="209">
      <c r="K209" s="25">
        <f>MAX(-0.05,NORMINV(RAND(),$C$6,$D$6))</f>
        <v/>
      </c>
      <c r="L209" s="25">
        <f>MAX(0.02,NORMINV(RAND(),$C$7,$D$7))</f>
        <v/>
      </c>
      <c r="M209" s="25">
        <f>MIN(0.16,MAX(0.05,NORMINV(RAND(),$C$8,$D$8)))</f>
        <v/>
      </c>
      <c r="N209" s="26">
        <f>MIN(24,MAX(5,NORMINV(RAND(),$C$9,$D$9)))</f>
        <v/>
      </c>
      <c r="O209" s="49">
        <f>$I$8*(SUMPRODUCT(($I$2*(1+K209)^{1;2;3;4;5;6;7;8;9;10})*(($I$3+(L209-$I$3)*{1;2;3;4;5;6;7;8;9;10}/10)*(1-$I$7)+$I$4-$I$4*($I$5+(1.05-$I$5)*{1;2;3;4;5;6;7;8;9;10}/10)-(K209/(1+K209))*$I$6)/(1+M209)^{1;2;3;4;5;6;7;8;9;10})+$I$2*(1+K209)^10*(L209+$I$4)*N209/(1+M209)^10+$I$9-$I$10)/$I$11</f>
        <v/>
      </c>
    </row>
    <row r="210">
      <c r="K210" s="25">
        <f>MAX(-0.05,NORMINV(RAND(),$C$6,$D$6))</f>
        <v/>
      </c>
      <c r="L210" s="25">
        <f>MAX(0.02,NORMINV(RAND(),$C$7,$D$7))</f>
        <v/>
      </c>
      <c r="M210" s="25">
        <f>MIN(0.16,MAX(0.05,NORMINV(RAND(),$C$8,$D$8)))</f>
        <v/>
      </c>
      <c r="N210" s="26">
        <f>MIN(24,MAX(5,NORMINV(RAND(),$C$9,$D$9)))</f>
        <v/>
      </c>
      <c r="O210" s="49">
        <f>$I$8*(SUMPRODUCT(($I$2*(1+K210)^{1;2;3;4;5;6;7;8;9;10})*(($I$3+(L210-$I$3)*{1;2;3;4;5;6;7;8;9;10}/10)*(1-$I$7)+$I$4-$I$4*($I$5+(1.05-$I$5)*{1;2;3;4;5;6;7;8;9;10}/10)-(K210/(1+K210))*$I$6)/(1+M210)^{1;2;3;4;5;6;7;8;9;10})+$I$2*(1+K210)^10*(L210+$I$4)*N210/(1+M210)^10+$I$9-$I$10)/$I$11</f>
        <v/>
      </c>
    </row>
    <row r="211">
      <c r="K211" s="25">
        <f>MAX(-0.05,NORMINV(RAND(),$C$6,$D$6))</f>
        <v/>
      </c>
      <c r="L211" s="25">
        <f>MAX(0.02,NORMINV(RAND(),$C$7,$D$7))</f>
        <v/>
      </c>
      <c r="M211" s="25">
        <f>MIN(0.16,MAX(0.05,NORMINV(RAND(),$C$8,$D$8)))</f>
        <v/>
      </c>
      <c r="N211" s="26">
        <f>MIN(24,MAX(5,NORMINV(RAND(),$C$9,$D$9)))</f>
        <v/>
      </c>
      <c r="O211" s="49">
        <f>$I$8*(SUMPRODUCT(($I$2*(1+K211)^{1;2;3;4;5;6;7;8;9;10})*(($I$3+(L211-$I$3)*{1;2;3;4;5;6;7;8;9;10}/10)*(1-$I$7)+$I$4-$I$4*($I$5+(1.05-$I$5)*{1;2;3;4;5;6;7;8;9;10}/10)-(K211/(1+K211))*$I$6)/(1+M211)^{1;2;3;4;5;6;7;8;9;10})+$I$2*(1+K211)^10*(L211+$I$4)*N211/(1+M211)^10+$I$9-$I$10)/$I$11</f>
        <v/>
      </c>
    </row>
    <row r="212">
      <c r="K212" s="25">
        <f>MAX(-0.05,NORMINV(RAND(),$C$6,$D$6))</f>
        <v/>
      </c>
      <c r="L212" s="25">
        <f>MAX(0.02,NORMINV(RAND(),$C$7,$D$7))</f>
        <v/>
      </c>
      <c r="M212" s="25">
        <f>MIN(0.16,MAX(0.05,NORMINV(RAND(),$C$8,$D$8)))</f>
        <v/>
      </c>
      <c r="N212" s="26">
        <f>MIN(24,MAX(5,NORMINV(RAND(),$C$9,$D$9)))</f>
        <v/>
      </c>
      <c r="O212" s="49">
        <f>$I$8*(SUMPRODUCT(($I$2*(1+K212)^{1;2;3;4;5;6;7;8;9;10})*(($I$3+(L212-$I$3)*{1;2;3;4;5;6;7;8;9;10}/10)*(1-$I$7)+$I$4-$I$4*($I$5+(1.05-$I$5)*{1;2;3;4;5;6;7;8;9;10}/10)-(K212/(1+K212))*$I$6)/(1+M212)^{1;2;3;4;5;6;7;8;9;10})+$I$2*(1+K212)^10*(L212+$I$4)*N212/(1+M212)^10+$I$9-$I$10)/$I$11</f>
        <v/>
      </c>
    </row>
    <row r="213">
      <c r="K213" s="25">
        <f>MAX(-0.05,NORMINV(RAND(),$C$6,$D$6))</f>
        <v/>
      </c>
      <c r="L213" s="25">
        <f>MAX(0.02,NORMINV(RAND(),$C$7,$D$7))</f>
        <v/>
      </c>
      <c r="M213" s="25">
        <f>MIN(0.16,MAX(0.05,NORMINV(RAND(),$C$8,$D$8)))</f>
        <v/>
      </c>
      <c r="N213" s="26">
        <f>MIN(24,MAX(5,NORMINV(RAND(),$C$9,$D$9)))</f>
        <v/>
      </c>
      <c r="O213" s="49">
        <f>$I$8*(SUMPRODUCT(($I$2*(1+K213)^{1;2;3;4;5;6;7;8;9;10})*(($I$3+(L213-$I$3)*{1;2;3;4;5;6;7;8;9;10}/10)*(1-$I$7)+$I$4-$I$4*($I$5+(1.05-$I$5)*{1;2;3;4;5;6;7;8;9;10}/10)-(K213/(1+K213))*$I$6)/(1+M213)^{1;2;3;4;5;6;7;8;9;10})+$I$2*(1+K213)^10*(L213+$I$4)*N213/(1+M213)^10+$I$9-$I$10)/$I$11</f>
        <v/>
      </c>
    </row>
    <row r="214">
      <c r="K214" s="25">
        <f>MAX(-0.05,NORMINV(RAND(),$C$6,$D$6))</f>
        <v/>
      </c>
      <c r="L214" s="25">
        <f>MAX(0.02,NORMINV(RAND(),$C$7,$D$7))</f>
        <v/>
      </c>
      <c r="M214" s="25">
        <f>MIN(0.16,MAX(0.05,NORMINV(RAND(),$C$8,$D$8)))</f>
        <v/>
      </c>
      <c r="N214" s="26">
        <f>MIN(24,MAX(5,NORMINV(RAND(),$C$9,$D$9)))</f>
        <v/>
      </c>
      <c r="O214" s="49">
        <f>$I$8*(SUMPRODUCT(($I$2*(1+K214)^{1;2;3;4;5;6;7;8;9;10})*(($I$3+(L214-$I$3)*{1;2;3;4;5;6;7;8;9;10}/10)*(1-$I$7)+$I$4-$I$4*($I$5+(1.05-$I$5)*{1;2;3;4;5;6;7;8;9;10}/10)-(K214/(1+K214))*$I$6)/(1+M214)^{1;2;3;4;5;6;7;8;9;10})+$I$2*(1+K214)^10*(L214+$I$4)*N214/(1+M214)^10+$I$9-$I$10)/$I$11</f>
        <v/>
      </c>
    </row>
    <row r="215">
      <c r="K215" s="25">
        <f>MAX(-0.05,NORMINV(RAND(),$C$6,$D$6))</f>
        <v/>
      </c>
      <c r="L215" s="25">
        <f>MAX(0.02,NORMINV(RAND(),$C$7,$D$7))</f>
        <v/>
      </c>
      <c r="M215" s="25">
        <f>MIN(0.16,MAX(0.05,NORMINV(RAND(),$C$8,$D$8)))</f>
        <v/>
      </c>
      <c r="N215" s="26">
        <f>MIN(24,MAX(5,NORMINV(RAND(),$C$9,$D$9)))</f>
        <v/>
      </c>
      <c r="O215" s="49">
        <f>$I$8*(SUMPRODUCT(($I$2*(1+K215)^{1;2;3;4;5;6;7;8;9;10})*(($I$3+(L215-$I$3)*{1;2;3;4;5;6;7;8;9;10}/10)*(1-$I$7)+$I$4-$I$4*($I$5+(1.05-$I$5)*{1;2;3;4;5;6;7;8;9;10}/10)-(K215/(1+K215))*$I$6)/(1+M215)^{1;2;3;4;5;6;7;8;9;10})+$I$2*(1+K215)^10*(L215+$I$4)*N215/(1+M215)^10+$I$9-$I$10)/$I$11</f>
        <v/>
      </c>
    </row>
    <row r="216">
      <c r="K216" s="25">
        <f>MAX(-0.05,NORMINV(RAND(),$C$6,$D$6))</f>
        <v/>
      </c>
      <c r="L216" s="25">
        <f>MAX(0.02,NORMINV(RAND(),$C$7,$D$7))</f>
        <v/>
      </c>
      <c r="M216" s="25">
        <f>MIN(0.16,MAX(0.05,NORMINV(RAND(),$C$8,$D$8)))</f>
        <v/>
      </c>
      <c r="N216" s="26">
        <f>MIN(24,MAX(5,NORMINV(RAND(),$C$9,$D$9)))</f>
        <v/>
      </c>
      <c r="O216" s="49">
        <f>$I$8*(SUMPRODUCT(($I$2*(1+K216)^{1;2;3;4;5;6;7;8;9;10})*(($I$3+(L216-$I$3)*{1;2;3;4;5;6;7;8;9;10}/10)*(1-$I$7)+$I$4-$I$4*($I$5+(1.05-$I$5)*{1;2;3;4;5;6;7;8;9;10}/10)-(K216/(1+K216))*$I$6)/(1+M216)^{1;2;3;4;5;6;7;8;9;10})+$I$2*(1+K216)^10*(L216+$I$4)*N216/(1+M216)^10+$I$9-$I$10)/$I$11</f>
        <v/>
      </c>
    </row>
    <row r="217">
      <c r="K217" s="25">
        <f>MAX(-0.05,NORMINV(RAND(),$C$6,$D$6))</f>
        <v/>
      </c>
      <c r="L217" s="25">
        <f>MAX(0.02,NORMINV(RAND(),$C$7,$D$7))</f>
        <v/>
      </c>
      <c r="M217" s="25">
        <f>MIN(0.16,MAX(0.05,NORMINV(RAND(),$C$8,$D$8)))</f>
        <v/>
      </c>
      <c r="N217" s="26">
        <f>MIN(24,MAX(5,NORMINV(RAND(),$C$9,$D$9)))</f>
        <v/>
      </c>
      <c r="O217" s="49">
        <f>$I$8*(SUMPRODUCT(($I$2*(1+K217)^{1;2;3;4;5;6;7;8;9;10})*(($I$3+(L217-$I$3)*{1;2;3;4;5;6;7;8;9;10}/10)*(1-$I$7)+$I$4-$I$4*($I$5+(1.05-$I$5)*{1;2;3;4;5;6;7;8;9;10}/10)-(K217/(1+K217))*$I$6)/(1+M217)^{1;2;3;4;5;6;7;8;9;10})+$I$2*(1+K217)^10*(L217+$I$4)*N217/(1+M217)^10+$I$9-$I$10)/$I$11</f>
        <v/>
      </c>
    </row>
    <row r="218">
      <c r="K218" s="25">
        <f>MAX(-0.05,NORMINV(RAND(),$C$6,$D$6))</f>
        <v/>
      </c>
      <c r="L218" s="25">
        <f>MAX(0.02,NORMINV(RAND(),$C$7,$D$7))</f>
        <v/>
      </c>
      <c r="M218" s="25">
        <f>MIN(0.16,MAX(0.05,NORMINV(RAND(),$C$8,$D$8)))</f>
        <v/>
      </c>
      <c r="N218" s="26">
        <f>MIN(24,MAX(5,NORMINV(RAND(),$C$9,$D$9)))</f>
        <v/>
      </c>
      <c r="O218" s="49">
        <f>$I$8*(SUMPRODUCT(($I$2*(1+K218)^{1;2;3;4;5;6;7;8;9;10})*(($I$3+(L218-$I$3)*{1;2;3;4;5;6;7;8;9;10}/10)*(1-$I$7)+$I$4-$I$4*($I$5+(1.05-$I$5)*{1;2;3;4;5;6;7;8;9;10}/10)-(K218/(1+K218))*$I$6)/(1+M218)^{1;2;3;4;5;6;7;8;9;10})+$I$2*(1+K218)^10*(L218+$I$4)*N218/(1+M218)^10+$I$9-$I$10)/$I$11</f>
        <v/>
      </c>
    </row>
    <row r="219">
      <c r="K219" s="25">
        <f>MAX(-0.05,NORMINV(RAND(),$C$6,$D$6))</f>
        <v/>
      </c>
      <c r="L219" s="25">
        <f>MAX(0.02,NORMINV(RAND(),$C$7,$D$7))</f>
        <v/>
      </c>
      <c r="M219" s="25">
        <f>MIN(0.16,MAX(0.05,NORMINV(RAND(),$C$8,$D$8)))</f>
        <v/>
      </c>
      <c r="N219" s="26">
        <f>MIN(24,MAX(5,NORMINV(RAND(),$C$9,$D$9)))</f>
        <v/>
      </c>
      <c r="O219" s="49">
        <f>$I$8*(SUMPRODUCT(($I$2*(1+K219)^{1;2;3;4;5;6;7;8;9;10})*(($I$3+(L219-$I$3)*{1;2;3;4;5;6;7;8;9;10}/10)*(1-$I$7)+$I$4-$I$4*($I$5+(1.05-$I$5)*{1;2;3;4;5;6;7;8;9;10}/10)-(K219/(1+K219))*$I$6)/(1+M219)^{1;2;3;4;5;6;7;8;9;10})+$I$2*(1+K219)^10*(L219+$I$4)*N219/(1+M219)^10+$I$9-$I$10)/$I$11</f>
        <v/>
      </c>
    </row>
    <row r="220">
      <c r="K220" s="25">
        <f>MAX(-0.05,NORMINV(RAND(),$C$6,$D$6))</f>
        <v/>
      </c>
      <c r="L220" s="25">
        <f>MAX(0.02,NORMINV(RAND(),$C$7,$D$7))</f>
        <v/>
      </c>
      <c r="M220" s="25">
        <f>MIN(0.16,MAX(0.05,NORMINV(RAND(),$C$8,$D$8)))</f>
        <v/>
      </c>
      <c r="N220" s="26">
        <f>MIN(24,MAX(5,NORMINV(RAND(),$C$9,$D$9)))</f>
        <v/>
      </c>
      <c r="O220" s="49">
        <f>$I$8*(SUMPRODUCT(($I$2*(1+K220)^{1;2;3;4;5;6;7;8;9;10})*(($I$3+(L220-$I$3)*{1;2;3;4;5;6;7;8;9;10}/10)*(1-$I$7)+$I$4-$I$4*($I$5+(1.05-$I$5)*{1;2;3;4;5;6;7;8;9;10}/10)-(K220/(1+K220))*$I$6)/(1+M220)^{1;2;3;4;5;6;7;8;9;10})+$I$2*(1+K220)^10*(L220+$I$4)*N220/(1+M220)^10+$I$9-$I$10)/$I$11</f>
        <v/>
      </c>
    </row>
    <row r="221">
      <c r="K221" s="25">
        <f>MAX(-0.05,NORMINV(RAND(),$C$6,$D$6))</f>
        <v/>
      </c>
      <c r="L221" s="25">
        <f>MAX(0.02,NORMINV(RAND(),$C$7,$D$7))</f>
        <v/>
      </c>
      <c r="M221" s="25">
        <f>MIN(0.16,MAX(0.05,NORMINV(RAND(),$C$8,$D$8)))</f>
        <v/>
      </c>
      <c r="N221" s="26">
        <f>MIN(24,MAX(5,NORMINV(RAND(),$C$9,$D$9)))</f>
        <v/>
      </c>
      <c r="O221" s="49">
        <f>$I$8*(SUMPRODUCT(($I$2*(1+K221)^{1;2;3;4;5;6;7;8;9;10})*(($I$3+(L221-$I$3)*{1;2;3;4;5;6;7;8;9;10}/10)*(1-$I$7)+$I$4-$I$4*($I$5+(1.05-$I$5)*{1;2;3;4;5;6;7;8;9;10}/10)-(K221/(1+K221))*$I$6)/(1+M221)^{1;2;3;4;5;6;7;8;9;10})+$I$2*(1+K221)^10*(L221+$I$4)*N221/(1+M221)^10+$I$9-$I$10)/$I$11</f>
        <v/>
      </c>
    </row>
    <row r="222">
      <c r="K222" s="25">
        <f>MAX(-0.05,NORMINV(RAND(),$C$6,$D$6))</f>
        <v/>
      </c>
      <c r="L222" s="25">
        <f>MAX(0.02,NORMINV(RAND(),$C$7,$D$7))</f>
        <v/>
      </c>
      <c r="M222" s="25">
        <f>MIN(0.16,MAX(0.05,NORMINV(RAND(),$C$8,$D$8)))</f>
        <v/>
      </c>
      <c r="N222" s="26">
        <f>MIN(24,MAX(5,NORMINV(RAND(),$C$9,$D$9)))</f>
        <v/>
      </c>
      <c r="O222" s="49">
        <f>$I$8*(SUMPRODUCT(($I$2*(1+K222)^{1;2;3;4;5;6;7;8;9;10})*(($I$3+(L222-$I$3)*{1;2;3;4;5;6;7;8;9;10}/10)*(1-$I$7)+$I$4-$I$4*($I$5+(1.05-$I$5)*{1;2;3;4;5;6;7;8;9;10}/10)-(K222/(1+K222))*$I$6)/(1+M222)^{1;2;3;4;5;6;7;8;9;10})+$I$2*(1+K222)^10*(L222+$I$4)*N222/(1+M222)^10+$I$9-$I$10)/$I$11</f>
        <v/>
      </c>
    </row>
    <row r="223">
      <c r="K223" s="25">
        <f>MAX(-0.05,NORMINV(RAND(),$C$6,$D$6))</f>
        <v/>
      </c>
      <c r="L223" s="25">
        <f>MAX(0.02,NORMINV(RAND(),$C$7,$D$7))</f>
        <v/>
      </c>
      <c r="M223" s="25">
        <f>MIN(0.16,MAX(0.05,NORMINV(RAND(),$C$8,$D$8)))</f>
        <v/>
      </c>
      <c r="N223" s="26">
        <f>MIN(24,MAX(5,NORMINV(RAND(),$C$9,$D$9)))</f>
        <v/>
      </c>
      <c r="O223" s="49">
        <f>$I$8*(SUMPRODUCT(($I$2*(1+K223)^{1;2;3;4;5;6;7;8;9;10})*(($I$3+(L223-$I$3)*{1;2;3;4;5;6;7;8;9;10}/10)*(1-$I$7)+$I$4-$I$4*($I$5+(1.05-$I$5)*{1;2;3;4;5;6;7;8;9;10}/10)-(K223/(1+K223))*$I$6)/(1+M223)^{1;2;3;4;5;6;7;8;9;10})+$I$2*(1+K223)^10*(L223+$I$4)*N223/(1+M223)^10+$I$9-$I$10)/$I$11</f>
        <v/>
      </c>
    </row>
    <row r="224">
      <c r="K224" s="25">
        <f>MAX(-0.05,NORMINV(RAND(),$C$6,$D$6))</f>
        <v/>
      </c>
      <c r="L224" s="25">
        <f>MAX(0.02,NORMINV(RAND(),$C$7,$D$7))</f>
        <v/>
      </c>
      <c r="M224" s="25">
        <f>MIN(0.16,MAX(0.05,NORMINV(RAND(),$C$8,$D$8)))</f>
        <v/>
      </c>
      <c r="N224" s="26">
        <f>MIN(24,MAX(5,NORMINV(RAND(),$C$9,$D$9)))</f>
        <v/>
      </c>
      <c r="O224" s="49">
        <f>$I$8*(SUMPRODUCT(($I$2*(1+K224)^{1;2;3;4;5;6;7;8;9;10})*(($I$3+(L224-$I$3)*{1;2;3;4;5;6;7;8;9;10}/10)*(1-$I$7)+$I$4-$I$4*($I$5+(1.05-$I$5)*{1;2;3;4;5;6;7;8;9;10}/10)-(K224/(1+K224))*$I$6)/(1+M224)^{1;2;3;4;5;6;7;8;9;10})+$I$2*(1+K224)^10*(L224+$I$4)*N224/(1+M224)^10+$I$9-$I$10)/$I$11</f>
        <v/>
      </c>
    </row>
    <row r="225">
      <c r="K225" s="25">
        <f>MAX(-0.05,NORMINV(RAND(),$C$6,$D$6))</f>
        <v/>
      </c>
      <c r="L225" s="25">
        <f>MAX(0.02,NORMINV(RAND(),$C$7,$D$7))</f>
        <v/>
      </c>
      <c r="M225" s="25">
        <f>MIN(0.16,MAX(0.05,NORMINV(RAND(),$C$8,$D$8)))</f>
        <v/>
      </c>
      <c r="N225" s="26">
        <f>MIN(24,MAX(5,NORMINV(RAND(),$C$9,$D$9)))</f>
        <v/>
      </c>
      <c r="O225" s="49">
        <f>$I$8*(SUMPRODUCT(($I$2*(1+K225)^{1;2;3;4;5;6;7;8;9;10})*(($I$3+(L225-$I$3)*{1;2;3;4;5;6;7;8;9;10}/10)*(1-$I$7)+$I$4-$I$4*($I$5+(1.05-$I$5)*{1;2;3;4;5;6;7;8;9;10}/10)-(K225/(1+K225))*$I$6)/(1+M225)^{1;2;3;4;5;6;7;8;9;10})+$I$2*(1+K225)^10*(L225+$I$4)*N225/(1+M225)^10+$I$9-$I$10)/$I$11</f>
        <v/>
      </c>
    </row>
    <row r="226">
      <c r="K226" s="25">
        <f>MAX(-0.05,NORMINV(RAND(),$C$6,$D$6))</f>
        <v/>
      </c>
      <c r="L226" s="25">
        <f>MAX(0.02,NORMINV(RAND(),$C$7,$D$7))</f>
        <v/>
      </c>
      <c r="M226" s="25">
        <f>MIN(0.16,MAX(0.05,NORMINV(RAND(),$C$8,$D$8)))</f>
        <v/>
      </c>
      <c r="N226" s="26">
        <f>MIN(24,MAX(5,NORMINV(RAND(),$C$9,$D$9)))</f>
        <v/>
      </c>
      <c r="O226" s="49">
        <f>$I$8*(SUMPRODUCT(($I$2*(1+K226)^{1;2;3;4;5;6;7;8;9;10})*(($I$3+(L226-$I$3)*{1;2;3;4;5;6;7;8;9;10}/10)*(1-$I$7)+$I$4-$I$4*($I$5+(1.05-$I$5)*{1;2;3;4;5;6;7;8;9;10}/10)-(K226/(1+K226))*$I$6)/(1+M226)^{1;2;3;4;5;6;7;8;9;10})+$I$2*(1+K226)^10*(L226+$I$4)*N226/(1+M226)^10+$I$9-$I$10)/$I$11</f>
        <v/>
      </c>
    </row>
    <row r="227">
      <c r="K227" s="25">
        <f>MAX(-0.05,NORMINV(RAND(),$C$6,$D$6))</f>
        <v/>
      </c>
      <c r="L227" s="25">
        <f>MAX(0.02,NORMINV(RAND(),$C$7,$D$7))</f>
        <v/>
      </c>
      <c r="M227" s="25">
        <f>MIN(0.16,MAX(0.05,NORMINV(RAND(),$C$8,$D$8)))</f>
        <v/>
      </c>
      <c r="N227" s="26">
        <f>MIN(24,MAX(5,NORMINV(RAND(),$C$9,$D$9)))</f>
        <v/>
      </c>
      <c r="O227" s="49">
        <f>$I$8*(SUMPRODUCT(($I$2*(1+K227)^{1;2;3;4;5;6;7;8;9;10})*(($I$3+(L227-$I$3)*{1;2;3;4;5;6;7;8;9;10}/10)*(1-$I$7)+$I$4-$I$4*($I$5+(1.05-$I$5)*{1;2;3;4;5;6;7;8;9;10}/10)-(K227/(1+K227))*$I$6)/(1+M227)^{1;2;3;4;5;6;7;8;9;10})+$I$2*(1+K227)^10*(L227+$I$4)*N227/(1+M227)^10+$I$9-$I$10)/$I$11</f>
        <v/>
      </c>
    </row>
    <row r="228">
      <c r="K228" s="25">
        <f>MAX(-0.05,NORMINV(RAND(),$C$6,$D$6))</f>
        <v/>
      </c>
      <c r="L228" s="25">
        <f>MAX(0.02,NORMINV(RAND(),$C$7,$D$7))</f>
        <v/>
      </c>
      <c r="M228" s="25">
        <f>MIN(0.16,MAX(0.05,NORMINV(RAND(),$C$8,$D$8)))</f>
        <v/>
      </c>
      <c r="N228" s="26">
        <f>MIN(24,MAX(5,NORMINV(RAND(),$C$9,$D$9)))</f>
        <v/>
      </c>
      <c r="O228" s="49">
        <f>$I$8*(SUMPRODUCT(($I$2*(1+K228)^{1;2;3;4;5;6;7;8;9;10})*(($I$3+(L228-$I$3)*{1;2;3;4;5;6;7;8;9;10}/10)*(1-$I$7)+$I$4-$I$4*($I$5+(1.05-$I$5)*{1;2;3;4;5;6;7;8;9;10}/10)-(K228/(1+K228))*$I$6)/(1+M228)^{1;2;3;4;5;6;7;8;9;10})+$I$2*(1+K228)^10*(L228+$I$4)*N228/(1+M228)^10+$I$9-$I$10)/$I$11</f>
        <v/>
      </c>
    </row>
    <row r="229">
      <c r="K229" s="25">
        <f>MAX(-0.05,NORMINV(RAND(),$C$6,$D$6))</f>
        <v/>
      </c>
      <c r="L229" s="25">
        <f>MAX(0.02,NORMINV(RAND(),$C$7,$D$7))</f>
        <v/>
      </c>
      <c r="M229" s="25">
        <f>MIN(0.16,MAX(0.05,NORMINV(RAND(),$C$8,$D$8)))</f>
        <v/>
      </c>
      <c r="N229" s="26">
        <f>MIN(24,MAX(5,NORMINV(RAND(),$C$9,$D$9)))</f>
        <v/>
      </c>
      <c r="O229" s="49">
        <f>$I$8*(SUMPRODUCT(($I$2*(1+K229)^{1;2;3;4;5;6;7;8;9;10})*(($I$3+(L229-$I$3)*{1;2;3;4;5;6;7;8;9;10}/10)*(1-$I$7)+$I$4-$I$4*($I$5+(1.05-$I$5)*{1;2;3;4;5;6;7;8;9;10}/10)-(K229/(1+K229))*$I$6)/(1+M229)^{1;2;3;4;5;6;7;8;9;10})+$I$2*(1+K229)^10*(L229+$I$4)*N229/(1+M229)^10+$I$9-$I$10)/$I$11</f>
        <v/>
      </c>
    </row>
    <row r="230">
      <c r="K230" s="25">
        <f>MAX(-0.05,NORMINV(RAND(),$C$6,$D$6))</f>
        <v/>
      </c>
      <c r="L230" s="25">
        <f>MAX(0.02,NORMINV(RAND(),$C$7,$D$7))</f>
        <v/>
      </c>
      <c r="M230" s="25">
        <f>MIN(0.16,MAX(0.05,NORMINV(RAND(),$C$8,$D$8)))</f>
        <v/>
      </c>
      <c r="N230" s="26">
        <f>MIN(24,MAX(5,NORMINV(RAND(),$C$9,$D$9)))</f>
        <v/>
      </c>
      <c r="O230" s="49">
        <f>$I$8*(SUMPRODUCT(($I$2*(1+K230)^{1;2;3;4;5;6;7;8;9;10})*(($I$3+(L230-$I$3)*{1;2;3;4;5;6;7;8;9;10}/10)*(1-$I$7)+$I$4-$I$4*($I$5+(1.05-$I$5)*{1;2;3;4;5;6;7;8;9;10}/10)-(K230/(1+K230))*$I$6)/(1+M230)^{1;2;3;4;5;6;7;8;9;10})+$I$2*(1+K230)^10*(L230+$I$4)*N230/(1+M230)^10+$I$9-$I$10)/$I$11</f>
        <v/>
      </c>
    </row>
    <row r="231">
      <c r="K231" s="25">
        <f>MAX(-0.05,NORMINV(RAND(),$C$6,$D$6))</f>
        <v/>
      </c>
      <c r="L231" s="25">
        <f>MAX(0.02,NORMINV(RAND(),$C$7,$D$7))</f>
        <v/>
      </c>
      <c r="M231" s="25">
        <f>MIN(0.16,MAX(0.05,NORMINV(RAND(),$C$8,$D$8)))</f>
        <v/>
      </c>
      <c r="N231" s="26">
        <f>MIN(24,MAX(5,NORMINV(RAND(),$C$9,$D$9)))</f>
        <v/>
      </c>
      <c r="O231" s="49">
        <f>$I$8*(SUMPRODUCT(($I$2*(1+K231)^{1;2;3;4;5;6;7;8;9;10})*(($I$3+(L231-$I$3)*{1;2;3;4;5;6;7;8;9;10}/10)*(1-$I$7)+$I$4-$I$4*($I$5+(1.05-$I$5)*{1;2;3;4;5;6;7;8;9;10}/10)-(K231/(1+K231))*$I$6)/(1+M231)^{1;2;3;4;5;6;7;8;9;10})+$I$2*(1+K231)^10*(L231+$I$4)*N231/(1+M231)^10+$I$9-$I$10)/$I$11</f>
        <v/>
      </c>
    </row>
    <row r="232">
      <c r="K232" s="25">
        <f>MAX(-0.05,NORMINV(RAND(),$C$6,$D$6))</f>
        <v/>
      </c>
      <c r="L232" s="25">
        <f>MAX(0.02,NORMINV(RAND(),$C$7,$D$7))</f>
        <v/>
      </c>
      <c r="M232" s="25">
        <f>MIN(0.16,MAX(0.05,NORMINV(RAND(),$C$8,$D$8)))</f>
        <v/>
      </c>
      <c r="N232" s="26">
        <f>MIN(24,MAX(5,NORMINV(RAND(),$C$9,$D$9)))</f>
        <v/>
      </c>
      <c r="O232" s="49">
        <f>$I$8*(SUMPRODUCT(($I$2*(1+K232)^{1;2;3;4;5;6;7;8;9;10})*(($I$3+(L232-$I$3)*{1;2;3;4;5;6;7;8;9;10}/10)*(1-$I$7)+$I$4-$I$4*($I$5+(1.05-$I$5)*{1;2;3;4;5;6;7;8;9;10}/10)-(K232/(1+K232))*$I$6)/(1+M232)^{1;2;3;4;5;6;7;8;9;10})+$I$2*(1+K232)^10*(L232+$I$4)*N232/(1+M232)^10+$I$9-$I$10)/$I$11</f>
        <v/>
      </c>
    </row>
    <row r="233">
      <c r="K233" s="25">
        <f>MAX(-0.05,NORMINV(RAND(),$C$6,$D$6))</f>
        <v/>
      </c>
      <c r="L233" s="25">
        <f>MAX(0.02,NORMINV(RAND(),$C$7,$D$7))</f>
        <v/>
      </c>
      <c r="M233" s="25">
        <f>MIN(0.16,MAX(0.05,NORMINV(RAND(),$C$8,$D$8)))</f>
        <v/>
      </c>
      <c r="N233" s="26">
        <f>MIN(24,MAX(5,NORMINV(RAND(),$C$9,$D$9)))</f>
        <v/>
      </c>
      <c r="O233" s="49">
        <f>$I$8*(SUMPRODUCT(($I$2*(1+K233)^{1;2;3;4;5;6;7;8;9;10})*(($I$3+(L233-$I$3)*{1;2;3;4;5;6;7;8;9;10}/10)*(1-$I$7)+$I$4-$I$4*($I$5+(1.05-$I$5)*{1;2;3;4;5;6;7;8;9;10}/10)-(K233/(1+K233))*$I$6)/(1+M233)^{1;2;3;4;5;6;7;8;9;10})+$I$2*(1+K233)^10*(L233+$I$4)*N233/(1+M233)^10+$I$9-$I$10)/$I$11</f>
        <v/>
      </c>
    </row>
    <row r="234">
      <c r="K234" s="25">
        <f>MAX(-0.05,NORMINV(RAND(),$C$6,$D$6))</f>
        <v/>
      </c>
      <c r="L234" s="25">
        <f>MAX(0.02,NORMINV(RAND(),$C$7,$D$7))</f>
        <v/>
      </c>
      <c r="M234" s="25">
        <f>MIN(0.16,MAX(0.05,NORMINV(RAND(),$C$8,$D$8)))</f>
        <v/>
      </c>
      <c r="N234" s="26">
        <f>MIN(24,MAX(5,NORMINV(RAND(),$C$9,$D$9)))</f>
        <v/>
      </c>
      <c r="O234" s="49">
        <f>$I$8*(SUMPRODUCT(($I$2*(1+K234)^{1;2;3;4;5;6;7;8;9;10})*(($I$3+(L234-$I$3)*{1;2;3;4;5;6;7;8;9;10}/10)*(1-$I$7)+$I$4-$I$4*($I$5+(1.05-$I$5)*{1;2;3;4;5;6;7;8;9;10}/10)-(K234/(1+K234))*$I$6)/(1+M234)^{1;2;3;4;5;6;7;8;9;10})+$I$2*(1+K234)^10*(L234+$I$4)*N234/(1+M234)^10+$I$9-$I$10)/$I$11</f>
        <v/>
      </c>
    </row>
    <row r="235">
      <c r="K235" s="25">
        <f>MAX(-0.05,NORMINV(RAND(),$C$6,$D$6))</f>
        <v/>
      </c>
      <c r="L235" s="25">
        <f>MAX(0.02,NORMINV(RAND(),$C$7,$D$7))</f>
        <v/>
      </c>
      <c r="M235" s="25">
        <f>MIN(0.16,MAX(0.05,NORMINV(RAND(),$C$8,$D$8)))</f>
        <v/>
      </c>
      <c r="N235" s="26">
        <f>MIN(24,MAX(5,NORMINV(RAND(),$C$9,$D$9)))</f>
        <v/>
      </c>
      <c r="O235" s="49">
        <f>$I$8*(SUMPRODUCT(($I$2*(1+K235)^{1;2;3;4;5;6;7;8;9;10})*(($I$3+(L235-$I$3)*{1;2;3;4;5;6;7;8;9;10}/10)*(1-$I$7)+$I$4-$I$4*($I$5+(1.05-$I$5)*{1;2;3;4;5;6;7;8;9;10}/10)-(K235/(1+K235))*$I$6)/(1+M235)^{1;2;3;4;5;6;7;8;9;10})+$I$2*(1+K235)^10*(L235+$I$4)*N235/(1+M235)^10+$I$9-$I$10)/$I$11</f>
        <v/>
      </c>
    </row>
    <row r="236">
      <c r="K236" s="25">
        <f>MAX(-0.05,NORMINV(RAND(),$C$6,$D$6))</f>
        <v/>
      </c>
      <c r="L236" s="25">
        <f>MAX(0.02,NORMINV(RAND(),$C$7,$D$7))</f>
        <v/>
      </c>
      <c r="M236" s="25">
        <f>MIN(0.16,MAX(0.05,NORMINV(RAND(),$C$8,$D$8)))</f>
        <v/>
      </c>
      <c r="N236" s="26">
        <f>MIN(24,MAX(5,NORMINV(RAND(),$C$9,$D$9)))</f>
        <v/>
      </c>
      <c r="O236" s="49">
        <f>$I$8*(SUMPRODUCT(($I$2*(1+K236)^{1;2;3;4;5;6;7;8;9;10})*(($I$3+(L236-$I$3)*{1;2;3;4;5;6;7;8;9;10}/10)*(1-$I$7)+$I$4-$I$4*($I$5+(1.05-$I$5)*{1;2;3;4;5;6;7;8;9;10}/10)-(K236/(1+K236))*$I$6)/(1+M236)^{1;2;3;4;5;6;7;8;9;10})+$I$2*(1+K236)^10*(L236+$I$4)*N236/(1+M236)^10+$I$9-$I$10)/$I$11</f>
        <v/>
      </c>
    </row>
    <row r="237">
      <c r="K237" s="25">
        <f>MAX(-0.05,NORMINV(RAND(),$C$6,$D$6))</f>
        <v/>
      </c>
      <c r="L237" s="25">
        <f>MAX(0.02,NORMINV(RAND(),$C$7,$D$7))</f>
        <v/>
      </c>
      <c r="M237" s="25">
        <f>MIN(0.16,MAX(0.05,NORMINV(RAND(),$C$8,$D$8)))</f>
        <v/>
      </c>
      <c r="N237" s="26">
        <f>MIN(24,MAX(5,NORMINV(RAND(),$C$9,$D$9)))</f>
        <v/>
      </c>
      <c r="O237" s="49">
        <f>$I$8*(SUMPRODUCT(($I$2*(1+K237)^{1;2;3;4;5;6;7;8;9;10})*(($I$3+(L237-$I$3)*{1;2;3;4;5;6;7;8;9;10}/10)*(1-$I$7)+$I$4-$I$4*($I$5+(1.05-$I$5)*{1;2;3;4;5;6;7;8;9;10}/10)-(K237/(1+K237))*$I$6)/(1+M237)^{1;2;3;4;5;6;7;8;9;10})+$I$2*(1+K237)^10*(L237+$I$4)*N237/(1+M237)^10+$I$9-$I$10)/$I$11</f>
        <v/>
      </c>
    </row>
    <row r="238">
      <c r="K238" s="25">
        <f>MAX(-0.05,NORMINV(RAND(),$C$6,$D$6))</f>
        <v/>
      </c>
      <c r="L238" s="25">
        <f>MAX(0.02,NORMINV(RAND(),$C$7,$D$7))</f>
        <v/>
      </c>
      <c r="M238" s="25">
        <f>MIN(0.16,MAX(0.05,NORMINV(RAND(),$C$8,$D$8)))</f>
        <v/>
      </c>
      <c r="N238" s="26">
        <f>MIN(24,MAX(5,NORMINV(RAND(),$C$9,$D$9)))</f>
        <v/>
      </c>
      <c r="O238" s="49">
        <f>$I$8*(SUMPRODUCT(($I$2*(1+K238)^{1;2;3;4;5;6;7;8;9;10})*(($I$3+(L238-$I$3)*{1;2;3;4;5;6;7;8;9;10}/10)*(1-$I$7)+$I$4-$I$4*($I$5+(1.05-$I$5)*{1;2;3;4;5;6;7;8;9;10}/10)-(K238/(1+K238))*$I$6)/(1+M238)^{1;2;3;4;5;6;7;8;9;10})+$I$2*(1+K238)^10*(L238+$I$4)*N238/(1+M238)^10+$I$9-$I$10)/$I$11</f>
        <v/>
      </c>
    </row>
    <row r="239">
      <c r="K239" s="25">
        <f>MAX(-0.05,NORMINV(RAND(),$C$6,$D$6))</f>
        <v/>
      </c>
      <c r="L239" s="25">
        <f>MAX(0.02,NORMINV(RAND(),$C$7,$D$7))</f>
        <v/>
      </c>
      <c r="M239" s="25">
        <f>MIN(0.16,MAX(0.05,NORMINV(RAND(),$C$8,$D$8)))</f>
        <v/>
      </c>
      <c r="N239" s="26">
        <f>MIN(24,MAX(5,NORMINV(RAND(),$C$9,$D$9)))</f>
        <v/>
      </c>
      <c r="O239" s="49">
        <f>$I$8*(SUMPRODUCT(($I$2*(1+K239)^{1;2;3;4;5;6;7;8;9;10})*(($I$3+(L239-$I$3)*{1;2;3;4;5;6;7;8;9;10}/10)*(1-$I$7)+$I$4-$I$4*($I$5+(1.05-$I$5)*{1;2;3;4;5;6;7;8;9;10}/10)-(K239/(1+K239))*$I$6)/(1+M239)^{1;2;3;4;5;6;7;8;9;10})+$I$2*(1+K239)^10*(L239+$I$4)*N239/(1+M239)^10+$I$9-$I$10)/$I$11</f>
        <v/>
      </c>
    </row>
    <row r="240">
      <c r="K240" s="25">
        <f>MAX(-0.05,NORMINV(RAND(),$C$6,$D$6))</f>
        <v/>
      </c>
      <c r="L240" s="25">
        <f>MAX(0.02,NORMINV(RAND(),$C$7,$D$7))</f>
        <v/>
      </c>
      <c r="M240" s="25">
        <f>MIN(0.16,MAX(0.05,NORMINV(RAND(),$C$8,$D$8)))</f>
        <v/>
      </c>
      <c r="N240" s="26">
        <f>MIN(24,MAX(5,NORMINV(RAND(),$C$9,$D$9)))</f>
        <v/>
      </c>
      <c r="O240" s="49">
        <f>$I$8*(SUMPRODUCT(($I$2*(1+K240)^{1;2;3;4;5;6;7;8;9;10})*(($I$3+(L240-$I$3)*{1;2;3;4;5;6;7;8;9;10}/10)*(1-$I$7)+$I$4-$I$4*($I$5+(1.05-$I$5)*{1;2;3;4;5;6;7;8;9;10}/10)-(K240/(1+K240))*$I$6)/(1+M240)^{1;2;3;4;5;6;7;8;9;10})+$I$2*(1+K240)^10*(L240+$I$4)*N240/(1+M240)^10+$I$9-$I$10)/$I$11</f>
        <v/>
      </c>
    </row>
    <row r="241">
      <c r="K241" s="25">
        <f>MAX(-0.05,NORMINV(RAND(),$C$6,$D$6))</f>
        <v/>
      </c>
      <c r="L241" s="25">
        <f>MAX(0.02,NORMINV(RAND(),$C$7,$D$7))</f>
        <v/>
      </c>
      <c r="M241" s="25">
        <f>MIN(0.16,MAX(0.05,NORMINV(RAND(),$C$8,$D$8)))</f>
        <v/>
      </c>
      <c r="N241" s="26">
        <f>MIN(24,MAX(5,NORMINV(RAND(),$C$9,$D$9)))</f>
        <v/>
      </c>
      <c r="O241" s="49">
        <f>$I$8*(SUMPRODUCT(($I$2*(1+K241)^{1;2;3;4;5;6;7;8;9;10})*(($I$3+(L241-$I$3)*{1;2;3;4;5;6;7;8;9;10}/10)*(1-$I$7)+$I$4-$I$4*($I$5+(1.05-$I$5)*{1;2;3;4;5;6;7;8;9;10}/10)-(K241/(1+K241))*$I$6)/(1+M241)^{1;2;3;4;5;6;7;8;9;10})+$I$2*(1+K241)^10*(L241+$I$4)*N241/(1+M241)^10+$I$9-$I$10)/$I$11</f>
        <v/>
      </c>
    </row>
    <row r="242">
      <c r="K242" s="25">
        <f>MAX(-0.05,NORMINV(RAND(),$C$6,$D$6))</f>
        <v/>
      </c>
      <c r="L242" s="25">
        <f>MAX(0.02,NORMINV(RAND(),$C$7,$D$7))</f>
        <v/>
      </c>
      <c r="M242" s="25">
        <f>MIN(0.16,MAX(0.05,NORMINV(RAND(),$C$8,$D$8)))</f>
        <v/>
      </c>
      <c r="N242" s="26">
        <f>MIN(24,MAX(5,NORMINV(RAND(),$C$9,$D$9)))</f>
        <v/>
      </c>
      <c r="O242" s="49">
        <f>$I$8*(SUMPRODUCT(($I$2*(1+K242)^{1;2;3;4;5;6;7;8;9;10})*(($I$3+(L242-$I$3)*{1;2;3;4;5;6;7;8;9;10}/10)*(1-$I$7)+$I$4-$I$4*($I$5+(1.05-$I$5)*{1;2;3;4;5;6;7;8;9;10}/10)-(K242/(1+K242))*$I$6)/(1+M242)^{1;2;3;4;5;6;7;8;9;10})+$I$2*(1+K242)^10*(L242+$I$4)*N242/(1+M242)^10+$I$9-$I$10)/$I$11</f>
        <v/>
      </c>
    </row>
    <row r="243">
      <c r="K243" s="25">
        <f>MAX(-0.05,NORMINV(RAND(),$C$6,$D$6))</f>
        <v/>
      </c>
      <c r="L243" s="25">
        <f>MAX(0.02,NORMINV(RAND(),$C$7,$D$7))</f>
        <v/>
      </c>
      <c r="M243" s="25">
        <f>MIN(0.16,MAX(0.05,NORMINV(RAND(),$C$8,$D$8)))</f>
        <v/>
      </c>
      <c r="N243" s="26">
        <f>MIN(24,MAX(5,NORMINV(RAND(),$C$9,$D$9)))</f>
        <v/>
      </c>
      <c r="O243" s="49">
        <f>$I$8*(SUMPRODUCT(($I$2*(1+K243)^{1;2;3;4;5;6;7;8;9;10})*(($I$3+(L243-$I$3)*{1;2;3;4;5;6;7;8;9;10}/10)*(1-$I$7)+$I$4-$I$4*($I$5+(1.05-$I$5)*{1;2;3;4;5;6;7;8;9;10}/10)-(K243/(1+K243))*$I$6)/(1+M243)^{1;2;3;4;5;6;7;8;9;10})+$I$2*(1+K243)^10*(L243+$I$4)*N243/(1+M243)^10+$I$9-$I$10)/$I$11</f>
        <v/>
      </c>
    </row>
    <row r="244">
      <c r="K244" s="25">
        <f>MAX(-0.05,NORMINV(RAND(),$C$6,$D$6))</f>
        <v/>
      </c>
      <c r="L244" s="25">
        <f>MAX(0.02,NORMINV(RAND(),$C$7,$D$7))</f>
        <v/>
      </c>
      <c r="M244" s="25">
        <f>MIN(0.16,MAX(0.05,NORMINV(RAND(),$C$8,$D$8)))</f>
        <v/>
      </c>
      <c r="N244" s="26">
        <f>MIN(24,MAX(5,NORMINV(RAND(),$C$9,$D$9)))</f>
        <v/>
      </c>
      <c r="O244" s="49">
        <f>$I$8*(SUMPRODUCT(($I$2*(1+K244)^{1;2;3;4;5;6;7;8;9;10})*(($I$3+(L244-$I$3)*{1;2;3;4;5;6;7;8;9;10}/10)*(1-$I$7)+$I$4-$I$4*($I$5+(1.05-$I$5)*{1;2;3;4;5;6;7;8;9;10}/10)-(K244/(1+K244))*$I$6)/(1+M244)^{1;2;3;4;5;6;7;8;9;10})+$I$2*(1+K244)^10*(L244+$I$4)*N244/(1+M244)^10+$I$9-$I$10)/$I$11</f>
        <v/>
      </c>
    </row>
    <row r="245">
      <c r="K245" s="25">
        <f>MAX(-0.05,NORMINV(RAND(),$C$6,$D$6))</f>
        <v/>
      </c>
      <c r="L245" s="25">
        <f>MAX(0.02,NORMINV(RAND(),$C$7,$D$7))</f>
        <v/>
      </c>
      <c r="M245" s="25">
        <f>MIN(0.16,MAX(0.05,NORMINV(RAND(),$C$8,$D$8)))</f>
        <v/>
      </c>
      <c r="N245" s="26">
        <f>MIN(24,MAX(5,NORMINV(RAND(),$C$9,$D$9)))</f>
        <v/>
      </c>
      <c r="O245" s="49">
        <f>$I$8*(SUMPRODUCT(($I$2*(1+K245)^{1;2;3;4;5;6;7;8;9;10})*(($I$3+(L245-$I$3)*{1;2;3;4;5;6;7;8;9;10}/10)*(1-$I$7)+$I$4-$I$4*($I$5+(1.05-$I$5)*{1;2;3;4;5;6;7;8;9;10}/10)-(K245/(1+K245))*$I$6)/(1+M245)^{1;2;3;4;5;6;7;8;9;10})+$I$2*(1+K245)^10*(L245+$I$4)*N245/(1+M245)^10+$I$9-$I$10)/$I$11</f>
        <v/>
      </c>
    </row>
    <row r="246">
      <c r="K246" s="25">
        <f>MAX(-0.05,NORMINV(RAND(),$C$6,$D$6))</f>
        <v/>
      </c>
      <c r="L246" s="25">
        <f>MAX(0.02,NORMINV(RAND(),$C$7,$D$7))</f>
        <v/>
      </c>
      <c r="M246" s="25">
        <f>MIN(0.16,MAX(0.05,NORMINV(RAND(),$C$8,$D$8)))</f>
        <v/>
      </c>
      <c r="N246" s="26">
        <f>MIN(24,MAX(5,NORMINV(RAND(),$C$9,$D$9)))</f>
        <v/>
      </c>
      <c r="O246" s="49">
        <f>$I$8*(SUMPRODUCT(($I$2*(1+K246)^{1;2;3;4;5;6;7;8;9;10})*(($I$3+(L246-$I$3)*{1;2;3;4;5;6;7;8;9;10}/10)*(1-$I$7)+$I$4-$I$4*($I$5+(1.05-$I$5)*{1;2;3;4;5;6;7;8;9;10}/10)-(K246/(1+K246))*$I$6)/(1+M246)^{1;2;3;4;5;6;7;8;9;10})+$I$2*(1+K246)^10*(L246+$I$4)*N246/(1+M246)^10+$I$9-$I$10)/$I$11</f>
        <v/>
      </c>
    </row>
    <row r="247">
      <c r="K247" s="25">
        <f>MAX(-0.05,NORMINV(RAND(),$C$6,$D$6))</f>
        <v/>
      </c>
      <c r="L247" s="25">
        <f>MAX(0.02,NORMINV(RAND(),$C$7,$D$7))</f>
        <v/>
      </c>
      <c r="M247" s="25">
        <f>MIN(0.16,MAX(0.05,NORMINV(RAND(),$C$8,$D$8)))</f>
        <v/>
      </c>
      <c r="N247" s="26">
        <f>MIN(24,MAX(5,NORMINV(RAND(),$C$9,$D$9)))</f>
        <v/>
      </c>
      <c r="O247" s="49">
        <f>$I$8*(SUMPRODUCT(($I$2*(1+K247)^{1;2;3;4;5;6;7;8;9;10})*(($I$3+(L247-$I$3)*{1;2;3;4;5;6;7;8;9;10}/10)*(1-$I$7)+$I$4-$I$4*($I$5+(1.05-$I$5)*{1;2;3;4;5;6;7;8;9;10}/10)-(K247/(1+K247))*$I$6)/(1+M247)^{1;2;3;4;5;6;7;8;9;10})+$I$2*(1+K247)^10*(L247+$I$4)*N247/(1+M247)^10+$I$9-$I$10)/$I$11</f>
        <v/>
      </c>
    </row>
    <row r="248">
      <c r="K248" s="25">
        <f>MAX(-0.05,NORMINV(RAND(),$C$6,$D$6))</f>
        <v/>
      </c>
      <c r="L248" s="25">
        <f>MAX(0.02,NORMINV(RAND(),$C$7,$D$7))</f>
        <v/>
      </c>
      <c r="M248" s="25">
        <f>MIN(0.16,MAX(0.05,NORMINV(RAND(),$C$8,$D$8)))</f>
        <v/>
      </c>
      <c r="N248" s="26">
        <f>MIN(24,MAX(5,NORMINV(RAND(),$C$9,$D$9)))</f>
        <v/>
      </c>
      <c r="O248" s="49">
        <f>$I$8*(SUMPRODUCT(($I$2*(1+K248)^{1;2;3;4;5;6;7;8;9;10})*(($I$3+(L248-$I$3)*{1;2;3;4;5;6;7;8;9;10}/10)*(1-$I$7)+$I$4-$I$4*($I$5+(1.05-$I$5)*{1;2;3;4;5;6;7;8;9;10}/10)-(K248/(1+K248))*$I$6)/(1+M248)^{1;2;3;4;5;6;7;8;9;10})+$I$2*(1+K248)^10*(L248+$I$4)*N248/(1+M248)^10+$I$9-$I$10)/$I$11</f>
        <v/>
      </c>
    </row>
    <row r="249">
      <c r="K249" s="25">
        <f>MAX(-0.05,NORMINV(RAND(),$C$6,$D$6))</f>
        <v/>
      </c>
      <c r="L249" s="25">
        <f>MAX(0.02,NORMINV(RAND(),$C$7,$D$7))</f>
        <v/>
      </c>
      <c r="M249" s="25">
        <f>MIN(0.16,MAX(0.05,NORMINV(RAND(),$C$8,$D$8)))</f>
        <v/>
      </c>
      <c r="N249" s="26">
        <f>MIN(24,MAX(5,NORMINV(RAND(),$C$9,$D$9)))</f>
        <v/>
      </c>
      <c r="O249" s="49">
        <f>$I$8*(SUMPRODUCT(($I$2*(1+K249)^{1;2;3;4;5;6;7;8;9;10})*(($I$3+(L249-$I$3)*{1;2;3;4;5;6;7;8;9;10}/10)*(1-$I$7)+$I$4-$I$4*($I$5+(1.05-$I$5)*{1;2;3;4;5;6;7;8;9;10}/10)-(K249/(1+K249))*$I$6)/(1+M249)^{1;2;3;4;5;6;7;8;9;10})+$I$2*(1+K249)^10*(L249+$I$4)*N249/(1+M249)^10+$I$9-$I$10)/$I$11</f>
        <v/>
      </c>
    </row>
    <row r="250">
      <c r="K250" s="25">
        <f>MAX(-0.05,NORMINV(RAND(),$C$6,$D$6))</f>
        <v/>
      </c>
      <c r="L250" s="25">
        <f>MAX(0.02,NORMINV(RAND(),$C$7,$D$7))</f>
        <v/>
      </c>
      <c r="M250" s="25">
        <f>MIN(0.16,MAX(0.05,NORMINV(RAND(),$C$8,$D$8)))</f>
        <v/>
      </c>
      <c r="N250" s="26">
        <f>MIN(24,MAX(5,NORMINV(RAND(),$C$9,$D$9)))</f>
        <v/>
      </c>
      <c r="O250" s="49">
        <f>$I$8*(SUMPRODUCT(($I$2*(1+K250)^{1;2;3;4;5;6;7;8;9;10})*(($I$3+(L250-$I$3)*{1;2;3;4;5;6;7;8;9;10}/10)*(1-$I$7)+$I$4-$I$4*($I$5+(1.05-$I$5)*{1;2;3;4;5;6;7;8;9;10}/10)-(K250/(1+K250))*$I$6)/(1+M250)^{1;2;3;4;5;6;7;8;9;10})+$I$2*(1+K250)^10*(L250+$I$4)*N250/(1+M250)^10+$I$9-$I$10)/$I$11</f>
        <v/>
      </c>
    </row>
    <row r="251">
      <c r="K251" s="25">
        <f>MAX(-0.05,NORMINV(RAND(),$C$6,$D$6))</f>
        <v/>
      </c>
      <c r="L251" s="25">
        <f>MAX(0.02,NORMINV(RAND(),$C$7,$D$7))</f>
        <v/>
      </c>
      <c r="M251" s="25">
        <f>MIN(0.16,MAX(0.05,NORMINV(RAND(),$C$8,$D$8)))</f>
        <v/>
      </c>
      <c r="N251" s="26">
        <f>MIN(24,MAX(5,NORMINV(RAND(),$C$9,$D$9)))</f>
        <v/>
      </c>
      <c r="O251" s="49">
        <f>$I$8*(SUMPRODUCT(($I$2*(1+K251)^{1;2;3;4;5;6;7;8;9;10})*(($I$3+(L251-$I$3)*{1;2;3;4;5;6;7;8;9;10}/10)*(1-$I$7)+$I$4-$I$4*($I$5+(1.05-$I$5)*{1;2;3;4;5;6;7;8;9;10}/10)-(K251/(1+K251))*$I$6)/(1+M251)^{1;2;3;4;5;6;7;8;9;10})+$I$2*(1+K251)^10*(L251+$I$4)*N251/(1+M251)^10+$I$9-$I$10)/$I$11</f>
        <v/>
      </c>
    </row>
    <row r="252">
      <c r="K252" s="25">
        <f>MAX(-0.05,NORMINV(RAND(),$C$6,$D$6))</f>
        <v/>
      </c>
      <c r="L252" s="25">
        <f>MAX(0.02,NORMINV(RAND(),$C$7,$D$7))</f>
        <v/>
      </c>
      <c r="M252" s="25">
        <f>MIN(0.16,MAX(0.05,NORMINV(RAND(),$C$8,$D$8)))</f>
        <v/>
      </c>
      <c r="N252" s="26">
        <f>MIN(24,MAX(5,NORMINV(RAND(),$C$9,$D$9)))</f>
        <v/>
      </c>
      <c r="O252" s="49">
        <f>$I$8*(SUMPRODUCT(($I$2*(1+K252)^{1;2;3;4;5;6;7;8;9;10})*(($I$3+(L252-$I$3)*{1;2;3;4;5;6;7;8;9;10}/10)*(1-$I$7)+$I$4-$I$4*($I$5+(1.05-$I$5)*{1;2;3;4;5;6;7;8;9;10}/10)-(K252/(1+K252))*$I$6)/(1+M252)^{1;2;3;4;5;6;7;8;9;10})+$I$2*(1+K252)^10*(L252+$I$4)*N252/(1+M252)^10+$I$9-$I$10)/$I$11</f>
        <v/>
      </c>
    </row>
    <row r="253">
      <c r="K253" s="25">
        <f>MAX(-0.05,NORMINV(RAND(),$C$6,$D$6))</f>
        <v/>
      </c>
      <c r="L253" s="25">
        <f>MAX(0.02,NORMINV(RAND(),$C$7,$D$7))</f>
        <v/>
      </c>
      <c r="M253" s="25">
        <f>MIN(0.16,MAX(0.05,NORMINV(RAND(),$C$8,$D$8)))</f>
        <v/>
      </c>
      <c r="N253" s="26">
        <f>MIN(24,MAX(5,NORMINV(RAND(),$C$9,$D$9)))</f>
        <v/>
      </c>
      <c r="O253" s="49">
        <f>$I$8*(SUMPRODUCT(($I$2*(1+K253)^{1;2;3;4;5;6;7;8;9;10})*(($I$3+(L253-$I$3)*{1;2;3;4;5;6;7;8;9;10}/10)*(1-$I$7)+$I$4-$I$4*($I$5+(1.05-$I$5)*{1;2;3;4;5;6;7;8;9;10}/10)-(K253/(1+K253))*$I$6)/(1+M253)^{1;2;3;4;5;6;7;8;9;10})+$I$2*(1+K253)^10*(L253+$I$4)*N253/(1+M253)^10+$I$9-$I$10)/$I$11</f>
        <v/>
      </c>
    </row>
    <row r="254">
      <c r="K254" s="25">
        <f>MAX(-0.05,NORMINV(RAND(),$C$6,$D$6))</f>
        <v/>
      </c>
      <c r="L254" s="25">
        <f>MAX(0.02,NORMINV(RAND(),$C$7,$D$7))</f>
        <v/>
      </c>
      <c r="M254" s="25">
        <f>MIN(0.16,MAX(0.05,NORMINV(RAND(),$C$8,$D$8)))</f>
        <v/>
      </c>
      <c r="N254" s="26">
        <f>MIN(24,MAX(5,NORMINV(RAND(),$C$9,$D$9)))</f>
        <v/>
      </c>
      <c r="O254" s="49">
        <f>$I$8*(SUMPRODUCT(($I$2*(1+K254)^{1;2;3;4;5;6;7;8;9;10})*(($I$3+(L254-$I$3)*{1;2;3;4;5;6;7;8;9;10}/10)*(1-$I$7)+$I$4-$I$4*($I$5+(1.05-$I$5)*{1;2;3;4;5;6;7;8;9;10}/10)-(K254/(1+K254))*$I$6)/(1+M254)^{1;2;3;4;5;6;7;8;9;10})+$I$2*(1+K254)^10*(L254+$I$4)*N254/(1+M254)^10+$I$9-$I$10)/$I$11</f>
        <v/>
      </c>
    </row>
    <row r="255">
      <c r="K255" s="25">
        <f>MAX(-0.05,NORMINV(RAND(),$C$6,$D$6))</f>
        <v/>
      </c>
      <c r="L255" s="25">
        <f>MAX(0.02,NORMINV(RAND(),$C$7,$D$7))</f>
        <v/>
      </c>
      <c r="M255" s="25">
        <f>MIN(0.16,MAX(0.05,NORMINV(RAND(),$C$8,$D$8)))</f>
        <v/>
      </c>
      <c r="N255" s="26">
        <f>MIN(24,MAX(5,NORMINV(RAND(),$C$9,$D$9)))</f>
        <v/>
      </c>
      <c r="O255" s="49">
        <f>$I$8*(SUMPRODUCT(($I$2*(1+K255)^{1;2;3;4;5;6;7;8;9;10})*(($I$3+(L255-$I$3)*{1;2;3;4;5;6;7;8;9;10}/10)*(1-$I$7)+$I$4-$I$4*($I$5+(1.05-$I$5)*{1;2;3;4;5;6;7;8;9;10}/10)-(K255/(1+K255))*$I$6)/(1+M255)^{1;2;3;4;5;6;7;8;9;10})+$I$2*(1+K255)^10*(L255+$I$4)*N255/(1+M255)^10+$I$9-$I$10)/$I$11</f>
        <v/>
      </c>
    </row>
    <row r="256">
      <c r="K256" s="25">
        <f>MAX(-0.05,NORMINV(RAND(),$C$6,$D$6))</f>
        <v/>
      </c>
      <c r="L256" s="25">
        <f>MAX(0.02,NORMINV(RAND(),$C$7,$D$7))</f>
        <v/>
      </c>
      <c r="M256" s="25">
        <f>MIN(0.16,MAX(0.05,NORMINV(RAND(),$C$8,$D$8)))</f>
        <v/>
      </c>
      <c r="N256" s="26">
        <f>MIN(24,MAX(5,NORMINV(RAND(),$C$9,$D$9)))</f>
        <v/>
      </c>
      <c r="O256" s="49">
        <f>$I$8*(SUMPRODUCT(($I$2*(1+K256)^{1;2;3;4;5;6;7;8;9;10})*(($I$3+(L256-$I$3)*{1;2;3;4;5;6;7;8;9;10}/10)*(1-$I$7)+$I$4-$I$4*($I$5+(1.05-$I$5)*{1;2;3;4;5;6;7;8;9;10}/10)-(K256/(1+K256))*$I$6)/(1+M256)^{1;2;3;4;5;6;7;8;9;10})+$I$2*(1+K256)^10*(L256+$I$4)*N256/(1+M256)^10+$I$9-$I$10)/$I$11</f>
        <v/>
      </c>
    </row>
    <row r="257">
      <c r="K257" s="25">
        <f>MAX(-0.05,NORMINV(RAND(),$C$6,$D$6))</f>
        <v/>
      </c>
      <c r="L257" s="25">
        <f>MAX(0.02,NORMINV(RAND(),$C$7,$D$7))</f>
        <v/>
      </c>
      <c r="M257" s="25">
        <f>MIN(0.16,MAX(0.05,NORMINV(RAND(),$C$8,$D$8)))</f>
        <v/>
      </c>
      <c r="N257" s="26">
        <f>MIN(24,MAX(5,NORMINV(RAND(),$C$9,$D$9)))</f>
        <v/>
      </c>
      <c r="O257" s="49">
        <f>$I$8*(SUMPRODUCT(($I$2*(1+K257)^{1;2;3;4;5;6;7;8;9;10})*(($I$3+(L257-$I$3)*{1;2;3;4;5;6;7;8;9;10}/10)*(1-$I$7)+$I$4-$I$4*($I$5+(1.05-$I$5)*{1;2;3;4;5;6;7;8;9;10}/10)-(K257/(1+K257))*$I$6)/(1+M257)^{1;2;3;4;5;6;7;8;9;10})+$I$2*(1+K257)^10*(L257+$I$4)*N257/(1+M257)^10+$I$9-$I$10)/$I$11</f>
        <v/>
      </c>
    </row>
    <row r="258">
      <c r="K258" s="25">
        <f>MAX(-0.05,NORMINV(RAND(),$C$6,$D$6))</f>
        <v/>
      </c>
      <c r="L258" s="25">
        <f>MAX(0.02,NORMINV(RAND(),$C$7,$D$7))</f>
        <v/>
      </c>
      <c r="M258" s="25">
        <f>MIN(0.16,MAX(0.05,NORMINV(RAND(),$C$8,$D$8)))</f>
        <v/>
      </c>
      <c r="N258" s="26">
        <f>MIN(24,MAX(5,NORMINV(RAND(),$C$9,$D$9)))</f>
        <v/>
      </c>
      <c r="O258" s="49">
        <f>$I$8*(SUMPRODUCT(($I$2*(1+K258)^{1;2;3;4;5;6;7;8;9;10})*(($I$3+(L258-$I$3)*{1;2;3;4;5;6;7;8;9;10}/10)*(1-$I$7)+$I$4-$I$4*($I$5+(1.05-$I$5)*{1;2;3;4;5;6;7;8;9;10}/10)-(K258/(1+K258))*$I$6)/(1+M258)^{1;2;3;4;5;6;7;8;9;10})+$I$2*(1+K258)^10*(L258+$I$4)*N258/(1+M258)^10+$I$9-$I$10)/$I$11</f>
        <v/>
      </c>
    </row>
    <row r="259">
      <c r="K259" s="25">
        <f>MAX(-0.05,NORMINV(RAND(),$C$6,$D$6))</f>
        <v/>
      </c>
      <c r="L259" s="25">
        <f>MAX(0.02,NORMINV(RAND(),$C$7,$D$7))</f>
        <v/>
      </c>
      <c r="M259" s="25">
        <f>MIN(0.16,MAX(0.05,NORMINV(RAND(),$C$8,$D$8)))</f>
        <v/>
      </c>
      <c r="N259" s="26">
        <f>MIN(24,MAX(5,NORMINV(RAND(),$C$9,$D$9)))</f>
        <v/>
      </c>
      <c r="O259" s="49">
        <f>$I$8*(SUMPRODUCT(($I$2*(1+K259)^{1;2;3;4;5;6;7;8;9;10})*(($I$3+(L259-$I$3)*{1;2;3;4;5;6;7;8;9;10}/10)*(1-$I$7)+$I$4-$I$4*($I$5+(1.05-$I$5)*{1;2;3;4;5;6;7;8;9;10}/10)-(K259/(1+K259))*$I$6)/(1+M259)^{1;2;3;4;5;6;7;8;9;10})+$I$2*(1+K259)^10*(L259+$I$4)*N259/(1+M259)^10+$I$9-$I$10)/$I$11</f>
        <v/>
      </c>
    </row>
    <row r="260">
      <c r="K260" s="25">
        <f>MAX(-0.05,NORMINV(RAND(),$C$6,$D$6))</f>
        <v/>
      </c>
      <c r="L260" s="25">
        <f>MAX(0.02,NORMINV(RAND(),$C$7,$D$7))</f>
        <v/>
      </c>
      <c r="M260" s="25">
        <f>MIN(0.16,MAX(0.05,NORMINV(RAND(),$C$8,$D$8)))</f>
        <v/>
      </c>
      <c r="N260" s="26">
        <f>MIN(24,MAX(5,NORMINV(RAND(),$C$9,$D$9)))</f>
        <v/>
      </c>
      <c r="O260" s="49">
        <f>$I$8*(SUMPRODUCT(($I$2*(1+K260)^{1;2;3;4;5;6;7;8;9;10})*(($I$3+(L260-$I$3)*{1;2;3;4;5;6;7;8;9;10}/10)*(1-$I$7)+$I$4-$I$4*($I$5+(1.05-$I$5)*{1;2;3;4;5;6;7;8;9;10}/10)-(K260/(1+K260))*$I$6)/(1+M260)^{1;2;3;4;5;6;7;8;9;10})+$I$2*(1+K260)^10*(L260+$I$4)*N260/(1+M260)^10+$I$9-$I$10)/$I$11</f>
        <v/>
      </c>
    </row>
    <row r="261">
      <c r="K261" s="25">
        <f>MAX(-0.05,NORMINV(RAND(),$C$6,$D$6))</f>
        <v/>
      </c>
      <c r="L261" s="25">
        <f>MAX(0.02,NORMINV(RAND(),$C$7,$D$7))</f>
        <v/>
      </c>
      <c r="M261" s="25">
        <f>MIN(0.16,MAX(0.05,NORMINV(RAND(),$C$8,$D$8)))</f>
        <v/>
      </c>
      <c r="N261" s="26">
        <f>MIN(24,MAX(5,NORMINV(RAND(),$C$9,$D$9)))</f>
        <v/>
      </c>
      <c r="O261" s="49">
        <f>$I$8*(SUMPRODUCT(($I$2*(1+K261)^{1;2;3;4;5;6;7;8;9;10})*(($I$3+(L261-$I$3)*{1;2;3;4;5;6;7;8;9;10}/10)*(1-$I$7)+$I$4-$I$4*($I$5+(1.05-$I$5)*{1;2;3;4;5;6;7;8;9;10}/10)-(K261/(1+K261))*$I$6)/(1+M261)^{1;2;3;4;5;6;7;8;9;10})+$I$2*(1+K261)^10*(L261+$I$4)*N261/(1+M261)^10+$I$9-$I$10)/$I$11</f>
        <v/>
      </c>
    </row>
    <row r="262">
      <c r="K262" s="25">
        <f>MAX(-0.05,NORMINV(RAND(),$C$6,$D$6))</f>
        <v/>
      </c>
      <c r="L262" s="25">
        <f>MAX(0.02,NORMINV(RAND(),$C$7,$D$7))</f>
        <v/>
      </c>
      <c r="M262" s="25">
        <f>MIN(0.16,MAX(0.05,NORMINV(RAND(),$C$8,$D$8)))</f>
        <v/>
      </c>
      <c r="N262" s="26">
        <f>MIN(24,MAX(5,NORMINV(RAND(),$C$9,$D$9)))</f>
        <v/>
      </c>
      <c r="O262" s="49">
        <f>$I$8*(SUMPRODUCT(($I$2*(1+K262)^{1;2;3;4;5;6;7;8;9;10})*(($I$3+(L262-$I$3)*{1;2;3;4;5;6;7;8;9;10}/10)*(1-$I$7)+$I$4-$I$4*($I$5+(1.05-$I$5)*{1;2;3;4;5;6;7;8;9;10}/10)-(K262/(1+K262))*$I$6)/(1+M262)^{1;2;3;4;5;6;7;8;9;10})+$I$2*(1+K262)^10*(L262+$I$4)*N262/(1+M262)^10+$I$9-$I$10)/$I$11</f>
        <v/>
      </c>
    </row>
    <row r="263">
      <c r="K263" s="25">
        <f>MAX(-0.05,NORMINV(RAND(),$C$6,$D$6))</f>
        <v/>
      </c>
      <c r="L263" s="25">
        <f>MAX(0.02,NORMINV(RAND(),$C$7,$D$7))</f>
        <v/>
      </c>
      <c r="M263" s="25">
        <f>MIN(0.16,MAX(0.05,NORMINV(RAND(),$C$8,$D$8)))</f>
        <v/>
      </c>
      <c r="N263" s="26">
        <f>MIN(24,MAX(5,NORMINV(RAND(),$C$9,$D$9)))</f>
        <v/>
      </c>
      <c r="O263" s="49">
        <f>$I$8*(SUMPRODUCT(($I$2*(1+K263)^{1;2;3;4;5;6;7;8;9;10})*(($I$3+(L263-$I$3)*{1;2;3;4;5;6;7;8;9;10}/10)*(1-$I$7)+$I$4-$I$4*($I$5+(1.05-$I$5)*{1;2;3;4;5;6;7;8;9;10}/10)-(K263/(1+K263))*$I$6)/(1+M263)^{1;2;3;4;5;6;7;8;9;10})+$I$2*(1+K263)^10*(L263+$I$4)*N263/(1+M263)^10+$I$9-$I$10)/$I$11</f>
        <v/>
      </c>
    </row>
    <row r="264">
      <c r="K264" s="25">
        <f>MAX(-0.05,NORMINV(RAND(),$C$6,$D$6))</f>
        <v/>
      </c>
      <c r="L264" s="25">
        <f>MAX(0.02,NORMINV(RAND(),$C$7,$D$7))</f>
        <v/>
      </c>
      <c r="M264" s="25">
        <f>MIN(0.16,MAX(0.05,NORMINV(RAND(),$C$8,$D$8)))</f>
        <v/>
      </c>
      <c r="N264" s="26">
        <f>MIN(24,MAX(5,NORMINV(RAND(),$C$9,$D$9)))</f>
        <v/>
      </c>
      <c r="O264" s="49">
        <f>$I$8*(SUMPRODUCT(($I$2*(1+K264)^{1;2;3;4;5;6;7;8;9;10})*(($I$3+(L264-$I$3)*{1;2;3;4;5;6;7;8;9;10}/10)*(1-$I$7)+$I$4-$I$4*($I$5+(1.05-$I$5)*{1;2;3;4;5;6;7;8;9;10}/10)-(K264/(1+K264))*$I$6)/(1+M264)^{1;2;3;4;5;6;7;8;9;10})+$I$2*(1+K264)^10*(L264+$I$4)*N264/(1+M264)^10+$I$9-$I$10)/$I$11</f>
        <v/>
      </c>
    </row>
    <row r="265">
      <c r="K265" s="25">
        <f>MAX(-0.05,NORMINV(RAND(),$C$6,$D$6))</f>
        <v/>
      </c>
      <c r="L265" s="25">
        <f>MAX(0.02,NORMINV(RAND(),$C$7,$D$7))</f>
        <v/>
      </c>
      <c r="M265" s="25">
        <f>MIN(0.16,MAX(0.05,NORMINV(RAND(),$C$8,$D$8)))</f>
        <v/>
      </c>
      <c r="N265" s="26">
        <f>MIN(24,MAX(5,NORMINV(RAND(),$C$9,$D$9)))</f>
        <v/>
      </c>
      <c r="O265" s="49">
        <f>$I$8*(SUMPRODUCT(($I$2*(1+K265)^{1;2;3;4;5;6;7;8;9;10})*(($I$3+(L265-$I$3)*{1;2;3;4;5;6;7;8;9;10}/10)*(1-$I$7)+$I$4-$I$4*($I$5+(1.05-$I$5)*{1;2;3;4;5;6;7;8;9;10}/10)-(K265/(1+K265))*$I$6)/(1+M265)^{1;2;3;4;5;6;7;8;9;10})+$I$2*(1+K265)^10*(L265+$I$4)*N265/(1+M265)^10+$I$9-$I$10)/$I$11</f>
        <v/>
      </c>
    </row>
    <row r="266">
      <c r="K266" s="25">
        <f>MAX(-0.05,NORMINV(RAND(),$C$6,$D$6))</f>
        <v/>
      </c>
      <c r="L266" s="25">
        <f>MAX(0.02,NORMINV(RAND(),$C$7,$D$7))</f>
        <v/>
      </c>
      <c r="M266" s="25">
        <f>MIN(0.16,MAX(0.05,NORMINV(RAND(),$C$8,$D$8)))</f>
        <v/>
      </c>
      <c r="N266" s="26">
        <f>MIN(24,MAX(5,NORMINV(RAND(),$C$9,$D$9)))</f>
        <v/>
      </c>
      <c r="O266" s="49">
        <f>$I$8*(SUMPRODUCT(($I$2*(1+K266)^{1;2;3;4;5;6;7;8;9;10})*(($I$3+(L266-$I$3)*{1;2;3;4;5;6;7;8;9;10}/10)*(1-$I$7)+$I$4-$I$4*($I$5+(1.05-$I$5)*{1;2;3;4;5;6;7;8;9;10}/10)-(K266/(1+K266))*$I$6)/(1+M266)^{1;2;3;4;5;6;7;8;9;10})+$I$2*(1+K266)^10*(L266+$I$4)*N266/(1+M266)^10+$I$9-$I$10)/$I$11</f>
        <v/>
      </c>
    </row>
    <row r="267">
      <c r="K267" s="25">
        <f>MAX(-0.05,NORMINV(RAND(),$C$6,$D$6))</f>
        <v/>
      </c>
      <c r="L267" s="25">
        <f>MAX(0.02,NORMINV(RAND(),$C$7,$D$7))</f>
        <v/>
      </c>
      <c r="M267" s="25">
        <f>MIN(0.16,MAX(0.05,NORMINV(RAND(),$C$8,$D$8)))</f>
        <v/>
      </c>
      <c r="N267" s="26">
        <f>MIN(24,MAX(5,NORMINV(RAND(),$C$9,$D$9)))</f>
        <v/>
      </c>
      <c r="O267" s="49">
        <f>$I$8*(SUMPRODUCT(($I$2*(1+K267)^{1;2;3;4;5;6;7;8;9;10})*(($I$3+(L267-$I$3)*{1;2;3;4;5;6;7;8;9;10}/10)*(1-$I$7)+$I$4-$I$4*($I$5+(1.05-$I$5)*{1;2;3;4;5;6;7;8;9;10}/10)-(K267/(1+K267))*$I$6)/(1+M267)^{1;2;3;4;5;6;7;8;9;10})+$I$2*(1+K267)^10*(L267+$I$4)*N267/(1+M267)^10+$I$9-$I$10)/$I$11</f>
        <v/>
      </c>
    </row>
    <row r="268">
      <c r="K268" s="25">
        <f>MAX(-0.05,NORMINV(RAND(),$C$6,$D$6))</f>
        <v/>
      </c>
      <c r="L268" s="25">
        <f>MAX(0.02,NORMINV(RAND(),$C$7,$D$7))</f>
        <v/>
      </c>
      <c r="M268" s="25">
        <f>MIN(0.16,MAX(0.05,NORMINV(RAND(),$C$8,$D$8)))</f>
        <v/>
      </c>
      <c r="N268" s="26">
        <f>MIN(24,MAX(5,NORMINV(RAND(),$C$9,$D$9)))</f>
        <v/>
      </c>
      <c r="O268" s="49">
        <f>$I$8*(SUMPRODUCT(($I$2*(1+K268)^{1;2;3;4;5;6;7;8;9;10})*(($I$3+(L268-$I$3)*{1;2;3;4;5;6;7;8;9;10}/10)*(1-$I$7)+$I$4-$I$4*($I$5+(1.05-$I$5)*{1;2;3;4;5;6;7;8;9;10}/10)-(K268/(1+K268))*$I$6)/(1+M268)^{1;2;3;4;5;6;7;8;9;10})+$I$2*(1+K268)^10*(L268+$I$4)*N268/(1+M268)^10+$I$9-$I$10)/$I$11</f>
        <v/>
      </c>
    </row>
    <row r="269">
      <c r="K269" s="25">
        <f>MAX(-0.05,NORMINV(RAND(),$C$6,$D$6))</f>
        <v/>
      </c>
      <c r="L269" s="25">
        <f>MAX(0.02,NORMINV(RAND(),$C$7,$D$7))</f>
        <v/>
      </c>
      <c r="M269" s="25">
        <f>MIN(0.16,MAX(0.05,NORMINV(RAND(),$C$8,$D$8)))</f>
        <v/>
      </c>
      <c r="N269" s="26">
        <f>MIN(24,MAX(5,NORMINV(RAND(),$C$9,$D$9)))</f>
        <v/>
      </c>
      <c r="O269" s="49">
        <f>$I$8*(SUMPRODUCT(($I$2*(1+K269)^{1;2;3;4;5;6;7;8;9;10})*(($I$3+(L269-$I$3)*{1;2;3;4;5;6;7;8;9;10}/10)*(1-$I$7)+$I$4-$I$4*($I$5+(1.05-$I$5)*{1;2;3;4;5;6;7;8;9;10}/10)-(K269/(1+K269))*$I$6)/(1+M269)^{1;2;3;4;5;6;7;8;9;10})+$I$2*(1+K269)^10*(L269+$I$4)*N269/(1+M269)^10+$I$9-$I$10)/$I$11</f>
        <v/>
      </c>
    </row>
    <row r="270">
      <c r="K270" s="25">
        <f>MAX(-0.05,NORMINV(RAND(),$C$6,$D$6))</f>
        <v/>
      </c>
      <c r="L270" s="25">
        <f>MAX(0.02,NORMINV(RAND(),$C$7,$D$7))</f>
        <v/>
      </c>
      <c r="M270" s="25">
        <f>MIN(0.16,MAX(0.05,NORMINV(RAND(),$C$8,$D$8)))</f>
        <v/>
      </c>
      <c r="N270" s="26">
        <f>MIN(24,MAX(5,NORMINV(RAND(),$C$9,$D$9)))</f>
        <v/>
      </c>
      <c r="O270" s="49">
        <f>$I$8*(SUMPRODUCT(($I$2*(1+K270)^{1;2;3;4;5;6;7;8;9;10})*(($I$3+(L270-$I$3)*{1;2;3;4;5;6;7;8;9;10}/10)*(1-$I$7)+$I$4-$I$4*($I$5+(1.05-$I$5)*{1;2;3;4;5;6;7;8;9;10}/10)-(K270/(1+K270))*$I$6)/(1+M270)^{1;2;3;4;5;6;7;8;9;10})+$I$2*(1+K270)^10*(L270+$I$4)*N270/(1+M270)^10+$I$9-$I$10)/$I$11</f>
        <v/>
      </c>
    </row>
    <row r="271">
      <c r="K271" s="25">
        <f>MAX(-0.05,NORMINV(RAND(),$C$6,$D$6))</f>
        <v/>
      </c>
      <c r="L271" s="25">
        <f>MAX(0.02,NORMINV(RAND(),$C$7,$D$7))</f>
        <v/>
      </c>
      <c r="M271" s="25">
        <f>MIN(0.16,MAX(0.05,NORMINV(RAND(),$C$8,$D$8)))</f>
        <v/>
      </c>
      <c r="N271" s="26">
        <f>MIN(24,MAX(5,NORMINV(RAND(),$C$9,$D$9)))</f>
        <v/>
      </c>
      <c r="O271" s="49">
        <f>$I$8*(SUMPRODUCT(($I$2*(1+K271)^{1;2;3;4;5;6;7;8;9;10})*(($I$3+(L271-$I$3)*{1;2;3;4;5;6;7;8;9;10}/10)*(1-$I$7)+$I$4-$I$4*($I$5+(1.05-$I$5)*{1;2;3;4;5;6;7;8;9;10}/10)-(K271/(1+K271))*$I$6)/(1+M271)^{1;2;3;4;5;6;7;8;9;10})+$I$2*(1+K271)^10*(L271+$I$4)*N271/(1+M271)^10+$I$9-$I$10)/$I$11</f>
        <v/>
      </c>
    </row>
    <row r="272">
      <c r="K272" s="25">
        <f>MAX(-0.05,NORMINV(RAND(),$C$6,$D$6))</f>
        <v/>
      </c>
      <c r="L272" s="25">
        <f>MAX(0.02,NORMINV(RAND(),$C$7,$D$7))</f>
        <v/>
      </c>
      <c r="M272" s="25">
        <f>MIN(0.16,MAX(0.05,NORMINV(RAND(),$C$8,$D$8)))</f>
        <v/>
      </c>
      <c r="N272" s="26">
        <f>MIN(24,MAX(5,NORMINV(RAND(),$C$9,$D$9)))</f>
        <v/>
      </c>
      <c r="O272" s="49">
        <f>$I$8*(SUMPRODUCT(($I$2*(1+K272)^{1;2;3;4;5;6;7;8;9;10})*(($I$3+(L272-$I$3)*{1;2;3;4;5;6;7;8;9;10}/10)*(1-$I$7)+$I$4-$I$4*($I$5+(1.05-$I$5)*{1;2;3;4;5;6;7;8;9;10}/10)-(K272/(1+K272))*$I$6)/(1+M272)^{1;2;3;4;5;6;7;8;9;10})+$I$2*(1+K272)^10*(L272+$I$4)*N272/(1+M272)^10+$I$9-$I$10)/$I$11</f>
        <v/>
      </c>
    </row>
    <row r="273">
      <c r="K273" s="25">
        <f>MAX(-0.05,NORMINV(RAND(),$C$6,$D$6))</f>
        <v/>
      </c>
      <c r="L273" s="25">
        <f>MAX(0.02,NORMINV(RAND(),$C$7,$D$7))</f>
        <v/>
      </c>
      <c r="M273" s="25">
        <f>MIN(0.16,MAX(0.05,NORMINV(RAND(),$C$8,$D$8)))</f>
        <v/>
      </c>
      <c r="N273" s="26">
        <f>MIN(24,MAX(5,NORMINV(RAND(),$C$9,$D$9)))</f>
        <v/>
      </c>
      <c r="O273" s="49">
        <f>$I$8*(SUMPRODUCT(($I$2*(1+K273)^{1;2;3;4;5;6;7;8;9;10})*(($I$3+(L273-$I$3)*{1;2;3;4;5;6;7;8;9;10}/10)*(1-$I$7)+$I$4-$I$4*($I$5+(1.05-$I$5)*{1;2;3;4;5;6;7;8;9;10}/10)-(K273/(1+K273))*$I$6)/(1+M273)^{1;2;3;4;5;6;7;8;9;10})+$I$2*(1+K273)^10*(L273+$I$4)*N273/(1+M273)^10+$I$9-$I$10)/$I$11</f>
        <v/>
      </c>
    </row>
    <row r="274">
      <c r="K274" s="25">
        <f>MAX(-0.05,NORMINV(RAND(),$C$6,$D$6))</f>
        <v/>
      </c>
      <c r="L274" s="25">
        <f>MAX(0.02,NORMINV(RAND(),$C$7,$D$7))</f>
        <v/>
      </c>
      <c r="M274" s="25">
        <f>MIN(0.16,MAX(0.05,NORMINV(RAND(),$C$8,$D$8)))</f>
        <v/>
      </c>
      <c r="N274" s="26">
        <f>MIN(24,MAX(5,NORMINV(RAND(),$C$9,$D$9)))</f>
        <v/>
      </c>
      <c r="O274" s="49">
        <f>$I$8*(SUMPRODUCT(($I$2*(1+K274)^{1;2;3;4;5;6;7;8;9;10})*(($I$3+(L274-$I$3)*{1;2;3;4;5;6;7;8;9;10}/10)*(1-$I$7)+$I$4-$I$4*($I$5+(1.05-$I$5)*{1;2;3;4;5;6;7;8;9;10}/10)-(K274/(1+K274))*$I$6)/(1+M274)^{1;2;3;4;5;6;7;8;9;10})+$I$2*(1+K274)^10*(L274+$I$4)*N274/(1+M274)^10+$I$9-$I$10)/$I$11</f>
        <v/>
      </c>
    </row>
    <row r="275">
      <c r="K275" s="25">
        <f>MAX(-0.05,NORMINV(RAND(),$C$6,$D$6))</f>
        <v/>
      </c>
      <c r="L275" s="25">
        <f>MAX(0.02,NORMINV(RAND(),$C$7,$D$7))</f>
        <v/>
      </c>
      <c r="M275" s="25">
        <f>MIN(0.16,MAX(0.05,NORMINV(RAND(),$C$8,$D$8)))</f>
        <v/>
      </c>
      <c r="N275" s="26">
        <f>MIN(24,MAX(5,NORMINV(RAND(),$C$9,$D$9)))</f>
        <v/>
      </c>
      <c r="O275" s="49">
        <f>$I$8*(SUMPRODUCT(($I$2*(1+K275)^{1;2;3;4;5;6;7;8;9;10})*(($I$3+(L275-$I$3)*{1;2;3;4;5;6;7;8;9;10}/10)*(1-$I$7)+$I$4-$I$4*($I$5+(1.05-$I$5)*{1;2;3;4;5;6;7;8;9;10}/10)-(K275/(1+K275))*$I$6)/(1+M275)^{1;2;3;4;5;6;7;8;9;10})+$I$2*(1+K275)^10*(L275+$I$4)*N275/(1+M275)^10+$I$9-$I$10)/$I$11</f>
        <v/>
      </c>
    </row>
    <row r="276">
      <c r="K276" s="25">
        <f>MAX(-0.05,NORMINV(RAND(),$C$6,$D$6))</f>
        <v/>
      </c>
      <c r="L276" s="25">
        <f>MAX(0.02,NORMINV(RAND(),$C$7,$D$7))</f>
        <v/>
      </c>
      <c r="M276" s="25">
        <f>MIN(0.16,MAX(0.05,NORMINV(RAND(),$C$8,$D$8)))</f>
        <v/>
      </c>
      <c r="N276" s="26">
        <f>MIN(24,MAX(5,NORMINV(RAND(),$C$9,$D$9)))</f>
        <v/>
      </c>
      <c r="O276" s="49">
        <f>$I$8*(SUMPRODUCT(($I$2*(1+K276)^{1;2;3;4;5;6;7;8;9;10})*(($I$3+(L276-$I$3)*{1;2;3;4;5;6;7;8;9;10}/10)*(1-$I$7)+$I$4-$I$4*($I$5+(1.05-$I$5)*{1;2;3;4;5;6;7;8;9;10}/10)-(K276/(1+K276))*$I$6)/(1+M276)^{1;2;3;4;5;6;7;8;9;10})+$I$2*(1+K276)^10*(L276+$I$4)*N276/(1+M276)^10+$I$9-$I$10)/$I$11</f>
        <v/>
      </c>
    </row>
    <row r="277">
      <c r="K277" s="25">
        <f>MAX(-0.05,NORMINV(RAND(),$C$6,$D$6))</f>
        <v/>
      </c>
      <c r="L277" s="25">
        <f>MAX(0.02,NORMINV(RAND(),$C$7,$D$7))</f>
        <v/>
      </c>
      <c r="M277" s="25">
        <f>MIN(0.16,MAX(0.05,NORMINV(RAND(),$C$8,$D$8)))</f>
        <v/>
      </c>
      <c r="N277" s="26">
        <f>MIN(24,MAX(5,NORMINV(RAND(),$C$9,$D$9)))</f>
        <v/>
      </c>
      <c r="O277" s="49">
        <f>$I$8*(SUMPRODUCT(($I$2*(1+K277)^{1;2;3;4;5;6;7;8;9;10})*(($I$3+(L277-$I$3)*{1;2;3;4;5;6;7;8;9;10}/10)*(1-$I$7)+$I$4-$I$4*($I$5+(1.05-$I$5)*{1;2;3;4;5;6;7;8;9;10}/10)-(K277/(1+K277))*$I$6)/(1+M277)^{1;2;3;4;5;6;7;8;9;10})+$I$2*(1+K277)^10*(L277+$I$4)*N277/(1+M277)^10+$I$9-$I$10)/$I$11</f>
        <v/>
      </c>
    </row>
    <row r="278">
      <c r="K278" s="25">
        <f>MAX(-0.05,NORMINV(RAND(),$C$6,$D$6))</f>
        <v/>
      </c>
      <c r="L278" s="25">
        <f>MAX(0.02,NORMINV(RAND(),$C$7,$D$7))</f>
        <v/>
      </c>
      <c r="M278" s="25">
        <f>MIN(0.16,MAX(0.05,NORMINV(RAND(),$C$8,$D$8)))</f>
        <v/>
      </c>
      <c r="N278" s="26">
        <f>MIN(24,MAX(5,NORMINV(RAND(),$C$9,$D$9)))</f>
        <v/>
      </c>
      <c r="O278" s="49">
        <f>$I$8*(SUMPRODUCT(($I$2*(1+K278)^{1;2;3;4;5;6;7;8;9;10})*(($I$3+(L278-$I$3)*{1;2;3;4;5;6;7;8;9;10}/10)*(1-$I$7)+$I$4-$I$4*($I$5+(1.05-$I$5)*{1;2;3;4;5;6;7;8;9;10}/10)-(K278/(1+K278))*$I$6)/(1+M278)^{1;2;3;4;5;6;7;8;9;10})+$I$2*(1+K278)^10*(L278+$I$4)*N278/(1+M278)^10+$I$9-$I$10)/$I$11</f>
        <v/>
      </c>
    </row>
    <row r="279">
      <c r="K279" s="25">
        <f>MAX(-0.05,NORMINV(RAND(),$C$6,$D$6))</f>
        <v/>
      </c>
      <c r="L279" s="25">
        <f>MAX(0.02,NORMINV(RAND(),$C$7,$D$7))</f>
        <v/>
      </c>
      <c r="M279" s="25">
        <f>MIN(0.16,MAX(0.05,NORMINV(RAND(),$C$8,$D$8)))</f>
        <v/>
      </c>
      <c r="N279" s="26">
        <f>MIN(24,MAX(5,NORMINV(RAND(),$C$9,$D$9)))</f>
        <v/>
      </c>
      <c r="O279" s="49">
        <f>$I$8*(SUMPRODUCT(($I$2*(1+K279)^{1;2;3;4;5;6;7;8;9;10})*(($I$3+(L279-$I$3)*{1;2;3;4;5;6;7;8;9;10}/10)*(1-$I$7)+$I$4-$I$4*($I$5+(1.05-$I$5)*{1;2;3;4;5;6;7;8;9;10}/10)-(K279/(1+K279))*$I$6)/(1+M279)^{1;2;3;4;5;6;7;8;9;10})+$I$2*(1+K279)^10*(L279+$I$4)*N279/(1+M279)^10+$I$9-$I$10)/$I$11</f>
        <v/>
      </c>
    </row>
    <row r="280">
      <c r="K280" s="25">
        <f>MAX(-0.05,NORMINV(RAND(),$C$6,$D$6))</f>
        <v/>
      </c>
      <c r="L280" s="25">
        <f>MAX(0.02,NORMINV(RAND(),$C$7,$D$7))</f>
        <v/>
      </c>
      <c r="M280" s="25">
        <f>MIN(0.16,MAX(0.05,NORMINV(RAND(),$C$8,$D$8)))</f>
        <v/>
      </c>
      <c r="N280" s="26">
        <f>MIN(24,MAX(5,NORMINV(RAND(),$C$9,$D$9)))</f>
        <v/>
      </c>
      <c r="O280" s="49">
        <f>$I$8*(SUMPRODUCT(($I$2*(1+K280)^{1;2;3;4;5;6;7;8;9;10})*(($I$3+(L280-$I$3)*{1;2;3;4;5;6;7;8;9;10}/10)*(1-$I$7)+$I$4-$I$4*($I$5+(1.05-$I$5)*{1;2;3;4;5;6;7;8;9;10}/10)-(K280/(1+K280))*$I$6)/(1+M280)^{1;2;3;4;5;6;7;8;9;10})+$I$2*(1+K280)^10*(L280+$I$4)*N280/(1+M280)^10+$I$9-$I$10)/$I$11</f>
        <v/>
      </c>
    </row>
    <row r="281">
      <c r="K281" s="25">
        <f>MAX(-0.05,NORMINV(RAND(),$C$6,$D$6))</f>
        <v/>
      </c>
      <c r="L281" s="25">
        <f>MAX(0.02,NORMINV(RAND(),$C$7,$D$7))</f>
        <v/>
      </c>
      <c r="M281" s="25">
        <f>MIN(0.16,MAX(0.05,NORMINV(RAND(),$C$8,$D$8)))</f>
        <v/>
      </c>
      <c r="N281" s="26">
        <f>MIN(24,MAX(5,NORMINV(RAND(),$C$9,$D$9)))</f>
        <v/>
      </c>
      <c r="O281" s="49">
        <f>$I$8*(SUMPRODUCT(($I$2*(1+K281)^{1;2;3;4;5;6;7;8;9;10})*(($I$3+(L281-$I$3)*{1;2;3;4;5;6;7;8;9;10}/10)*(1-$I$7)+$I$4-$I$4*($I$5+(1.05-$I$5)*{1;2;3;4;5;6;7;8;9;10}/10)-(K281/(1+K281))*$I$6)/(1+M281)^{1;2;3;4;5;6;7;8;9;10})+$I$2*(1+K281)^10*(L281+$I$4)*N281/(1+M281)^10+$I$9-$I$10)/$I$11</f>
        <v/>
      </c>
    </row>
    <row r="282">
      <c r="K282" s="25">
        <f>MAX(-0.05,NORMINV(RAND(),$C$6,$D$6))</f>
        <v/>
      </c>
      <c r="L282" s="25">
        <f>MAX(0.02,NORMINV(RAND(),$C$7,$D$7))</f>
        <v/>
      </c>
      <c r="M282" s="25">
        <f>MIN(0.16,MAX(0.05,NORMINV(RAND(),$C$8,$D$8)))</f>
        <v/>
      </c>
      <c r="N282" s="26">
        <f>MIN(24,MAX(5,NORMINV(RAND(),$C$9,$D$9)))</f>
        <v/>
      </c>
      <c r="O282" s="49">
        <f>$I$8*(SUMPRODUCT(($I$2*(1+K282)^{1;2;3;4;5;6;7;8;9;10})*(($I$3+(L282-$I$3)*{1;2;3;4;5;6;7;8;9;10}/10)*(1-$I$7)+$I$4-$I$4*($I$5+(1.05-$I$5)*{1;2;3;4;5;6;7;8;9;10}/10)-(K282/(1+K282))*$I$6)/(1+M282)^{1;2;3;4;5;6;7;8;9;10})+$I$2*(1+K282)^10*(L282+$I$4)*N282/(1+M282)^10+$I$9-$I$10)/$I$11</f>
        <v/>
      </c>
    </row>
    <row r="283">
      <c r="K283" s="25">
        <f>MAX(-0.05,NORMINV(RAND(),$C$6,$D$6))</f>
        <v/>
      </c>
      <c r="L283" s="25">
        <f>MAX(0.02,NORMINV(RAND(),$C$7,$D$7))</f>
        <v/>
      </c>
      <c r="M283" s="25">
        <f>MIN(0.16,MAX(0.05,NORMINV(RAND(),$C$8,$D$8)))</f>
        <v/>
      </c>
      <c r="N283" s="26">
        <f>MIN(24,MAX(5,NORMINV(RAND(),$C$9,$D$9)))</f>
        <v/>
      </c>
      <c r="O283" s="49">
        <f>$I$8*(SUMPRODUCT(($I$2*(1+K283)^{1;2;3;4;5;6;7;8;9;10})*(($I$3+(L283-$I$3)*{1;2;3;4;5;6;7;8;9;10}/10)*(1-$I$7)+$I$4-$I$4*($I$5+(1.05-$I$5)*{1;2;3;4;5;6;7;8;9;10}/10)-(K283/(1+K283))*$I$6)/(1+M283)^{1;2;3;4;5;6;7;8;9;10})+$I$2*(1+K283)^10*(L283+$I$4)*N283/(1+M283)^10+$I$9-$I$10)/$I$11</f>
        <v/>
      </c>
    </row>
    <row r="284">
      <c r="K284" s="25">
        <f>MAX(-0.05,NORMINV(RAND(),$C$6,$D$6))</f>
        <v/>
      </c>
      <c r="L284" s="25">
        <f>MAX(0.02,NORMINV(RAND(),$C$7,$D$7))</f>
        <v/>
      </c>
      <c r="M284" s="25">
        <f>MIN(0.16,MAX(0.05,NORMINV(RAND(),$C$8,$D$8)))</f>
        <v/>
      </c>
      <c r="N284" s="26">
        <f>MIN(24,MAX(5,NORMINV(RAND(),$C$9,$D$9)))</f>
        <v/>
      </c>
      <c r="O284" s="49">
        <f>$I$8*(SUMPRODUCT(($I$2*(1+K284)^{1;2;3;4;5;6;7;8;9;10})*(($I$3+(L284-$I$3)*{1;2;3;4;5;6;7;8;9;10}/10)*(1-$I$7)+$I$4-$I$4*($I$5+(1.05-$I$5)*{1;2;3;4;5;6;7;8;9;10}/10)-(K284/(1+K284))*$I$6)/(1+M284)^{1;2;3;4;5;6;7;8;9;10})+$I$2*(1+K284)^10*(L284+$I$4)*N284/(1+M284)^10+$I$9-$I$10)/$I$11</f>
        <v/>
      </c>
    </row>
    <row r="285">
      <c r="K285" s="25">
        <f>MAX(-0.05,NORMINV(RAND(),$C$6,$D$6))</f>
        <v/>
      </c>
      <c r="L285" s="25">
        <f>MAX(0.02,NORMINV(RAND(),$C$7,$D$7))</f>
        <v/>
      </c>
      <c r="M285" s="25">
        <f>MIN(0.16,MAX(0.05,NORMINV(RAND(),$C$8,$D$8)))</f>
        <v/>
      </c>
      <c r="N285" s="26">
        <f>MIN(24,MAX(5,NORMINV(RAND(),$C$9,$D$9)))</f>
        <v/>
      </c>
      <c r="O285" s="49">
        <f>$I$8*(SUMPRODUCT(($I$2*(1+K285)^{1;2;3;4;5;6;7;8;9;10})*(($I$3+(L285-$I$3)*{1;2;3;4;5;6;7;8;9;10}/10)*(1-$I$7)+$I$4-$I$4*($I$5+(1.05-$I$5)*{1;2;3;4;5;6;7;8;9;10}/10)-(K285/(1+K285))*$I$6)/(1+M285)^{1;2;3;4;5;6;7;8;9;10})+$I$2*(1+K285)^10*(L285+$I$4)*N285/(1+M285)^10+$I$9-$I$10)/$I$11</f>
        <v/>
      </c>
    </row>
    <row r="286">
      <c r="K286" s="25">
        <f>MAX(-0.05,NORMINV(RAND(),$C$6,$D$6))</f>
        <v/>
      </c>
      <c r="L286" s="25">
        <f>MAX(0.02,NORMINV(RAND(),$C$7,$D$7))</f>
        <v/>
      </c>
      <c r="M286" s="25">
        <f>MIN(0.16,MAX(0.05,NORMINV(RAND(),$C$8,$D$8)))</f>
        <v/>
      </c>
      <c r="N286" s="26">
        <f>MIN(24,MAX(5,NORMINV(RAND(),$C$9,$D$9)))</f>
        <v/>
      </c>
      <c r="O286" s="49">
        <f>$I$8*(SUMPRODUCT(($I$2*(1+K286)^{1;2;3;4;5;6;7;8;9;10})*(($I$3+(L286-$I$3)*{1;2;3;4;5;6;7;8;9;10}/10)*(1-$I$7)+$I$4-$I$4*($I$5+(1.05-$I$5)*{1;2;3;4;5;6;7;8;9;10}/10)-(K286/(1+K286))*$I$6)/(1+M286)^{1;2;3;4;5;6;7;8;9;10})+$I$2*(1+K286)^10*(L286+$I$4)*N286/(1+M286)^10+$I$9-$I$10)/$I$11</f>
        <v/>
      </c>
    </row>
    <row r="287">
      <c r="K287" s="25">
        <f>MAX(-0.05,NORMINV(RAND(),$C$6,$D$6))</f>
        <v/>
      </c>
      <c r="L287" s="25">
        <f>MAX(0.02,NORMINV(RAND(),$C$7,$D$7))</f>
        <v/>
      </c>
      <c r="M287" s="25">
        <f>MIN(0.16,MAX(0.05,NORMINV(RAND(),$C$8,$D$8)))</f>
        <v/>
      </c>
      <c r="N287" s="26">
        <f>MIN(24,MAX(5,NORMINV(RAND(),$C$9,$D$9)))</f>
        <v/>
      </c>
      <c r="O287" s="49">
        <f>$I$8*(SUMPRODUCT(($I$2*(1+K287)^{1;2;3;4;5;6;7;8;9;10})*(($I$3+(L287-$I$3)*{1;2;3;4;5;6;7;8;9;10}/10)*(1-$I$7)+$I$4-$I$4*($I$5+(1.05-$I$5)*{1;2;3;4;5;6;7;8;9;10}/10)-(K287/(1+K287))*$I$6)/(1+M287)^{1;2;3;4;5;6;7;8;9;10})+$I$2*(1+K287)^10*(L287+$I$4)*N287/(1+M287)^10+$I$9-$I$10)/$I$11</f>
        <v/>
      </c>
    </row>
    <row r="288">
      <c r="K288" s="25">
        <f>MAX(-0.05,NORMINV(RAND(),$C$6,$D$6))</f>
        <v/>
      </c>
      <c r="L288" s="25">
        <f>MAX(0.02,NORMINV(RAND(),$C$7,$D$7))</f>
        <v/>
      </c>
      <c r="M288" s="25">
        <f>MIN(0.16,MAX(0.05,NORMINV(RAND(),$C$8,$D$8)))</f>
        <v/>
      </c>
      <c r="N288" s="26">
        <f>MIN(24,MAX(5,NORMINV(RAND(),$C$9,$D$9)))</f>
        <v/>
      </c>
      <c r="O288" s="49">
        <f>$I$8*(SUMPRODUCT(($I$2*(1+K288)^{1;2;3;4;5;6;7;8;9;10})*(($I$3+(L288-$I$3)*{1;2;3;4;5;6;7;8;9;10}/10)*(1-$I$7)+$I$4-$I$4*($I$5+(1.05-$I$5)*{1;2;3;4;5;6;7;8;9;10}/10)-(K288/(1+K288))*$I$6)/(1+M288)^{1;2;3;4;5;6;7;8;9;10})+$I$2*(1+K288)^10*(L288+$I$4)*N288/(1+M288)^10+$I$9-$I$10)/$I$11</f>
        <v/>
      </c>
    </row>
    <row r="289">
      <c r="K289" s="25">
        <f>MAX(-0.05,NORMINV(RAND(),$C$6,$D$6))</f>
        <v/>
      </c>
      <c r="L289" s="25">
        <f>MAX(0.02,NORMINV(RAND(),$C$7,$D$7))</f>
        <v/>
      </c>
      <c r="M289" s="25">
        <f>MIN(0.16,MAX(0.05,NORMINV(RAND(),$C$8,$D$8)))</f>
        <v/>
      </c>
      <c r="N289" s="26">
        <f>MIN(24,MAX(5,NORMINV(RAND(),$C$9,$D$9)))</f>
        <v/>
      </c>
      <c r="O289" s="49">
        <f>$I$8*(SUMPRODUCT(($I$2*(1+K289)^{1;2;3;4;5;6;7;8;9;10})*(($I$3+(L289-$I$3)*{1;2;3;4;5;6;7;8;9;10}/10)*(1-$I$7)+$I$4-$I$4*($I$5+(1.05-$I$5)*{1;2;3;4;5;6;7;8;9;10}/10)-(K289/(1+K289))*$I$6)/(1+M289)^{1;2;3;4;5;6;7;8;9;10})+$I$2*(1+K289)^10*(L289+$I$4)*N289/(1+M289)^10+$I$9-$I$10)/$I$11</f>
        <v/>
      </c>
    </row>
    <row r="290">
      <c r="K290" s="25">
        <f>MAX(-0.05,NORMINV(RAND(),$C$6,$D$6))</f>
        <v/>
      </c>
      <c r="L290" s="25">
        <f>MAX(0.02,NORMINV(RAND(),$C$7,$D$7))</f>
        <v/>
      </c>
      <c r="M290" s="25">
        <f>MIN(0.16,MAX(0.05,NORMINV(RAND(),$C$8,$D$8)))</f>
        <v/>
      </c>
      <c r="N290" s="26">
        <f>MIN(24,MAX(5,NORMINV(RAND(),$C$9,$D$9)))</f>
        <v/>
      </c>
      <c r="O290" s="49">
        <f>$I$8*(SUMPRODUCT(($I$2*(1+K290)^{1;2;3;4;5;6;7;8;9;10})*(($I$3+(L290-$I$3)*{1;2;3;4;5;6;7;8;9;10}/10)*(1-$I$7)+$I$4-$I$4*($I$5+(1.05-$I$5)*{1;2;3;4;5;6;7;8;9;10}/10)-(K290/(1+K290))*$I$6)/(1+M290)^{1;2;3;4;5;6;7;8;9;10})+$I$2*(1+K290)^10*(L290+$I$4)*N290/(1+M290)^10+$I$9-$I$10)/$I$11</f>
        <v/>
      </c>
    </row>
    <row r="291">
      <c r="K291" s="25">
        <f>MAX(-0.05,NORMINV(RAND(),$C$6,$D$6))</f>
        <v/>
      </c>
      <c r="L291" s="25">
        <f>MAX(0.02,NORMINV(RAND(),$C$7,$D$7))</f>
        <v/>
      </c>
      <c r="M291" s="25">
        <f>MIN(0.16,MAX(0.05,NORMINV(RAND(),$C$8,$D$8)))</f>
        <v/>
      </c>
      <c r="N291" s="26">
        <f>MIN(24,MAX(5,NORMINV(RAND(),$C$9,$D$9)))</f>
        <v/>
      </c>
      <c r="O291" s="49">
        <f>$I$8*(SUMPRODUCT(($I$2*(1+K291)^{1;2;3;4;5;6;7;8;9;10})*(($I$3+(L291-$I$3)*{1;2;3;4;5;6;7;8;9;10}/10)*(1-$I$7)+$I$4-$I$4*($I$5+(1.05-$I$5)*{1;2;3;4;5;6;7;8;9;10}/10)-(K291/(1+K291))*$I$6)/(1+M291)^{1;2;3;4;5;6;7;8;9;10})+$I$2*(1+K291)^10*(L291+$I$4)*N291/(1+M291)^10+$I$9-$I$10)/$I$11</f>
        <v/>
      </c>
    </row>
    <row r="292">
      <c r="K292" s="25">
        <f>MAX(-0.05,NORMINV(RAND(),$C$6,$D$6))</f>
        <v/>
      </c>
      <c r="L292" s="25">
        <f>MAX(0.02,NORMINV(RAND(),$C$7,$D$7))</f>
        <v/>
      </c>
      <c r="M292" s="25">
        <f>MIN(0.16,MAX(0.05,NORMINV(RAND(),$C$8,$D$8)))</f>
        <v/>
      </c>
      <c r="N292" s="26">
        <f>MIN(24,MAX(5,NORMINV(RAND(),$C$9,$D$9)))</f>
        <v/>
      </c>
      <c r="O292" s="49">
        <f>$I$8*(SUMPRODUCT(($I$2*(1+K292)^{1;2;3;4;5;6;7;8;9;10})*(($I$3+(L292-$I$3)*{1;2;3;4;5;6;7;8;9;10}/10)*(1-$I$7)+$I$4-$I$4*($I$5+(1.05-$I$5)*{1;2;3;4;5;6;7;8;9;10}/10)-(K292/(1+K292))*$I$6)/(1+M292)^{1;2;3;4;5;6;7;8;9;10})+$I$2*(1+K292)^10*(L292+$I$4)*N292/(1+M292)^10+$I$9-$I$10)/$I$11</f>
        <v/>
      </c>
    </row>
    <row r="293">
      <c r="K293" s="25">
        <f>MAX(-0.05,NORMINV(RAND(),$C$6,$D$6))</f>
        <v/>
      </c>
      <c r="L293" s="25">
        <f>MAX(0.02,NORMINV(RAND(),$C$7,$D$7))</f>
        <v/>
      </c>
      <c r="M293" s="25">
        <f>MIN(0.16,MAX(0.05,NORMINV(RAND(),$C$8,$D$8)))</f>
        <v/>
      </c>
      <c r="N293" s="26">
        <f>MIN(24,MAX(5,NORMINV(RAND(),$C$9,$D$9)))</f>
        <v/>
      </c>
      <c r="O293" s="49">
        <f>$I$8*(SUMPRODUCT(($I$2*(1+K293)^{1;2;3;4;5;6;7;8;9;10})*(($I$3+(L293-$I$3)*{1;2;3;4;5;6;7;8;9;10}/10)*(1-$I$7)+$I$4-$I$4*($I$5+(1.05-$I$5)*{1;2;3;4;5;6;7;8;9;10}/10)-(K293/(1+K293))*$I$6)/(1+M293)^{1;2;3;4;5;6;7;8;9;10})+$I$2*(1+K293)^10*(L293+$I$4)*N293/(1+M293)^10+$I$9-$I$10)/$I$11</f>
        <v/>
      </c>
    </row>
    <row r="294">
      <c r="K294" s="25">
        <f>MAX(-0.05,NORMINV(RAND(),$C$6,$D$6))</f>
        <v/>
      </c>
      <c r="L294" s="25">
        <f>MAX(0.02,NORMINV(RAND(),$C$7,$D$7))</f>
        <v/>
      </c>
      <c r="M294" s="25">
        <f>MIN(0.16,MAX(0.05,NORMINV(RAND(),$C$8,$D$8)))</f>
        <v/>
      </c>
      <c r="N294" s="26">
        <f>MIN(24,MAX(5,NORMINV(RAND(),$C$9,$D$9)))</f>
        <v/>
      </c>
      <c r="O294" s="49">
        <f>$I$8*(SUMPRODUCT(($I$2*(1+K294)^{1;2;3;4;5;6;7;8;9;10})*(($I$3+(L294-$I$3)*{1;2;3;4;5;6;7;8;9;10}/10)*(1-$I$7)+$I$4-$I$4*($I$5+(1.05-$I$5)*{1;2;3;4;5;6;7;8;9;10}/10)-(K294/(1+K294))*$I$6)/(1+M294)^{1;2;3;4;5;6;7;8;9;10})+$I$2*(1+K294)^10*(L294+$I$4)*N294/(1+M294)^10+$I$9-$I$10)/$I$11</f>
        <v/>
      </c>
    </row>
    <row r="295">
      <c r="K295" s="25">
        <f>MAX(-0.05,NORMINV(RAND(),$C$6,$D$6))</f>
        <v/>
      </c>
      <c r="L295" s="25">
        <f>MAX(0.02,NORMINV(RAND(),$C$7,$D$7))</f>
        <v/>
      </c>
      <c r="M295" s="25">
        <f>MIN(0.16,MAX(0.05,NORMINV(RAND(),$C$8,$D$8)))</f>
        <v/>
      </c>
      <c r="N295" s="26">
        <f>MIN(24,MAX(5,NORMINV(RAND(),$C$9,$D$9)))</f>
        <v/>
      </c>
      <c r="O295" s="49">
        <f>$I$8*(SUMPRODUCT(($I$2*(1+K295)^{1;2;3;4;5;6;7;8;9;10})*(($I$3+(L295-$I$3)*{1;2;3;4;5;6;7;8;9;10}/10)*(1-$I$7)+$I$4-$I$4*($I$5+(1.05-$I$5)*{1;2;3;4;5;6;7;8;9;10}/10)-(K295/(1+K295))*$I$6)/(1+M295)^{1;2;3;4;5;6;7;8;9;10})+$I$2*(1+K295)^10*(L295+$I$4)*N295/(1+M295)^10+$I$9-$I$10)/$I$11</f>
        <v/>
      </c>
    </row>
    <row r="296">
      <c r="K296" s="25">
        <f>MAX(-0.05,NORMINV(RAND(),$C$6,$D$6))</f>
        <v/>
      </c>
      <c r="L296" s="25">
        <f>MAX(0.02,NORMINV(RAND(),$C$7,$D$7))</f>
        <v/>
      </c>
      <c r="M296" s="25">
        <f>MIN(0.16,MAX(0.05,NORMINV(RAND(),$C$8,$D$8)))</f>
        <v/>
      </c>
      <c r="N296" s="26">
        <f>MIN(24,MAX(5,NORMINV(RAND(),$C$9,$D$9)))</f>
        <v/>
      </c>
      <c r="O296" s="49">
        <f>$I$8*(SUMPRODUCT(($I$2*(1+K296)^{1;2;3;4;5;6;7;8;9;10})*(($I$3+(L296-$I$3)*{1;2;3;4;5;6;7;8;9;10}/10)*(1-$I$7)+$I$4-$I$4*($I$5+(1.05-$I$5)*{1;2;3;4;5;6;7;8;9;10}/10)-(K296/(1+K296))*$I$6)/(1+M296)^{1;2;3;4;5;6;7;8;9;10})+$I$2*(1+K296)^10*(L296+$I$4)*N296/(1+M296)^10+$I$9-$I$10)/$I$11</f>
        <v/>
      </c>
    </row>
    <row r="297">
      <c r="K297" s="25">
        <f>MAX(-0.05,NORMINV(RAND(),$C$6,$D$6))</f>
        <v/>
      </c>
      <c r="L297" s="25">
        <f>MAX(0.02,NORMINV(RAND(),$C$7,$D$7))</f>
        <v/>
      </c>
      <c r="M297" s="25">
        <f>MIN(0.16,MAX(0.05,NORMINV(RAND(),$C$8,$D$8)))</f>
        <v/>
      </c>
      <c r="N297" s="26">
        <f>MIN(24,MAX(5,NORMINV(RAND(),$C$9,$D$9)))</f>
        <v/>
      </c>
      <c r="O297" s="49">
        <f>$I$8*(SUMPRODUCT(($I$2*(1+K297)^{1;2;3;4;5;6;7;8;9;10})*(($I$3+(L297-$I$3)*{1;2;3;4;5;6;7;8;9;10}/10)*(1-$I$7)+$I$4-$I$4*($I$5+(1.05-$I$5)*{1;2;3;4;5;6;7;8;9;10}/10)-(K297/(1+K297))*$I$6)/(1+M297)^{1;2;3;4;5;6;7;8;9;10})+$I$2*(1+K297)^10*(L297+$I$4)*N297/(1+M297)^10+$I$9-$I$10)/$I$11</f>
        <v/>
      </c>
    </row>
    <row r="298">
      <c r="K298" s="25">
        <f>MAX(-0.05,NORMINV(RAND(),$C$6,$D$6))</f>
        <v/>
      </c>
      <c r="L298" s="25">
        <f>MAX(0.02,NORMINV(RAND(),$C$7,$D$7))</f>
        <v/>
      </c>
      <c r="M298" s="25">
        <f>MIN(0.16,MAX(0.05,NORMINV(RAND(),$C$8,$D$8)))</f>
        <v/>
      </c>
      <c r="N298" s="26">
        <f>MIN(24,MAX(5,NORMINV(RAND(),$C$9,$D$9)))</f>
        <v/>
      </c>
      <c r="O298" s="49">
        <f>$I$8*(SUMPRODUCT(($I$2*(1+K298)^{1;2;3;4;5;6;7;8;9;10})*(($I$3+(L298-$I$3)*{1;2;3;4;5;6;7;8;9;10}/10)*(1-$I$7)+$I$4-$I$4*($I$5+(1.05-$I$5)*{1;2;3;4;5;6;7;8;9;10}/10)-(K298/(1+K298))*$I$6)/(1+M298)^{1;2;3;4;5;6;7;8;9;10})+$I$2*(1+K298)^10*(L298+$I$4)*N298/(1+M298)^10+$I$9-$I$10)/$I$11</f>
        <v/>
      </c>
    </row>
    <row r="299">
      <c r="K299" s="25">
        <f>MAX(-0.05,NORMINV(RAND(),$C$6,$D$6))</f>
        <v/>
      </c>
      <c r="L299" s="25">
        <f>MAX(0.02,NORMINV(RAND(),$C$7,$D$7))</f>
        <v/>
      </c>
      <c r="M299" s="25">
        <f>MIN(0.16,MAX(0.05,NORMINV(RAND(),$C$8,$D$8)))</f>
        <v/>
      </c>
      <c r="N299" s="26">
        <f>MIN(24,MAX(5,NORMINV(RAND(),$C$9,$D$9)))</f>
        <v/>
      </c>
      <c r="O299" s="49">
        <f>$I$8*(SUMPRODUCT(($I$2*(1+K299)^{1;2;3;4;5;6;7;8;9;10})*(($I$3+(L299-$I$3)*{1;2;3;4;5;6;7;8;9;10}/10)*(1-$I$7)+$I$4-$I$4*($I$5+(1.05-$I$5)*{1;2;3;4;5;6;7;8;9;10}/10)-(K299/(1+K299))*$I$6)/(1+M299)^{1;2;3;4;5;6;7;8;9;10})+$I$2*(1+K299)^10*(L299+$I$4)*N299/(1+M299)^10+$I$9-$I$10)/$I$11</f>
        <v/>
      </c>
    </row>
    <row r="300">
      <c r="K300" s="25">
        <f>MAX(-0.05,NORMINV(RAND(),$C$6,$D$6))</f>
        <v/>
      </c>
      <c r="L300" s="25">
        <f>MAX(0.02,NORMINV(RAND(),$C$7,$D$7))</f>
        <v/>
      </c>
      <c r="M300" s="25">
        <f>MIN(0.16,MAX(0.05,NORMINV(RAND(),$C$8,$D$8)))</f>
        <v/>
      </c>
      <c r="N300" s="26">
        <f>MIN(24,MAX(5,NORMINV(RAND(),$C$9,$D$9)))</f>
        <v/>
      </c>
      <c r="O300" s="49">
        <f>$I$8*(SUMPRODUCT(($I$2*(1+K300)^{1;2;3;4;5;6;7;8;9;10})*(($I$3+(L300-$I$3)*{1;2;3;4;5;6;7;8;9;10}/10)*(1-$I$7)+$I$4-$I$4*($I$5+(1.05-$I$5)*{1;2;3;4;5;6;7;8;9;10}/10)-(K300/(1+K300))*$I$6)/(1+M300)^{1;2;3;4;5;6;7;8;9;10})+$I$2*(1+K300)^10*(L300+$I$4)*N300/(1+M300)^10+$I$9-$I$10)/$I$11</f>
        <v/>
      </c>
    </row>
    <row r="301">
      <c r="K301" s="25">
        <f>MAX(-0.05,NORMINV(RAND(),$C$6,$D$6))</f>
        <v/>
      </c>
      <c r="L301" s="25">
        <f>MAX(0.02,NORMINV(RAND(),$C$7,$D$7))</f>
        <v/>
      </c>
      <c r="M301" s="25">
        <f>MIN(0.16,MAX(0.05,NORMINV(RAND(),$C$8,$D$8)))</f>
        <v/>
      </c>
      <c r="N301" s="26">
        <f>MIN(24,MAX(5,NORMINV(RAND(),$C$9,$D$9)))</f>
        <v/>
      </c>
      <c r="O301" s="49">
        <f>$I$8*(SUMPRODUCT(($I$2*(1+K301)^{1;2;3;4;5;6;7;8;9;10})*(($I$3+(L301-$I$3)*{1;2;3;4;5;6;7;8;9;10}/10)*(1-$I$7)+$I$4-$I$4*($I$5+(1.05-$I$5)*{1;2;3;4;5;6;7;8;9;10}/10)-(K301/(1+K301))*$I$6)/(1+M301)^{1;2;3;4;5;6;7;8;9;10})+$I$2*(1+K301)^10*(L301+$I$4)*N301/(1+M301)^10+$I$9-$I$10)/$I$11</f>
        <v/>
      </c>
    </row>
    <row r="302">
      <c r="K302" s="25">
        <f>MAX(-0.05,NORMINV(RAND(),$C$6,$D$6))</f>
        <v/>
      </c>
      <c r="L302" s="25">
        <f>MAX(0.02,NORMINV(RAND(),$C$7,$D$7))</f>
        <v/>
      </c>
      <c r="M302" s="25">
        <f>MIN(0.16,MAX(0.05,NORMINV(RAND(),$C$8,$D$8)))</f>
        <v/>
      </c>
      <c r="N302" s="26">
        <f>MIN(24,MAX(5,NORMINV(RAND(),$C$9,$D$9)))</f>
        <v/>
      </c>
      <c r="O302" s="49">
        <f>$I$8*(SUMPRODUCT(($I$2*(1+K302)^{1;2;3;4;5;6;7;8;9;10})*(($I$3+(L302-$I$3)*{1;2;3;4;5;6;7;8;9;10}/10)*(1-$I$7)+$I$4-$I$4*($I$5+(1.05-$I$5)*{1;2;3;4;5;6;7;8;9;10}/10)-(K302/(1+K302))*$I$6)/(1+M302)^{1;2;3;4;5;6;7;8;9;10})+$I$2*(1+K302)^10*(L302+$I$4)*N302/(1+M302)^10+$I$9-$I$10)/$I$11</f>
        <v/>
      </c>
    </row>
    <row r="303">
      <c r="K303" s="25">
        <f>MAX(-0.05,NORMINV(RAND(),$C$6,$D$6))</f>
        <v/>
      </c>
      <c r="L303" s="25">
        <f>MAX(0.02,NORMINV(RAND(),$C$7,$D$7))</f>
        <v/>
      </c>
      <c r="M303" s="25">
        <f>MIN(0.16,MAX(0.05,NORMINV(RAND(),$C$8,$D$8)))</f>
        <v/>
      </c>
      <c r="N303" s="26">
        <f>MIN(24,MAX(5,NORMINV(RAND(),$C$9,$D$9)))</f>
        <v/>
      </c>
      <c r="O303" s="49">
        <f>$I$8*(SUMPRODUCT(($I$2*(1+K303)^{1;2;3;4;5;6;7;8;9;10})*(($I$3+(L303-$I$3)*{1;2;3;4;5;6;7;8;9;10}/10)*(1-$I$7)+$I$4-$I$4*($I$5+(1.05-$I$5)*{1;2;3;4;5;6;7;8;9;10}/10)-(K303/(1+K303))*$I$6)/(1+M303)^{1;2;3;4;5;6;7;8;9;10})+$I$2*(1+K303)^10*(L303+$I$4)*N303/(1+M303)^10+$I$9-$I$10)/$I$11</f>
        <v/>
      </c>
    </row>
    <row r="304">
      <c r="K304" s="25">
        <f>MAX(-0.05,NORMINV(RAND(),$C$6,$D$6))</f>
        <v/>
      </c>
      <c r="L304" s="25">
        <f>MAX(0.02,NORMINV(RAND(),$C$7,$D$7))</f>
        <v/>
      </c>
      <c r="M304" s="25">
        <f>MIN(0.16,MAX(0.05,NORMINV(RAND(),$C$8,$D$8)))</f>
        <v/>
      </c>
      <c r="N304" s="26">
        <f>MIN(24,MAX(5,NORMINV(RAND(),$C$9,$D$9)))</f>
        <v/>
      </c>
      <c r="O304" s="49">
        <f>$I$8*(SUMPRODUCT(($I$2*(1+K304)^{1;2;3;4;5;6;7;8;9;10})*(($I$3+(L304-$I$3)*{1;2;3;4;5;6;7;8;9;10}/10)*(1-$I$7)+$I$4-$I$4*($I$5+(1.05-$I$5)*{1;2;3;4;5;6;7;8;9;10}/10)-(K304/(1+K304))*$I$6)/(1+M304)^{1;2;3;4;5;6;7;8;9;10})+$I$2*(1+K304)^10*(L304+$I$4)*N304/(1+M304)^10+$I$9-$I$10)/$I$11</f>
        <v/>
      </c>
    </row>
    <row r="305">
      <c r="K305" s="25">
        <f>MAX(-0.05,NORMINV(RAND(),$C$6,$D$6))</f>
        <v/>
      </c>
      <c r="L305" s="25">
        <f>MAX(0.02,NORMINV(RAND(),$C$7,$D$7))</f>
        <v/>
      </c>
      <c r="M305" s="25">
        <f>MIN(0.16,MAX(0.05,NORMINV(RAND(),$C$8,$D$8)))</f>
        <v/>
      </c>
      <c r="N305" s="26">
        <f>MIN(24,MAX(5,NORMINV(RAND(),$C$9,$D$9)))</f>
        <v/>
      </c>
      <c r="O305" s="49">
        <f>$I$8*(SUMPRODUCT(($I$2*(1+K305)^{1;2;3;4;5;6;7;8;9;10})*(($I$3+(L305-$I$3)*{1;2;3;4;5;6;7;8;9;10}/10)*(1-$I$7)+$I$4-$I$4*($I$5+(1.05-$I$5)*{1;2;3;4;5;6;7;8;9;10}/10)-(K305/(1+K305))*$I$6)/(1+M305)^{1;2;3;4;5;6;7;8;9;10})+$I$2*(1+K305)^10*(L305+$I$4)*N305/(1+M305)^10+$I$9-$I$10)/$I$11</f>
        <v/>
      </c>
    </row>
    <row r="306">
      <c r="K306" s="25">
        <f>MAX(-0.05,NORMINV(RAND(),$C$6,$D$6))</f>
        <v/>
      </c>
      <c r="L306" s="25">
        <f>MAX(0.02,NORMINV(RAND(),$C$7,$D$7))</f>
        <v/>
      </c>
      <c r="M306" s="25">
        <f>MIN(0.16,MAX(0.05,NORMINV(RAND(),$C$8,$D$8)))</f>
        <v/>
      </c>
      <c r="N306" s="26">
        <f>MIN(24,MAX(5,NORMINV(RAND(),$C$9,$D$9)))</f>
        <v/>
      </c>
      <c r="O306" s="49">
        <f>$I$8*(SUMPRODUCT(($I$2*(1+K306)^{1;2;3;4;5;6;7;8;9;10})*(($I$3+(L306-$I$3)*{1;2;3;4;5;6;7;8;9;10}/10)*(1-$I$7)+$I$4-$I$4*($I$5+(1.05-$I$5)*{1;2;3;4;5;6;7;8;9;10}/10)-(K306/(1+K306))*$I$6)/(1+M306)^{1;2;3;4;5;6;7;8;9;10})+$I$2*(1+K306)^10*(L306+$I$4)*N306/(1+M306)^10+$I$9-$I$10)/$I$11</f>
        <v/>
      </c>
    </row>
    <row r="307">
      <c r="K307" s="25">
        <f>MAX(-0.05,NORMINV(RAND(),$C$6,$D$6))</f>
        <v/>
      </c>
      <c r="L307" s="25">
        <f>MAX(0.02,NORMINV(RAND(),$C$7,$D$7))</f>
        <v/>
      </c>
      <c r="M307" s="25">
        <f>MIN(0.16,MAX(0.05,NORMINV(RAND(),$C$8,$D$8)))</f>
        <v/>
      </c>
      <c r="N307" s="26">
        <f>MIN(24,MAX(5,NORMINV(RAND(),$C$9,$D$9)))</f>
        <v/>
      </c>
      <c r="O307" s="49">
        <f>$I$8*(SUMPRODUCT(($I$2*(1+K307)^{1;2;3;4;5;6;7;8;9;10})*(($I$3+(L307-$I$3)*{1;2;3;4;5;6;7;8;9;10}/10)*(1-$I$7)+$I$4-$I$4*($I$5+(1.05-$I$5)*{1;2;3;4;5;6;7;8;9;10}/10)-(K307/(1+K307))*$I$6)/(1+M307)^{1;2;3;4;5;6;7;8;9;10})+$I$2*(1+K307)^10*(L307+$I$4)*N307/(1+M307)^10+$I$9-$I$10)/$I$11</f>
        <v/>
      </c>
    </row>
    <row r="308">
      <c r="K308" s="25">
        <f>MAX(-0.05,NORMINV(RAND(),$C$6,$D$6))</f>
        <v/>
      </c>
      <c r="L308" s="25">
        <f>MAX(0.02,NORMINV(RAND(),$C$7,$D$7))</f>
        <v/>
      </c>
      <c r="M308" s="25">
        <f>MIN(0.16,MAX(0.05,NORMINV(RAND(),$C$8,$D$8)))</f>
        <v/>
      </c>
      <c r="N308" s="26">
        <f>MIN(24,MAX(5,NORMINV(RAND(),$C$9,$D$9)))</f>
        <v/>
      </c>
      <c r="O308" s="49">
        <f>$I$8*(SUMPRODUCT(($I$2*(1+K308)^{1;2;3;4;5;6;7;8;9;10})*(($I$3+(L308-$I$3)*{1;2;3;4;5;6;7;8;9;10}/10)*(1-$I$7)+$I$4-$I$4*($I$5+(1.05-$I$5)*{1;2;3;4;5;6;7;8;9;10}/10)-(K308/(1+K308))*$I$6)/(1+M308)^{1;2;3;4;5;6;7;8;9;10})+$I$2*(1+K308)^10*(L308+$I$4)*N308/(1+M308)^10+$I$9-$I$10)/$I$11</f>
        <v/>
      </c>
    </row>
    <row r="309">
      <c r="K309" s="25">
        <f>MAX(-0.05,NORMINV(RAND(),$C$6,$D$6))</f>
        <v/>
      </c>
      <c r="L309" s="25">
        <f>MAX(0.02,NORMINV(RAND(),$C$7,$D$7))</f>
        <v/>
      </c>
      <c r="M309" s="25">
        <f>MIN(0.16,MAX(0.05,NORMINV(RAND(),$C$8,$D$8)))</f>
        <v/>
      </c>
      <c r="N309" s="26">
        <f>MIN(24,MAX(5,NORMINV(RAND(),$C$9,$D$9)))</f>
        <v/>
      </c>
      <c r="O309" s="49">
        <f>$I$8*(SUMPRODUCT(($I$2*(1+K309)^{1;2;3;4;5;6;7;8;9;10})*(($I$3+(L309-$I$3)*{1;2;3;4;5;6;7;8;9;10}/10)*(1-$I$7)+$I$4-$I$4*($I$5+(1.05-$I$5)*{1;2;3;4;5;6;7;8;9;10}/10)-(K309/(1+K309))*$I$6)/(1+M309)^{1;2;3;4;5;6;7;8;9;10})+$I$2*(1+K309)^10*(L309+$I$4)*N309/(1+M309)^10+$I$9-$I$10)/$I$11</f>
        <v/>
      </c>
    </row>
    <row r="310">
      <c r="K310" s="25">
        <f>MAX(-0.05,NORMINV(RAND(),$C$6,$D$6))</f>
        <v/>
      </c>
      <c r="L310" s="25">
        <f>MAX(0.02,NORMINV(RAND(),$C$7,$D$7))</f>
        <v/>
      </c>
      <c r="M310" s="25">
        <f>MIN(0.16,MAX(0.05,NORMINV(RAND(),$C$8,$D$8)))</f>
        <v/>
      </c>
      <c r="N310" s="26">
        <f>MIN(24,MAX(5,NORMINV(RAND(),$C$9,$D$9)))</f>
        <v/>
      </c>
      <c r="O310" s="49">
        <f>$I$8*(SUMPRODUCT(($I$2*(1+K310)^{1;2;3;4;5;6;7;8;9;10})*(($I$3+(L310-$I$3)*{1;2;3;4;5;6;7;8;9;10}/10)*(1-$I$7)+$I$4-$I$4*($I$5+(1.05-$I$5)*{1;2;3;4;5;6;7;8;9;10}/10)-(K310/(1+K310))*$I$6)/(1+M310)^{1;2;3;4;5;6;7;8;9;10})+$I$2*(1+K310)^10*(L310+$I$4)*N310/(1+M310)^10+$I$9-$I$10)/$I$11</f>
        <v/>
      </c>
    </row>
    <row r="311">
      <c r="K311" s="25">
        <f>MAX(-0.05,NORMINV(RAND(),$C$6,$D$6))</f>
        <v/>
      </c>
      <c r="L311" s="25">
        <f>MAX(0.02,NORMINV(RAND(),$C$7,$D$7))</f>
        <v/>
      </c>
      <c r="M311" s="25">
        <f>MIN(0.16,MAX(0.05,NORMINV(RAND(),$C$8,$D$8)))</f>
        <v/>
      </c>
      <c r="N311" s="26">
        <f>MIN(24,MAX(5,NORMINV(RAND(),$C$9,$D$9)))</f>
        <v/>
      </c>
      <c r="O311" s="49">
        <f>$I$8*(SUMPRODUCT(($I$2*(1+K311)^{1;2;3;4;5;6;7;8;9;10})*(($I$3+(L311-$I$3)*{1;2;3;4;5;6;7;8;9;10}/10)*(1-$I$7)+$I$4-$I$4*($I$5+(1.05-$I$5)*{1;2;3;4;5;6;7;8;9;10}/10)-(K311/(1+K311))*$I$6)/(1+M311)^{1;2;3;4;5;6;7;8;9;10})+$I$2*(1+K311)^10*(L311+$I$4)*N311/(1+M311)^10+$I$9-$I$10)/$I$11</f>
        <v/>
      </c>
    </row>
    <row r="312">
      <c r="K312" s="25">
        <f>MAX(-0.05,NORMINV(RAND(),$C$6,$D$6))</f>
        <v/>
      </c>
      <c r="L312" s="25">
        <f>MAX(0.02,NORMINV(RAND(),$C$7,$D$7))</f>
        <v/>
      </c>
      <c r="M312" s="25">
        <f>MIN(0.16,MAX(0.05,NORMINV(RAND(),$C$8,$D$8)))</f>
        <v/>
      </c>
      <c r="N312" s="26">
        <f>MIN(24,MAX(5,NORMINV(RAND(),$C$9,$D$9)))</f>
        <v/>
      </c>
      <c r="O312" s="49">
        <f>$I$8*(SUMPRODUCT(($I$2*(1+K312)^{1;2;3;4;5;6;7;8;9;10})*(($I$3+(L312-$I$3)*{1;2;3;4;5;6;7;8;9;10}/10)*(1-$I$7)+$I$4-$I$4*($I$5+(1.05-$I$5)*{1;2;3;4;5;6;7;8;9;10}/10)-(K312/(1+K312))*$I$6)/(1+M312)^{1;2;3;4;5;6;7;8;9;10})+$I$2*(1+K312)^10*(L312+$I$4)*N312/(1+M312)^10+$I$9-$I$10)/$I$11</f>
        <v/>
      </c>
    </row>
    <row r="313">
      <c r="K313" s="25">
        <f>MAX(-0.05,NORMINV(RAND(),$C$6,$D$6))</f>
        <v/>
      </c>
      <c r="L313" s="25">
        <f>MAX(0.02,NORMINV(RAND(),$C$7,$D$7))</f>
        <v/>
      </c>
      <c r="M313" s="25">
        <f>MIN(0.16,MAX(0.05,NORMINV(RAND(),$C$8,$D$8)))</f>
        <v/>
      </c>
      <c r="N313" s="26">
        <f>MIN(24,MAX(5,NORMINV(RAND(),$C$9,$D$9)))</f>
        <v/>
      </c>
      <c r="O313" s="49">
        <f>$I$8*(SUMPRODUCT(($I$2*(1+K313)^{1;2;3;4;5;6;7;8;9;10})*(($I$3+(L313-$I$3)*{1;2;3;4;5;6;7;8;9;10}/10)*(1-$I$7)+$I$4-$I$4*($I$5+(1.05-$I$5)*{1;2;3;4;5;6;7;8;9;10}/10)-(K313/(1+K313))*$I$6)/(1+M313)^{1;2;3;4;5;6;7;8;9;10})+$I$2*(1+K313)^10*(L313+$I$4)*N313/(1+M313)^10+$I$9-$I$10)/$I$11</f>
        <v/>
      </c>
    </row>
    <row r="314">
      <c r="K314" s="25">
        <f>MAX(-0.05,NORMINV(RAND(),$C$6,$D$6))</f>
        <v/>
      </c>
      <c r="L314" s="25">
        <f>MAX(0.02,NORMINV(RAND(),$C$7,$D$7))</f>
        <v/>
      </c>
      <c r="M314" s="25">
        <f>MIN(0.16,MAX(0.05,NORMINV(RAND(),$C$8,$D$8)))</f>
        <v/>
      </c>
      <c r="N314" s="26">
        <f>MIN(24,MAX(5,NORMINV(RAND(),$C$9,$D$9)))</f>
        <v/>
      </c>
      <c r="O314" s="49">
        <f>$I$8*(SUMPRODUCT(($I$2*(1+K314)^{1;2;3;4;5;6;7;8;9;10})*(($I$3+(L314-$I$3)*{1;2;3;4;5;6;7;8;9;10}/10)*(1-$I$7)+$I$4-$I$4*($I$5+(1.05-$I$5)*{1;2;3;4;5;6;7;8;9;10}/10)-(K314/(1+K314))*$I$6)/(1+M314)^{1;2;3;4;5;6;7;8;9;10})+$I$2*(1+K314)^10*(L314+$I$4)*N314/(1+M314)^10+$I$9-$I$10)/$I$11</f>
        <v/>
      </c>
    </row>
    <row r="315">
      <c r="K315" s="25">
        <f>MAX(-0.05,NORMINV(RAND(),$C$6,$D$6))</f>
        <v/>
      </c>
      <c r="L315" s="25">
        <f>MAX(0.02,NORMINV(RAND(),$C$7,$D$7))</f>
        <v/>
      </c>
      <c r="M315" s="25">
        <f>MIN(0.16,MAX(0.05,NORMINV(RAND(),$C$8,$D$8)))</f>
        <v/>
      </c>
      <c r="N315" s="26">
        <f>MIN(24,MAX(5,NORMINV(RAND(),$C$9,$D$9)))</f>
        <v/>
      </c>
      <c r="O315" s="49">
        <f>$I$8*(SUMPRODUCT(($I$2*(1+K315)^{1;2;3;4;5;6;7;8;9;10})*(($I$3+(L315-$I$3)*{1;2;3;4;5;6;7;8;9;10}/10)*(1-$I$7)+$I$4-$I$4*($I$5+(1.05-$I$5)*{1;2;3;4;5;6;7;8;9;10}/10)-(K315/(1+K315))*$I$6)/(1+M315)^{1;2;3;4;5;6;7;8;9;10})+$I$2*(1+K315)^10*(L315+$I$4)*N315/(1+M315)^10+$I$9-$I$10)/$I$11</f>
        <v/>
      </c>
    </row>
    <row r="316">
      <c r="K316" s="25">
        <f>MAX(-0.05,NORMINV(RAND(),$C$6,$D$6))</f>
        <v/>
      </c>
      <c r="L316" s="25">
        <f>MAX(0.02,NORMINV(RAND(),$C$7,$D$7))</f>
        <v/>
      </c>
      <c r="M316" s="25">
        <f>MIN(0.16,MAX(0.05,NORMINV(RAND(),$C$8,$D$8)))</f>
        <v/>
      </c>
      <c r="N316" s="26">
        <f>MIN(24,MAX(5,NORMINV(RAND(),$C$9,$D$9)))</f>
        <v/>
      </c>
      <c r="O316" s="49">
        <f>$I$8*(SUMPRODUCT(($I$2*(1+K316)^{1;2;3;4;5;6;7;8;9;10})*(($I$3+(L316-$I$3)*{1;2;3;4;5;6;7;8;9;10}/10)*(1-$I$7)+$I$4-$I$4*($I$5+(1.05-$I$5)*{1;2;3;4;5;6;7;8;9;10}/10)-(K316/(1+K316))*$I$6)/(1+M316)^{1;2;3;4;5;6;7;8;9;10})+$I$2*(1+K316)^10*(L316+$I$4)*N316/(1+M316)^10+$I$9-$I$10)/$I$11</f>
        <v/>
      </c>
    </row>
    <row r="317">
      <c r="K317" s="25">
        <f>MAX(-0.05,NORMINV(RAND(),$C$6,$D$6))</f>
        <v/>
      </c>
      <c r="L317" s="25">
        <f>MAX(0.02,NORMINV(RAND(),$C$7,$D$7))</f>
        <v/>
      </c>
      <c r="M317" s="25">
        <f>MIN(0.16,MAX(0.05,NORMINV(RAND(),$C$8,$D$8)))</f>
        <v/>
      </c>
      <c r="N317" s="26">
        <f>MIN(24,MAX(5,NORMINV(RAND(),$C$9,$D$9)))</f>
        <v/>
      </c>
      <c r="O317" s="49">
        <f>$I$8*(SUMPRODUCT(($I$2*(1+K317)^{1;2;3;4;5;6;7;8;9;10})*(($I$3+(L317-$I$3)*{1;2;3;4;5;6;7;8;9;10}/10)*(1-$I$7)+$I$4-$I$4*($I$5+(1.05-$I$5)*{1;2;3;4;5;6;7;8;9;10}/10)-(K317/(1+K317))*$I$6)/(1+M317)^{1;2;3;4;5;6;7;8;9;10})+$I$2*(1+K317)^10*(L317+$I$4)*N317/(1+M317)^10+$I$9-$I$10)/$I$11</f>
        <v/>
      </c>
    </row>
    <row r="318">
      <c r="K318" s="25">
        <f>MAX(-0.05,NORMINV(RAND(),$C$6,$D$6))</f>
        <v/>
      </c>
      <c r="L318" s="25">
        <f>MAX(0.02,NORMINV(RAND(),$C$7,$D$7))</f>
        <v/>
      </c>
      <c r="M318" s="25">
        <f>MIN(0.16,MAX(0.05,NORMINV(RAND(),$C$8,$D$8)))</f>
        <v/>
      </c>
      <c r="N318" s="26">
        <f>MIN(24,MAX(5,NORMINV(RAND(),$C$9,$D$9)))</f>
        <v/>
      </c>
      <c r="O318" s="49">
        <f>$I$8*(SUMPRODUCT(($I$2*(1+K318)^{1;2;3;4;5;6;7;8;9;10})*(($I$3+(L318-$I$3)*{1;2;3;4;5;6;7;8;9;10}/10)*(1-$I$7)+$I$4-$I$4*($I$5+(1.05-$I$5)*{1;2;3;4;5;6;7;8;9;10}/10)-(K318/(1+K318))*$I$6)/(1+M318)^{1;2;3;4;5;6;7;8;9;10})+$I$2*(1+K318)^10*(L318+$I$4)*N318/(1+M318)^10+$I$9-$I$10)/$I$11</f>
        <v/>
      </c>
    </row>
    <row r="319">
      <c r="K319" s="25">
        <f>MAX(-0.05,NORMINV(RAND(),$C$6,$D$6))</f>
        <v/>
      </c>
      <c r="L319" s="25">
        <f>MAX(0.02,NORMINV(RAND(),$C$7,$D$7))</f>
        <v/>
      </c>
      <c r="M319" s="25">
        <f>MIN(0.16,MAX(0.05,NORMINV(RAND(),$C$8,$D$8)))</f>
        <v/>
      </c>
      <c r="N319" s="26">
        <f>MIN(24,MAX(5,NORMINV(RAND(),$C$9,$D$9)))</f>
        <v/>
      </c>
      <c r="O319" s="49">
        <f>$I$8*(SUMPRODUCT(($I$2*(1+K319)^{1;2;3;4;5;6;7;8;9;10})*(($I$3+(L319-$I$3)*{1;2;3;4;5;6;7;8;9;10}/10)*(1-$I$7)+$I$4-$I$4*($I$5+(1.05-$I$5)*{1;2;3;4;5;6;7;8;9;10}/10)-(K319/(1+K319))*$I$6)/(1+M319)^{1;2;3;4;5;6;7;8;9;10})+$I$2*(1+K319)^10*(L319+$I$4)*N319/(1+M319)^10+$I$9-$I$10)/$I$11</f>
        <v/>
      </c>
    </row>
    <row r="320">
      <c r="K320" s="25">
        <f>MAX(-0.05,NORMINV(RAND(),$C$6,$D$6))</f>
        <v/>
      </c>
      <c r="L320" s="25">
        <f>MAX(0.02,NORMINV(RAND(),$C$7,$D$7))</f>
        <v/>
      </c>
      <c r="M320" s="25">
        <f>MIN(0.16,MAX(0.05,NORMINV(RAND(),$C$8,$D$8)))</f>
        <v/>
      </c>
      <c r="N320" s="26">
        <f>MIN(24,MAX(5,NORMINV(RAND(),$C$9,$D$9)))</f>
        <v/>
      </c>
      <c r="O320" s="49">
        <f>$I$8*(SUMPRODUCT(($I$2*(1+K320)^{1;2;3;4;5;6;7;8;9;10})*(($I$3+(L320-$I$3)*{1;2;3;4;5;6;7;8;9;10}/10)*(1-$I$7)+$I$4-$I$4*($I$5+(1.05-$I$5)*{1;2;3;4;5;6;7;8;9;10}/10)-(K320/(1+K320))*$I$6)/(1+M320)^{1;2;3;4;5;6;7;8;9;10})+$I$2*(1+K320)^10*(L320+$I$4)*N320/(1+M320)^10+$I$9-$I$10)/$I$11</f>
        <v/>
      </c>
    </row>
    <row r="321">
      <c r="K321" s="25">
        <f>MAX(-0.05,NORMINV(RAND(),$C$6,$D$6))</f>
        <v/>
      </c>
      <c r="L321" s="25">
        <f>MAX(0.02,NORMINV(RAND(),$C$7,$D$7))</f>
        <v/>
      </c>
      <c r="M321" s="25">
        <f>MIN(0.16,MAX(0.05,NORMINV(RAND(),$C$8,$D$8)))</f>
        <v/>
      </c>
      <c r="N321" s="26">
        <f>MIN(24,MAX(5,NORMINV(RAND(),$C$9,$D$9)))</f>
        <v/>
      </c>
      <c r="O321" s="49">
        <f>$I$8*(SUMPRODUCT(($I$2*(1+K321)^{1;2;3;4;5;6;7;8;9;10})*(($I$3+(L321-$I$3)*{1;2;3;4;5;6;7;8;9;10}/10)*(1-$I$7)+$I$4-$I$4*($I$5+(1.05-$I$5)*{1;2;3;4;5;6;7;8;9;10}/10)-(K321/(1+K321))*$I$6)/(1+M321)^{1;2;3;4;5;6;7;8;9;10})+$I$2*(1+K321)^10*(L321+$I$4)*N321/(1+M321)^10+$I$9-$I$10)/$I$11</f>
        <v/>
      </c>
    </row>
    <row r="322">
      <c r="K322" s="25">
        <f>MAX(-0.05,NORMINV(RAND(),$C$6,$D$6))</f>
        <v/>
      </c>
      <c r="L322" s="25">
        <f>MAX(0.02,NORMINV(RAND(),$C$7,$D$7))</f>
        <v/>
      </c>
      <c r="M322" s="25">
        <f>MIN(0.16,MAX(0.05,NORMINV(RAND(),$C$8,$D$8)))</f>
        <v/>
      </c>
      <c r="N322" s="26">
        <f>MIN(24,MAX(5,NORMINV(RAND(),$C$9,$D$9)))</f>
        <v/>
      </c>
      <c r="O322" s="49">
        <f>$I$8*(SUMPRODUCT(($I$2*(1+K322)^{1;2;3;4;5;6;7;8;9;10})*(($I$3+(L322-$I$3)*{1;2;3;4;5;6;7;8;9;10}/10)*(1-$I$7)+$I$4-$I$4*($I$5+(1.05-$I$5)*{1;2;3;4;5;6;7;8;9;10}/10)-(K322/(1+K322))*$I$6)/(1+M322)^{1;2;3;4;5;6;7;8;9;10})+$I$2*(1+K322)^10*(L322+$I$4)*N322/(1+M322)^10+$I$9-$I$10)/$I$11</f>
        <v/>
      </c>
    </row>
    <row r="323">
      <c r="K323" s="25">
        <f>MAX(-0.05,NORMINV(RAND(),$C$6,$D$6))</f>
        <v/>
      </c>
      <c r="L323" s="25">
        <f>MAX(0.02,NORMINV(RAND(),$C$7,$D$7))</f>
        <v/>
      </c>
      <c r="M323" s="25">
        <f>MIN(0.16,MAX(0.05,NORMINV(RAND(),$C$8,$D$8)))</f>
        <v/>
      </c>
      <c r="N323" s="26">
        <f>MIN(24,MAX(5,NORMINV(RAND(),$C$9,$D$9)))</f>
        <v/>
      </c>
      <c r="O323" s="49">
        <f>$I$8*(SUMPRODUCT(($I$2*(1+K323)^{1;2;3;4;5;6;7;8;9;10})*(($I$3+(L323-$I$3)*{1;2;3;4;5;6;7;8;9;10}/10)*(1-$I$7)+$I$4-$I$4*($I$5+(1.05-$I$5)*{1;2;3;4;5;6;7;8;9;10}/10)-(K323/(1+K323))*$I$6)/(1+M323)^{1;2;3;4;5;6;7;8;9;10})+$I$2*(1+K323)^10*(L323+$I$4)*N323/(1+M323)^10+$I$9-$I$10)/$I$11</f>
        <v/>
      </c>
    </row>
    <row r="324">
      <c r="K324" s="25">
        <f>MAX(-0.05,NORMINV(RAND(),$C$6,$D$6))</f>
        <v/>
      </c>
      <c r="L324" s="25">
        <f>MAX(0.02,NORMINV(RAND(),$C$7,$D$7))</f>
        <v/>
      </c>
      <c r="M324" s="25">
        <f>MIN(0.16,MAX(0.05,NORMINV(RAND(),$C$8,$D$8)))</f>
        <v/>
      </c>
      <c r="N324" s="26">
        <f>MIN(24,MAX(5,NORMINV(RAND(),$C$9,$D$9)))</f>
        <v/>
      </c>
      <c r="O324" s="49">
        <f>$I$8*(SUMPRODUCT(($I$2*(1+K324)^{1;2;3;4;5;6;7;8;9;10})*(($I$3+(L324-$I$3)*{1;2;3;4;5;6;7;8;9;10}/10)*(1-$I$7)+$I$4-$I$4*($I$5+(1.05-$I$5)*{1;2;3;4;5;6;7;8;9;10}/10)-(K324/(1+K324))*$I$6)/(1+M324)^{1;2;3;4;5;6;7;8;9;10})+$I$2*(1+K324)^10*(L324+$I$4)*N324/(1+M324)^10+$I$9-$I$10)/$I$11</f>
        <v/>
      </c>
    </row>
    <row r="325">
      <c r="K325" s="25">
        <f>MAX(-0.05,NORMINV(RAND(),$C$6,$D$6))</f>
        <v/>
      </c>
      <c r="L325" s="25">
        <f>MAX(0.02,NORMINV(RAND(),$C$7,$D$7))</f>
        <v/>
      </c>
      <c r="M325" s="25">
        <f>MIN(0.16,MAX(0.05,NORMINV(RAND(),$C$8,$D$8)))</f>
        <v/>
      </c>
      <c r="N325" s="26">
        <f>MIN(24,MAX(5,NORMINV(RAND(),$C$9,$D$9)))</f>
        <v/>
      </c>
      <c r="O325" s="49">
        <f>$I$8*(SUMPRODUCT(($I$2*(1+K325)^{1;2;3;4;5;6;7;8;9;10})*(($I$3+(L325-$I$3)*{1;2;3;4;5;6;7;8;9;10}/10)*(1-$I$7)+$I$4-$I$4*($I$5+(1.05-$I$5)*{1;2;3;4;5;6;7;8;9;10}/10)-(K325/(1+K325))*$I$6)/(1+M325)^{1;2;3;4;5;6;7;8;9;10})+$I$2*(1+K325)^10*(L325+$I$4)*N325/(1+M325)^10+$I$9-$I$10)/$I$11</f>
        <v/>
      </c>
    </row>
    <row r="326">
      <c r="K326" s="25">
        <f>MAX(-0.05,NORMINV(RAND(),$C$6,$D$6))</f>
        <v/>
      </c>
      <c r="L326" s="25">
        <f>MAX(0.02,NORMINV(RAND(),$C$7,$D$7))</f>
        <v/>
      </c>
      <c r="M326" s="25">
        <f>MIN(0.16,MAX(0.05,NORMINV(RAND(),$C$8,$D$8)))</f>
        <v/>
      </c>
      <c r="N326" s="26">
        <f>MIN(24,MAX(5,NORMINV(RAND(),$C$9,$D$9)))</f>
        <v/>
      </c>
      <c r="O326" s="49">
        <f>$I$8*(SUMPRODUCT(($I$2*(1+K326)^{1;2;3;4;5;6;7;8;9;10})*(($I$3+(L326-$I$3)*{1;2;3;4;5;6;7;8;9;10}/10)*(1-$I$7)+$I$4-$I$4*($I$5+(1.05-$I$5)*{1;2;3;4;5;6;7;8;9;10}/10)-(K326/(1+K326))*$I$6)/(1+M326)^{1;2;3;4;5;6;7;8;9;10})+$I$2*(1+K326)^10*(L326+$I$4)*N326/(1+M326)^10+$I$9-$I$10)/$I$11</f>
        <v/>
      </c>
    </row>
    <row r="327">
      <c r="K327" s="25">
        <f>MAX(-0.05,NORMINV(RAND(),$C$6,$D$6))</f>
        <v/>
      </c>
      <c r="L327" s="25">
        <f>MAX(0.02,NORMINV(RAND(),$C$7,$D$7))</f>
        <v/>
      </c>
      <c r="M327" s="25">
        <f>MIN(0.16,MAX(0.05,NORMINV(RAND(),$C$8,$D$8)))</f>
        <v/>
      </c>
      <c r="N327" s="26">
        <f>MIN(24,MAX(5,NORMINV(RAND(),$C$9,$D$9)))</f>
        <v/>
      </c>
      <c r="O327" s="49">
        <f>$I$8*(SUMPRODUCT(($I$2*(1+K327)^{1;2;3;4;5;6;7;8;9;10})*(($I$3+(L327-$I$3)*{1;2;3;4;5;6;7;8;9;10}/10)*(1-$I$7)+$I$4-$I$4*($I$5+(1.05-$I$5)*{1;2;3;4;5;6;7;8;9;10}/10)-(K327/(1+K327))*$I$6)/(1+M327)^{1;2;3;4;5;6;7;8;9;10})+$I$2*(1+K327)^10*(L327+$I$4)*N327/(1+M327)^10+$I$9-$I$10)/$I$11</f>
        <v/>
      </c>
    </row>
    <row r="328">
      <c r="K328" s="25">
        <f>MAX(-0.05,NORMINV(RAND(),$C$6,$D$6))</f>
        <v/>
      </c>
      <c r="L328" s="25">
        <f>MAX(0.02,NORMINV(RAND(),$C$7,$D$7))</f>
        <v/>
      </c>
      <c r="M328" s="25">
        <f>MIN(0.16,MAX(0.05,NORMINV(RAND(),$C$8,$D$8)))</f>
        <v/>
      </c>
      <c r="N328" s="26">
        <f>MIN(24,MAX(5,NORMINV(RAND(),$C$9,$D$9)))</f>
        <v/>
      </c>
      <c r="O328" s="49">
        <f>$I$8*(SUMPRODUCT(($I$2*(1+K328)^{1;2;3;4;5;6;7;8;9;10})*(($I$3+(L328-$I$3)*{1;2;3;4;5;6;7;8;9;10}/10)*(1-$I$7)+$I$4-$I$4*($I$5+(1.05-$I$5)*{1;2;3;4;5;6;7;8;9;10}/10)-(K328/(1+K328))*$I$6)/(1+M328)^{1;2;3;4;5;6;7;8;9;10})+$I$2*(1+K328)^10*(L328+$I$4)*N328/(1+M328)^10+$I$9-$I$10)/$I$11</f>
        <v/>
      </c>
    </row>
    <row r="329">
      <c r="K329" s="25">
        <f>MAX(-0.05,NORMINV(RAND(),$C$6,$D$6))</f>
        <v/>
      </c>
      <c r="L329" s="25">
        <f>MAX(0.02,NORMINV(RAND(),$C$7,$D$7))</f>
        <v/>
      </c>
      <c r="M329" s="25">
        <f>MIN(0.16,MAX(0.05,NORMINV(RAND(),$C$8,$D$8)))</f>
        <v/>
      </c>
      <c r="N329" s="26">
        <f>MIN(24,MAX(5,NORMINV(RAND(),$C$9,$D$9)))</f>
        <v/>
      </c>
      <c r="O329" s="49">
        <f>$I$8*(SUMPRODUCT(($I$2*(1+K329)^{1;2;3;4;5;6;7;8;9;10})*(($I$3+(L329-$I$3)*{1;2;3;4;5;6;7;8;9;10}/10)*(1-$I$7)+$I$4-$I$4*($I$5+(1.05-$I$5)*{1;2;3;4;5;6;7;8;9;10}/10)-(K329/(1+K329))*$I$6)/(1+M329)^{1;2;3;4;5;6;7;8;9;10})+$I$2*(1+K329)^10*(L329+$I$4)*N329/(1+M329)^10+$I$9-$I$10)/$I$11</f>
        <v/>
      </c>
    </row>
    <row r="330">
      <c r="K330" s="25">
        <f>MAX(-0.05,NORMINV(RAND(),$C$6,$D$6))</f>
        <v/>
      </c>
      <c r="L330" s="25">
        <f>MAX(0.02,NORMINV(RAND(),$C$7,$D$7))</f>
        <v/>
      </c>
      <c r="M330" s="25">
        <f>MIN(0.16,MAX(0.05,NORMINV(RAND(),$C$8,$D$8)))</f>
        <v/>
      </c>
      <c r="N330" s="26">
        <f>MIN(24,MAX(5,NORMINV(RAND(),$C$9,$D$9)))</f>
        <v/>
      </c>
      <c r="O330" s="49">
        <f>$I$8*(SUMPRODUCT(($I$2*(1+K330)^{1;2;3;4;5;6;7;8;9;10})*(($I$3+(L330-$I$3)*{1;2;3;4;5;6;7;8;9;10}/10)*(1-$I$7)+$I$4-$I$4*($I$5+(1.05-$I$5)*{1;2;3;4;5;6;7;8;9;10}/10)-(K330/(1+K330))*$I$6)/(1+M330)^{1;2;3;4;5;6;7;8;9;10})+$I$2*(1+K330)^10*(L330+$I$4)*N330/(1+M330)^10+$I$9-$I$10)/$I$11</f>
        <v/>
      </c>
    </row>
    <row r="331">
      <c r="K331" s="25">
        <f>MAX(-0.05,NORMINV(RAND(),$C$6,$D$6))</f>
        <v/>
      </c>
      <c r="L331" s="25">
        <f>MAX(0.02,NORMINV(RAND(),$C$7,$D$7))</f>
        <v/>
      </c>
      <c r="M331" s="25">
        <f>MIN(0.16,MAX(0.05,NORMINV(RAND(),$C$8,$D$8)))</f>
        <v/>
      </c>
      <c r="N331" s="26">
        <f>MIN(24,MAX(5,NORMINV(RAND(),$C$9,$D$9)))</f>
        <v/>
      </c>
      <c r="O331" s="49">
        <f>$I$8*(SUMPRODUCT(($I$2*(1+K331)^{1;2;3;4;5;6;7;8;9;10})*(($I$3+(L331-$I$3)*{1;2;3;4;5;6;7;8;9;10}/10)*(1-$I$7)+$I$4-$I$4*($I$5+(1.05-$I$5)*{1;2;3;4;5;6;7;8;9;10}/10)-(K331/(1+K331))*$I$6)/(1+M331)^{1;2;3;4;5;6;7;8;9;10})+$I$2*(1+K331)^10*(L331+$I$4)*N331/(1+M331)^10+$I$9-$I$10)/$I$11</f>
        <v/>
      </c>
    </row>
    <row r="332">
      <c r="K332" s="25">
        <f>MAX(-0.05,NORMINV(RAND(),$C$6,$D$6))</f>
        <v/>
      </c>
      <c r="L332" s="25">
        <f>MAX(0.02,NORMINV(RAND(),$C$7,$D$7))</f>
        <v/>
      </c>
      <c r="M332" s="25">
        <f>MIN(0.16,MAX(0.05,NORMINV(RAND(),$C$8,$D$8)))</f>
        <v/>
      </c>
      <c r="N332" s="26">
        <f>MIN(24,MAX(5,NORMINV(RAND(),$C$9,$D$9)))</f>
        <v/>
      </c>
      <c r="O332" s="49">
        <f>$I$8*(SUMPRODUCT(($I$2*(1+K332)^{1;2;3;4;5;6;7;8;9;10})*(($I$3+(L332-$I$3)*{1;2;3;4;5;6;7;8;9;10}/10)*(1-$I$7)+$I$4-$I$4*($I$5+(1.05-$I$5)*{1;2;3;4;5;6;7;8;9;10}/10)-(K332/(1+K332))*$I$6)/(1+M332)^{1;2;3;4;5;6;7;8;9;10})+$I$2*(1+K332)^10*(L332+$I$4)*N332/(1+M332)^10+$I$9-$I$10)/$I$11</f>
        <v/>
      </c>
    </row>
    <row r="333">
      <c r="K333" s="25">
        <f>MAX(-0.05,NORMINV(RAND(),$C$6,$D$6))</f>
        <v/>
      </c>
      <c r="L333" s="25">
        <f>MAX(0.02,NORMINV(RAND(),$C$7,$D$7))</f>
        <v/>
      </c>
      <c r="M333" s="25">
        <f>MIN(0.16,MAX(0.05,NORMINV(RAND(),$C$8,$D$8)))</f>
        <v/>
      </c>
      <c r="N333" s="26">
        <f>MIN(24,MAX(5,NORMINV(RAND(),$C$9,$D$9)))</f>
        <v/>
      </c>
      <c r="O333" s="49">
        <f>$I$8*(SUMPRODUCT(($I$2*(1+K333)^{1;2;3;4;5;6;7;8;9;10})*(($I$3+(L333-$I$3)*{1;2;3;4;5;6;7;8;9;10}/10)*(1-$I$7)+$I$4-$I$4*($I$5+(1.05-$I$5)*{1;2;3;4;5;6;7;8;9;10}/10)-(K333/(1+K333))*$I$6)/(1+M333)^{1;2;3;4;5;6;7;8;9;10})+$I$2*(1+K333)^10*(L333+$I$4)*N333/(1+M333)^10+$I$9-$I$10)/$I$11</f>
        <v/>
      </c>
    </row>
    <row r="334">
      <c r="K334" s="25">
        <f>MAX(-0.05,NORMINV(RAND(),$C$6,$D$6))</f>
        <v/>
      </c>
      <c r="L334" s="25">
        <f>MAX(0.02,NORMINV(RAND(),$C$7,$D$7))</f>
        <v/>
      </c>
      <c r="M334" s="25">
        <f>MIN(0.16,MAX(0.05,NORMINV(RAND(),$C$8,$D$8)))</f>
        <v/>
      </c>
      <c r="N334" s="26">
        <f>MIN(24,MAX(5,NORMINV(RAND(),$C$9,$D$9)))</f>
        <v/>
      </c>
      <c r="O334" s="49">
        <f>$I$8*(SUMPRODUCT(($I$2*(1+K334)^{1;2;3;4;5;6;7;8;9;10})*(($I$3+(L334-$I$3)*{1;2;3;4;5;6;7;8;9;10}/10)*(1-$I$7)+$I$4-$I$4*($I$5+(1.05-$I$5)*{1;2;3;4;5;6;7;8;9;10}/10)-(K334/(1+K334))*$I$6)/(1+M334)^{1;2;3;4;5;6;7;8;9;10})+$I$2*(1+K334)^10*(L334+$I$4)*N334/(1+M334)^10+$I$9-$I$10)/$I$11</f>
        <v/>
      </c>
    </row>
    <row r="335">
      <c r="K335" s="25">
        <f>MAX(-0.05,NORMINV(RAND(),$C$6,$D$6))</f>
        <v/>
      </c>
      <c r="L335" s="25">
        <f>MAX(0.02,NORMINV(RAND(),$C$7,$D$7))</f>
        <v/>
      </c>
      <c r="M335" s="25">
        <f>MIN(0.16,MAX(0.05,NORMINV(RAND(),$C$8,$D$8)))</f>
        <v/>
      </c>
      <c r="N335" s="26">
        <f>MIN(24,MAX(5,NORMINV(RAND(),$C$9,$D$9)))</f>
        <v/>
      </c>
      <c r="O335" s="49">
        <f>$I$8*(SUMPRODUCT(($I$2*(1+K335)^{1;2;3;4;5;6;7;8;9;10})*(($I$3+(L335-$I$3)*{1;2;3;4;5;6;7;8;9;10}/10)*(1-$I$7)+$I$4-$I$4*($I$5+(1.05-$I$5)*{1;2;3;4;5;6;7;8;9;10}/10)-(K335/(1+K335))*$I$6)/(1+M335)^{1;2;3;4;5;6;7;8;9;10})+$I$2*(1+K335)^10*(L335+$I$4)*N335/(1+M335)^10+$I$9-$I$10)/$I$11</f>
        <v/>
      </c>
    </row>
    <row r="336">
      <c r="K336" s="25">
        <f>MAX(-0.05,NORMINV(RAND(),$C$6,$D$6))</f>
        <v/>
      </c>
      <c r="L336" s="25">
        <f>MAX(0.02,NORMINV(RAND(),$C$7,$D$7))</f>
        <v/>
      </c>
      <c r="M336" s="25">
        <f>MIN(0.16,MAX(0.05,NORMINV(RAND(),$C$8,$D$8)))</f>
        <v/>
      </c>
      <c r="N336" s="26">
        <f>MIN(24,MAX(5,NORMINV(RAND(),$C$9,$D$9)))</f>
        <v/>
      </c>
      <c r="O336" s="49">
        <f>$I$8*(SUMPRODUCT(($I$2*(1+K336)^{1;2;3;4;5;6;7;8;9;10})*(($I$3+(L336-$I$3)*{1;2;3;4;5;6;7;8;9;10}/10)*(1-$I$7)+$I$4-$I$4*($I$5+(1.05-$I$5)*{1;2;3;4;5;6;7;8;9;10}/10)-(K336/(1+K336))*$I$6)/(1+M336)^{1;2;3;4;5;6;7;8;9;10})+$I$2*(1+K336)^10*(L336+$I$4)*N336/(1+M336)^10+$I$9-$I$10)/$I$11</f>
        <v/>
      </c>
    </row>
    <row r="337">
      <c r="K337" s="25">
        <f>MAX(-0.05,NORMINV(RAND(),$C$6,$D$6))</f>
        <v/>
      </c>
      <c r="L337" s="25">
        <f>MAX(0.02,NORMINV(RAND(),$C$7,$D$7))</f>
        <v/>
      </c>
      <c r="M337" s="25">
        <f>MIN(0.16,MAX(0.05,NORMINV(RAND(),$C$8,$D$8)))</f>
        <v/>
      </c>
      <c r="N337" s="26">
        <f>MIN(24,MAX(5,NORMINV(RAND(),$C$9,$D$9)))</f>
        <v/>
      </c>
      <c r="O337" s="49">
        <f>$I$8*(SUMPRODUCT(($I$2*(1+K337)^{1;2;3;4;5;6;7;8;9;10})*(($I$3+(L337-$I$3)*{1;2;3;4;5;6;7;8;9;10}/10)*(1-$I$7)+$I$4-$I$4*($I$5+(1.05-$I$5)*{1;2;3;4;5;6;7;8;9;10}/10)-(K337/(1+K337))*$I$6)/(1+M337)^{1;2;3;4;5;6;7;8;9;10})+$I$2*(1+K337)^10*(L337+$I$4)*N337/(1+M337)^10+$I$9-$I$10)/$I$11</f>
        <v/>
      </c>
    </row>
    <row r="338">
      <c r="K338" s="25">
        <f>MAX(-0.05,NORMINV(RAND(),$C$6,$D$6))</f>
        <v/>
      </c>
      <c r="L338" s="25">
        <f>MAX(0.02,NORMINV(RAND(),$C$7,$D$7))</f>
        <v/>
      </c>
      <c r="M338" s="25">
        <f>MIN(0.16,MAX(0.05,NORMINV(RAND(),$C$8,$D$8)))</f>
        <v/>
      </c>
      <c r="N338" s="26">
        <f>MIN(24,MAX(5,NORMINV(RAND(),$C$9,$D$9)))</f>
        <v/>
      </c>
      <c r="O338" s="49">
        <f>$I$8*(SUMPRODUCT(($I$2*(1+K338)^{1;2;3;4;5;6;7;8;9;10})*(($I$3+(L338-$I$3)*{1;2;3;4;5;6;7;8;9;10}/10)*(1-$I$7)+$I$4-$I$4*($I$5+(1.05-$I$5)*{1;2;3;4;5;6;7;8;9;10}/10)-(K338/(1+K338))*$I$6)/(1+M338)^{1;2;3;4;5;6;7;8;9;10})+$I$2*(1+K338)^10*(L338+$I$4)*N338/(1+M338)^10+$I$9-$I$10)/$I$11</f>
        <v/>
      </c>
    </row>
    <row r="339">
      <c r="K339" s="25">
        <f>MAX(-0.05,NORMINV(RAND(),$C$6,$D$6))</f>
        <v/>
      </c>
      <c r="L339" s="25">
        <f>MAX(0.02,NORMINV(RAND(),$C$7,$D$7))</f>
        <v/>
      </c>
      <c r="M339" s="25">
        <f>MIN(0.16,MAX(0.05,NORMINV(RAND(),$C$8,$D$8)))</f>
        <v/>
      </c>
      <c r="N339" s="26">
        <f>MIN(24,MAX(5,NORMINV(RAND(),$C$9,$D$9)))</f>
        <v/>
      </c>
      <c r="O339" s="49">
        <f>$I$8*(SUMPRODUCT(($I$2*(1+K339)^{1;2;3;4;5;6;7;8;9;10})*(($I$3+(L339-$I$3)*{1;2;3;4;5;6;7;8;9;10}/10)*(1-$I$7)+$I$4-$I$4*($I$5+(1.05-$I$5)*{1;2;3;4;5;6;7;8;9;10}/10)-(K339/(1+K339))*$I$6)/(1+M339)^{1;2;3;4;5;6;7;8;9;10})+$I$2*(1+K339)^10*(L339+$I$4)*N339/(1+M339)^10+$I$9-$I$10)/$I$11</f>
        <v/>
      </c>
    </row>
    <row r="340">
      <c r="K340" s="25">
        <f>MAX(-0.05,NORMINV(RAND(),$C$6,$D$6))</f>
        <v/>
      </c>
      <c r="L340" s="25">
        <f>MAX(0.02,NORMINV(RAND(),$C$7,$D$7))</f>
        <v/>
      </c>
      <c r="M340" s="25">
        <f>MIN(0.16,MAX(0.05,NORMINV(RAND(),$C$8,$D$8)))</f>
        <v/>
      </c>
      <c r="N340" s="26">
        <f>MIN(24,MAX(5,NORMINV(RAND(),$C$9,$D$9)))</f>
        <v/>
      </c>
      <c r="O340" s="49">
        <f>$I$8*(SUMPRODUCT(($I$2*(1+K340)^{1;2;3;4;5;6;7;8;9;10})*(($I$3+(L340-$I$3)*{1;2;3;4;5;6;7;8;9;10}/10)*(1-$I$7)+$I$4-$I$4*($I$5+(1.05-$I$5)*{1;2;3;4;5;6;7;8;9;10}/10)-(K340/(1+K340))*$I$6)/(1+M340)^{1;2;3;4;5;6;7;8;9;10})+$I$2*(1+K340)^10*(L340+$I$4)*N340/(1+M340)^10+$I$9-$I$10)/$I$11</f>
        <v/>
      </c>
    </row>
    <row r="341">
      <c r="K341" s="25">
        <f>MAX(-0.05,NORMINV(RAND(),$C$6,$D$6))</f>
        <v/>
      </c>
      <c r="L341" s="25">
        <f>MAX(0.02,NORMINV(RAND(),$C$7,$D$7))</f>
        <v/>
      </c>
      <c r="M341" s="25">
        <f>MIN(0.16,MAX(0.05,NORMINV(RAND(),$C$8,$D$8)))</f>
        <v/>
      </c>
      <c r="N341" s="26">
        <f>MIN(24,MAX(5,NORMINV(RAND(),$C$9,$D$9)))</f>
        <v/>
      </c>
      <c r="O341" s="49">
        <f>$I$8*(SUMPRODUCT(($I$2*(1+K341)^{1;2;3;4;5;6;7;8;9;10})*(($I$3+(L341-$I$3)*{1;2;3;4;5;6;7;8;9;10}/10)*(1-$I$7)+$I$4-$I$4*($I$5+(1.05-$I$5)*{1;2;3;4;5;6;7;8;9;10}/10)-(K341/(1+K341))*$I$6)/(1+M341)^{1;2;3;4;5;6;7;8;9;10})+$I$2*(1+K341)^10*(L341+$I$4)*N341/(1+M341)^10+$I$9-$I$10)/$I$11</f>
        <v/>
      </c>
    </row>
    <row r="342">
      <c r="K342" s="25">
        <f>MAX(-0.05,NORMINV(RAND(),$C$6,$D$6))</f>
        <v/>
      </c>
      <c r="L342" s="25">
        <f>MAX(0.02,NORMINV(RAND(),$C$7,$D$7))</f>
        <v/>
      </c>
      <c r="M342" s="25">
        <f>MIN(0.16,MAX(0.05,NORMINV(RAND(),$C$8,$D$8)))</f>
        <v/>
      </c>
      <c r="N342" s="26">
        <f>MIN(24,MAX(5,NORMINV(RAND(),$C$9,$D$9)))</f>
        <v/>
      </c>
      <c r="O342" s="49">
        <f>$I$8*(SUMPRODUCT(($I$2*(1+K342)^{1;2;3;4;5;6;7;8;9;10})*(($I$3+(L342-$I$3)*{1;2;3;4;5;6;7;8;9;10}/10)*(1-$I$7)+$I$4-$I$4*($I$5+(1.05-$I$5)*{1;2;3;4;5;6;7;8;9;10}/10)-(K342/(1+K342))*$I$6)/(1+M342)^{1;2;3;4;5;6;7;8;9;10})+$I$2*(1+K342)^10*(L342+$I$4)*N342/(1+M342)^10+$I$9-$I$10)/$I$11</f>
        <v/>
      </c>
    </row>
    <row r="343">
      <c r="K343" s="25">
        <f>MAX(-0.05,NORMINV(RAND(),$C$6,$D$6))</f>
        <v/>
      </c>
      <c r="L343" s="25">
        <f>MAX(0.02,NORMINV(RAND(),$C$7,$D$7))</f>
        <v/>
      </c>
      <c r="M343" s="25">
        <f>MIN(0.16,MAX(0.05,NORMINV(RAND(),$C$8,$D$8)))</f>
        <v/>
      </c>
      <c r="N343" s="26">
        <f>MIN(24,MAX(5,NORMINV(RAND(),$C$9,$D$9)))</f>
        <v/>
      </c>
      <c r="O343" s="49">
        <f>$I$8*(SUMPRODUCT(($I$2*(1+K343)^{1;2;3;4;5;6;7;8;9;10})*(($I$3+(L343-$I$3)*{1;2;3;4;5;6;7;8;9;10}/10)*(1-$I$7)+$I$4-$I$4*($I$5+(1.05-$I$5)*{1;2;3;4;5;6;7;8;9;10}/10)-(K343/(1+K343))*$I$6)/(1+M343)^{1;2;3;4;5;6;7;8;9;10})+$I$2*(1+K343)^10*(L343+$I$4)*N343/(1+M343)^10+$I$9-$I$10)/$I$11</f>
        <v/>
      </c>
    </row>
    <row r="344">
      <c r="K344" s="25">
        <f>MAX(-0.05,NORMINV(RAND(),$C$6,$D$6))</f>
        <v/>
      </c>
      <c r="L344" s="25">
        <f>MAX(0.02,NORMINV(RAND(),$C$7,$D$7))</f>
        <v/>
      </c>
      <c r="M344" s="25">
        <f>MIN(0.16,MAX(0.05,NORMINV(RAND(),$C$8,$D$8)))</f>
        <v/>
      </c>
      <c r="N344" s="26">
        <f>MIN(24,MAX(5,NORMINV(RAND(),$C$9,$D$9)))</f>
        <v/>
      </c>
      <c r="O344" s="49">
        <f>$I$8*(SUMPRODUCT(($I$2*(1+K344)^{1;2;3;4;5;6;7;8;9;10})*(($I$3+(L344-$I$3)*{1;2;3;4;5;6;7;8;9;10}/10)*(1-$I$7)+$I$4-$I$4*($I$5+(1.05-$I$5)*{1;2;3;4;5;6;7;8;9;10}/10)-(K344/(1+K344))*$I$6)/(1+M344)^{1;2;3;4;5;6;7;8;9;10})+$I$2*(1+K344)^10*(L344+$I$4)*N344/(1+M344)^10+$I$9-$I$10)/$I$11</f>
        <v/>
      </c>
    </row>
    <row r="345">
      <c r="K345" s="25">
        <f>MAX(-0.05,NORMINV(RAND(),$C$6,$D$6))</f>
        <v/>
      </c>
      <c r="L345" s="25">
        <f>MAX(0.02,NORMINV(RAND(),$C$7,$D$7))</f>
        <v/>
      </c>
      <c r="M345" s="25">
        <f>MIN(0.16,MAX(0.05,NORMINV(RAND(),$C$8,$D$8)))</f>
        <v/>
      </c>
      <c r="N345" s="26">
        <f>MIN(24,MAX(5,NORMINV(RAND(),$C$9,$D$9)))</f>
        <v/>
      </c>
      <c r="O345" s="49">
        <f>$I$8*(SUMPRODUCT(($I$2*(1+K345)^{1;2;3;4;5;6;7;8;9;10})*(($I$3+(L345-$I$3)*{1;2;3;4;5;6;7;8;9;10}/10)*(1-$I$7)+$I$4-$I$4*($I$5+(1.05-$I$5)*{1;2;3;4;5;6;7;8;9;10}/10)-(K345/(1+K345))*$I$6)/(1+M345)^{1;2;3;4;5;6;7;8;9;10})+$I$2*(1+K345)^10*(L345+$I$4)*N345/(1+M345)^10+$I$9-$I$10)/$I$11</f>
        <v/>
      </c>
    </row>
    <row r="346">
      <c r="K346" s="25">
        <f>MAX(-0.05,NORMINV(RAND(),$C$6,$D$6))</f>
        <v/>
      </c>
      <c r="L346" s="25">
        <f>MAX(0.02,NORMINV(RAND(),$C$7,$D$7))</f>
        <v/>
      </c>
      <c r="M346" s="25">
        <f>MIN(0.16,MAX(0.05,NORMINV(RAND(),$C$8,$D$8)))</f>
        <v/>
      </c>
      <c r="N346" s="26">
        <f>MIN(24,MAX(5,NORMINV(RAND(),$C$9,$D$9)))</f>
        <v/>
      </c>
      <c r="O346" s="49">
        <f>$I$8*(SUMPRODUCT(($I$2*(1+K346)^{1;2;3;4;5;6;7;8;9;10})*(($I$3+(L346-$I$3)*{1;2;3;4;5;6;7;8;9;10}/10)*(1-$I$7)+$I$4-$I$4*($I$5+(1.05-$I$5)*{1;2;3;4;5;6;7;8;9;10}/10)-(K346/(1+K346))*$I$6)/(1+M346)^{1;2;3;4;5;6;7;8;9;10})+$I$2*(1+K346)^10*(L346+$I$4)*N346/(1+M346)^10+$I$9-$I$10)/$I$11</f>
        <v/>
      </c>
    </row>
    <row r="347">
      <c r="K347" s="25">
        <f>MAX(-0.05,NORMINV(RAND(),$C$6,$D$6))</f>
        <v/>
      </c>
      <c r="L347" s="25">
        <f>MAX(0.02,NORMINV(RAND(),$C$7,$D$7))</f>
        <v/>
      </c>
      <c r="M347" s="25">
        <f>MIN(0.16,MAX(0.05,NORMINV(RAND(),$C$8,$D$8)))</f>
        <v/>
      </c>
      <c r="N347" s="26">
        <f>MIN(24,MAX(5,NORMINV(RAND(),$C$9,$D$9)))</f>
        <v/>
      </c>
      <c r="O347" s="49">
        <f>$I$8*(SUMPRODUCT(($I$2*(1+K347)^{1;2;3;4;5;6;7;8;9;10})*(($I$3+(L347-$I$3)*{1;2;3;4;5;6;7;8;9;10}/10)*(1-$I$7)+$I$4-$I$4*($I$5+(1.05-$I$5)*{1;2;3;4;5;6;7;8;9;10}/10)-(K347/(1+K347))*$I$6)/(1+M347)^{1;2;3;4;5;6;7;8;9;10})+$I$2*(1+K347)^10*(L347+$I$4)*N347/(1+M347)^10+$I$9-$I$10)/$I$11</f>
        <v/>
      </c>
    </row>
    <row r="348">
      <c r="K348" s="25">
        <f>MAX(-0.05,NORMINV(RAND(),$C$6,$D$6))</f>
        <v/>
      </c>
      <c r="L348" s="25">
        <f>MAX(0.02,NORMINV(RAND(),$C$7,$D$7))</f>
        <v/>
      </c>
      <c r="M348" s="25">
        <f>MIN(0.16,MAX(0.05,NORMINV(RAND(),$C$8,$D$8)))</f>
        <v/>
      </c>
      <c r="N348" s="26">
        <f>MIN(24,MAX(5,NORMINV(RAND(),$C$9,$D$9)))</f>
        <v/>
      </c>
      <c r="O348" s="49">
        <f>$I$8*(SUMPRODUCT(($I$2*(1+K348)^{1;2;3;4;5;6;7;8;9;10})*(($I$3+(L348-$I$3)*{1;2;3;4;5;6;7;8;9;10}/10)*(1-$I$7)+$I$4-$I$4*($I$5+(1.05-$I$5)*{1;2;3;4;5;6;7;8;9;10}/10)-(K348/(1+K348))*$I$6)/(1+M348)^{1;2;3;4;5;6;7;8;9;10})+$I$2*(1+K348)^10*(L348+$I$4)*N348/(1+M348)^10+$I$9-$I$10)/$I$11</f>
        <v/>
      </c>
    </row>
    <row r="349">
      <c r="K349" s="25">
        <f>MAX(-0.05,NORMINV(RAND(),$C$6,$D$6))</f>
        <v/>
      </c>
      <c r="L349" s="25">
        <f>MAX(0.02,NORMINV(RAND(),$C$7,$D$7))</f>
        <v/>
      </c>
      <c r="M349" s="25">
        <f>MIN(0.16,MAX(0.05,NORMINV(RAND(),$C$8,$D$8)))</f>
        <v/>
      </c>
      <c r="N349" s="26">
        <f>MIN(24,MAX(5,NORMINV(RAND(),$C$9,$D$9)))</f>
        <v/>
      </c>
      <c r="O349" s="49">
        <f>$I$8*(SUMPRODUCT(($I$2*(1+K349)^{1;2;3;4;5;6;7;8;9;10})*(($I$3+(L349-$I$3)*{1;2;3;4;5;6;7;8;9;10}/10)*(1-$I$7)+$I$4-$I$4*($I$5+(1.05-$I$5)*{1;2;3;4;5;6;7;8;9;10}/10)-(K349/(1+K349))*$I$6)/(1+M349)^{1;2;3;4;5;6;7;8;9;10})+$I$2*(1+K349)^10*(L349+$I$4)*N349/(1+M349)^10+$I$9-$I$10)/$I$11</f>
        <v/>
      </c>
    </row>
    <row r="350">
      <c r="K350" s="25">
        <f>MAX(-0.05,NORMINV(RAND(),$C$6,$D$6))</f>
        <v/>
      </c>
      <c r="L350" s="25">
        <f>MAX(0.02,NORMINV(RAND(),$C$7,$D$7))</f>
        <v/>
      </c>
      <c r="M350" s="25">
        <f>MIN(0.16,MAX(0.05,NORMINV(RAND(),$C$8,$D$8)))</f>
        <v/>
      </c>
      <c r="N350" s="26">
        <f>MIN(24,MAX(5,NORMINV(RAND(),$C$9,$D$9)))</f>
        <v/>
      </c>
      <c r="O350" s="49">
        <f>$I$8*(SUMPRODUCT(($I$2*(1+K350)^{1;2;3;4;5;6;7;8;9;10})*(($I$3+(L350-$I$3)*{1;2;3;4;5;6;7;8;9;10}/10)*(1-$I$7)+$I$4-$I$4*($I$5+(1.05-$I$5)*{1;2;3;4;5;6;7;8;9;10}/10)-(K350/(1+K350))*$I$6)/(1+M350)^{1;2;3;4;5;6;7;8;9;10})+$I$2*(1+K350)^10*(L350+$I$4)*N350/(1+M350)^10+$I$9-$I$10)/$I$11</f>
        <v/>
      </c>
    </row>
    <row r="351">
      <c r="K351" s="25">
        <f>MAX(-0.05,NORMINV(RAND(),$C$6,$D$6))</f>
        <v/>
      </c>
      <c r="L351" s="25">
        <f>MAX(0.02,NORMINV(RAND(),$C$7,$D$7))</f>
        <v/>
      </c>
      <c r="M351" s="25">
        <f>MIN(0.16,MAX(0.05,NORMINV(RAND(),$C$8,$D$8)))</f>
        <v/>
      </c>
      <c r="N351" s="26">
        <f>MIN(24,MAX(5,NORMINV(RAND(),$C$9,$D$9)))</f>
        <v/>
      </c>
      <c r="O351" s="49">
        <f>$I$8*(SUMPRODUCT(($I$2*(1+K351)^{1;2;3;4;5;6;7;8;9;10})*(($I$3+(L351-$I$3)*{1;2;3;4;5;6;7;8;9;10}/10)*(1-$I$7)+$I$4-$I$4*($I$5+(1.05-$I$5)*{1;2;3;4;5;6;7;8;9;10}/10)-(K351/(1+K351))*$I$6)/(1+M351)^{1;2;3;4;5;6;7;8;9;10})+$I$2*(1+K351)^10*(L351+$I$4)*N351/(1+M351)^10+$I$9-$I$10)/$I$11</f>
        <v/>
      </c>
    </row>
    <row r="352">
      <c r="K352" s="25">
        <f>MAX(-0.05,NORMINV(RAND(),$C$6,$D$6))</f>
        <v/>
      </c>
      <c r="L352" s="25">
        <f>MAX(0.02,NORMINV(RAND(),$C$7,$D$7))</f>
        <v/>
      </c>
      <c r="M352" s="25">
        <f>MIN(0.16,MAX(0.05,NORMINV(RAND(),$C$8,$D$8)))</f>
        <v/>
      </c>
      <c r="N352" s="26">
        <f>MIN(24,MAX(5,NORMINV(RAND(),$C$9,$D$9)))</f>
        <v/>
      </c>
      <c r="O352" s="49">
        <f>$I$8*(SUMPRODUCT(($I$2*(1+K352)^{1;2;3;4;5;6;7;8;9;10})*(($I$3+(L352-$I$3)*{1;2;3;4;5;6;7;8;9;10}/10)*(1-$I$7)+$I$4-$I$4*($I$5+(1.05-$I$5)*{1;2;3;4;5;6;7;8;9;10}/10)-(K352/(1+K352))*$I$6)/(1+M352)^{1;2;3;4;5;6;7;8;9;10})+$I$2*(1+K352)^10*(L352+$I$4)*N352/(1+M352)^10+$I$9-$I$10)/$I$11</f>
        <v/>
      </c>
    </row>
    <row r="353">
      <c r="K353" s="25">
        <f>MAX(-0.05,NORMINV(RAND(),$C$6,$D$6))</f>
        <v/>
      </c>
      <c r="L353" s="25">
        <f>MAX(0.02,NORMINV(RAND(),$C$7,$D$7))</f>
        <v/>
      </c>
      <c r="M353" s="25">
        <f>MIN(0.16,MAX(0.05,NORMINV(RAND(),$C$8,$D$8)))</f>
        <v/>
      </c>
      <c r="N353" s="26">
        <f>MIN(24,MAX(5,NORMINV(RAND(),$C$9,$D$9)))</f>
        <v/>
      </c>
      <c r="O353" s="49">
        <f>$I$8*(SUMPRODUCT(($I$2*(1+K353)^{1;2;3;4;5;6;7;8;9;10})*(($I$3+(L353-$I$3)*{1;2;3;4;5;6;7;8;9;10}/10)*(1-$I$7)+$I$4-$I$4*($I$5+(1.05-$I$5)*{1;2;3;4;5;6;7;8;9;10}/10)-(K353/(1+K353))*$I$6)/(1+M353)^{1;2;3;4;5;6;7;8;9;10})+$I$2*(1+K353)^10*(L353+$I$4)*N353/(1+M353)^10+$I$9-$I$10)/$I$11</f>
        <v/>
      </c>
    </row>
    <row r="354">
      <c r="K354" s="25">
        <f>MAX(-0.05,NORMINV(RAND(),$C$6,$D$6))</f>
        <v/>
      </c>
      <c r="L354" s="25">
        <f>MAX(0.02,NORMINV(RAND(),$C$7,$D$7))</f>
        <v/>
      </c>
      <c r="M354" s="25">
        <f>MIN(0.16,MAX(0.05,NORMINV(RAND(),$C$8,$D$8)))</f>
        <v/>
      </c>
      <c r="N354" s="26">
        <f>MIN(24,MAX(5,NORMINV(RAND(),$C$9,$D$9)))</f>
        <v/>
      </c>
      <c r="O354" s="49">
        <f>$I$8*(SUMPRODUCT(($I$2*(1+K354)^{1;2;3;4;5;6;7;8;9;10})*(($I$3+(L354-$I$3)*{1;2;3;4;5;6;7;8;9;10}/10)*(1-$I$7)+$I$4-$I$4*($I$5+(1.05-$I$5)*{1;2;3;4;5;6;7;8;9;10}/10)-(K354/(1+K354))*$I$6)/(1+M354)^{1;2;3;4;5;6;7;8;9;10})+$I$2*(1+K354)^10*(L354+$I$4)*N354/(1+M354)^10+$I$9-$I$10)/$I$11</f>
        <v/>
      </c>
    </row>
    <row r="355">
      <c r="K355" s="25">
        <f>MAX(-0.05,NORMINV(RAND(),$C$6,$D$6))</f>
        <v/>
      </c>
      <c r="L355" s="25">
        <f>MAX(0.02,NORMINV(RAND(),$C$7,$D$7))</f>
        <v/>
      </c>
      <c r="M355" s="25">
        <f>MIN(0.16,MAX(0.05,NORMINV(RAND(),$C$8,$D$8)))</f>
        <v/>
      </c>
      <c r="N355" s="26">
        <f>MIN(24,MAX(5,NORMINV(RAND(),$C$9,$D$9)))</f>
        <v/>
      </c>
      <c r="O355" s="49">
        <f>$I$8*(SUMPRODUCT(($I$2*(1+K355)^{1;2;3;4;5;6;7;8;9;10})*(($I$3+(L355-$I$3)*{1;2;3;4;5;6;7;8;9;10}/10)*(1-$I$7)+$I$4-$I$4*($I$5+(1.05-$I$5)*{1;2;3;4;5;6;7;8;9;10}/10)-(K355/(1+K355))*$I$6)/(1+M355)^{1;2;3;4;5;6;7;8;9;10})+$I$2*(1+K355)^10*(L355+$I$4)*N355/(1+M355)^10+$I$9-$I$10)/$I$11</f>
        <v/>
      </c>
    </row>
    <row r="356">
      <c r="K356" s="25">
        <f>MAX(-0.05,NORMINV(RAND(),$C$6,$D$6))</f>
        <v/>
      </c>
      <c r="L356" s="25">
        <f>MAX(0.02,NORMINV(RAND(),$C$7,$D$7))</f>
        <v/>
      </c>
      <c r="M356" s="25">
        <f>MIN(0.16,MAX(0.05,NORMINV(RAND(),$C$8,$D$8)))</f>
        <v/>
      </c>
      <c r="N356" s="26">
        <f>MIN(24,MAX(5,NORMINV(RAND(),$C$9,$D$9)))</f>
        <v/>
      </c>
      <c r="O356" s="49">
        <f>$I$8*(SUMPRODUCT(($I$2*(1+K356)^{1;2;3;4;5;6;7;8;9;10})*(($I$3+(L356-$I$3)*{1;2;3;4;5;6;7;8;9;10}/10)*(1-$I$7)+$I$4-$I$4*($I$5+(1.05-$I$5)*{1;2;3;4;5;6;7;8;9;10}/10)-(K356/(1+K356))*$I$6)/(1+M356)^{1;2;3;4;5;6;7;8;9;10})+$I$2*(1+K356)^10*(L356+$I$4)*N356/(1+M356)^10+$I$9-$I$10)/$I$11</f>
        <v/>
      </c>
    </row>
    <row r="357">
      <c r="K357" s="25">
        <f>MAX(-0.05,NORMINV(RAND(),$C$6,$D$6))</f>
        <v/>
      </c>
      <c r="L357" s="25">
        <f>MAX(0.02,NORMINV(RAND(),$C$7,$D$7))</f>
        <v/>
      </c>
      <c r="M357" s="25">
        <f>MIN(0.16,MAX(0.05,NORMINV(RAND(),$C$8,$D$8)))</f>
        <v/>
      </c>
      <c r="N357" s="26">
        <f>MIN(24,MAX(5,NORMINV(RAND(),$C$9,$D$9)))</f>
        <v/>
      </c>
      <c r="O357" s="49">
        <f>$I$8*(SUMPRODUCT(($I$2*(1+K357)^{1;2;3;4;5;6;7;8;9;10})*(($I$3+(L357-$I$3)*{1;2;3;4;5;6;7;8;9;10}/10)*(1-$I$7)+$I$4-$I$4*($I$5+(1.05-$I$5)*{1;2;3;4;5;6;7;8;9;10}/10)-(K357/(1+K357))*$I$6)/(1+M357)^{1;2;3;4;5;6;7;8;9;10})+$I$2*(1+K357)^10*(L357+$I$4)*N357/(1+M357)^10+$I$9-$I$10)/$I$11</f>
        <v/>
      </c>
    </row>
    <row r="358">
      <c r="K358" s="25">
        <f>MAX(-0.05,NORMINV(RAND(),$C$6,$D$6))</f>
        <v/>
      </c>
      <c r="L358" s="25">
        <f>MAX(0.02,NORMINV(RAND(),$C$7,$D$7))</f>
        <v/>
      </c>
      <c r="M358" s="25">
        <f>MIN(0.16,MAX(0.05,NORMINV(RAND(),$C$8,$D$8)))</f>
        <v/>
      </c>
      <c r="N358" s="26">
        <f>MIN(24,MAX(5,NORMINV(RAND(),$C$9,$D$9)))</f>
        <v/>
      </c>
      <c r="O358" s="49">
        <f>$I$8*(SUMPRODUCT(($I$2*(1+K358)^{1;2;3;4;5;6;7;8;9;10})*(($I$3+(L358-$I$3)*{1;2;3;4;5;6;7;8;9;10}/10)*(1-$I$7)+$I$4-$I$4*($I$5+(1.05-$I$5)*{1;2;3;4;5;6;7;8;9;10}/10)-(K358/(1+K358))*$I$6)/(1+M358)^{1;2;3;4;5;6;7;8;9;10})+$I$2*(1+K358)^10*(L358+$I$4)*N358/(1+M358)^10+$I$9-$I$10)/$I$11</f>
        <v/>
      </c>
    </row>
    <row r="359">
      <c r="K359" s="25">
        <f>MAX(-0.05,NORMINV(RAND(),$C$6,$D$6))</f>
        <v/>
      </c>
      <c r="L359" s="25">
        <f>MAX(0.02,NORMINV(RAND(),$C$7,$D$7))</f>
        <v/>
      </c>
      <c r="M359" s="25">
        <f>MIN(0.16,MAX(0.05,NORMINV(RAND(),$C$8,$D$8)))</f>
        <v/>
      </c>
      <c r="N359" s="26">
        <f>MIN(24,MAX(5,NORMINV(RAND(),$C$9,$D$9)))</f>
        <v/>
      </c>
      <c r="O359" s="49">
        <f>$I$8*(SUMPRODUCT(($I$2*(1+K359)^{1;2;3;4;5;6;7;8;9;10})*(($I$3+(L359-$I$3)*{1;2;3;4;5;6;7;8;9;10}/10)*(1-$I$7)+$I$4-$I$4*($I$5+(1.05-$I$5)*{1;2;3;4;5;6;7;8;9;10}/10)-(K359/(1+K359))*$I$6)/(1+M359)^{1;2;3;4;5;6;7;8;9;10})+$I$2*(1+K359)^10*(L359+$I$4)*N359/(1+M359)^10+$I$9-$I$10)/$I$11</f>
        <v/>
      </c>
    </row>
    <row r="360">
      <c r="K360" s="25">
        <f>MAX(-0.05,NORMINV(RAND(),$C$6,$D$6))</f>
        <v/>
      </c>
      <c r="L360" s="25">
        <f>MAX(0.02,NORMINV(RAND(),$C$7,$D$7))</f>
        <v/>
      </c>
      <c r="M360" s="25">
        <f>MIN(0.16,MAX(0.05,NORMINV(RAND(),$C$8,$D$8)))</f>
        <v/>
      </c>
      <c r="N360" s="26">
        <f>MIN(24,MAX(5,NORMINV(RAND(),$C$9,$D$9)))</f>
        <v/>
      </c>
      <c r="O360" s="49">
        <f>$I$8*(SUMPRODUCT(($I$2*(1+K360)^{1;2;3;4;5;6;7;8;9;10})*(($I$3+(L360-$I$3)*{1;2;3;4;5;6;7;8;9;10}/10)*(1-$I$7)+$I$4-$I$4*($I$5+(1.05-$I$5)*{1;2;3;4;5;6;7;8;9;10}/10)-(K360/(1+K360))*$I$6)/(1+M360)^{1;2;3;4;5;6;7;8;9;10})+$I$2*(1+K360)^10*(L360+$I$4)*N360/(1+M360)^10+$I$9-$I$10)/$I$11</f>
        <v/>
      </c>
    </row>
    <row r="361">
      <c r="K361" s="25">
        <f>MAX(-0.05,NORMINV(RAND(),$C$6,$D$6))</f>
        <v/>
      </c>
      <c r="L361" s="25">
        <f>MAX(0.02,NORMINV(RAND(),$C$7,$D$7))</f>
        <v/>
      </c>
      <c r="M361" s="25">
        <f>MIN(0.16,MAX(0.05,NORMINV(RAND(),$C$8,$D$8)))</f>
        <v/>
      </c>
      <c r="N361" s="26">
        <f>MIN(24,MAX(5,NORMINV(RAND(),$C$9,$D$9)))</f>
        <v/>
      </c>
      <c r="O361" s="49">
        <f>$I$8*(SUMPRODUCT(($I$2*(1+K361)^{1;2;3;4;5;6;7;8;9;10})*(($I$3+(L361-$I$3)*{1;2;3;4;5;6;7;8;9;10}/10)*(1-$I$7)+$I$4-$I$4*($I$5+(1.05-$I$5)*{1;2;3;4;5;6;7;8;9;10}/10)-(K361/(1+K361))*$I$6)/(1+M361)^{1;2;3;4;5;6;7;8;9;10})+$I$2*(1+K361)^10*(L361+$I$4)*N361/(1+M361)^10+$I$9-$I$10)/$I$11</f>
        <v/>
      </c>
    </row>
    <row r="362">
      <c r="K362" s="25">
        <f>MAX(-0.05,NORMINV(RAND(),$C$6,$D$6))</f>
        <v/>
      </c>
      <c r="L362" s="25">
        <f>MAX(0.02,NORMINV(RAND(),$C$7,$D$7))</f>
        <v/>
      </c>
      <c r="M362" s="25">
        <f>MIN(0.16,MAX(0.05,NORMINV(RAND(),$C$8,$D$8)))</f>
        <v/>
      </c>
      <c r="N362" s="26">
        <f>MIN(24,MAX(5,NORMINV(RAND(),$C$9,$D$9)))</f>
        <v/>
      </c>
      <c r="O362" s="49">
        <f>$I$8*(SUMPRODUCT(($I$2*(1+K362)^{1;2;3;4;5;6;7;8;9;10})*(($I$3+(L362-$I$3)*{1;2;3;4;5;6;7;8;9;10}/10)*(1-$I$7)+$I$4-$I$4*($I$5+(1.05-$I$5)*{1;2;3;4;5;6;7;8;9;10}/10)-(K362/(1+K362))*$I$6)/(1+M362)^{1;2;3;4;5;6;7;8;9;10})+$I$2*(1+K362)^10*(L362+$I$4)*N362/(1+M362)^10+$I$9-$I$10)/$I$11</f>
        <v/>
      </c>
    </row>
    <row r="363">
      <c r="K363" s="25">
        <f>MAX(-0.05,NORMINV(RAND(),$C$6,$D$6))</f>
        <v/>
      </c>
      <c r="L363" s="25">
        <f>MAX(0.02,NORMINV(RAND(),$C$7,$D$7))</f>
        <v/>
      </c>
      <c r="M363" s="25">
        <f>MIN(0.16,MAX(0.05,NORMINV(RAND(),$C$8,$D$8)))</f>
        <v/>
      </c>
      <c r="N363" s="26">
        <f>MIN(24,MAX(5,NORMINV(RAND(),$C$9,$D$9)))</f>
        <v/>
      </c>
      <c r="O363" s="49">
        <f>$I$8*(SUMPRODUCT(($I$2*(1+K363)^{1;2;3;4;5;6;7;8;9;10})*(($I$3+(L363-$I$3)*{1;2;3;4;5;6;7;8;9;10}/10)*(1-$I$7)+$I$4-$I$4*($I$5+(1.05-$I$5)*{1;2;3;4;5;6;7;8;9;10}/10)-(K363/(1+K363))*$I$6)/(1+M363)^{1;2;3;4;5;6;7;8;9;10})+$I$2*(1+K363)^10*(L363+$I$4)*N363/(1+M363)^10+$I$9-$I$10)/$I$11</f>
        <v/>
      </c>
    </row>
    <row r="364">
      <c r="K364" s="25">
        <f>MAX(-0.05,NORMINV(RAND(),$C$6,$D$6))</f>
        <v/>
      </c>
      <c r="L364" s="25">
        <f>MAX(0.02,NORMINV(RAND(),$C$7,$D$7))</f>
        <v/>
      </c>
      <c r="M364" s="25">
        <f>MIN(0.16,MAX(0.05,NORMINV(RAND(),$C$8,$D$8)))</f>
        <v/>
      </c>
      <c r="N364" s="26">
        <f>MIN(24,MAX(5,NORMINV(RAND(),$C$9,$D$9)))</f>
        <v/>
      </c>
      <c r="O364" s="49">
        <f>$I$8*(SUMPRODUCT(($I$2*(1+K364)^{1;2;3;4;5;6;7;8;9;10})*(($I$3+(L364-$I$3)*{1;2;3;4;5;6;7;8;9;10}/10)*(1-$I$7)+$I$4-$I$4*($I$5+(1.05-$I$5)*{1;2;3;4;5;6;7;8;9;10}/10)-(K364/(1+K364))*$I$6)/(1+M364)^{1;2;3;4;5;6;7;8;9;10})+$I$2*(1+K364)^10*(L364+$I$4)*N364/(1+M364)^10+$I$9-$I$10)/$I$11</f>
        <v/>
      </c>
    </row>
    <row r="365">
      <c r="K365" s="25">
        <f>MAX(-0.05,NORMINV(RAND(),$C$6,$D$6))</f>
        <v/>
      </c>
      <c r="L365" s="25">
        <f>MAX(0.02,NORMINV(RAND(),$C$7,$D$7))</f>
        <v/>
      </c>
      <c r="M365" s="25">
        <f>MIN(0.16,MAX(0.05,NORMINV(RAND(),$C$8,$D$8)))</f>
        <v/>
      </c>
      <c r="N365" s="26">
        <f>MIN(24,MAX(5,NORMINV(RAND(),$C$9,$D$9)))</f>
        <v/>
      </c>
      <c r="O365" s="49">
        <f>$I$8*(SUMPRODUCT(($I$2*(1+K365)^{1;2;3;4;5;6;7;8;9;10})*(($I$3+(L365-$I$3)*{1;2;3;4;5;6;7;8;9;10}/10)*(1-$I$7)+$I$4-$I$4*($I$5+(1.05-$I$5)*{1;2;3;4;5;6;7;8;9;10}/10)-(K365/(1+K365))*$I$6)/(1+M365)^{1;2;3;4;5;6;7;8;9;10})+$I$2*(1+K365)^10*(L365+$I$4)*N365/(1+M365)^10+$I$9-$I$10)/$I$11</f>
        <v/>
      </c>
    </row>
    <row r="366">
      <c r="K366" s="25">
        <f>MAX(-0.05,NORMINV(RAND(),$C$6,$D$6))</f>
        <v/>
      </c>
      <c r="L366" s="25">
        <f>MAX(0.02,NORMINV(RAND(),$C$7,$D$7))</f>
        <v/>
      </c>
      <c r="M366" s="25">
        <f>MIN(0.16,MAX(0.05,NORMINV(RAND(),$C$8,$D$8)))</f>
        <v/>
      </c>
      <c r="N366" s="26">
        <f>MIN(24,MAX(5,NORMINV(RAND(),$C$9,$D$9)))</f>
        <v/>
      </c>
      <c r="O366" s="49">
        <f>$I$8*(SUMPRODUCT(($I$2*(1+K366)^{1;2;3;4;5;6;7;8;9;10})*(($I$3+(L366-$I$3)*{1;2;3;4;5;6;7;8;9;10}/10)*(1-$I$7)+$I$4-$I$4*($I$5+(1.05-$I$5)*{1;2;3;4;5;6;7;8;9;10}/10)-(K366/(1+K366))*$I$6)/(1+M366)^{1;2;3;4;5;6;7;8;9;10})+$I$2*(1+K366)^10*(L366+$I$4)*N366/(1+M366)^10+$I$9-$I$10)/$I$11</f>
        <v/>
      </c>
    </row>
    <row r="367">
      <c r="K367" s="25">
        <f>MAX(-0.05,NORMINV(RAND(),$C$6,$D$6))</f>
        <v/>
      </c>
      <c r="L367" s="25">
        <f>MAX(0.02,NORMINV(RAND(),$C$7,$D$7))</f>
        <v/>
      </c>
      <c r="M367" s="25">
        <f>MIN(0.16,MAX(0.05,NORMINV(RAND(),$C$8,$D$8)))</f>
        <v/>
      </c>
      <c r="N367" s="26">
        <f>MIN(24,MAX(5,NORMINV(RAND(),$C$9,$D$9)))</f>
        <v/>
      </c>
      <c r="O367" s="49">
        <f>$I$8*(SUMPRODUCT(($I$2*(1+K367)^{1;2;3;4;5;6;7;8;9;10})*(($I$3+(L367-$I$3)*{1;2;3;4;5;6;7;8;9;10}/10)*(1-$I$7)+$I$4-$I$4*($I$5+(1.05-$I$5)*{1;2;3;4;5;6;7;8;9;10}/10)-(K367/(1+K367))*$I$6)/(1+M367)^{1;2;3;4;5;6;7;8;9;10})+$I$2*(1+K367)^10*(L367+$I$4)*N367/(1+M367)^10+$I$9-$I$10)/$I$11</f>
        <v/>
      </c>
    </row>
    <row r="368">
      <c r="K368" s="25">
        <f>MAX(-0.05,NORMINV(RAND(),$C$6,$D$6))</f>
        <v/>
      </c>
      <c r="L368" s="25">
        <f>MAX(0.02,NORMINV(RAND(),$C$7,$D$7))</f>
        <v/>
      </c>
      <c r="M368" s="25">
        <f>MIN(0.16,MAX(0.05,NORMINV(RAND(),$C$8,$D$8)))</f>
        <v/>
      </c>
      <c r="N368" s="26">
        <f>MIN(24,MAX(5,NORMINV(RAND(),$C$9,$D$9)))</f>
        <v/>
      </c>
      <c r="O368" s="49">
        <f>$I$8*(SUMPRODUCT(($I$2*(1+K368)^{1;2;3;4;5;6;7;8;9;10})*(($I$3+(L368-$I$3)*{1;2;3;4;5;6;7;8;9;10}/10)*(1-$I$7)+$I$4-$I$4*($I$5+(1.05-$I$5)*{1;2;3;4;5;6;7;8;9;10}/10)-(K368/(1+K368))*$I$6)/(1+M368)^{1;2;3;4;5;6;7;8;9;10})+$I$2*(1+K368)^10*(L368+$I$4)*N368/(1+M368)^10+$I$9-$I$10)/$I$11</f>
        <v/>
      </c>
    </row>
    <row r="369">
      <c r="K369" s="25">
        <f>MAX(-0.05,NORMINV(RAND(),$C$6,$D$6))</f>
        <v/>
      </c>
      <c r="L369" s="25">
        <f>MAX(0.02,NORMINV(RAND(),$C$7,$D$7))</f>
        <v/>
      </c>
      <c r="M369" s="25">
        <f>MIN(0.16,MAX(0.05,NORMINV(RAND(),$C$8,$D$8)))</f>
        <v/>
      </c>
      <c r="N369" s="26">
        <f>MIN(24,MAX(5,NORMINV(RAND(),$C$9,$D$9)))</f>
        <v/>
      </c>
      <c r="O369" s="49">
        <f>$I$8*(SUMPRODUCT(($I$2*(1+K369)^{1;2;3;4;5;6;7;8;9;10})*(($I$3+(L369-$I$3)*{1;2;3;4;5;6;7;8;9;10}/10)*(1-$I$7)+$I$4-$I$4*($I$5+(1.05-$I$5)*{1;2;3;4;5;6;7;8;9;10}/10)-(K369/(1+K369))*$I$6)/(1+M369)^{1;2;3;4;5;6;7;8;9;10})+$I$2*(1+K369)^10*(L369+$I$4)*N369/(1+M369)^10+$I$9-$I$10)/$I$11</f>
        <v/>
      </c>
    </row>
    <row r="370">
      <c r="K370" s="25">
        <f>MAX(-0.05,NORMINV(RAND(),$C$6,$D$6))</f>
        <v/>
      </c>
      <c r="L370" s="25">
        <f>MAX(0.02,NORMINV(RAND(),$C$7,$D$7))</f>
        <v/>
      </c>
      <c r="M370" s="25">
        <f>MIN(0.16,MAX(0.05,NORMINV(RAND(),$C$8,$D$8)))</f>
        <v/>
      </c>
      <c r="N370" s="26">
        <f>MIN(24,MAX(5,NORMINV(RAND(),$C$9,$D$9)))</f>
        <v/>
      </c>
      <c r="O370" s="49">
        <f>$I$8*(SUMPRODUCT(($I$2*(1+K370)^{1;2;3;4;5;6;7;8;9;10})*(($I$3+(L370-$I$3)*{1;2;3;4;5;6;7;8;9;10}/10)*(1-$I$7)+$I$4-$I$4*($I$5+(1.05-$I$5)*{1;2;3;4;5;6;7;8;9;10}/10)-(K370/(1+K370))*$I$6)/(1+M370)^{1;2;3;4;5;6;7;8;9;10})+$I$2*(1+K370)^10*(L370+$I$4)*N370/(1+M370)^10+$I$9-$I$10)/$I$11</f>
        <v/>
      </c>
    </row>
    <row r="371">
      <c r="K371" s="25">
        <f>MAX(-0.05,NORMINV(RAND(),$C$6,$D$6))</f>
        <v/>
      </c>
      <c r="L371" s="25">
        <f>MAX(0.02,NORMINV(RAND(),$C$7,$D$7))</f>
        <v/>
      </c>
      <c r="M371" s="25">
        <f>MIN(0.16,MAX(0.05,NORMINV(RAND(),$C$8,$D$8)))</f>
        <v/>
      </c>
      <c r="N371" s="26">
        <f>MIN(24,MAX(5,NORMINV(RAND(),$C$9,$D$9)))</f>
        <v/>
      </c>
      <c r="O371" s="49">
        <f>$I$8*(SUMPRODUCT(($I$2*(1+K371)^{1;2;3;4;5;6;7;8;9;10})*(($I$3+(L371-$I$3)*{1;2;3;4;5;6;7;8;9;10}/10)*(1-$I$7)+$I$4-$I$4*($I$5+(1.05-$I$5)*{1;2;3;4;5;6;7;8;9;10}/10)-(K371/(1+K371))*$I$6)/(1+M371)^{1;2;3;4;5;6;7;8;9;10})+$I$2*(1+K371)^10*(L371+$I$4)*N371/(1+M371)^10+$I$9-$I$10)/$I$11</f>
        <v/>
      </c>
    </row>
    <row r="372">
      <c r="K372" s="25">
        <f>MAX(-0.05,NORMINV(RAND(),$C$6,$D$6))</f>
        <v/>
      </c>
      <c r="L372" s="25">
        <f>MAX(0.02,NORMINV(RAND(),$C$7,$D$7))</f>
        <v/>
      </c>
      <c r="M372" s="25">
        <f>MIN(0.16,MAX(0.05,NORMINV(RAND(),$C$8,$D$8)))</f>
        <v/>
      </c>
      <c r="N372" s="26">
        <f>MIN(24,MAX(5,NORMINV(RAND(),$C$9,$D$9)))</f>
        <v/>
      </c>
      <c r="O372" s="49">
        <f>$I$8*(SUMPRODUCT(($I$2*(1+K372)^{1;2;3;4;5;6;7;8;9;10})*(($I$3+(L372-$I$3)*{1;2;3;4;5;6;7;8;9;10}/10)*(1-$I$7)+$I$4-$I$4*($I$5+(1.05-$I$5)*{1;2;3;4;5;6;7;8;9;10}/10)-(K372/(1+K372))*$I$6)/(1+M372)^{1;2;3;4;5;6;7;8;9;10})+$I$2*(1+K372)^10*(L372+$I$4)*N372/(1+M372)^10+$I$9-$I$10)/$I$11</f>
        <v/>
      </c>
    </row>
    <row r="373">
      <c r="K373" s="25">
        <f>MAX(-0.05,NORMINV(RAND(),$C$6,$D$6))</f>
        <v/>
      </c>
      <c r="L373" s="25">
        <f>MAX(0.02,NORMINV(RAND(),$C$7,$D$7))</f>
        <v/>
      </c>
      <c r="M373" s="25">
        <f>MIN(0.16,MAX(0.05,NORMINV(RAND(),$C$8,$D$8)))</f>
        <v/>
      </c>
      <c r="N373" s="26">
        <f>MIN(24,MAX(5,NORMINV(RAND(),$C$9,$D$9)))</f>
        <v/>
      </c>
      <c r="O373" s="49">
        <f>$I$8*(SUMPRODUCT(($I$2*(1+K373)^{1;2;3;4;5;6;7;8;9;10})*(($I$3+(L373-$I$3)*{1;2;3;4;5;6;7;8;9;10}/10)*(1-$I$7)+$I$4-$I$4*($I$5+(1.05-$I$5)*{1;2;3;4;5;6;7;8;9;10}/10)-(K373/(1+K373))*$I$6)/(1+M373)^{1;2;3;4;5;6;7;8;9;10})+$I$2*(1+K373)^10*(L373+$I$4)*N373/(1+M373)^10+$I$9-$I$10)/$I$11</f>
        <v/>
      </c>
    </row>
    <row r="374">
      <c r="K374" s="25">
        <f>MAX(-0.05,NORMINV(RAND(),$C$6,$D$6))</f>
        <v/>
      </c>
      <c r="L374" s="25">
        <f>MAX(0.02,NORMINV(RAND(),$C$7,$D$7))</f>
        <v/>
      </c>
      <c r="M374" s="25">
        <f>MIN(0.16,MAX(0.05,NORMINV(RAND(),$C$8,$D$8)))</f>
        <v/>
      </c>
      <c r="N374" s="26">
        <f>MIN(24,MAX(5,NORMINV(RAND(),$C$9,$D$9)))</f>
        <v/>
      </c>
      <c r="O374" s="49">
        <f>$I$8*(SUMPRODUCT(($I$2*(1+K374)^{1;2;3;4;5;6;7;8;9;10})*(($I$3+(L374-$I$3)*{1;2;3;4;5;6;7;8;9;10}/10)*(1-$I$7)+$I$4-$I$4*($I$5+(1.05-$I$5)*{1;2;3;4;5;6;7;8;9;10}/10)-(K374/(1+K374))*$I$6)/(1+M374)^{1;2;3;4;5;6;7;8;9;10})+$I$2*(1+K374)^10*(L374+$I$4)*N374/(1+M374)^10+$I$9-$I$10)/$I$11</f>
        <v/>
      </c>
    </row>
    <row r="375">
      <c r="K375" s="25">
        <f>MAX(-0.05,NORMINV(RAND(),$C$6,$D$6))</f>
        <v/>
      </c>
      <c r="L375" s="25">
        <f>MAX(0.02,NORMINV(RAND(),$C$7,$D$7))</f>
        <v/>
      </c>
      <c r="M375" s="25">
        <f>MIN(0.16,MAX(0.05,NORMINV(RAND(),$C$8,$D$8)))</f>
        <v/>
      </c>
      <c r="N375" s="26">
        <f>MIN(24,MAX(5,NORMINV(RAND(),$C$9,$D$9)))</f>
        <v/>
      </c>
      <c r="O375" s="49">
        <f>$I$8*(SUMPRODUCT(($I$2*(1+K375)^{1;2;3;4;5;6;7;8;9;10})*(($I$3+(L375-$I$3)*{1;2;3;4;5;6;7;8;9;10}/10)*(1-$I$7)+$I$4-$I$4*($I$5+(1.05-$I$5)*{1;2;3;4;5;6;7;8;9;10}/10)-(K375/(1+K375))*$I$6)/(1+M375)^{1;2;3;4;5;6;7;8;9;10})+$I$2*(1+K375)^10*(L375+$I$4)*N375/(1+M375)^10+$I$9-$I$10)/$I$11</f>
        <v/>
      </c>
    </row>
    <row r="376">
      <c r="K376" s="25">
        <f>MAX(-0.05,NORMINV(RAND(),$C$6,$D$6))</f>
        <v/>
      </c>
      <c r="L376" s="25">
        <f>MAX(0.02,NORMINV(RAND(),$C$7,$D$7))</f>
        <v/>
      </c>
      <c r="M376" s="25">
        <f>MIN(0.16,MAX(0.05,NORMINV(RAND(),$C$8,$D$8)))</f>
        <v/>
      </c>
      <c r="N376" s="26">
        <f>MIN(24,MAX(5,NORMINV(RAND(),$C$9,$D$9)))</f>
        <v/>
      </c>
      <c r="O376" s="49">
        <f>$I$8*(SUMPRODUCT(($I$2*(1+K376)^{1;2;3;4;5;6;7;8;9;10})*(($I$3+(L376-$I$3)*{1;2;3;4;5;6;7;8;9;10}/10)*(1-$I$7)+$I$4-$I$4*($I$5+(1.05-$I$5)*{1;2;3;4;5;6;7;8;9;10}/10)-(K376/(1+K376))*$I$6)/(1+M376)^{1;2;3;4;5;6;7;8;9;10})+$I$2*(1+K376)^10*(L376+$I$4)*N376/(1+M376)^10+$I$9-$I$10)/$I$11</f>
        <v/>
      </c>
    </row>
    <row r="377">
      <c r="K377" s="25">
        <f>MAX(-0.05,NORMINV(RAND(),$C$6,$D$6))</f>
        <v/>
      </c>
      <c r="L377" s="25">
        <f>MAX(0.02,NORMINV(RAND(),$C$7,$D$7))</f>
        <v/>
      </c>
      <c r="M377" s="25">
        <f>MIN(0.16,MAX(0.05,NORMINV(RAND(),$C$8,$D$8)))</f>
        <v/>
      </c>
      <c r="N377" s="26">
        <f>MIN(24,MAX(5,NORMINV(RAND(),$C$9,$D$9)))</f>
        <v/>
      </c>
      <c r="O377" s="49">
        <f>$I$8*(SUMPRODUCT(($I$2*(1+K377)^{1;2;3;4;5;6;7;8;9;10})*(($I$3+(L377-$I$3)*{1;2;3;4;5;6;7;8;9;10}/10)*(1-$I$7)+$I$4-$I$4*($I$5+(1.05-$I$5)*{1;2;3;4;5;6;7;8;9;10}/10)-(K377/(1+K377))*$I$6)/(1+M377)^{1;2;3;4;5;6;7;8;9;10})+$I$2*(1+K377)^10*(L377+$I$4)*N377/(1+M377)^10+$I$9-$I$10)/$I$11</f>
        <v/>
      </c>
    </row>
    <row r="378">
      <c r="K378" s="25">
        <f>MAX(-0.05,NORMINV(RAND(),$C$6,$D$6))</f>
        <v/>
      </c>
      <c r="L378" s="25">
        <f>MAX(0.02,NORMINV(RAND(),$C$7,$D$7))</f>
        <v/>
      </c>
      <c r="M378" s="25">
        <f>MIN(0.16,MAX(0.05,NORMINV(RAND(),$C$8,$D$8)))</f>
        <v/>
      </c>
      <c r="N378" s="26">
        <f>MIN(24,MAX(5,NORMINV(RAND(),$C$9,$D$9)))</f>
        <v/>
      </c>
      <c r="O378" s="49">
        <f>$I$8*(SUMPRODUCT(($I$2*(1+K378)^{1;2;3;4;5;6;7;8;9;10})*(($I$3+(L378-$I$3)*{1;2;3;4;5;6;7;8;9;10}/10)*(1-$I$7)+$I$4-$I$4*($I$5+(1.05-$I$5)*{1;2;3;4;5;6;7;8;9;10}/10)-(K378/(1+K378))*$I$6)/(1+M378)^{1;2;3;4;5;6;7;8;9;10})+$I$2*(1+K378)^10*(L378+$I$4)*N378/(1+M378)^10+$I$9-$I$10)/$I$11</f>
        <v/>
      </c>
    </row>
    <row r="379">
      <c r="K379" s="25">
        <f>MAX(-0.05,NORMINV(RAND(),$C$6,$D$6))</f>
        <v/>
      </c>
      <c r="L379" s="25">
        <f>MAX(0.02,NORMINV(RAND(),$C$7,$D$7))</f>
        <v/>
      </c>
      <c r="M379" s="25">
        <f>MIN(0.16,MAX(0.05,NORMINV(RAND(),$C$8,$D$8)))</f>
        <v/>
      </c>
      <c r="N379" s="26">
        <f>MIN(24,MAX(5,NORMINV(RAND(),$C$9,$D$9)))</f>
        <v/>
      </c>
      <c r="O379" s="49">
        <f>$I$8*(SUMPRODUCT(($I$2*(1+K379)^{1;2;3;4;5;6;7;8;9;10})*(($I$3+(L379-$I$3)*{1;2;3;4;5;6;7;8;9;10}/10)*(1-$I$7)+$I$4-$I$4*($I$5+(1.05-$I$5)*{1;2;3;4;5;6;7;8;9;10}/10)-(K379/(1+K379))*$I$6)/(1+M379)^{1;2;3;4;5;6;7;8;9;10})+$I$2*(1+K379)^10*(L379+$I$4)*N379/(1+M379)^10+$I$9-$I$10)/$I$11</f>
        <v/>
      </c>
    </row>
    <row r="380">
      <c r="K380" s="25">
        <f>MAX(-0.05,NORMINV(RAND(),$C$6,$D$6))</f>
        <v/>
      </c>
      <c r="L380" s="25">
        <f>MAX(0.02,NORMINV(RAND(),$C$7,$D$7))</f>
        <v/>
      </c>
      <c r="M380" s="25">
        <f>MIN(0.16,MAX(0.05,NORMINV(RAND(),$C$8,$D$8)))</f>
        <v/>
      </c>
      <c r="N380" s="26">
        <f>MIN(24,MAX(5,NORMINV(RAND(),$C$9,$D$9)))</f>
        <v/>
      </c>
      <c r="O380" s="49">
        <f>$I$8*(SUMPRODUCT(($I$2*(1+K380)^{1;2;3;4;5;6;7;8;9;10})*(($I$3+(L380-$I$3)*{1;2;3;4;5;6;7;8;9;10}/10)*(1-$I$7)+$I$4-$I$4*($I$5+(1.05-$I$5)*{1;2;3;4;5;6;7;8;9;10}/10)-(K380/(1+K380))*$I$6)/(1+M380)^{1;2;3;4;5;6;7;8;9;10})+$I$2*(1+K380)^10*(L380+$I$4)*N380/(1+M380)^10+$I$9-$I$10)/$I$11</f>
        <v/>
      </c>
    </row>
    <row r="381">
      <c r="K381" s="25">
        <f>MAX(-0.05,NORMINV(RAND(),$C$6,$D$6))</f>
        <v/>
      </c>
      <c r="L381" s="25">
        <f>MAX(0.02,NORMINV(RAND(),$C$7,$D$7))</f>
        <v/>
      </c>
      <c r="M381" s="25">
        <f>MIN(0.16,MAX(0.05,NORMINV(RAND(),$C$8,$D$8)))</f>
        <v/>
      </c>
      <c r="N381" s="26">
        <f>MIN(24,MAX(5,NORMINV(RAND(),$C$9,$D$9)))</f>
        <v/>
      </c>
      <c r="O381" s="49">
        <f>$I$8*(SUMPRODUCT(($I$2*(1+K381)^{1;2;3;4;5;6;7;8;9;10})*(($I$3+(L381-$I$3)*{1;2;3;4;5;6;7;8;9;10}/10)*(1-$I$7)+$I$4-$I$4*($I$5+(1.05-$I$5)*{1;2;3;4;5;6;7;8;9;10}/10)-(K381/(1+K381))*$I$6)/(1+M381)^{1;2;3;4;5;6;7;8;9;10})+$I$2*(1+K381)^10*(L381+$I$4)*N381/(1+M381)^10+$I$9-$I$10)/$I$11</f>
        <v/>
      </c>
    </row>
    <row r="382">
      <c r="K382" s="25">
        <f>MAX(-0.05,NORMINV(RAND(),$C$6,$D$6))</f>
        <v/>
      </c>
      <c r="L382" s="25">
        <f>MAX(0.02,NORMINV(RAND(),$C$7,$D$7))</f>
        <v/>
      </c>
      <c r="M382" s="25">
        <f>MIN(0.16,MAX(0.05,NORMINV(RAND(),$C$8,$D$8)))</f>
        <v/>
      </c>
      <c r="N382" s="26">
        <f>MIN(24,MAX(5,NORMINV(RAND(),$C$9,$D$9)))</f>
        <v/>
      </c>
      <c r="O382" s="49">
        <f>$I$8*(SUMPRODUCT(($I$2*(1+K382)^{1;2;3;4;5;6;7;8;9;10})*(($I$3+(L382-$I$3)*{1;2;3;4;5;6;7;8;9;10}/10)*(1-$I$7)+$I$4-$I$4*($I$5+(1.05-$I$5)*{1;2;3;4;5;6;7;8;9;10}/10)-(K382/(1+K382))*$I$6)/(1+M382)^{1;2;3;4;5;6;7;8;9;10})+$I$2*(1+K382)^10*(L382+$I$4)*N382/(1+M382)^10+$I$9-$I$10)/$I$11</f>
        <v/>
      </c>
    </row>
    <row r="383">
      <c r="K383" s="25">
        <f>MAX(-0.05,NORMINV(RAND(),$C$6,$D$6))</f>
        <v/>
      </c>
      <c r="L383" s="25">
        <f>MAX(0.02,NORMINV(RAND(),$C$7,$D$7))</f>
        <v/>
      </c>
      <c r="M383" s="25">
        <f>MIN(0.16,MAX(0.05,NORMINV(RAND(),$C$8,$D$8)))</f>
        <v/>
      </c>
      <c r="N383" s="26">
        <f>MIN(24,MAX(5,NORMINV(RAND(),$C$9,$D$9)))</f>
        <v/>
      </c>
      <c r="O383" s="49">
        <f>$I$8*(SUMPRODUCT(($I$2*(1+K383)^{1;2;3;4;5;6;7;8;9;10})*(($I$3+(L383-$I$3)*{1;2;3;4;5;6;7;8;9;10}/10)*(1-$I$7)+$I$4-$I$4*($I$5+(1.05-$I$5)*{1;2;3;4;5;6;7;8;9;10}/10)-(K383/(1+K383))*$I$6)/(1+M383)^{1;2;3;4;5;6;7;8;9;10})+$I$2*(1+K383)^10*(L383+$I$4)*N383/(1+M383)^10+$I$9-$I$10)/$I$11</f>
        <v/>
      </c>
    </row>
    <row r="384">
      <c r="K384" s="25">
        <f>MAX(-0.05,NORMINV(RAND(),$C$6,$D$6))</f>
        <v/>
      </c>
      <c r="L384" s="25">
        <f>MAX(0.02,NORMINV(RAND(),$C$7,$D$7))</f>
        <v/>
      </c>
      <c r="M384" s="25">
        <f>MIN(0.16,MAX(0.05,NORMINV(RAND(),$C$8,$D$8)))</f>
        <v/>
      </c>
      <c r="N384" s="26">
        <f>MIN(24,MAX(5,NORMINV(RAND(),$C$9,$D$9)))</f>
        <v/>
      </c>
      <c r="O384" s="49">
        <f>$I$8*(SUMPRODUCT(($I$2*(1+K384)^{1;2;3;4;5;6;7;8;9;10})*(($I$3+(L384-$I$3)*{1;2;3;4;5;6;7;8;9;10}/10)*(1-$I$7)+$I$4-$I$4*($I$5+(1.05-$I$5)*{1;2;3;4;5;6;7;8;9;10}/10)-(K384/(1+K384))*$I$6)/(1+M384)^{1;2;3;4;5;6;7;8;9;10})+$I$2*(1+K384)^10*(L384+$I$4)*N384/(1+M384)^10+$I$9-$I$10)/$I$11</f>
        <v/>
      </c>
    </row>
    <row r="385">
      <c r="K385" s="25">
        <f>MAX(-0.05,NORMINV(RAND(),$C$6,$D$6))</f>
        <v/>
      </c>
      <c r="L385" s="25">
        <f>MAX(0.02,NORMINV(RAND(),$C$7,$D$7))</f>
        <v/>
      </c>
      <c r="M385" s="25">
        <f>MIN(0.16,MAX(0.05,NORMINV(RAND(),$C$8,$D$8)))</f>
        <v/>
      </c>
      <c r="N385" s="26">
        <f>MIN(24,MAX(5,NORMINV(RAND(),$C$9,$D$9)))</f>
        <v/>
      </c>
      <c r="O385" s="49">
        <f>$I$8*(SUMPRODUCT(($I$2*(1+K385)^{1;2;3;4;5;6;7;8;9;10})*(($I$3+(L385-$I$3)*{1;2;3;4;5;6;7;8;9;10}/10)*(1-$I$7)+$I$4-$I$4*($I$5+(1.05-$I$5)*{1;2;3;4;5;6;7;8;9;10}/10)-(K385/(1+K385))*$I$6)/(1+M385)^{1;2;3;4;5;6;7;8;9;10})+$I$2*(1+K385)^10*(L385+$I$4)*N385/(1+M385)^10+$I$9-$I$10)/$I$11</f>
        <v/>
      </c>
    </row>
    <row r="386">
      <c r="K386" s="25">
        <f>MAX(-0.05,NORMINV(RAND(),$C$6,$D$6))</f>
        <v/>
      </c>
      <c r="L386" s="25">
        <f>MAX(0.02,NORMINV(RAND(),$C$7,$D$7))</f>
        <v/>
      </c>
      <c r="M386" s="25">
        <f>MIN(0.16,MAX(0.05,NORMINV(RAND(),$C$8,$D$8)))</f>
        <v/>
      </c>
      <c r="N386" s="26">
        <f>MIN(24,MAX(5,NORMINV(RAND(),$C$9,$D$9)))</f>
        <v/>
      </c>
      <c r="O386" s="49">
        <f>$I$8*(SUMPRODUCT(($I$2*(1+K386)^{1;2;3;4;5;6;7;8;9;10})*(($I$3+(L386-$I$3)*{1;2;3;4;5;6;7;8;9;10}/10)*(1-$I$7)+$I$4-$I$4*($I$5+(1.05-$I$5)*{1;2;3;4;5;6;7;8;9;10}/10)-(K386/(1+K386))*$I$6)/(1+M386)^{1;2;3;4;5;6;7;8;9;10})+$I$2*(1+K386)^10*(L386+$I$4)*N386/(1+M386)^10+$I$9-$I$10)/$I$11</f>
        <v/>
      </c>
    </row>
    <row r="387">
      <c r="K387" s="25">
        <f>MAX(-0.05,NORMINV(RAND(),$C$6,$D$6))</f>
        <v/>
      </c>
      <c r="L387" s="25">
        <f>MAX(0.02,NORMINV(RAND(),$C$7,$D$7))</f>
        <v/>
      </c>
      <c r="M387" s="25">
        <f>MIN(0.16,MAX(0.05,NORMINV(RAND(),$C$8,$D$8)))</f>
        <v/>
      </c>
      <c r="N387" s="26">
        <f>MIN(24,MAX(5,NORMINV(RAND(),$C$9,$D$9)))</f>
        <v/>
      </c>
      <c r="O387" s="49">
        <f>$I$8*(SUMPRODUCT(($I$2*(1+K387)^{1;2;3;4;5;6;7;8;9;10})*(($I$3+(L387-$I$3)*{1;2;3;4;5;6;7;8;9;10}/10)*(1-$I$7)+$I$4-$I$4*($I$5+(1.05-$I$5)*{1;2;3;4;5;6;7;8;9;10}/10)-(K387/(1+K387))*$I$6)/(1+M387)^{1;2;3;4;5;6;7;8;9;10})+$I$2*(1+K387)^10*(L387+$I$4)*N387/(1+M387)^10+$I$9-$I$10)/$I$11</f>
        <v/>
      </c>
    </row>
    <row r="388">
      <c r="K388" s="25">
        <f>MAX(-0.05,NORMINV(RAND(),$C$6,$D$6))</f>
        <v/>
      </c>
      <c r="L388" s="25">
        <f>MAX(0.02,NORMINV(RAND(),$C$7,$D$7))</f>
        <v/>
      </c>
      <c r="M388" s="25">
        <f>MIN(0.16,MAX(0.05,NORMINV(RAND(),$C$8,$D$8)))</f>
        <v/>
      </c>
      <c r="N388" s="26">
        <f>MIN(24,MAX(5,NORMINV(RAND(),$C$9,$D$9)))</f>
        <v/>
      </c>
      <c r="O388" s="49">
        <f>$I$8*(SUMPRODUCT(($I$2*(1+K388)^{1;2;3;4;5;6;7;8;9;10})*(($I$3+(L388-$I$3)*{1;2;3;4;5;6;7;8;9;10}/10)*(1-$I$7)+$I$4-$I$4*($I$5+(1.05-$I$5)*{1;2;3;4;5;6;7;8;9;10}/10)-(K388/(1+K388))*$I$6)/(1+M388)^{1;2;3;4;5;6;7;8;9;10})+$I$2*(1+K388)^10*(L388+$I$4)*N388/(1+M388)^10+$I$9-$I$10)/$I$11</f>
        <v/>
      </c>
    </row>
    <row r="389">
      <c r="K389" s="25">
        <f>MAX(-0.05,NORMINV(RAND(),$C$6,$D$6))</f>
        <v/>
      </c>
      <c r="L389" s="25">
        <f>MAX(0.02,NORMINV(RAND(),$C$7,$D$7))</f>
        <v/>
      </c>
      <c r="M389" s="25">
        <f>MIN(0.16,MAX(0.05,NORMINV(RAND(),$C$8,$D$8)))</f>
        <v/>
      </c>
      <c r="N389" s="26">
        <f>MIN(24,MAX(5,NORMINV(RAND(),$C$9,$D$9)))</f>
        <v/>
      </c>
      <c r="O389" s="49">
        <f>$I$8*(SUMPRODUCT(($I$2*(1+K389)^{1;2;3;4;5;6;7;8;9;10})*(($I$3+(L389-$I$3)*{1;2;3;4;5;6;7;8;9;10}/10)*(1-$I$7)+$I$4-$I$4*($I$5+(1.05-$I$5)*{1;2;3;4;5;6;7;8;9;10}/10)-(K389/(1+K389))*$I$6)/(1+M389)^{1;2;3;4;5;6;7;8;9;10})+$I$2*(1+K389)^10*(L389+$I$4)*N389/(1+M389)^10+$I$9-$I$10)/$I$11</f>
        <v/>
      </c>
    </row>
    <row r="390">
      <c r="K390" s="25">
        <f>MAX(-0.05,NORMINV(RAND(),$C$6,$D$6))</f>
        <v/>
      </c>
      <c r="L390" s="25">
        <f>MAX(0.02,NORMINV(RAND(),$C$7,$D$7))</f>
        <v/>
      </c>
      <c r="M390" s="25">
        <f>MIN(0.16,MAX(0.05,NORMINV(RAND(),$C$8,$D$8)))</f>
        <v/>
      </c>
      <c r="N390" s="26">
        <f>MIN(24,MAX(5,NORMINV(RAND(),$C$9,$D$9)))</f>
        <v/>
      </c>
      <c r="O390" s="49">
        <f>$I$8*(SUMPRODUCT(($I$2*(1+K390)^{1;2;3;4;5;6;7;8;9;10})*(($I$3+(L390-$I$3)*{1;2;3;4;5;6;7;8;9;10}/10)*(1-$I$7)+$I$4-$I$4*($I$5+(1.05-$I$5)*{1;2;3;4;5;6;7;8;9;10}/10)-(K390/(1+K390))*$I$6)/(1+M390)^{1;2;3;4;5;6;7;8;9;10})+$I$2*(1+K390)^10*(L390+$I$4)*N390/(1+M390)^10+$I$9-$I$10)/$I$11</f>
        <v/>
      </c>
    </row>
    <row r="391">
      <c r="K391" s="25">
        <f>MAX(-0.05,NORMINV(RAND(),$C$6,$D$6))</f>
        <v/>
      </c>
      <c r="L391" s="25">
        <f>MAX(0.02,NORMINV(RAND(),$C$7,$D$7))</f>
        <v/>
      </c>
      <c r="M391" s="25">
        <f>MIN(0.16,MAX(0.05,NORMINV(RAND(),$C$8,$D$8)))</f>
        <v/>
      </c>
      <c r="N391" s="26">
        <f>MIN(24,MAX(5,NORMINV(RAND(),$C$9,$D$9)))</f>
        <v/>
      </c>
      <c r="O391" s="49">
        <f>$I$8*(SUMPRODUCT(($I$2*(1+K391)^{1;2;3;4;5;6;7;8;9;10})*(($I$3+(L391-$I$3)*{1;2;3;4;5;6;7;8;9;10}/10)*(1-$I$7)+$I$4-$I$4*($I$5+(1.05-$I$5)*{1;2;3;4;5;6;7;8;9;10}/10)-(K391/(1+K391))*$I$6)/(1+M391)^{1;2;3;4;5;6;7;8;9;10})+$I$2*(1+K391)^10*(L391+$I$4)*N391/(1+M391)^10+$I$9-$I$10)/$I$11</f>
        <v/>
      </c>
    </row>
    <row r="392">
      <c r="K392" s="25">
        <f>MAX(-0.05,NORMINV(RAND(),$C$6,$D$6))</f>
        <v/>
      </c>
      <c r="L392" s="25">
        <f>MAX(0.02,NORMINV(RAND(),$C$7,$D$7))</f>
        <v/>
      </c>
      <c r="M392" s="25">
        <f>MIN(0.16,MAX(0.05,NORMINV(RAND(),$C$8,$D$8)))</f>
        <v/>
      </c>
      <c r="N392" s="26">
        <f>MIN(24,MAX(5,NORMINV(RAND(),$C$9,$D$9)))</f>
        <v/>
      </c>
      <c r="O392" s="49">
        <f>$I$8*(SUMPRODUCT(($I$2*(1+K392)^{1;2;3;4;5;6;7;8;9;10})*(($I$3+(L392-$I$3)*{1;2;3;4;5;6;7;8;9;10}/10)*(1-$I$7)+$I$4-$I$4*($I$5+(1.05-$I$5)*{1;2;3;4;5;6;7;8;9;10}/10)-(K392/(1+K392))*$I$6)/(1+M392)^{1;2;3;4;5;6;7;8;9;10})+$I$2*(1+K392)^10*(L392+$I$4)*N392/(1+M392)^10+$I$9-$I$10)/$I$11</f>
        <v/>
      </c>
    </row>
    <row r="393">
      <c r="K393" s="25">
        <f>MAX(-0.05,NORMINV(RAND(),$C$6,$D$6))</f>
        <v/>
      </c>
      <c r="L393" s="25">
        <f>MAX(0.02,NORMINV(RAND(),$C$7,$D$7))</f>
        <v/>
      </c>
      <c r="M393" s="25">
        <f>MIN(0.16,MAX(0.05,NORMINV(RAND(),$C$8,$D$8)))</f>
        <v/>
      </c>
      <c r="N393" s="26">
        <f>MIN(24,MAX(5,NORMINV(RAND(),$C$9,$D$9)))</f>
        <v/>
      </c>
      <c r="O393" s="49">
        <f>$I$8*(SUMPRODUCT(($I$2*(1+K393)^{1;2;3;4;5;6;7;8;9;10})*(($I$3+(L393-$I$3)*{1;2;3;4;5;6;7;8;9;10}/10)*(1-$I$7)+$I$4-$I$4*($I$5+(1.05-$I$5)*{1;2;3;4;5;6;7;8;9;10}/10)-(K393/(1+K393))*$I$6)/(1+M393)^{1;2;3;4;5;6;7;8;9;10})+$I$2*(1+K393)^10*(L393+$I$4)*N393/(1+M393)^10+$I$9-$I$10)/$I$11</f>
        <v/>
      </c>
    </row>
    <row r="394">
      <c r="K394" s="25">
        <f>MAX(-0.05,NORMINV(RAND(),$C$6,$D$6))</f>
        <v/>
      </c>
      <c r="L394" s="25">
        <f>MAX(0.02,NORMINV(RAND(),$C$7,$D$7))</f>
        <v/>
      </c>
      <c r="M394" s="25">
        <f>MIN(0.16,MAX(0.05,NORMINV(RAND(),$C$8,$D$8)))</f>
        <v/>
      </c>
      <c r="N394" s="26">
        <f>MIN(24,MAX(5,NORMINV(RAND(),$C$9,$D$9)))</f>
        <v/>
      </c>
      <c r="O394" s="49">
        <f>$I$8*(SUMPRODUCT(($I$2*(1+K394)^{1;2;3;4;5;6;7;8;9;10})*(($I$3+(L394-$I$3)*{1;2;3;4;5;6;7;8;9;10}/10)*(1-$I$7)+$I$4-$I$4*($I$5+(1.05-$I$5)*{1;2;3;4;5;6;7;8;9;10}/10)-(K394/(1+K394))*$I$6)/(1+M394)^{1;2;3;4;5;6;7;8;9;10})+$I$2*(1+K394)^10*(L394+$I$4)*N394/(1+M394)^10+$I$9-$I$10)/$I$11</f>
        <v/>
      </c>
    </row>
    <row r="395">
      <c r="K395" s="25">
        <f>MAX(-0.05,NORMINV(RAND(),$C$6,$D$6))</f>
        <v/>
      </c>
      <c r="L395" s="25">
        <f>MAX(0.02,NORMINV(RAND(),$C$7,$D$7))</f>
        <v/>
      </c>
      <c r="M395" s="25">
        <f>MIN(0.16,MAX(0.05,NORMINV(RAND(),$C$8,$D$8)))</f>
        <v/>
      </c>
      <c r="N395" s="26">
        <f>MIN(24,MAX(5,NORMINV(RAND(),$C$9,$D$9)))</f>
        <v/>
      </c>
      <c r="O395" s="49">
        <f>$I$8*(SUMPRODUCT(($I$2*(1+K395)^{1;2;3;4;5;6;7;8;9;10})*(($I$3+(L395-$I$3)*{1;2;3;4;5;6;7;8;9;10}/10)*(1-$I$7)+$I$4-$I$4*($I$5+(1.05-$I$5)*{1;2;3;4;5;6;7;8;9;10}/10)-(K395/(1+K395))*$I$6)/(1+M395)^{1;2;3;4;5;6;7;8;9;10})+$I$2*(1+K395)^10*(L395+$I$4)*N395/(1+M395)^10+$I$9-$I$10)/$I$11</f>
        <v/>
      </c>
    </row>
    <row r="396">
      <c r="K396" s="25">
        <f>MAX(-0.05,NORMINV(RAND(),$C$6,$D$6))</f>
        <v/>
      </c>
      <c r="L396" s="25">
        <f>MAX(0.02,NORMINV(RAND(),$C$7,$D$7))</f>
        <v/>
      </c>
      <c r="M396" s="25">
        <f>MIN(0.16,MAX(0.05,NORMINV(RAND(),$C$8,$D$8)))</f>
        <v/>
      </c>
      <c r="N396" s="26">
        <f>MIN(24,MAX(5,NORMINV(RAND(),$C$9,$D$9)))</f>
        <v/>
      </c>
      <c r="O396" s="49">
        <f>$I$8*(SUMPRODUCT(($I$2*(1+K396)^{1;2;3;4;5;6;7;8;9;10})*(($I$3+(L396-$I$3)*{1;2;3;4;5;6;7;8;9;10}/10)*(1-$I$7)+$I$4-$I$4*($I$5+(1.05-$I$5)*{1;2;3;4;5;6;7;8;9;10}/10)-(K396/(1+K396))*$I$6)/(1+M396)^{1;2;3;4;5;6;7;8;9;10})+$I$2*(1+K396)^10*(L396+$I$4)*N396/(1+M396)^10+$I$9-$I$10)/$I$11</f>
        <v/>
      </c>
    </row>
    <row r="397">
      <c r="K397" s="25">
        <f>MAX(-0.05,NORMINV(RAND(),$C$6,$D$6))</f>
        <v/>
      </c>
      <c r="L397" s="25">
        <f>MAX(0.02,NORMINV(RAND(),$C$7,$D$7))</f>
        <v/>
      </c>
      <c r="M397" s="25">
        <f>MIN(0.16,MAX(0.05,NORMINV(RAND(),$C$8,$D$8)))</f>
        <v/>
      </c>
      <c r="N397" s="26">
        <f>MIN(24,MAX(5,NORMINV(RAND(),$C$9,$D$9)))</f>
        <v/>
      </c>
      <c r="O397" s="49">
        <f>$I$8*(SUMPRODUCT(($I$2*(1+K397)^{1;2;3;4;5;6;7;8;9;10})*(($I$3+(L397-$I$3)*{1;2;3;4;5;6;7;8;9;10}/10)*(1-$I$7)+$I$4-$I$4*($I$5+(1.05-$I$5)*{1;2;3;4;5;6;7;8;9;10}/10)-(K397/(1+K397))*$I$6)/(1+M397)^{1;2;3;4;5;6;7;8;9;10})+$I$2*(1+K397)^10*(L397+$I$4)*N397/(1+M397)^10+$I$9-$I$10)/$I$11</f>
        <v/>
      </c>
    </row>
    <row r="398">
      <c r="K398" s="25">
        <f>MAX(-0.05,NORMINV(RAND(),$C$6,$D$6))</f>
        <v/>
      </c>
      <c r="L398" s="25">
        <f>MAX(0.02,NORMINV(RAND(),$C$7,$D$7))</f>
        <v/>
      </c>
      <c r="M398" s="25">
        <f>MIN(0.16,MAX(0.05,NORMINV(RAND(),$C$8,$D$8)))</f>
        <v/>
      </c>
      <c r="N398" s="26">
        <f>MIN(24,MAX(5,NORMINV(RAND(),$C$9,$D$9)))</f>
        <v/>
      </c>
      <c r="O398" s="49">
        <f>$I$8*(SUMPRODUCT(($I$2*(1+K398)^{1;2;3;4;5;6;7;8;9;10})*(($I$3+(L398-$I$3)*{1;2;3;4;5;6;7;8;9;10}/10)*(1-$I$7)+$I$4-$I$4*($I$5+(1.05-$I$5)*{1;2;3;4;5;6;7;8;9;10}/10)-(K398/(1+K398))*$I$6)/(1+M398)^{1;2;3;4;5;6;7;8;9;10})+$I$2*(1+K398)^10*(L398+$I$4)*N398/(1+M398)^10+$I$9-$I$10)/$I$11</f>
        <v/>
      </c>
    </row>
    <row r="399">
      <c r="K399" s="25">
        <f>MAX(-0.05,NORMINV(RAND(),$C$6,$D$6))</f>
        <v/>
      </c>
      <c r="L399" s="25">
        <f>MAX(0.02,NORMINV(RAND(),$C$7,$D$7))</f>
        <v/>
      </c>
      <c r="M399" s="25">
        <f>MIN(0.16,MAX(0.05,NORMINV(RAND(),$C$8,$D$8)))</f>
        <v/>
      </c>
      <c r="N399" s="26">
        <f>MIN(24,MAX(5,NORMINV(RAND(),$C$9,$D$9)))</f>
        <v/>
      </c>
      <c r="O399" s="49">
        <f>$I$8*(SUMPRODUCT(($I$2*(1+K399)^{1;2;3;4;5;6;7;8;9;10})*(($I$3+(L399-$I$3)*{1;2;3;4;5;6;7;8;9;10}/10)*(1-$I$7)+$I$4-$I$4*($I$5+(1.05-$I$5)*{1;2;3;4;5;6;7;8;9;10}/10)-(K399/(1+K399))*$I$6)/(1+M399)^{1;2;3;4;5;6;7;8;9;10})+$I$2*(1+K399)^10*(L399+$I$4)*N399/(1+M399)^10+$I$9-$I$10)/$I$11</f>
        <v/>
      </c>
    </row>
    <row r="400">
      <c r="K400" s="25">
        <f>MAX(-0.05,NORMINV(RAND(),$C$6,$D$6))</f>
        <v/>
      </c>
      <c r="L400" s="25">
        <f>MAX(0.02,NORMINV(RAND(),$C$7,$D$7))</f>
        <v/>
      </c>
      <c r="M400" s="25">
        <f>MIN(0.16,MAX(0.05,NORMINV(RAND(),$C$8,$D$8)))</f>
        <v/>
      </c>
      <c r="N400" s="26">
        <f>MIN(24,MAX(5,NORMINV(RAND(),$C$9,$D$9)))</f>
        <v/>
      </c>
      <c r="O400" s="49">
        <f>$I$8*(SUMPRODUCT(($I$2*(1+K400)^{1;2;3;4;5;6;7;8;9;10})*(($I$3+(L400-$I$3)*{1;2;3;4;5;6;7;8;9;10}/10)*(1-$I$7)+$I$4-$I$4*($I$5+(1.05-$I$5)*{1;2;3;4;5;6;7;8;9;10}/10)-(K400/(1+K400))*$I$6)/(1+M400)^{1;2;3;4;5;6;7;8;9;10})+$I$2*(1+K400)^10*(L400+$I$4)*N400/(1+M400)^10+$I$9-$I$10)/$I$11</f>
        <v/>
      </c>
    </row>
    <row r="401">
      <c r="K401" s="25">
        <f>MAX(-0.05,NORMINV(RAND(),$C$6,$D$6))</f>
        <v/>
      </c>
      <c r="L401" s="25">
        <f>MAX(0.02,NORMINV(RAND(),$C$7,$D$7))</f>
        <v/>
      </c>
      <c r="M401" s="25">
        <f>MIN(0.16,MAX(0.05,NORMINV(RAND(),$C$8,$D$8)))</f>
        <v/>
      </c>
      <c r="N401" s="26">
        <f>MIN(24,MAX(5,NORMINV(RAND(),$C$9,$D$9)))</f>
        <v/>
      </c>
      <c r="O401" s="49">
        <f>$I$8*(SUMPRODUCT(($I$2*(1+K401)^{1;2;3;4;5;6;7;8;9;10})*(($I$3+(L401-$I$3)*{1;2;3;4;5;6;7;8;9;10}/10)*(1-$I$7)+$I$4-$I$4*($I$5+(1.05-$I$5)*{1;2;3;4;5;6;7;8;9;10}/10)-(K401/(1+K401))*$I$6)/(1+M401)^{1;2;3;4;5;6;7;8;9;10})+$I$2*(1+K401)^10*(L401+$I$4)*N401/(1+M401)^10+$I$9-$I$10)/$I$11</f>
        <v/>
      </c>
    </row>
    <row r="402">
      <c r="K402" s="25">
        <f>MAX(-0.05,NORMINV(RAND(),$C$6,$D$6))</f>
        <v/>
      </c>
      <c r="L402" s="25">
        <f>MAX(0.02,NORMINV(RAND(),$C$7,$D$7))</f>
        <v/>
      </c>
      <c r="M402" s="25">
        <f>MIN(0.16,MAX(0.05,NORMINV(RAND(),$C$8,$D$8)))</f>
        <v/>
      </c>
      <c r="N402" s="26">
        <f>MIN(24,MAX(5,NORMINV(RAND(),$C$9,$D$9)))</f>
        <v/>
      </c>
      <c r="O402" s="49">
        <f>$I$8*(SUMPRODUCT(($I$2*(1+K402)^{1;2;3;4;5;6;7;8;9;10})*(($I$3+(L402-$I$3)*{1;2;3;4;5;6;7;8;9;10}/10)*(1-$I$7)+$I$4-$I$4*($I$5+(1.05-$I$5)*{1;2;3;4;5;6;7;8;9;10}/10)-(K402/(1+K402))*$I$6)/(1+M402)^{1;2;3;4;5;6;7;8;9;10})+$I$2*(1+K402)^10*(L402+$I$4)*N402/(1+M402)^10+$I$9-$I$10)/$I$11</f>
        <v/>
      </c>
    </row>
    <row r="403">
      <c r="K403" s="25">
        <f>MAX(-0.05,NORMINV(RAND(),$C$6,$D$6))</f>
        <v/>
      </c>
      <c r="L403" s="25">
        <f>MAX(0.02,NORMINV(RAND(),$C$7,$D$7))</f>
        <v/>
      </c>
      <c r="M403" s="25">
        <f>MIN(0.16,MAX(0.05,NORMINV(RAND(),$C$8,$D$8)))</f>
        <v/>
      </c>
      <c r="N403" s="26">
        <f>MIN(24,MAX(5,NORMINV(RAND(),$C$9,$D$9)))</f>
        <v/>
      </c>
      <c r="O403" s="49">
        <f>$I$8*(SUMPRODUCT(($I$2*(1+K403)^{1;2;3;4;5;6;7;8;9;10})*(($I$3+(L403-$I$3)*{1;2;3;4;5;6;7;8;9;10}/10)*(1-$I$7)+$I$4-$I$4*($I$5+(1.05-$I$5)*{1;2;3;4;5;6;7;8;9;10}/10)-(K403/(1+K403))*$I$6)/(1+M403)^{1;2;3;4;5;6;7;8;9;10})+$I$2*(1+K403)^10*(L403+$I$4)*N403/(1+M403)^10+$I$9-$I$10)/$I$11</f>
        <v/>
      </c>
    </row>
    <row r="404">
      <c r="K404" s="25">
        <f>MAX(-0.05,NORMINV(RAND(),$C$6,$D$6))</f>
        <v/>
      </c>
      <c r="L404" s="25">
        <f>MAX(0.02,NORMINV(RAND(),$C$7,$D$7))</f>
        <v/>
      </c>
      <c r="M404" s="25">
        <f>MIN(0.16,MAX(0.05,NORMINV(RAND(),$C$8,$D$8)))</f>
        <v/>
      </c>
      <c r="N404" s="26">
        <f>MIN(24,MAX(5,NORMINV(RAND(),$C$9,$D$9)))</f>
        <v/>
      </c>
      <c r="O404" s="49">
        <f>$I$8*(SUMPRODUCT(($I$2*(1+K404)^{1;2;3;4;5;6;7;8;9;10})*(($I$3+(L404-$I$3)*{1;2;3;4;5;6;7;8;9;10}/10)*(1-$I$7)+$I$4-$I$4*($I$5+(1.05-$I$5)*{1;2;3;4;5;6;7;8;9;10}/10)-(K404/(1+K404))*$I$6)/(1+M404)^{1;2;3;4;5;6;7;8;9;10})+$I$2*(1+K404)^10*(L404+$I$4)*N404/(1+M404)^10+$I$9-$I$10)/$I$11</f>
        <v/>
      </c>
    </row>
    <row r="405">
      <c r="K405" s="25">
        <f>MAX(-0.05,NORMINV(RAND(),$C$6,$D$6))</f>
        <v/>
      </c>
      <c r="L405" s="25">
        <f>MAX(0.02,NORMINV(RAND(),$C$7,$D$7))</f>
        <v/>
      </c>
      <c r="M405" s="25">
        <f>MIN(0.16,MAX(0.05,NORMINV(RAND(),$C$8,$D$8)))</f>
        <v/>
      </c>
      <c r="N405" s="26">
        <f>MIN(24,MAX(5,NORMINV(RAND(),$C$9,$D$9)))</f>
        <v/>
      </c>
      <c r="O405" s="49">
        <f>$I$8*(SUMPRODUCT(($I$2*(1+K405)^{1;2;3;4;5;6;7;8;9;10})*(($I$3+(L405-$I$3)*{1;2;3;4;5;6;7;8;9;10}/10)*(1-$I$7)+$I$4-$I$4*($I$5+(1.05-$I$5)*{1;2;3;4;5;6;7;8;9;10}/10)-(K405/(1+K405))*$I$6)/(1+M405)^{1;2;3;4;5;6;7;8;9;10})+$I$2*(1+K405)^10*(L405+$I$4)*N405/(1+M405)^10+$I$9-$I$10)/$I$11</f>
        <v/>
      </c>
    </row>
    <row r="406">
      <c r="K406" s="25">
        <f>MAX(-0.05,NORMINV(RAND(),$C$6,$D$6))</f>
        <v/>
      </c>
      <c r="L406" s="25">
        <f>MAX(0.02,NORMINV(RAND(),$C$7,$D$7))</f>
        <v/>
      </c>
      <c r="M406" s="25">
        <f>MIN(0.16,MAX(0.05,NORMINV(RAND(),$C$8,$D$8)))</f>
        <v/>
      </c>
      <c r="N406" s="26">
        <f>MIN(24,MAX(5,NORMINV(RAND(),$C$9,$D$9)))</f>
        <v/>
      </c>
      <c r="O406" s="49">
        <f>$I$8*(SUMPRODUCT(($I$2*(1+K406)^{1;2;3;4;5;6;7;8;9;10})*(($I$3+(L406-$I$3)*{1;2;3;4;5;6;7;8;9;10}/10)*(1-$I$7)+$I$4-$I$4*($I$5+(1.05-$I$5)*{1;2;3;4;5;6;7;8;9;10}/10)-(K406/(1+K406))*$I$6)/(1+M406)^{1;2;3;4;5;6;7;8;9;10})+$I$2*(1+K406)^10*(L406+$I$4)*N406/(1+M406)^10+$I$9-$I$10)/$I$11</f>
        <v/>
      </c>
    </row>
    <row r="407">
      <c r="K407" s="25">
        <f>MAX(-0.05,NORMINV(RAND(),$C$6,$D$6))</f>
        <v/>
      </c>
      <c r="L407" s="25">
        <f>MAX(0.02,NORMINV(RAND(),$C$7,$D$7))</f>
        <v/>
      </c>
      <c r="M407" s="25">
        <f>MIN(0.16,MAX(0.05,NORMINV(RAND(),$C$8,$D$8)))</f>
        <v/>
      </c>
      <c r="N407" s="26">
        <f>MIN(24,MAX(5,NORMINV(RAND(),$C$9,$D$9)))</f>
        <v/>
      </c>
      <c r="O407" s="49">
        <f>$I$8*(SUMPRODUCT(($I$2*(1+K407)^{1;2;3;4;5;6;7;8;9;10})*(($I$3+(L407-$I$3)*{1;2;3;4;5;6;7;8;9;10}/10)*(1-$I$7)+$I$4-$I$4*($I$5+(1.05-$I$5)*{1;2;3;4;5;6;7;8;9;10}/10)-(K407/(1+K407))*$I$6)/(1+M407)^{1;2;3;4;5;6;7;8;9;10})+$I$2*(1+K407)^10*(L407+$I$4)*N407/(1+M407)^10+$I$9-$I$10)/$I$11</f>
        <v/>
      </c>
    </row>
    <row r="408">
      <c r="K408" s="25">
        <f>MAX(-0.05,NORMINV(RAND(),$C$6,$D$6))</f>
        <v/>
      </c>
      <c r="L408" s="25">
        <f>MAX(0.02,NORMINV(RAND(),$C$7,$D$7))</f>
        <v/>
      </c>
      <c r="M408" s="25">
        <f>MIN(0.16,MAX(0.05,NORMINV(RAND(),$C$8,$D$8)))</f>
        <v/>
      </c>
      <c r="N408" s="26">
        <f>MIN(24,MAX(5,NORMINV(RAND(),$C$9,$D$9)))</f>
        <v/>
      </c>
      <c r="O408" s="49">
        <f>$I$8*(SUMPRODUCT(($I$2*(1+K408)^{1;2;3;4;5;6;7;8;9;10})*(($I$3+(L408-$I$3)*{1;2;3;4;5;6;7;8;9;10}/10)*(1-$I$7)+$I$4-$I$4*($I$5+(1.05-$I$5)*{1;2;3;4;5;6;7;8;9;10}/10)-(K408/(1+K408))*$I$6)/(1+M408)^{1;2;3;4;5;6;7;8;9;10})+$I$2*(1+K408)^10*(L408+$I$4)*N408/(1+M408)^10+$I$9-$I$10)/$I$11</f>
        <v/>
      </c>
    </row>
    <row r="409">
      <c r="K409" s="25">
        <f>MAX(-0.05,NORMINV(RAND(),$C$6,$D$6))</f>
        <v/>
      </c>
      <c r="L409" s="25">
        <f>MAX(0.02,NORMINV(RAND(),$C$7,$D$7))</f>
        <v/>
      </c>
      <c r="M409" s="25">
        <f>MIN(0.16,MAX(0.05,NORMINV(RAND(),$C$8,$D$8)))</f>
        <v/>
      </c>
      <c r="N409" s="26">
        <f>MIN(24,MAX(5,NORMINV(RAND(),$C$9,$D$9)))</f>
        <v/>
      </c>
      <c r="O409" s="49">
        <f>$I$8*(SUMPRODUCT(($I$2*(1+K409)^{1;2;3;4;5;6;7;8;9;10})*(($I$3+(L409-$I$3)*{1;2;3;4;5;6;7;8;9;10}/10)*(1-$I$7)+$I$4-$I$4*($I$5+(1.05-$I$5)*{1;2;3;4;5;6;7;8;9;10}/10)-(K409/(1+K409))*$I$6)/(1+M409)^{1;2;3;4;5;6;7;8;9;10})+$I$2*(1+K409)^10*(L409+$I$4)*N409/(1+M409)^10+$I$9-$I$10)/$I$11</f>
        <v/>
      </c>
    </row>
    <row r="410">
      <c r="K410" s="25">
        <f>MAX(-0.05,NORMINV(RAND(),$C$6,$D$6))</f>
        <v/>
      </c>
      <c r="L410" s="25">
        <f>MAX(0.02,NORMINV(RAND(),$C$7,$D$7))</f>
        <v/>
      </c>
      <c r="M410" s="25">
        <f>MIN(0.16,MAX(0.05,NORMINV(RAND(),$C$8,$D$8)))</f>
        <v/>
      </c>
      <c r="N410" s="26">
        <f>MIN(24,MAX(5,NORMINV(RAND(),$C$9,$D$9)))</f>
        <v/>
      </c>
      <c r="O410" s="49">
        <f>$I$8*(SUMPRODUCT(($I$2*(1+K410)^{1;2;3;4;5;6;7;8;9;10})*(($I$3+(L410-$I$3)*{1;2;3;4;5;6;7;8;9;10}/10)*(1-$I$7)+$I$4-$I$4*($I$5+(1.05-$I$5)*{1;2;3;4;5;6;7;8;9;10}/10)-(K410/(1+K410))*$I$6)/(1+M410)^{1;2;3;4;5;6;7;8;9;10})+$I$2*(1+K410)^10*(L410+$I$4)*N410/(1+M410)^10+$I$9-$I$10)/$I$11</f>
        <v/>
      </c>
    </row>
    <row r="411">
      <c r="K411" s="25">
        <f>MAX(-0.05,NORMINV(RAND(),$C$6,$D$6))</f>
        <v/>
      </c>
      <c r="L411" s="25">
        <f>MAX(0.02,NORMINV(RAND(),$C$7,$D$7))</f>
        <v/>
      </c>
      <c r="M411" s="25">
        <f>MIN(0.16,MAX(0.05,NORMINV(RAND(),$C$8,$D$8)))</f>
        <v/>
      </c>
      <c r="N411" s="26">
        <f>MIN(24,MAX(5,NORMINV(RAND(),$C$9,$D$9)))</f>
        <v/>
      </c>
      <c r="O411" s="49">
        <f>$I$8*(SUMPRODUCT(($I$2*(1+K411)^{1;2;3;4;5;6;7;8;9;10})*(($I$3+(L411-$I$3)*{1;2;3;4;5;6;7;8;9;10}/10)*(1-$I$7)+$I$4-$I$4*($I$5+(1.05-$I$5)*{1;2;3;4;5;6;7;8;9;10}/10)-(K411/(1+K411))*$I$6)/(1+M411)^{1;2;3;4;5;6;7;8;9;10})+$I$2*(1+K411)^10*(L411+$I$4)*N411/(1+M411)^10+$I$9-$I$10)/$I$11</f>
        <v/>
      </c>
    </row>
    <row r="412">
      <c r="K412" s="25">
        <f>MAX(-0.05,NORMINV(RAND(),$C$6,$D$6))</f>
        <v/>
      </c>
      <c r="L412" s="25">
        <f>MAX(0.02,NORMINV(RAND(),$C$7,$D$7))</f>
        <v/>
      </c>
      <c r="M412" s="25">
        <f>MIN(0.16,MAX(0.05,NORMINV(RAND(),$C$8,$D$8)))</f>
        <v/>
      </c>
      <c r="N412" s="26">
        <f>MIN(24,MAX(5,NORMINV(RAND(),$C$9,$D$9)))</f>
        <v/>
      </c>
      <c r="O412" s="49">
        <f>$I$8*(SUMPRODUCT(($I$2*(1+K412)^{1;2;3;4;5;6;7;8;9;10})*(($I$3+(L412-$I$3)*{1;2;3;4;5;6;7;8;9;10}/10)*(1-$I$7)+$I$4-$I$4*($I$5+(1.05-$I$5)*{1;2;3;4;5;6;7;8;9;10}/10)-(K412/(1+K412))*$I$6)/(1+M412)^{1;2;3;4;5;6;7;8;9;10})+$I$2*(1+K412)^10*(L412+$I$4)*N412/(1+M412)^10+$I$9-$I$10)/$I$11</f>
        <v/>
      </c>
    </row>
    <row r="413">
      <c r="K413" s="25">
        <f>MAX(-0.05,NORMINV(RAND(),$C$6,$D$6))</f>
        <v/>
      </c>
      <c r="L413" s="25">
        <f>MAX(0.02,NORMINV(RAND(),$C$7,$D$7))</f>
        <v/>
      </c>
      <c r="M413" s="25">
        <f>MIN(0.16,MAX(0.05,NORMINV(RAND(),$C$8,$D$8)))</f>
        <v/>
      </c>
      <c r="N413" s="26">
        <f>MIN(24,MAX(5,NORMINV(RAND(),$C$9,$D$9)))</f>
        <v/>
      </c>
      <c r="O413" s="49">
        <f>$I$8*(SUMPRODUCT(($I$2*(1+K413)^{1;2;3;4;5;6;7;8;9;10})*(($I$3+(L413-$I$3)*{1;2;3;4;5;6;7;8;9;10}/10)*(1-$I$7)+$I$4-$I$4*($I$5+(1.05-$I$5)*{1;2;3;4;5;6;7;8;9;10}/10)-(K413/(1+K413))*$I$6)/(1+M413)^{1;2;3;4;5;6;7;8;9;10})+$I$2*(1+K413)^10*(L413+$I$4)*N413/(1+M413)^10+$I$9-$I$10)/$I$11</f>
        <v/>
      </c>
    </row>
    <row r="414">
      <c r="K414" s="25">
        <f>MAX(-0.05,NORMINV(RAND(),$C$6,$D$6))</f>
        <v/>
      </c>
      <c r="L414" s="25">
        <f>MAX(0.02,NORMINV(RAND(),$C$7,$D$7))</f>
        <v/>
      </c>
      <c r="M414" s="25">
        <f>MIN(0.16,MAX(0.05,NORMINV(RAND(),$C$8,$D$8)))</f>
        <v/>
      </c>
      <c r="N414" s="26">
        <f>MIN(24,MAX(5,NORMINV(RAND(),$C$9,$D$9)))</f>
        <v/>
      </c>
      <c r="O414" s="49">
        <f>$I$8*(SUMPRODUCT(($I$2*(1+K414)^{1;2;3;4;5;6;7;8;9;10})*(($I$3+(L414-$I$3)*{1;2;3;4;5;6;7;8;9;10}/10)*(1-$I$7)+$I$4-$I$4*($I$5+(1.05-$I$5)*{1;2;3;4;5;6;7;8;9;10}/10)-(K414/(1+K414))*$I$6)/(1+M414)^{1;2;3;4;5;6;7;8;9;10})+$I$2*(1+K414)^10*(L414+$I$4)*N414/(1+M414)^10+$I$9-$I$10)/$I$11</f>
        <v/>
      </c>
    </row>
    <row r="415">
      <c r="K415" s="25">
        <f>MAX(-0.05,NORMINV(RAND(),$C$6,$D$6))</f>
        <v/>
      </c>
      <c r="L415" s="25">
        <f>MAX(0.02,NORMINV(RAND(),$C$7,$D$7))</f>
        <v/>
      </c>
      <c r="M415" s="25">
        <f>MIN(0.16,MAX(0.05,NORMINV(RAND(),$C$8,$D$8)))</f>
        <v/>
      </c>
      <c r="N415" s="26">
        <f>MIN(24,MAX(5,NORMINV(RAND(),$C$9,$D$9)))</f>
        <v/>
      </c>
      <c r="O415" s="49">
        <f>$I$8*(SUMPRODUCT(($I$2*(1+K415)^{1;2;3;4;5;6;7;8;9;10})*(($I$3+(L415-$I$3)*{1;2;3;4;5;6;7;8;9;10}/10)*(1-$I$7)+$I$4-$I$4*($I$5+(1.05-$I$5)*{1;2;3;4;5;6;7;8;9;10}/10)-(K415/(1+K415))*$I$6)/(1+M415)^{1;2;3;4;5;6;7;8;9;10})+$I$2*(1+K415)^10*(L415+$I$4)*N415/(1+M415)^10+$I$9-$I$10)/$I$11</f>
        <v/>
      </c>
    </row>
    <row r="416">
      <c r="K416" s="25">
        <f>MAX(-0.05,NORMINV(RAND(),$C$6,$D$6))</f>
        <v/>
      </c>
      <c r="L416" s="25">
        <f>MAX(0.02,NORMINV(RAND(),$C$7,$D$7))</f>
        <v/>
      </c>
      <c r="M416" s="25">
        <f>MIN(0.16,MAX(0.05,NORMINV(RAND(),$C$8,$D$8)))</f>
        <v/>
      </c>
      <c r="N416" s="26">
        <f>MIN(24,MAX(5,NORMINV(RAND(),$C$9,$D$9)))</f>
        <v/>
      </c>
      <c r="O416" s="49">
        <f>$I$8*(SUMPRODUCT(($I$2*(1+K416)^{1;2;3;4;5;6;7;8;9;10})*(($I$3+(L416-$I$3)*{1;2;3;4;5;6;7;8;9;10}/10)*(1-$I$7)+$I$4-$I$4*($I$5+(1.05-$I$5)*{1;2;3;4;5;6;7;8;9;10}/10)-(K416/(1+K416))*$I$6)/(1+M416)^{1;2;3;4;5;6;7;8;9;10})+$I$2*(1+K416)^10*(L416+$I$4)*N416/(1+M416)^10+$I$9-$I$10)/$I$11</f>
        <v/>
      </c>
    </row>
    <row r="417">
      <c r="K417" s="25">
        <f>MAX(-0.05,NORMINV(RAND(),$C$6,$D$6))</f>
        <v/>
      </c>
      <c r="L417" s="25">
        <f>MAX(0.02,NORMINV(RAND(),$C$7,$D$7))</f>
        <v/>
      </c>
      <c r="M417" s="25">
        <f>MIN(0.16,MAX(0.05,NORMINV(RAND(),$C$8,$D$8)))</f>
        <v/>
      </c>
      <c r="N417" s="26">
        <f>MIN(24,MAX(5,NORMINV(RAND(),$C$9,$D$9)))</f>
        <v/>
      </c>
      <c r="O417" s="49">
        <f>$I$8*(SUMPRODUCT(($I$2*(1+K417)^{1;2;3;4;5;6;7;8;9;10})*(($I$3+(L417-$I$3)*{1;2;3;4;5;6;7;8;9;10}/10)*(1-$I$7)+$I$4-$I$4*($I$5+(1.05-$I$5)*{1;2;3;4;5;6;7;8;9;10}/10)-(K417/(1+K417))*$I$6)/(1+M417)^{1;2;3;4;5;6;7;8;9;10})+$I$2*(1+K417)^10*(L417+$I$4)*N417/(1+M417)^10+$I$9-$I$10)/$I$11</f>
        <v/>
      </c>
    </row>
    <row r="418">
      <c r="K418" s="25">
        <f>MAX(-0.05,NORMINV(RAND(),$C$6,$D$6))</f>
        <v/>
      </c>
      <c r="L418" s="25">
        <f>MAX(0.02,NORMINV(RAND(),$C$7,$D$7))</f>
        <v/>
      </c>
      <c r="M418" s="25">
        <f>MIN(0.16,MAX(0.05,NORMINV(RAND(),$C$8,$D$8)))</f>
        <v/>
      </c>
      <c r="N418" s="26">
        <f>MIN(24,MAX(5,NORMINV(RAND(),$C$9,$D$9)))</f>
        <v/>
      </c>
      <c r="O418" s="49">
        <f>$I$8*(SUMPRODUCT(($I$2*(1+K418)^{1;2;3;4;5;6;7;8;9;10})*(($I$3+(L418-$I$3)*{1;2;3;4;5;6;7;8;9;10}/10)*(1-$I$7)+$I$4-$I$4*($I$5+(1.05-$I$5)*{1;2;3;4;5;6;7;8;9;10}/10)-(K418/(1+K418))*$I$6)/(1+M418)^{1;2;3;4;5;6;7;8;9;10})+$I$2*(1+K418)^10*(L418+$I$4)*N418/(1+M418)^10+$I$9-$I$10)/$I$11</f>
        <v/>
      </c>
    </row>
    <row r="419">
      <c r="K419" s="25">
        <f>MAX(-0.05,NORMINV(RAND(),$C$6,$D$6))</f>
        <v/>
      </c>
      <c r="L419" s="25">
        <f>MAX(0.02,NORMINV(RAND(),$C$7,$D$7))</f>
        <v/>
      </c>
      <c r="M419" s="25">
        <f>MIN(0.16,MAX(0.05,NORMINV(RAND(),$C$8,$D$8)))</f>
        <v/>
      </c>
      <c r="N419" s="26">
        <f>MIN(24,MAX(5,NORMINV(RAND(),$C$9,$D$9)))</f>
        <v/>
      </c>
      <c r="O419" s="49">
        <f>$I$8*(SUMPRODUCT(($I$2*(1+K419)^{1;2;3;4;5;6;7;8;9;10})*(($I$3+(L419-$I$3)*{1;2;3;4;5;6;7;8;9;10}/10)*(1-$I$7)+$I$4-$I$4*($I$5+(1.05-$I$5)*{1;2;3;4;5;6;7;8;9;10}/10)-(K419/(1+K419))*$I$6)/(1+M419)^{1;2;3;4;5;6;7;8;9;10})+$I$2*(1+K419)^10*(L419+$I$4)*N419/(1+M419)^10+$I$9-$I$10)/$I$11</f>
        <v/>
      </c>
    </row>
    <row r="420">
      <c r="K420" s="25">
        <f>MAX(-0.05,NORMINV(RAND(),$C$6,$D$6))</f>
        <v/>
      </c>
      <c r="L420" s="25">
        <f>MAX(0.02,NORMINV(RAND(),$C$7,$D$7))</f>
        <v/>
      </c>
      <c r="M420" s="25">
        <f>MIN(0.16,MAX(0.05,NORMINV(RAND(),$C$8,$D$8)))</f>
        <v/>
      </c>
      <c r="N420" s="26">
        <f>MIN(24,MAX(5,NORMINV(RAND(),$C$9,$D$9)))</f>
        <v/>
      </c>
      <c r="O420" s="49">
        <f>$I$8*(SUMPRODUCT(($I$2*(1+K420)^{1;2;3;4;5;6;7;8;9;10})*(($I$3+(L420-$I$3)*{1;2;3;4;5;6;7;8;9;10}/10)*(1-$I$7)+$I$4-$I$4*($I$5+(1.05-$I$5)*{1;2;3;4;5;6;7;8;9;10}/10)-(K420/(1+K420))*$I$6)/(1+M420)^{1;2;3;4;5;6;7;8;9;10})+$I$2*(1+K420)^10*(L420+$I$4)*N420/(1+M420)^10+$I$9-$I$10)/$I$11</f>
        <v/>
      </c>
    </row>
    <row r="421">
      <c r="K421" s="25">
        <f>MAX(-0.05,NORMINV(RAND(),$C$6,$D$6))</f>
        <v/>
      </c>
      <c r="L421" s="25">
        <f>MAX(0.02,NORMINV(RAND(),$C$7,$D$7))</f>
        <v/>
      </c>
      <c r="M421" s="25">
        <f>MIN(0.16,MAX(0.05,NORMINV(RAND(),$C$8,$D$8)))</f>
        <v/>
      </c>
      <c r="N421" s="26">
        <f>MIN(24,MAX(5,NORMINV(RAND(),$C$9,$D$9)))</f>
        <v/>
      </c>
      <c r="O421" s="49">
        <f>$I$8*(SUMPRODUCT(($I$2*(1+K421)^{1;2;3;4;5;6;7;8;9;10})*(($I$3+(L421-$I$3)*{1;2;3;4;5;6;7;8;9;10}/10)*(1-$I$7)+$I$4-$I$4*($I$5+(1.05-$I$5)*{1;2;3;4;5;6;7;8;9;10}/10)-(K421/(1+K421))*$I$6)/(1+M421)^{1;2;3;4;5;6;7;8;9;10})+$I$2*(1+K421)^10*(L421+$I$4)*N421/(1+M421)^10+$I$9-$I$10)/$I$11</f>
        <v/>
      </c>
    </row>
    <row r="422">
      <c r="K422" s="25">
        <f>MAX(-0.05,NORMINV(RAND(),$C$6,$D$6))</f>
        <v/>
      </c>
      <c r="L422" s="25">
        <f>MAX(0.02,NORMINV(RAND(),$C$7,$D$7))</f>
        <v/>
      </c>
      <c r="M422" s="25">
        <f>MIN(0.16,MAX(0.05,NORMINV(RAND(),$C$8,$D$8)))</f>
        <v/>
      </c>
      <c r="N422" s="26">
        <f>MIN(24,MAX(5,NORMINV(RAND(),$C$9,$D$9)))</f>
        <v/>
      </c>
      <c r="O422" s="49">
        <f>$I$8*(SUMPRODUCT(($I$2*(1+K422)^{1;2;3;4;5;6;7;8;9;10})*(($I$3+(L422-$I$3)*{1;2;3;4;5;6;7;8;9;10}/10)*(1-$I$7)+$I$4-$I$4*($I$5+(1.05-$I$5)*{1;2;3;4;5;6;7;8;9;10}/10)-(K422/(1+K422))*$I$6)/(1+M422)^{1;2;3;4;5;6;7;8;9;10})+$I$2*(1+K422)^10*(L422+$I$4)*N422/(1+M422)^10+$I$9-$I$10)/$I$11</f>
        <v/>
      </c>
    </row>
    <row r="423">
      <c r="K423" s="25">
        <f>MAX(-0.05,NORMINV(RAND(),$C$6,$D$6))</f>
        <v/>
      </c>
      <c r="L423" s="25">
        <f>MAX(0.02,NORMINV(RAND(),$C$7,$D$7))</f>
        <v/>
      </c>
      <c r="M423" s="25">
        <f>MIN(0.16,MAX(0.05,NORMINV(RAND(),$C$8,$D$8)))</f>
        <v/>
      </c>
      <c r="N423" s="26">
        <f>MIN(24,MAX(5,NORMINV(RAND(),$C$9,$D$9)))</f>
        <v/>
      </c>
      <c r="O423" s="49">
        <f>$I$8*(SUMPRODUCT(($I$2*(1+K423)^{1;2;3;4;5;6;7;8;9;10})*(($I$3+(L423-$I$3)*{1;2;3;4;5;6;7;8;9;10}/10)*(1-$I$7)+$I$4-$I$4*($I$5+(1.05-$I$5)*{1;2;3;4;5;6;7;8;9;10}/10)-(K423/(1+K423))*$I$6)/(1+M423)^{1;2;3;4;5;6;7;8;9;10})+$I$2*(1+K423)^10*(L423+$I$4)*N423/(1+M423)^10+$I$9-$I$10)/$I$11</f>
        <v/>
      </c>
    </row>
    <row r="424">
      <c r="K424" s="25">
        <f>MAX(-0.05,NORMINV(RAND(),$C$6,$D$6))</f>
        <v/>
      </c>
      <c r="L424" s="25">
        <f>MAX(0.02,NORMINV(RAND(),$C$7,$D$7))</f>
        <v/>
      </c>
      <c r="M424" s="25">
        <f>MIN(0.16,MAX(0.05,NORMINV(RAND(),$C$8,$D$8)))</f>
        <v/>
      </c>
      <c r="N424" s="26">
        <f>MIN(24,MAX(5,NORMINV(RAND(),$C$9,$D$9)))</f>
        <v/>
      </c>
      <c r="O424" s="49">
        <f>$I$8*(SUMPRODUCT(($I$2*(1+K424)^{1;2;3;4;5;6;7;8;9;10})*(($I$3+(L424-$I$3)*{1;2;3;4;5;6;7;8;9;10}/10)*(1-$I$7)+$I$4-$I$4*($I$5+(1.05-$I$5)*{1;2;3;4;5;6;7;8;9;10}/10)-(K424/(1+K424))*$I$6)/(1+M424)^{1;2;3;4;5;6;7;8;9;10})+$I$2*(1+K424)^10*(L424+$I$4)*N424/(1+M424)^10+$I$9-$I$10)/$I$11</f>
        <v/>
      </c>
    </row>
    <row r="425">
      <c r="K425" s="25">
        <f>MAX(-0.05,NORMINV(RAND(),$C$6,$D$6))</f>
        <v/>
      </c>
      <c r="L425" s="25">
        <f>MAX(0.02,NORMINV(RAND(),$C$7,$D$7))</f>
        <v/>
      </c>
      <c r="M425" s="25">
        <f>MIN(0.16,MAX(0.05,NORMINV(RAND(),$C$8,$D$8)))</f>
        <v/>
      </c>
      <c r="N425" s="26">
        <f>MIN(24,MAX(5,NORMINV(RAND(),$C$9,$D$9)))</f>
        <v/>
      </c>
      <c r="O425" s="49">
        <f>$I$8*(SUMPRODUCT(($I$2*(1+K425)^{1;2;3;4;5;6;7;8;9;10})*(($I$3+(L425-$I$3)*{1;2;3;4;5;6;7;8;9;10}/10)*(1-$I$7)+$I$4-$I$4*($I$5+(1.05-$I$5)*{1;2;3;4;5;6;7;8;9;10}/10)-(K425/(1+K425))*$I$6)/(1+M425)^{1;2;3;4;5;6;7;8;9;10})+$I$2*(1+K425)^10*(L425+$I$4)*N425/(1+M425)^10+$I$9-$I$10)/$I$11</f>
        <v/>
      </c>
    </row>
    <row r="426">
      <c r="K426" s="25">
        <f>MAX(-0.05,NORMINV(RAND(),$C$6,$D$6))</f>
        <v/>
      </c>
      <c r="L426" s="25">
        <f>MAX(0.02,NORMINV(RAND(),$C$7,$D$7))</f>
        <v/>
      </c>
      <c r="M426" s="25">
        <f>MIN(0.16,MAX(0.05,NORMINV(RAND(),$C$8,$D$8)))</f>
        <v/>
      </c>
      <c r="N426" s="26">
        <f>MIN(24,MAX(5,NORMINV(RAND(),$C$9,$D$9)))</f>
        <v/>
      </c>
      <c r="O426" s="49">
        <f>$I$8*(SUMPRODUCT(($I$2*(1+K426)^{1;2;3;4;5;6;7;8;9;10})*(($I$3+(L426-$I$3)*{1;2;3;4;5;6;7;8;9;10}/10)*(1-$I$7)+$I$4-$I$4*($I$5+(1.05-$I$5)*{1;2;3;4;5;6;7;8;9;10}/10)-(K426/(1+K426))*$I$6)/(1+M426)^{1;2;3;4;5;6;7;8;9;10})+$I$2*(1+K426)^10*(L426+$I$4)*N426/(1+M426)^10+$I$9-$I$10)/$I$11</f>
        <v/>
      </c>
    </row>
    <row r="427">
      <c r="K427" s="25">
        <f>MAX(-0.05,NORMINV(RAND(),$C$6,$D$6))</f>
        <v/>
      </c>
      <c r="L427" s="25">
        <f>MAX(0.02,NORMINV(RAND(),$C$7,$D$7))</f>
        <v/>
      </c>
      <c r="M427" s="25">
        <f>MIN(0.16,MAX(0.05,NORMINV(RAND(),$C$8,$D$8)))</f>
        <v/>
      </c>
      <c r="N427" s="26">
        <f>MIN(24,MAX(5,NORMINV(RAND(),$C$9,$D$9)))</f>
        <v/>
      </c>
      <c r="O427" s="49">
        <f>$I$8*(SUMPRODUCT(($I$2*(1+K427)^{1;2;3;4;5;6;7;8;9;10})*(($I$3+(L427-$I$3)*{1;2;3;4;5;6;7;8;9;10}/10)*(1-$I$7)+$I$4-$I$4*($I$5+(1.05-$I$5)*{1;2;3;4;5;6;7;8;9;10}/10)-(K427/(1+K427))*$I$6)/(1+M427)^{1;2;3;4;5;6;7;8;9;10})+$I$2*(1+K427)^10*(L427+$I$4)*N427/(1+M427)^10+$I$9-$I$10)/$I$11</f>
        <v/>
      </c>
    </row>
    <row r="428">
      <c r="K428" s="25">
        <f>MAX(-0.05,NORMINV(RAND(),$C$6,$D$6))</f>
        <v/>
      </c>
      <c r="L428" s="25">
        <f>MAX(0.02,NORMINV(RAND(),$C$7,$D$7))</f>
        <v/>
      </c>
      <c r="M428" s="25">
        <f>MIN(0.16,MAX(0.05,NORMINV(RAND(),$C$8,$D$8)))</f>
        <v/>
      </c>
      <c r="N428" s="26">
        <f>MIN(24,MAX(5,NORMINV(RAND(),$C$9,$D$9)))</f>
        <v/>
      </c>
      <c r="O428" s="49">
        <f>$I$8*(SUMPRODUCT(($I$2*(1+K428)^{1;2;3;4;5;6;7;8;9;10})*(($I$3+(L428-$I$3)*{1;2;3;4;5;6;7;8;9;10}/10)*(1-$I$7)+$I$4-$I$4*($I$5+(1.05-$I$5)*{1;2;3;4;5;6;7;8;9;10}/10)-(K428/(1+K428))*$I$6)/(1+M428)^{1;2;3;4;5;6;7;8;9;10})+$I$2*(1+K428)^10*(L428+$I$4)*N428/(1+M428)^10+$I$9-$I$10)/$I$11</f>
        <v/>
      </c>
    </row>
    <row r="429">
      <c r="K429" s="25">
        <f>MAX(-0.05,NORMINV(RAND(),$C$6,$D$6))</f>
        <v/>
      </c>
      <c r="L429" s="25">
        <f>MAX(0.02,NORMINV(RAND(),$C$7,$D$7))</f>
        <v/>
      </c>
      <c r="M429" s="25">
        <f>MIN(0.16,MAX(0.05,NORMINV(RAND(),$C$8,$D$8)))</f>
        <v/>
      </c>
      <c r="N429" s="26">
        <f>MIN(24,MAX(5,NORMINV(RAND(),$C$9,$D$9)))</f>
        <v/>
      </c>
      <c r="O429" s="49">
        <f>$I$8*(SUMPRODUCT(($I$2*(1+K429)^{1;2;3;4;5;6;7;8;9;10})*(($I$3+(L429-$I$3)*{1;2;3;4;5;6;7;8;9;10}/10)*(1-$I$7)+$I$4-$I$4*($I$5+(1.05-$I$5)*{1;2;3;4;5;6;7;8;9;10}/10)-(K429/(1+K429))*$I$6)/(1+M429)^{1;2;3;4;5;6;7;8;9;10})+$I$2*(1+K429)^10*(L429+$I$4)*N429/(1+M429)^10+$I$9-$I$10)/$I$11</f>
        <v/>
      </c>
    </row>
    <row r="430">
      <c r="K430" s="25">
        <f>MAX(-0.05,NORMINV(RAND(),$C$6,$D$6))</f>
        <v/>
      </c>
      <c r="L430" s="25">
        <f>MAX(0.02,NORMINV(RAND(),$C$7,$D$7))</f>
        <v/>
      </c>
      <c r="M430" s="25">
        <f>MIN(0.16,MAX(0.05,NORMINV(RAND(),$C$8,$D$8)))</f>
        <v/>
      </c>
      <c r="N430" s="26">
        <f>MIN(24,MAX(5,NORMINV(RAND(),$C$9,$D$9)))</f>
        <v/>
      </c>
      <c r="O430" s="49">
        <f>$I$8*(SUMPRODUCT(($I$2*(1+K430)^{1;2;3;4;5;6;7;8;9;10})*(($I$3+(L430-$I$3)*{1;2;3;4;5;6;7;8;9;10}/10)*(1-$I$7)+$I$4-$I$4*($I$5+(1.05-$I$5)*{1;2;3;4;5;6;7;8;9;10}/10)-(K430/(1+K430))*$I$6)/(1+M430)^{1;2;3;4;5;6;7;8;9;10})+$I$2*(1+K430)^10*(L430+$I$4)*N430/(1+M430)^10+$I$9-$I$10)/$I$11</f>
        <v/>
      </c>
    </row>
    <row r="431">
      <c r="K431" s="25">
        <f>MAX(-0.05,NORMINV(RAND(),$C$6,$D$6))</f>
        <v/>
      </c>
      <c r="L431" s="25">
        <f>MAX(0.02,NORMINV(RAND(),$C$7,$D$7))</f>
        <v/>
      </c>
      <c r="M431" s="25">
        <f>MIN(0.16,MAX(0.05,NORMINV(RAND(),$C$8,$D$8)))</f>
        <v/>
      </c>
      <c r="N431" s="26">
        <f>MIN(24,MAX(5,NORMINV(RAND(),$C$9,$D$9)))</f>
        <v/>
      </c>
      <c r="O431" s="49">
        <f>$I$8*(SUMPRODUCT(($I$2*(1+K431)^{1;2;3;4;5;6;7;8;9;10})*(($I$3+(L431-$I$3)*{1;2;3;4;5;6;7;8;9;10}/10)*(1-$I$7)+$I$4-$I$4*($I$5+(1.05-$I$5)*{1;2;3;4;5;6;7;8;9;10}/10)-(K431/(1+K431))*$I$6)/(1+M431)^{1;2;3;4;5;6;7;8;9;10})+$I$2*(1+K431)^10*(L431+$I$4)*N431/(1+M431)^10+$I$9-$I$10)/$I$11</f>
        <v/>
      </c>
    </row>
    <row r="432">
      <c r="K432" s="25">
        <f>MAX(-0.05,NORMINV(RAND(),$C$6,$D$6))</f>
        <v/>
      </c>
      <c r="L432" s="25">
        <f>MAX(0.02,NORMINV(RAND(),$C$7,$D$7))</f>
        <v/>
      </c>
      <c r="M432" s="25">
        <f>MIN(0.16,MAX(0.05,NORMINV(RAND(),$C$8,$D$8)))</f>
        <v/>
      </c>
      <c r="N432" s="26">
        <f>MIN(24,MAX(5,NORMINV(RAND(),$C$9,$D$9)))</f>
        <v/>
      </c>
      <c r="O432" s="49">
        <f>$I$8*(SUMPRODUCT(($I$2*(1+K432)^{1;2;3;4;5;6;7;8;9;10})*(($I$3+(L432-$I$3)*{1;2;3;4;5;6;7;8;9;10}/10)*(1-$I$7)+$I$4-$I$4*($I$5+(1.05-$I$5)*{1;2;3;4;5;6;7;8;9;10}/10)-(K432/(1+K432))*$I$6)/(1+M432)^{1;2;3;4;5;6;7;8;9;10})+$I$2*(1+K432)^10*(L432+$I$4)*N432/(1+M432)^10+$I$9-$I$10)/$I$11</f>
        <v/>
      </c>
    </row>
    <row r="433">
      <c r="K433" s="25">
        <f>MAX(-0.05,NORMINV(RAND(),$C$6,$D$6))</f>
        <v/>
      </c>
      <c r="L433" s="25">
        <f>MAX(0.02,NORMINV(RAND(),$C$7,$D$7))</f>
        <v/>
      </c>
      <c r="M433" s="25">
        <f>MIN(0.16,MAX(0.05,NORMINV(RAND(),$C$8,$D$8)))</f>
        <v/>
      </c>
      <c r="N433" s="26">
        <f>MIN(24,MAX(5,NORMINV(RAND(),$C$9,$D$9)))</f>
        <v/>
      </c>
      <c r="O433" s="49">
        <f>$I$8*(SUMPRODUCT(($I$2*(1+K433)^{1;2;3;4;5;6;7;8;9;10})*(($I$3+(L433-$I$3)*{1;2;3;4;5;6;7;8;9;10}/10)*(1-$I$7)+$I$4-$I$4*($I$5+(1.05-$I$5)*{1;2;3;4;5;6;7;8;9;10}/10)-(K433/(1+K433))*$I$6)/(1+M433)^{1;2;3;4;5;6;7;8;9;10})+$I$2*(1+K433)^10*(L433+$I$4)*N433/(1+M433)^10+$I$9-$I$10)/$I$11</f>
        <v/>
      </c>
    </row>
    <row r="434">
      <c r="K434" s="25">
        <f>MAX(-0.05,NORMINV(RAND(),$C$6,$D$6))</f>
        <v/>
      </c>
      <c r="L434" s="25">
        <f>MAX(0.02,NORMINV(RAND(),$C$7,$D$7))</f>
        <v/>
      </c>
      <c r="M434" s="25">
        <f>MIN(0.16,MAX(0.05,NORMINV(RAND(),$C$8,$D$8)))</f>
        <v/>
      </c>
      <c r="N434" s="26">
        <f>MIN(24,MAX(5,NORMINV(RAND(),$C$9,$D$9)))</f>
        <v/>
      </c>
      <c r="O434" s="49">
        <f>$I$8*(SUMPRODUCT(($I$2*(1+K434)^{1;2;3;4;5;6;7;8;9;10})*(($I$3+(L434-$I$3)*{1;2;3;4;5;6;7;8;9;10}/10)*(1-$I$7)+$I$4-$I$4*($I$5+(1.05-$I$5)*{1;2;3;4;5;6;7;8;9;10}/10)-(K434/(1+K434))*$I$6)/(1+M434)^{1;2;3;4;5;6;7;8;9;10})+$I$2*(1+K434)^10*(L434+$I$4)*N434/(1+M434)^10+$I$9-$I$10)/$I$11</f>
        <v/>
      </c>
    </row>
    <row r="435">
      <c r="K435" s="25">
        <f>MAX(-0.05,NORMINV(RAND(),$C$6,$D$6))</f>
        <v/>
      </c>
      <c r="L435" s="25">
        <f>MAX(0.02,NORMINV(RAND(),$C$7,$D$7))</f>
        <v/>
      </c>
      <c r="M435" s="25">
        <f>MIN(0.16,MAX(0.05,NORMINV(RAND(),$C$8,$D$8)))</f>
        <v/>
      </c>
      <c r="N435" s="26">
        <f>MIN(24,MAX(5,NORMINV(RAND(),$C$9,$D$9)))</f>
        <v/>
      </c>
      <c r="O435" s="49">
        <f>$I$8*(SUMPRODUCT(($I$2*(1+K435)^{1;2;3;4;5;6;7;8;9;10})*(($I$3+(L435-$I$3)*{1;2;3;4;5;6;7;8;9;10}/10)*(1-$I$7)+$I$4-$I$4*($I$5+(1.05-$I$5)*{1;2;3;4;5;6;7;8;9;10}/10)-(K435/(1+K435))*$I$6)/(1+M435)^{1;2;3;4;5;6;7;8;9;10})+$I$2*(1+K435)^10*(L435+$I$4)*N435/(1+M435)^10+$I$9-$I$10)/$I$11</f>
        <v/>
      </c>
    </row>
    <row r="436">
      <c r="K436" s="25">
        <f>MAX(-0.05,NORMINV(RAND(),$C$6,$D$6))</f>
        <v/>
      </c>
      <c r="L436" s="25">
        <f>MAX(0.02,NORMINV(RAND(),$C$7,$D$7))</f>
        <v/>
      </c>
      <c r="M436" s="25">
        <f>MIN(0.16,MAX(0.05,NORMINV(RAND(),$C$8,$D$8)))</f>
        <v/>
      </c>
      <c r="N436" s="26">
        <f>MIN(24,MAX(5,NORMINV(RAND(),$C$9,$D$9)))</f>
        <v/>
      </c>
      <c r="O436" s="49">
        <f>$I$8*(SUMPRODUCT(($I$2*(1+K436)^{1;2;3;4;5;6;7;8;9;10})*(($I$3+(L436-$I$3)*{1;2;3;4;5;6;7;8;9;10}/10)*(1-$I$7)+$I$4-$I$4*($I$5+(1.05-$I$5)*{1;2;3;4;5;6;7;8;9;10}/10)-(K436/(1+K436))*$I$6)/(1+M436)^{1;2;3;4;5;6;7;8;9;10})+$I$2*(1+K436)^10*(L436+$I$4)*N436/(1+M436)^10+$I$9-$I$10)/$I$11</f>
        <v/>
      </c>
    </row>
    <row r="437">
      <c r="K437" s="25">
        <f>MAX(-0.05,NORMINV(RAND(),$C$6,$D$6))</f>
        <v/>
      </c>
      <c r="L437" s="25">
        <f>MAX(0.02,NORMINV(RAND(),$C$7,$D$7))</f>
        <v/>
      </c>
      <c r="M437" s="25">
        <f>MIN(0.16,MAX(0.05,NORMINV(RAND(),$C$8,$D$8)))</f>
        <v/>
      </c>
      <c r="N437" s="26">
        <f>MIN(24,MAX(5,NORMINV(RAND(),$C$9,$D$9)))</f>
        <v/>
      </c>
      <c r="O437" s="49">
        <f>$I$8*(SUMPRODUCT(($I$2*(1+K437)^{1;2;3;4;5;6;7;8;9;10})*(($I$3+(L437-$I$3)*{1;2;3;4;5;6;7;8;9;10}/10)*(1-$I$7)+$I$4-$I$4*($I$5+(1.05-$I$5)*{1;2;3;4;5;6;7;8;9;10}/10)-(K437/(1+K437))*$I$6)/(1+M437)^{1;2;3;4;5;6;7;8;9;10})+$I$2*(1+K437)^10*(L437+$I$4)*N437/(1+M437)^10+$I$9-$I$10)/$I$11</f>
        <v/>
      </c>
    </row>
    <row r="438">
      <c r="K438" s="25">
        <f>MAX(-0.05,NORMINV(RAND(),$C$6,$D$6))</f>
        <v/>
      </c>
      <c r="L438" s="25">
        <f>MAX(0.02,NORMINV(RAND(),$C$7,$D$7))</f>
        <v/>
      </c>
      <c r="M438" s="25">
        <f>MIN(0.16,MAX(0.05,NORMINV(RAND(),$C$8,$D$8)))</f>
        <v/>
      </c>
      <c r="N438" s="26">
        <f>MIN(24,MAX(5,NORMINV(RAND(),$C$9,$D$9)))</f>
        <v/>
      </c>
      <c r="O438" s="49">
        <f>$I$8*(SUMPRODUCT(($I$2*(1+K438)^{1;2;3;4;5;6;7;8;9;10})*(($I$3+(L438-$I$3)*{1;2;3;4;5;6;7;8;9;10}/10)*(1-$I$7)+$I$4-$I$4*($I$5+(1.05-$I$5)*{1;2;3;4;5;6;7;8;9;10}/10)-(K438/(1+K438))*$I$6)/(1+M438)^{1;2;3;4;5;6;7;8;9;10})+$I$2*(1+K438)^10*(L438+$I$4)*N438/(1+M438)^10+$I$9-$I$10)/$I$11</f>
        <v/>
      </c>
    </row>
    <row r="439">
      <c r="K439" s="25">
        <f>MAX(-0.05,NORMINV(RAND(),$C$6,$D$6))</f>
        <v/>
      </c>
      <c r="L439" s="25">
        <f>MAX(0.02,NORMINV(RAND(),$C$7,$D$7))</f>
        <v/>
      </c>
      <c r="M439" s="25">
        <f>MIN(0.16,MAX(0.05,NORMINV(RAND(),$C$8,$D$8)))</f>
        <v/>
      </c>
      <c r="N439" s="26">
        <f>MIN(24,MAX(5,NORMINV(RAND(),$C$9,$D$9)))</f>
        <v/>
      </c>
      <c r="O439" s="49">
        <f>$I$8*(SUMPRODUCT(($I$2*(1+K439)^{1;2;3;4;5;6;7;8;9;10})*(($I$3+(L439-$I$3)*{1;2;3;4;5;6;7;8;9;10}/10)*(1-$I$7)+$I$4-$I$4*($I$5+(1.05-$I$5)*{1;2;3;4;5;6;7;8;9;10}/10)-(K439/(1+K439))*$I$6)/(1+M439)^{1;2;3;4;5;6;7;8;9;10})+$I$2*(1+K439)^10*(L439+$I$4)*N439/(1+M439)^10+$I$9-$I$10)/$I$11</f>
        <v/>
      </c>
    </row>
    <row r="440">
      <c r="K440" s="25">
        <f>MAX(-0.05,NORMINV(RAND(),$C$6,$D$6))</f>
        <v/>
      </c>
      <c r="L440" s="25">
        <f>MAX(0.02,NORMINV(RAND(),$C$7,$D$7))</f>
        <v/>
      </c>
      <c r="M440" s="25">
        <f>MIN(0.16,MAX(0.05,NORMINV(RAND(),$C$8,$D$8)))</f>
        <v/>
      </c>
      <c r="N440" s="26">
        <f>MIN(24,MAX(5,NORMINV(RAND(),$C$9,$D$9)))</f>
        <v/>
      </c>
      <c r="O440" s="49">
        <f>$I$8*(SUMPRODUCT(($I$2*(1+K440)^{1;2;3;4;5;6;7;8;9;10})*(($I$3+(L440-$I$3)*{1;2;3;4;5;6;7;8;9;10}/10)*(1-$I$7)+$I$4-$I$4*($I$5+(1.05-$I$5)*{1;2;3;4;5;6;7;8;9;10}/10)-(K440/(1+K440))*$I$6)/(1+M440)^{1;2;3;4;5;6;7;8;9;10})+$I$2*(1+K440)^10*(L440+$I$4)*N440/(1+M440)^10+$I$9-$I$10)/$I$11</f>
        <v/>
      </c>
    </row>
    <row r="441">
      <c r="K441" s="25">
        <f>MAX(-0.05,NORMINV(RAND(),$C$6,$D$6))</f>
        <v/>
      </c>
      <c r="L441" s="25">
        <f>MAX(0.02,NORMINV(RAND(),$C$7,$D$7))</f>
        <v/>
      </c>
      <c r="M441" s="25">
        <f>MIN(0.16,MAX(0.05,NORMINV(RAND(),$C$8,$D$8)))</f>
        <v/>
      </c>
      <c r="N441" s="26">
        <f>MIN(24,MAX(5,NORMINV(RAND(),$C$9,$D$9)))</f>
        <v/>
      </c>
      <c r="O441" s="49">
        <f>$I$8*(SUMPRODUCT(($I$2*(1+K441)^{1;2;3;4;5;6;7;8;9;10})*(($I$3+(L441-$I$3)*{1;2;3;4;5;6;7;8;9;10}/10)*(1-$I$7)+$I$4-$I$4*($I$5+(1.05-$I$5)*{1;2;3;4;5;6;7;8;9;10}/10)-(K441/(1+K441))*$I$6)/(1+M441)^{1;2;3;4;5;6;7;8;9;10})+$I$2*(1+K441)^10*(L441+$I$4)*N441/(1+M441)^10+$I$9-$I$10)/$I$11</f>
        <v/>
      </c>
    </row>
    <row r="442">
      <c r="K442" s="25">
        <f>MAX(-0.05,NORMINV(RAND(),$C$6,$D$6))</f>
        <v/>
      </c>
      <c r="L442" s="25">
        <f>MAX(0.02,NORMINV(RAND(),$C$7,$D$7))</f>
        <v/>
      </c>
      <c r="M442" s="25">
        <f>MIN(0.16,MAX(0.05,NORMINV(RAND(),$C$8,$D$8)))</f>
        <v/>
      </c>
      <c r="N442" s="26">
        <f>MIN(24,MAX(5,NORMINV(RAND(),$C$9,$D$9)))</f>
        <v/>
      </c>
      <c r="O442" s="49">
        <f>$I$8*(SUMPRODUCT(($I$2*(1+K442)^{1;2;3;4;5;6;7;8;9;10})*(($I$3+(L442-$I$3)*{1;2;3;4;5;6;7;8;9;10}/10)*(1-$I$7)+$I$4-$I$4*($I$5+(1.05-$I$5)*{1;2;3;4;5;6;7;8;9;10}/10)-(K442/(1+K442))*$I$6)/(1+M442)^{1;2;3;4;5;6;7;8;9;10})+$I$2*(1+K442)^10*(L442+$I$4)*N442/(1+M442)^10+$I$9-$I$10)/$I$11</f>
        <v/>
      </c>
    </row>
    <row r="443">
      <c r="K443" s="25">
        <f>MAX(-0.05,NORMINV(RAND(),$C$6,$D$6))</f>
        <v/>
      </c>
      <c r="L443" s="25">
        <f>MAX(0.02,NORMINV(RAND(),$C$7,$D$7))</f>
        <v/>
      </c>
      <c r="M443" s="25">
        <f>MIN(0.16,MAX(0.05,NORMINV(RAND(),$C$8,$D$8)))</f>
        <v/>
      </c>
      <c r="N443" s="26">
        <f>MIN(24,MAX(5,NORMINV(RAND(),$C$9,$D$9)))</f>
        <v/>
      </c>
      <c r="O443" s="49">
        <f>$I$8*(SUMPRODUCT(($I$2*(1+K443)^{1;2;3;4;5;6;7;8;9;10})*(($I$3+(L443-$I$3)*{1;2;3;4;5;6;7;8;9;10}/10)*(1-$I$7)+$I$4-$I$4*($I$5+(1.05-$I$5)*{1;2;3;4;5;6;7;8;9;10}/10)-(K443/(1+K443))*$I$6)/(1+M443)^{1;2;3;4;5;6;7;8;9;10})+$I$2*(1+K443)^10*(L443+$I$4)*N443/(1+M443)^10+$I$9-$I$10)/$I$11</f>
        <v/>
      </c>
    </row>
    <row r="444">
      <c r="K444" s="25">
        <f>MAX(-0.05,NORMINV(RAND(),$C$6,$D$6))</f>
        <v/>
      </c>
      <c r="L444" s="25">
        <f>MAX(0.02,NORMINV(RAND(),$C$7,$D$7))</f>
        <v/>
      </c>
      <c r="M444" s="25">
        <f>MIN(0.16,MAX(0.05,NORMINV(RAND(),$C$8,$D$8)))</f>
        <v/>
      </c>
      <c r="N444" s="26">
        <f>MIN(24,MAX(5,NORMINV(RAND(),$C$9,$D$9)))</f>
        <v/>
      </c>
      <c r="O444" s="49">
        <f>$I$8*(SUMPRODUCT(($I$2*(1+K444)^{1;2;3;4;5;6;7;8;9;10})*(($I$3+(L444-$I$3)*{1;2;3;4;5;6;7;8;9;10}/10)*(1-$I$7)+$I$4-$I$4*($I$5+(1.05-$I$5)*{1;2;3;4;5;6;7;8;9;10}/10)-(K444/(1+K444))*$I$6)/(1+M444)^{1;2;3;4;5;6;7;8;9;10})+$I$2*(1+K444)^10*(L444+$I$4)*N444/(1+M444)^10+$I$9-$I$10)/$I$11</f>
        <v/>
      </c>
    </row>
    <row r="445">
      <c r="K445" s="25">
        <f>MAX(-0.05,NORMINV(RAND(),$C$6,$D$6))</f>
        <v/>
      </c>
      <c r="L445" s="25">
        <f>MAX(0.02,NORMINV(RAND(),$C$7,$D$7))</f>
        <v/>
      </c>
      <c r="M445" s="25">
        <f>MIN(0.16,MAX(0.05,NORMINV(RAND(),$C$8,$D$8)))</f>
        <v/>
      </c>
      <c r="N445" s="26">
        <f>MIN(24,MAX(5,NORMINV(RAND(),$C$9,$D$9)))</f>
        <v/>
      </c>
      <c r="O445" s="49">
        <f>$I$8*(SUMPRODUCT(($I$2*(1+K445)^{1;2;3;4;5;6;7;8;9;10})*(($I$3+(L445-$I$3)*{1;2;3;4;5;6;7;8;9;10}/10)*(1-$I$7)+$I$4-$I$4*($I$5+(1.05-$I$5)*{1;2;3;4;5;6;7;8;9;10}/10)-(K445/(1+K445))*$I$6)/(1+M445)^{1;2;3;4;5;6;7;8;9;10})+$I$2*(1+K445)^10*(L445+$I$4)*N445/(1+M445)^10+$I$9-$I$10)/$I$11</f>
        <v/>
      </c>
    </row>
    <row r="446">
      <c r="K446" s="25">
        <f>MAX(-0.05,NORMINV(RAND(),$C$6,$D$6))</f>
        <v/>
      </c>
      <c r="L446" s="25">
        <f>MAX(0.02,NORMINV(RAND(),$C$7,$D$7))</f>
        <v/>
      </c>
      <c r="M446" s="25">
        <f>MIN(0.16,MAX(0.05,NORMINV(RAND(),$C$8,$D$8)))</f>
        <v/>
      </c>
      <c r="N446" s="26">
        <f>MIN(24,MAX(5,NORMINV(RAND(),$C$9,$D$9)))</f>
        <v/>
      </c>
      <c r="O446" s="49">
        <f>$I$8*(SUMPRODUCT(($I$2*(1+K446)^{1;2;3;4;5;6;7;8;9;10})*(($I$3+(L446-$I$3)*{1;2;3;4;5;6;7;8;9;10}/10)*(1-$I$7)+$I$4-$I$4*($I$5+(1.05-$I$5)*{1;2;3;4;5;6;7;8;9;10}/10)-(K446/(1+K446))*$I$6)/(1+M446)^{1;2;3;4;5;6;7;8;9;10})+$I$2*(1+K446)^10*(L446+$I$4)*N446/(1+M446)^10+$I$9-$I$10)/$I$11</f>
        <v/>
      </c>
    </row>
    <row r="447">
      <c r="K447" s="25">
        <f>MAX(-0.05,NORMINV(RAND(),$C$6,$D$6))</f>
        <v/>
      </c>
      <c r="L447" s="25">
        <f>MAX(0.02,NORMINV(RAND(),$C$7,$D$7))</f>
        <v/>
      </c>
      <c r="M447" s="25">
        <f>MIN(0.16,MAX(0.05,NORMINV(RAND(),$C$8,$D$8)))</f>
        <v/>
      </c>
      <c r="N447" s="26">
        <f>MIN(24,MAX(5,NORMINV(RAND(),$C$9,$D$9)))</f>
        <v/>
      </c>
      <c r="O447" s="49">
        <f>$I$8*(SUMPRODUCT(($I$2*(1+K447)^{1;2;3;4;5;6;7;8;9;10})*(($I$3+(L447-$I$3)*{1;2;3;4;5;6;7;8;9;10}/10)*(1-$I$7)+$I$4-$I$4*($I$5+(1.05-$I$5)*{1;2;3;4;5;6;7;8;9;10}/10)-(K447/(1+K447))*$I$6)/(1+M447)^{1;2;3;4;5;6;7;8;9;10})+$I$2*(1+K447)^10*(L447+$I$4)*N447/(1+M447)^10+$I$9-$I$10)/$I$11</f>
        <v/>
      </c>
    </row>
    <row r="448">
      <c r="K448" s="25">
        <f>MAX(-0.05,NORMINV(RAND(),$C$6,$D$6))</f>
        <v/>
      </c>
      <c r="L448" s="25">
        <f>MAX(0.02,NORMINV(RAND(),$C$7,$D$7))</f>
        <v/>
      </c>
      <c r="M448" s="25">
        <f>MIN(0.16,MAX(0.05,NORMINV(RAND(),$C$8,$D$8)))</f>
        <v/>
      </c>
      <c r="N448" s="26">
        <f>MIN(24,MAX(5,NORMINV(RAND(),$C$9,$D$9)))</f>
        <v/>
      </c>
      <c r="O448" s="49">
        <f>$I$8*(SUMPRODUCT(($I$2*(1+K448)^{1;2;3;4;5;6;7;8;9;10})*(($I$3+(L448-$I$3)*{1;2;3;4;5;6;7;8;9;10}/10)*(1-$I$7)+$I$4-$I$4*($I$5+(1.05-$I$5)*{1;2;3;4;5;6;7;8;9;10}/10)-(K448/(1+K448))*$I$6)/(1+M448)^{1;2;3;4;5;6;7;8;9;10})+$I$2*(1+K448)^10*(L448+$I$4)*N448/(1+M448)^10+$I$9-$I$10)/$I$11</f>
        <v/>
      </c>
    </row>
    <row r="449">
      <c r="K449" s="25">
        <f>MAX(-0.05,NORMINV(RAND(),$C$6,$D$6))</f>
        <v/>
      </c>
      <c r="L449" s="25">
        <f>MAX(0.02,NORMINV(RAND(),$C$7,$D$7))</f>
        <v/>
      </c>
      <c r="M449" s="25">
        <f>MIN(0.16,MAX(0.05,NORMINV(RAND(),$C$8,$D$8)))</f>
        <v/>
      </c>
      <c r="N449" s="26">
        <f>MIN(24,MAX(5,NORMINV(RAND(),$C$9,$D$9)))</f>
        <v/>
      </c>
      <c r="O449" s="49">
        <f>$I$8*(SUMPRODUCT(($I$2*(1+K449)^{1;2;3;4;5;6;7;8;9;10})*(($I$3+(L449-$I$3)*{1;2;3;4;5;6;7;8;9;10}/10)*(1-$I$7)+$I$4-$I$4*($I$5+(1.05-$I$5)*{1;2;3;4;5;6;7;8;9;10}/10)-(K449/(1+K449))*$I$6)/(1+M449)^{1;2;3;4;5;6;7;8;9;10})+$I$2*(1+K449)^10*(L449+$I$4)*N449/(1+M449)^10+$I$9-$I$10)/$I$11</f>
        <v/>
      </c>
    </row>
    <row r="450">
      <c r="K450" s="25">
        <f>MAX(-0.05,NORMINV(RAND(),$C$6,$D$6))</f>
        <v/>
      </c>
      <c r="L450" s="25">
        <f>MAX(0.02,NORMINV(RAND(),$C$7,$D$7))</f>
        <v/>
      </c>
      <c r="M450" s="25">
        <f>MIN(0.16,MAX(0.05,NORMINV(RAND(),$C$8,$D$8)))</f>
        <v/>
      </c>
      <c r="N450" s="26">
        <f>MIN(24,MAX(5,NORMINV(RAND(),$C$9,$D$9)))</f>
        <v/>
      </c>
      <c r="O450" s="49">
        <f>$I$8*(SUMPRODUCT(($I$2*(1+K450)^{1;2;3;4;5;6;7;8;9;10})*(($I$3+(L450-$I$3)*{1;2;3;4;5;6;7;8;9;10}/10)*(1-$I$7)+$I$4-$I$4*($I$5+(1.05-$I$5)*{1;2;3;4;5;6;7;8;9;10}/10)-(K450/(1+K450))*$I$6)/(1+M450)^{1;2;3;4;5;6;7;8;9;10})+$I$2*(1+K450)^10*(L450+$I$4)*N450/(1+M450)^10+$I$9-$I$10)/$I$11</f>
        <v/>
      </c>
    </row>
    <row r="451">
      <c r="K451" s="25">
        <f>MAX(-0.05,NORMINV(RAND(),$C$6,$D$6))</f>
        <v/>
      </c>
      <c r="L451" s="25">
        <f>MAX(0.02,NORMINV(RAND(),$C$7,$D$7))</f>
        <v/>
      </c>
      <c r="M451" s="25">
        <f>MIN(0.16,MAX(0.05,NORMINV(RAND(),$C$8,$D$8)))</f>
        <v/>
      </c>
      <c r="N451" s="26">
        <f>MIN(24,MAX(5,NORMINV(RAND(),$C$9,$D$9)))</f>
        <v/>
      </c>
      <c r="O451" s="49">
        <f>$I$8*(SUMPRODUCT(($I$2*(1+K451)^{1;2;3;4;5;6;7;8;9;10})*(($I$3+(L451-$I$3)*{1;2;3;4;5;6;7;8;9;10}/10)*(1-$I$7)+$I$4-$I$4*($I$5+(1.05-$I$5)*{1;2;3;4;5;6;7;8;9;10}/10)-(K451/(1+K451))*$I$6)/(1+M451)^{1;2;3;4;5;6;7;8;9;10})+$I$2*(1+K451)^10*(L451+$I$4)*N451/(1+M451)^10+$I$9-$I$10)/$I$11</f>
        <v/>
      </c>
    </row>
    <row r="452">
      <c r="K452" s="25">
        <f>MAX(-0.05,NORMINV(RAND(),$C$6,$D$6))</f>
        <v/>
      </c>
      <c r="L452" s="25">
        <f>MAX(0.02,NORMINV(RAND(),$C$7,$D$7))</f>
        <v/>
      </c>
      <c r="M452" s="25">
        <f>MIN(0.16,MAX(0.05,NORMINV(RAND(),$C$8,$D$8)))</f>
        <v/>
      </c>
      <c r="N452" s="26">
        <f>MIN(24,MAX(5,NORMINV(RAND(),$C$9,$D$9)))</f>
        <v/>
      </c>
      <c r="O452" s="49">
        <f>$I$8*(SUMPRODUCT(($I$2*(1+K452)^{1;2;3;4;5;6;7;8;9;10})*(($I$3+(L452-$I$3)*{1;2;3;4;5;6;7;8;9;10}/10)*(1-$I$7)+$I$4-$I$4*($I$5+(1.05-$I$5)*{1;2;3;4;5;6;7;8;9;10}/10)-(K452/(1+K452))*$I$6)/(1+M452)^{1;2;3;4;5;6;7;8;9;10})+$I$2*(1+K452)^10*(L452+$I$4)*N452/(1+M452)^10+$I$9-$I$10)/$I$11</f>
        <v/>
      </c>
    </row>
    <row r="453">
      <c r="K453" s="25">
        <f>MAX(-0.05,NORMINV(RAND(),$C$6,$D$6))</f>
        <v/>
      </c>
      <c r="L453" s="25">
        <f>MAX(0.02,NORMINV(RAND(),$C$7,$D$7))</f>
        <v/>
      </c>
      <c r="M453" s="25">
        <f>MIN(0.16,MAX(0.05,NORMINV(RAND(),$C$8,$D$8)))</f>
        <v/>
      </c>
      <c r="N453" s="26">
        <f>MIN(24,MAX(5,NORMINV(RAND(),$C$9,$D$9)))</f>
        <v/>
      </c>
      <c r="O453" s="49">
        <f>$I$8*(SUMPRODUCT(($I$2*(1+K453)^{1;2;3;4;5;6;7;8;9;10})*(($I$3+(L453-$I$3)*{1;2;3;4;5;6;7;8;9;10}/10)*(1-$I$7)+$I$4-$I$4*($I$5+(1.05-$I$5)*{1;2;3;4;5;6;7;8;9;10}/10)-(K453/(1+K453))*$I$6)/(1+M453)^{1;2;3;4;5;6;7;8;9;10})+$I$2*(1+K453)^10*(L453+$I$4)*N453/(1+M453)^10+$I$9-$I$10)/$I$11</f>
        <v/>
      </c>
    </row>
    <row r="454">
      <c r="K454" s="25">
        <f>MAX(-0.05,NORMINV(RAND(),$C$6,$D$6))</f>
        <v/>
      </c>
      <c r="L454" s="25">
        <f>MAX(0.02,NORMINV(RAND(),$C$7,$D$7))</f>
        <v/>
      </c>
      <c r="M454" s="25">
        <f>MIN(0.16,MAX(0.05,NORMINV(RAND(),$C$8,$D$8)))</f>
        <v/>
      </c>
      <c r="N454" s="26">
        <f>MIN(24,MAX(5,NORMINV(RAND(),$C$9,$D$9)))</f>
        <v/>
      </c>
      <c r="O454" s="49">
        <f>$I$8*(SUMPRODUCT(($I$2*(1+K454)^{1;2;3;4;5;6;7;8;9;10})*(($I$3+(L454-$I$3)*{1;2;3;4;5;6;7;8;9;10}/10)*(1-$I$7)+$I$4-$I$4*($I$5+(1.05-$I$5)*{1;2;3;4;5;6;7;8;9;10}/10)-(K454/(1+K454))*$I$6)/(1+M454)^{1;2;3;4;5;6;7;8;9;10})+$I$2*(1+K454)^10*(L454+$I$4)*N454/(1+M454)^10+$I$9-$I$10)/$I$11</f>
        <v/>
      </c>
    </row>
    <row r="455">
      <c r="K455" s="25">
        <f>MAX(-0.05,NORMINV(RAND(),$C$6,$D$6))</f>
        <v/>
      </c>
      <c r="L455" s="25">
        <f>MAX(0.02,NORMINV(RAND(),$C$7,$D$7))</f>
        <v/>
      </c>
      <c r="M455" s="25">
        <f>MIN(0.16,MAX(0.05,NORMINV(RAND(),$C$8,$D$8)))</f>
        <v/>
      </c>
      <c r="N455" s="26">
        <f>MIN(24,MAX(5,NORMINV(RAND(),$C$9,$D$9)))</f>
        <v/>
      </c>
      <c r="O455" s="49">
        <f>$I$8*(SUMPRODUCT(($I$2*(1+K455)^{1;2;3;4;5;6;7;8;9;10})*(($I$3+(L455-$I$3)*{1;2;3;4;5;6;7;8;9;10}/10)*(1-$I$7)+$I$4-$I$4*($I$5+(1.05-$I$5)*{1;2;3;4;5;6;7;8;9;10}/10)-(K455/(1+K455))*$I$6)/(1+M455)^{1;2;3;4;5;6;7;8;9;10})+$I$2*(1+K455)^10*(L455+$I$4)*N455/(1+M455)^10+$I$9-$I$10)/$I$11</f>
        <v/>
      </c>
    </row>
    <row r="456">
      <c r="K456" s="25">
        <f>MAX(-0.05,NORMINV(RAND(),$C$6,$D$6))</f>
        <v/>
      </c>
      <c r="L456" s="25">
        <f>MAX(0.02,NORMINV(RAND(),$C$7,$D$7))</f>
        <v/>
      </c>
      <c r="M456" s="25">
        <f>MIN(0.16,MAX(0.05,NORMINV(RAND(),$C$8,$D$8)))</f>
        <v/>
      </c>
      <c r="N456" s="26">
        <f>MIN(24,MAX(5,NORMINV(RAND(),$C$9,$D$9)))</f>
        <v/>
      </c>
      <c r="O456" s="49">
        <f>$I$8*(SUMPRODUCT(($I$2*(1+K456)^{1;2;3;4;5;6;7;8;9;10})*(($I$3+(L456-$I$3)*{1;2;3;4;5;6;7;8;9;10}/10)*(1-$I$7)+$I$4-$I$4*($I$5+(1.05-$I$5)*{1;2;3;4;5;6;7;8;9;10}/10)-(K456/(1+K456))*$I$6)/(1+M456)^{1;2;3;4;5;6;7;8;9;10})+$I$2*(1+K456)^10*(L456+$I$4)*N456/(1+M456)^10+$I$9-$I$10)/$I$11</f>
        <v/>
      </c>
    </row>
    <row r="457">
      <c r="K457" s="25">
        <f>MAX(-0.05,NORMINV(RAND(),$C$6,$D$6))</f>
        <v/>
      </c>
      <c r="L457" s="25">
        <f>MAX(0.02,NORMINV(RAND(),$C$7,$D$7))</f>
        <v/>
      </c>
      <c r="M457" s="25">
        <f>MIN(0.16,MAX(0.05,NORMINV(RAND(),$C$8,$D$8)))</f>
        <v/>
      </c>
      <c r="N457" s="26">
        <f>MIN(24,MAX(5,NORMINV(RAND(),$C$9,$D$9)))</f>
        <v/>
      </c>
      <c r="O457" s="49">
        <f>$I$8*(SUMPRODUCT(($I$2*(1+K457)^{1;2;3;4;5;6;7;8;9;10})*(($I$3+(L457-$I$3)*{1;2;3;4;5;6;7;8;9;10}/10)*(1-$I$7)+$I$4-$I$4*($I$5+(1.05-$I$5)*{1;2;3;4;5;6;7;8;9;10}/10)-(K457/(1+K457))*$I$6)/(1+M457)^{1;2;3;4;5;6;7;8;9;10})+$I$2*(1+K457)^10*(L457+$I$4)*N457/(1+M457)^10+$I$9-$I$10)/$I$11</f>
        <v/>
      </c>
    </row>
    <row r="458">
      <c r="K458" s="25">
        <f>MAX(-0.05,NORMINV(RAND(),$C$6,$D$6))</f>
        <v/>
      </c>
      <c r="L458" s="25">
        <f>MAX(0.02,NORMINV(RAND(),$C$7,$D$7))</f>
        <v/>
      </c>
      <c r="M458" s="25">
        <f>MIN(0.16,MAX(0.05,NORMINV(RAND(),$C$8,$D$8)))</f>
        <v/>
      </c>
      <c r="N458" s="26">
        <f>MIN(24,MAX(5,NORMINV(RAND(),$C$9,$D$9)))</f>
        <v/>
      </c>
      <c r="O458" s="49">
        <f>$I$8*(SUMPRODUCT(($I$2*(1+K458)^{1;2;3;4;5;6;7;8;9;10})*(($I$3+(L458-$I$3)*{1;2;3;4;5;6;7;8;9;10}/10)*(1-$I$7)+$I$4-$I$4*($I$5+(1.05-$I$5)*{1;2;3;4;5;6;7;8;9;10}/10)-(K458/(1+K458))*$I$6)/(1+M458)^{1;2;3;4;5;6;7;8;9;10})+$I$2*(1+K458)^10*(L458+$I$4)*N458/(1+M458)^10+$I$9-$I$10)/$I$11</f>
        <v/>
      </c>
    </row>
    <row r="459">
      <c r="K459" s="25">
        <f>MAX(-0.05,NORMINV(RAND(),$C$6,$D$6))</f>
        <v/>
      </c>
      <c r="L459" s="25">
        <f>MAX(0.02,NORMINV(RAND(),$C$7,$D$7))</f>
        <v/>
      </c>
      <c r="M459" s="25">
        <f>MIN(0.16,MAX(0.05,NORMINV(RAND(),$C$8,$D$8)))</f>
        <v/>
      </c>
      <c r="N459" s="26">
        <f>MIN(24,MAX(5,NORMINV(RAND(),$C$9,$D$9)))</f>
        <v/>
      </c>
      <c r="O459" s="49">
        <f>$I$8*(SUMPRODUCT(($I$2*(1+K459)^{1;2;3;4;5;6;7;8;9;10})*(($I$3+(L459-$I$3)*{1;2;3;4;5;6;7;8;9;10}/10)*(1-$I$7)+$I$4-$I$4*($I$5+(1.05-$I$5)*{1;2;3;4;5;6;7;8;9;10}/10)-(K459/(1+K459))*$I$6)/(1+M459)^{1;2;3;4;5;6;7;8;9;10})+$I$2*(1+K459)^10*(L459+$I$4)*N459/(1+M459)^10+$I$9-$I$10)/$I$11</f>
        <v/>
      </c>
    </row>
    <row r="460">
      <c r="K460" s="25">
        <f>MAX(-0.05,NORMINV(RAND(),$C$6,$D$6))</f>
        <v/>
      </c>
      <c r="L460" s="25">
        <f>MAX(0.02,NORMINV(RAND(),$C$7,$D$7))</f>
        <v/>
      </c>
      <c r="M460" s="25">
        <f>MIN(0.16,MAX(0.05,NORMINV(RAND(),$C$8,$D$8)))</f>
        <v/>
      </c>
      <c r="N460" s="26">
        <f>MIN(24,MAX(5,NORMINV(RAND(),$C$9,$D$9)))</f>
        <v/>
      </c>
      <c r="O460" s="49">
        <f>$I$8*(SUMPRODUCT(($I$2*(1+K460)^{1;2;3;4;5;6;7;8;9;10})*(($I$3+(L460-$I$3)*{1;2;3;4;5;6;7;8;9;10}/10)*(1-$I$7)+$I$4-$I$4*($I$5+(1.05-$I$5)*{1;2;3;4;5;6;7;8;9;10}/10)-(K460/(1+K460))*$I$6)/(1+M460)^{1;2;3;4;5;6;7;8;9;10})+$I$2*(1+K460)^10*(L460+$I$4)*N460/(1+M460)^10+$I$9-$I$10)/$I$11</f>
        <v/>
      </c>
    </row>
    <row r="461">
      <c r="K461" s="25">
        <f>MAX(-0.05,NORMINV(RAND(),$C$6,$D$6))</f>
        <v/>
      </c>
      <c r="L461" s="25">
        <f>MAX(0.02,NORMINV(RAND(),$C$7,$D$7))</f>
        <v/>
      </c>
      <c r="M461" s="25">
        <f>MIN(0.16,MAX(0.05,NORMINV(RAND(),$C$8,$D$8)))</f>
        <v/>
      </c>
      <c r="N461" s="26">
        <f>MIN(24,MAX(5,NORMINV(RAND(),$C$9,$D$9)))</f>
        <v/>
      </c>
      <c r="O461" s="49">
        <f>$I$8*(SUMPRODUCT(($I$2*(1+K461)^{1;2;3;4;5;6;7;8;9;10})*(($I$3+(L461-$I$3)*{1;2;3;4;5;6;7;8;9;10}/10)*(1-$I$7)+$I$4-$I$4*($I$5+(1.05-$I$5)*{1;2;3;4;5;6;7;8;9;10}/10)-(K461/(1+K461))*$I$6)/(1+M461)^{1;2;3;4;5;6;7;8;9;10})+$I$2*(1+K461)^10*(L461+$I$4)*N461/(1+M461)^10+$I$9-$I$10)/$I$11</f>
        <v/>
      </c>
    </row>
    <row r="462">
      <c r="K462" s="25">
        <f>MAX(-0.05,NORMINV(RAND(),$C$6,$D$6))</f>
        <v/>
      </c>
      <c r="L462" s="25">
        <f>MAX(0.02,NORMINV(RAND(),$C$7,$D$7))</f>
        <v/>
      </c>
      <c r="M462" s="25">
        <f>MIN(0.16,MAX(0.05,NORMINV(RAND(),$C$8,$D$8)))</f>
        <v/>
      </c>
      <c r="N462" s="26">
        <f>MIN(24,MAX(5,NORMINV(RAND(),$C$9,$D$9)))</f>
        <v/>
      </c>
      <c r="O462" s="49">
        <f>$I$8*(SUMPRODUCT(($I$2*(1+K462)^{1;2;3;4;5;6;7;8;9;10})*(($I$3+(L462-$I$3)*{1;2;3;4;5;6;7;8;9;10}/10)*(1-$I$7)+$I$4-$I$4*($I$5+(1.05-$I$5)*{1;2;3;4;5;6;7;8;9;10}/10)-(K462/(1+K462))*$I$6)/(1+M462)^{1;2;3;4;5;6;7;8;9;10})+$I$2*(1+K462)^10*(L462+$I$4)*N462/(1+M462)^10+$I$9-$I$10)/$I$11</f>
        <v/>
      </c>
    </row>
    <row r="463">
      <c r="K463" s="25">
        <f>MAX(-0.05,NORMINV(RAND(),$C$6,$D$6))</f>
        <v/>
      </c>
      <c r="L463" s="25">
        <f>MAX(0.02,NORMINV(RAND(),$C$7,$D$7))</f>
        <v/>
      </c>
      <c r="M463" s="25">
        <f>MIN(0.16,MAX(0.05,NORMINV(RAND(),$C$8,$D$8)))</f>
        <v/>
      </c>
      <c r="N463" s="26">
        <f>MIN(24,MAX(5,NORMINV(RAND(),$C$9,$D$9)))</f>
        <v/>
      </c>
      <c r="O463" s="49">
        <f>$I$8*(SUMPRODUCT(($I$2*(1+K463)^{1;2;3;4;5;6;7;8;9;10})*(($I$3+(L463-$I$3)*{1;2;3;4;5;6;7;8;9;10}/10)*(1-$I$7)+$I$4-$I$4*($I$5+(1.05-$I$5)*{1;2;3;4;5;6;7;8;9;10}/10)-(K463/(1+K463))*$I$6)/(1+M463)^{1;2;3;4;5;6;7;8;9;10})+$I$2*(1+K463)^10*(L463+$I$4)*N463/(1+M463)^10+$I$9-$I$10)/$I$11</f>
        <v/>
      </c>
    </row>
    <row r="464">
      <c r="K464" s="25">
        <f>MAX(-0.05,NORMINV(RAND(),$C$6,$D$6))</f>
        <v/>
      </c>
      <c r="L464" s="25">
        <f>MAX(0.02,NORMINV(RAND(),$C$7,$D$7))</f>
        <v/>
      </c>
      <c r="M464" s="25">
        <f>MIN(0.16,MAX(0.05,NORMINV(RAND(),$C$8,$D$8)))</f>
        <v/>
      </c>
      <c r="N464" s="26">
        <f>MIN(24,MAX(5,NORMINV(RAND(),$C$9,$D$9)))</f>
        <v/>
      </c>
      <c r="O464" s="49">
        <f>$I$8*(SUMPRODUCT(($I$2*(1+K464)^{1;2;3;4;5;6;7;8;9;10})*(($I$3+(L464-$I$3)*{1;2;3;4;5;6;7;8;9;10}/10)*(1-$I$7)+$I$4-$I$4*($I$5+(1.05-$I$5)*{1;2;3;4;5;6;7;8;9;10}/10)-(K464/(1+K464))*$I$6)/(1+M464)^{1;2;3;4;5;6;7;8;9;10})+$I$2*(1+K464)^10*(L464+$I$4)*N464/(1+M464)^10+$I$9-$I$10)/$I$11</f>
        <v/>
      </c>
    </row>
    <row r="465">
      <c r="K465" s="25">
        <f>MAX(-0.05,NORMINV(RAND(),$C$6,$D$6))</f>
        <v/>
      </c>
      <c r="L465" s="25">
        <f>MAX(0.02,NORMINV(RAND(),$C$7,$D$7))</f>
        <v/>
      </c>
      <c r="M465" s="25">
        <f>MIN(0.16,MAX(0.05,NORMINV(RAND(),$C$8,$D$8)))</f>
        <v/>
      </c>
      <c r="N465" s="26">
        <f>MIN(24,MAX(5,NORMINV(RAND(),$C$9,$D$9)))</f>
        <v/>
      </c>
      <c r="O465" s="49">
        <f>$I$8*(SUMPRODUCT(($I$2*(1+K465)^{1;2;3;4;5;6;7;8;9;10})*(($I$3+(L465-$I$3)*{1;2;3;4;5;6;7;8;9;10}/10)*(1-$I$7)+$I$4-$I$4*($I$5+(1.05-$I$5)*{1;2;3;4;5;6;7;8;9;10}/10)-(K465/(1+K465))*$I$6)/(1+M465)^{1;2;3;4;5;6;7;8;9;10})+$I$2*(1+K465)^10*(L465+$I$4)*N465/(1+M465)^10+$I$9-$I$10)/$I$11</f>
        <v/>
      </c>
    </row>
    <row r="466">
      <c r="K466" s="25">
        <f>MAX(-0.05,NORMINV(RAND(),$C$6,$D$6))</f>
        <v/>
      </c>
      <c r="L466" s="25">
        <f>MAX(0.02,NORMINV(RAND(),$C$7,$D$7))</f>
        <v/>
      </c>
      <c r="M466" s="25">
        <f>MIN(0.16,MAX(0.05,NORMINV(RAND(),$C$8,$D$8)))</f>
        <v/>
      </c>
      <c r="N466" s="26">
        <f>MIN(24,MAX(5,NORMINV(RAND(),$C$9,$D$9)))</f>
        <v/>
      </c>
      <c r="O466" s="49">
        <f>$I$8*(SUMPRODUCT(($I$2*(1+K466)^{1;2;3;4;5;6;7;8;9;10})*(($I$3+(L466-$I$3)*{1;2;3;4;5;6;7;8;9;10}/10)*(1-$I$7)+$I$4-$I$4*($I$5+(1.05-$I$5)*{1;2;3;4;5;6;7;8;9;10}/10)-(K466/(1+K466))*$I$6)/(1+M466)^{1;2;3;4;5;6;7;8;9;10})+$I$2*(1+K466)^10*(L466+$I$4)*N466/(1+M466)^10+$I$9-$I$10)/$I$11</f>
        <v/>
      </c>
    </row>
    <row r="467">
      <c r="K467" s="25">
        <f>MAX(-0.05,NORMINV(RAND(),$C$6,$D$6))</f>
        <v/>
      </c>
      <c r="L467" s="25">
        <f>MAX(0.02,NORMINV(RAND(),$C$7,$D$7))</f>
        <v/>
      </c>
      <c r="M467" s="25">
        <f>MIN(0.16,MAX(0.05,NORMINV(RAND(),$C$8,$D$8)))</f>
        <v/>
      </c>
      <c r="N467" s="26">
        <f>MIN(24,MAX(5,NORMINV(RAND(),$C$9,$D$9)))</f>
        <v/>
      </c>
      <c r="O467" s="49">
        <f>$I$8*(SUMPRODUCT(($I$2*(1+K467)^{1;2;3;4;5;6;7;8;9;10})*(($I$3+(L467-$I$3)*{1;2;3;4;5;6;7;8;9;10}/10)*(1-$I$7)+$I$4-$I$4*($I$5+(1.05-$I$5)*{1;2;3;4;5;6;7;8;9;10}/10)-(K467/(1+K467))*$I$6)/(1+M467)^{1;2;3;4;5;6;7;8;9;10})+$I$2*(1+K467)^10*(L467+$I$4)*N467/(1+M467)^10+$I$9-$I$10)/$I$11</f>
        <v/>
      </c>
    </row>
    <row r="468">
      <c r="K468" s="25">
        <f>MAX(-0.05,NORMINV(RAND(),$C$6,$D$6))</f>
        <v/>
      </c>
      <c r="L468" s="25">
        <f>MAX(0.02,NORMINV(RAND(),$C$7,$D$7))</f>
        <v/>
      </c>
      <c r="M468" s="25">
        <f>MIN(0.16,MAX(0.05,NORMINV(RAND(),$C$8,$D$8)))</f>
        <v/>
      </c>
      <c r="N468" s="26">
        <f>MIN(24,MAX(5,NORMINV(RAND(),$C$9,$D$9)))</f>
        <v/>
      </c>
      <c r="O468" s="49">
        <f>$I$8*(SUMPRODUCT(($I$2*(1+K468)^{1;2;3;4;5;6;7;8;9;10})*(($I$3+(L468-$I$3)*{1;2;3;4;5;6;7;8;9;10}/10)*(1-$I$7)+$I$4-$I$4*($I$5+(1.05-$I$5)*{1;2;3;4;5;6;7;8;9;10}/10)-(K468/(1+K468))*$I$6)/(1+M468)^{1;2;3;4;5;6;7;8;9;10})+$I$2*(1+K468)^10*(L468+$I$4)*N468/(1+M468)^10+$I$9-$I$10)/$I$11</f>
        <v/>
      </c>
    </row>
    <row r="469">
      <c r="K469" s="25">
        <f>MAX(-0.05,NORMINV(RAND(),$C$6,$D$6))</f>
        <v/>
      </c>
      <c r="L469" s="25">
        <f>MAX(0.02,NORMINV(RAND(),$C$7,$D$7))</f>
        <v/>
      </c>
      <c r="M469" s="25">
        <f>MIN(0.16,MAX(0.05,NORMINV(RAND(),$C$8,$D$8)))</f>
        <v/>
      </c>
      <c r="N469" s="26">
        <f>MIN(24,MAX(5,NORMINV(RAND(),$C$9,$D$9)))</f>
        <v/>
      </c>
      <c r="O469" s="49">
        <f>$I$8*(SUMPRODUCT(($I$2*(1+K469)^{1;2;3;4;5;6;7;8;9;10})*(($I$3+(L469-$I$3)*{1;2;3;4;5;6;7;8;9;10}/10)*(1-$I$7)+$I$4-$I$4*($I$5+(1.05-$I$5)*{1;2;3;4;5;6;7;8;9;10}/10)-(K469/(1+K469))*$I$6)/(1+M469)^{1;2;3;4;5;6;7;8;9;10})+$I$2*(1+K469)^10*(L469+$I$4)*N469/(1+M469)^10+$I$9-$I$10)/$I$11</f>
        <v/>
      </c>
    </row>
    <row r="470">
      <c r="K470" s="25">
        <f>MAX(-0.05,NORMINV(RAND(),$C$6,$D$6))</f>
        <v/>
      </c>
      <c r="L470" s="25">
        <f>MAX(0.02,NORMINV(RAND(),$C$7,$D$7))</f>
        <v/>
      </c>
      <c r="M470" s="25">
        <f>MIN(0.16,MAX(0.05,NORMINV(RAND(),$C$8,$D$8)))</f>
        <v/>
      </c>
      <c r="N470" s="26">
        <f>MIN(24,MAX(5,NORMINV(RAND(),$C$9,$D$9)))</f>
        <v/>
      </c>
      <c r="O470" s="49">
        <f>$I$8*(SUMPRODUCT(($I$2*(1+K470)^{1;2;3;4;5;6;7;8;9;10})*(($I$3+(L470-$I$3)*{1;2;3;4;5;6;7;8;9;10}/10)*(1-$I$7)+$I$4-$I$4*($I$5+(1.05-$I$5)*{1;2;3;4;5;6;7;8;9;10}/10)-(K470/(1+K470))*$I$6)/(1+M470)^{1;2;3;4;5;6;7;8;9;10})+$I$2*(1+K470)^10*(L470+$I$4)*N470/(1+M470)^10+$I$9-$I$10)/$I$11</f>
        <v/>
      </c>
    </row>
    <row r="471">
      <c r="K471" s="25">
        <f>MAX(-0.05,NORMINV(RAND(),$C$6,$D$6))</f>
        <v/>
      </c>
      <c r="L471" s="25">
        <f>MAX(0.02,NORMINV(RAND(),$C$7,$D$7))</f>
        <v/>
      </c>
      <c r="M471" s="25">
        <f>MIN(0.16,MAX(0.05,NORMINV(RAND(),$C$8,$D$8)))</f>
        <v/>
      </c>
      <c r="N471" s="26">
        <f>MIN(24,MAX(5,NORMINV(RAND(),$C$9,$D$9)))</f>
        <v/>
      </c>
      <c r="O471" s="49">
        <f>$I$8*(SUMPRODUCT(($I$2*(1+K471)^{1;2;3;4;5;6;7;8;9;10})*(($I$3+(L471-$I$3)*{1;2;3;4;5;6;7;8;9;10}/10)*(1-$I$7)+$I$4-$I$4*($I$5+(1.05-$I$5)*{1;2;3;4;5;6;7;8;9;10}/10)-(K471/(1+K471))*$I$6)/(1+M471)^{1;2;3;4;5;6;7;8;9;10})+$I$2*(1+K471)^10*(L471+$I$4)*N471/(1+M471)^10+$I$9-$I$10)/$I$11</f>
        <v/>
      </c>
    </row>
    <row r="472">
      <c r="K472" s="25">
        <f>MAX(-0.05,NORMINV(RAND(),$C$6,$D$6))</f>
        <v/>
      </c>
      <c r="L472" s="25">
        <f>MAX(0.02,NORMINV(RAND(),$C$7,$D$7))</f>
        <v/>
      </c>
      <c r="M472" s="25">
        <f>MIN(0.16,MAX(0.05,NORMINV(RAND(),$C$8,$D$8)))</f>
        <v/>
      </c>
      <c r="N472" s="26">
        <f>MIN(24,MAX(5,NORMINV(RAND(),$C$9,$D$9)))</f>
        <v/>
      </c>
      <c r="O472" s="49">
        <f>$I$8*(SUMPRODUCT(($I$2*(1+K472)^{1;2;3;4;5;6;7;8;9;10})*(($I$3+(L472-$I$3)*{1;2;3;4;5;6;7;8;9;10}/10)*(1-$I$7)+$I$4-$I$4*($I$5+(1.05-$I$5)*{1;2;3;4;5;6;7;8;9;10}/10)-(K472/(1+K472))*$I$6)/(1+M472)^{1;2;3;4;5;6;7;8;9;10})+$I$2*(1+K472)^10*(L472+$I$4)*N472/(1+M472)^10+$I$9-$I$10)/$I$11</f>
        <v/>
      </c>
    </row>
    <row r="473">
      <c r="K473" s="25">
        <f>MAX(-0.05,NORMINV(RAND(),$C$6,$D$6))</f>
        <v/>
      </c>
      <c r="L473" s="25">
        <f>MAX(0.02,NORMINV(RAND(),$C$7,$D$7))</f>
        <v/>
      </c>
      <c r="M473" s="25">
        <f>MIN(0.16,MAX(0.05,NORMINV(RAND(),$C$8,$D$8)))</f>
        <v/>
      </c>
      <c r="N473" s="26">
        <f>MIN(24,MAX(5,NORMINV(RAND(),$C$9,$D$9)))</f>
        <v/>
      </c>
      <c r="O473" s="49">
        <f>$I$8*(SUMPRODUCT(($I$2*(1+K473)^{1;2;3;4;5;6;7;8;9;10})*(($I$3+(L473-$I$3)*{1;2;3;4;5;6;7;8;9;10}/10)*(1-$I$7)+$I$4-$I$4*($I$5+(1.05-$I$5)*{1;2;3;4;5;6;7;8;9;10}/10)-(K473/(1+K473))*$I$6)/(1+M473)^{1;2;3;4;5;6;7;8;9;10})+$I$2*(1+K473)^10*(L473+$I$4)*N473/(1+M473)^10+$I$9-$I$10)/$I$11</f>
        <v/>
      </c>
    </row>
    <row r="474">
      <c r="K474" s="25">
        <f>MAX(-0.05,NORMINV(RAND(),$C$6,$D$6))</f>
        <v/>
      </c>
      <c r="L474" s="25">
        <f>MAX(0.02,NORMINV(RAND(),$C$7,$D$7))</f>
        <v/>
      </c>
      <c r="M474" s="25">
        <f>MIN(0.16,MAX(0.05,NORMINV(RAND(),$C$8,$D$8)))</f>
        <v/>
      </c>
      <c r="N474" s="26">
        <f>MIN(24,MAX(5,NORMINV(RAND(),$C$9,$D$9)))</f>
        <v/>
      </c>
      <c r="O474" s="49">
        <f>$I$8*(SUMPRODUCT(($I$2*(1+K474)^{1;2;3;4;5;6;7;8;9;10})*(($I$3+(L474-$I$3)*{1;2;3;4;5;6;7;8;9;10}/10)*(1-$I$7)+$I$4-$I$4*($I$5+(1.05-$I$5)*{1;2;3;4;5;6;7;8;9;10}/10)-(K474/(1+K474))*$I$6)/(1+M474)^{1;2;3;4;5;6;7;8;9;10})+$I$2*(1+K474)^10*(L474+$I$4)*N474/(1+M474)^10+$I$9-$I$10)/$I$11</f>
        <v/>
      </c>
    </row>
    <row r="475">
      <c r="K475" s="25">
        <f>MAX(-0.05,NORMINV(RAND(),$C$6,$D$6))</f>
        <v/>
      </c>
      <c r="L475" s="25">
        <f>MAX(0.02,NORMINV(RAND(),$C$7,$D$7))</f>
        <v/>
      </c>
      <c r="M475" s="25">
        <f>MIN(0.16,MAX(0.05,NORMINV(RAND(),$C$8,$D$8)))</f>
        <v/>
      </c>
      <c r="N475" s="26">
        <f>MIN(24,MAX(5,NORMINV(RAND(),$C$9,$D$9)))</f>
        <v/>
      </c>
      <c r="O475" s="49">
        <f>$I$8*(SUMPRODUCT(($I$2*(1+K475)^{1;2;3;4;5;6;7;8;9;10})*(($I$3+(L475-$I$3)*{1;2;3;4;5;6;7;8;9;10}/10)*(1-$I$7)+$I$4-$I$4*($I$5+(1.05-$I$5)*{1;2;3;4;5;6;7;8;9;10}/10)-(K475/(1+K475))*$I$6)/(1+M475)^{1;2;3;4;5;6;7;8;9;10})+$I$2*(1+K475)^10*(L475+$I$4)*N475/(1+M475)^10+$I$9-$I$10)/$I$11</f>
        <v/>
      </c>
    </row>
    <row r="476">
      <c r="K476" s="25">
        <f>MAX(-0.05,NORMINV(RAND(),$C$6,$D$6))</f>
        <v/>
      </c>
      <c r="L476" s="25">
        <f>MAX(0.02,NORMINV(RAND(),$C$7,$D$7))</f>
        <v/>
      </c>
      <c r="M476" s="25">
        <f>MIN(0.16,MAX(0.05,NORMINV(RAND(),$C$8,$D$8)))</f>
        <v/>
      </c>
      <c r="N476" s="26">
        <f>MIN(24,MAX(5,NORMINV(RAND(),$C$9,$D$9)))</f>
        <v/>
      </c>
      <c r="O476" s="49">
        <f>$I$8*(SUMPRODUCT(($I$2*(1+K476)^{1;2;3;4;5;6;7;8;9;10})*(($I$3+(L476-$I$3)*{1;2;3;4;5;6;7;8;9;10}/10)*(1-$I$7)+$I$4-$I$4*($I$5+(1.05-$I$5)*{1;2;3;4;5;6;7;8;9;10}/10)-(K476/(1+K476))*$I$6)/(1+M476)^{1;2;3;4;5;6;7;8;9;10})+$I$2*(1+K476)^10*(L476+$I$4)*N476/(1+M476)^10+$I$9-$I$10)/$I$11</f>
        <v/>
      </c>
    </row>
    <row r="477">
      <c r="K477" s="25">
        <f>MAX(-0.05,NORMINV(RAND(),$C$6,$D$6))</f>
        <v/>
      </c>
      <c r="L477" s="25">
        <f>MAX(0.02,NORMINV(RAND(),$C$7,$D$7))</f>
        <v/>
      </c>
      <c r="M477" s="25">
        <f>MIN(0.16,MAX(0.05,NORMINV(RAND(),$C$8,$D$8)))</f>
        <v/>
      </c>
      <c r="N477" s="26">
        <f>MIN(24,MAX(5,NORMINV(RAND(),$C$9,$D$9)))</f>
        <v/>
      </c>
      <c r="O477" s="49">
        <f>$I$8*(SUMPRODUCT(($I$2*(1+K477)^{1;2;3;4;5;6;7;8;9;10})*(($I$3+(L477-$I$3)*{1;2;3;4;5;6;7;8;9;10}/10)*(1-$I$7)+$I$4-$I$4*($I$5+(1.05-$I$5)*{1;2;3;4;5;6;7;8;9;10}/10)-(K477/(1+K477))*$I$6)/(1+M477)^{1;2;3;4;5;6;7;8;9;10})+$I$2*(1+K477)^10*(L477+$I$4)*N477/(1+M477)^10+$I$9-$I$10)/$I$11</f>
        <v/>
      </c>
    </row>
    <row r="478">
      <c r="K478" s="25">
        <f>MAX(-0.05,NORMINV(RAND(),$C$6,$D$6))</f>
        <v/>
      </c>
      <c r="L478" s="25">
        <f>MAX(0.02,NORMINV(RAND(),$C$7,$D$7))</f>
        <v/>
      </c>
      <c r="M478" s="25">
        <f>MIN(0.16,MAX(0.05,NORMINV(RAND(),$C$8,$D$8)))</f>
        <v/>
      </c>
      <c r="N478" s="26">
        <f>MIN(24,MAX(5,NORMINV(RAND(),$C$9,$D$9)))</f>
        <v/>
      </c>
      <c r="O478" s="49">
        <f>$I$8*(SUMPRODUCT(($I$2*(1+K478)^{1;2;3;4;5;6;7;8;9;10})*(($I$3+(L478-$I$3)*{1;2;3;4;5;6;7;8;9;10}/10)*(1-$I$7)+$I$4-$I$4*($I$5+(1.05-$I$5)*{1;2;3;4;5;6;7;8;9;10}/10)-(K478/(1+K478))*$I$6)/(1+M478)^{1;2;3;4;5;6;7;8;9;10})+$I$2*(1+K478)^10*(L478+$I$4)*N478/(1+M478)^10+$I$9-$I$10)/$I$11</f>
        <v/>
      </c>
    </row>
    <row r="479">
      <c r="K479" s="25">
        <f>MAX(-0.05,NORMINV(RAND(),$C$6,$D$6))</f>
        <v/>
      </c>
      <c r="L479" s="25">
        <f>MAX(0.02,NORMINV(RAND(),$C$7,$D$7))</f>
        <v/>
      </c>
      <c r="M479" s="25">
        <f>MIN(0.16,MAX(0.05,NORMINV(RAND(),$C$8,$D$8)))</f>
        <v/>
      </c>
      <c r="N479" s="26">
        <f>MIN(24,MAX(5,NORMINV(RAND(),$C$9,$D$9)))</f>
        <v/>
      </c>
      <c r="O479" s="49">
        <f>$I$8*(SUMPRODUCT(($I$2*(1+K479)^{1;2;3;4;5;6;7;8;9;10})*(($I$3+(L479-$I$3)*{1;2;3;4;5;6;7;8;9;10}/10)*(1-$I$7)+$I$4-$I$4*($I$5+(1.05-$I$5)*{1;2;3;4;5;6;7;8;9;10}/10)-(K479/(1+K479))*$I$6)/(1+M479)^{1;2;3;4;5;6;7;8;9;10})+$I$2*(1+K479)^10*(L479+$I$4)*N479/(1+M479)^10+$I$9-$I$10)/$I$11</f>
        <v/>
      </c>
    </row>
    <row r="480">
      <c r="K480" s="25">
        <f>MAX(-0.05,NORMINV(RAND(),$C$6,$D$6))</f>
        <v/>
      </c>
      <c r="L480" s="25">
        <f>MAX(0.02,NORMINV(RAND(),$C$7,$D$7))</f>
        <v/>
      </c>
      <c r="M480" s="25">
        <f>MIN(0.16,MAX(0.05,NORMINV(RAND(),$C$8,$D$8)))</f>
        <v/>
      </c>
      <c r="N480" s="26">
        <f>MIN(24,MAX(5,NORMINV(RAND(),$C$9,$D$9)))</f>
        <v/>
      </c>
      <c r="O480" s="49">
        <f>$I$8*(SUMPRODUCT(($I$2*(1+K480)^{1;2;3;4;5;6;7;8;9;10})*(($I$3+(L480-$I$3)*{1;2;3;4;5;6;7;8;9;10}/10)*(1-$I$7)+$I$4-$I$4*($I$5+(1.05-$I$5)*{1;2;3;4;5;6;7;8;9;10}/10)-(K480/(1+K480))*$I$6)/(1+M480)^{1;2;3;4;5;6;7;8;9;10})+$I$2*(1+K480)^10*(L480+$I$4)*N480/(1+M480)^10+$I$9-$I$10)/$I$11</f>
        <v/>
      </c>
    </row>
    <row r="481">
      <c r="K481" s="25">
        <f>MAX(-0.05,NORMINV(RAND(),$C$6,$D$6))</f>
        <v/>
      </c>
      <c r="L481" s="25">
        <f>MAX(0.02,NORMINV(RAND(),$C$7,$D$7))</f>
        <v/>
      </c>
      <c r="M481" s="25">
        <f>MIN(0.16,MAX(0.05,NORMINV(RAND(),$C$8,$D$8)))</f>
        <v/>
      </c>
      <c r="N481" s="26">
        <f>MIN(24,MAX(5,NORMINV(RAND(),$C$9,$D$9)))</f>
        <v/>
      </c>
      <c r="O481" s="49">
        <f>$I$8*(SUMPRODUCT(($I$2*(1+K481)^{1;2;3;4;5;6;7;8;9;10})*(($I$3+(L481-$I$3)*{1;2;3;4;5;6;7;8;9;10}/10)*(1-$I$7)+$I$4-$I$4*($I$5+(1.05-$I$5)*{1;2;3;4;5;6;7;8;9;10}/10)-(K481/(1+K481))*$I$6)/(1+M481)^{1;2;3;4;5;6;7;8;9;10})+$I$2*(1+K481)^10*(L481+$I$4)*N481/(1+M481)^10+$I$9-$I$10)/$I$11</f>
        <v/>
      </c>
    </row>
    <row r="482">
      <c r="K482" s="25">
        <f>MAX(-0.05,NORMINV(RAND(),$C$6,$D$6))</f>
        <v/>
      </c>
      <c r="L482" s="25">
        <f>MAX(0.02,NORMINV(RAND(),$C$7,$D$7))</f>
        <v/>
      </c>
      <c r="M482" s="25">
        <f>MIN(0.16,MAX(0.05,NORMINV(RAND(),$C$8,$D$8)))</f>
        <v/>
      </c>
      <c r="N482" s="26">
        <f>MIN(24,MAX(5,NORMINV(RAND(),$C$9,$D$9)))</f>
        <v/>
      </c>
      <c r="O482" s="49">
        <f>$I$8*(SUMPRODUCT(($I$2*(1+K482)^{1;2;3;4;5;6;7;8;9;10})*(($I$3+(L482-$I$3)*{1;2;3;4;5;6;7;8;9;10}/10)*(1-$I$7)+$I$4-$I$4*($I$5+(1.05-$I$5)*{1;2;3;4;5;6;7;8;9;10}/10)-(K482/(1+K482))*$I$6)/(1+M482)^{1;2;3;4;5;6;7;8;9;10})+$I$2*(1+K482)^10*(L482+$I$4)*N482/(1+M482)^10+$I$9-$I$10)/$I$11</f>
        <v/>
      </c>
    </row>
    <row r="483">
      <c r="K483" s="25">
        <f>MAX(-0.05,NORMINV(RAND(),$C$6,$D$6))</f>
        <v/>
      </c>
      <c r="L483" s="25">
        <f>MAX(0.02,NORMINV(RAND(),$C$7,$D$7))</f>
        <v/>
      </c>
      <c r="M483" s="25">
        <f>MIN(0.16,MAX(0.05,NORMINV(RAND(),$C$8,$D$8)))</f>
        <v/>
      </c>
      <c r="N483" s="26">
        <f>MIN(24,MAX(5,NORMINV(RAND(),$C$9,$D$9)))</f>
        <v/>
      </c>
      <c r="O483" s="49">
        <f>$I$8*(SUMPRODUCT(($I$2*(1+K483)^{1;2;3;4;5;6;7;8;9;10})*(($I$3+(L483-$I$3)*{1;2;3;4;5;6;7;8;9;10}/10)*(1-$I$7)+$I$4-$I$4*($I$5+(1.05-$I$5)*{1;2;3;4;5;6;7;8;9;10}/10)-(K483/(1+K483))*$I$6)/(1+M483)^{1;2;3;4;5;6;7;8;9;10})+$I$2*(1+K483)^10*(L483+$I$4)*N483/(1+M483)^10+$I$9-$I$10)/$I$11</f>
        <v/>
      </c>
    </row>
    <row r="484">
      <c r="K484" s="25">
        <f>MAX(-0.05,NORMINV(RAND(),$C$6,$D$6))</f>
        <v/>
      </c>
      <c r="L484" s="25">
        <f>MAX(0.02,NORMINV(RAND(),$C$7,$D$7))</f>
        <v/>
      </c>
      <c r="M484" s="25">
        <f>MIN(0.16,MAX(0.05,NORMINV(RAND(),$C$8,$D$8)))</f>
        <v/>
      </c>
      <c r="N484" s="26">
        <f>MIN(24,MAX(5,NORMINV(RAND(),$C$9,$D$9)))</f>
        <v/>
      </c>
      <c r="O484" s="49">
        <f>$I$8*(SUMPRODUCT(($I$2*(1+K484)^{1;2;3;4;5;6;7;8;9;10})*(($I$3+(L484-$I$3)*{1;2;3;4;5;6;7;8;9;10}/10)*(1-$I$7)+$I$4-$I$4*($I$5+(1.05-$I$5)*{1;2;3;4;5;6;7;8;9;10}/10)-(K484/(1+K484))*$I$6)/(1+M484)^{1;2;3;4;5;6;7;8;9;10})+$I$2*(1+K484)^10*(L484+$I$4)*N484/(1+M484)^10+$I$9-$I$10)/$I$11</f>
        <v/>
      </c>
    </row>
    <row r="485">
      <c r="K485" s="25">
        <f>MAX(-0.05,NORMINV(RAND(),$C$6,$D$6))</f>
        <v/>
      </c>
      <c r="L485" s="25">
        <f>MAX(0.02,NORMINV(RAND(),$C$7,$D$7))</f>
        <v/>
      </c>
      <c r="M485" s="25">
        <f>MIN(0.16,MAX(0.05,NORMINV(RAND(),$C$8,$D$8)))</f>
        <v/>
      </c>
      <c r="N485" s="26">
        <f>MIN(24,MAX(5,NORMINV(RAND(),$C$9,$D$9)))</f>
        <v/>
      </c>
      <c r="O485" s="49">
        <f>$I$8*(SUMPRODUCT(($I$2*(1+K485)^{1;2;3;4;5;6;7;8;9;10})*(($I$3+(L485-$I$3)*{1;2;3;4;5;6;7;8;9;10}/10)*(1-$I$7)+$I$4-$I$4*($I$5+(1.05-$I$5)*{1;2;3;4;5;6;7;8;9;10}/10)-(K485/(1+K485))*$I$6)/(1+M485)^{1;2;3;4;5;6;7;8;9;10})+$I$2*(1+K485)^10*(L485+$I$4)*N485/(1+M485)^10+$I$9-$I$10)/$I$11</f>
        <v/>
      </c>
    </row>
    <row r="486">
      <c r="K486" s="25">
        <f>MAX(-0.05,NORMINV(RAND(),$C$6,$D$6))</f>
        <v/>
      </c>
      <c r="L486" s="25">
        <f>MAX(0.02,NORMINV(RAND(),$C$7,$D$7))</f>
        <v/>
      </c>
      <c r="M486" s="25">
        <f>MIN(0.16,MAX(0.05,NORMINV(RAND(),$C$8,$D$8)))</f>
        <v/>
      </c>
      <c r="N486" s="26">
        <f>MIN(24,MAX(5,NORMINV(RAND(),$C$9,$D$9)))</f>
        <v/>
      </c>
      <c r="O486" s="49">
        <f>$I$8*(SUMPRODUCT(($I$2*(1+K486)^{1;2;3;4;5;6;7;8;9;10})*(($I$3+(L486-$I$3)*{1;2;3;4;5;6;7;8;9;10}/10)*(1-$I$7)+$I$4-$I$4*($I$5+(1.05-$I$5)*{1;2;3;4;5;6;7;8;9;10}/10)-(K486/(1+K486))*$I$6)/(1+M486)^{1;2;3;4;5;6;7;8;9;10})+$I$2*(1+K486)^10*(L486+$I$4)*N486/(1+M486)^10+$I$9-$I$10)/$I$11</f>
        <v/>
      </c>
    </row>
    <row r="487">
      <c r="K487" s="25">
        <f>MAX(-0.05,NORMINV(RAND(),$C$6,$D$6))</f>
        <v/>
      </c>
      <c r="L487" s="25">
        <f>MAX(0.02,NORMINV(RAND(),$C$7,$D$7))</f>
        <v/>
      </c>
      <c r="M487" s="25">
        <f>MIN(0.16,MAX(0.05,NORMINV(RAND(),$C$8,$D$8)))</f>
        <v/>
      </c>
      <c r="N487" s="26">
        <f>MIN(24,MAX(5,NORMINV(RAND(),$C$9,$D$9)))</f>
        <v/>
      </c>
      <c r="O487" s="49">
        <f>$I$8*(SUMPRODUCT(($I$2*(1+K487)^{1;2;3;4;5;6;7;8;9;10})*(($I$3+(L487-$I$3)*{1;2;3;4;5;6;7;8;9;10}/10)*(1-$I$7)+$I$4-$I$4*($I$5+(1.05-$I$5)*{1;2;3;4;5;6;7;8;9;10}/10)-(K487/(1+K487))*$I$6)/(1+M487)^{1;2;3;4;5;6;7;8;9;10})+$I$2*(1+K487)^10*(L487+$I$4)*N487/(1+M487)^10+$I$9-$I$10)/$I$11</f>
        <v/>
      </c>
    </row>
    <row r="488">
      <c r="K488" s="25">
        <f>MAX(-0.05,NORMINV(RAND(),$C$6,$D$6))</f>
        <v/>
      </c>
      <c r="L488" s="25">
        <f>MAX(0.02,NORMINV(RAND(),$C$7,$D$7))</f>
        <v/>
      </c>
      <c r="M488" s="25">
        <f>MIN(0.16,MAX(0.05,NORMINV(RAND(),$C$8,$D$8)))</f>
        <v/>
      </c>
      <c r="N488" s="26">
        <f>MIN(24,MAX(5,NORMINV(RAND(),$C$9,$D$9)))</f>
        <v/>
      </c>
      <c r="O488" s="49">
        <f>$I$8*(SUMPRODUCT(($I$2*(1+K488)^{1;2;3;4;5;6;7;8;9;10})*(($I$3+(L488-$I$3)*{1;2;3;4;5;6;7;8;9;10}/10)*(1-$I$7)+$I$4-$I$4*($I$5+(1.05-$I$5)*{1;2;3;4;5;6;7;8;9;10}/10)-(K488/(1+K488))*$I$6)/(1+M488)^{1;2;3;4;5;6;7;8;9;10})+$I$2*(1+K488)^10*(L488+$I$4)*N488/(1+M488)^10+$I$9-$I$10)/$I$11</f>
        <v/>
      </c>
    </row>
    <row r="489">
      <c r="K489" s="25">
        <f>MAX(-0.05,NORMINV(RAND(),$C$6,$D$6))</f>
        <v/>
      </c>
      <c r="L489" s="25">
        <f>MAX(0.02,NORMINV(RAND(),$C$7,$D$7))</f>
        <v/>
      </c>
      <c r="M489" s="25">
        <f>MIN(0.16,MAX(0.05,NORMINV(RAND(),$C$8,$D$8)))</f>
        <v/>
      </c>
      <c r="N489" s="26">
        <f>MIN(24,MAX(5,NORMINV(RAND(),$C$9,$D$9)))</f>
        <v/>
      </c>
      <c r="O489" s="49">
        <f>$I$8*(SUMPRODUCT(($I$2*(1+K489)^{1;2;3;4;5;6;7;8;9;10})*(($I$3+(L489-$I$3)*{1;2;3;4;5;6;7;8;9;10}/10)*(1-$I$7)+$I$4-$I$4*($I$5+(1.05-$I$5)*{1;2;3;4;5;6;7;8;9;10}/10)-(K489/(1+K489))*$I$6)/(1+M489)^{1;2;3;4;5;6;7;8;9;10})+$I$2*(1+K489)^10*(L489+$I$4)*N489/(1+M489)^10+$I$9-$I$10)/$I$11</f>
        <v/>
      </c>
    </row>
    <row r="490">
      <c r="K490" s="25">
        <f>MAX(-0.05,NORMINV(RAND(),$C$6,$D$6))</f>
        <v/>
      </c>
      <c r="L490" s="25">
        <f>MAX(0.02,NORMINV(RAND(),$C$7,$D$7))</f>
        <v/>
      </c>
      <c r="M490" s="25">
        <f>MIN(0.16,MAX(0.05,NORMINV(RAND(),$C$8,$D$8)))</f>
        <v/>
      </c>
      <c r="N490" s="26">
        <f>MIN(24,MAX(5,NORMINV(RAND(),$C$9,$D$9)))</f>
        <v/>
      </c>
      <c r="O490" s="49">
        <f>$I$8*(SUMPRODUCT(($I$2*(1+K490)^{1;2;3;4;5;6;7;8;9;10})*(($I$3+(L490-$I$3)*{1;2;3;4;5;6;7;8;9;10}/10)*(1-$I$7)+$I$4-$I$4*($I$5+(1.05-$I$5)*{1;2;3;4;5;6;7;8;9;10}/10)-(K490/(1+K490))*$I$6)/(1+M490)^{1;2;3;4;5;6;7;8;9;10})+$I$2*(1+K490)^10*(L490+$I$4)*N490/(1+M490)^10+$I$9-$I$10)/$I$11</f>
        <v/>
      </c>
    </row>
    <row r="491">
      <c r="K491" s="25">
        <f>MAX(-0.05,NORMINV(RAND(),$C$6,$D$6))</f>
        <v/>
      </c>
      <c r="L491" s="25">
        <f>MAX(0.02,NORMINV(RAND(),$C$7,$D$7))</f>
        <v/>
      </c>
      <c r="M491" s="25">
        <f>MIN(0.16,MAX(0.05,NORMINV(RAND(),$C$8,$D$8)))</f>
        <v/>
      </c>
      <c r="N491" s="26">
        <f>MIN(24,MAX(5,NORMINV(RAND(),$C$9,$D$9)))</f>
        <v/>
      </c>
      <c r="O491" s="49">
        <f>$I$8*(SUMPRODUCT(($I$2*(1+K491)^{1;2;3;4;5;6;7;8;9;10})*(($I$3+(L491-$I$3)*{1;2;3;4;5;6;7;8;9;10}/10)*(1-$I$7)+$I$4-$I$4*($I$5+(1.05-$I$5)*{1;2;3;4;5;6;7;8;9;10}/10)-(K491/(1+K491))*$I$6)/(1+M491)^{1;2;3;4;5;6;7;8;9;10})+$I$2*(1+K491)^10*(L491+$I$4)*N491/(1+M491)^10+$I$9-$I$10)/$I$11</f>
        <v/>
      </c>
    </row>
    <row r="492">
      <c r="K492" s="25">
        <f>MAX(-0.05,NORMINV(RAND(),$C$6,$D$6))</f>
        <v/>
      </c>
      <c r="L492" s="25">
        <f>MAX(0.02,NORMINV(RAND(),$C$7,$D$7))</f>
        <v/>
      </c>
      <c r="M492" s="25">
        <f>MIN(0.16,MAX(0.05,NORMINV(RAND(),$C$8,$D$8)))</f>
        <v/>
      </c>
      <c r="N492" s="26">
        <f>MIN(24,MAX(5,NORMINV(RAND(),$C$9,$D$9)))</f>
        <v/>
      </c>
      <c r="O492" s="49">
        <f>$I$8*(SUMPRODUCT(($I$2*(1+K492)^{1;2;3;4;5;6;7;8;9;10})*(($I$3+(L492-$I$3)*{1;2;3;4;5;6;7;8;9;10}/10)*(1-$I$7)+$I$4-$I$4*($I$5+(1.05-$I$5)*{1;2;3;4;5;6;7;8;9;10}/10)-(K492/(1+K492))*$I$6)/(1+M492)^{1;2;3;4;5;6;7;8;9;10})+$I$2*(1+K492)^10*(L492+$I$4)*N492/(1+M492)^10+$I$9-$I$10)/$I$11</f>
        <v/>
      </c>
    </row>
    <row r="493">
      <c r="K493" s="25">
        <f>MAX(-0.05,NORMINV(RAND(),$C$6,$D$6))</f>
        <v/>
      </c>
      <c r="L493" s="25">
        <f>MAX(0.02,NORMINV(RAND(),$C$7,$D$7))</f>
        <v/>
      </c>
      <c r="M493" s="25">
        <f>MIN(0.16,MAX(0.05,NORMINV(RAND(),$C$8,$D$8)))</f>
        <v/>
      </c>
      <c r="N493" s="26">
        <f>MIN(24,MAX(5,NORMINV(RAND(),$C$9,$D$9)))</f>
        <v/>
      </c>
      <c r="O493" s="49">
        <f>$I$8*(SUMPRODUCT(($I$2*(1+K493)^{1;2;3;4;5;6;7;8;9;10})*(($I$3+(L493-$I$3)*{1;2;3;4;5;6;7;8;9;10}/10)*(1-$I$7)+$I$4-$I$4*($I$5+(1.05-$I$5)*{1;2;3;4;5;6;7;8;9;10}/10)-(K493/(1+K493))*$I$6)/(1+M493)^{1;2;3;4;5;6;7;8;9;10})+$I$2*(1+K493)^10*(L493+$I$4)*N493/(1+M493)^10+$I$9-$I$10)/$I$11</f>
        <v/>
      </c>
    </row>
    <row r="494">
      <c r="K494" s="25">
        <f>MAX(-0.05,NORMINV(RAND(),$C$6,$D$6))</f>
        <v/>
      </c>
      <c r="L494" s="25">
        <f>MAX(0.02,NORMINV(RAND(),$C$7,$D$7))</f>
        <v/>
      </c>
      <c r="M494" s="25">
        <f>MIN(0.16,MAX(0.05,NORMINV(RAND(),$C$8,$D$8)))</f>
        <v/>
      </c>
      <c r="N494" s="26">
        <f>MIN(24,MAX(5,NORMINV(RAND(),$C$9,$D$9)))</f>
        <v/>
      </c>
      <c r="O494" s="49">
        <f>$I$8*(SUMPRODUCT(($I$2*(1+K494)^{1;2;3;4;5;6;7;8;9;10})*(($I$3+(L494-$I$3)*{1;2;3;4;5;6;7;8;9;10}/10)*(1-$I$7)+$I$4-$I$4*($I$5+(1.05-$I$5)*{1;2;3;4;5;6;7;8;9;10}/10)-(K494/(1+K494))*$I$6)/(1+M494)^{1;2;3;4;5;6;7;8;9;10})+$I$2*(1+K494)^10*(L494+$I$4)*N494/(1+M494)^10+$I$9-$I$10)/$I$11</f>
        <v/>
      </c>
    </row>
    <row r="495">
      <c r="K495" s="25">
        <f>MAX(-0.05,NORMINV(RAND(),$C$6,$D$6))</f>
        <v/>
      </c>
      <c r="L495" s="25">
        <f>MAX(0.02,NORMINV(RAND(),$C$7,$D$7))</f>
        <v/>
      </c>
      <c r="M495" s="25">
        <f>MIN(0.16,MAX(0.05,NORMINV(RAND(),$C$8,$D$8)))</f>
        <v/>
      </c>
      <c r="N495" s="26">
        <f>MIN(24,MAX(5,NORMINV(RAND(),$C$9,$D$9)))</f>
        <v/>
      </c>
      <c r="O495" s="49">
        <f>$I$8*(SUMPRODUCT(($I$2*(1+K495)^{1;2;3;4;5;6;7;8;9;10})*(($I$3+(L495-$I$3)*{1;2;3;4;5;6;7;8;9;10}/10)*(1-$I$7)+$I$4-$I$4*($I$5+(1.05-$I$5)*{1;2;3;4;5;6;7;8;9;10}/10)-(K495/(1+K495))*$I$6)/(1+M495)^{1;2;3;4;5;6;7;8;9;10})+$I$2*(1+K495)^10*(L495+$I$4)*N495/(1+M495)^10+$I$9-$I$10)/$I$11</f>
        <v/>
      </c>
    </row>
    <row r="496">
      <c r="K496" s="25">
        <f>MAX(-0.05,NORMINV(RAND(),$C$6,$D$6))</f>
        <v/>
      </c>
      <c r="L496" s="25">
        <f>MAX(0.02,NORMINV(RAND(),$C$7,$D$7))</f>
        <v/>
      </c>
      <c r="M496" s="25">
        <f>MIN(0.16,MAX(0.05,NORMINV(RAND(),$C$8,$D$8)))</f>
        <v/>
      </c>
      <c r="N496" s="26">
        <f>MIN(24,MAX(5,NORMINV(RAND(),$C$9,$D$9)))</f>
        <v/>
      </c>
      <c r="O496" s="49">
        <f>$I$8*(SUMPRODUCT(($I$2*(1+K496)^{1;2;3;4;5;6;7;8;9;10})*(($I$3+(L496-$I$3)*{1;2;3;4;5;6;7;8;9;10}/10)*(1-$I$7)+$I$4-$I$4*($I$5+(1.05-$I$5)*{1;2;3;4;5;6;7;8;9;10}/10)-(K496/(1+K496))*$I$6)/(1+M496)^{1;2;3;4;5;6;7;8;9;10})+$I$2*(1+K496)^10*(L496+$I$4)*N496/(1+M496)^10+$I$9-$I$10)/$I$11</f>
        <v/>
      </c>
    </row>
    <row r="497">
      <c r="K497" s="25">
        <f>MAX(-0.05,NORMINV(RAND(),$C$6,$D$6))</f>
        <v/>
      </c>
      <c r="L497" s="25">
        <f>MAX(0.02,NORMINV(RAND(),$C$7,$D$7))</f>
        <v/>
      </c>
      <c r="M497" s="25">
        <f>MIN(0.16,MAX(0.05,NORMINV(RAND(),$C$8,$D$8)))</f>
        <v/>
      </c>
      <c r="N497" s="26">
        <f>MIN(24,MAX(5,NORMINV(RAND(),$C$9,$D$9)))</f>
        <v/>
      </c>
      <c r="O497" s="49">
        <f>$I$8*(SUMPRODUCT(($I$2*(1+K497)^{1;2;3;4;5;6;7;8;9;10})*(($I$3+(L497-$I$3)*{1;2;3;4;5;6;7;8;9;10}/10)*(1-$I$7)+$I$4-$I$4*($I$5+(1.05-$I$5)*{1;2;3;4;5;6;7;8;9;10}/10)-(K497/(1+K497))*$I$6)/(1+M497)^{1;2;3;4;5;6;7;8;9;10})+$I$2*(1+K497)^10*(L497+$I$4)*N497/(1+M497)^10+$I$9-$I$10)/$I$11</f>
        <v/>
      </c>
    </row>
    <row r="498">
      <c r="K498" s="25">
        <f>MAX(-0.05,NORMINV(RAND(),$C$6,$D$6))</f>
        <v/>
      </c>
      <c r="L498" s="25">
        <f>MAX(0.02,NORMINV(RAND(),$C$7,$D$7))</f>
        <v/>
      </c>
      <c r="M498" s="25">
        <f>MIN(0.16,MAX(0.05,NORMINV(RAND(),$C$8,$D$8)))</f>
        <v/>
      </c>
      <c r="N498" s="26">
        <f>MIN(24,MAX(5,NORMINV(RAND(),$C$9,$D$9)))</f>
        <v/>
      </c>
      <c r="O498" s="49">
        <f>$I$8*(SUMPRODUCT(($I$2*(1+K498)^{1;2;3;4;5;6;7;8;9;10})*(($I$3+(L498-$I$3)*{1;2;3;4;5;6;7;8;9;10}/10)*(1-$I$7)+$I$4-$I$4*($I$5+(1.05-$I$5)*{1;2;3;4;5;6;7;8;9;10}/10)-(K498/(1+K498))*$I$6)/(1+M498)^{1;2;3;4;5;6;7;8;9;10})+$I$2*(1+K498)^10*(L498+$I$4)*N498/(1+M498)^10+$I$9-$I$10)/$I$11</f>
        <v/>
      </c>
    </row>
    <row r="499">
      <c r="K499" s="25">
        <f>MAX(-0.05,NORMINV(RAND(),$C$6,$D$6))</f>
        <v/>
      </c>
      <c r="L499" s="25">
        <f>MAX(0.02,NORMINV(RAND(),$C$7,$D$7))</f>
        <v/>
      </c>
      <c r="M499" s="25">
        <f>MIN(0.16,MAX(0.05,NORMINV(RAND(),$C$8,$D$8)))</f>
        <v/>
      </c>
      <c r="N499" s="26">
        <f>MIN(24,MAX(5,NORMINV(RAND(),$C$9,$D$9)))</f>
        <v/>
      </c>
      <c r="O499" s="49">
        <f>$I$8*(SUMPRODUCT(($I$2*(1+K499)^{1;2;3;4;5;6;7;8;9;10})*(($I$3+(L499-$I$3)*{1;2;3;4;5;6;7;8;9;10}/10)*(1-$I$7)+$I$4-$I$4*($I$5+(1.05-$I$5)*{1;2;3;4;5;6;7;8;9;10}/10)-(K499/(1+K499))*$I$6)/(1+M499)^{1;2;3;4;5;6;7;8;9;10})+$I$2*(1+K499)^10*(L499+$I$4)*N499/(1+M499)^10+$I$9-$I$10)/$I$11</f>
        <v/>
      </c>
    </row>
    <row r="500">
      <c r="K500" s="25">
        <f>MAX(-0.05,NORMINV(RAND(),$C$6,$D$6))</f>
        <v/>
      </c>
      <c r="L500" s="25">
        <f>MAX(0.02,NORMINV(RAND(),$C$7,$D$7))</f>
        <v/>
      </c>
      <c r="M500" s="25">
        <f>MIN(0.16,MAX(0.05,NORMINV(RAND(),$C$8,$D$8)))</f>
        <v/>
      </c>
      <c r="N500" s="26">
        <f>MIN(24,MAX(5,NORMINV(RAND(),$C$9,$D$9)))</f>
        <v/>
      </c>
      <c r="O500" s="49">
        <f>$I$8*(SUMPRODUCT(($I$2*(1+K500)^{1;2;3;4;5;6;7;8;9;10})*(($I$3+(L500-$I$3)*{1;2;3;4;5;6;7;8;9;10}/10)*(1-$I$7)+$I$4-$I$4*($I$5+(1.05-$I$5)*{1;2;3;4;5;6;7;8;9;10}/10)-(K500/(1+K500))*$I$6)/(1+M500)^{1;2;3;4;5;6;7;8;9;10})+$I$2*(1+K500)^10*(L500+$I$4)*N500/(1+M500)^10+$I$9-$I$10)/$I$11</f>
        <v/>
      </c>
    </row>
    <row r="501">
      <c r="K501" s="25">
        <f>MAX(-0.05,NORMINV(RAND(),$C$6,$D$6))</f>
        <v/>
      </c>
      <c r="L501" s="25">
        <f>MAX(0.02,NORMINV(RAND(),$C$7,$D$7))</f>
        <v/>
      </c>
      <c r="M501" s="25">
        <f>MIN(0.16,MAX(0.05,NORMINV(RAND(),$C$8,$D$8)))</f>
        <v/>
      </c>
      <c r="N501" s="26">
        <f>MIN(24,MAX(5,NORMINV(RAND(),$C$9,$D$9)))</f>
        <v/>
      </c>
      <c r="O501" s="49">
        <f>$I$8*(SUMPRODUCT(($I$2*(1+K501)^{1;2;3;4;5;6;7;8;9;10})*(($I$3+(L501-$I$3)*{1;2;3;4;5;6;7;8;9;10}/10)*(1-$I$7)+$I$4-$I$4*($I$5+(1.05-$I$5)*{1;2;3;4;5;6;7;8;9;10}/10)-(K501/(1+K501))*$I$6)/(1+M501)^{1;2;3;4;5;6;7;8;9;10})+$I$2*(1+K501)^10*(L501+$I$4)*N501/(1+M501)^10+$I$9-$I$10)/$I$11</f>
        <v/>
      </c>
    </row>
    <row r="502">
      <c r="K502" s="25">
        <f>MAX(-0.05,NORMINV(RAND(),$C$6,$D$6))</f>
        <v/>
      </c>
      <c r="L502" s="25">
        <f>MAX(0.02,NORMINV(RAND(),$C$7,$D$7))</f>
        <v/>
      </c>
      <c r="M502" s="25">
        <f>MIN(0.16,MAX(0.05,NORMINV(RAND(),$C$8,$D$8)))</f>
        <v/>
      </c>
      <c r="N502" s="26">
        <f>MIN(24,MAX(5,NORMINV(RAND(),$C$9,$D$9)))</f>
        <v/>
      </c>
      <c r="O502" s="49">
        <f>$I$8*(SUMPRODUCT(($I$2*(1+K502)^{1;2;3;4;5;6;7;8;9;10})*(($I$3+(L502-$I$3)*{1;2;3;4;5;6;7;8;9;10}/10)*(1-$I$7)+$I$4-$I$4*($I$5+(1.05-$I$5)*{1;2;3;4;5;6;7;8;9;10}/10)-(K502/(1+K502))*$I$6)/(1+M502)^{1;2;3;4;5;6;7;8;9;10})+$I$2*(1+K502)^10*(L502+$I$4)*N502/(1+M502)^10+$I$9-$I$10)/$I$11</f>
        <v/>
      </c>
    </row>
    <row r="503">
      <c r="K503" s="25">
        <f>MAX(-0.05,NORMINV(RAND(),$C$6,$D$6))</f>
        <v/>
      </c>
      <c r="L503" s="25">
        <f>MAX(0.02,NORMINV(RAND(),$C$7,$D$7))</f>
        <v/>
      </c>
      <c r="M503" s="25">
        <f>MIN(0.16,MAX(0.05,NORMINV(RAND(),$C$8,$D$8)))</f>
        <v/>
      </c>
      <c r="N503" s="26">
        <f>MIN(24,MAX(5,NORMINV(RAND(),$C$9,$D$9)))</f>
        <v/>
      </c>
      <c r="O503" s="49">
        <f>$I$8*(SUMPRODUCT(($I$2*(1+K503)^{1;2;3;4;5;6;7;8;9;10})*(($I$3+(L503-$I$3)*{1;2;3;4;5;6;7;8;9;10}/10)*(1-$I$7)+$I$4-$I$4*($I$5+(1.05-$I$5)*{1;2;3;4;5;6;7;8;9;10}/10)-(K503/(1+K503))*$I$6)/(1+M503)^{1;2;3;4;5;6;7;8;9;10})+$I$2*(1+K503)^10*(L503+$I$4)*N503/(1+M503)^10+$I$9-$I$10)/$I$11</f>
        <v/>
      </c>
    </row>
    <row r="504">
      <c r="K504" s="25">
        <f>MAX(-0.05,NORMINV(RAND(),$C$6,$D$6))</f>
        <v/>
      </c>
      <c r="L504" s="25">
        <f>MAX(0.02,NORMINV(RAND(),$C$7,$D$7))</f>
        <v/>
      </c>
      <c r="M504" s="25">
        <f>MIN(0.16,MAX(0.05,NORMINV(RAND(),$C$8,$D$8)))</f>
        <v/>
      </c>
      <c r="N504" s="26">
        <f>MIN(24,MAX(5,NORMINV(RAND(),$C$9,$D$9)))</f>
        <v/>
      </c>
      <c r="O504" s="49">
        <f>$I$8*(SUMPRODUCT(($I$2*(1+K504)^{1;2;3;4;5;6;7;8;9;10})*(($I$3+(L504-$I$3)*{1;2;3;4;5;6;7;8;9;10}/10)*(1-$I$7)+$I$4-$I$4*($I$5+(1.05-$I$5)*{1;2;3;4;5;6;7;8;9;10}/10)-(K504/(1+K504))*$I$6)/(1+M504)^{1;2;3;4;5;6;7;8;9;10})+$I$2*(1+K504)^10*(L504+$I$4)*N504/(1+M504)^10+$I$9-$I$10)/$I$11</f>
        <v/>
      </c>
    </row>
    <row r="505">
      <c r="K505" s="25">
        <f>MAX(-0.05,NORMINV(RAND(),$C$6,$D$6))</f>
        <v/>
      </c>
      <c r="L505" s="25">
        <f>MAX(0.02,NORMINV(RAND(),$C$7,$D$7))</f>
        <v/>
      </c>
      <c r="M505" s="25">
        <f>MIN(0.16,MAX(0.05,NORMINV(RAND(),$C$8,$D$8)))</f>
        <v/>
      </c>
      <c r="N505" s="26">
        <f>MIN(24,MAX(5,NORMINV(RAND(),$C$9,$D$9)))</f>
        <v/>
      </c>
      <c r="O505" s="49">
        <f>$I$8*(SUMPRODUCT(($I$2*(1+K505)^{1;2;3;4;5;6;7;8;9;10})*(($I$3+(L505-$I$3)*{1;2;3;4;5;6;7;8;9;10}/10)*(1-$I$7)+$I$4-$I$4*($I$5+(1.05-$I$5)*{1;2;3;4;5;6;7;8;9;10}/10)-(K505/(1+K505))*$I$6)/(1+M505)^{1;2;3;4;5;6;7;8;9;10})+$I$2*(1+K505)^10*(L505+$I$4)*N505/(1+M505)^10+$I$9-$I$10)/$I$11</f>
        <v/>
      </c>
    </row>
    <row r="506">
      <c r="K506" s="25">
        <f>MAX(-0.05,NORMINV(RAND(),$C$6,$D$6))</f>
        <v/>
      </c>
      <c r="L506" s="25">
        <f>MAX(0.02,NORMINV(RAND(),$C$7,$D$7))</f>
        <v/>
      </c>
      <c r="M506" s="25">
        <f>MIN(0.16,MAX(0.05,NORMINV(RAND(),$C$8,$D$8)))</f>
        <v/>
      </c>
      <c r="N506" s="26">
        <f>MIN(24,MAX(5,NORMINV(RAND(),$C$9,$D$9)))</f>
        <v/>
      </c>
      <c r="O506" s="49">
        <f>$I$8*(SUMPRODUCT(($I$2*(1+K506)^{1;2;3;4;5;6;7;8;9;10})*(($I$3+(L506-$I$3)*{1;2;3;4;5;6;7;8;9;10}/10)*(1-$I$7)+$I$4-$I$4*($I$5+(1.05-$I$5)*{1;2;3;4;5;6;7;8;9;10}/10)-(K506/(1+K506))*$I$6)/(1+M506)^{1;2;3;4;5;6;7;8;9;10})+$I$2*(1+K506)^10*(L506+$I$4)*N506/(1+M506)^10+$I$9-$I$10)/$I$11</f>
        <v/>
      </c>
    </row>
    <row r="507">
      <c r="K507" s="25">
        <f>MAX(-0.05,NORMINV(RAND(),$C$6,$D$6))</f>
        <v/>
      </c>
      <c r="L507" s="25">
        <f>MAX(0.02,NORMINV(RAND(),$C$7,$D$7))</f>
        <v/>
      </c>
      <c r="M507" s="25">
        <f>MIN(0.16,MAX(0.05,NORMINV(RAND(),$C$8,$D$8)))</f>
        <v/>
      </c>
      <c r="N507" s="26">
        <f>MIN(24,MAX(5,NORMINV(RAND(),$C$9,$D$9)))</f>
        <v/>
      </c>
      <c r="O507" s="49">
        <f>$I$8*(SUMPRODUCT(($I$2*(1+K507)^{1;2;3;4;5;6;7;8;9;10})*(($I$3+(L507-$I$3)*{1;2;3;4;5;6;7;8;9;10}/10)*(1-$I$7)+$I$4-$I$4*($I$5+(1.05-$I$5)*{1;2;3;4;5;6;7;8;9;10}/10)-(K507/(1+K507))*$I$6)/(1+M507)^{1;2;3;4;5;6;7;8;9;10})+$I$2*(1+K507)^10*(L507+$I$4)*N507/(1+M507)^10+$I$9-$I$10)/$I$11</f>
        <v/>
      </c>
    </row>
    <row r="508">
      <c r="K508" s="25">
        <f>MAX(-0.05,NORMINV(RAND(),$C$6,$D$6))</f>
        <v/>
      </c>
      <c r="L508" s="25">
        <f>MAX(0.02,NORMINV(RAND(),$C$7,$D$7))</f>
        <v/>
      </c>
      <c r="M508" s="25">
        <f>MIN(0.16,MAX(0.05,NORMINV(RAND(),$C$8,$D$8)))</f>
        <v/>
      </c>
      <c r="N508" s="26">
        <f>MIN(24,MAX(5,NORMINV(RAND(),$C$9,$D$9)))</f>
        <v/>
      </c>
      <c r="O508" s="49">
        <f>$I$8*(SUMPRODUCT(($I$2*(1+K508)^{1;2;3;4;5;6;7;8;9;10})*(($I$3+(L508-$I$3)*{1;2;3;4;5;6;7;8;9;10}/10)*(1-$I$7)+$I$4-$I$4*($I$5+(1.05-$I$5)*{1;2;3;4;5;6;7;8;9;10}/10)-(K508/(1+K508))*$I$6)/(1+M508)^{1;2;3;4;5;6;7;8;9;10})+$I$2*(1+K508)^10*(L508+$I$4)*N508/(1+M508)^10+$I$9-$I$10)/$I$11</f>
        <v/>
      </c>
    </row>
    <row r="509">
      <c r="K509" s="25">
        <f>MAX(-0.05,NORMINV(RAND(),$C$6,$D$6))</f>
        <v/>
      </c>
      <c r="L509" s="25">
        <f>MAX(0.02,NORMINV(RAND(),$C$7,$D$7))</f>
        <v/>
      </c>
      <c r="M509" s="25">
        <f>MIN(0.16,MAX(0.05,NORMINV(RAND(),$C$8,$D$8)))</f>
        <v/>
      </c>
      <c r="N509" s="26">
        <f>MIN(24,MAX(5,NORMINV(RAND(),$C$9,$D$9)))</f>
        <v/>
      </c>
      <c r="O509" s="49">
        <f>$I$8*(SUMPRODUCT(($I$2*(1+K509)^{1;2;3;4;5;6;7;8;9;10})*(($I$3+(L509-$I$3)*{1;2;3;4;5;6;7;8;9;10}/10)*(1-$I$7)+$I$4-$I$4*($I$5+(1.05-$I$5)*{1;2;3;4;5;6;7;8;9;10}/10)-(K509/(1+K509))*$I$6)/(1+M509)^{1;2;3;4;5;6;7;8;9;10})+$I$2*(1+K509)^10*(L509+$I$4)*N509/(1+M509)^10+$I$9-$I$10)/$I$11</f>
        <v/>
      </c>
    </row>
    <row r="510">
      <c r="K510" s="25">
        <f>MAX(-0.05,NORMINV(RAND(),$C$6,$D$6))</f>
        <v/>
      </c>
      <c r="L510" s="25">
        <f>MAX(0.02,NORMINV(RAND(),$C$7,$D$7))</f>
        <v/>
      </c>
      <c r="M510" s="25">
        <f>MIN(0.16,MAX(0.05,NORMINV(RAND(),$C$8,$D$8)))</f>
        <v/>
      </c>
      <c r="N510" s="26">
        <f>MIN(24,MAX(5,NORMINV(RAND(),$C$9,$D$9)))</f>
        <v/>
      </c>
      <c r="O510" s="49">
        <f>$I$8*(SUMPRODUCT(($I$2*(1+K510)^{1;2;3;4;5;6;7;8;9;10})*(($I$3+(L510-$I$3)*{1;2;3;4;5;6;7;8;9;10}/10)*(1-$I$7)+$I$4-$I$4*($I$5+(1.05-$I$5)*{1;2;3;4;5;6;7;8;9;10}/10)-(K510/(1+K510))*$I$6)/(1+M510)^{1;2;3;4;5;6;7;8;9;10})+$I$2*(1+K510)^10*(L510+$I$4)*N510/(1+M510)^10+$I$9-$I$10)/$I$11</f>
        <v/>
      </c>
    </row>
    <row r="511">
      <c r="K511" s="25">
        <f>MAX(-0.05,NORMINV(RAND(),$C$6,$D$6))</f>
        <v/>
      </c>
      <c r="L511" s="25">
        <f>MAX(0.02,NORMINV(RAND(),$C$7,$D$7))</f>
        <v/>
      </c>
      <c r="M511" s="25">
        <f>MIN(0.16,MAX(0.05,NORMINV(RAND(),$C$8,$D$8)))</f>
        <v/>
      </c>
      <c r="N511" s="26">
        <f>MIN(24,MAX(5,NORMINV(RAND(),$C$9,$D$9)))</f>
        <v/>
      </c>
      <c r="O511" s="49">
        <f>$I$8*(SUMPRODUCT(($I$2*(1+K511)^{1;2;3;4;5;6;7;8;9;10})*(($I$3+(L511-$I$3)*{1;2;3;4;5;6;7;8;9;10}/10)*(1-$I$7)+$I$4-$I$4*($I$5+(1.05-$I$5)*{1;2;3;4;5;6;7;8;9;10}/10)-(K511/(1+K511))*$I$6)/(1+M511)^{1;2;3;4;5;6;7;8;9;10})+$I$2*(1+K511)^10*(L511+$I$4)*N511/(1+M511)^10+$I$9-$I$10)/$I$11</f>
        <v/>
      </c>
    </row>
    <row r="512">
      <c r="K512" s="25">
        <f>MAX(-0.05,NORMINV(RAND(),$C$6,$D$6))</f>
        <v/>
      </c>
      <c r="L512" s="25">
        <f>MAX(0.02,NORMINV(RAND(),$C$7,$D$7))</f>
        <v/>
      </c>
      <c r="M512" s="25">
        <f>MIN(0.16,MAX(0.05,NORMINV(RAND(),$C$8,$D$8)))</f>
        <v/>
      </c>
      <c r="N512" s="26">
        <f>MIN(24,MAX(5,NORMINV(RAND(),$C$9,$D$9)))</f>
        <v/>
      </c>
      <c r="O512" s="49">
        <f>$I$8*(SUMPRODUCT(($I$2*(1+K512)^{1;2;3;4;5;6;7;8;9;10})*(($I$3+(L512-$I$3)*{1;2;3;4;5;6;7;8;9;10}/10)*(1-$I$7)+$I$4-$I$4*($I$5+(1.05-$I$5)*{1;2;3;4;5;6;7;8;9;10}/10)-(K512/(1+K512))*$I$6)/(1+M512)^{1;2;3;4;5;6;7;8;9;10})+$I$2*(1+K512)^10*(L512+$I$4)*N512/(1+M512)^10+$I$9-$I$10)/$I$11</f>
        <v/>
      </c>
    </row>
    <row r="513">
      <c r="K513" s="25">
        <f>MAX(-0.05,NORMINV(RAND(),$C$6,$D$6))</f>
        <v/>
      </c>
      <c r="L513" s="25">
        <f>MAX(0.02,NORMINV(RAND(),$C$7,$D$7))</f>
        <v/>
      </c>
      <c r="M513" s="25">
        <f>MIN(0.16,MAX(0.05,NORMINV(RAND(),$C$8,$D$8)))</f>
        <v/>
      </c>
      <c r="N513" s="26">
        <f>MIN(24,MAX(5,NORMINV(RAND(),$C$9,$D$9)))</f>
        <v/>
      </c>
      <c r="O513" s="49">
        <f>$I$8*(SUMPRODUCT(($I$2*(1+K513)^{1;2;3;4;5;6;7;8;9;10})*(($I$3+(L513-$I$3)*{1;2;3;4;5;6;7;8;9;10}/10)*(1-$I$7)+$I$4-$I$4*($I$5+(1.05-$I$5)*{1;2;3;4;5;6;7;8;9;10}/10)-(K513/(1+K513))*$I$6)/(1+M513)^{1;2;3;4;5;6;7;8;9;10})+$I$2*(1+K513)^10*(L513+$I$4)*N513/(1+M513)^10+$I$9-$I$10)/$I$11</f>
        <v/>
      </c>
    </row>
    <row r="514">
      <c r="K514" s="25">
        <f>MAX(-0.05,NORMINV(RAND(),$C$6,$D$6))</f>
        <v/>
      </c>
      <c r="L514" s="25">
        <f>MAX(0.02,NORMINV(RAND(),$C$7,$D$7))</f>
        <v/>
      </c>
      <c r="M514" s="25">
        <f>MIN(0.16,MAX(0.05,NORMINV(RAND(),$C$8,$D$8)))</f>
        <v/>
      </c>
      <c r="N514" s="26">
        <f>MIN(24,MAX(5,NORMINV(RAND(),$C$9,$D$9)))</f>
        <v/>
      </c>
      <c r="O514" s="49">
        <f>$I$8*(SUMPRODUCT(($I$2*(1+K514)^{1;2;3;4;5;6;7;8;9;10})*(($I$3+(L514-$I$3)*{1;2;3;4;5;6;7;8;9;10}/10)*(1-$I$7)+$I$4-$I$4*($I$5+(1.05-$I$5)*{1;2;3;4;5;6;7;8;9;10}/10)-(K514/(1+K514))*$I$6)/(1+M514)^{1;2;3;4;5;6;7;8;9;10})+$I$2*(1+K514)^10*(L514+$I$4)*N514/(1+M514)^10+$I$9-$I$10)/$I$11</f>
        <v/>
      </c>
    </row>
    <row r="515">
      <c r="K515" s="25">
        <f>MAX(-0.05,NORMINV(RAND(),$C$6,$D$6))</f>
        <v/>
      </c>
      <c r="L515" s="25">
        <f>MAX(0.02,NORMINV(RAND(),$C$7,$D$7))</f>
        <v/>
      </c>
      <c r="M515" s="25">
        <f>MIN(0.16,MAX(0.05,NORMINV(RAND(),$C$8,$D$8)))</f>
        <v/>
      </c>
      <c r="N515" s="26">
        <f>MIN(24,MAX(5,NORMINV(RAND(),$C$9,$D$9)))</f>
        <v/>
      </c>
      <c r="O515" s="49">
        <f>$I$8*(SUMPRODUCT(($I$2*(1+K515)^{1;2;3;4;5;6;7;8;9;10})*(($I$3+(L515-$I$3)*{1;2;3;4;5;6;7;8;9;10}/10)*(1-$I$7)+$I$4-$I$4*($I$5+(1.05-$I$5)*{1;2;3;4;5;6;7;8;9;10}/10)-(K515/(1+K515))*$I$6)/(1+M515)^{1;2;3;4;5;6;7;8;9;10})+$I$2*(1+K515)^10*(L515+$I$4)*N515/(1+M515)^10+$I$9-$I$10)/$I$11</f>
        <v/>
      </c>
    </row>
    <row r="516">
      <c r="K516" s="25">
        <f>MAX(-0.05,NORMINV(RAND(),$C$6,$D$6))</f>
        <v/>
      </c>
      <c r="L516" s="25">
        <f>MAX(0.02,NORMINV(RAND(),$C$7,$D$7))</f>
        <v/>
      </c>
      <c r="M516" s="25">
        <f>MIN(0.16,MAX(0.05,NORMINV(RAND(),$C$8,$D$8)))</f>
        <v/>
      </c>
      <c r="N516" s="26">
        <f>MIN(24,MAX(5,NORMINV(RAND(),$C$9,$D$9)))</f>
        <v/>
      </c>
      <c r="O516" s="49">
        <f>$I$8*(SUMPRODUCT(($I$2*(1+K516)^{1;2;3;4;5;6;7;8;9;10})*(($I$3+(L516-$I$3)*{1;2;3;4;5;6;7;8;9;10}/10)*(1-$I$7)+$I$4-$I$4*($I$5+(1.05-$I$5)*{1;2;3;4;5;6;7;8;9;10}/10)-(K516/(1+K516))*$I$6)/(1+M516)^{1;2;3;4;5;6;7;8;9;10})+$I$2*(1+K516)^10*(L516+$I$4)*N516/(1+M516)^10+$I$9-$I$10)/$I$11</f>
        <v/>
      </c>
    </row>
    <row r="517">
      <c r="K517" s="25">
        <f>MAX(-0.05,NORMINV(RAND(),$C$6,$D$6))</f>
        <v/>
      </c>
      <c r="L517" s="25">
        <f>MAX(0.02,NORMINV(RAND(),$C$7,$D$7))</f>
        <v/>
      </c>
      <c r="M517" s="25">
        <f>MIN(0.16,MAX(0.05,NORMINV(RAND(),$C$8,$D$8)))</f>
        <v/>
      </c>
      <c r="N517" s="26">
        <f>MIN(24,MAX(5,NORMINV(RAND(),$C$9,$D$9)))</f>
        <v/>
      </c>
      <c r="O517" s="49">
        <f>$I$8*(SUMPRODUCT(($I$2*(1+K517)^{1;2;3;4;5;6;7;8;9;10})*(($I$3+(L517-$I$3)*{1;2;3;4;5;6;7;8;9;10}/10)*(1-$I$7)+$I$4-$I$4*($I$5+(1.05-$I$5)*{1;2;3;4;5;6;7;8;9;10}/10)-(K517/(1+K517))*$I$6)/(1+M517)^{1;2;3;4;5;6;7;8;9;10})+$I$2*(1+K517)^10*(L517+$I$4)*N517/(1+M517)^10+$I$9-$I$10)/$I$11</f>
        <v/>
      </c>
    </row>
    <row r="518">
      <c r="K518" s="25">
        <f>MAX(-0.05,NORMINV(RAND(),$C$6,$D$6))</f>
        <v/>
      </c>
      <c r="L518" s="25">
        <f>MAX(0.02,NORMINV(RAND(),$C$7,$D$7))</f>
        <v/>
      </c>
      <c r="M518" s="25">
        <f>MIN(0.16,MAX(0.05,NORMINV(RAND(),$C$8,$D$8)))</f>
        <v/>
      </c>
      <c r="N518" s="26">
        <f>MIN(24,MAX(5,NORMINV(RAND(),$C$9,$D$9)))</f>
        <v/>
      </c>
      <c r="O518" s="49">
        <f>$I$8*(SUMPRODUCT(($I$2*(1+K518)^{1;2;3;4;5;6;7;8;9;10})*(($I$3+(L518-$I$3)*{1;2;3;4;5;6;7;8;9;10}/10)*(1-$I$7)+$I$4-$I$4*($I$5+(1.05-$I$5)*{1;2;3;4;5;6;7;8;9;10}/10)-(K518/(1+K518))*$I$6)/(1+M518)^{1;2;3;4;5;6;7;8;9;10})+$I$2*(1+K518)^10*(L518+$I$4)*N518/(1+M518)^10+$I$9-$I$10)/$I$11</f>
        <v/>
      </c>
    </row>
    <row r="519">
      <c r="K519" s="25">
        <f>MAX(-0.05,NORMINV(RAND(),$C$6,$D$6))</f>
        <v/>
      </c>
      <c r="L519" s="25">
        <f>MAX(0.02,NORMINV(RAND(),$C$7,$D$7))</f>
        <v/>
      </c>
      <c r="M519" s="25">
        <f>MIN(0.16,MAX(0.05,NORMINV(RAND(),$C$8,$D$8)))</f>
        <v/>
      </c>
      <c r="N519" s="26">
        <f>MIN(24,MAX(5,NORMINV(RAND(),$C$9,$D$9)))</f>
        <v/>
      </c>
      <c r="O519" s="49">
        <f>$I$8*(SUMPRODUCT(($I$2*(1+K519)^{1;2;3;4;5;6;7;8;9;10})*(($I$3+(L519-$I$3)*{1;2;3;4;5;6;7;8;9;10}/10)*(1-$I$7)+$I$4-$I$4*($I$5+(1.05-$I$5)*{1;2;3;4;5;6;7;8;9;10}/10)-(K519/(1+K519))*$I$6)/(1+M519)^{1;2;3;4;5;6;7;8;9;10})+$I$2*(1+K519)^10*(L519+$I$4)*N519/(1+M519)^10+$I$9-$I$10)/$I$11</f>
        <v/>
      </c>
    </row>
    <row r="520">
      <c r="K520" s="25">
        <f>MAX(-0.05,NORMINV(RAND(),$C$6,$D$6))</f>
        <v/>
      </c>
      <c r="L520" s="25">
        <f>MAX(0.02,NORMINV(RAND(),$C$7,$D$7))</f>
        <v/>
      </c>
      <c r="M520" s="25">
        <f>MIN(0.16,MAX(0.05,NORMINV(RAND(),$C$8,$D$8)))</f>
        <v/>
      </c>
      <c r="N520" s="26">
        <f>MIN(24,MAX(5,NORMINV(RAND(),$C$9,$D$9)))</f>
        <v/>
      </c>
      <c r="O520" s="49">
        <f>$I$8*(SUMPRODUCT(($I$2*(1+K520)^{1;2;3;4;5;6;7;8;9;10})*(($I$3+(L520-$I$3)*{1;2;3;4;5;6;7;8;9;10}/10)*(1-$I$7)+$I$4-$I$4*($I$5+(1.05-$I$5)*{1;2;3;4;5;6;7;8;9;10}/10)-(K520/(1+K520))*$I$6)/(1+M520)^{1;2;3;4;5;6;7;8;9;10})+$I$2*(1+K520)^10*(L520+$I$4)*N520/(1+M520)^10+$I$9-$I$10)/$I$11</f>
        <v/>
      </c>
    </row>
    <row r="521">
      <c r="K521" s="25">
        <f>MAX(-0.05,NORMINV(RAND(),$C$6,$D$6))</f>
        <v/>
      </c>
      <c r="L521" s="25">
        <f>MAX(0.02,NORMINV(RAND(),$C$7,$D$7))</f>
        <v/>
      </c>
      <c r="M521" s="25">
        <f>MIN(0.16,MAX(0.05,NORMINV(RAND(),$C$8,$D$8)))</f>
        <v/>
      </c>
      <c r="N521" s="26">
        <f>MIN(24,MAX(5,NORMINV(RAND(),$C$9,$D$9)))</f>
        <v/>
      </c>
      <c r="O521" s="49">
        <f>$I$8*(SUMPRODUCT(($I$2*(1+K521)^{1;2;3;4;5;6;7;8;9;10})*(($I$3+(L521-$I$3)*{1;2;3;4;5;6;7;8;9;10}/10)*(1-$I$7)+$I$4-$I$4*($I$5+(1.05-$I$5)*{1;2;3;4;5;6;7;8;9;10}/10)-(K521/(1+K521))*$I$6)/(1+M521)^{1;2;3;4;5;6;7;8;9;10})+$I$2*(1+K521)^10*(L521+$I$4)*N521/(1+M521)^10+$I$9-$I$10)/$I$11</f>
        <v/>
      </c>
    </row>
    <row r="522">
      <c r="K522" s="25">
        <f>MAX(-0.05,NORMINV(RAND(),$C$6,$D$6))</f>
        <v/>
      </c>
      <c r="L522" s="25">
        <f>MAX(0.02,NORMINV(RAND(),$C$7,$D$7))</f>
        <v/>
      </c>
      <c r="M522" s="25">
        <f>MIN(0.16,MAX(0.05,NORMINV(RAND(),$C$8,$D$8)))</f>
        <v/>
      </c>
      <c r="N522" s="26">
        <f>MIN(24,MAX(5,NORMINV(RAND(),$C$9,$D$9)))</f>
        <v/>
      </c>
      <c r="O522" s="49">
        <f>$I$8*(SUMPRODUCT(($I$2*(1+K522)^{1;2;3;4;5;6;7;8;9;10})*(($I$3+(L522-$I$3)*{1;2;3;4;5;6;7;8;9;10}/10)*(1-$I$7)+$I$4-$I$4*($I$5+(1.05-$I$5)*{1;2;3;4;5;6;7;8;9;10}/10)-(K522/(1+K522))*$I$6)/(1+M522)^{1;2;3;4;5;6;7;8;9;10})+$I$2*(1+K522)^10*(L522+$I$4)*N522/(1+M522)^10+$I$9-$I$10)/$I$11</f>
        <v/>
      </c>
    </row>
    <row r="523">
      <c r="K523" s="25">
        <f>MAX(-0.05,NORMINV(RAND(),$C$6,$D$6))</f>
        <v/>
      </c>
      <c r="L523" s="25">
        <f>MAX(0.02,NORMINV(RAND(),$C$7,$D$7))</f>
        <v/>
      </c>
      <c r="M523" s="25">
        <f>MIN(0.16,MAX(0.05,NORMINV(RAND(),$C$8,$D$8)))</f>
        <v/>
      </c>
      <c r="N523" s="26">
        <f>MIN(24,MAX(5,NORMINV(RAND(),$C$9,$D$9)))</f>
        <v/>
      </c>
      <c r="O523" s="49">
        <f>$I$8*(SUMPRODUCT(($I$2*(1+K523)^{1;2;3;4;5;6;7;8;9;10})*(($I$3+(L523-$I$3)*{1;2;3;4;5;6;7;8;9;10}/10)*(1-$I$7)+$I$4-$I$4*($I$5+(1.05-$I$5)*{1;2;3;4;5;6;7;8;9;10}/10)-(K523/(1+K523))*$I$6)/(1+M523)^{1;2;3;4;5;6;7;8;9;10})+$I$2*(1+K523)^10*(L523+$I$4)*N523/(1+M523)^10+$I$9-$I$10)/$I$11</f>
        <v/>
      </c>
    </row>
    <row r="524">
      <c r="K524" s="25">
        <f>MAX(-0.05,NORMINV(RAND(),$C$6,$D$6))</f>
        <v/>
      </c>
      <c r="L524" s="25">
        <f>MAX(0.02,NORMINV(RAND(),$C$7,$D$7))</f>
        <v/>
      </c>
      <c r="M524" s="25">
        <f>MIN(0.16,MAX(0.05,NORMINV(RAND(),$C$8,$D$8)))</f>
        <v/>
      </c>
      <c r="N524" s="26">
        <f>MIN(24,MAX(5,NORMINV(RAND(),$C$9,$D$9)))</f>
        <v/>
      </c>
      <c r="O524" s="49">
        <f>$I$8*(SUMPRODUCT(($I$2*(1+K524)^{1;2;3;4;5;6;7;8;9;10})*(($I$3+(L524-$I$3)*{1;2;3;4;5;6;7;8;9;10}/10)*(1-$I$7)+$I$4-$I$4*($I$5+(1.05-$I$5)*{1;2;3;4;5;6;7;8;9;10}/10)-(K524/(1+K524))*$I$6)/(1+M524)^{1;2;3;4;5;6;7;8;9;10})+$I$2*(1+K524)^10*(L524+$I$4)*N524/(1+M524)^10+$I$9-$I$10)/$I$11</f>
        <v/>
      </c>
    </row>
    <row r="525">
      <c r="K525" s="25">
        <f>MAX(-0.05,NORMINV(RAND(),$C$6,$D$6))</f>
        <v/>
      </c>
      <c r="L525" s="25">
        <f>MAX(0.02,NORMINV(RAND(),$C$7,$D$7))</f>
        <v/>
      </c>
      <c r="M525" s="25">
        <f>MIN(0.16,MAX(0.05,NORMINV(RAND(),$C$8,$D$8)))</f>
        <v/>
      </c>
      <c r="N525" s="26">
        <f>MIN(24,MAX(5,NORMINV(RAND(),$C$9,$D$9)))</f>
        <v/>
      </c>
      <c r="O525" s="49">
        <f>$I$8*(SUMPRODUCT(($I$2*(1+K525)^{1;2;3;4;5;6;7;8;9;10})*(($I$3+(L525-$I$3)*{1;2;3;4;5;6;7;8;9;10}/10)*(1-$I$7)+$I$4-$I$4*($I$5+(1.05-$I$5)*{1;2;3;4;5;6;7;8;9;10}/10)-(K525/(1+K525))*$I$6)/(1+M525)^{1;2;3;4;5;6;7;8;9;10})+$I$2*(1+K525)^10*(L525+$I$4)*N525/(1+M525)^10+$I$9-$I$10)/$I$11</f>
        <v/>
      </c>
    </row>
    <row r="526">
      <c r="K526" s="25">
        <f>MAX(-0.05,NORMINV(RAND(),$C$6,$D$6))</f>
        <v/>
      </c>
      <c r="L526" s="25">
        <f>MAX(0.02,NORMINV(RAND(),$C$7,$D$7))</f>
        <v/>
      </c>
      <c r="M526" s="25">
        <f>MIN(0.16,MAX(0.05,NORMINV(RAND(),$C$8,$D$8)))</f>
        <v/>
      </c>
      <c r="N526" s="26">
        <f>MIN(24,MAX(5,NORMINV(RAND(),$C$9,$D$9)))</f>
        <v/>
      </c>
      <c r="O526" s="49">
        <f>$I$8*(SUMPRODUCT(($I$2*(1+K526)^{1;2;3;4;5;6;7;8;9;10})*(($I$3+(L526-$I$3)*{1;2;3;4;5;6;7;8;9;10}/10)*(1-$I$7)+$I$4-$I$4*($I$5+(1.05-$I$5)*{1;2;3;4;5;6;7;8;9;10}/10)-(K526/(1+K526))*$I$6)/(1+M526)^{1;2;3;4;5;6;7;8;9;10})+$I$2*(1+K526)^10*(L526+$I$4)*N526/(1+M526)^10+$I$9-$I$10)/$I$11</f>
        <v/>
      </c>
    </row>
    <row r="527">
      <c r="K527" s="25">
        <f>MAX(-0.05,NORMINV(RAND(),$C$6,$D$6))</f>
        <v/>
      </c>
      <c r="L527" s="25">
        <f>MAX(0.02,NORMINV(RAND(),$C$7,$D$7))</f>
        <v/>
      </c>
      <c r="M527" s="25">
        <f>MIN(0.16,MAX(0.05,NORMINV(RAND(),$C$8,$D$8)))</f>
        <v/>
      </c>
      <c r="N527" s="26">
        <f>MIN(24,MAX(5,NORMINV(RAND(),$C$9,$D$9)))</f>
        <v/>
      </c>
      <c r="O527" s="49">
        <f>$I$8*(SUMPRODUCT(($I$2*(1+K527)^{1;2;3;4;5;6;7;8;9;10})*(($I$3+(L527-$I$3)*{1;2;3;4;5;6;7;8;9;10}/10)*(1-$I$7)+$I$4-$I$4*($I$5+(1.05-$I$5)*{1;2;3;4;5;6;7;8;9;10}/10)-(K527/(1+K527))*$I$6)/(1+M527)^{1;2;3;4;5;6;7;8;9;10})+$I$2*(1+K527)^10*(L527+$I$4)*N527/(1+M527)^10+$I$9-$I$10)/$I$11</f>
        <v/>
      </c>
    </row>
    <row r="528">
      <c r="K528" s="25">
        <f>MAX(-0.05,NORMINV(RAND(),$C$6,$D$6))</f>
        <v/>
      </c>
      <c r="L528" s="25">
        <f>MAX(0.02,NORMINV(RAND(),$C$7,$D$7))</f>
        <v/>
      </c>
      <c r="M528" s="25">
        <f>MIN(0.16,MAX(0.05,NORMINV(RAND(),$C$8,$D$8)))</f>
        <v/>
      </c>
      <c r="N528" s="26">
        <f>MIN(24,MAX(5,NORMINV(RAND(),$C$9,$D$9)))</f>
        <v/>
      </c>
      <c r="O528" s="49">
        <f>$I$8*(SUMPRODUCT(($I$2*(1+K528)^{1;2;3;4;5;6;7;8;9;10})*(($I$3+(L528-$I$3)*{1;2;3;4;5;6;7;8;9;10}/10)*(1-$I$7)+$I$4-$I$4*($I$5+(1.05-$I$5)*{1;2;3;4;5;6;7;8;9;10}/10)-(K528/(1+K528))*$I$6)/(1+M528)^{1;2;3;4;5;6;7;8;9;10})+$I$2*(1+K528)^10*(L528+$I$4)*N528/(1+M528)^10+$I$9-$I$10)/$I$11</f>
        <v/>
      </c>
    </row>
    <row r="529">
      <c r="K529" s="25">
        <f>MAX(-0.05,NORMINV(RAND(),$C$6,$D$6))</f>
        <v/>
      </c>
      <c r="L529" s="25">
        <f>MAX(0.02,NORMINV(RAND(),$C$7,$D$7))</f>
        <v/>
      </c>
      <c r="M529" s="25">
        <f>MIN(0.16,MAX(0.05,NORMINV(RAND(),$C$8,$D$8)))</f>
        <v/>
      </c>
      <c r="N529" s="26">
        <f>MIN(24,MAX(5,NORMINV(RAND(),$C$9,$D$9)))</f>
        <v/>
      </c>
      <c r="O529" s="49">
        <f>$I$8*(SUMPRODUCT(($I$2*(1+K529)^{1;2;3;4;5;6;7;8;9;10})*(($I$3+(L529-$I$3)*{1;2;3;4;5;6;7;8;9;10}/10)*(1-$I$7)+$I$4-$I$4*($I$5+(1.05-$I$5)*{1;2;3;4;5;6;7;8;9;10}/10)-(K529/(1+K529))*$I$6)/(1+M529)^{1;2;3;4;5;6;7;8;9;10})+$I$2*(1+K529)^10*(L529+$I$4)*N529/(1+M529)^10+$I$9-$I$10)/$I$11</f>
        <v/>
      </c>
    </row>
    <row r="530">
      <c r="K530" s="25">
        <f>MAX(-0.05,NORMINV(RAND(),$C$6,$D$6))</f>
        <v/>
      </c>
      <c r="L530" s="25">
        <f>MAX(0.02,NORMINV(RAND(),$C$7,$D$7))</f>
        <v/>
      </c>
      <c r="M530" s="25">
        <f>MIN(0.16,MAX(0.05,NORMINV(RAND(),$C$8,$D$8)))</f>
        <v/>
      </c>
      <c r="N530" s="26">
        <f>MIN(24,MAX(5,NORMINV(RAND(),$C$9,$D$9)))</f>
        <v/>
      </c>
      <c r="O530" s="49">
        <f>$I$8*(SUMPRODUCT(($I$2*(1+K530)^{1;2;3;4;5;6;7;8;9;10})*(($I$3+(L530-$I$3)*{1;2;3;4;5;6;7;8;9;10}/10)*(1-$I$7)+$I$4-$I$4*($I$5+(1.05-$I$5)*{1;2;3;4;5;6;7;8;9;10}/10)-(K530/(1+K530))*$I$6)/(1+M530)^{1;2;3;4;5;6;7;8;9;10})+$I$2*(1+K530)^10*(L530+$I$4)*N530/(1+M530)^10+$I$9-$I$10)/$I$11</f>
        <v/>
      </c>
    </row>
    <row r="531">
      <c r="K531" s="25">
        <f>MAX(-0.05,NORMINV(RAND(),$C$6,$D$6))</f>
        <v/>
      </c>
      <c r="L531" s="25">
        <f>MAX(0.02,NORMINV(RAND(),$C$7,$D$7))</f>
        <v/>
      </c>
      <c r="M531" s="25">
        <f>MIN(0.16,MAX(0.05,NORMINV(RAND(),$C$8,$D$8)))</f>
        <v/>
      </c>
      <c r="N531" s="26">
        <f>MIN(24,MAX(5,NORMINV(RAND(),$C$9,$D$9)))</f>
        <v/>
      </c>
      <c r="O531" s="49">
        <f>$I$8*(SUMPRODUCT(($I$2*(1+K531)^{1;2;3;4;5;6;7;8;9;10})*(($I$3+(L531-$I$3)*{1;2;3;4;5;6;7;8;9;10}/10)*(1-$I$7)+$I$4-$I$4*($I$5+(1.05-$I$5)*{1;2;3;4;5;6;7;8;9;10}/10)-(K531/(1+K531))*$I$6)/(1+M531)^{1;2;3;4;5;6;7;8;9;10})+$I$2*(1+K531)^10*(L531+$I$4)*N531/(1+M531)^10+$I$9-$I$10)/$I$11</f>
        <v/>
      </c>
    </row>
    <row r="532">
      <c r="K532" s="25">
        <f>MAX(-0.05,NORMINV(RAND(),$C$6,$D$6))</f>
        <v/>
      </c>
      <c r="L532" s="25">
        <f>MAX(0.02,NORMINV(RAND(),$C$7,$D$7))</f>
        <v/>
      </c>
      <c r="M532" s="25">
        <f>MIN(0.16,MAX(0.05,NORMINV(RAND(),$C$8,$D$8)))</f>
        <v/>
      </c>
      <c r="N532" s="26">
        <f>MIN(24,MAX(5,NORMINV(RAND(),$C$9,$D$9)))</f>
        <v/>
      </c>
      <c r="O532" s="49">
        <f>$I$8*(SUMPRODUCT(($I$2*(1+K532)^{1;2;3;4;5;6;7;8;9;10})*(($I$3+(L532-$I$3)*{1;2;3;4;5;6;7;8;9;10}/10)*(1-$I$7)+$I$4-$I$4*($I$5+(1.05-$I$5)*{1;2;3;4;5;6;7;8;9;10}/10)-(K532/(1+K532))*$I$6)/(1+M532)^{1;2;3;4;5;6;7;8;9;10})+$I$2*(1+K532)^10*(L532+$I$4)*N532/(1+M532)^10+$I$9-$I$10)/$I$11</f>
        <v/>
      </c>
    </row>
    <row r="533">
      <c r="K533" s="25">
        <f>MAX(-0.05,NORMINV(RAND(),$C$6,$D$6))</f>
        <v/>
      </c>
      <c r="L533" s="25">
        <f>MAX(0.02,NORMINV(RAND(),$C$7,$D$7))</f>
        <v/>
      </c>
      <c r="M533" s="25">
        <f>MIN(0.16,MAX(0.05,NORMINV(RAND(),$C$8,$D$8)))</f>
        <v/>
      </c>
      <c r="N533" s="26">
        <f>MIN(24,MAX(5,NORMINV(RAND(),$C$9,$D$9)))</f>
        <v/>
      </c>
      <c r="O533" s="49">
        <f>$I$8*(SUMPRODUCT(($I$2*(1+K533)^{1;2;3;4;5;6;7;8;9;10})*(($I$3+(L533-$I$3)*{1;2;3;4;5;6;7;8;9;10}/10)*(1-$I$7)+$I$4-$I$4*($I$5+(1.05-$I$5)*{1;2;3;4;5;6;7;8;9;10}/10)-(K533/(1+K533))*$I$6)/(1+M533)^{1;2;3;4;5;6;7;8;9;10})+$I$2*(1+K533)^10*(L533+$I$4)*N533/(1+M533)^10+$I$9-$I$10)/$I$11</f>
        <v/>
      </c>
    </row>
    <row r="534">
      <c r="K534" s="25">
        <f>MAX(-0.05,NORMINV(RAND(),$C$6,$D$6))</f>
        <v/>
      </c>
      <c r="L534" s="25">
        <f>MAX(0.02,NORMINV(RAND(),$C$7,$D$7))</f>
        <v/>
      </c>
      <c r="M534" s="25">
        <f>MIN(0.16,MAX(0.05,NORMINV(RAND(),$C$8,$D$8)))</f>
        <v/>
      </c>
      <c r="N534" s="26">
        <f>MIN(24,MAX(5,NORMINV(RAND(),$C$9,$D$9)))</f>
        <v/>
      </c>
      <c r="O534" s="49">
        <f>$I$8*(SUMPRODUCT(($I$2*(1+K534)^{1;2;3;4;5;6;7;8;9;10})*(($I$3+(L534-$I$3)*{1;2;3;4;5;6;7;8;9;10}/10)*(1-$I$7)+$I$4-$I$4*($I$5+(1.05-$I$5)*{1;2;3;4;5;6;7;8;9;10}/10)-(K534/(1+K534))*$I$6)/(1+M534)^{1;2;3;4;5;6;7;8;9;10})+$I$2*(1+K534)^10*(L534+$I$4)*N534/(1+M534)^10+$I$9-$I$10)/$I$11</f>
        <v/>
      </c>
    </row>
    <row r="535">
      <c r="K535" s="25">
        <f>MAX(-0.05,NORMINV(RAND(),$C$6,$D$6))</f>
        <v/>
      </c>
      <c r="L535" s="25">
        <f>MAX(0.02,NORMINV(RAND(),$C$7,$D$7))</f>
        <v/>
      </c>
      <c r="M535" s="25">
        <f>MIN(0.16,MAX(0.05,NORMINV(RAND(),$C$8,$D$8)))</f>
        <v/>
      </c>
      <c r="N535" s="26">
        <f>MIN(24,MAX(5,NORMINV(RAND(),$C$9,$D$9)))</f>
        <v/>
      </c>
      <c r="O535" s="49">
        <f>$I$8*(SUMPRODUCT(($I$2*(1+K535)^{1;2;3;4;5;6;7;8;9;10})*(($I$3+(L535-$I$3)*{1;2;3;4;5;6;7;8;9;10}/10)*(1-$I$7)+$I$4-$I$4*($I$5+(1.05-$I$5)*{1;2;3;4;5;6;7;8;9;10}/10)-(K535/(1+K535))*$I$6)/(1+M535)^{1;2;3;4;5;6;7;8;9;10})+$I$2*(1+K535)^10*(L535+$I$4)*N535/(1+M535)^10+$I$9-$I$10)/$I$11</f>
        <v/>
      </c>
    </row>
    <row r="536">
      <c r="K536" s="25">
        <f>MAX(-0.05,NORMINV(RAND(),$C$6,$D$6))</f>
        <v/>
      </c>
      <c r="L536" s="25">
        <f>MAX(0.02,NORMINV(RAND(),$C$7,$D$7))</f>
        <v/>
      </c>
      <c r="M536" s="25">
        <f>MIN(0.16,MAX(0.05,NORMINV(RAND(),$C$8,$D$8)))</f>
        <v/>
      </c>
      <c r="N536" s="26">
        <f>MIN(24,MAX(5,NORMINV(RAND(),$C$9,$D$9)))</f>
        <v/>
      </c>
      <c r="O536" s="49">
        <f>$I$8*(SUMPRODUCT(($I$2*(1+K536)^{1;2;3;4;5;6;7;8;9;10})*(($I$3+(L536-$I$3)*{1;2;3;4;5;6;7;8;9;10}/10)*(1-$I$7)+$I$4-$I$4*($I$5+(1.05-$I$5)*{1;2;3;4;5;6;7;8;9;10}/10)-(K536/(1+K536))*$I$6)/(1+M536)^{1;2;3;4;5;6;7;8;9;10})+$I$2*(1+K536)^10*(L536+$I$4)*N536/(1+M536)^10+$I$9-$I$10)/$I$11</f>
        <v/>
      </c>
    </row>
    <row r="537">
      <c r="K537" s="25">
        <f>MAX(-0.05,NORMINV(RAND(),$C$6,$D$6))</f>
        <v/>
      </c>
      <c r="L537" s="25">
        <f>MAX(0.02,NORMINV(RAND(),$C$7,$D$7))</f>
        <v/>
      </c>
      <c r="M537" s="25">
        <f>MIN(0.16,MAX(0.05,NORMINV(RAND(),$C$8,$D$8)))</f>
        <v/>
      </c>
      <c r="N537" s="26">
        <f>MIN(24,MAX(5,NORMINV(RAND(),$C$9,$D$9)))</f>
        <v/>
      </c>
      <c r="O537" s="49">
        <f>$I$8*(SUMPRODUCT(($I$2*(1+K537)^{1;2;3;4;5;6;7;8;9;10})*(($I$3+(L537-$I$3)*{1;2;3;4;5;6;7;8;9;10}/10)*(1-$I$7)+$I$4-$I$4*($I$5+(1.05-$I$5)*{1;2;3;4;5;6;7;8;9;10}/10)-(K537/(1+K537))*$I$6)/(1+M537)^{1;2;3;4;5;6;7;8;9;10})+$I$2*(1+K537)^10*(L537+$I$4)*N537/(1+M537)^10+$I$9-$I$10)/$I$11</f>
        <v/>
      </c>
    </row>
    <row r="538">
      <c r="K538" s="25">
        <f>MAX(-0.05,NORMINV(RAND(),$C$6,$D$6))</f>
        <v/>
      </c>
      <c r="L538" s="25">
        <f>MAX(0.02,NORMINV(RAND(),$C$7,$D$7))</f>
        <v/>
      </c>
      <c r="M538" s="25">
        <f>MIN(0.16,MAX(0.05,NORMINV(RAND(),$C$8,$D$8)))</f>
        <v/>
      </c>
      <c r="N538" s="26">
        <f>MIN(24,MAX(5,NORMINV(RAND(),$C$9,$D$9)))</f>
        <v/>
      </c>
      <c r="O538" s="49">
        <f>$I$8*(SUMPRODUCT(($I$2*(1+K538)^{1;2;3;4;5;6;7;8;9;10})*(($I$3+(L538-$I$3)*{1;2;3;4;5;6;7;8;9;10}/10)*(1-$I$7)+$I$4-$I$4*($I$5+(1.05-$I$5)*{1;2;3;4;5;6;7;8;9;10}/10)-(K538/(1+K538))*$I$6)/(1+M538)^{1;2;3;4;5;6;7;8;9;10})+$I$2*(1+K538)^10*(L538+$I$4)*N538/(1+M538)^10+$I$9-$I$10)/$I$11</f>
        <v/>
      </c>
    </row>
    <row r="539">
      <c r="K539" s="25">
        <f>MAX(-0.05,NORMINV(RAND(),$C$6,$D$6))</f>
        <v/>
      </c>
      <c r="L539" s="25">
        <f>MAX(0.02,NORMINV(RAND(),$C$7,$D$7))</f>
        <v/>
      </c>
      <c r="M539" s="25">
        <f>MIN(0.16,MAX(0.05,NORMINV(RAND(),$C$8,$D$8)))</f>
        <v/>
      </c>
      <c r="N539" s="26">
        <f>MIN(24,MAX(5,NORMINV(RAND(),$C$9,$D$9)))</f>
        <v/>
      </c>
      <c r="O539" s="49">
        <f>$I$8*(SUMPRODUCT(($I$2*(1+K539)^{1;2;3;4;5;6;7;8;9;10})*(($I$3+(L539-$I$3)*{1;2;3;4;5;6;7;8;9;10}/10)*(1-$I$7)+$I$4-$I$4*($I$5+(1.05-$I$5)*{1;2;3;4;5;6;7;8;9;10}/10)-(K539/(1+K539))*$I$6)/(1+M539)^{1;2;3;4;5;6;7;8;9;10})+$I$2*(1+K539)^10*(L539+$I$4)*N539/(1+M539)^10+$I$9-$I$10)/$I$11</f>
        <v/>
      </c>
    </row>
    <row r="540">
      <c r="K540" s="25">
        <f>MAX(-0.05,NORMINV(RAND(),$C$6,$D$6))</f>
        <v/>
      </c>
      <c r="L540" s="25">
        <f>MAX(0.02,NORMINV(RAND(),$C$7,$D$7))</f>
        <v/>
      </c>
      <c r="M540" s="25">
        <f>MIN(0.16,MAX(0.05,NORMINV(RAND(),$C$8,$D$8)))</f>
        <v/>
      </c>
      <c r="N540" s="26">
        <f>MIN(24,MAX(5,NORMINV(RAND(),$C$9,$D$9)))</f>
        <v/>
      </c>
      <c r="O540" s="49">
        <f>$I$8*(SUMPRODUCT(($I$2*(1+K540)^{1;2;3;4;5;6;7;8;9;10})*(($I$3+(L540-$I$3)*{1;2;3;4;5;6;7;8;9;10}/10)*(1-$I$7)+$I$4-$I$4*($I$5+(1.05-$I$5)*{1;2;3;4;5;6;7;8;9;10}/10)-(K540/(1+K540))*$I$6)/(1+M540)^{1;2;3;4;5;6;7;8;9;10})+$I$2*(1+K540)^10*(L540+$I$4)*N540/(1+M540)^10+$I$9-$I$10)/$I$11</f>
        <v/>
      </c>
    </row>
    <row r="541">
      <c r="K541" s="25">
        <f>MAX(-0.05,NORMINV(RAND(),$C$6,$D$6))</f>
        <v/>
      </c>
      <c r="L541" s="25">
        <f>MAX(0.02,NORMINV(RAND(),$C$7,$D$7))</f>
        <v/>
      </c>
      <c r="M541" s="25">
        <f>MIN(0.16,MAX(0.05,NORMINV(RAND(),$C$8,$D$8)))</f>
        <v/>
      </c>
      <c r="N541" s="26">
        <f>MIN(24,MAX(5,NORMINV(RAND(),$C$9,$D$9)))</f>
        <v/>
      </c>
      <c r="O541" s="49">
        <f>$I$8*(SUMPRODUCT(($I$2*(1+K541)^{1;2;3;4;5;6;7;8;9;10})*(($I$3+(L541-$I$3)*{1;2;3;4;5;6;7;8;9;10}/10)*(1-$I$7)+$I$4-$I$4*($I$5+(1.05-$I$5)*{1;2;3;4;5;6;7;8;9;10}/10)-(K541/(1+K541))*$I$6)/(1+M541)^{1;2;3;4;5;6;7;8;9;10})+$I$2*(1+K541)^10*(L541+$I$4)*N541/(1+M541)^10+$I$9-$I$10)/$I$11</f>
        <v/>
      </c>
    </row>
    <row r="542">
      <c r="K542" s="25">
        <f>MAX(-0.05,NORMINV(RAND(),$C$6,$D$6))</f>
        <v/>
      </c>
      <c r="L542" s="25">
        <f>MAX(0.02,NORMINV(RAND(),$C$7,$D$7))</f>
        <v/>
      </c>
      <c r="M542" s="25">
        <f>MIN(0.16,MAX(0.05,NORMINV(RAND(),$C$8,$D$8)))</f>
        <v/>
      </c>
      <c r="N542" s="26">
        <f>MIN(24,MAX(5,NORMINV(RAND(),$C$9,$D$9)))</f>
        <v/>
      </c>
      <c r="O542" s="49">
        <f>$I$8*(SUMPRODUCT(($I$2*(1+K542)^{1;2;3;4;5;6;7;8;9;10})*(($I$3+(L542-$I$3)*{1;2;3;4;5;6;7;8;9;10}/10)*(1-$I$7)+$I$4-$I$4*($I$5+(1.05-$I$5)*{1;2;3;4;5;6;7;8;9;10}/10)-(K542/(1+K542))*$I$6)/(1+M542)^{1;2;3;4;5;6;7;8;9;10})+$I$2*(1+K542)^10*(L542+$I$4)*N542/(1+M542)^10+$I$9-$I$10)/$I$11</f>
        <v/>
      </c>
    </row>
    <row r="543">
      <c r="K543" s="25">
        <f>MAX(-0.05,NORMINV(RAND(),$C$6,$D$6))</f>
        <v/>
      </c>
      <c r="L543" s="25">
        <f>MAX(0.02,NORMINV(RAND(),$C$7,$D$7))</f>
        <v/>
      </c>
      <c r="M543" s="25">
        <f>MIN(0.16,MAX(0.05,NORMINV(RAND(),$C$8,$D$8)))</f>
        <v/>
      </c>
      <c r="N543" s="26">
        <f>MIN(24,MAX(5,NORMINV(RAND(),$C$9,$D$9)))</f>
        <v/>
      </c>
      <c r="O543" s="49">
        <f>$I$8*(SUMPRODUCT(($I$2*(1+K543)^{1;2;3;4;5;6;7;8;9;10})*(($I$3+(L543-$I$3)*{1;2;3;4;5;6;7;8;9;10}/10)*(1-$I$7)+$I$4-$I$4*($I$5+(1.05-$I$5)*{1;2;3;4;5;6;7;8;9;10}/10)-(K543/(1+K543))*$I$6)/(1+M543)^{1;2;3;4;5;6;7;8;9;10})+$I$2*(1+K543)^10*(L543+$I$4)*N543/(1+M543)^10+$I$9-$I$10)/$I$11</f>
        <v/>
      </c>
    </row>
    <row r="544">
      <c r="K544" s="25">
        <f>MAX(-0.05,NORMINV(RAND(),$C$6,$D$6))</f>
        <v/>
      </c>
      <c r="L544" s="25">
        <f>MAX(0.02,NORMINV(RAND(),$C$7,$D$7))</f>
        <v/>
      </c>
      <c r="M544" s="25">
        <f>MIN(0.16,MAX(0.05,NORMINV(RAND(),$C$8,$D$8)))</f>
        <v/>
      </c>
      <c r="N544" s="26">
        <f>MIN(24,MAX(5,NORMINV(RAND(),$C$9,$D$9)))</f>
        <v/>
      </c>
      <c r="O544" s="49">
        <f>$I$8*(SUMPRODUCT(($I$2*(1+K544)^{1;2;3;4;5;6;7;8;9;10})*(($I$3+(L544-$I$3)*{1;2;3;4;5;6;7;8;9;10}/10)*(1-$I$7)+$I$4-$I$4*($I$5+(1.05-$I$5)*{1;2;3;4;5;6;7;8;9;10}/10)-(K544/(1+K544))*$I$6)/(1+M544)^{1;2;3;4;5;6;7;8;9;10})+$I$2*(1+K544)^10*(L544+$I$4)*N544/(1+M544)^10+$I$9-$I$10)/$I$11</f>
        <v/>
      </c>
    </row>
    <row r="545">
      <c r="K545" s="25">
        <f>MAX(-0.05,NORMINV(RAND(),$C$6,$D$6))</f>
        <v/>
      </c>
      <c r="L545" s="25">
        <f>MAX(0.02,NORMINV(RAND(),$C$7,$D$7))</f>
        <v/>
      </c>
      <c r="M545" s="25">
        <f>MIN(0.16,MAX(0.05,NORMINV(RAND(),$C$8,$D$8)))</f>
        <v/>
      </c>
      <c r="N545" s="26">
        <f>MIN(24,MAX(5,NORMINV(RAND(),$C$9,$D$9)))</f>
        <v/>
      </c>
      <c r="O545" s="49">
        <f>$I$8*(SUMPRODUCT(($I$2*(1+K545)^{1;2;3;4;5;6;7;8;9;10})*(($I$3+(L545-$I$3)*{1;2;3;4;5;6;7;8;9;10}/10)*(1-$I$7)+$I$4-$I$4*($I$5+(1.05-$I$5)*{1;2;3;4;5;6;7;8;9;10}/10)-(K545/(1+K545))*$I$6)/(1+M545)^{1;2;3;4;5;6;7;8;9;10})+$I$2*(1+K545)^10*(L545+$I$4)*N545/(1+M545)^10+$I$9-$I$10)/$I$11</f>
        <v/>
      </c>
    </row>
    <row r="546">
      <c r="K546" s="25">
        <f>MAX(-0.05,NORMINV(RAND(),$C$6,$D$6))</f>
        <v/>
      </c>
      <c r="L546" s="25">
        <f>MAX(0.02,NORMINV(RAND(),$C$7,$D$7))</f>
        <v/>
      </c>
      <c r="M546" s="25">
        <f>MIN(0.16,MAX(0.05,NORMINV(RAND(),$C$8,$D$8)))</f>
        <v/>
      </c>
      <c r="N546" s="26">
        <f>MIN(24,MAX(5,NORMINV(RAND(),$C$9,$D$9)))</f>
        <v/>
      </c>
      <c r="O546" s="49">
        <f>$I$8*(SUMPRODUCT(($I$2*(1+K546)^{1;2;3;4;5;6;7;8;9;10})*(($I$3+(L546-$I$3)*{1;2;3;4;5;6;7;8;9;10}/10)*(1-$I$7)+$I$4-$I$4*($I$5+(1.05-$I$5)*{1;2;3;4;5;6;7;8;9;10}/10)-(K546/(1+K546))*$I$6)/(1+M546)^{1;2;3;4;5;6;7;8;9;10})+$I$2*(1+K546)^10*(L546+$I$4)*N546/(1+M546)^10+$I$9-$I$10)/$I$11</f>
        <v/>
      </c>
    </row>
    <row r="547">
      <c r="K547" s="25">
        <f>MAX(-0.05,NORMINV(RAND(),$C$6,$D$6))</f>
        <v/>
      </c>
      <c r="L547" s="25">
        <f>MAX(0.02,NORMINV(RAND(),$C$7,$D$7))</f>
        <v/>
      </c>
      <c r="M547" s="25">
        <f>MIN(0.16,MAX(0.05,NORMINV(RAND(),$C$8,$D$8)))</f>
        <v/>
      </c>
      <c r="N547" s="26">
        <f>MIN(24,MAX(5,NORMINV(RAND(),$C$9,$D$9)))</f>
        <v/>
      </c>
      <c r="O547" s="49">
        <f>$I$8*(SUMPRODUCT(($I$2*(1+K547)^{1;2;3;4;5;6;7;8;9;10})*(($I$3+(L547-$I$3)*{1;2;3;4;5;6;7;8;9;10}/10)*(1-$I$7)+$I$4-$I$4*($I$5+(1.05-$I$5)*{1;2;3;4;5;6;7;8;9;10}/10)-(K547/(1+K547))*$I$6)/(1+M547)^{1;2;3;4;5;6;7;8;9;10})+$I$2*(1+K547)^10*(L547+$I$4)*N547/(1+M547)^10+$I$9-$I$10)/$I$11</f>
        <v/>
      </c>
    </row>
    <row r="548">
      <c r="K548" s="25">
        <f>MAX(-0.05,NORMINV(RAND(),$C$6,$D$6))</f>
        <v/>
      </c>
      <c r="L548" s="25">
        <f>MAX(0.02,NORMINV(RAND(),$C$7,$D$7))</f>
        <v/>
      </c>
      <c r="M548" s="25">
        <f>MIN(0.16,MAX(0.05,NORMINV(RAND(),$C$8,$D$8)))</f>
        <v/>
      </c>
      <c r="N548" s="26">
        <f>MIN(24,MAX(5,NORMINV(RAND(),$C$9,$D$9)))</f>
        <v/>
      </c>
      <c r="O548" s="49">
        <f>$I$8*(SUMPRODUCT(($I$2*(1+K548)^{1;2;3;4;5;6;7;8;9;10})*(($I$3+(L548-$I$3)*{1;2;3;4;5;6;7;8;9;10}/10)*(1-$I$7)+$I$4-$I$4*($I$5+(1.05-$I$5)*{1;2;3;4;5;6;7;8;9;10}/10)-(K548/(1+K548))*$I$6)/(1+M548)^{1;2;3;4;5;6;7;8;9;10})+$I$2*(1+K548)^10*(L548+$I$4)*N548/(1+M548)^10+$I$9-$I$10)/$I$11</f>
        <v/>
      </c>
    </row>
    <row r="549">
      <c r="K549" s="25">
        <f>MAX(-0.05,NORMINV(RAND(),$C$6,$D$6))</f>
        <v/>
      </c>
      <c r="L549" s="25">
        <f>MAX(0.02,NORMINV(RAND(),$C$7,$D$7))</f>
        <v/>
      </c>
      <c r="M549" s="25">
        <f>MIN(0.16,MAX(0.05,NORMINV(RAND(),$C$8,$D$8)))</f>
        <v/>
      </c>
      <c r="N549" s="26">
        <f>MIN(24,MAX(5,NORMINV(RAND(),$C$9,$D$9)))</f>
        <v/>
      </c>
      <c r="O549" s="49">
        <f>$I$8*(SUMPRODUCT(($I$2*(1+K549)^{1;2;3;4;5;6;7;8;9;10})*(($I$3+(L549-$I$3)*{1;2;3;4;5;6;7;8;9;10}/10)*(1-$I$7)+$I$4-$I$4*($I$5+(1.05-$I$5)*{1;2;3;4;5;6;7;8;9;10}/10)-(K549/(1+K549))*$I$6)/(1+M549)^{1;2;3;4;5;6;7;8;9;10})+$I$2*(1+K549)^10*(L549+$I$4)*N549/(1+M549)^10+$I$9-$I$10)/$I$11</f>
        <v/>
      </c>
    </row>
    <row r="550">
      <c r="K550" s="25">
        <f>MAX(-0.05,NORMINV(RAND(),$C$6,$D$6))</f>
        <v/>
      </c>
      <c r="L550" s="25">
        <f>MAX(0.02,NORMINV(RAND(),$C$7,$D$7))</f>
        <v/>
      </c>
      <c r="M550" s="25">
        <f>MIN(0.16,MAX(0.05,NORMINV(RAND(),$C$8,$D$8)))</f>
        <v/>
      </c>
      <c r="N550" s="26">
        <f>MIN(24,MAX(5,NORMINV(RAND(),$C$9,$D$9)))</f>
        <v/>
      </c>
      <c r="O550" s="49">
        <f>$I$8*(SUMPRODUCT(($I$2*(1+K550)^{1;2;3;4;5;6;7;8;9;10})*(($I$3+(L550-$I$3)*{1;2;3;4;5;6;7;8;9;10}/10)*(1-$I$7)+$I$4-$I$4*($I$5+(1.05-$I$5)*{1;2;3;4;5;6;7;8;9;10}/10)-(K550/(1+K550))*$I$6)/(1+M550)^{1;2;3;4;5;6;7;8;9;10})+$I$2*(1+K550)^10*(L550+$I$4)*N550/(1+M550)^10+$I$9-$I$10)/$I$11</f>
        <v/>
      </c>
    </row>
    <row r="551">
      <c r="K551" s="25">
        <f>MAX(-0.05,NORMINV(RAND(),$C$6,$D$6))</f>
        <v/>
      </c>
      <c r="L551" s="25">
        <f>MAX(0.02,NORMINV(RAND(),$C$7,$D$7))</f>
        <v/>
      </c>
      <c r="M551" s="25">
        <f>MIN(0.16,MAX(0.05,NORMINV(RAND(),$C$8,$D$8)))</f>
        <v/>
      </c>
      <c r="N551" s="26">
        <f>MIN(24,MAX(5,NORMINV(RAND(),$C$9,$D$9)))</f>
        <v/>
      </c>
      <c r="O551" s="49">
        <f>$I$8*(SUMPRODUCT(($I$2*(1+K551)^{1;2;3;4;5;6;7;8;9;10})*(($I$3+(L551-$I$3)*{1;2;3;4;5;6;7;8;9;10}/10)*(1-$I$7)+$I$4-$I$4*($I$5+(1.05-$I$5)*{1;2;3;4;5;6;7;8;9;10}/10)-(K551/(1+K551))*$I$6)/(1+M551)^{1;2;3;4;5;6;7;8;9;10})+$I$2*(1+K551)^10*(L551+$I$4)*N551/(1+M551)^10+$I$9-$I$10)/$I$11</f>
        <v/>
      </c>
    </row>
    <row r="552">
      <c r="K552" s="25">
        <f>MAX(-0.05,NORMINV(RAND(),$C$6,$D$6))</f>
        <v/>
      </c>
      <c r="L552" s="25">
        <f>MAX(0.02,NORMINV(RAND(),$C$7,$D$7))</f>
        <v/>
      </c>
      <c r="M552" s="25">
        <f>MIN(0.16,MAX(0.05,NORMINV(RAND(),$C$8,$D$8)))</f>
        <v/>
      </c>
      <c r="N552" s="26">
        <f>MIN(24,MAX(5,NORMINV(RAND(),$C$9,$D$9)))</f>
        <v/>
      </c>
      <c r="O552" s="49">
        <f>$I$8*(SUMPRODUCT(($I$2*(1+K552)^{1;2;3;4;5;6;7;8;9;10})*(($I$3+(L552-$I$3)*{1;2;3;4;5;6;7;8;9;10}/10)*(1-$I$7)+$I$4-$I$4*($I$5+(1.05-$I$5)*{1;2;3;4;5;6;7;8;9;10}/10)-(K552/(1+K552))*$I$6)/(1+M552)^{1;2;3;4;5;6;7;8;9;10})+$I$2*(1+K552)^10*(L552+$I$4)*N552/(1+M552)^10+$I$9-$I$10)/$I$11</f>
        <v/>
      </c>
    </row>
    <row r="553">
      <c r="K553" s="25">
        <f>MAX(-0.05,NORMINV(RAND(),$C$6,$D$6))</f>
        <v/>
      </c>
      <c r="L553" s="25">
        <f>MAX(0.02,NORMINV(RAND(),$C$7,$D$7))</f>
        <v/>
      </c>
      <c r="M553" s="25">
        <f>MIN(0.16,MAX(0.05,NORMINV(RAND(),$C$8,$D$8)))</f>
        <v/>
      </c>
      <c r="N553" s="26">
        <f>MIN(24,MAX(5,NORMINV(RAND(),$C$9,$D$9)))</f>
        <v/>
      </c>
      <c r="O553" s="49">
        <f>$I$8*(SUMPRODUCT(($I$2*(1+K553)^{1;2;3;4;5;6;7;8;9;10})*(($I$3+(L553-$I$3)*{1;2;3;4;5;6;7;8;9;10}/10)*(1-$I$7)+$I$4-$I$4*($I$5+(1.05-$I$5)*{1;2;3;4;5;6;7;8;9;10}/10)-(K553/(1+K553))*$I$6)/(1+M553)^{1;2;3;4;5;6;7;8;9;10})+$I$2*(1+K553)^10*(L553+$I$4)*N553/(1+M553)^10+$I$9-$I$10)/$I$11</f>
        <v/>
      </c>
    </row>
    <row r="554">
      <c r="K554" s="25">
        <f>MAX(-0.05,NORMINV(RAND(),$C$6,$D$6))</f>
        <v/>
      </c>
      <c r="L554" s="25">
        <f>MAX(0.02,NORMINV(RAND(),$C$7,$D$7))</f>
        <v/>
      </c>
      <c r="M554" s="25">
        <f>MIN(0.16,MAX(0.05,NORMINV(RAND(),$C$8,$D$8)))</f>
        <v/>
      </c>
      <c r="N554" s="26">
        <f>MIN(24,MAX(5,NORMINV(RAND(),$C$9,$D$9)))</f>
        <v/>
      </c>
      <c r="O554" s="49">
        <f>$I$8*(SUMPRODUCT(($I$2*(1+K554)^{1;2;3;4;5;6;7;8;9;10})*(($I$3+(L554-$I$3)*{1;2;3;4;5;6;7;8;9;10}/10)*(1-$I$7)+$I$4-$I$4*($I$5+(1.05-$I$5)*{1;2;3;4;5;6;7;8;9;10}/10)-(K554/(1+K554))*$I$6)/(1+M554)^{1;2;3;4;5;6;7;8;9;10})+$I$2*(1+K554)^10*(L554+$I$4)*N554/(1+M554)^10+$I$9-$I$10)/$I$11</f>
        <v/>
      </c>
    </row>
    <row r="555">
      <c r="K555" s="25">
        <f>MAX(-0.05,NORMINV(RAND(),$C$6,$D$6))</f>
        <v/>
      </c>
      <c r="L555" s="25">
        <f>MAX(0.02,NORMINV(RAND(),$C$7,$D$7))</f>
        <v/>
      </c>
      <c r="M555" s="25">
        <f>MIN(0.16,MAX(0.05,NORMINV(RAND(),$C$8,$D$8)))</f>
        <v/>
      </c>
      <c r="N555" s="26">
        <f>MIN(24,MAX(5,NORMINV(RAND(),$C$9,$D$9)))</f>
        <v/>
      </c>
      <c r="O555" s="49">
        <f>$I$8*(SUMPRODUCT(($I$2*(1+K555)^{1;2;3;4;5;6;7;8;9;10})*(($I$3+(L555-$I$3)*{1;2;3;4;5;6;7;8;9;10}/10)*(1-$I$7)+$I$4-$I$4*($I$5+(1.05-$I$5)*{1;2;3;4;5;6;7;8;9;10}/10)-(K555/(1+K555))*$I$6)/(1+M555)^{1;2;3;4;5;6;7;8;9;10})+$I$2*(1+K555)^10*(L555+$I$4)*N555/(1+M555)^10+$I$9-$I$10)/$I$11</f>
        <v/>
      </c>
    </row>
    <row r="556">
      <c r="K556" s="25">
        <f>MAX(-0.05,NORMINV(RAND(),$C$6,$D$6))</f>
        <v/>
      </c>
      <c r="L556" s="25">
        <f>MAX(0.02,NORMINV(RAND(),$C$7,$D$7))</f>
        <v/>
      </c>
      <c r="M556" s="25">
        <f>MIN(0.16,MAX(0.05,NORMINV(RAND(),$C$8,$D$8)))</f>
        <v/>
      </c>
      <c r="N556" s="26">
        <f>MIN(24,MAX(5,NORMINV(RAND(),$C$9,$D$9)))</f>
        <v/>
      </c>
      <c r="O556" s="49">
        <f>$I$8*(SUMPRODUCT(($I$2*(1+K556)^{1;2;3;4;5;6;7;8;9;10})*(($I$3+(L556-$I$3)*{1;2;3;4;5;6;7;8;9;10}/10)*(1-$I$7)+$I$4-$I$4*($I$5+(1.05-$I$5)*{1;2;3;4;5;6;7;8;9;10}/10)-(K556/(1+K556))*$I$6)/(1+M556)^{1;2;3;4;5;6;7;8;9;10})+$I$2*(1+K556)^10*(L556+$I$4)*N556/(1+M556)^10+$I$9-$I$10)/$I$11</f>
        <v/>
      </c>
    </row>
    <row r="557">
      <c r="K557" s="25">
        <f>MAX(-0.05,NORMINV(RAND(),$C$6,$D$6))</f>
        <v/>
      </c>
      <c r="L557" s="25">
        <f>MAX(0.02,NORMINV(RAND(),$C$7,$D$7))</f>
        <v/>
      </c>
      <c r="M557" s="25">
        <f>MIN(0.16,MAX(0.05,NORMINV(RAND(),$C$8,$D$8)))</f>
        <v/>
      </c>
      <c r="N557" s="26">
        <f>MIN(24,MAX(5,NORMINV(RAND(),$C$9,$D$9)))</f>
        <v/>
      </c>
      <c r="O557" s="49">
        <f>$I$8*(SUMPRODUCT(($I$2*(1+K557)^{1;2;3;4;5;6;7;8;9;10})*(($I$3+(L557-$I$3)*{1;2;3;4;5;6;7;8;9;10}/10)*(1-$I$7)+$I$4-$I$4*($I$5+(1.05-$I$5)*{1;2;3;4;5;6;7;8;9;10}/10)-(K557/(1+K557))*$I$6)/(1+M557)^{1;2;3;4;5;6;7;8;9;10})+$I$2*(1+K557)^10*(L557+$I$4)*N557/(1+M557)^10+$I$9-$I$10)/$I$11</f>
        <v/>
      </c>
    </row>
    <row r="558">
      <c r="K558" s="25">
        <f>MAX(-0.05,NORMINV(RAND(),$C$6,$D$6))</f>
        <v/>
      </c>
      <c r="L558" s="25">
        <f>MAX(0.02,NORMINV(RAND(),$C$7,$D$7))</f>
        <v/>
      </c>
      <c r="M558" s="25">
        <f>MIN(0.16,MAX(0.05,NORMINV(RAND(),$C$8,$D$8)))</f>
        <v/>
      </c>
      <c r="N558" s="26">
        <f>MIN(24,MAX(5,NORMINV(RAND(),$C$9,$D$9)))</f>
        <v/>
      </c>
      <c r="O558" s="49">
        <f>$I$8*(SUMPRODUCT(($I$2*(1+K558)^{1;2;3;4;5;6;7;8;9;10})*(($I$3+(L558-$I$3)*{1;2;3;4;5;6;7;8;9;10}/10)*(1-$I$7)+$I$4-$I$4*($I$5+(1.05-$I$5)*{1;2;3;4;5;6;7;8;9;10}/10)-(K558/(1+K558))*$I$6)/(1+M558)^{1;2;3;4;5;6;7;8;9;10})+$I$2*(1+K558)^10*(L558+$I$4)*N558/(1+M558)^10+$I$9-$I$10)/$I$11</f>
        <v/>
      </c>
    </row>
    <row r="559">
      <c r="K559" s="25">
        <f>MAX(-0.05,NORMINV(RAND(),$C$6,$D$6))</f>
        <v/>
      </c>
      <c r="L559" s="25">
        <f>MAX(0.02,NORMINV(RAND(),$C$7,$D$7))</f>
        <v/>
      </c>
      <c r="M559" s="25">
        <f>MIN(0.16,MAX(0.05,NORMINV(RAND(),$C$8,$D$8)))</f>
        <v/>
      </c>
      <c r="N559" s="26">
        <f>MIN(24,MAX(5,NORMINV(RAND(),$C$9,$D$9)))</f>
        <v/>
      </c>
      <c r="O559" s="49">
        <f>$I$8*(SUMPRODUCT(($I$2*(1+K559)^{1;2;3;4;5;6;7;8;9;10})*(($I$3+(L559-$I$3)*{1;2;3;4;5;6;7;8;9;10}/10)*(1-$I$7)+$I$4-$I$4*($I$5+(1.05-$I$5)*{1;2;3;4;5;6;7;8;9;10}/10)-(K559/(1+K559))*$I$6)/(1+M559)^{1;2;3;4;5;6;7;8;9;10})+$I$2*(1+K559)^10*(L559+$I$4)*N559/(1+M559)^10+$I$9-$I$10)/$I$11</f>
        <v/>
      </c>
    </row>
    <row r="560">
      <c r="K560" s="25">
        <f>MAX(-0.05,NORMINV(RAND(),$C$6,$D$6))</f>
        <v/>
      </c>
      <c r="L560" s="25">
        <f>MAX(0.02,NORMINV(RAND(),$C$7,$D$7))</f>
        <v/>
      </c>
      <c r="M560" s="25">
        <f>MIN(0.16,MAX(0.05,NORMINV(RAND(),$C$8,$D$8)))</f>
        <v/>
      </c>
      <c r="N560" s="26">
        <f>MIN(24,MAX(5,NORMINV(RAND(),$C$9,$D$9)))</f>
        <v/>
      </c>
      <c r="O560" s="49">
        <f>$I$8*(SUMPRODUCT(($I$2*(1+K560)^{1;2;3;4;5;6;7;8;9;10})*(($I$3+(L560-$I$3)*{1;2;3;4;5;6;7;8;9;10}/10)*(1-$I$7)+$I$4-$I$4*($I$5+(1.05-$I$5)*{1;2;3;4;5;6;7;8;9;10}/10)-(K560/(1+K560))*$I$6)/(1+M560)^{1;2;3;4;5;6;7;8;9;10})+$I$2*(1+K560)^10*(L560+$I$4)*N560/(1+M560)^10+$I$9-$I$10)/$I$11</f>
        <v/>
      </c>
    </row>
    <row r="561">
      <c r="K561" s="25">
        <f>MAX(-0.05,NORMINV(RAND(),$C$6,$D$6))</f>
        <v/>
      </c>
      <c r="L561" s="25">
        <f>MAX(0.02,NORMINV(RAND(),$C$7,$D$7))</f>
        <v/>
      </c>
      <c r="M561" s="25">
        <f>MIN(0.16,MAX(0.05,NORMINV(RAND(),$C$8,$D$8)))</f>
        <v/>
      </c>
      <c r="N561" s="26">
        <f>MIN(24,MAX(5,NORMINV(RAND(),$C$9,$D$9)))</f>
        <v/>
      </c>
      <c r="O561" s="49">
        <f>$I$8*(SUMPRODUCT(($I$2*(1+K561)^{1;2;3;4;5;6;7;8;9;10})*(($I$3+(L561-$I$3)*{1;2;3;4;5;6;7;8;9;10}/10)*(1-$I$7)+$I$4-$I$4*($I$5+(1.05-$I$5)*{1;2;3;4;5;6;7;8;9;10}/10)-(K561/(1+K561))*$I$6)/(1+M561)^{1;2;3;4;5;6;7;8;9;10})+$I$2*(1+K561)^10*(L561+$I$4)*N561/(1+M561)^10+$I$9-$I$10)/$I$11</f>
        <v/>
      </c>
    </row>
    <row r="562">
      <c r="K562" s="25">
        <f>MAX(-0.05,NORMINV(RAND(),$C$6,$D$6))</f>
        <v/>
      </c>
      <c r="L562" s="25">
        <f>MAX(0.02,NORMINV(RAND(),$C$7,$D$7))</f>
        <v/>
      </c>
      <c r="M562" s="25">
        <f>MIN(0.16,MAX(0.05,NORMINV(RAND(),$C$8,$D$8)))</f>
        <v/>
      </c>
      <c r="N562" s="26">
        <f>MIN(24,MAX(5,NORMINV(RAND(),$C$9,$D$9)))</f>
        <v/>
      </c>
      <c r="O562" s="49">
        <f>$I$8*(SUMPRODUCT(($I$2*(1+K562)^{1;2;3;4;5;6;7;8;9;10})*(($I$3+(L562-$I$3)*{1;2;3;4;5;6;7;8;9;10}/10)*(1-$I$7)+$I$4-$I$4*($I$5+(1.05-$I$5)*{1;2;3;4;5;6;7;8;9;10}/10)-(K562/(1+K562))*$I$6)/(1+M562)^{1;2;3;4;5;6;7;8;9;10})+$I$2*(1+K562)^10*(L562+$I$4)*N562/(1+M562)^10+$I$9-$I$10)/$I$11</f>
        <v/>
      </c>
    </row>
    <row r="563">
      <c r="K563" s="25">
        <f>MAX(-0.05,NORMINV(RAND(),$C$6,$D$6))</f>
        <v/>
      </c>
      <c r="L563" s="25">
        <f>MAX(0.02,NORMINV(RAND(),$C$7,$D$7))</f>
        <v/>
      </c>
      <c r="M563" s="25">
        <f>MIN(0.16,MAX(0.05,NORMINV(RAND(),$C$8,$D$8)))</f>
        <v/>
      </c>
      <c r="N563" s="26">
        <f>MIN(24,MAX(5,NORMINV(RAND(),$C$9,$D$9)))</f>
        <v/>
      </c>
      <c r="O563" s="49">
        <f>$I$8*(SUMPRODUCT(($I$2*(1+K563)^{1;2;3;4;5;6;7;8;9;10})*(($I$3+(L563-$I$3)*{1;2;3;4;5;6;7;8;9;10}/10)*(1-$I$7)+$I$4-$I$4*($I$5+(1.05-$I$5)*{1;2;3;4;5;6;7;8;9;10}/10)-(K563/(1+K563))*$I$6)/(1+M563)^{1;2;3;4;5;6;7;8;9;10})+$I$2*(1+K563)^10*(L563+$I$4)*N563/(1+M563)^10+$I$9-$I$10)/$I$11</f>
        <v/>
      </c>
    </row>
    <row r="564">
      <c r="K564" s="25">
        <f>MAX(-0.05,NORMINV(RAND(),$C$6,$D$6))</f>
        <v/>
      </c>
      <c r="L564" s="25">
        <f>MAX(0.02,NORMINV(RAND(),$C$7,$D$7))</f>
        <v/>
      </c>
      <c r="M564" s="25">
        <f>MIN(0.16,MAX(0.05,NORMINV(RAND(),$C$8,$D$8)))</f>
        <v/>
      </c>
      <c r="N564" s="26">
        <f>MIN(24,MAX(5,NORMINV(RAND(),$C$9,$D$9)))</f>
        <v/>
      </c>
      <c r="O564" s="49">
        <f>$I$8*(SUMPRODUCT(($I$2*(1+K564)^{1;2;3;4;5;6;7;8;9;10})*(($I$3+(L564-$I$3)*{1;2;3;4;5;6;7;8;9;10}/10)*(1-$I$7)+$I$4-$I$4*($I$5+(1.05-$I$5)*{1;2;3;4;5;6;7;8;9;10}/10)-(K564/(1+K564))*$I$6)/(1+M564)^{1;2;3;4;5;6;7;8;9;10})+$I$2*(1+K564)^10*(L564+$I$4)*N564/(1+M564)^10+$I$9-$I$10)/$I$11</f>
        <v/>
      </c>
    </row>
    <row r="565">
      <c r="K565" s="25">
        <f>MAX(-0.05,NORMINV(RAND(),$C$6,$D$6))</f>
        <v/>
      </c>
      <c r="L565" s="25">
        <f>MAX(0.02,NORMINV(RAND(),$C$7,$D$7))</f>
        <v/>
      </c>
      <c r="M565" s="25">
        <f>MIN(0.16,MAX(0.05,NORMINV(RAND(),$C$8,$D$8)))</f>
        <v/>
      </c>
      <c r="N565" s="26">
        <f>MIN(24,MAX(5,NORMINV(RAND(),$C$9,$D$9)))</f>
        <v/>
      </c>
      <c r="O565" s="49">
        <f>$I$8*(SUMPRODUCT(($I$2*(1+K565)^{1;2;3;4;5;6;7;8;9;10})*(($I$3+(L565-$I$3)*{1;2;3;4;5;6;7;8;9;10}/10)*(1-$I$7)+$I$4-$I$4*($I$5+(1.05-$I$5)*{1;2;3;4;5;6;7;8;9;10}/10)-(K565/(1+K565))*$I$6)/(1+M565)^{1;2;3;4;5;6;7;8;9;10})+$I$2*(1+K565)^10*(L565+$I$4)*N565/(1+M565)^10+$I$9-$I$10)/$I$11</f>
        <v/>
      </c>
    </row>
    <row r="566">
      <c r="K566" s="25">
        <f>MAX(-0.05,NORMINV(RAND(),$C$6,$D$6))</f>
        <v/>
      </c>
      <c r="L566" s="25">
        <f>MAX(0.02,NORMINV(RAND(),$C$7,$D$7))</f>
        <v/>
      </c>
      <c r="M566" s="25">
        <f>MIN(0.16,MAX(0.05,NORMINV(RAND(),$C$8,$D$8)))</f>
        <v/>
      </c>
      <c r="N566" s="26">
        <f>MIN(24,MAX(5,NORMINV(RAND(),$C$9,$D$9)))</f>
        <v/>
      </c>
      <c r="O566" s="49">
        <f>$I$8*(SUMPRODUCT(($I$2*(1+K566)^{1;2;3;4;5;6;7;8;9;10})*(($I$3+(L566-$I$3)*{1;2;3;4;5;6;7;8;9;10}/10)*(1-$I$7)+$I$4-$I$4*($I$5+(1.05-$I$5)*{1;2;3;4;5;6;7;8;9;10}/10)-(K566/(1+K566))*$I$6)/(1+M566)^{1;2;3;4;5;6;7;8;9;10})+$I$2*(1+K566)^10*(L566+$I$4)*N566/(1+M566)^10+$I$9-$I$10)/$I$11</f>
        <v/>
      </c>
    </row>
    <row r="567">
      <c r="K567" s="25">
        <f>MAX(-0.05,NORMINV(RAND(),$C$6,$D$6))</f>
        <v/>
      </c>
      <c r="L567" s="25">
        <f>MAX(0.02,NORMINV(RAND(),$C$7,$D$7))</f>
        <v/>
      </c>
      <c r="M567" s="25">
        <f>MIN(0.16,MAX(0.05,NORMINV(RAND(),$C$8,$D$8)))</f>
        <v/>
      </c>
      <c r="N567" s="26">
        <f>MIN(24,MAX(5,NORMINV(RAND(),$C$9,$D$9)))</f>
        <v/>
      </c>
      <c r="O567" s="49">
        <f>$I$8*(SUMPRODUCT(($I$2*(1+K567)^{1;2;3;4;5;6;7;8;9;10})*(($I$3+(L567-$I$3)*{1;2;3;4;5;6;7;8;9;10}/10)*(1-$I$7)+$I$4-$I$4*($I$5+(1.05-$I$5)*{1;2;3;4;5;6;7;8;9;10}/10)-(K567/(1+K567))*$I$6)/(1+M567)^{1;2;3;4;5;6;7;8;9;10})+$I$2*(1+K567)^10*(L567+$I$4)*N567/(1+M567)^10+$I$9-$I$10)/$I$11</f>
        <v/>
      </c>
    </row>
    <row r="568">
      <c r="K568" s="25">
        <f>MAX(-0.05,NORMINV(RAND(),$C$6,$D$6))</f>
        <v/>
      </c>
      <c r="L568" s="25">
        <f>MAX(0.02,NORMINV(RAND(),$C$7,$D$7))</f>
        <v/>
      </c>
      <c r="M568" s="25">
        <f>MIN(0.16,MAX(0.05,NORMINV(RAND(),$C$8,$D$8)))</f>
        <v/>
      </c>
      <c r="N568" s="26">
        <f>MIN(24,MAX(5,NORMINV(RAND(),$C$9,$D$9)))</f>
        <v/>
      </c>
      <c r="O568" s="49">
        <f>$I$8*(SUMPRODUCT(($I$2*(1+K568)^{1;2;3;4;5;6;7;8;9;10})*(($I$3+(L568-$I$3)*{1;2;3;4;5;6;7;8;9;10}/10)*(1-$I$7)+$I$4-$I$4*($I$5+(1.05-$I$5)*{1;2;3;4;5;6;7;8;9;10}/10)-(K568/(1+K568))*$I$6)/(1+M568)^{1;2;3;4;5;6;7;8;9;10})+$I$2*(1+K568)^10*(L568+$I$4)*N568/(1+M568)^10+$I$9-$I$10)/$I$11</f>
        <v/>
      </c>
    </row>
    <row r="569">
      <c r="K569" s="25">
        <f>MAX(-0.05,NORMINV(RAND(),$C$6,$D$6))</f>
        <v/>
      </c>
      <c r="L569" s="25">
        <f>MAX(0.02,NORMINV(RAND(),$C$7,$D$7))</f>
        <v/>
      </c>
      <c r="M569" s="25">
        <f>MIN(0.16,MAX(0.05,NORMINV(RAND(),$C$8,$D$8)))</f>
        <v/>
      </c>
      <c r="N569" s="26">
        <f>MIN(24,MAX(5,NORMINV(RAND(),$C$9,$D$9)))</f>
        <v/>
      </c>
      <c r="O569" s="49">
        <f>$I$8*(SUMPRODUCT(($I$2*(1+K569)^{1;2;3;4;5;6;7;8;9;10})*(($I$3+(L569-$I$3)*{1;2;3;4;5;6;7;8;9;10}/10)*(1-$I$7)+$I$4-$I$4*($I$5+(1.05-$I$5)*{1;2;3;4;5;6;7;8;9;10}/10)-(K569/(1+K569))*$I$6)/(1+M569)^{1;2;3;4;5;6;7;8;9;10})+$I$2*(1+K569)^10*(L569+$I$4)*N569/(1+M569)^10+$I$9-$I$10)/$I$11</f>
        <v/>
      </c>
    </row>
    <row r="570">
      <c r="K570" s="25">
        <f>MAX(-0.05,NORMINV(RAND(),$C$6,$D$6))</f>
        <v/>
      </c>
      <c r="L570" s="25">
        <f>MAX(0.02,NORMINV(RAND(),$C$7,$D$7))</f>
        <v/>
      </c>
      <c r="M570" s="25">
        <f>MIN(0.16,MAX(0.05,NORMINV(RAND(),$C$8,$D$8)))</f>
        <v/>
      </c>
      <c r="N570" s="26">
        <f>MIN(24,MAX(5,NORMINV(RAND(),$C$9,$D$9)))</f>
        <v/>
      </c>
      <c r="O570" s="49">
        <f>$I$8*(SUMPRODUCT(($I$2*(1+K570)^{1;2;3;4;5;6;7;8;9;10})*(($I$3+(L570-$I$3)*{1;2;3;4;5;6;7;8;9;10}/10)*(1-$I$7)+$I$4-$I$4*($I$5+(1.05-$I$5)*{1;2;3;4;5;6;7;8;9;10}/10)-(K570/(1+K570))*$I$6)/(1+M570)^{1;2;3;4;5;6;7;8;9;10})+$I$2*(1+K570)^10*(L570+$I$4)*N570/(1+M570)^10+$I$9-$I$10)/$I$11</f>
        <v/>
      </c>
    </row>
    <row r="571">
      <c r="K571" s="25">
        <f>MAX(-0.05,NORMINV(RAND(),$C$6,$D$6))</f>
        <v/>
      </c>
      <c r="L571" s="25">
        <f>MAX(0.02,NORMINV(RAND(),$C$7,$D$7))</f>
        <v/>
      </c>
      <c r="M571" s="25">
        <f>MIN(0.16,MAX(0.05,NORMINV(RAND(),$C$8,$D$8)))</f>
        <v/>
      </c>
      <c r="N571" s="26">
        <f>MIN(24,MAX(5,NORMINV(RAND(),$C$9,$D$9)))</f>
        <v/>
      </c>
      <c r="O571" s="49">
        <f>$I$8*(SUMPRODUCT(($I$2*(1+K571)^{1;2;3;4;5;6;7;8;9;10})*(($I$3+(L571-$I$3)*{1;2;3;4;5;6;7;8;9;10}/10)*(1-$I$7)+$I$4-$I$4*($I$5+(1.05-$I$5)*{1;2;3;4;5;6;7;8;9;10}/10)-(K571/(1+K571))*$I$6)/(1+M571)^{1;2;3;4;5;6;7;8;9;10})+$I$2*(1+K571)^10*(L571+$I$4)*N571/(1+M571)^10+$I$9-$I$10)/$I$11</f>
        <v/>
      </c>
    </row>
    <row r="572">
      <c r="K572" s="25">
        <f>MAX(-0.05,NORMINV(RAND(),$C$6,$D$6))</f>
        <v/>
      </c>
      <c r="L572" s="25">
        <f>MAX(0.02,NORMINV(RAND(),$C$7,$D$7))</f>
        <v/>
      </c>
      <c r="M572" s="25">
        <f>MIN(0.16,MAX(0.05,NORMINV(RAND(),$C$8,$D$8)))</f>
        <v/>
      </c>
      <c r="N572" s="26">
        <f>MIN(24,MAX(5,NORMINV(RAND(),$C$9,$D$9)))</f>
        <v/>
      </c>
      <c r="O572" s="49">
        <f>$I$8*(SUMPRODUCT(($I$2*(1+K572)^{1;2;3;4;5;6;7;8;9;10})*(($I$3+(L572-$I$3)*{1;2;3;4;5;6;7;8;9;10}/10)*(1-$I$7)+$I$4-$I$4*($I$5+(1.05-$I$5)*{1;2;3;4;5;6;7;8;9;10}/10)-(K572/(1+K572))*$I$6)/(1+M572)^{1;2;3;4;5;6;7;8;9;10})+$I$2*(1+K572)^10*(L572+$I$4)*N572/(1+M572)^10+$I$9-$I$10)/$I$11</f>
        <v/>
      </c>
    </row>
    <row r="573">
      <c r="K573" s="25">
        <f>MAX(-0.05,NORMINV(RAND(),$C$6,$D$6))</f>
        <v/>
      </c>
      <c r="L573" s="25">
        <f>MAX(0.02,NORMINV(RAND(),$C$7,$D$7))</f>
        <v/>
      </c>
      <c r="M573" s="25">
        <f>MIN(0.16,MAX(0.05,NORMINV(RAND(),$C$8,$D$8)))</f>
        <v/>
      </c>
      <c r="N573" s="26">
        <f>MIN(24,MAX(5,NORMINV(RAND(),$C$9,$D$9)))</f>
        <v/>
      </c>
      <c r="O573" s="49">
        <f>$I$8*(SUMPRODUCT(($I$2*(1+K573)^{1;2;3;4;5;6;7;8;9;10})*(($I$3+(L573-$I$3)*{1;2;3;4;5;6;7;8;9;10}/10)*(1-$I$7)+$I$4-$I$4*($I$5+(1.05-$I$5)*{1;2;3;4;5;6;7;8;9;10}/10)-(K573/(1+K573))*$I$6)/(1+M573)^{1;2;3;4;5;6;7;8;9;10})+$I$2*(1+K573)^10*(L573+$I$4)*N573/(1+M573)^10+$I$9-$I$10)/$I$11</f>
        <v/>
      </c>
    </row>
    <row r="574">
      <c r="K574" s="25">
        <f>MAX(-0.05,NORMINV(RAND(),$C$6,$D$6))</f>
        <v/>
      </c>
      <c r="L574" s="25">
        <f>MAX(0.02,NORMINV(RAND(),$C$7,$D$7))</f>
        <v/>
      </c>
      <c r="M574" s="25">
        <f>MIN(0.16,MAX(0.05,NORMINV(RAND(),$C$8,$D$8)))</f>
        <v/>
      </c>
      <c r="N574" s="26">
        <f>MIN(24,MAX(5,NORMINV(RAND(),$C$9,$D$9)))</f>
        <v/>
      </c>
      <c r="O574" s="49">
        <f>$I$8*(SUMPRODUCT(($I$2*(1+K574)^{1;2;3;4;5;6;7;8;9;10})*(($I$3+(L574-$I$3)*{1;2;3;4;5;6;7;8;9;10}/10)*(1-$I$7)+$I$4-$I$4*($I$5+(1.05-$I$5)*{1;2;3;4;5;6;7;8;9;10}/10)-(K574/(1+K574))*$I$6)/(1+M574)^{1;2;3;4;5;6;7;8;9;10})+$I$2*(1+K574)^10*(L574+$I$4)*N574/(1+M574)^10+$I$9-$I$10)/$I$11</f>
        <v/>
      </c>
    </row>
    <row r="575">
      <c r="K575" s="25">
        <f>MAX(-0.05,NORMINV(RAND(),$C$6,$D$6))</f>
        <v/>
      </c>
      <c r="L575" s="25">
        <f>MAX(0.02,NORMINV(RAND(),$C$7,$D$7))</f>
        <v/>
      </c>
      <c r="M575" s="25">
        <f>MIN(0.16,MAX(0.05,NORMINV(RAND(),$C$8,$D$8)))</f>
        <v/>
      </c>
      <c r="N575" s="26">
        <f>MIN(24,MAX(5,NORMINV(RAND(),$C$9,$D$9)))</f>
        <v/>
      </c>
      <c r="O575" s="49">
        <f>$I$8*(SUMPRODUCT(($I$2*(1+K575)^{1;2;3;4;5;6;7;8;9;10})*(($I$3+(L575-$I$3)*{1;2;3;4;5;6;7;8;9;10}/10)*(1-$I$7)+$I$4-$I$4*($I$5+(1.05-$I$5)*{1;2;3;4;5;6;7;8;9;10}/10)-(K575/(1+K575))*$I$6)/(1+M575)^{1;2;3;4;5;6;7;8;9;10})+$I$2*(1+K575)^10*(L575+$I$4)*N575/(1+M575)^10+$I$9-$I$10)/$I$11</f>
        <v/>
      </c>
    </row>
    <row r="576">
      <c r="K576" s="25">
        <f>MAX(-0.05,NORMINV(RAND(),$C$6,$D$6))</f>
        <v/>
      </c>
      <c r="L576" s="25">
        <f>MAX(0.02,NORMINV(RAND(),$C$7,$D$7))</f>
        <v/>
      </c>
      <c r="M576" s="25">
        <f>MIN(0.16,MAX(0.05,NORMINV(RAND(),$C$8,$D$8)))</f>
        <v/>
      </c>
      <c r="N576" s="26">
        <f>MIN(24,MAX(5,NORMINV(RAND(),$C$9,$D$9)))</f>
        <v/>
      </c>
      <c r="O576" s="49">
        <f>$I$8*(SUMPRODUCT(($I$2*(1+K576)^{1;2;3;4;5;6;7;8;9;10})*(($I$3+(L576-$I$3)*{1;2;3;4;5;6;7;8;9;10}/10)*(1-$I$7)+$I$4-$I$4*($I$5+(1.05-$I$5)*{1;2;3;4;5;6;7;8;9;10}/10)-(K576/(1+K576))*$I$6)/(1+M576)^{1;2;3;4;5;6;7;8;9;10})+$I$2*(1+K576)^10*(L576+$I$4)*N576/(1+M576)^10+$I$9-$I$10)/$I$11</f>
        <v/>
      </c>
    </row>
    <row r="577">
      <c r="K577" s="25">
        <f>MAX(-0.05,NORMINV(RAND(),$C$6,$D$6))</f>
        <v/>
      </c>
      <c r="L577" s="25">
        <f>MAX(0.02,NORMINV(RAND(),$C$7,$D$7))</f>
        <v/>
      </c>
      <c r="M577" s="25">
        <f>MIN(0.16,MAX(0.05,NORMINV(RAND(),$C$8,$D$8)))</f>
        <v/>
      </c>
      <c r="N577" s="26">
        <f>MIN(24,MAX(5,NORMINV(RAND(),$C$9,$D$9)))</f>
        <v/>
      </c>
      <c r="O577" s="49">
        <f>$I$8*(SUMPRODUCT(($I$2*(1+K577)^{1;2;3;4;5;6;7;8;9;10})*(($I$3+(L577-$I$3)*{1;2;3;4;5;6;7;8;9;10}/10)*(1-$I$7)+$I$4-$I$4*($I$5+(1.05-$I$5)*{1;2;3;4;5;6;7;8;9;10}/10)-(K577/(1+K577))*$I$6)/(1+M577)^{1;2;3;4;5;6;7;8;9;10})+$I$2*(1+K577)^10*(L577+$I$4)*N577/(1+M577)^10+$I$9-$I$10)/$I$11</f>
        <v/>
      </c>
    </row>
    <row r="578">
      <c r="K578" s="25">
        <f>MAX(-0.05,NORMINV(RAND(),$C$6,$D$6))</f>
        <v/>
      </c>
      <c r="L578" s="25">
        <f>MAX(0.02,NORMINV(RAND(),$C$7,$D$7))</f>
        <v/>
      </c>
      <c r="M578" s="25">
        <f>MIN(0.16,MAX(0.05,NORMINV(RAND(),$C$8,$D$8)))</f>
        <v/>
      </c>
      <c r="N578" s="26">
        <f>MIN(24,MAX(5,NORMINV(RAND(),$C$9,$D$9)))</f>
        <v/>
      </c>
      <c r="O578" s="49">
        <f>$I$8*(SUMPRODUCT(($I$2*(1+K578)^{1;2;3;4;5;6;7;8;9;10})*(($I$3+(L578-$I$3)*{1;2;3;4;5;6;7;8;9;10}/10)*(1-$I$7)+$I$4-$I$4*($I$5+(1.05-$I$5)*{1;2;3;4;5;6;7;8;9;10}/10)-(K578/(1+K578))*$I$6)/(1+M578)^{1;2;3;4;5;6;7;8;9;10})+$I$2*(1+K578)^10*(L578+$I$4)*N578/(1+M578)^10+$I$9-$I$10)/$I$11</f>
        <v/>
      </c>
    </row>
    <row r="579">
      <c r="K579" s="25">
        <f>MAX(-0.05,NORMINV(RAND(),$C$6,$D$6))</f>
        <v/>
      </c>
      <c r="L579" s="25">
        <f>MAX(0.02,NORMINV(RAND(),$C$7,$D$7))</f>
        <v/>
      </c>
      <c r="M579" s="25">
        <f>MIN(0.16,MAX(0.05,NORMINV(RAND(),$C$8,$D$8)))</f>
        <v/>
      </c>
      <c r="N579" s="26">
        <f>MIN(24,MAX(5,NORMINV(RAND(),$C$9,$D$9)))</f>
        <v/>
      </c>
      <c r="O579" s="49">
        <f>$I$8*(SUMPRODUCT(($I$2*(1+K579)^{1;2;3;4;5;6;7;8;9;10})*(($I$3+(L579-$I$3)*{1;2;3;4;5;6;7;8;9;10}/10)*(1-$I$7)+$I$4-$I$4*($I$5+(1.05-$I$5)*{1;2;3;4;5;6;7;8;9;10}/10)-(K579/(1+K579))*$I$6)/(1+M579)^{1;2;3;4;5;6;7;8;9;10})+$I$2*(1+K579)^10*(L579+$I$4)*N579/(1+M579)^10+$I$9-$I$10)/$I$11</f>
        <v/>
      </c>
    </row>
    <row r="580">
      <c r="K580" s="25">
        <f>MAX(-0.05,NORMINV(RAND(),$C$6,$D$6))</f>
        <v/>
      </c>
      <c r="L580" s="25">
        <f>MAX(0.02,NORMINV(RAND(),$C$7,$D$7))</f>
        <v/>
      </c>
      <c r="M580" s="25">
        <f>MIN(0.16,MAX(0.05,NORMINV(RAND(),$C$8,$D$8)))</f>
        <v/>
      </c>
      <c r="N580" s="26">
        <f>MIN(24,MAX(5,NORMINV(RAND(),$C$9,$D$9)))</f>
        <v/>
      </c>
      <c r="O580" s="49">
        <f>$I$8*(SUMPRODUCT(($I$2*(1+K580)^{1;2;3;4;5;6;7;8;9;10})*(($I$3+(L580-$I$3)*{1;2;3;4;5;6;7;8;9;10}/10)*(1-$I$7)+$I$4-$I$4*($I$5+(1.05-$I$5)*{1;2;3;4;5;6;7;8;9;10}/10)-(K580/(1+K580))*$I$6)/(1+M580)^{1;2;3;4;5;6;7;8;9;10})+$I$2*(1+K580)^10*(L580+$I$4)*N580/(1+M580)^10+$I$9-$I$10)/$I$11</f>
        <v/>
      </c>
    </row>
    <row r="581">
      <c r="K581" s="25">
        <f>MAX(-0.05,NORMINV(RAND(),$C$6,$D$6))</f>
        <v/>
      </c>
      <c r="L581" s="25">
        <f>MAX(0.02,NORMINV(RAND(),$C$7,$D$7))</f>
        <v/>
      </c>
      <c r="M581" s="25">
        <f>MIN(0.16,MAX(0.05,NORMINV(RAND(),$C$8,$D$8)))</f>
        <v/>
      </c>
      <c r="N581" s="26">
        <f>MIN(24,MAX(5,NORMINV(RAND(),$C$9,$D$9)))</f>
        <v/>
      </c>
      <c r="O581" s="49">
        <f>$I$8*(SUMPRODUCT(($I$2*(1+K581)^{1;2;3;4;5;6;7;8;9;10})*(($I$3+(L581-$I$3)*{1;2;3;4;5;6;7;8;9;10}/10)*(1-$I$7)+$I$4-$I$4*($I$5+(1.05-$I$5)*{1;2;3;4;5;6;7;8;9;10}/10)-(K581/(1+K581))*$I$6)/(1+M581)^{1;2;3;4;5;6;7;8;9;10})+$I$2*(1+K581)^10*(L581+$I$4)*N581/(1+M581)^10+$I$9-$I$10)/$I$11</f>
        <v/>
      </c>
    </row>
    <row r="582">
      <c r="K582" s="25">
        <f>MAX(-0.05,NORMINV(RAND(),$C$6,$D$6))</f>
        <v/>
      </c>
      <c r="L582" s="25">
        <f>MAX(0.02,NORMINV(RAND(),$C$7,$D$7))</f>
        <v/>
      </c>
      <c r="M582" s="25">
        <f>MIN(0.16,MAX(0.05,NORMINV(RAND(),$C$8,$D$8)))</f>
        <v/>
      </c>
      <c r="N582" s="26">
        <f>MIN(24,MAX(5,NORMINV(RAND(),$C$9,$D$9)))</f>
        <v/>
      </c>
      <c r="O582" s="49">
        <f>$I$8*(SUMPRODUCT(($I$2*(1+K582)^{1;2;3;4;5;6;7;8;9;10})*(($I$3+(L582-$I$3)*{1;2;3;4;5;6;7;8;9;10}/10)*(1-$I$7)+$I$4-$I$4*($I$5+(1.05-$I$5)*{1;2;3;4;5;6;7;8;9;10}/10)-(K582/(1+K582))*$I$6)/(1+M582)^{1;2;3;4;5;6;7;8;9;10})+$I$2*(1+K582)^10*(L582+$I$4)*N582/(1+M582)^10+$I$9-$I$10)/$I$11</f>
        <v/>
      </c>
    </row>
    <row r="583">
      <c r="K583" s="25">
        <f>MAX(-0.05,NORMINV(RAND(),$C$6,$D$6))</f>
        <v/>
      </c>
      <c r="L583" s="25">
        <f>MAX(0.02,NORMINV(RAND(),$C$7,$D$7))</f>
        <v/>
      </c>
      <c r="M583" s="25">
        <f>MIN(0.16,MAX(0.05,NORMINV(RAND(),$C$8,$D$8)))</f>
        <v/>
      </c>
      <c r="N583" s="26">
        <f>MIN(24,MAX(5,NORMINV(RAND(),$C$9,$D$9)))</f>
        <v/>
      </c>
      <c r="O583" s="49">
        <f>$I$8*(SUMPRODUCT(($I$2*(1+K583)^{1;2;3;4;5;6;7;8;9;10})*(($I$3+(L583-$I$3)*{1;2;3;4;5;6;7;8;9;10}/10)*(1-$I$7)+$I$4-$I$4*($I$5+(1.05-$I$5)*{1;2;3;4;5;6;7;8;9;10}/10)-(K583/(1+K583))*$I$6)/(1+M583)^{1;2;3;4;5;6;7;8;9;10})+$I$2*(1+K583)^10*(L583+$I$4)*N583/(1+M583)^10+$I$9-$I$10)/$I$11</f>
        <v/>
      </c>
    </row>
    <row r="584">
      <c r="K584" s="25">
        <f>MAX(-0.05,NORMINV(RAND(),$C$6,$D$6))</f>
        <v/>
      </c>
      <c r="L584" s="25">
        <f>MAX(0.02,NORMINV(RAND(),$C$7,$D$7))</f>
        <v/>
      </c>
      <c r="M584" s="25">
        <f>MIN(0.16,MAX(0.05,NORMINV(RAND(),$C$8,$D$8)))</f>
        <v/>
      </c>
      <c r="N584" s="26">
        <f>MIN(24,MAX(5,NORMINV(RAND(),$C$9,$D$9)))</f>
        <v/>
      </c>
      <c r="O584" s="49">
        <f>$I$8*(SUMPRODUCT(($I$2*(1+K584)^{1;2;3;4;5;6;7;8;9;10})*(($I$3+(L584-$I$3)*{1;2;3;4;5;6;7;8;9;10}/10)*(1-$I$7)+$I$4-$I$4*($I$5+(1.05-$I$5)*{1;2;3;4;5;6;7;8;9;10}/10)-(K584/(1+K584))*$I$6)/(1+M584)^{1;2;3;4;5;6;7;8;9;10})+$I$2*(1+K584)^10*(L584+$I$4)*N584/(1+M584)^10+$I$9-$I$10)/$I$11</f>
        <v/>
      </c>
    </row>
    <row r="585">
      <c r="K585" s="25">
        <f>MAX(-0.05,NORMINV(RAND(),$C$6,$D$6))</f>
        <v/>
      </c>
      <c r="L585" s="25">
        <f>MAX(0.02,NORMINV(RAND(),$C$7,$D$7))</f>
        <v/>
      </c>
      <c r="M585" s="25">
        <f>MIN(0.16,MAX(0.05,NORMINV(RAND(),$C$8,$D$8)))</f>
        <v/>
      </c>
      <c r="N585" s="26">
        <f>MIN(24,MAX(5,NORMINV(RAND(),$C$9,$D$9)))</f>
        <v/>
      </c>
      <c r="O585" s="49">
        <f>$I$8*(SUMPRODUCT(($I$2*(1+K585)^{1;2;3;4;5;6;7;8;9;10})*(($I$3+(L585-$I$3)*{1;2;3;4;5;6;7;8;9;10}/10)*(1-$I$7)+$I$4-$I$4*($I$5+(1.05-$I$5)*{1;2;3;4;5;6;7;8;9;10}/10)-(K585/(1+K585))*$I$6)/(1+M585)^{1;2;3;4;5;6;7;8;9;10})+$I$2*(1+K585)^10*(L585+$I$4)*N585/(1+M585)^10+$I$9-$I$10)/$I$11</f>
        <v/>
      </c>
    </row>
    <row r="586">
      <c r="K586" s="25">
        <f>MAX(-0.05,NORMINV(RAND(),$C$6,$D$6))</f>
        <v/>
      </c>
      <c r="L586" s="25">
        <f>MAX(0.02,NORMINV(RAND(),$C$7,$D$7))</f>
        <v/>
      </c>
      <c r="M586" s="25">
        <f>MIN(0.16,MAX(0.05,NORMINV(RAND(),$C$8,$D$8)))</f>
        <v/>
      </c>
      <c r="N586" s="26">
        <f>MIN(24,MAX(5,NORMINV(RAND(),$C$9,$D$9)))</f>
        <v/>
      </c>
      <c r="O586" s="49">
        <f>$I$8*(SUMPRODUCT(($I$2*(1+K586)^{1;2;3;4;5;6;7;8;9;10})*(($I$3+(L586-$I$3)*{1;2;3;4;5;6;7;8;9;10}/10)*(1-$I$7)+$I$4-$I$4*($I$5+(1.05-$I$5)*{1;2;3;4;5;6;7;8;9;10}/10)-(K586/(1+K586))*$I$6)/(1+M586)^{1;2;3;4;5;6;7;8;9;10})+$I$2*(1+K586)^10*(L586+$I$4)*N586/(1+M586)^10+$I$9-$I$10)/$I$11</f>
        <v/>
      </c>
    </row>
    <row r="587">
      <c r="K587" s="25">
        <f>MAX(-0.05,NORMINV(RAND(),$C$6,$D$6))</f>
        <v/>
      </c>
      <c r="L587" s="25">
        <f>MAX(0.02,NORMINV(RAND(),$C$7,$D$7))</f>
        <v/>
      </c>
      <c r="M587" s="25">
        <f>MIN(0.16,MAX(0.05,NORMINV(RAND(),$C$8,$D$8)))</f>
        <v/>
      </c>
      <c r="N587" s="26">
        <f>MIN(24,MAX(5,NORMINV(RAND(),$C$9,$D$9)))</f>
        <v/>
      </c>
      <c r="O587" s="49">
        <f>$I$8*(SUMPRODUCT(($I$2*(1+K587)^{1;2;3;4;5;6;7;8;9;10})*(($I$3+(L587-$I$3)*{1;2;3;4;5;6;7;8;9;10}/10)*(1-$I$7)+$I$4-$I$4*($I$5+(1.05-$I$5)*{1;2;3;4;5;6;7;8;9;10}/10)-(K587/(1+K587))*$I$6)/(1+M587)^{1;2;3;4;5;6;7;8;9;10})+$I$2*(1+K587)^10*(L587+$I$4)*N587/(1+M587)^10+$I$9-$I$10)/$I$11</f>
        <v/>
      </c>
    </row>
    <row r="588">
      <c r="K588" s="25">
        <f>MAX(-0.05,NORMINV(RAND(),$C$6,$D$6))</f>
        <v/>
      </c>
      <c r="L588" s="25">
        <f>MAX(0.02,NORMINV(RAND(),$C$7,$D$7))</f>
        <v/>
      </c>
      <c r="M588" s="25">
        <f>MIN(0.16,MAX(0.05,NORMINV(RAND(),$C$8,$D$8)))</f>
        <v/>
      </c>
      <c r="N588" s="26">
        <f>MIN(24,MAX(5,NORMINV(RAND(),$C$9,$D$9)))</f>
        <v/>
      </c>
      <c r="O588" s="49">
        <f>$I$8*(SUMPRODUCT(($I$2*(1+K588)^{1;2;3;4;5;6;7;8;9;10})*(($I$3+(L588-$I$3)*{1;2;3;4;5;6;7;8;9;10}/10)*(1-$I$7)+$I$4-$I$4*($I$5+(1.05-$I$5)*{1;2;3;4;5;6;7;8;9;10}/10)-(K588/(1+K588))*$I$6)/(1+M588)^{1;2;3;4;5;6;7;8;9;10})+$I$2*(1+K588)^10*(L588+$I$4)*N588/(1+M588)^10+$I$9-$I$10)/$I$11</f>
        <v/>
      </c>
    </row>
    <row r="589">
      <c r="K589" s="25">
        <f>MAX(-0.05,NORMINV(RAND(),$C$6,$D$6))</f>
        <v/>
      </c>
      <c r="L589" s="25">
        <f>MAX(0.02,NORMINV(RAND(),$C$7,$D$7))</f>
        <v/>
      </c>
      <c r="M589" s="25">
        <f>MIN(0.16,MAX(0.05,NORMINV(RAND(),$C$8,$D$8)))</f>
        <v/>
      </c>
      <c r="N589" s="26">
        <f>MIN(24,MAX(5,NORMINV(RAND(),$C$9,$D$9)))</f>
        <v/>
      </c>
      <c r="O589" s="49">
        <f>$I$8*(SUMPRODUCT(($I$2*(1+K589)^{1;2;3;4;5;6;7;8;9;10})*(($I$3+(L589-$I$3)*{1;2;3;4;5;6;7;8;9;10}/10)*(1-$I$7)+$I$4-$I$4*($I$5+(1.05-$I$5)*{1;2;3;4;5;6;7;8;9;10}/10)-(K589/(1+K589))*$I$6)/(1+M589)^{1;2;3;4;5;6;7;8;9;10})+$I$2*(1+K589)^10*(L589+$I$4)*N589/(1+M589)^10+$I$9-$I$10)/$I$11</f>
        <v/>
      </c>
    </row>
    <row r="590">
      <c r="K590" s="25">
        <f>MAX(-0.05,NORMINV(RAND(),$C$6,$D$6))</f>
        <v/>
      </c>
      <c r="L590" s="25">
        <f>MAX(0.02,NORMINV(RAND(),$C$7,$D$7))</f>
        <v/>
      </c>
      <c r="M590" s="25">
        <f>MIN(0.16,MAX(0.05,NORMINV(RAND(),$C$8,$D$8)))</f>
        <v/>
      </c>
      <c r="N590" s="26">
        <f>MIN(24,MAX(5,NORMINV(RAND(),$C$9,$D$9)))</f>
        <v/>
      </c>
      <c r="O590" s="49">
        <f>$I$8*(SUMPRODUCT(($I$2*(1+K590)^{1;2;3;4;5;6;7;8;9;10})*(($I$3+(L590-$I$3)*{1;2;3;4;5;6;7;8;9;10}/10)*(1-$I$7)+$I$4-$I$4*($I$5+(1.05-$I$5)*{1;2;3;4;5;6;7;8;9;10}/10)-(K590/(1+K590))*$I$6)/(1+M590)^{1;2;3;4;5;6;7;8;9;10})+$I$2*(1+K590)^10*(L590+$I$4)*N590/(1+M590)^10+$I$9-$I$10)/$I$11</f>
        <v/>
      </c>
    </row>
    <row r="591">
      <c r="K591" s="25">
        <f>MAX(-0.05,NORMINV(RAND(),$C$6,$D$6))</f>
        <v/>
      </c>
      <c r="L591" s="25">
        <f>MAX(0.02,NORMINV(RAND(),$C$7,$D$7))</f>
        <v/>
      </c>
      <c r="M591" s="25">
        <f>MIN(0.16,MAX(0.05,NORMINV(RAND(),$C$8,$D$8)))</f>
        <v/>
      </c>
      <c r="N591" s="26">
        <f>MIN(24,MAX(5,NORMINV(RAND(),$C$9,$D$9)))</f>
        <v/>
      </c>
      <c r="O591" s="49">
        <f>$I$8*(SUMPRODUCT(($I$2*(1+K591)^{1;2;3;4;5;6;7;8;9;10})*(($I$3+(L591-$I$3)*{1;2;3;4;5;6;7;8;9;10}/10)*(1-$I$7)+$I$4-$I$4*($I$5+(1.05-$I$5)*{1;2;3;4;5;6;7;8;9;10}/10)-(K591/(1+K591))*$I$6)/(1+M591)^{1;2;3;4;5;6;7;8;9;10})+$I$2*(1+K591)^10*(L591+$I$4)*N591/(1+M591)^10+$I$9-$I$10)/$I$11</f>
        <v/>
      </c>
    </row>
    <row r="592">
      <c r="K592" s="25">
        <f>MAX(-0.05,NORMINV(RAND(),$C$6,$D$6))</f>
        <v/>
      </c>
      <c r="L592" s="25">
        <f>MAX(0.02,NORMINV(RAND(),$C$7,$D$7))</f>
        <v/>
      </c>
      <c r="M592" s="25">
        <f>MIN(0.16,MAX(0.05,NORMINV(RAND(),$C$8,$D$8)))</f>
        <v/>
      </c>
      <c r="N592" s="26">
        <f>MIN(24,MAX(5,NORMINV(RAND(),$C$9,$D$9)))</f>
        <v/>
      </c>
      <c r="O592" s="49">
        <f>$I$8*(SUMPRODUCT(($I$2*(1+K592)^{1;2;3;4;5;6;7;8;9;10})*(($I$3+(L592-$I$3)*{1;2;3;4;5;6;7;8;9;10}/10)*(1-$I$7)+$I$4-$I$4*($I$5+(1.05-$I$5)*{1;2;3;4;5;6;7;8;9;10}/10)-(K592/(1+K592))*$I$6)/(1+M592)^{1;2;3;4;5;6;7;8;9;10})+$I$2*(1+K592)^10*(L592+$I$4)*N592/(1+M592)^10+$I$9-$I$10)/$I$11</f>
        <v/>
      </c>
    </row>
    <row r="593">
      <c r="K593" s="25">
        <f>MAX(-0.05,NORMINV(RAND(),$C$6,$D$6))</f>
        <v/>
      </c>
      <c r="L593" s="25">
        <f>MAX(0.02,NORMINV(RAND(),$C$7,$D$7))</f>
        <v/>
      </c>
      <c r="M593" s="25">
        <f>MIN(0.16,MAX(0.05,NORMINV(RAND(),$C$8,$D$8)))</f>
        <v/>
      </c>
      <c r="N593" s="26">
        <f>MIN(24,MAX(5,NORMINV(RAND(),$C$9,$D$9)))</f>
        <v/>
      </c>
      <c r="O593" s="49">
        <f>$I$8*(SUMPRODUCT(($I$2*(1+K593)^{1;2;3;4;5;6;7;8;9;10})*(($I$3+(L593-$I$3)*{1;2;3;4;5;6;7;8;9;10}/10)*(1-$I$7)+$I$4-$I$4*($I$5+(1.05-$I$5)*{1;2;3;4;5;6;7;8;9;10}/10)-(K593/(1+K593))*$I$6)/(1+M593)^{1;2;3;4;5;6;7;8;9;10})+$I$2*(1+K593)^10*(L593+$I$4)*N593/(1+M593)^10+$I$9-$I$10)/$I$11</f>
        <v/>
      </c>
    </row>
    <row r="594">
      <c r="K594" s="25">
        <f>MAX(-0.05,NORMINV(RAND(),$C$6,$D$6))</f>
        <v/>
      </c>
      <c r="L594" s="25">
        <f>MAX(0.02,NORMINV(RAND(),$C$7,$D$7))</f>
        <v/>
      </c>
      <c r="M594" s="25">
        <f>MIN(0.16,MAX(0.05,NORMINV(RAND(),$C$8,$D$8)))</f>
        <v/>
      </c>
      <c r="N594" s="26">
        <f>MIN(24,MAX(5,NORMINV(RAND(),$C$9,$D$9)))</f>
        <v/>
      </c>
      <c r="O594" s="49">
        <f>$I$8*(SUMPRODUCT(($I$2*(1+K594)^{1;2;3;4;5;6;7;8;9;10})*(($I$3+(L594-$I$3)*{1;2;3;4;5;6;7;8;9;10}/10)*(1-$I$7)+$I$4-$I$4*($I$5+(1.05-$I$5)*{1;2;3;4;5;6;7;8;9;10}/10)-(K594/(1+K594))*$I$6)/(1+M594)^{1;2;3;4;5;6;7;8;9;10})+$I$2*(1+K594)^10*(L594+$I$4)*N594/(1+M594)^10+$I$9-$I$10)/$I$11</f>
        <v/>
      </c>
    </row>
    <row r="595">
      <c r="K595" s="25">
        <f>MAX(-0.05,NORMINV(RAND(),$C$6,$D$6))</f>
        <v/>
      </c>
      <c r="L595" s="25">
        <f>MAX(0.02,NORMINV(RAND(),$C$7,$D$7))</f>
        <v/>
      </c>
      <c r="M595" s="25">
        <f>MIN(0.16,MAX(0.05,NORMINV(RAND(),$C$8,$D$8)))</f>
        <v/>
      </c>
      <c r="N595" s="26">
        <f>MIN(24,MAX(5,NORMINV(RAND(),$C$9,$D$9)))</f>
        <v/>
      </c>
      <c r="O595" s="49">
        <f>$I$8*(SUMPRODUCT(($I$2*(1+K595)^{1;2;3;4;5;6;7;8;9;10})*(($I$3+(L595-$I$3)*{1;2;3;4;5;6;7;8;9;10}/10)*(1-$I$7)+$I$4-$I$4*($I$5+(1.05-$I$5)*{1;2;3;4;5;6;7;8;9;10}/10)-(K595/(1+K595))*$I$6)/(1+M595)^{1;2;3;4;5;6;7;8;9;10})+$I$2*(1+K595)^10*(L595+$I$4)*N595/(1+M595)^10+$I$9-$I$10)/$I$11</f>
        <v/>
      </c>
    </row>
    <row r="596">
      <c r="K596" s="25">
        <f>MAX(-0.05,NORMINV(RAND(),$C$6,$D$6))</f>
        <v/>
      </c>
      <c r="L596" s="25">
        <f>MAX(0.02,NORMINV(RAND(),$C$7,$D$7))</f>
        <v/>
      </c>
      <c r="M596" s="25">
        <f>MIN(0.16,MAX(0.05,NORMINV(RAND(),$C$8,$D$8)))</f>
        <v/>
      </c>
      <c r="N596" s="26">
        <f>MIN(24,MAX(5,NORMINV(RAND(),$C$9,$D$9)))</f>
        <v/>
      </c>
      <c r="O596" s="49">
        <f>$I$8*(SUMPRODUCT(($I$2*(1+K596)^{1;2;3;4;5;6;7;8;9;10})*(($I$3+(L596-$I$3)*{1;2;3;4;5;6;7;8;9;10}/10)*(1-$I$7)+$I$4-$I$4*($I$5+(1.05-$I$5)*{1;2;3;4;5;6;7;8;9;10}/10)-(K596/(1+K596))*$I$6)/(1+M596)^{1;2;3;4;5;6;7;8;9;10})+$I$2*(1+K596)^10*(L596+$I$4)*N596/(1+M596)^10+$I$9-$I$10)/$I$11</f>
        <v/>
      </c>
    </row>
    <row r="597">
      <c r="K597" s="25">
        <f>MAX(-0.05,NORMINV(RAND(),$C$6,$D$6))</f>
        <v/>
      </c>
      <c r="L597" s="25">
        <f>MAX(0.02,NORMINV(RAND(),$C$7,$D$7))</f>
        <v/>
      </c>
      <c r="M597" s="25">
        <f>MIN(0.16,MAX(0.05,NORMINV(RAND(),$C$8,$D$8)))</f>
        <v/>
      </c>
      <c r="N597" s="26">
        <f>MIN(24,MAX(5,NORMINV(RAND(),$C$9,$D$9)))</f>
        <v/>
      </c>
      <c r="O597" s="49">
        <f>$I$8*(SUMPRODUCT(($I$2*(1+K597)^{1;2;3;4;5;6;7;8;9;10})*(($I$3+(L597-$I$3)*{1;2;3;4;5;6;7;8;9;10}/10)*(1-$I$7)+$I$4-$I$4*($I$5+(1.05-$I$5)*{1;2;3;4;5;6;7;8;9;10}/10)-(K597/(1+K597))*$I$6)/(1+M597)^{1;2;3;4;5;6;7;8;9;10})+$I$2*(1+K597)^10*(L597+$I$4)*N597/(1+M597)^10+$I$9-$I$10)/$I$11</f>
        <v/>
      </c>
    </row>
    <row r="598">
      <c r="K598" s="25">
        <f>MAX(-0.05,NORMINV(RAND(),$C$6,$D$6))</f>
        <v/>
      </c>
      <c r="L598" s="25">
        <f>MAX(0.02,NORMINV(RAND(),$C$7,$D$7))</f>
        <v/>
      </c>
      <c r="M598" s="25">
        <f>MIN(0.16,MAX(0.05,NORMINV(RAND(),$C$8,$D$8)))</f>
        <v/>
      </c>
      <c r="N598" s="26">
        <f>MIN(24,MAX(5,NORMINV(RAND(),$C$9,$D$9)))</f>
        <v/>
      </c>
      <c r="O598" s="49">
        <f>$I$8*(SUMPRODUCT(($I$2*(1+K598)^{1;2;3;4;5;6;7;8;9;10})*(($I$3+(L598-$I$3)*{1;2;3;4;5;6;7;8;9;10}/10)*(1-$I$7)+$I$4-$I$4*($I$5+(1.05-$I$5)*{1;2;3;4;5;6;7;8;9;10}/10)-(K598/(1+K598))*$I$6)/(1+M598)^{1;2;3;4;5;6;7;8;9;10})+$I$2*(1+K598)^10*(L598+$I$4)*N598/(1+M598)^10+$I$9-$I$10)/$I$11</f>
        <v/>
      </c>
    </row>
    <row r="599">
      <c r="K599" s="25">
        <f>MAX(-0.05,NORMINV(RAND(),$C$6,$D$6))</f>
        <v/>
      </c>
      <c r="L599" s="25">
        <f>MAX(0.02,NORMINV(RAND(),$C$7,$D$7))</f>
        <v/>
      </c>
      <c r="M599" s="25">
        <f>MIN(0.16,MAX(0.05,NORMINV(RAND(),$C$8,$D$8)))</f>
        <v/>
      </c>
      <c r="N599" s="26">
        <f>MIN(24,MAX(5,NORMINV(RAND(),$C$9,$D$9)))</f>
        <v/>
      </c>
      <c r="O599" s="49">
        <f>$I$8*(SUMPRODUCT(($I$2*(1+K599)^{1;2;3;4;5;6;7;8;9;10})*(($I$3+(L599-$I$3)*{1;2;3;4;5;6;7;8;9;10}/10)*(1-$I$7)+$I$4-$I$4*($I$5+(1.05-$I$5)*{1;2;3;4;5;6;7;8;9;10}/10)-(K599/(1+K599))*$I$6)/(1+M599)^{1;2;3;4;5;6;7;8;9;10})+$I$2*(1+K599)^10*(L599+$I$4)*N599/(1+M599)^10+$I$9-$I$10)/$I$11</f>
        <v/>
      </c>
    </row>
    <row r="600">
      <c r="K600" s="25">
        <f>MAX(-0.05,NORMINV(RAND(),$C$6,$D$6))</f>
        <v/>
      </c>
      <c r="L600" s="25">
        <f>MAX(0.02,NORMINV(RAND(),$C$7,$D$7))</f>
        <v/>
      </c>
      <c r="M600" s="25">
        <f>MIN(0.16,MAX(0.05,NORMINV(RAND(),$C$8,$D$8)))</f>
        <v/>
      </c>
      <c r="N600" s="26">
        <f>MIN(24,MAX(5,NORMINV(RAND(),$C$9,$D$9)))</f>
        <v/>
      </c>
      <c r="O600" s="49">
        <f>$I$8*(SUMPRODUCT(($I$2*(1+K600)^{1;2;3;4;5;6;7;8;9;10})*(($I$3+(L600-$I$3)*{1;2;3;4;5;6;7;8;9;10}/10)*(1-$I$7)+$I$4-$I$4*($I$5+(1.05-$I$5)*{1;2;3;4;5;6;7;8;9;10}/10)-(K600/(1+K600))*$I$6)/(1+M600)^{1;2;3;4;5;6;7;8;9;10})+$I$2*(1+K600)^10*(L600+$I$4)*N600/(1+M600)^10+$I$9-$I$10)/$I$11</f>
        <v/>
      </c>
    </row>
    <row r="601">
      <c r="K601" s="25">
        <f>MAX(-0.05,NORMINV(RAND(),$C$6,$D$6))</f>
        <v/>
      </c>
      <c r="L601" s="25">
        <f>MAX(0.02,NORMINV(RAND(),$C$7,$D$7))</f>
        <v/>
      </c>
      <c r="M601" s="25">
        <f>MIN(0.16,MAX(0.05,NORMINV(RAND(),$C$8,$D$8)))</f>
        <v/>
      </c>
      <c r="N601" s="26">
        <f>MIN(24,MAX(5,NORMINV(RAND(),$C$9,$D$9)))</f>
        <v/>
      </c>
      <c r="O601" s="49">
        <f>$I$8*(SUMPRODUCT(($I$2*(1+K601)^{1;2;3;4;5;6;7;8;9;10})*(($I$3+(L601-$I$3)*{1;2;3;4;5;6;7;8;9;10}/10)*(1-$I$7)+$I$4-$I$4*($I$5+(1.05-$I$5)*{1;2;3;4;5;6;7;8;9;10}/10)-(K601/(1+K601))*$I$6)/(1+M601)^{1;2;3;4;5;6;7;8;9;10})+$I$2*(1+K601)^10*(L601+$I$4)*N601/(1+M601)^10+$I$9-$I$10)/$I$11</f>
        <v/>
      </c>
    </row>
    <row r="602">
      <c r="K602" s="25">
        <f>MAX(-0.05,NORMINV(RAND(),$C$6,$D$6))</f>
        <v/>
      </c>
      <c r="L602" s="25">
        <f>MAX(0.02,NORMINV(RAND(),$C$7,$D$7))</f>
        <v/>
      </c>
      <c r="M602" s="25">
        <f>MIN(0.16,MAX(0.05,NORMINV(RAND(),$C$8,$D$8)))</f>
        <v/>
      </c>
      <c r="N602" s="26">
        <f>MIN(24,MAX(5,NORMINV(RAND(),$C$9,$D$9)))</f>
        <v/>
      </c>
      <c r="O602" s="49">
        <f>$I$8*(SUMPRODUCT(($I$2*(1+K602)^{1;2;3;4;5;6;7;8;9;10})*(($I$3+(L602-$I$3)*{1;2;3;4;5;6;7;8;9;10}/10)*(1-$I$7)+$I$4-$I$4*($I$5+(1.05-$I$5)*{1;2;3;4;5;6;7;8;9;10}/10)-(K602/(1+K602))*$I$6)/(1+M602)^{1;2;3;4;5;6;7;8;9;10})+$I$2*(1+K602)^10*(L602+$I$4)*N602/(1+M602)^10+$I$9-$I$10)/$I$11</f>
        <v/>
      </c>
    </row>
    <row r="603">
      <c r="K603" s="25">
        <f>MAX(-0.05,NORMINV(RAND(),$C$6,$D$6))</f>
        <v/>
      </c>
      <c r="L603" s="25">
        <f>MAX(0.02,NORMINV(RAND(),$C$7,$D$7))</f>
        <v/>
      </c>
      <c r="M603" s="25">
        <f>MIN(0.16,MAX(0.05,NORMINV(RAND(),$C$8,$D$8)))</f>
        <v/>
      </c>
      <c r="N603" s="26">
        <f>MIN(24,MAX(5,NORMINV(RAND(),$C$9,$D$9)))</f>
        <v/>
      </c>
      <c r="O603" s="49">
        <f>$I$8*(SUMPRODUCT(($I$2*(1+K603)^{1;2;3;4;5;6;7;8;9;10})*(($I$3+(L603-$I$3)*{1;2;3;4;5;6;7;8;9;10}/10)*(1-$I$7)+$I$4-$I$4*($I$5+(1.05-$I$5)*{1;2;3;4;5;6;7;8;9;10}/10)-(K603/(1+K603))*$I$6)/(1+M603)^{1;2;3;4;5;6;7;8;9;10})+$I$2*(1+K603)^10*(L603+$I$4)*N603/(1+M603)^10+$I$9-$I$10)/$I$11</f>
        <v/>
      </c>
    </row>
    <row r="604">
      <c r="K604" s="25">
        <f>MAX(-0.05,NORMINV(RAND(),$C$6,$D$6))</f>
        <v/>
      </c>
      <c r="L604" s="25">
        <f>MAX(0.02,NORMINV(RAND(),$C$7,$D$7))</f>
        <v/>
      </c>
      <c r="M604" s="25">
        <f>MIN(0.16,MAX(0.05,NORMINV(RAND(),$C$8,$D$8)))</f>
        <v/>
      </c>
      <c r="N604" s="26">
        <f>MIN(24,MAX(5,NORMINV(RAND(),$C$9,$D$9)))</f>
        <v/>
      </c>
      <c r="O604" s="49">
        <f>$I$8*(SUMPRODUCT(($I$2*(1+K604)^{1;2;3;4;5;6;7;8;9;10})*(($I$3+(L604-$I$3)*{1;2;3;4;5;6;7;8;9;10}/10)*(1-$I$7)+$I$4-$I$4*($I$5+(1.05-$I$5)*{1;2;3;4;5;6;7;8;9;10}/10)-(K604/(1+K604))*$I$6)/(1+M604)^{1;2;3;4;5;6;7;8;9;10})+$I$2*(1+K604)^10*(L604+$I$4)*N604/(1+M604)^10+$I$9-$I$10)/$I$11</f>
        <v/>
      </c>
    </row>
    <row r="605">
      <c r="K605" s="25">
        <f>MAX(-0.05,NORMINV(RAND(),$C$6,$D$6))</f>
        <v/>
      </c>
      <c r="L605" s="25">
        <f>MAX(0.02,NORMINV(RAND(),$C$7,$D$7))</f>
        <v/>
      </c>
      <c r="M605" s="25">
        <f>MIN(0.16,MAX(0.05,NORMINV(RAND(),$C$8,$D$8)))</f>
        <v/>
      </c>
      <c r="N605" s="26">
        <f>MIN(24,MAX(5,NORMINV(RAND(),$C$9,$D$9)))</f>
        <v/>
      </c>
      <c r="O605" s="49">
        <f>$I$8*(SUMPRODUCT(($I$2*(1+K605)^{1;2;3;4;5;6;7;8;9;10})*(($I$3+(L605-$I$3)*{1;2;3;4;5;6;7;8;9;10}/10)*(1-$I$7)+$I$4-$I$4*($I$5+(1.05-$I$5)*{1;2;3;4;5;6;7;8;9;10}/10)-(K605/(1+K605))*$I$6)/(1+M605)^{1;2;3;4;5;6;7;8;9;10})+$I$2*(1+K605)^10*(L605+$I$4)*N605/(1+M605)^10+$I$9-$I$10)/$I$11</f>
        <v/>
      </c>
    </row>
    <row r="606">
      <c r="K606" s="25">
        <f>MAX(-0.05,NORMINV(RAND(),$C$6,$D$6))</f>
        <v/>
      </c>
      <c r="L606" s="25">
        <f>MAX(0.02,NORMINV(RAND(),$C$7,$D$7))</f>
        <v/>
      </c>
      <c r="M606" s="25">
        <f>MIN(0.16,MAX(0.05,NORMINV(RAND(),$C$8,$D$8)))</f>
        <v/>
      </c>
      <c r="N606" s="26">
        <f>MIN(24,MAX(5,NORMINV(RAND(),$C$9,$D$9)))</f>
        <v/>
      </c>
      <c r="O606" s="49">
        <f>$I$8*(SUMPRODUCT(($I$2*(1+K606)^{1;2;3;4;5;6;7;8;9;10})*(($I$3+(L606-$I$3)*{1;2;3;4;5;6;7;8;9;10}/10)*(1-$I$7)+$I$4-$I$4*($I$5+(1.05-$I$5)*{1;2;3;4;5;6;7;8;9;10}/10)-(K606/(1+K606))*$I$6)/(1+M606)^{1;2;3;4;5;6;7;8;9;10})+$I$2*(1+K606)^10*(L606+$I$4)*N606/(1+M606)^10+$I$9-$I$10)/$I$11</f>
        <v/>
      </c>
    </row>
    <row r="607">
      <c r="K607" s="25">
        <f>MAX(-0.05,NORMINV(RAND(),$C$6,$D$6))</f>
        <v/>
      </c>
      <c r="L607" s="25">
        <f>MAX(0.02,NORMINV(RAND(),$C$7,$D$7))</f>
        <v/>
      </c>
      <c r="M607" s="25">
        <f>MIN(0.16,MAX(0.05,NORMINV(RAND(),$C$8,$D$8)))</f>
        <v/>
      </c>
      <c r="N607" s="26">
        <f>MIN(24,MAX(5,NORMINV(RAND(),$C$9,$D$9)))</f>
        <v/>
      </c>
      <c r="O607" s="49">
        <f>$I$8*(SUMPRODUCT(($I$2*(1+K607)^{1;2;3;4;5;6;7;8;9;10})*(($I$3+(L607-$I$3)*{1;2;3;4;5;6;7;8;9;10}/10)*(1-$I$7)+$I$4-$I$4*($I$5+(1.05-$I$5)*{1;2;3;4;5;6;7;8;9;10}/10)-(K607/(1+K607))*$I$6)/(1+M607)^{1;2;3;4;5;6;7;8;9;10})+$I$2*(1+K607)^10*(L607+$I$4)*N607/(1+M607)^10+$I$9-$I$10)/$I$11</f>
        <v/>
      </c>
    </row>
    <row r="608">
      <c r="K608" s="25">
        <f>MAX(-0.05,NORMINV(RAND(),$C$6,$D$6))</f>
        <v/>
      </c>
      <c r="L608" s="25">
        <f>MAX(0.02,NORMINV(RAND(),$C$7,$D$7))</f>
        <v/>
      </c>
      <c r="M608" s="25">
        <f>MIN(0.16,MAX(0.05,NORMINV(RAND(),$C$8,$D$8)))</f>
        <v/>
      </c>
      <c r="N608" s="26">
        <f>MIN(24,MAX(5,NORMINV(RAND(),$C$9,$D$9)))</f>
        <v/>
      </c>
      <c r="O608" s="49">
        <f>$I$8*(SUMPRODUCT(($I$2*(1+K608)^{1;2;3;4;5;6;7;8;9;10})*(($I$3+(L608-$I$3)*{1;2;3;4;5;6;7;8;9;10}/10)*(1-$I$7)+$I$4-$I$4*($I$5+(1.05-$I$5)*{1;2;3;4;5;6;7;8;9;10}/10)-(K608/(1+K608))*$I$6)/(1+M608)^{1;2;3;4;5;6;7;8;9;10})+$I$2*(1+K608)^10*(L608+$I$4)*N608/(1+M608)^10+$I$9-$I$10)/$I$11</f>
        <v/>
      </c>
    </row>
    <row r="609">
      <c r="K609" s="25">
        <f>MAX(-0.05,NORMINV(RAND(),$C$6,$D$6))</f>
        <v/>
      </c>
      <c r="L609" s="25">
        <f>MAX(0.02,NORMINV(RAND(),$C$7,$D$7))</f>
        <v/>
      </c>
      <c r="M609" s="25">
        <f>MIN(0.16,MAX(0.05,NORMINV(RAND(),$C$8,$D$8)))</f>
        <v/>
      </c>
      <c r="N609" s="26">
        <f>MIN(24,MAX(5,NORMINV(RAND(),$C$9,$D$9)))</f>
        <v/>
      </c>
      <c r="O609" s="49">
        <f>$I$8*(SUMPRODUCT(($I$2*(1+K609)^{1;2;3;4;5;6;7;8;9;10})*(($I$3+(L609-$I$3)*{1;2;3;4;5;6;7;8;9;10}/10)*(1-$I$7)+$I$4-$I$4*($I$5+(1.05-$I$5)*{1;2;3;4;5;6;7;8;9;10}/10)-(K609/(1+K609))*$I$6)/(1+M609)^{1;2;3;4;5;6;7;8;9;10})+$I$2*(1+K609)^10*(L609+$I$4)*N609/(1+M609)^10+$I$9-$I$10)/$I$11</f>
        <v/>
      </c>
    </row>
    <row r="610">
      <c r="K610" s="25">
        <f>MAX(-0.05,NORMINV(RAND(),$C$6,$D$6))</f>
        <v/>
      </c>
      <c r="L610" s="25">
        <f>MAX(0.02,NORMINV(RAND(),$C$7,$D$7))</f>
        <v/>
      </c>
      <c r="M610" s="25">
        <f>MIN(0.16,MAX(0.05,NORMINV(RAND(),$C$8,$D$8)))</f>
        <v/>
      </c>
      <c r="N610" s="26">
        <f>MIN(24,MAX(5,NORMINV(RAND(),$C$9,$D$9)))</f>
        <v/>
      </c>
      <c r="O610" s="49">
        <f>$I$8*(SUMPRODUCT(($I$2*(1+K610)^{1;2;3;4;5;6;7;8;9;10})*(($I$3+(L610-$I$3)*{1;2;3;4;5;6;7;8;9;10}/10)*(1-$I$7)+$I$4-$I$4*($I$5+(1.05-$I$5)*{1;2;3;4;5;6;7;8;9;10}/10)-(K610/(1+K610))*$I$6)/(1+M610)^{1;2;3;4;5;6;7;8;9;10})+$I$2*(1+K610)^10*(L610+$I$4)*N610/(1+M610)^10+$I$9-$I$10)/$I$11</f>
        <v/>
      </c>
    </row>
    <row r="611">
      <c r="K611" s="25">
        <f>MAX(-0.05,NORMINV(RAND(),$C$6,$D$6))</f>
        <v/>
      </c>
      <c r="L611" s="25">
        <f>MAX(0.02,NORMINV(RAND(),$C$7,$D$7))</f>
        <v/>
      </c>
      <c r="M611" s="25">
        <f>MIN(0.16,MAX(0.05,NORMINV(RAND(),$C$8,$D$8)))</f>
        <v/>
      </c>
      <c r="N611" s="26">
        <f>MIN(24,MAX(5,NORMINV(RAND(),$C$9,$D$9)))</f>
        <v/>
      </c>
      <c r="O611" s="49">
        <f>$I$8*(SUMPRODUCT(($I$2*(1+K611)^{1;2;3;4;5;6;7;8;9;10})*(($I$3+(L611-$I$3)*{1;2;3;4;5;6;7;8;9;10}/10)*(1-$I$7)+$I$4-$I$4*($I$5+(1.05-$I$5)*{1;2;3;4;5;6;7;8;9;10}/10)-(K611/(1+K611))*$I$6)/(1+M611)^{1;2;3;4;5;6;7;8;9;10})+$I$2*(1+K611)^10*(L611+$I$4)*N611/(1+M611)^10+$I$9-$I$10)/$I$11</f>
        <v/>
      </c>
    </row>
    <row r="612">
      <c r="K612" s="25">
        <f>MAX(-0.05,NORMINV(RAND(),$C$6,$D$6))</f>
        <v/>
      </c>
      <c r="L612" s="25">
        <f>MAX(0.02,NORMINV(RAND(),$C$7,$D$7))</f>
        <v/>
      </c>
      <c r="M612" s="25">
        <f>MIN(0.16,MAX(0.05,NORMINV(RAND(),$C$8,$D$8)))</f>
        <v/>
      </c>
      <c r="N612" s="26">
        <f>MIN(24,MAX(5,NORMINV(RAND(),$C$9,$D$9)))</f>
        <v/>
      </c>
      <c r="O612" s="49">
        <f>$I$8*(SUMPRODUCT(($I$2*(1+K612)^{1;2;3;4;5;6;7;8;9;10})*(($I$3+(L612-$I$3)*{1;2;3;4;5;6;7;8;9;10}/10)*(1-$I$7)+$I$4-$I$4*($I$5+(1.05-$I$5)*{1;2;3;4;5;6;7;8;9;10}/10)-(K612/(1+K612))*$I$6)/(1+M612)^{1;2;3;4;5;6;7;8;9;10})+$I$2*(1+K612)^10*(L612+$I$4)*N612/(1+M612)^10+$I$9-$I$10)/$I$11</f>
        <v/>
      </c>
    </row>
    <row r="613">
      <c r="K613" s="25">
        <f>MAX(-0.05,NORMINV(RAND(),$C$6,$D$6))</f>
        <v/>
      </c>
      <c r="L613" s="25">
        <f>MAX(0.02,NORMINV(RAND(),$C$7,$D$7))</f>
        <v/>
      </c>
      <c r="M613" s="25">
        <f>MIN(0.16,MAX(0.05,NORMINV(RAND(),$C$8,$D$8)))</f>
        <v/>
      </c>
      <c r="N613" s="26">
        <f>MIN(24,MAX(5,NORMINV(RAND(),$C$9,$D$9)))</f>
        <v/>
      </c>
      <c r="O613" s="49">
        <f>$I$8*(SUMPRODUCT(($I$2*(1+K613)^{1;2;3;4;5;6;7;8;9;10})*(($I$3+(L613-$I$3)*{1;2;3;4;5;6;7;8;9;10}/10)*(1-$I$7)+$I$4-$I$4*($I$5+(1.05-$I$5)*{1;2;3;4;5;6;7;8;9;10}/10)-(K613/(1+K613))*$I$6)/(1+M613)^{1;2;3;4;5;6;7;8;9;10})+$I$2*(1+K613)^10*(L613+$I$4)*N613/(1+M613)^10+$I$9-$I$10)/$I$11</f>
        <v/>
      </c>
    </row>
    <row r="614">
      <c r="K614" s="25">
        <f>MAX(-0.05,NORMINV(RAND(),$C$6,$D$6))</f>
        <v/>
      </c>
      <c r="L614" s="25">
        <f>MAX(0.02,NORMINV(RAND(),$C$7,$D$7))</f>
        <v/>
      </c>
      <c r="M614" s="25">
        <f>MIN(0.16,MAX(0.05,NORMINV(RAND(),$C$8,$D$8)))</f>
        <v/>
      </c>
      <c r="N614" s="26">
        <f>MIN(24,MAX(5,NORMINV(RAND(),$C$9,$D$9)))</f>
        <v/>
      </c>
      <c r="O614" s="49">
        <f>$I$8*(SUMPRODUCT(($I$2*(1+K614)^{1;2;3;4;5;6;7;8;9;10})*(($I$3+(L614-$I$3)*{1;2;3;4;5;6;7;8;9;10}/10)*(1-$I$7)+$I$4-$I$4*($I$5+(1.05-$I$5)*{1;2;3;4;5;6;7;8;9;10}/10)-(K614/(1+K614))*$I$6)/(1+M614)^{1;2;3;4;5;6;7;8;9;10})+$I$2*(1+K614)^10*(L614+$I$4)*N614/(1+M614)^10+$I$9-$I$10)/$I$11</f>
        <v/>
      </c>
    </row>
    <row r="615">
      <c r="K615" s="25">
        <f>MAX(-0.05,NORMINV(RAND(),$C$6,$D$6))</f>
        <v/>
      </c>
      <c r="L615" s="25">
        <f>MAX(0.02,NORMINV(RAND(),$C$7,$D$7))</f>
        <v/>
      </c>
      <c r="M615" s="25">
        <f>MIN(0.16,MAX(0.05,NORMINV(RAND(),$C$8,$D$8)))</f>
        <v/>
      </c>
      <c r="N615" s="26">
        <f>MIN(24,MAX(5,NORMINV(RAND(),$C$9,$D$9)))</f>
        <v/>
      </c>
      <c r="O615" s="49">
        <f>$I$8*(SUMPRODUCT(($I$2*(1+K615)^{1;2;3;4;5;6;7;8;9;10})*(($I$3+(L615-$I$3)*{1;2;3;4;5;6;7;8;9;10}/10)*(1-$I$7)+$I$4-$I$4*($I$5+(1.05-$I$5)*{1;2;3;4;5;6;7;8;9;10}/10)-(K615/(1+K615))*$I$6)/(1+M615)^{1;2;3;4;5;6;7;8;9;10})+$I$2*(1+K615)^10*(L615+$I$4)*N615/(1+M615)^10+$I$9-$I$10)/$I$11</f>
        <v/>
      </c>
    </row>
    <row r="616">
      <c r="K616" s="25">
        <f>MAX(-0.05,NORMINV(RAND(),$C$6,$D$6))</f>
        <v/>
      </c>
      <c r="L616" s="25">
        <f>MAX(0.02,NORMINV(RAND(),$C$7,$D$7))</f>
        <v/>
      </c>
      <c r="M616" s="25">
        <f>MIN(0.16,MAX(0.05,NORMINV(RAND(),$C$8,$D$8)))</f>
        <v/>
      </c>
      <c r="N616" s="26">
        <f>MIN(24,MAX(5,NORMINV(RAND(),$C$9,$D$9)))</f>
        <v/>
      </c>
      <c r="O616" s="49">
        <f>$I$8*(SUMPRODUCT(($I$2*(1+K616)^{1;2;3;4;5;6;7;8;9;10})*(($I$3+(L616-$I$3)*{1;2;3;4;5;6;7;8;9;10}/10)*(1-$I$7)+$I$4-$I$4*($I$5+(1.05-$I$5)*{1;2;3;4;5;6;7;8;9;10}/10)-(K616/(1+K616))*$I$6)/(1+M616)^{1;2;3;4;5;6;7;8;9;10})+$I$2*(1+K616)^10*(L616+$I$4)*N616/(1+M616)^10+$I$9-$I$10)/$I$11</f>
        <v/>
      </c>
    </row>
    <row r="617">
      <c r="K617" s="25">
        <f>MAX(-0.05,NORMINV(RAND(),$C$6,$D$6))</f>
        <v/>
      </c>
      <c r="L617" s="25">
        <f>MAX(0.02,NORMINV(RAND(),$C$7,$D$7))</f>
        <v/>
      </c>
      <c r="M617" s="25">
        <f>MIN(0.16,MAX(0.05,NORMINV(RAND(),$C$8,$D$8)))</f>
        <v/>
      </c>
      <c r="N617" s="26">
        <f>MIN(24,MAX(5,NORMINV(RAND(),$C$9,$D$9)))</f>
        <v/>
      </c>
      <c r="O617" s="49">
        <f>$I$8*(SUMPRODUCT(($I$2*(1+K617)^{1;2;3;4;5;6;7;8;9;10})*(($I$3+(L617-$I$3)*{1;2;3;4;5;6;7;8;9;10}/10)*(1-$I$7)+$I$4-$I$4*($I$5+(1.05-$I$5)*{1;2;3;4;5;6;7;8;9;10}/10)-(K617/(1+K617))*$I$6)/(1+M617)^{1;2;3;4;5;6;7;8;9;10})+$I$2*(1+K617)^10*(L617+$I$4)*N617/(1+M617)^10+$I$9-$I$10)/$I$11</f>
        <v/>
      </c>
    </row>
    <row r="618">
      <c r="K618" s="25">
        <f>MAX(-0.05,NORMINV(RAND(),$C$6,$D$6))</f>
        <v/>
      </c>
      <c r="L618" s="25">
        <f>MAX(0.02,NORMINV(RAND(),$C$7,$D$7))</f>
        <v/>
      </c>
      <c r="M618" s="25">
        <f>MIN(0.16,MAX(0.05,NORMINV(RAND(),$C$8,$D$8)))</f>
        <v/>
      </c>
      <c r="N618" s="26">
        <f>MIN(24,MAX(5,NORMINV(RAND(),$C$9,$D$9)))</f>
        <v/>
      </c>
      <c r="O618" s="49">
        <f>$I$8*(SUMPRODUCT(($I$2*(1+K618)^{1;2;3;4;5;6;7;8;9;10})*(($I$3+(L618-$I$3)*{1;2;3;4;5;6;7;8;9;10}/10)*(1-$I$7)+$I$4-$I$4*($I$5+(1.05-$I$5)*{1;2;3;4;5;6;7;8;9;10}/10)-(K618/(1+K618))*$I$6)/(1+M618)^{1;2;3;4;5;6;7;8;9;10})+$I$2*(1+K618)^10*(L618+$I$4)*N618/(1+M618)^10+$I$9-$I$10)/$I$11</f>
        <v/>
      </c>
    </row>
    <row r="619">
      <c r="K619" s="25">
        <f>MAX(-0.05,NORMINV(RAND(),$C$6,$D$6))</f>
        <v/>
      </c>
      <c r="L619" s="25">
        <f>MAX(0.02,NORMINV(RAND(),$C$7,$D$7))</f>
        <v/>
      </c>
      <c r="M619" s="25">
        <f>MIN(0.16,MAX(0.05,NORMINV(RAND(),$C$8,$D$8)))</f>
        <v/>
      </c>
      <c r="N619" s="26">
        <f>MIN(24,MAX(5,NORMINV(RAND(),$C$9,$D$9)))</f>
        <v/>
      </c>
      <c r="O619" s="49">
        <f>$I$8*(SUMPRODUCT(($I$2*(1+K619)^{1;2;3;4;5;6;7;8;9;10})*(($I$3+(L619-$I$3)*{1;2;3;4;5;6;7;8;9;10}/10)*(1-$I$7)+$I$4-$I$4*($I$5+(1.05-$I$5)*{1;2;3;4;5;6;7;8;9;10}/10)-(K619/(1+K619))*$I$6)/(1+M619)^{1;2;3;4;5;6;7;8;9;10})+$I$2*(1+K619)^10*(L619+$I$4)*N619/(1+M619)^10+$I$9-$I$10)/$I$11</f>
        <v/>
      </c>
    </row>
    <row r="620">
      <c r="K620" s="25">
        <f>MAX(-0.05,NORMINV(RAND(),$C$6,$D$6))</f>
        <v/>
      </c>
      <c r="L620" s="25">
        <f>MAX(0.02,NORMINV(RAND(),$C$7,$D$7))</f>
        <v/>
      </c>
      <c r="M620" s="25">
        <f>MIN(0.16,MAX(0.05,NORMINV(RAND(),$C$8,$D$8)))</f>
        <v/>
      </c>
      <c r="N620" s="26">
        <f>MIN(24,MAX(5,NORMINV(RAND(),$C$9,$D$9)))</f>
        <v/>
      </c>
      <c r="O620" s="49">
        <f>$I$8*(SUMPRODUCT(($I$2*(1+K620)^{1;2;3;4;5;6;7;8;9;10})*(($I$3+(L620-$I$3)*{1;2;3;4;5;6;7;8;9;10}/10)*(1-$I$7)+$I$4-$I$4*($I$5+(1.05-$I$5)*{1;2;3;4;5;6;7;8;9;10}/10)-(K620/(1+K620))*$I$6)/(1+M620)^{1;2;3;4;5;6;7;8;9;10})+$I$2*(1+K620)^10*(L620+$I$4)*N620/(1+M620)^10+$I$9-$I$10)/$I$11</f>
        <v/>
      </c>
    </row>
    <row r="621">
      <c r="K621" s="25">
        <f>MAX(-0.05,NORMINV(RAND(),$C$6,$D$6))</f>
        <v/>
      </c>
      <c r="L621" s="25">
        <f>MAX(0.02,NORMINV(RAND(),$C$7,$D$7))</f>
        <v/>
      </c>
      <c r="M621" s="25">
        <f>MIN(0.16,MAX(0.05,NORMINV(RAND(),$C$8,$D$8)))</f>
        <v/>
      </c>
      <c r="N621" s="26">
        <f>MIN(24,MAX(5,NORMINV(RAND(),$C$9,$D$9)))</f>
        <v/>
      </c>
      <c r="O621" s="49">
        <f>$I$8*(SUMPRODUCT(($I$2*(1+K621)^{1;2;3;4;5;6;7;8;9;10})*(($I$3+(L621-$I$3)*{1;2;3;4;5;6;7;8;9;10}/10)*(1-$I$7)+$I$4-$I$4*($I$5+(1.05-$I$5)*{1;2;3;4;5;6;7;8;9;10}/10)-(K621/(1+K621))*$I$6)/(1+M621)^{1;2;3;4;5;6;7;8;9;10})+$I$2*(1+K621)^10*(L621+$I$4)*N621/(1+M621)^10+$I$9-$I$10)/$I$11</f>
        <v/>
      </c>
    </row>
    <row r="622">
      <c r="K622" s="25">
        <f>MAX(-0.05,NORMINV(RAND(),$C$6,$D$6))</f>
        <v/>
      </c>
      <c r="L622" s="25">
        <f>MAX(0.02,NORMINV(RAND(),$C$7,$D$7))</f>
        <v/>
      </c>
      <c r="M622" s="25">
        <f>MIN(0.16,MAX(0.05,NORMINV(RAND(),$C$8,$D$8)))</f>
        <v/>
      </c>
      <c r="N622" s="26">
        <f>MIN(24,MAX(5,NORMINV(RAND(),$C$9,$D$9)))</f>
        <v/>
      </c>
      <c r="O622" s="49">
        <f>$I$8*(SUMPRODUCT(($I$2*(1+K622)^{1;2;3;4;5;6;7;8;9;10})*(($I$3+(L622-$I$3)*{1;2;3;4;5;6;7;8;9;10}/10)*(1-$I$7)+$I$4-$I$4*($I$5+(1.05-$I$5)*{1;2;3;4;5;6;7;8;9;10}/10)-(K622/(1+K622))*$I$6)/(1+M622)^{1;2;3;4;5;6;7;8;9;10})+$I$2*(1+K622)^10*(L622+$I$4)*N622/(1+M622)^10+$I$9-$I$10)/$I$11</f>
        <v/>
      </c>
    </row>
    <row r="623">
      <c r="K623" s="25">
        <f>MAX(-0.05,NORMINV(RAND(),$C$6,$D$6))</f>
        <v/>
      </c>
      <c r="L623" s="25">
        <f>MAX(0.02,NORMINV(RAND(),$C$7,$D$7))</f>
        <v/>
      </c>
      <c r="M623" s="25">
        <f>MIN(0.16,MAX(0.05,NORMINV(RAND(),$C$8,$D$8)))</f>
        <v/>
      </c>
      <c r="N623" s="26">
        <f>MIN(24,MAX(5,NORMINV(RAND(),$C$9,$D$9)))</f>
        <v/>
      </c>
      <c r="O623" s="49">
        <f>$I$8*(SUMPRODUCT(($I$2*(1+K623)^{1;2;3;4;5;6;7;8;9;10})*(($I$3+(L623-$I$3)*{1;2;3;4;5;6;7;8;9;10}/10)*(1-$I$7)+$I$4-$I$4*($I$5+(1.05-$I$5)*{1;2;3;4;5;6;7;8;9;10}/10)-(K623/(1+K623))*$I$6)/(1+M623)^{1;2;3;4;5;6;7;8;9;10})+$I$2*(1+K623)^10*(L623+$I$4)*N623/(1+M623)^10+$I$9-$I$10)/$I$11</f>
        <v/>
      </c>
    </row>
    <row r="624">
      <c r="K624" s="25">
        <f>MAX(-0.05,NORMINV(RAND(),$C$6,$D$6))</f>
        <v/>
      </c>
      <c r="L624" s="25">
        <f>MAX(0.02,NORMINV(RAND(),$C$7,$D$7))</f>
        <v/>
      </c>
      <c r="M624" s="25">
        <f>MIN(0.16,MAX(0.05,NORMINV(RAND(),$C$8,$D$8)))</f>
        <v/>
      </c>
      <c r="N624" s="26">
        <f>MIN(24,MAX(5,NORMINV(RAND(),$C$9,$D$9)))</f>
        <v/>
      </c>
      <c r="O624" s="49">
        <f>$I$8*(SUMPRODUCT(($I$2*(1+K624)^{1;2;3;4;5;6;7;8;9;10})*(($I$3+(L624-$I$3)*{1;2;3;4;5;6;7;8;9;10}/10)*(1-$I$7)+$I$4-$I$4*($I$5+(1.05-$I$5)*{1;2;3;4;5;6;7;8;9;10}/10)-(K624/(1+K624))*$I$6)/(1+M624)^{1;2;3;4;5;6;7;8;9;10})+$I$2*(1+K624)^10*(L624+$I$4)*N624/(1+M624)^10+$I$9-$I$10)/$I$11</f>
        <v/>
      </c>
    </row>
    <row r="625">
      <c r="K625" s="25">
        <f>MAX(-0.05,NORMINV(RAND(),$C$6,$D$6))</f>
        <v/>
      </c>
      <c r="L625" s="25">
        <f>MAX(0.02,NORMINV(RAND(),$C$7,$D$7))</f>
        <v/>
      </c>
      <c r="M625" s="25">
        <f>MIN(0.16,MAX(0.05,NORMINV(RAND(),$C$8,$D$8)))</f>
        <v/>
      </c>
      <c r="N625" s="26">
        <f>MIN(24,MAX(5,NORMINV(RAND(),$C$9,$D$9)))</f>
        <v/>
      </c>
      <c r="O625" s="49">
        <f>$I$8*(SUMPRODUCT(($I$2*(1+K625)^{1;2;3;4;5;6;7;8;9;10})*(($I$3+(L625-$I$3)*{1;2;3;4;5;6;7;8;9;10}/10)*(1-$I$7)+$I$4-$I$4*($I$5+(1.05-$I$5)*{1;2;3;4;5;6;7;8;9;10}/10)-(K625/(1+K625))*$I$6)/(1+M625)^{1;2;3;4;5;6;7;8;9;10})+$I$2*(1+K625)^10*(L625+$I$4)*N625/(1+M625)^10+$I$9-$I$10)/$I$11</f>
        <v/>
      </c>
    </row>
    <row r="626">
      <c r="K626" s="25">
        <f>MAX(-0.05,NORMINV(RAND(),$C$6,$D$6))</f>
        <v/>
      </c>
      <c r="L626" s="25">
        <f>MAX(0.02,NORMINV(RAND(),$C$7,$D$7))</f>
        <v/>
      </c>
      <c r="M626" s="25">
        <f>MIN(0.16,MAX(0.05,NORMINV(RAND(),$C$8,$D$8)))</f>
        <v/>
      </c>
      <c r="N626" s="26">
        <f>MIN(24,MAX(5,NORMINV(RAND(),$C$9,$D$9)))</f>
        <v/>
      </c>
      <c r="O626" s="49">
        <f>$I$8*(SUMPRODUCT(($I$2*(1+K626)^{1;2;3;4;5;6;7;8;9;10})*(($I$3+(L626-$I$3)*{1;2;3;4;5;6;7;8;9;10}/10)*(1-$I$7)+$I$4-$I$4*($I$5+(1.05-$I$5)*{1;2;3;4;5;6;7;8;9;10}/10)-(K626/(1+K626))*$I$6)/(1+M626)^{1;2;3;4;5;6;7;8;9;10})+$I$2*(1+K626)^10*(L626+$I$4)*N626/(1+M626)^10+$I$9-$I$10)/$I$11</f>
        <v/>
      </c>
    </row>
    <row r="627">
      <c r="K627" s="25">
        <f>MAX(-0.05,NORMINV(RAND(),$C$6,$D$6))</f>
        <v/>
      </c>
      <c r="L627" s="25">
        <f>MAX(0.02,NORMINV(RAND(),$C$7,$D$7))</f>
        <v/>
      </c>
      <c r="M627" s="25">
        <f>MIN(0.16,MAX(0.05,NORMINV(RAND(),$C$8,$D$8)))</f>
        <v/>
      </c>
      <c r="N627" s="26">
        <f>MIN(24,MAX(5,NORMINV(RAND(),$C$9,$D$9)))</f>
        <v/>
      </c>
      <c r="O627" s="49">
        <f>$I$8*(SUMPRODUCT(($I$2*(1+K627)^{1;2;3;4;5;6;7;8;9;10})*(($I$3+(L627-$I$3)*{1;2;3;4;5;6;7;8;9;10}/10)*(1-$I$7)+$I$4-$I$4*($I$5+(1.05-$I$5)*{1;2;3;4;5;6;7;8;9;10}/10)-(K627/(1+K627))*$I$6)/(1+M627)^{1;2;3;4;5;6;7;8;9;10})+$I$2*(1+K627)^10*(L627+$I$4)*N627/(1+M627)^10+$I$9-$I$10)/$I$11</f>
        <v/>
      </c>
    </row>
    <row r="628">
      <c r="K628" s="25">
        <f>MAX(-0.05,NORMINV(RAND(),$C$6,$D$6))</f>
        <v/>
      </c>
      <c r="L628" s="25">
        <f>MAX(0.02,NORMINV(RAND(),$C$7,$D$7))</f>
        <v/>
      </c>
      <c r="M628" s="25">
        <f>MIN(0.16,MAX(0.05,NORMINV(RAND(),$C$8,$D$8)))</f>
        <v/>
      </c>
      <c r="N628" s="26">
        <f>MIN(24,MAX(5,NORMINV(RAND(),$C$9,$D$9)))</f>
        <v/>
      </c>
      <c r="O628" s="49">
        <f>$I$8*(SUMPRODUCT(($I$2*(1+K628)^{1;2;3;4;5;6;7;8;9;10})*(($I$3+(L628-$I$3)*{1;2;3;4;5;6;7;8;9;10}/10)*(1-$I$7)+$I$4-$I$4*($I$5+(1.05-$I$5)*{1;2;3;4;5;6;7;8;9;10}/10)-(K628/(1+K628))*$I$6)/(1+M628)^{1;2;3;4;5;6;7;8;9;10})+$I$2*(1+K628)^10*(L628+$I$4)*N628/(1+M628)^10+$I$9-$I$10)/$I$11</f>
        <v/>
      </c>
    </row>
    <row r="629">
      <c r="K629" s="25">
        <f>MAX(-0.05,NORMINV(RAND(),$C$6,$D$6))</f>
        <v/>
      </c>
      <c r="L629" s="25">
        <f>MAX(0.02,NORMINV(RAND(),$C$7,$D$7))</f>
        <v/>
      </c>
      <c r="M629" s="25">
        <f>MIN(0.16,MAX(0.05,NORMINV(RAND(),$C$8,$D$8)))</f>
        <v/>
      </c>
      <c r="N629" s="26">
        <f>MIN(24,MAX(5,NORMINV(RAND(),$C$9,$D$9)))</f>
        <v/>
      </c>
      <c r="O629" s="49">
        <f>$I$8*(SUMPRODUCT(($I$2*(1+K629)^{1;2;3;4;5;6;7;8;9;10})*(($I$3+(L629-$I$3)*{1;2;3;4;5;6;7;8;9;10}/10)*(1-$I$7)+$I$4-$I$4*($I$5+(1.05-$I$5)*{1;2;3;4;5;6;7;8;9;10}/10)-(K629/(1+K629))*$I$6)/(1+M629)^{1;2;3;4;5;6;7;8;9;10})+$I$2*(1+K629)^10*(L629+$I$4)*N629/(1+M629)^10+$I$9-$I$10)/$I$11</f>
        <v/>
      </c>
    </row>
    <row r="630">
      <c r="K630" s="25">
        <f>MAX(-0.05,NORMINV(RAND(),$C$6,$D$6))</f>
        <v/>
      </c>
      <c r="L630" s="25">
        <f>MAX(0.02,NORMINV(RAND(),$C$7,$D$7))</f>
        <v/>
      </c>
      <c r="M630" s="25">
        <f>MIN(0.16,MAX(0.05,NORMINV(RAND(),$C$8,$D$8)))</f>
        <v/>
      </c>
      <c r="N630" s="26">
        <f>MIN(24,MAX(5,NORMINV(RAND(),$C$9,$D$9)))</f>
        <v/>
      </c>
      <c r="O630" s="49">
        <f>$I$8*(SUMPRODUCT(($I$2*(1+K630)^{1;2;3;4;5;6;7;8;9;10})*(($I$3+(L630-$I$3)*{1;2;3;4;5;6;7;8;9;10}/10)*(1-$I$7)+$I$4-$I$4*($I$5+(1.05-$I$5)*{1;2;3;4;5;6;7;8;9;10}/10)-(K630/(1+K630))*$I$6)/(1+M630)^{1;2;3;4;5;6;7;8;9;10})+$I$2*(1+K630)^10*(L630+$I$4)*N630/(1+M630)^10+$I$9-$I$10)/$I$11</f>
        <v/>
      </c>
    </row>
    <row r="631">
      <c r="K631" s="25">
        <f>MAX(-0.05,NORMINV(RAND(),$C$6,$D$6))</f>
        <v/>
      </c>
      <c r="L631" s="25">
        <f>MAX(0.02,NORMINV(RAND(),$C$7,$D$7))</f>
        <v/>
      </c>
      <c r="M631" s="25">
        <f>MIN(0.16,MAX(0.05,NORMINV(RAND(),$C$8,$D$8)))</f>
        <v/>
      </c>
      <c r="N631" s="26">
        <f>MIN(24,MAX(5,NORMINV(RAND(),$C$9,$D$9)))</f>
        <v/>
      </c>
      <c r="O631" s="49">
        <f>$I$8*(SUMPRODUCT(($I$2*(1+K631)^{1;2;3;4;5;6;7;8;9;10})*(($I$3+(L631-$I$3)*{1;2;3;4;5;6;7;8;9;10}/10)*(1-$I$7)+$I$4-$I$4*($I$5+(1.05-$I$5)*{1;2;3;4;5;6;7;8;9;10}/10)-(K631/(1+K631))*$I$6)/(1+M631)^{1;2;3;4;5;6;7;8;9;10})+$I$2*(1+K631)^10*(L631+$I$4)*N631/(1+M631)^10+$I$9-$I$10)/$I$11</f>
        <v/>
      </c>
    </row>
    <row r="632">
      <c r="K632" s="25">
        <f>MAX(-0.05,NORMINV(RAND(),$C$6,$D$6))</f>
        <v/>
      </c>
      <c r="L632" s="25">
        <f>MAX(0.02,NORMINV(RAND(),$C$7,$D$7))</f>
        <v/>
      </c>
      <c r="M632" s="25">
        <f>MIN(0.16,MAX(0.05,NORMINV(RAND(),$C$8,$D$8)))</f>
        <v/>
      </c>
      <c r="N632" s="26">
        <f>MIN(24,MAX(5,NORMINV(RAND(),$C$9,$D$9)))</f>
        <v/>
      </c>
      <c r="O632" s="49">
        <f>$I$8*(SUMPRODUCT(($I$2*(1+K632)^{1;2;3;4;5;6;7;8;9;10})*(($I$3+(L632-$I$3)*{1;2;3;4;5;6;7;8;9;10}/10)*(1-$I$7)+$I$4-$I$4*($I$5+(1.05-$I$5)*{1;2;3;4;5;6;7;8;9;10}/10)-(K632/(1+K632))*$I$6)/(1+M632)^{1;2;3;4;5;6;7;8;9;10})+$I$2*(1+K632)^10*(L632+$I$4)*N632/(1+M632)^10+$I$9-$I$10)/$I$11</f>
        <v/>
      </c>
    </row>
    <row r="633">
      <c r="K633" s="25">
        <f>MAX(-0.05,NORMINV(RAND(),$C$6,$D$6))</f>
        <v/>
      </c>
      <c r="L633" s="25">
        <f>MAX(0.02,NORMINV(RAND(),$C$7,$D$7))</f>
        <v/>
      </c>
      <c r="M633" s="25">
        <f>MIN(0.16,MAX(0.05,NORMINV(RAND(),$C$8,$D$8)))</f>
        <v/>
      </c>
      <c r="N633" s="26">
        <f>MIN(24,MAX(5,NORMINV(RAND(),$C$9,$D$9)))</f>
        <v/>
      </c>
      <c r="O633" s="49">
        <f>$I$8*(SUMPRODUCT(($I$2*(1+K633)^{1;2;3;4;5;6;7;8;9;10})*(($I$3+(L633-$I$3)*{1;2;3;4;5;6;7;8;9;10}/10)*(1-$I$7)+$I$4-$I$4*($I$5+(1.05-$I$5)*{1;2;3;4;5;6;7;8;9;10}/10)-(K633/(1+K633))*$I$6)/(1+M633)^{1;2;3;4;5;6;7;8;9;10})+$I$2*(1+K633)^10*(L633+$I$4)*N633/(1+M633)^10+$I$9-$I$10)/$I$11</f>
        <v/>
      </c>
    </row>
    <row r="634">
      <c r="K634" s="25">
        <f>MAX(-0.05,NORMINV(RAND(),$C$6,$D$6))</f>
        <v/>
      </c>
      <c r="L634" s="25">
        <f>MAX(0.02,NORMINV(RAND(),$C$7,$D$7))</f>
        <v/>
      </c>
      <c r="M634" s="25">
        <f>MIN(0.16,MAX(0.05,NORMINV(RAND(),$C$8,$D$8)))</f>
        <v/>
      </c>
      <c r="N634" s="26">
        <f>MIN(24,MAX(5,NORMINV(RAND(),$C$9,$D$9)))</f>
        <v/>
      </c>
      <c r="O634" s="49">
        <f>$I$8*(SUMPRODUCT(($I$2*(1+K634)^{1;2;3;4;5;6;7;8;9;10})*(($I$3+(L634-$I$3)*{1;2;3;4;5;6;7;8;9;10}/10)*(1-$I$7)+$I$4-$I$4*($I$5+(1.05-$I$5)*{1;2;3;4;5;6;7;8;9;10}/10)-(K634/(1+K634))*$I$6)/(1+M634)^{1;2;3;4;5;6;7;8;9;10})+$I$2*(1+K634)^10*(L634+$I$4)*N634/(1+M634)^10+$I$9-$I$10)/$I$11</f>
        <v/>
      </c>
    </row>
    <row r="635">
      <c r="K635" s="25">
        <f>MAX(-0.05,NORMINV(RAND(),$C$6,$D$6))</f>
        <v/>
      </c>
      <c r="L635" s="25">
        <f>MAX(0.02,NORMINV(RAND(),$C$7,$D$7))</f>
        <v/>
      </c>
      <c r="M635" s="25">
        <f>MIN(0.16,MAX(0.05,NORMINV(RAND(),$C$8,$D$8)))</f>
        <v/>
      </c>
      <c r="N635" s="26">
        <f>MIN(24,MAX(5,NORMINV(RAND(),$C$9,$D$9)))</f>
        <v/>
      </c>
      <c r="O635" s="49">
        <f>$I$8*(SUMPRODUCT(($I$2*(1+K635)^{1;2;3;4;5;6;7;8;9;10})*(($I$3+(L635-$I$3)*{1;2;3;4;5;6;7;8;9;10}/10)*(1-$I$7)+$I$4-$I$4*($I$5+(1.05-$I$5)*{1;2;3;4;5;6;7;8;9;10}/10)-(K635/(1+K635))*$I$6)/(1+M635)^{1;2;3;4;5;6;7;8;9;10})+$I$2*(1+K635)^10*(L635+$I$4)*N635/(1+M635)^10+$I$9-$I$10)/$I$11</f>
        <v/>
      </c>
    </row>
    <row r="636">
      <c r="K636" s="25">
        <f>MAX(-0.05,NORMINV(RAND(),$C$6,$D$6))</f>
        <v/>
      </c>
      <c r="L636" s="25">
        <f>MAX(0.02,NORMINV(RAND(),$C$7,$D$7))</f>
        <v/>
      </c>
      <c r="M636" s="25">
        <f>MIN(0.16,MAX(0.05,NORMINV(RAND(),$C$8,$D$8)))</f>
        <v/>
      </c>
      <c r="N636" s="26">
        <f>MIN(24,MAX(5,NORMINV(RAND(),$C$9,$D$9)))</f>
        <v/>
      </c>
      <c r="O636" s="49">
        <f>$I$8*(SUMPRODUCT(($I$2*(1+K636)^{1;2;3;4;5;6;7;8;9;10})*(($I$3+(L636-$I$3)*{1;2;3;4;5;6;7;8;9;10}/10)*(1-$I$7)+$I$4-$I$4*($I$5+(1.05-$I$5)*{1;2;3;4;5;6;7;8;9;10}/10)-(K636/(1+K636))*$I$6)/(1+M636)^{1;2;3;4;5;6;7;8;9;10})+$I$2*(1+K636)^10*(L636+$I$4)*N636/(1+M636)^10+$I$9-$I$10)/$I$11</f>
        <v/>
      </c>
    </row>
    <row r="637">
      <c r="K637" s="25">
        <f>MAX(-0.05,NORMINV(RAND(),$C$6,$D$6))</f>
        <v/>
      </c>
      <c r="L637" s="25">
        <f>MAX(0.02,NORMINV(RAND(),$C$7,$D$7))</f>
        <v/>
      </c>
      <c r="M637" s="25">
        <f>MIN(0.16,MAX(0.05,NORMINV(RAND(),$C$8,$D$8)))</f>
        <v/>
      </c>
      <c r="N637" s="26">
        <f>MIN(24,MAX(5,NORMINV(RAND(),$C$9,$D$9)))</f>
        <v/>
      </c>
      <c r="O637" s="49">
        <f>$I$8*(SUMPRODUCT(($I$2*(1+K637)^{1;2;3;4;5;6;7;8;9;10})*(($I$3+(L637-$I$3)*{1;2;3;4;5;6;7;8;9;10}/10)*(1-$I$7)+$I$4-$I$4*($I$5+(1.05-$I$5)*{1;2;3;4;5;6;7;8;9;10}/10)-(K637/(1+K637))*$I$6)/(1+M637)^{1;2;3;4;5;6;7;8;9;10})+$I$2*(1+K637)^10*(L637+$I$4)*N637/(1+M637)^10+$I$9-$I$10)/$I$11</f>
        <v/>
      </c>
    </row>
    <row r="638">
      <c r="K638" s="25">
        <f>MAX(-0.05,NORMINV(RAND(),$C$6,$D$6))</f>
        <v/>
      </c>
      <c r="L638" s="25">
        <f>MAX(0.02,NORMINV(RAND(),$C$7,$D$7))</f>
        <v/>
      </c>
      <c r="M638" s="25">
        <f>MIN(0.16,MAX(0.05,NORMINV(RAND(),$C$8,$D$8)))</f>
        <v/>
      </c>
      <c r="N638" s="26">
        <f>MIN(24,MAX(5,NORMINV(RAND(),$C$9,$D$9)))</f>
        <v/>
      </c>
      <c r="O638" s="49">
        <f>$I$8*(SUMPRODUCT(($I$2*(1+K638)^{1;2;3;4;5;6;7;8;9;10})*(($I$3+(L638-$I$3)*{1;2;3;4;5;6;7;8;9;10}/10)*(1-$I$7)+$I$4-$I$4*($I$5+(1.05-$I$5)*{1;2;3;4;5;6;7;8;9;10}/10)-(K638/(1+K638))*$I$6)/(1+M638)^{1;2;3;4;5;6;7;8;9;10})+$I$2*(1+K638)^10*(L638+$I$4)*N638/(1+M638)^10+$I$9-$I$10)/$I$11</f>
        <v/>
      </c>
    </row>
    <row r="639">
      <c r="K639" s="25">
        <f>MAX(-0.05,NORMINV(RAND(),$C$6,$D$6))</f>
        <v/>
      </c>
      <c r="L639" s="25">
        <f>MAX(0.02,NORMINV(RAND(),$C$7,$D$7))</f>
        <v/>
      </c>
      <c r="M639" s="25">
        <f>MIN(0.16,MAX(0.05,NORMINV(RAND(),$C$8,$D$8)))</f>
        <v/>
      </c>
      <c r="N639" s="26">
        <f>MIN(24,MAX(5,NORMINV(RAND(),$C$9,$D$9)))</f>
        <v/>
      </c>
      <c r="O639" s="49">
        <f>$I$8*(SUMPRODUCT(($I$2*(1+K639)^{1;2;3;4;5;6;7;8;9;10})*(($I$3+(L639-$I$3)*{1;2;3;4;5;6;7;8;9;10}/10)*(1-$I$7)+$I$4-$I$4*($I$5+(1.05-$I$5)*{1;2;3;4;5;6;7;8;9;10}/10)-(K639/(1+K639))*$I$6)/(1+M639)^{1;2;3;4;5;6;7;8;9;10})+$I$2*(1+K639)^10*(L639+$I$4)*N639/(1+M639)^10+$I$9-$I$10)/$I$11</f>
        <v/>
      </c>
    </row>
    <row r="640">
      <c r="K640" s="25">
        <f>MAX(-0.05,NORMINV(RAND(),$C$6,$D$6))</f>
        <v/>
      </c>
      <c r="L640" s="25">
        <f>MAX(0.02,NORMINV(RAND(),$C$7,$D$7))</f>
        <v/>
      </c>
      <c r="M640" s="25">
        <f>MIN(0.16,MAX(0.05,NORMINV(RAND(),$C$8,$D$8)))</f>
        <v/>
      </c>
      <c r="N640" s="26">
        <f>MIN(24,MAX(5,NORMINV(RAND(),$C$9,$D$9)))</f>
        <v/>
      </c>
      <c r="O640" s="49">
        <f>$I$8*(SUMPRODUCT(($I$2*(1+K640)^{1;2;3;4;5;6;7;8;9;10})*(($I$3+(L640-$I$3)*{1;2;3;4;5;6;7;8;9;10}/10)*(1-$I$7)+$I$4-$I$4*($I$5+(1.05-$I$5)*{1;2;3;4;5;6;7;8;9;10}/10)-(K640/(1+K640))*$I$6)/(1+M640)^{1;2;3;4;5;6;7;8;9;10})+$I$2*(1+K640)^10*(L640+$I$4)*N640/(1+M640)^10+$I$9-$I$10)/$I$11</f>
        <v/>
      </c>
    </row>
    <row r="641">
      <c r="K641" s="25">
        <f>MAX(-0.05,NORMINV(RAND(),$C$6,$D$6))</f>
        <v/>
      </c>
      <c r="L641" s="25">
        <f>MAX(0.02,NORMINV(RAND(),$C$7,$D$7))</f>
        <v/>
      </c>
      <c r="M641" s="25">
        <f>MIN(0.16,MAX(0.05,NORMINV(RAND(),$C$8,$D$8)))</f>
        <v/>
      </c>
      <c r="N641" s="26">
        <f>MIN(24,MAX(5,NORMINV(RAND(),$C$9,$D$9)))</f>
        <v/>
      </c>
      <c r="O641" s="49">
        <f>$I$8*(SUMPRODUCT(($I$2*(1+K641)^{1;2;3;4;5;6;7;8;9;10})*(($I$3+(L641-$I$3)*{1;2;3;4;5;6;7;8;9;10}/10)*(1-$I$7)+$I$4-$I$4*($I$5+(1.05-$I$5)*{1;2;3;4;5;6;7;8;9;10}/10)-(K641/(1+K641))*$I$6)/(1+M641)^{1;2;3;4;5;6;7;8;9;10})+$I$2*(1+K641)^10*(L641+$I$4)*N641/(1+M641)^10+$I$9-$I$10)/$I$11</f>
        <v/>
      </c>
    </row>
    <row r="642">
      <c r="K642" s="25">
        <f>MAX(-0.05,NORMINV(RAND(),$C$6,$D$6))</f>
        <v/>
      </c>
      <c r="L642" s="25">
        <f>MAX(0.02,NORMINV(RAND(),$C$7,$D$7))</f>
        <v/>
      </c>
      <c r="M642" s="25">
        <f>MIN(0.16,MAX(0.05,NORMINV(RAND(),$C$8,$D$8)))</f>
        <v/>
      </c>
      <c r="N642" s="26">
        <f>MIN(24,MAX(5,NORMINV(RAND(),$C$9,$D$9)))</f>
        <v/>
      </c>
      <c r="O642" s="49">
        <f>$I$8*(SUMPRODUCT(($I$2*(1+K642)^{1;2;3;4;5;6;7;8;9;10})*(($I$3+(L642-$I$3)*{1;2;3;4;5;6;7;8;9;10}/10)*(1-$I$7)+$I$4-$I$4*($I$5+(1.05-$I$5)*{1;2;3;4;5;6;7;8;9;10}/10)-(K642/(1+K642))*$I$6)/(1+M642)^{1;2;3;4;5;6;7;8;9;10})+$I$2*(1+K642)^10*(L642+$I$4)*N642/(1+M642)^10+$I$9-$I$10)/$I$11</f>
        <v/>
      </c>
    </row>
    <row r="643">
      <c r="K643" s="25">
        <f>MAX(-0.05,NORMINV(RAND(),$C$6,$D$6))</f>
        <v/>
      </c>
      <c r="L643" s="25">
        <f>MAX(0.02,NORMINV(RAND(),$C$7,$D$7))</f>
        <v/>
      </c>
      <c r="M643" s="25">
        <f>MIN(0.16,MAX(0.05,NORMINV(RAND(),$C$8,$D$8)))</f>
        <v/>
      </c>
      <c r="N643" s="26">
        <f>MIN(24,MAX(5,NORMINV(RAND(),$C$9,$D$9)))</f>
        <v/>
      </c>
      <c r="O643" s="49">
        <f>$I$8*(SUMPRODUCT(($I$2*(1+K643)^{1;2;3;4;5;6;7;8;9;10})*(($I$3+(L643-$I$3)*{1;2;3;4;5;6;7;8;9;10}/10)*(1-$I$7)+$I$4-$I$4*($I$5+(1.05-$I$5)*{1;2;3;4;5;6;7;8;9;10}/10)-(K643/(1+K643))*$I$6)/(1+M643)^{1;2;3;4;5;6;7;8;9;10})+$I$2*(1+K643)^10*(L643+$I$4)*N643/(1+M643)^10+$I$9-$I$10)/$I$11</f>
        <v/>
      </c>
    </row>
    <row r="644">
      <c r="K644" s="25">
        <f>MAX(-0.05,NORMINV(RAND(),$C$6,$D$6))</f>
        <v/>
      </c>
      <c r="L644" s="25">
        <f>MAX(0.02,NORMINV(RAND(),$C$7,$D$7))</f>
        <v/>
      </c>
      <c r="M644" s="25">
        <f>MIN(0.16,MAX(0.05,NORMINV(RAND(),$C$8,$D$8)))</f>
        <v/>
      </c>
      <c r="N644" s="26">
        <f>MIN(24,MAX(5,NORMINV(RAND(),$C$9,$D$9)))</f>
        <v/>
      </c>
      <c r="O644" s="49">
        <f>$I$8*(SUMPRODUCT(($I$2*(1+K644)^{1;2;3;4;5;6;7;8;9;10})*(($I$3+(L644-$I$3)*{1;2;3;4;5;6;7;8;9;10}/10)*(1-$I$7)+$I$4-$I$4*($I$5+(1.05-$I$5)*{1;2;3;4;5;6;7;8;9;10}/10)-(K644/(1+K644))*$I$6)/(1+M644)^{1;2;3;4;5;6;7;8;9;10})+$I$2*(1+K644)^10*(L644+$I$4)*N644/(1+M644)^10+$I$9-$I$10)/$I$11</f>
        <v/>
      </c>
    </row>
    <row r="645">
      <c r="K645" s="25">
        <f>MAX(-0.05,NORMINV(RAND(),$C$6,$D$6))</f>
        <v/>
      </c>
      <c r="L645" s="25">
        <f>MAX(0.02,NORMINV(RAND(),$C$7,$D$7))</f>
        <v/>
      </c>
      <c r="M645" s="25">
        <f>MIN(0.16,MAX(0.05,NORMINV(RAND(),$C$8,$D$8)))</f>
        <v/>
      </c>
      <c r="N645" s="26">
        <f>MIN(24,MAX(5,NORMINV(RAND(),$C$9,$D$9)))</f>
        <v/>
      </c>
      <c r="O645" s="49">
        <f>$I$8*(SUMPRODUCT(($I$2*(1+K645)^{1;2;3;4;5;6;7;8;9;10})*(($I$3+(L645-$I$3)*{1;2;3;4;5;6;7;8;9;10}/10)*(1-$I$7)+$I$4-$I$4*($I$5+(1.05-$I$5)*{1;2;3;4;5;6;7;8;9;10}/10)-(K645/(1+K645))*$I$6)/(1+M645)^{1;2;3;4;5;6;7;8;9;10})+$I$2*(1+K645)^10*(L645+$I$4)*N645/(1+M645)^10+$I$9-$I$10)/$I$11</f>
        <v/>
      </c>
    </row>
    <row r="646">
      <c r="K646" s="25">
        <f>MAX(-0.05,NORMINV(RAND(),$C$6,$D$6))</f>
        <v/>
      </c>
      <c r="L646" s="25">
        <f>MAX(0.02,NORMINV(RAND(),$C$7,$D$7))</f>
        <v/>
      </c>
      <c r="M646" s="25">
        <f>MIN(0.16,MAX(0.05,NORMINV(RAND(),$C$8,$D$8)))</f>
        <v/>
      </c>
      <c r="N646" s="26">
        <f>MIN(24,MAX(5,NORMINV(RAND(),$C$9,$D$9)))</f>
        <v/>
      </c>
      <c r="O646" s="49">
        <f>$I$8*(SUMPRODUCT(($I$2*(1+K646)^{1;2;3;4;5;6;7;8;9;10})*(($I$3+(L646-$I$3)*{1;2;3;4;5;6;7;8;9;10}/10)*(1-$I$7)+$I$4-$I$4*($I$5+(1.05-$I$5)*{1;2;3;4;5;6;7;8;9;10}/10)-(K646/(1+K646))*$I$6)/(1+M646)^{1;2;3;4;5;6;7;8;9;10})+$I$2*(1+K646)^10*(L646+$I$4)*N646/(1+M646)^10+$I$9-$I$10)/$I$11</f>
        <v/>
      </c>
    </row>
    <row r="647">
      <c r="K647" s="25">
        <f>MAX(-0.05,NORMINV(RAND(),$C$6,$D$6))</f>
        <v/>
      </c>
      <c r="L647" s="25">
        <f>MAX(0.02,NORMINV(RAND(),$C$7,$D$7))</f>
        <v/>
      </c>
      <c r="M647" s="25">
        <f>MIN(0.16,MAX(0.05,NORMINV(RAND(),$C$8,$D$8)))</f>
        <v/>
      </c>
      <c r="N647" s="26">
        <f>MIN(24,MAX(5,NORMINV(RAND(),$C$9,$D$9)))</f>
        <v/>
      </c>
      <c r="O647" s="49">
        <f>$I$8*(SUMPRODUCT(($I$2*(1+K647)^{1;2;3;4;5;6;7;8;9;10})*(($I$3+(L647-$I$3)*{1;2;3;4;5;6;7;8;9;10}/10)*(1-$I$7)+$I$4-$I$4*($I$5+(1.05-$I$5)*{1;2;3;4;5;6;7;8;9;10}/10)-(K647/(1+K647))*$I$6)/(1+M647)^{1;2;3;4;5;6;7;8;9;10})+$I$2*(1+K647)^10*(L647+$I$4)*N647/(1+M647)^10+$I$9-$I$10)/$I$11</f>
        <v/>
      </c>
    </row>
    <row r="648">
      <c r="K648" s="25">
        <f>MAX(-0.05,NORMINV(RAND(),$C$6,$D$6))</f>
        <v/>
      </c>
      <c r="L648" s="25">
        <f>MAX(0.02,NORMINV(RAND(),$C$7,$D$7))</f>
        <v/>
      </c>
      <c r="M648" s="25">
        <f>MIN(0.16,MAX(0.05,NORMINV(RAND(),$C$8,$D$8)))</f>
        <v/>
      </c>
      <c r="N648" s="26">
        <f>MIN(24,MAX(5,NORMINV(RAND(),$C$9,$D$9)))</f>
        <v/>
      </c>
      <c r="O648" s="49">
        <f>$I$8*(SUMPRODUCT(($I$2*(1+K648)^{1;2;3;4;5;6;7;8;9;10})*(($I$3+(L648-$I$3)*{1;2;3;4;5;6;7;8;9;10}/10)*(1-$I$7)+$I$4-$I$4*($I$5+(1.05-$I$5)*{1;2;3;4;5;6;7;8;9;10}/10)-(K648/(1+K648))*$I$6)/(1+M648)^{1;2;3;4;5;6;7;8;9;10})+$I$2*(1+K648)^10*(L648+$I$4)*N648/(1+M648)^10+$I$9-$I$10)/$I$11</f>
        <v/>
      </c>
    </row>
    <row r="649">
      <c r="K649" s="25">
        <f>MAX(-0.05,NORMINV(RAND(),$C$6,$D$6))</f>
        <v/>
      </c>
      <c r="L649" s="25">
        <f>MAX(0.02,NORMINV(RAND(),$C$7,$D$7))</f>
        <v/>
      </c>
      <c r="M649" s="25">
        <f>MIN(0.16,MAX(0.05,NORMINV(RAND(),$C$8,$D$8)))</f>
        <v/>
      </c>
      <c r="N649" s="26">
        <f>MIN(24,MAX(5,NORMINV(RAND(),$C$9,$D$9)))</f>
        <v/>
      </c>
      <c r="O649" s="49">
        <f>$I$8*(SUMPRODUCT(($I$2*(1+K649)^{1;2;3;4;5;6;7;8;9;10})*(($I$3+(L649-$I$3)*{1;2;3;4;5;6;7;8;9;10}/10)*(1-$I$7)+$I$4-$I$4*($I$5+(1.05-$I$5)*{1;2;3;4;5;6;7;8;9;10}/10)-(K649/(1+K649))*$I$6)/(1+M649)^{1;2;3;4;5;6;7;8;9;10})+$I$2*(1+K649)^10*(L649+$I$4)*N649/(1+M649)^10+$I$9-$I$10)/$I$11</f>
        <v/>
      </c>
    </row>
    <row r="650">
      <c r="K650" s="25">
        <f>MAX(-0.05,NORMINV(RAND(),$C$6,$D$6))</f>
        <v/>
      </c>
      <c r="L650" s="25">
        <f>MAX(0.02,NORMINV(RAND(),$C$7,$D$7))</f>
        <v/>
      </c>
      <c r="M650" s="25">
        <f>MIN(0.16,MAX(0.05,NORMINV(RAND(),$C$8,$D$8)))</f>
        <v/>
      </c>
      <c r="N650" s="26">
        <f>MIN(24,MAX(5,NORMINV(RAND(),$C$9,$D$9)))</f>
        <v/>
      </c>
      <c r="O650" s="49">
        <f>$I$8*(SUMPRODUCT(($I$2*(1+K650)^{1;2;3;4;5;6;7;8;9;10})*(($I$3+(L650-$I$3)*{1;2;3;4;5;6;7;8;9;10}/10)*(1-$I$7)+$I$4-$I$4*($I$5+(1.05-$I$5)*{1;2;3;4;5;6;7;8;9;10}/10)-(K650/(1+K650))*$I$6)/(1+M650)^{1;2;3;4;5;6;7;8;9;10})+$I$2*(1+K650)^10*(L650+$I$4)*N650/(1+M650)^10+$I$9-$I$10)/$I$11</f>
        <v/>
      </c>
    </row>
    <row r="651">
      <c r="K651" s="25">
        <f>MAX(-0.05,NORMINV(RAND(),$C$6,$D$6))</f>
        <v/>
      </c>
      <c r="L651" s="25">
        <f>MAX(0.02,NORMINV(RAND(),$C$7,$D$7))</f>
        <v/>
      </c>
      <c r="M651" s="25">
        <f>MIN(0.16,MAX(0.05,NORMINV(RAND(),$C$8,$D$8)))</f>
        <v/>
      </c>
      <c r="N651" s="26">
        <f>MIN(24,MAX(5,NORMINV(RAND(),$C$9,$D$9)))</f>
        <v/>
      </c>
      <c r="O651" s="49">
        <f>$I$8*(SUMPRODUCT(($I$2*(1+K651)^{1;2;3;4;5;6;7;8;9;10})*(($I$3+(L651-$I$3)*{1;2;3;4;5;6;7;8;9;10}/10)*(1-$I$7)+$I$4-$I$4*($I$5+(1.05-$I$5)*{1;2;3;4;5;6;7;8;9;10}/10)-(K651/(1+K651))*$I$6)/(1+M651)^{1;2;3;4;5;6;7;8;9;10})+$I$2*(1+K651)^10*(L651+$I$4)*N651/(1+M651)^10+$I$9-$I$10)/$I$11</f>
        <v/>
      </c>
    </row>
    <row r="652">
      <c r="K652" s="25">
        <f>MAX(-0.05,NORMINV(RAND(),$C$6,$D$6))</f>
        <v/>
      </c>
      <c r="L652" s="25">
        <f>MAX(0.02,NORMINV(RAND(),$C$7,$D$7))</f>
        <v/>
      </c>
      <c r="M652" s="25">
        <f>MIN(0.16,MAX(0.05,NORMINV(RAND(),$C$8,$D$8)))</f>
        <v/>
      </c>
      <c r="N652" s="26">
        <f>MIN(24,MAX(5,NORMINV(RAND(),$C$9,$D$9)))</f>
        <v/>
      </c>
      <c r="O652" s="49">
        <f>$I$8*(SUMPRODUCT(($I$2*(1+K652)^{1;2;3;4;5;6;7;8;9;10})*(($I$3+(L652-$I$3)*{1;2;3;4;5;6;7;8;9;10}/10)*(1-$I$7)+$I$4-$I$4*($I$5+(1.05-$I$5)*{1;2;3;4;5;6;7;8;9;10}/10)-(K652/(1+K652))*$I$6)/(1+M652)^{1;2;3;4;5;6;7;8;9;10})+$I$2*(1+K652)^10*(L652+$I$4)*N652/(1+M652)^10+$I$9-$I$10)/$I$11</f>
        <v/>
      </c>
    </row>
    <row r="653">
      <c r="K653" s="25">
        <f>MAX(-0.05,NORMINV(RAND(),$C$6,$D$6))</f>
        <v/>
      </c>
      <c r="L653" s="25">
        <f>MAX(0.02,NORMINV(RAND(),$C$7,$D$7))</f>
        <v/>
      </c>
      <c r="M653" s="25">
        <f>MIN(0.16,MAX(0.05,NORMINV(RAND(),$C$8,$D$8)))</f>
        <v/>
      </c>
      <c r="N653" s="26">
        <f>MIN(24,MAX(5,NORMINV(RAND(),$C$9,$D$9)))</f>
        <v/>
      </c>
      <c r="O653" s="49">
        <f>$I$8*(SUMPRODUCT(($I$2*(1+K653)^{1;2;3;4;5;6;7;8;9;10})*(($I$3+(L653-$I$3)*{1;2;3;4;5;6;7;8;9;10}/10)*(1-$I$7)+$I$4-$I$4*($I$5+(1.05-$I$5)*{1;2;3;4;5;6;7;8;9;10}/10)-(K653/(1+K653))*$I$6)/(1+M653)^{1;2;3;4;5;6;7;8;9;10})+$I$2*(1+K653)^10*(L653+$I$4)*N653/(1+M653)^10+$I$9-$I$10)/$I$11</f>
        <v/>
      </c>
    </row>
    <row r="654">
      <c r="K654" s="25">
        <f>MAX(-0.05,NORMINV(RAND(),$C$6,$D$6))</f>
        <v/>
      </c>
      <c r="L654" s="25">
        <f>MAX(0.02,NORMINV(RAND(),$C$7,$D$7))</f>
        <v/>
      </c>
      <c r="M654" s="25">
        <f>MIN(0.16,MAX(0.05,NORMINV(RAND(),$C$8,$D$8)))</f>
        <v/>
      </c>
      <c r="N654" s="26">
        <f>MIN(24,MAX(5,NORMINV(RAND(),$C$9,$D$9)))</f>
        <v/>
      </c>
      <c r="O654" s="49">
        <f>$I$8*(SUMPRODUCT(($I$2*(1+K654)^{1;2;3;4;5;6;7;8;9;10})*(($I$3+(L654-$I$3)*{1;2;3;4;5;6;7;8;9;10}/10)*(1-$I$7)+$I$4-$I$4*($I$5+(1.05-$I$5)*{1;2;3;4;5;6;7;8;9;10}/10)-(K654/(1+K654))*$I$6)/(1+M654)^{1;2;3;4;5;6;7;8;9;10})+$I$2*(1+K654)^10*(L654+$I$4)*N654/(1+M654)^10+$I$9-$I$10)/$I$11</f>
        <v/>
      </c>
    </row>
    <row r="655">
      <c r="K655" s="25">
        <f>MAX(-0.05,NORMINV(RAND(),$C$6,$D$6))</f>
        <v/>
      </c>
      <c r="L655" s="25">
        <f>MAX(0.02,NORMINV(RAND(),$C$7,$D$7))</f>
        <v/>
      </c>
      <c r="M655" s="25">
        <f>MIN(0.16,MAX(0.05,NORMINV(RAND(),$C$8,$D$8)))</f>
        <v/>
      </c>
      <c r="N655" s="26">
        <f>MIN(24,MAX(5,NORMINV(RAND(),$C$9,$D$9)))</f>
        <v/>
      </c>
      <c r="O655" s="49">
        <f>$I$8*(SUMPRODUCT(($I$2*(1+K655)^{1;2;3;4;5;6;7;8;9;10})*(($I$3+(L655-$I$3)*{1;2;3;4;5;6;7;8;9;10}/10)*(1-$I$7)+$I$4-$I$4*($I$5+(1.05-$I$5)*{1;2;3;4;5;6;7;8;9;10}/10)-(K655/(1+K655))*$I$6)/(1+M655)^{1;2;3;4;5;6;7;8;9;10})+$I$2*(1+K655)^10*(L655+$I$4)*N655/(1+M655)^10+$I$9-$I$10)/$I$11</f>
        <v/>
      </c>
    </row>
    <row r="656">
      <c r="K656" s="25">
        <f>MAX(-0.05,NORMINV(RAND(),$C$6,$D$6))</f>
        <v/>
      </c>
      <c r="L656" s="25">
        <f>MAX(0.02,NORMINV(RAND(),$C$7,$D$7))</f>
        <v/>
      </c>
      <c r="M656" s="25">
        <f>MIN(0.16,MAX(0.05,NORMINV(RAND(),$C$8,$D$8)))</f>
        <v/>
      </c>
      <c r="N656" s="26">
        <f>MIN(24,MAX(5,NORMINV(RAND(),$C$9,$D$9)))</f>
        <v/>
      </c>
      <c r="O656" s="49">
        <f>$I$8*(SUMPRODUCT(($I$2*(1+K656)^{1;2;3;4;5;6;7;8;9;10})*(($I$3+(L656-$I$3)*{1;2;3;4;5;6;7;8;9;10}/10)*(1-$I$7)+$I$4-$I$4*($I$5+(1.05-$I$5)*{1;2;3;4;5;6;7;8;9;10}/10)-(K656/(1+K656))*$I$6)/(1+M656)^{1;2;3;4;5;6;7;8;9;10})+$I$2*(1+K656)^10*(L656+$I$4)*N656/(1+M656)^10+$I$9-$I$10)/$I$11</f>
        <v/>
      </c>
    </row>
    <row r="657">
      <c r="K657" s="25">
        <f>MAX(-0.05,NORMINV(RAND(),$C$6,$D$6))</f>
        <v/>
      </c>
      <c r="L657" s="25">
        <f>MAX(0.02,NORMINV(RAND(),$C$7,$D$7))</f>
        <v/>
      </c>
      <c r="M657" s="25">
        <f>MIN(0.16,MAX(0.05,NORMINV(RAND(),$C$8,$D$8)))</f>
        <v/>
      </c>
      <c r="N657" s="26">
        <f>MIN(24,MAX(5,NORMINV(RAND(),$C$9,$D$9)))</f>
        <v/>
      </c>
      <c r="O657" s="49">
        <f>$I$8*(SUMPRODUCT(($I$2*(1+K657)^{1;2;3;4;5;6;7;8;9;10})*(($I$3+(L657-$I$3)*{1;2;3;4;5;6;7;8;9;10}/10)*(1-$I$7)+$I$4-$I$4*($I$5+(1.05-$I$5)*{1;2;3;4;5;6;7;8;9;10}/10)-(K657/(1+K657))*$I$6)/(1+M657)^{1;2;3;4;5;6;7;8;9;10})+$I$2*(1+K657)^10*(L657+$I$4)*N657/(1+M657)^10+$I$9-$I$10)/$I$11</f>
        <v/>
      </c>
    </row>
    <row r="658">
      <c r="K658" s="25">
        <f>MAX(-0.05,NORMINV(RAND(),$C$6,$D$6))</f>
        <v/>
      </c>
      <c r="L658" s="25">
        <f>MAX(0.02,NORMINV(RAND(),$C$7,$D$7))</f>
        <v/>
      </c>
      <c r="M658" s="25">
        <f>MIN(0.16,MAX(0.05,NORMINV(RAND(),$C$8,$D$8)))</f>
        <v/>
      </c>
      <c r="N658" s="26">
        <f>MIN(24,MAX(5,NORMINV(RAND(),$C$9,$D$9)))</f>
        <v/>
      </c>
      <c r="O658" s="49">
        <f>$I$8*(SUMPRODUCT(($I$2*(1+K658)^{1;2;3;4;5;6;7;8;9;10})*(($I$3+(L658-$I$3)*{1;2;3;4;5;6;7;8;9;10}/10)*(1-$I$7)+$I$4-$I$4*($I$5+(1.05-$I$5)*{1;2;3;4;5;6;7;8;9;10}/10)-(K658/(1+K658))*$I$6)/(1+M658)^{1;2;3;4;5;6;7;8;9;10})+$I$2*(1+K658)^10*(L658+$I$4)*N658/(1+M658)^10+$I$9-$I$10)/$I$11</f>
        <v/>
      </c>
    </row>
    <row r="659">
      <c r="K659" s="25">
        <f>MAX(-0.05,NORMINV(RAND(),$C$6,$D$6))</f>
        <v/>
      </c>
      <c r="L659" s="25">
        <f>MAX(0.02,NORMINV(RAND(),$C$7,$D$7))</f>
        <v/>
      </c>
      <c r="M659" s="25">
        <f>MIN(0.16,MAX(0.05,NORMINV(RAND(),$C$8,$D$8)))</f>
        <v/>
      </c>
      <c r="N659" s="26">
        <f>MIN(24,MAX(5,NORMINV(RAND(),$C$9,$D$9)))</f>
        <v/>
      </c>
      <c r="O659" s="49">
        <f>$I$8*(SUMPRODUCT(($I$2*(1+K659)^{1;2;3;4;5;6;7;8;9;10})*(($I$3+(L659-$I$3)*{1;2;3;4;5;6;7;8;9;10}/10)*(1-$I$7)+$I$4-$I$4*($I$5+(1.05-$I$5)*{1;2;3;4;5;6;7;8;9;10}/10)-(K659/(1+K659))*$I$6)/(1+M659)^{1;2;3;4;5;6;7;8;9;10})+$I$2*(1+K659)^10*(L659+$I$4)*N659/(1+M659)^10+$I$9-$I$10)/$I$11</f>
        <v/>
      </c>
    </row>
    <row r="660">
      <c r="K660" s="25">
        <f>MAX(-0.05,NORMINV(RAND(),$C$6,$D$6))</f>
        <v/>
      </c>
      <c r="L660" s="25">
        <f>MAX(0.02,NORMINV(RAND(),$C$7,$D$7))</f>
        <v/>
      </c>
      <c r="M660" s="25">
        <f>MIN(0.16,MAX(0.05,NORMINV(RAND(),$C$8,$D$8)))</f>
        <v/>
      </c>
      <c r="N660" s="26">
        <f>MIN(24,MAX(5,NORMINV(RAND(),$C$9,$D$9)))</f>
        <v/>
      </c>
      <c r="O660" s="49">
        <f>$I$8*(SUMPRODUCT(($I$2*(1+K660)^{1;2;3;4;5;6;7;8;9;10})*(($I$3+(L660-$I$3)*{1;2;3;4;5;6;7;8;9;10}/10)*(1-$I$7)+$I$4-$I$4*($I$5+(1.05-$I$5)*{1;2;3;4;5;6;7;8;9;10}/10)-(K660/(1+K660))*$I$6)/(1+M660)^{1;2;3;4;5;6;7;8;9;10})+$I$2*(1+K660)^10*(L660+$I$4)*N660/(1+M660)^10+$I$9-$I$10)/$I$11</f>
        <v/>
      </c>
    </row>
    <row r="661">
      <c r="K661" s="25">
        <f>MAX(-0.05,NORMINV(RAND(),$C$6,$D$6))</f>
        <v/>
      </c>
      <c r="L661" s="25">
        <f>MAX(0.02,NORMINV(RAND(),$C$7,$D$7))</f>
        <v/>
      </c>
      <c r="M661" s="25">
        <f>MIN(0.16,MAX(0.05,NORMINV(RAND(),$C$8,$D$8)))</f>
        <v/>
      </c>
      <c r="N661" s="26">
        <f>MIN(24,MAX(5,NORMINV(RAND(),$C$9,$D$9)))</f>
        <v/>
      </c>
      <c r="O661" s="49">
        <f>$I$8*(SUMPRODUCT(($I$2*(1+K661)^{1;2;3;4;5;6;7;8;9;10})*(($I$3+(L661-$I$3)*{1;2;3;4;5;6;7;8;9;10}/10)*(1-$I$7)+$I$4-$I$4*($I$5+(1.05-$I$5)*{1;2;3;4;5;6;7;8;9;10}/10)-(K661/(1+K661))*$I$6)/(1+M661)^{1;2;3;4;5;6;7;8;9;10})+$I$2*(1+K661)^10*(L661+$I$4)*N661/(1+M661)^10+$I$9-$I$10)/$I$11</f>
        <v/>
      </c>
    </row>
    <row r="662">
      <c r="K662" s="25">
        <f>MAX(-0.05,NORMINV(RAND(),$C$6,$D$6))</f>
        <v/>
      </c>
      <c r="L662" s="25">
        <f>MAX(0.02,NORMINV(RAND(),$C$7,$D$7))</f>
        <v/>
      </c>
      <c r="M662" s="25">
        <f>MIN(0.16,MAX(0.05,NORMINV(RAND(),$C$8,$D$8)))</f>
        <v/>
      </c>
      <c r="N662" s="26">
        <f>MIN(24,MAX(5,NORMINV(RAND(),$C$9,$D$9)))</f>
        <v/>
      </c>
      <c r="O662" s="49">
        <f>$I$8*(SUMPRODUCT(($I$2*(1+K662)^{1;2;3;4;5;6;7;8;9;10})*(($I$3+(L662-$I$3)*{1;2;3;4;5;6;7;8;9;10}/10)*(1-$I$7)+$I$4-$I$4*($I$5+(1.05-$I$5)*{1;2;3;4;5;6;7;8;9;10}/10)-(K662/(1+K662))*$I$6)/(1+M662)^{1;2;3;4;5;6;7;8;9;10})+$I$2*(1+K662)^10*(L662+$I$4)*N662/(1+M662)^10+$I$9-$I$10)/$I$11</f>
        <v/>
      </c>
    </row>
    <row r="663">
      <c r="K663" s="25">
        <f>MAX(-0.05,NORMINV(RAND(),$C$6,$D$6))</f>
        <v/>
      </c>
      <c r="L663" s="25">
        <f>MAX(0.02,NORMINV(RAND(),$C$7,$D$7))</f>
        <v/>
      </c>
      <c r="M663" s="25">
        <f>MIN(0.16,MAX(0.05,NORMINV(RAND(),$C$8,$D$8)))</f>
        <v/>
      </c>
      <c r="N663" s="26">
        <f>MIN(24,MAX(5,NORMINV(RAND(),$C$9,$D$9)))</f>
        <v/>
      </c>
      <c r="O663" s="49">
        <f>$I$8*(SUMPRODUCT(($I$2*(1+K663)^{1;2;3;4;5;6;7;8;9;10})*(($I$3+(L663-$I$3)*{1;2;3;4;5;6;7;8;9;10}/10)*(1-$I$7)+$I$4-$I$4*($I$5+(1.05-$I$5)*{1;2;3;4;5;6;7;8;9;10}/10)-(K663/(1+K663))*$I$6)/(1+M663)^{1;2;3;4;5;6;7;8;9;10})+$I$2*(1+K663)^10*(L663+$I$4)*N663/(1+M663)^10+$I$9-$I$10)/$I$11</f>
        <v/>
      </c>
    </row>
    <row r="664">
      <c r="K664" s="25">
        <f>MAX(-0.05,NORMINV(RAND(),$C$6,$D$6))</f>
        <v/>
      </c>
      <c r="L664" s="25">
        <f>MAX(0.02,NORMINV(RAND(),$C$7,$D$7))</f>
        <v/>
      </c>
      <c r="M664" s="25">
        <f>MIN(0.16,MAX(0.05,NORMINV(RAND(),$C$8,$D$8)))</f>
        <v/>
      </c>
      <c r="N664" s="26">
        <f>MIN(24,MAX(5,NORMINV(RAND(),$C$9,$D$9)))</f>
        <v/>
      </c>
      <c r="O664" s="49">
        <f>$I$8*(SUMPRODUCT(($I$2*(1+K664)^{1;2;3;4;5;6;7;8;9;10})*(($I$3+(L664-$I$3)*{1;2;3;4;5;6;7;8;9;10}/10)*(1-$I$7)+$I$4-$I$4*($I$5+(1.05-$I$5)*{1;2;3;4;5;6;7;8;9;10}/10)-(K664/(1+K664))*$I$6)/(1+M664)^{1;2;3;4;5;6;7;8;9;10})+$I$2*(1+K664)^10*(L664+$I$4)*N664/(1+M664)^10+$I$9-$I$10)/$I$11</f>
        <v/>
      </c>
    </row>
    <row r="665">
      <c r="K665" s="25">
        <f>MAX(-0.05,NORMINV(RAND(),$C$6,$D$6))</f>
        <v/>
      </c>
      <c r="L665" s="25">
        <f>MAX(0.02,NORMINV(RAND(),$C$7,$D$7))</f>
        <v/>
      </c>
      <c r="M665" s="25">
        <f>MIN(0.16,MAX(0.05,NORMINV(RAND(),$C$8,$D$8)))</f>
        <v/>
      </c>
      <c r="N665" s="26">
        <f>MIN(24,MAX(5,NORMINV(RAND(),$C$9,$D$9)))</f>
        <v/>
      </c>
      <c r="O665" s="49">
        <f>$I$8*(SUMPRODUCT(($I$2*(1+K665)^{1;2;3;4;5;6;7;8;9;10})*(($I$3+(L665-$I$3)*{1;2;3;4;5;6;7;8;9;10}/10)*(1-$I$7)+$I$4-$I$4*($I$5+(1.05-$I$5)*{1;2;3;4;5;6;7;8;9;10}/10)-(K665/(1+K665))*$I$6)/(1+M665)^{1;2;3;4;5;6;7;8;9;10})+$I$2*(1+K665)^10*(L665+$I$4)*N665/(1+M665)^10+$I$9-$I$10)/$I$11</f>
        <v/>
      </c>
    </row>
    <row r="666">
      <c r="K666" s="25">
        <f>MAX(-0.05,NORMINV(RAND(),$C$6,$D$6))</f>
        <v/>
      </c>
      <c r="L666" s="25">
        <f>MAX(0.02,NORMINV(RAND(),$C$7,$D$7))</f>
        <v/>
      </c>
      <c r="M666" s="25">
        <f>MIN(0.16,MAX(0.05,NORMINV(RAND(),$C$8,$D$8)))</f>
        <v/>
      </c>
      <c r="N666" s="26">
        <f>MIN(24,MAX(5,NORMINV(RAND(),$C$9,$D$9)))</f>
        <v/>
      </c>
      <c r="O666" s="49">
        <f>$I$8*(SUMPRODUCT(($I$2*(1+K666)^{1;2;3;4;5;6;7;8;9;10})*(($I$3+(L666-$I$3)*{1;2;3;4;5;6;7;8;9;10}/10)*(1-$I$7)+$I$4-$I$4*($I$5+(1.05-$I$5)*{1;2;3;4;5;6;7;8;9;10}/10)-(K666/(1+K666))*$I$6)/(1+M666)^{1;2;3;4;5;6;7;8;9;10})+$I$2*(1+K666)^10*(L666+$I$4)*N666/(1+M666)^10+$I$9-$I$10)/$I$11</f>
        <v/>
      </c>
    </row>
    <row r="667">
      <c r="K667" s="25">
        <f>MAX(-0.05,NORMINV(RAND(),$C$6,$D$6))</f>
        <v/>
      </c>
      <c r="L667" s="25">
        <f>MAX(0.02,NORMINV(RAND(),$C$7,$D$7))</f>
        <v/>
      </c>
      <c r="M667" s="25">
        <f>MIN(0.16,MAX(0.05,NORMINV(RAND(),$C$8,$D$8)))</f>
        <v/>
      </c>
      <c r="N667" s="26">
        <f>MIN(24,MAX(5,NORMINV(RAND(),$C$9,$D$9)))</f>
        <v/>
      </c>
      <c r="O667" s="49">
        <f>$I$8*(SUMPRODUCT(($I$2*(1+K667)^{1;2;3;4;5;6;7;8;9;10})*(($I$3+(L667-$I$3)*{1;2;3;4;5;6;7;8;9;10}/10)*(1-$I$7)+$I$4-$I$4*($I$5+(1.05-$I$5)*{1;2;3;4;5;6;7;8;9;10}/10)-(K667/(1+K667))*$I$6)/(1+M667)^{1;2;3;4;5;6;7;8;9;10})+$I$2*(1+K667)^10*(L667+$I$4)*N667/(1+M667)^10+$I$9-$I$10)/$I$11</f>
        <v/>
      </c>
    </row>
    <row r="668">
      <c r="K668" s="25">
        <f>MAX(-0.05,NORMINV(RAND(),$C$6,$D$6))</f>
        <v/>
      </c>
      <c r="L668" s="25">
        <f>MAX(0.02,NORMINV(RAND(),$C$7,$D$7))</f>
        <v/>
      </c>
      <c r="M668" s="25">
        <f>MIN(0.16,MAX(0.05,NORMINV(RAND(),$C$8,$D$8)))</f>
        <v/>
      </c>
      <c r="N668" s="26">
        <f>MIN(24,MAX(5,NORMINV(RAND(),$C$9,$D$9)))</f>
        <v/>
      </c>
      <c r="O668" s="49">
        <f>$I$8*(SUMPRODUCT(($I$2*(1+K668)^{1;2;3;4;5;6;7;8;9;10})*(($I$3+(L668-$I$3)*{1;2;3;4;5;6;7;8;9;10}/10)*(1-$I$7)+$I$4-$I$4*($I$5+(1.05-$I$5)*{1;2;3;4;5;6;7;8;9;10}/10)-(K668/(1+K668))*$I$6)/(1+M668)^{1;2;3;4;5;6;7;8;9;10})+$I$2*(1+K668)^10*(L668+$I$4)*N668/(1+M668)^10+$I$9-$I$10)/$I$11</f>
        <v/>
      </c>
    </row>
    <row r="669">
      <c r="K669" s="25">
        <f>MAX(-0.05,NORMINV(RAND(),$C$6,$D$6))</f>
        <v/>
      </c>
      <c r="L669" s="25">
        <f>MAX(0.02,NORMINV(RAND(),$C$7,$D$7))</f>
        <v/>
      </c>
      <c r="M669" s="25">
        <f>MIN(0.16,MAX(0.05,NORMINV(RAND(),$C$8,$D$8)))</f>
        <v/>
      </c>
      <c r="N669" s="26">
        <f>MIN(24,MAX(5,NORMINV(RAND(),$C$9,$D$9)))</f>
        <v/>
      </c>
      <c r="O669" s="49">
        <f>$I$8*(SUMPRODUCT(($I$2*(1+K669)^{1;2;3;4;5;6;7;8;9;10})*(($I$3+(L669-$I$3)*{1;2;3;4;5;6;7;8;9;10}/10)*(1-$I$7)+$I$4-$I$4*($I$5+(1.05-$I$5)*{1;2;3;4;5;6;7;8;9;10}/10)-(K669/(1+K669))*$I$6)/(1+M669)^{1;2;3;4;5;6;7;8;9;10})+$I$2*(1+K669)^10*(L669+$I$4)*N669/(1+M669)^10+$I$9-$I$10)/$I$11</f>
        <v/>
      </c>
    </row>
    <row r="670">
      <c r="K670" s="25">
        <f>MAX(-0.05,NORMINV(RAND(),$C$6,$D$6))</f>
        <v/>
      </c>
      <c r="L670" s="25">
        <f>MAX(0.02,NORMINV(RAND(),$C$7,$D$7))</f>
        <v/>
      </c>
      <c r="M670" s="25">
        <f>MIN(0.16,MAX(0.05,NORMINV(RAND(),$C$8,$D$8)))</f>
        <v/>
      </c>
      <c r="N670" s="26">
        <f>MIN(24,MAX(5,NORMINV(RAND(),$C$9,$D$9)))</f>
        <v/>
      </c>
      <c r="O670" s="49">
        <f>$I$8*(SUMPRODUCT(($I$2*(1+K670)^{1;2;3;4;5;6;7;8;9;10})*(($I$3+(L670-$I$3)*{1;2;3;4;5;6;7;8;9;10}/10)*(1-$I$7)+$I$4-$I$4*($I$5+(1.05-$I$5)*{1;2;3;4;5;6;7;8;9;10}/10)-(K670/(1+K670))*$I$6)/(1+M670)^{1;2;3;4;5;6;7;8;9;10})+$I$2*(1+K670)^10*(L670+$I$4)*N670/(1+M670)^10+$I$9-$I$10)/$I$11</f>
        <v/>
      </c>
    </row>
    <row r="671">
      <c r="K671" s="25">
        <f>MAX(-0.05,NORMINV(RAND(),$C$6,$D$6))</f>
        <v/>
      </c>
      <c r="L671" s="25">
        <f>MAX(0.02,NORMINV(RAND(),$C$7,$D$7))</f>
        <v/>
      </c>
      <c r="M671" s="25">
        <f>MIN(0.16,MAX(0.05,NORMINV(RAND(),$C$8,$D$8)))</f>
        <v/>
      </c>
      <c r="N671" s="26">
        <f>MIN(24,MAX(5,NORMINV(RAND(),$C$9,$D$9)))</f>
        <v/>
      </c>
      <c r="O671" s="49">
        <f>$I$8*(SUMPRODUCT(($I$2*(1+K671)^{1;2;3;4;5;6;7;8;9;10})*(($I$3+(L671-$I$3)*{1;2;3;4;5;6;7;8;9;10}/10)*(1-$I$7)+$I$4-$I$4*($I$5+(1.05-$I$5)*{1;2;3;4;5;6;7;8;9;10}/10)-(K671/(1+K671))*$I$6)/(1+M671)^{1;2;3;4;5;6;7;8;9;10})+$I$2*(1+K671)^10*(L671+$I$4)*N671/(1+M671)^10+$I$9-$I$10)/$I$11</f>
        <v/>
      </c>
    </row>
    <row r="672">
      <c r="K672" s="25">
        <f>MAX(-0.05,NORMINV(RAND(),$C$6,$D$6))</f>
        <v/>
      </c>
      <c r="L672" s="25">
        <f>MAX(0.02,NORMINV(RAND(),$C$7,$D$7))</f>
        <v/>
      </c>
      <c r="M672" s="25">
        <f>MIN(0.16,MAX(0.05,NORMINV(RAND(),$C$8,$D$8)))</f>
        <v/>
      </c>
      <c r="N672" s="26">
        <f>MIN(24,MAX(5,NORMINV(RAND(),$C$9,$D$9)))</f>
        <v/>
      </c>
      <c r="O672" s="49">
        <f>$I$8*(SUMPRODUCT(($I$2*(1+K672)^{1;2;3;4;5;6;7;8;9;10})*(($I$3+(L672-$I$3)*{1;2;3;4;5;6;7;8;9;10}/10)*(1-$I$7)+$I$4-$I$4*($I$5+(1.05-$I$5)*{1;2;3;4;5;6;7;8;9;10}/10)-(K672/(1+K672))*$I$6)/(1+M672)^{1;2;3;4;5;6;7;8;9;10})+$I$2*(1+K672)^10*(L672+$I$4)*N672/(1+M672)^10+$I$9-$I$10)/$I$11</f>
        <v/>
      </c>
    </row>
    <row r="673">
      <c r="K673" s="25">
        <f>MAX(-0.05,NORMINV(RAND(),$C$6,$D$6))</f>
        <v/>
      </c>
      <c r="L673" s="25">
        <f>MAX(0.02,NORMINV(RAND(),$C$7,$D$7))</f>
        <v/>
      </c>
      <c r="M673" s="25">
        <f>MIN(0.16,MAX(0.05,NORMINV(RAND(),$C$8,$D$8)))</f>
        <v/>
      </c>
      <c r="N673" s="26">
        <f>MIN(24,MAX(5,NORMINV(RAND(),$C$9,$D$9)))</f>
        <v/>
      </c>
      <c r="O673" s="49">
        <f>$I$8*(SUMPRODUCT(($I$2*(1+K673)^{1;2;3;4;5;6;7;8;9;10})*(($I$3+(L673-$I$3)*{1;2;3;4;5;6;7;8;9;10}/10)*(1-$I$7)+$I$4-$I$4*($I$5+(1.05-$I$5)*{1;2;3;4;5;6;7;8;9;10}/10)-(K673/(1+K673))*$I$6)/(1+M673)^{1;2;3;4;5;6;7;8;9;10})+$I$2*(1+K673)^10*(L673+$I$4)*N673/(1+M673)^10+$I$9-$I$10)/$I$11</f>
        <v/>
      </c>
    </row>
    <row r="674">
      <c r="K674" s="25">
        <f>MAX(-0.05,NORMINV(RAND(),$C$6,$D$6))</f>
        <v/>
      </c>
      <c r="L674" s="25">
        <f>MAX(0.02,NORMINV(RAND(),$C$7,$D$7))</f>
        <v/>
      </c>
      <c r="M674" s="25">
        <f>MIN(0.16,MAX(0.05,NORMINV(RAND(),$C$8,$D$8)))</f>
        <v/>
      </c>
      <c r="N674" s="26">
        <f>MIN(24,MAX(5,NORMINV(RAND(),$C$9,$D$9)))</f>
        <v/>
      </c>
      <c r="O674" s="49">
        <f>$I$8*(SUMPRODUCT(($I$2*(1+K674)^{1;2;3;4;5;6;7;8;9;10})*(($I$3+(L674-$I$3)*{1;2;3;4;5;6;7;8;9;10}/10)*(1-$I$7)+$I$4-$I$4*($I$5+(1.05-$I$5)*{1;2;3;4;5;6;7;8;9;10}/10)-(K674/(1+K674))*$I$6)/(1+M674)^{1;2;3;4;5;6;7;8;9;10})+$I$2*(1+K674)^10*(L674+$I$4)*N674/(1+M674)^10+$I$9-$I$10)/$I$11</f>
        <v/>
      </c>
    </row>
    <row r="675">
      <c r="K675" s="25">
        <f>MAX(-0.05,NORMINV(RAND(),$C$6,$D$6))</f>
        <v/>
      </c>
      <c r="L675" s="25">
        <f>MAX(0.02,NORMINV(RAND(),$C$7,$D$7))</f>
        <v/>
      </c>
      <c r="M675" s="25">
        <f>MIN(0.16,MAX(0.05,NORMINV(RAND(),$C$8,$D$8)))</f>
        <v/>
      </c>
      <c r="N675" s="26">
        <f>MIN(24,MAX(5,NORMINV(RAND(),$C$9,$D$9)))</f>
        <v/>
      </c>
      <c r="O675" s="49">
        <f>$I$8*(SUMPRODUCT(($I$2*(1+K675)^{1;2;3;4;5;6;7;8;9;10})*(($I$3+(L675-$I$3)*{1;2;3;4;5;6;7;8;9;10}/10)*(1-$I$7)+$I$4-$I$4*($I$5+(1.05-$I$5)*{1;2;3;4;5;6;7;8;9;10}/10)-(K675/(1+K675))*$I$6)/(1+M675)^{1;2;3;4;5;6;7;8;9;10})+$I$2*(1+K675)^10*(L675+$I$4)*N675/(1+M675)^10+$I$9-$I$10)/$I$11</f>
        <v/>
      </c>
    </row>
    <row r="676">
      <c r="K676" s="25">
        <f>MAX(-0.05,NORMINV(RAND(),$C$6,$D$6))</f>
        <v/>
      </c>
      <c r="L676" s="25">
        <f>MAX(0.02,NORMINV(RAND(),$C$7,$D$7))</f>
        <v/>
      </c>
      <c r="M676" s="25">
        <f>MIN(0.16,MAX(0.05,NORMINV(RAND(),$C$8,$D$8)))</f>
        <v/>
      </c>
      <c r="N676" s="26">
        <f>MIN(24,MAX(5,NORMINV(RAND(),$C$9,$D$9)))</f>
        <v/>
      </c>
      <c r="O676" s="49">
        <f>$I$8*(SUMPRODUCT(($I$2*(1+K676)^{1;2;3;4;5;6;7;8;9;10})*(($I$3+(L676-$I$3)*{1;2;3;4;5;6;7;8;9;10}/10)*(1-$I$7)+$I$4-$I$4*($I$5+(1.05-$I$5)*{1;2;3;4;5;6;7;8;9;10}/10)-(K676/(1+K676))*$I$6)/(1+M676)^{1;2;3;4;5;6;7;8;9;10})+$I$2*(1+K676)^10*(L676+$I$4)*N676/(1+M676)^10+$I$9-$I$10)/$I$11</f>
        <v/>
      </c>
    </row>
    <row r="677">
      <c r="K677" s="25">
        <f>MAX(-0.05,NORMINV(RAND(),$C$6,$D$6))</f>
        <v/>
      </c>
      <c r="L677" s="25">
        <f>MAX(0.02,NORMINV(RAND(),$C$7,$D$7))</f>
        <v/>
      </c>
      <c r="M677" s="25">
        <f>MIN(0.16,MAX(0.05,NORMINV(RAND(),$C$8,$D$8)))</f>
        <v/>
      </c>
      <c r="N677" s="26">
        <f>MIN(24,MAX(5,NORMINV(RAND(),$C$9,$D$9)))</f>
        <v/>
      </c>
      <c r="O677" s="49">
        <f>$I$8*(SUMPRODUCT(($I$2*(1+K677)^{1;2;3;4;5;6;7;8;9;10})*(($I$3+(L677-$I$3)*{1;2;3;4;5;6;7;8;9;10}/10)*(1-$I$7)+$I$4-$I$4*($I$5+(1.05-$I$5)*{1;2;3;4;5;6;7;8;9;10}/10)-(K677/(1+K677))*$I$6)/(1+M677)^{1;2;3;4;5;6;7;8;9;10})+$I$2*(1+K677)^10*(L677+$I$4)*N677/(1+M677)^10+$I$9-$I$10)/$I$11</f>
        <v/>
      </c>
    </row>
    <row r="678">
      <c r="K678" s="25">
        <f>MAX(-0.05,NORMINV(RAND(),$C$6,$D$6))</f>
        <v/>
      </c>
      <c r="L678" s="25">
        <f>MAX(0.02,NORMINV(RAND(),$C$7,$D$7))</f>
        <v/>
      </c>
      <c r="M678" s="25">
        <f>MIN(0.16,MAX(0.05,NORMINV(RAND(),$C$8,$D$8)))</f>
        <v/>
      </c>
      <c r="N678" s="26">
        <f>MIN(24,MAX(5,NORMINV(RAND(),$C$9,$D$9)))</f>
        <v/>
      </c>
      <c r="O678" s="49">
        <f>$I$8*(SUMPRODUCT(($I$2*(1+K678)^{1;2;3;4;5;6;7;8;9;10})*(($I$3+(L678-$I$3)*{1;2;3;4;5;6;7;8;9;10}/10)*(1-$I$7)+$I$4-$I$4*($I$5+(1.05-$I$5)*{1;2;3;4;5;6;7;8;9;10}/10)-(K678/(1+K678))*$I$6)/(1+M678)^{1;2;3;4;5;6;7;8;9;10})+$I$2*(1+K678)^10*(L678+$I$4)*N678/(1+M678)^10+$I$9-$I$10)/$I$11</f>
        <v/>
      </c>
    </row>
    <row r="679">
      <c r="K679" s="25">
        <f>MAX(-0.05,NORMINV(RAND(),$C$6,$D$6))</f>
        <v/>
      </c>
      <c r="L679" s="25">
        <f>MAX(0.02,NORMINV(RAND(),$C$7,$D$7))</f>
        <v/>
      </c>
      <c r="M679" s="25">
        <f>MIN(0.16,MAX(0.05,NORMINV(RAND(),$C$8,$D$8)))</f>
        <v/>
      </c>
      <c r="N679" s="26">
        <f>MIN(24,MAX(5,NORMINV(RAND(),$C$9,$D$9)))</f>
        <v/>
      </c>
      <c r="O679" s="49">
        <f>$I$8*(SUMPRODUCT(($I$2*(1+K679)^{1;2;3;4;5;6;7;8;9;10})*(($I$3+(L679-$I$3)*{1;2;3;4;5;6;7;8;9;10}/10)*(1-$I$7)+$I$4-$I$4*($I$5+(1.05-$I$5)*{1;2;3;4;5;6;7;8;9;10}/10)-(K679/(1+K679))*$I$6)/(1+M679)^{1;2;3;4;5;6;7;8;9;10})+$I$2*(1+K679)^10*(L679+$I$4)*N679/(1+M679)^10+$I$9-$I$10)/$I$11</f>
        <v/>
      </c>
    </row>
    <row r="680">
      <c r="K680" s="25">
        <f>MAX(-0.05,NORMINV(RAND(),$C$6,$D$6))</f>
        <v/>
      </c>
      <c r="L680" s="25">
        <f>MAX(0.02,NORMINV(RAND(),$C$7,$D$7))</f>
        <v/>
      </c>
      <c r="M680" s="25">
        <f>MIN(0.16,MAX(0.05,NORMINV(RAND(),$C$8,$D$8)))</f>
        <v/>
      </c>
      <c r="N680" s="26">
        <f>MIN(24,MAX(5,NORMINV(RAND(),$C$9,$D$9)))</f>
        <v/>
      </c>
      <c r="O680" s="49">
        <f>$I$8*(SUMPRODUCT(($I$2*(1+K680)^{1;2;3;4;5;6;7;8;9;10})*(($I$3+(L680-$I$3)*{1;2;3;4;5;6;7;8;9;10}/10)*(1-$I$7)+$I$4-$I$4*($I$5+(1.05-$I$5)*{1;2;3;4;5;6;7;8;9;10}/10)-(K680/(1+K680))*$I$6)/(1+M680)^{1;2;3;4;5;6;7;8;9;10})+$I$2*(1+K680)^10*(L680+$I$4)*N680/(1+M680)^10+$I$9-$I$10)/$I$11</f>
        <v/>
      </c>
    </row>
    <row r="681">
      <c r="K681" s="25">
        <f>MAX(-0.05,NORMINV(RAND(),$C$6,$D$6))</f>
        <v/>
      </c>
      <c r="L681" s="25">
        <f>MAX(0.02,NORMINV(RAND(),$C$7,$D$7))</f>
        <v/>
      </c>
      <c r="M681" s="25">
        <f>MIN(0.16,MAX(0.05,NORMINV(RAND(),$C$8,$D$8)))</f>
        <v/>
      </c>
      <c r="N681" s="26">
        <f>MIN(24,MAX(5,NORMINV(RAND(),$C$9,$D$9)))</f>
        <v/>
      </c>
      <c r="O681" s="49">
        <f>$I$8*(SUMPRODUCT(($I$2*(1+K681)^{1;2;3;4;5;6;7;8;9;10})*(($I$3+(L681-$I$3)*{1;2;3;4;5;6;7;8;9;10}/10)*(1-$I$7)+$I$4-$I$4*($I$5+(1.05-$I$5)*{1;2;3;4;5;6;7;8;9;10}/10)-(K681/(1+K681))*$I$6)/(1+M681)^{1;2;3;4;5;6;7;8;9;10})+$I$2*(1+K681)^10*(L681+$I$4)*N681/(1+M681)^10+$I$9-$I$10)/$I$11</f>
        <v/>
      </c>
    </row>
    <row r="682">
      <c r="K682" s="25">
        <f>MAX(-0.05,NORMINV(RAND(),$C$6,$D$6))</f>
        <v/>
      </c>
      <c r="L682" s="25">
        <f>MAX(0.02,NORMINV(RAND(),$C$7,$D$7))</f>
        <v/>
      </c>
      <c r="M682" s="25">
        <f>MIN(0.16,MAX(0.05,NORMINV(RAND(),$C$8,$D$8)))</f>
        <v/>
      </c>
      <c r="N682" s="26">
        <f>MIN(24,MAX(5,NORMINV(RAND(),$C$9,$D$9)))</f>
        <v/>
      </c>
      <c r="O682" s="49">
        <f>$I$8*(SUMPRODUCT(($I$2*(1+K682)^{1;2;3;4;5;6;7;8;9;10})*(($I$3+(L682-$I$3)*{1;2;3;4;5;6;7;8;9;10}/10)*(1-$I$7)+$I$4-$I$4*($I$5+(1.05-$I$5)*{1;2;3;4;5;6;7;8;9;10}/10)-(K682/(1+K682))*$I$6)/(1+M682)^{1;2;3;4;5;6;7;8;9;10})+$I$2*(1+K682)^10*(L682+$I$4)*N682/(1+M682)^10+$I$9-$I$10)/$I$11</f>
        <v/>
      </c>
    </row>
    <row r="683">
      <c r="K683" s="25">
        <f>MAX(-0.05,NORMINV(RAND(),$C$6,$D$6))</f>
        <v/>
      </c>
      <c r="L683" s="25">
        <f>MAX(0.02,NORMINV(RAND(),$C$7,$D$7))</f>
        <v/>
      </c>
      <c r="M683" s="25">
        <f>MIN(0.16,MAX(0.05,NORMINV(RAND(),$C$8,$D$8)))</f>
        <v/>
      </c>
      <c r="N683" s="26">
        <f>MIN(24,MAX(5,NORMINV(RAND(),$C$9,$D$9)))</f>
        <v/>
      </c>
      <c r="O683" s="49">
        <f>$I$8*(SUMPRODUCT(($I$2*(1+K683)^{1;2;3;4;5;6;7;8;9;10})*(($I$3+(L683-$I$3)*{1;2;3;4;5;6;7;8;9;10}/10)*(1-$I$7)+$I$4-$I$4*($I$5+(1.05-$I$5)*{1;2;3;4;5;6;7;8;9;10}/10)-(K683/(1+K683))*$I$6)/(1+M683)^{1;2;3;4;5;6;7;8;9;10})+$I$2*(1+K683)^10*(L683+$I$4)*N683/(1+M683)^10+$I$9-$I$10)/$I$11</f>
        <v/>
      </c>
    </row>
    <row r="684">
      <c r="K684" s="25">
        <f>MAX(-0.05,NORMINV(RAND(),$C$6,$D$6))</f>
        <v/>
      </c>
      <c r="L684" s="25">
        <f>MAX(0.02,NORMINV(RAND(),$C$7,$D$7))</f>
        <v/>
      </c>
      <c r="M684" s="25">
        <f>MIN(0.16,MAX(0.05,NORMINV(RAND(),$C$8,$D$8)))</f>
        <v/>
      </c>
      <c r="N684" s="26">
        <f>MIN(24,MAX(5,NORMINV(RAND(),$C$9,$D$9)))</f>
        <v/>
      </c>
      <c r="O684" s="49">
        <f>$I$8*(SUMPRODUCT(($I$2*(1+K684)^{1;2;3;4;5;6;7;8;9;10})*(($I$3+(L684-$I$3)*{1;2;3;4;5;6;7;8;9;10}/10)*(1-$I$7)+$I$4-$I$4*($I$5+(1.05-$I$5)*{1;2;3;4;5;6;7;8;9;10}/10)-(K684/(1+K684))*$I$6)/(1+M684)^{1;2;3;4;5;6;7;8;9;10})+$I$2*(1+K684)^10*(L684+$I$4)*N684/(1+M684)^10+$I$9-$I$10)/$I$11</f>
        <v/>
      </c>
    </row>
    <row r="685">
      <c r="K685" s="25">
        <f>MAX(-0.05,NORMINV(RAND(),$C$6,$D$6))</f>
        <v/>
      </c>
      <c r="L685" s="25">
        <f>MAX(0.02,NORMINV(RAND(),$C$7,$D$7))</f>
        <v/>
      </c>
      <c r="M685" s="25">
        <f>MIN(0.16,MAX(0.05,NORMINV(RAND(),$C$8,$D$8)))</f>
        <v/>
      </c>
      <c r="N685" s="26">
        <f>MIN(24,MAX(5,NORMINV(RAND(),$C$9,$D$9)))</f>
        <v/>
      </c>
      <c r="O685" s="49">
        <f>$I$8*(SUMPRODUCT(($I$2*(1+K685)^{1;2;3;4;5;6;7;8;9;10})*(($I$3+(L685-$I$3)*{1;2;3;4;5;6;7;8;9;10}/10)*(1-$I$7)+$I$4-$I$4*($I$5+(1.05-$I$5)*{1;2;3;4;5;6;7;8;9;10}/10)-(K685/(1+K685))*$I$6)/(1+M685)^{1;2;3;4;5;6;7;8;9;10})+$I$2*(1+K685)^10*(L685+$I$4)*N685/(1+M685)^10+$I$9-$I$10)/$I$11</f>
        <v/>
      </c>
    </row>
    <row r="686">
      <c r="K686" s="25">
        <f>MAX(-0.05,NORMINV(RAND(),$C$6,$D$6))</f>
        <v/>
      </c>
      <c r="L686" s="25">
        <f>MAX(0.02,NORMINV(RAND(),$C$7,$D$7))</f>
        <v/>
      </c>
      <c r="M686" s="25">
        <f>MIN(0.16,MAX(0.05,NORMINV(RAND(),$C$8,$D$8)))</f>
        <v/>
      </c>
      <c r="N686" s="26">
        <f>MIN(24,MAX(5,NORMINV(RAND(),$C$9,$D$9)))</f>
        <v/>
      </c>
      <c r="O686" s="49">
        <f>$I$8*(SUMPRODUCT(($I$2*(1+K686)^{1;2;3;4;5;6;7;8;9;10})*(($I$3+(L686-$I$3)*{1;2;3;4;5;6;7;8;9;10}/10)*(1-$I$7)+$I$4-$I$4*($I$5+(1.05-$I$5)*{1;2;3;4;5;6;7;8;9;10}/10)-(K686/(1+K686))*$I$6)/(1+M686)^{1;2;3;4;5;6;7;8;9;10})+$I$2*(1+K686)^10*(L686+$I$4)*N686/(1+M686)^10+$I$9-$I$10)/$I$11</f>
        <v/>
      </c>
    </row>
    <row r="687">
      <c r="K687" s="25">
        <f>MAX(-0.05,NORMINV(RAND(),$C$6,$D$6))</f>
        <v/>
      </c>
      <c r="L687" s="25">
        <f>MAX(0.02,NORMINV(RAND(),$C$7,$D$7))</f>
        <v/>
      </c>
      <c r="M687" s="25">
        <f>MIN(0.16,MAX(0.05,NORMINV(RAND(),$C$8,$D$8)))</f>
        <v/>
      </c>
      <c r="N687" s="26">
        <f>MIN(24,MAX(5,NORMINV(RAND(),$C$9,$D$9)))</f>
        <v/>
      </c>
      <c r="O687" s="49">
        <f>$I$8*(SUMPRODUCT(($I$2*(1+K687)^{1;2;3;4;5;6;7;8;9;10})*(($I$3+(L687-$I$3)*{1;2;3;4;5;6;7;8;9;10}/10)*(1-$I$7)+$I$4-$I$4*($I$5+(1.05-$I$5)*{1;2;3;4;5;6;7;8;9;10}/10)-(K687/(1+K687))*$I$6)/(1+M687)^{1;2;3;4;5;6;7;8;9;10})+$I$2*(1+K687)^10*(L687+$I$4)*N687/(1+M687)^10+$I$9-$I$10)/$I$11</f>
        <v/>
      </c>
    </row>
    <row r="688">
      <c r="K688" s="25">
        <f>MAX(-0.05,NORMINV(RAND(),$C$6,$D$6))</f>
        <v/>
      </c>
      <c r="L688" s="25">
        <f>MAX(0.02,NORMINV(RAND(),$C$7,$D$7))</f>
        <v/>
      </c>
      <c r="M688" s="25">
        <f>MIN(0.16,MAX(0.05,NORMINV(RAND(),$C$8,$D$8)))</f>
        <v/>
      </c>
      <c r="N688" s="26">
        <f>MIN(24,MAX(5,NORMINV(RAND(),$C$9,$D$9)))</f>
        <v/>
      </c>
      <c r="O688" s="49">
        <f>$I$8*(SUMPRODUCT(($I$2*(1+K688)^{1;2;3;4;5;6;7;8;9;10})*(($I$3+(L688-$I$3)*{1;2;3;4;5;6;7;8;9;10}/10)*(1-$I$7)+$I$4-$I$4*($I$5+(1.05-$I$5)*{1;2;3;4;5;6;7;8;9;10}/10)-(K688/(1+K688))*$I$6)/(1+M688)^{1;2;3;4;5;6;7;8;9;10})+$I$2*(1+K688)^10*(L688+$I$4)*N688/(1+M688)^10+$I$9-$I$10)/$I$11</f>
        <v/>
      </c>
    </row>
    <row r="689">
      <c r="K689" s="25">
        <f>MAX(-0.05,NORMINV(RAND(),$C$6,$D$6))</f>
        <v/>
      </c>
      <c r="L689" s="25">
        <f>MAX(0.02,NORMINV(RAND(),$C$7,$D$7))</f>
        <v/>
      </c>
      <c r="M689" s="25">
        <f>MIN(0.16,MAX(0.05,NORMINV(RAND(),$C$8,$D$8)))</f>
        <v/>
      </c>
      <c r="N689" s="26">
        <f>MIN(24,MAX(5,NORMINV(RAND(),$C$9,$D$9)))</f>
        <v/>
      </c>
      <c r="O689" s="49">
        <f>$I$8*(SUMPRODUCT(($I$2*(1+K689)^{1;2;3;4;5;6;7;8;9;10})*(($I$3+(L689-$I$3)*{1;2;3;4;5;6;7;8;9;10}/10)*(1-$I$7)+$I$4-$I$4*($I$5+(1.05-$I$5)*{1;2;3;4;5;6;7;8;9;10}/10)-(K689/(1+K689))*$I$6)/(1+M689)^{1;2;3;4;5;6;7;8;9;10})+$I$2*(1+K689)^10*(L689+$I$4)*N689/(1+M689)^10+$I$9-$I$10)/$I$11</f>
        <v/>
      </c>
    </row>
    <row r="690">
      <c r="K690" s="25">
        <f>MAX(-0.05,NORMINV(RAND(),$C$6,$D$6))</f>
        <v/>
      </c>
      <c r="L690" s="25">
        <f>MAX(0.02,NORMINV(RAND(),$C$7,$D$7))</f>
        <v/>
      </c>
      <c r="M690" s="25">
        <f>MIN(0.16,MAX(0.05,NORMINV(RAND(),$C$8,$D$8)))</f>
        <v/>
      </c>
      <c r="N690" s="26">
        <f>MIN(24,MAX(5,NORMINV(RAND(),$C$9,$D$9)))</f>
        <v/>
      </c>
      <c r="O690" s="49">
        <f>$I$8*(SUMPRODUCT(($I$2*(1+K690)^{1;2;3;4;5;6;7;8;9;10})*(($I$3+(L690-$I$3)*{1;2;3;4;5;6;7;8;9;10}/10)*(1-$I$7)+$I$4-$I$4*($I$5+(1.05-$I$5)*{1;2;3;4;5;6;7;8;9;10}/10)-(K690/(1+K690))*$I$6)/(1+M690)^{1;2;3;4;5;6;7;8;9;10})+$I$2*(1+K690)^10*(L690+$I$4)*N690/(1+M690)^10+$I$9-$I$10)/$I$11</f>
        <v/>
      </c>
    </row>
    <row r="691">
      <c r="K691" s="25">
        <f>MAX(-0.05,NORMINV(RAND(),$C$6,$D$6))</f>
        <v/>
      </c>
      <c r="L691" s="25">
        <f>MAX(0.02,NORMINV(RAND(),$C$7,$D$7))</f>
        <v/>
      </c>
      <c r="M691" s="25">
        <f>MIN(0.16,MAX(0.05,NORMINV(RAND(),$C$8,$D$8)))</f>
        <v/>
      </c>
      <c r="N691" s="26">
        <f>MIN(24,MAX(5,NORMINV(RAND(),$C$9,$D$9)))</f>
        <v/>
      </c>
      <c r="O691" s="49">
        <f>$I$8*(SUMPRODUCT(($I$2*(1+K691)^{1;2;3;4;5;6;7;8;9;10})*(($I$3+(L691-$I$3)*{1;2;3;4;5;6;7;8;9;10}/10)*(1-$I$7)+$I$4-$I$4*($I$5+(1.05-$I$5)*{1;2;3;4;5;6;7;8;9;10}/10)-(K691/(1+K691))*$I$6)/(1+M691)^{1;2;3;4;5;6;7;8;9;10})+$I$2*(1+K691)^10*(L691+$I$4)*N691/(1+M691)^10+$I$9-$I$10)/$I$11</f>
        <v/>
      </c>
    </row>
    <row r="692">
      <c r="K692" s="25">
        <f>MAX(-0.05,NORMINV(RAND(),$C$6,$D$6))</f>
        <v/>
      </c>
      <c r="L692" s="25">
        <f>MAX(0.02,NORMINV(RAND(),$C$7,$D$7))</f>
        <v/>
      </c>
      <c r="M692" s="25">
        <f>MIN(0.16,MAX(0.05,NORMINV(RAND(),$C$8,$D$8)))</f>
        <v/>
      </c>
      <c r="N692" s="26">
        <f>MIN(24,MAX(5,NORMINV(RAND(),$C$9,$D$9)))</f>
        <v/>
      </c>
      <c r="O692" s="49">
        <f>$I$8*(SUMPRODUCT(($I$2*(1+K692)^{1;2;3;4;5;6;7;8;9;10})*(($I$3+(L692-$I$3)*{1;2;3;4;5;6;7;8;9;10}/10)*(1-$I$7)+$I$4-$I$4*($I$5+(1.05-$I$5)*{1;2;3;4;5;6;7;8;9;10}/10)-(K692/(1+K692))*$I$6)/(1+M692)^{1;2;3;4;5;6;7;8;9;10})+$I$2*(1+K692)^10*(L692+$I$4)*N692/(1+M692)^10+$I$9-$I$10)/$I$11</f>
        <v/>
      </c>
    </row>
    <row r="693">
      <c r="K693" s="25">
        <f>MAX(-0.05,NORMINV(RAND(),$C$6,$D$6))</f>
        <v/>
      </c>
      <c r="L693" s="25">
        <f>MAX(0.02,NORMINV(RAND(),$C$7,$D$7))</f>
        <v/>
      </c>
      <c r="M693" s="25">
        <f>MIN(0.16,MAX(0.05,NORMINV(RAND(),$C$8,$D$8)))</f>
        <v/>
      </c>
      <c r="N693" s="26">
        <f>MIN(24,MAX(5,NORMINV(RAND(),$C$9,$D$9)))</f>
        <v/>
      </c>
      <c r="O693" s="49">
        <f>$I$8*(SUMPRODUCT(($I$2*(1+K693)^{1;2;3;4;5;6;7;8;9;10})*(($I$3+(L693-$I$3)*{1;2;3;4;5;6;7;8;9;10}/10)*(1-$I$7)+$I$4-$I$4*($I$5+(1.05-$I$5)*{1;2;3;4;5;6;7;8;9;10}/10)-(K693/(1+K693))*$I$6)/(1+M693)^{1;2;3;4;5;6;7;8;9;10})+$I$2*(1+K693)^10*(L693+$I$4)*N693/(1+M693)^10+$I$9-$I$10)/$I$11</f>
        <v/>
      </c>
    </row>
    <row r="694">
      <c r="K694" s="25">
        <f>MAX(-0.05,NORMINV(RAND(),$C$6,$D$6))</f>
        <v/>
      </c>
      <c r="L694" s="25">
        <f>MAX(0.02,NORMINV(RAND(),$C$7,$D$7))</f>
        <v/>
      </c>
      <c r="M694" s="25">
        <f>MIN(0.16,MAX(0.05,NORMINV(RAND(),$C$8,$D$8)))</f>
        <v/>
      </c>
      <c r="N694" s="26">
        <f>MIN(24,MAX(5,NORMINV(RAND(),$C$9,$D$9)))</f>
        <v/>
      </c>
      <c r="O694" s="49">
        <f>$I$8*(SUMPRODUCT(($I$2*(1+K694)^{1;2;3;4;5;6;7;8;9;10})*(($I$3+(L694-$I$3)*{1;2;3;4;5;6;7;8;9;10}/10)*(1-$I$7)+$I$4-$I$4*($I$5+(1.05-$I$5)*{1;2;3;4;5;6;7;8;9;10}/10)-(K694/(1+K694))*$I$6)/(1+M694)^{1;2;3;4;5;6;7;8;9;10})+$I$2*(1+K694)^10*(L694+$I$4)*N694/(1+M694)^10+$I$9-$I$10)/$I$11</f>
        <v/>
      </c>
    </row>
    <row r="695">
      <c r="K695" s="25">
        <f>MAX(-0.05,NORMINV(RAND(),$C$6,$D$6))</f>
        <v/>
      </c>
      <c r="L695" s="25">
        <f>MAX(0.02,NORMINV(RAND(),$C$7,$D$7))</f>
        <v/>
      </c>
      <c r="M695" s="25">
        <f>MIN(0.16,MAX(0.05,NORMINV(RAND(),$C$8,$D$8)))</f>
        <v/>
      </c>
      <c r="N695" s="26">
        <f>MIN(24,MAX(5,NORMINV(RAND(),$C$9,$D$9)))</f>
        <v/>
      </c>
      <c r="O695" s="49">
        <f>$I$8*(SUMPRODUCT(($I$2*(1+K695)^{1;2;3;4;5;6;7;8;9;10})*(($I$3+(L695-$I$3)*{1;2;3;4;5;6;7;8;9;10}/10)*(1-$I$7)+$I$4-$I$4*($I$5+(1.05-$I$5)*{1;2;3;4;5;6;7;8;9;10}/10)-(K695/(1+K695))*$I$6)/(1+M695)^{1;2;3;4;5;6;7;8;9;10})+$I$2*(1+K695)^10*(L695+$I$4)*N695/(1+M695)^10+$I$9-$I$10)/$I$11</f>
        <v/>
      </c>
    </row>
    <row r="696">
      <c r="K696" s="25">
        <f>MAX(-0.05,NORMINV(RAND(),$C$6,$D$6))</f>
        <v/>
      </c>
      <c r="L696" s="25">
        <f>MAX(0.02,NORMINV(RAND(),$C$7,$D$7))</f>
        <v/>
      </c>
      <c r="M696" s="25">
        <f>MIN(0.16,MAX(0.05,NORMINV(RAND(),$C$8,$D$8)))</f>
        <v/>
      </c>
      <c r="N696" s="26">
        <f>MIN(24,MAX(5,NORMINV(RAND(),$C$9,$D$9)))</f>
        <v/>
      </c>
      <c r="O696" s="49">
        <f>$I$8*(SUMPRODUCT(($I$2*(1+K696)^{1;2;3;4;5;6;7;8;9;10})*(($I$3+(L696-$I$3)*{1;2;3;4;5;6;7;8;9;10}/10)*(1-$I$7)+$I$4-$I$4*($I$5+(1.05-$I$5)*{1;2;3;4;5;6;7;8;9;10}/10)-(K696/(1+K696))*$I$6)/(1+M696)^{1;2;3;4;5;6;7;8;9;10})+$I$2*(1+K696)^10*(L696+$I$4)*N696/(1+M696)^10+$I$9-$I$10)/$I$11</f>
        <v/>
      </c>
    </row>
    <row r="697">
      <c r="K697" s="25">
        <f>MAX(-0.05,NORMINV(RAND(),$C$6,$D$6))</f>
        <v/>
      </c>
      <c r="L697" s="25">
        <f>MAX(0.02,NORMINV(RAND(),$C$7,$D$7))</f>
        <v/>
      </c>
      <c r="M697" s="25">
        <f>MIN(0.16,MAX(0.05,NORMINV(RAND(),$C$8,$D$8)))</f>
        <v/>
      </c>
      <c r="N697" s="26">
        <f>MIN(24,MAX(5,NORMINV(RAND(),$C$9,$D$9)))</f>
        <v/>
      </c>
      <c r="O697" s="49">
        <f>$I$8*(SUMPRODUCT(($I$2*(1+K697)^{1;2;3;4;5;6;7;8;9;10})*(($I$3+(L697-$I$3)*{1;2;3;4;5;6;7;8;9;10}/10)*(1-$I$7)+$I$4-$I$4*($I$5+(1.05-$I$5)*{1;2;3;4;5;6;7;8;9;10}/10)-(K697/(1+K697))*$I$6)/(1+M697)^{1;2;3;4;5;6;7;8;9;10})+$I$2*(1+K697)^10*(L697+$I$4)*N697/(1+M697)^10+$I$9-$I$10)/$I$11</f>
        <v/>
      </c>
    </row>
    <row r="698">
      <c r="K698" s="25">
        <f>MAX(-0.05,NORMINV(RAND(),$C$6,$D$6))</f>
        <v/>
      </c>
      <c r="L698" s="25">
        <f>MAX(0.02,NORMINV(RAND(),$C$7,$D$7))</f>
        <v/>
      </c>
      <c r="M698" s="25">
        <f>MIN(0.16,MAX(0.05,NORMINV(RAND(),$C$8,$D$8)))</f>
        <v/>
      </c>
      <c r="N698" s="26">
        <f>MIN(24,MAX(5,NORMINV(RAND(),$C$9,$D$9)))</f>
        <v/>
      </c>
      <c r="O698" s="49">
        <f>$I$8*(SUMPRODUCT(($I$2*(1+K698)^{1;2;3;4;5;6;7;8;9;10})*(($I$3+(L698-$I$3)*{1;2;3;4;5;6;7;8;9;10}/10)*(1-$I$7)+$I$4-$I$4*($I$5+(1.05-$I$5)*{1;2;3;4;5;6;7;8;9;10}/10)-(K698/(1+K698))*$I$6)/(1+M698)^{1;2;3;4;5;6;7;8;9;10})+$I$2*(1+K698)^10*(L698+$I$4)*N698/(1+M698)^10+$I$9-$I$10)/$I$11</f>
        <v/>
      </c>
    </row>
    <row r="699">
      <c r="K699" s="25">
        <f>MAX(-0.05,NORMINV(RAND(),$C$6,$D$6))</f>
        <v/>
      </c>
      <c r="L699" s="25">
        <f>MAX(0.02,NORMINV(RAND(),$C$7,$D$7))</f>
        <v/>
      </c>
      <c r="M699" s="25">
        <f>MIN(0.16,MAX(0.05,NORMINV(RAND(),$C$8,$D$8)))</f>
        <v/>
      </c>
      <c r="N699" s="26">
        <f>MIN(24,MAX(5,NORMINV(RAND(),$C$9,$D$9)))</f>
        <v/>
      </c>
      <c r="O699" s="49">
        <f>$I$8*(SUMPRODUCT(($I$2*(1+K699)^{1;2;3;4;5;6;7;8;9;10})*(($I$3+(L699-$I$3)*{1;2;3;4;5;6;7;8;9;10}/10)*(1-$I$7)+$I$4-$I$4*($I$5+(1.05-$I$5)*{1;2;3;4;5;6;7;8;9;10}/10)-(K699/(1+K699))*$I$6)/(1+M699)^{1;2;3;4;5;6;7;8;9;10})+$I$2*(1+K699)^10*(L699+$I$4)*N699/(1+M699)^10+$I$9-$I$10)/$I$11</f>
        <v/>
      </c>
    </row>
    <row r="700">
      <c r="K700" s="25">
        <f>MAX(-0.05,NORMINV(RAND(),$C$6,$D$6))</f>
        <v/>
      </c>
      <c r="L700" s="25">
        <f>MAX(0.02,NORMINV(RAND(),$C$7,$D$7))</f>
        <v/>
      </c>
      <c r="M700" s="25">
        <f>MIN(0.16,MAX(0.05,NORMINV(RAND(),$C$8,$D$8)))</f>
        <v/>
      </c>
      <c r="N700" s="26">
        <f>MIN(24,MAX(5,NORMINV(RAND(),$C$9,$D$9)))</f>
        <v/>
      </c>
      <c r="O700" s="49">
        <f>$I$8*(SUMPRODUCT(($I$2*(1+K700)^{1;2;3;4;5;6;7;8;9;10})*(($I$3+(L700-$I$3)*{1;2;3;4;5;6;7;8;9;10}/10)*(1-$I$7)+$I$4-$I$4*($I$5+(1.05-$I$5)*{1;2;3;4;5;6;7;8;9;10}/10)-(K700/(1+K700))*$I$6)/(1+M700)^{1;2;3;4;5;6;7;8;9;10})+$I$2*(1+K700)^10*(L700+$I$4)*N700/(1+M700)^10+$I$9-$I$10)/$I$11</f>
        <v/>
      </c>
    </row>
    <row r="701">
      <c r="K701" s="25">
        <f>MAX(-0.05,NORMINV(RAND(),$C$6,$D$6))</f>
        <v/>
      </c>
      <c r="L701" s="25">
        <f>MAX(0.02,NORMINV(RAND(),$C$7,$D$7))</f>
        <v/>
      </c>
      <c r="M701" s="25">
        <f>MIN(0.16,MAX(0.05,NORMINV(RAND(),$C$8,$D$8)))</f>
        <v/>
      </c>
      <c r="N701" s="26">
        <f>MIN(24,MAX(5,NORMINV(RAND(),$C$9,$D$9)))</f>
        <v/>
      </c>
      <c r="O701" s="49">
        <f>$I$8*(SUMPRODUCT(($I$2*(1+K701)^{1;2;3;4;5;6;7;8;9;10})*(($I$3+(L701-$I$3)*{1;2;3;4;5;6;7;8;9;10}/10)*(1-$I$7)+$I$4-$I$4*($I$5+(1.05-$I$5)*{1;2;3;4;5;6;7;8;9;10}/10)-(K701/(1+K701))*$I$6)/(1+M701)^{1;2;3;4;5;6;7;8;9;10})+$I$2*(1+K701)^10*(L701+$I$4)*N701/(1+M701)^10+$I$9-$I$10)/$I$11</f>
        <v/>
      </c>
    </row>
    <row r="702">
      <c r="K702" s="25">
        <f>MAX(-0.05,NORMINV(RAND(),$C$6,$D$6))</f>
        <v/>
      </c>
      <c r="L702" s="25">
        <f>MAX(0.02,NORMINV(RAND(),$C$7,$D$7))</f>
        <v/>
      </c>
      <c r="M702" s="25">
        <f>MIN(0.16,MAX(0.05,NORMINV(RAND(),$C$8,$D$8)))</f>
        <v/>
      </c>
      <c r="N702" s="26">
        <f>MIN(24,MAX(5,NORMINV(RAND(),$C$9,$D$9)))</f>
        <v/>
      </c>
      <c r="O702" s="49">
        <f>$I$8*(SUMPRODUCT(($I$2*(1+K702)^{1;2;3;4;5;6;7;8;9;10})*(($I$3+(L702-$I$3)*{1;2;3;4;5;6;7;8;9;10}/10)*(1-$I$7)+$I$4-$I$4*($I$5+(1.05-$I$5)*{1;2;3;4;5;6;7;8;9;10}/10)-(K702/(1+K702))*$I$6)/(1+M702)^{1;2;3;4;5;6;7;8;9;10})+$I$2*(1+K702)^10*(L702+$I$4)*N702/(1+M702)^10+$I$9-$I$10)/$I$11</f>
        <v/>
      </c>
    </row>
    <row r="703">
      <c r="K703" s="25">
        <f>MAX(-0.05,NORMINV(RAND(),$C$6,$D$6))</f>
        <v/>
      </c>
      <c r="L703" s="25">
        <f>MAX(0.02,NORMINV(RAND(),$C$7,$D$7))</f>
        <v/>
      </c>
      <c r="M703" s="25">
        <f>MIN(0.16,MAX(0.05,NORMINV(RAND(),$C$8,$D$8)))</f>
        <v/>
      </c>
      <c r="N703" s="26">
        <f>MIN(24,MAX(5,NORMINV(RAND(),$C$9,$D$9)))</f>
        <v/>
      </c>
      <c r="O703" s="49">
        <f>$I$8*(SUMPRODUCT(($I$2*(1+K703)^{1;2;3;4;5;6;7;8;9;10})*(($I$3+(L703-$I$3)*{1;2;3;4;5;6;7;8;9;10}/10)*(1-$I$7)+$I$4-$I$4*($I$5+(1.05-$I$5)*{1;2;3;4;5;6;7;8;9;10}/10)-(K703/(1+K703))*$I$6)/(1+M703)^{1;2;3;4;5;6;7;8;9;10})+$I$2*(1+K703)^10*(L703+$I$4)*N703/(1+M703)^10+$I$9-$I$10)/$I$11</f>
        <v/>
      </c>
    </row>
    <row r="704">
      <c r="K704" s="25">
        <f>MAX(-0.05,NORMINV(RAND(),$C$6,$D$6))</f>
        <v/>
      </c>
      <c r="L704" s="25">
        <f>MAX(0.02,NORMINV(RAND(),$C$7,$D$7))</f>
        <v/>
      </c>
      <c r="M704" s="25">
        <f>MIN(0.16,MAX(0.05,NORMINV(RAND(),$C$8,$D$8)))</f>
        <v/>
      </c>
      <c r="N704" s="26">
        <f>MIN(24,MAX(5,NORMINV(RAND(),$C$9,$D$9)))</f>
        <v/>
      </c>
      <c r="O704" s="49">
        <f>$I$8*(SUMPRODUCT(($I$2*(1+K704)^{1;2;3;4;5;6;7;8;9;10})*(($I$3+(L704-$I$3)*{1;2;3;4;5;6;7;8;9;10}/10)*(1-$I$7)+$I$4-$I$4*($I$5+(1.05-$I$5)*{1;2;3;4;5;6;7;8;9;10}/10)-(K704/(1+K704))*$I$6)/(1+M704)^{1;2;3;4;5;6;7;8;9;10})+$I$2*(1+K704)^10*(L704+$I$4)*N704/(1+M704)^10+$I$9-$I$10)/$I$11</f>
        <v/>
      </c>
    </row>
    <row r="705">
      <c r="K705" s="25">
        <f>MAX(-0.05,NORMINV(RAND(),$C$6,$D$6))</f>
        <v/>
      </c>
      <c r="L705" s="25">
        <f>MAX(0.02,NORMINV(RAND(),$C$7,$D$7))</f>
        <v/>
      </c>
      <c r="M705" s="25">
        <f>MIN(0.16,MAX(0.05,NORMINV(RAND(),$C$8,$D$8)))</f>
        <v/>
      </c>
      <c r="N705" s="26">
        <f>MIN(24,MAX(5,NORMINV(RAND(),$C$9,$D$9)))</f>
        <v/>
      </c>
      <c r="O705" s="49">
        <f>$I$8*(SUMPRODUCT(($I$2*(1+K705)^{1;2;3;4;5;6;7;8;9;10})*(($I$3+(L705-$I$3)*{1;2;3;4;5;6;7;8;9;10}/10)*(1-$I$7)+$I$4-$I$4*($I$5+(1.05-$I$5)*{1;2;3;4;5;6;7;8;9;10}/10)-(K705/(1+K705))*$I$6)/(1+M705)^{1;2;3;4;5;6;7;8;9;10})+$I$2*(1+K705)^10*(L705+$I$4)*N705/(1+M705)^10+$I$9-$I$10)/$I$11</f>
        <v/>
      </c>
    </row>
    <row r="706">
      <c r="K706" s="25">
        <f>MAX(-0.05,NORMINV(RAND(),$C$6,$D$6))</f>
        <v/>
      </c>
      <c r="L706" s="25">
        <f>MAX(0.02,NORMINV(RAND(),$C$7,$D$7))</f>
        <v/>
      </c>
      <c r="M706" s="25">
        <f>MIN(0.16,MAX(0.05,NORMINV(RAND(),$C$8,$D$8)))</f>
        <v/>
      </c>
      <c r="N706" s="26">
        <f>MIN(24,MAX(5,NORMINV(RAND(),$C$9,$D$9)))</f>
        <v/>
      </c>
      <c r="O706" s="49">
        <f>$I$8*(SUMPRODUCT(($I$2*(1+K706)^{1;2;3;4;5;6;7;8;9;10})*(($I$3+(L706-$I$3)*{1;2;3;4;5;6;7;8;9;10}/10)*(1-$I$7)+$I$4-$I$4*($I$5+(1.05-$I$5)*{1;2;3;4;5;6;7;8;9;10}/10)-(K706/(1+K706))*$I$6)/(1+M706)^{1;2;3;4;5;6;7;8;9;10})+$I$2*(1+K706)^10*(L706+$I$4)*N706/(1+M706)^10+$I$9-$I$10)/$I$11</f>
        <v/>
      </c>
    </row>
    <row r="707">
      <c r="K707" s="25">
        <f>MAX(-0.05,NORMINV(RAND(),$C$6,$D$6))</f>
        <v/>
      </c>
      <c r="L707" s="25">
        <f>MAX(0.02,NORMINV(RAND(),$C$7,$D$7))</f>
        <v/>
      </c>
      <c r="M707" s="25">
        <f>MIN(0.16,MAX(0.05,NORMINV(RAND(),$C$8,$D$8)))</f>
        <v/>
      </c>
      <c r="N707" s="26">
        <f>MIN(24,MAX(5,NORMINV(RAND(),$C$9,$D$9)))</f>
        <v/>
      </c>
      <c r="O707" s="49">
        <f>$I$8*(SUMPRODUCT(($I$2*(1+K707)^{1;2;3;4;5;6;7;8;9;10})*(($I$3+(L707-$I$3)*{1;2;3;4;5;6;7;8;9;10}/10)*(1-$I$7)+$I$4-$I$4*($I$5+(1.05-$I$5)*{1;2;3;4;5;6;7;8;9;10}/10)-(K707/(1+K707))*$I$6)/(1+M707)^{1;2;3;4;5;6;7;8;9;10})+$I$2*(1+K707)^10*(L707+$I$4)*N707/(1+M707)^10+$I$9-$I$10)/$I$11</f>
        <v/>
      </c>
    </row>
    <row r="708">
      <c r="K708" s="25">
        <f>MAX(-0.05,NORMINV(RAND(),$C$6,$D$6))</f>
        <v/>
      </c>
      <c r="L708" s="25">
        <f>MAX(0.02,NORMINV(RAND(),$C$7,$D$7))</f>
        <v/>
      </c>
      <c r="M708" s="25">
        <f>MIN(0.16,MAX(0.05,NORMINV(RAND(),$C$8,$D$8)))</f>
        <v/>
      </c>
      <c r="N708" s="26">
        <f>MIN(24,MAX(5,NORMINV(RAND(),$C$9,$D$9)))</f>
        <v/>
      </c>
      <c r="O708" s="49">
        <f>$I$8*(SUMPRODUCT(($I$2*(1+K708)^{1;2;3;4;5;6;7;8;9;10})*(($I$3+(L708-$I$3)*{1;2;3;4;5;6;7;8;9;10}/10)*(1-$I$7)+$I$4-$I$4*($I$5+(1.05-$I$5)*{1;2;3;4;5;6;7;8;9;10}/10)-(K708/(1+K708))*$I$6)/(1+M708)^{1;2;3;4;5;6;7;8;9;10})+$I$2*(1+K708)^10*(L708+$I$4)*N708/(1+M708)^10+$I$9-$I$10)/$I$11</f>
        <v/>
      </c>
    </row>
    <row r="709">
      <c r="K709" s="25">
        <f>MAX(-0.05,NORMINV(RAND(),$C$6,$D$6))</f>
        <v/>
      </c>
      <c r="L709" s="25">
        <f>MAX(0.02,NORMINV(RAND(),$C$7,$D$7))</f>
        <v/>
      </c>
      <c r="M709" s="25">
        <f>MIN(0.16,MAX(0.05,NORMINV(RAND(),$C$8,$D$8)))</f>
        <v/>
      </c>
      <c r="N709" s="26">
        <f>MIN(24,MAX(5,NORMINV(RAND(),$C$9,$D$9)))</f>
        <v/>
      </c>
      <c r="O709" s="49">
        <f>$I$8*(SUMPRODUCT(($I$2*(1+K709)^{1;2;3;4;5;6;7;8;9;10})*(($I$3+(L709-$I$3)*{1;2;3;4;5;6;7;8;9;10}/10)*(1-$I$7)+$I$4-$I$4*($I$5+(1.05-$I$5)*{1;2;3;4;5;6;7;8;9;10}/10)-(K709/(1+K709))*$I$6)/(1+M709)^{1;2;3;4;5;6;7;8;9;10})+$I$2*(1+K709)^10*(L709+$I$4)*N709/(1+M709)^10+$I$9-$I$10)/$I$11</f>
        <v/>
      </c>
    </row>
    <row r="710">
      <c r="K710" s="25">
        <f>MAX(-0.05,NORMINV(RAND(),$C$6,$D$6))</f>
        <v/>
      </c>
      <c r="L710" s="25">
        <f>MAX(0.02,NORMINV(RAND(),$C$7,$D$7))</f>
        <v/>
      </c>
      <c r="M710" s="25">
        <f>MIN(0.16,MAX(0.05,NORMINV(RAND(),$C$8,$D$8)))</f>
        <v/>
      </c>
      <c r="N710" s="26">
        <f>MIN(24,MAX(5,NORMINV(RAND(),$C$9,$D$9)))</f>
        <v/>
      </c>
      <c r="O710" s="49">
        <f>$I$8*(SUMPRODUCT(($I$2*(1+K710)^{1;2;3;4;5;6;7;8;9;10})*(($I$3+(L710-$I$3)*{1;2;3;4;5;6;7;8;9;10}/10)*(1-$I$7)+$I$4-$I$4*($I$5+(1.05-$I$5)*{1;2;3;4;5;6;7;8;9;10}/10)-(K710/(1+K710))*$I$6)/(1+M710)^{1;2;3;4;5;6;7;8;9;10})+$I$2*(1+K710)^10*(L710+$I$4)*N710/(1+M710)^10+$I$9-$I$10)/$I$11</f>
        <v/>
      </c>
    </row>
    <row r="711">
      <c r="K711" s="25">
        <f>MAX(-0.05,NORMINV(RAND(),$C$6,$D$6))</f>
        <v/>
      </c>
      <c r="L711" s="25">
        <f>MAX(0.02,NORMINV(RAND(),$C$7,$D$7))</f>
        <v/>
      </c>
      <c r="M711" s="25">
        <f>MIN(0.16,MAX(0.05,NORMINV(RAND(),$C$8,$D$8)))</f>
        <v/>
      </c>
      <c r="N711" s="26">
        <f>MIN(24,MAX(5,NORMINV(RAND(),$C$9,$D$9)))</f>
        <v/>
      </c>
      <c r="O711" s="49">
        <f>$I$8*(SUMPRODUCT(($I$2*(1+K711)^{1;2;3;4;5;6;7;8;9;10})*(($I$3+(L711-$I$3)*{1;2;3;4;5;6;7;8;9;10}/10)*(1-$I$7)+$I$4-$I$4*($I$5+(1.05-$I$5)*{1;2;3;4;5;6;7;8;9;10}/10)-(K711/(1+K711))*$I$6)/(1+M711)^{1;2;3;4;5;6;7;8;9;10})+$I$2*(1+K711)^10*(L711+$I$4)*N711/(1+M711)^10+$I$9-$I$10)/$I$11</f>
        <v/>
      </c>
    </row>
    <row r="712">
      <c r="K712" s="25">
        <f>MAX(-0.05,NORMINV(RAND(),$C$6,$D$6))</f>
        <v/>
      </c>
      <c r="L712" s="25">
        <f>MAX(0.02,NORMINV(RAND(),$C$7,$D$7))</f>
        <v/>
      </c>
      <c r="M712" s="25">
        <f>MIN(0.16,MAX(0.05,NORMINV(RAND(),$C$8,$D$8)))</f>
        <v/>
      </c>
      <c r="N712" s="26">
        <f>MIN(24,MAX(5,NORMINV(RAND(),$C$9,$D$9)))</f>
        <v/>
      </c>
      <c r="O712" s="49">
        <f>$I$8*(SUMPRODUCT(($I$2*(1+K712)^{1;2;3;4;5;6;7;8;9;10})*(($I$3+(L712-$I$3)*{1;2;3;4;5;6;7;8;9;10}/10)*(1-$I$7)+$I$4-$I$4*($I$5+(1.05-$I$5)*{1;2;3;4;5;6;7;8;9;10}/10)-(K712/(1+K712))*$I$6)/(1+M712)^{1;2;3;4;5;6;7;8;9;10})+$I$2*(1+K712)^10*(L712+$I$4)*N712/(1+M712)^10+$I$9-$I$10)/$I$11</f>
        <v/>
      </c>
    </row>
    <row r="713">
      <c r="K713" s="25">
        <f>MAX(-0.05,NORMINV(RAND(),$C$6,$D$6))</f>
        <v/>
      </c>
      <c r="L713" s="25">
        <f>MAX(0.02,NORMINV(RAND(),$C$7,$D$7))</f>
        <v/>
      </c>
      <c r="M713" s="25">
        <f>MIN(0.16,MAX(0.05,NORMINV(RAND(),$C$8,$D$8)))</f>
        <v/>
      </c>
      <c r="N713" s="26">
        <f>MIN(24,MAX(5,NORMINV(RAND(),$C$9,$D$9)))</f>
        <v/>
      </c>
      <c r="O713" s="49">
        <f>$I$8*(SUMPRODUCT(($I$2*(1+K713)^{1;2;3;4;5;6;7;8;9;10})*(($I$3+(L713-$I$3)*{1;2;3;4;5;6;7;8;9;10}/10)*(1-$I$7)+$I$4-$I$4*($I$5+(1.05-$I$5)*{1;2;3;4;5;6;7;8;9;10}/10)-(K713/(1+K713))*$I$6)/(1+M713)^{1;2;3;4;5;6;7;8;9;10})+$I$2*(1+K713)^10*(L713+$I$4)*N713/(1+M713)^10+$I$9-$I$10)/$I$11</f>
        <v/>
      </c>
    </row>
    <row r="714">
      <c r="K714" s="25">
        <f>MAX(-0.05,NORMINV(RAND(),$C$6,$D$6))</f>
        <v/>
      </c>
      <c r="L714" s="25">
        <f>MAX(0.02,NORMINV(RAND(),$C$7,$D$7))</f>
        <v/>
      </c>
      <c r="M714" s="25">
        <f>MIN(0.16,MAX(0.05,NORMINV(RAND(),$C$8,$D$8)))</f>
        <v/>
      </c>
      <c r="N714" s="26">
        <f>MIN(24,MAX(5,NORMINV(RAND(),$C$9,$D$9)))</f>
        <v/>
      </c>
      <c r="O714" s="49">
        <f>$I$8*(SUMPRODUCT(($I$2*(1+K714)^{1;2;3;4;5;6;7;8;9;10})*(($I$3+(L714-$I$3)*{1;2;3;4;5;6;7;8;9;10}/10)*(1-$I$7)+$I$4-$I$4*($I$5+(1.05-$I$5)*{1;2;3;4;5;6;7;8;9;10}/10)-(K714/(1+K714))*$I$6)/(1+M714)^{1;2;3;4;5;6;7;8;9;10})+$I$2*(1+K714)^10*(L714+$I$4)*N714/(1+M714)^10+$I$9-$I$10)/$I$11</f>
        <v/>
      </c>
    </row>
    <row r="715">
      <c r="K715" s="25">
        <f>MAX(-0.05,NORMINV(RAND(),$C$6,$D$6))</f>
        <v/>
      </c>
      <c r="L715" s="25">
        <f>MAX(0.02,NORMINV(RAND(),$C$7,$D$7))</f>
        <v/>
      </c>
      <c r="M715" s="25">
        <f>MIN(0.16,MAX(0.05,NORMINV(RAND(),$C$8,$D$8)))</f>
        <v/>
      </c>
      <c r="N715" s="26">
        <f>MIN(24,MAX(5,NORMINV(RAND(),$C$9,$D$9)))</f>
        <v/>
      </c>
      <c r="O715" s="49">
        <f>$I$8*(SUMPRODUCT(($I$2*(1+K715)^{1;2;3;4;5;6;7;8;9;10})*(($I$3+(L715-$I$3)*{1;2;3;4;5;6;7;8;9;10}/10)*(1-$I$7)+$I$4-$I$4*($I$5+(1.05-$I$5)*{1;2;3;4;5;6;7;8;9;10}/10)-(K715/(1+K715))*$I$6)/(1+M715)^{1;2;3;4;5;6;7;8;9;10})+$I$2*(1+K715)^10*(L715+$I$4)*N715/(1+M715)^10+$I$9-$I$10)/$I$11</f>
        <v/>
      </c>
    </row>
    <row r="716">
      <c r="K716" s="25">
        <f>MAX(-0.05,NORMINV(RAND(),$C$6,$D$6))</f>
        <v/>
      </c>
      <c r="L716" s="25">
        <f>MAX(0.02,NORMINV(RAND(),$C$7,$D$7))</f>
        <v/>
      </c>
      <c r="M716" s="25">
        <f>MIN(0.16,MAX(0.05,NORMINV(RAND(),$C$8,$D$8)))</f>
        <v/>
      </c>
      <c r="N716" s="26">
        <f>MIN(24,MAX(5,NORMINV(RAND(),$C$9,$D$9)))</f>
        <v/>
      </c>
      <c r="O716" s="49">
        <f>$I$8*(SUMPRODUCT(($I$2*(1+K716)^{1;2;3;4;5;6;7;8;9;10})*(($I$3+(L716-$I$3)*{1;2;3;4;5;6;7;8;9;10}/10)*(1-$I$7)+$I$4-$I$4*($I$5+(1.05-$I$5)*{1;2;3;4;5;6;7;8;9;10}/10)-(K716/(1+K716))*$I$6)/(1+M716)^{1;2;3;4;5;6;7;8;9;10})+$I$2*(1+K716)^10*(L716+$I$4)*N716/(1+M716)^10+$I$9-$I$10)/$I$11</f>
        <v/>
      </c>
    </row>
    <row r="717">
      <c r="K717" s="25">
        <f>MAX(-0.05,NORMINV(RAND(),$C$6,$D$6))</f>
        <v/>
      </c>
      <c r="L717" s="25">
        <f>MAX(0.02,NORMINV(RAND(),$C$7,$D$7))</f>
        <v/>
      </c>
      <c r="M717" s="25">
        <f>MIN(0.16,MAX(0.05,NORMINV(RAND(),$C$8,$D$8)))</f>
        <v/>
      </c>
      <c r="N717" s="26">
        <f>MIN(24,MAX(5,NORMINV(RAND(),$C$9,$D$9)))</f>
        <v/>
      </c>
      <c r="O717" s="49">
        <f>$I$8*(SUMPRODUCT(($I$2*(1+K717)^{1;2;3;4;5;6;7;8;9;10})*(($I$3+(L717-$I$3)*{1;2;3;4;5;6;7;8;9;10}/10)*(1-$I$7)+$I$4-$I$4*($I$5+(1.05-$I$5)*{1;2;3;4;5;6;7;8;9;10}/10)-(K717/(1+K717))*$I$6)/(1+M717)^{1;2;3;4;5;6;7;8;9;10})+$I$2*(1+K717)^10*(L717+$I$4)*N717/(1+M717)^10+$I$9-$I$10)/$I$11</f>
        <v/>
      </c>
    </row>
    <row r="718">
      <c r="K718" s="25">
        <f>MAX(-0.05,NORMINV(RAND(),$C$6,$D$6))</f>
        <v/>
      </c>
      <c r="L718" s="25">
        <f>MAX(0.02,NORMINV(RAND(),$C$7,$D$7))</f>
        <v/>
      </c>
      <c r="M718" s="25">
        <f>MIN(0.16,MAX(0.05,NORMINV(RAND(),$C$8,$D$8)))</f>
        <v/>
      </c>
      <c r="N718" s="26">
        <f>MIN(24,MAX(5,NORMINV(RAND(),$C$9,$D$9)))</f>
        <v/>
      </c>
      <c r="O718" s="49">
        <f>$I$8*(SUMPRODUCT(($I$2*(1+K718)^{1;2;3;4;5;6;7;8;9;10})*(($I$3+(L718-$I$3)*{1;2;3;4;5;6;7;8;9;10}/10)*(1-$I$7)+$I$4-$I$4*($I$5+(1.05-$I$5)*{1;2;3;4;5;6;7;8;9;10}/10)-(K718/(1+K718))*$I$6)/(1+M718)^{1;2;3;4;5;6;7;8;9;10})+$I$2*(1+K718)^10*(L718+$I$4)*N718/(1+M718)^10+$I$9-$I$10)/$I$11</f>
        <v/>
      </c>
    </row>
    <row r="719">
      <c r="K719" s="25">
        <f>MAX(-0.05,NORMINV(RAND(),$C$6,$D$6))</f>
        <v/>
      </c>
      <c r="L719" s="25">
        <f>MAX(0.02,NORMINV(RAND(),$C$7,$D$7))</f>
        <v/>
      </c>
      <c r="M719" s="25">
        <f>MIN(0.16,MAX(0.05,NORMINV(RAND(),$C$8,$D$8)))</f>
        <v/>
      </c>
      <c r="N719" s="26">
        <f>MIN(24,MAX(5,NORMINV(RAND(),$C$9,$D$9)))</f>
        <v/>
      </c>
      <c r="O719" s="49">
        <f>$I$8*(SUMPRODUCT(($I$2*(1+K719)^{1;2;3;4;5;6;7;8;9;10})*(($I$3+(L719-$I$3)*{1;2;3;4;5;6;7;8;9;10}/10)*(1-$I$7)+$I$4-$I$4*($I$5+(1.05-$I$5)*{1;2;3;4;5;6;7;8;9;10}/10)-(K719/(1+K719))*$I$6)/(1+M719)^{1;2;3;4;5;6;7;8;9;10})+$I$2*(1+K719)^10*(L719+$I$4)*N719/(1+M719)^10+$I$9-$I$10)/$I$11</f>
        <v/>
      </c>
    </row>
    <row r="720">
      <c r="K720" s="25">
        <f>MAX(-0.05,NORMINV(RAND(),$C$6,$D$6))</f>
        <v/>
      </c>
      <c r="L720" s="25">
        <f>MAX(0.02,NORMINV(RAND(),$C$7,$D$7))</f>
        <v/>
      </c>
      <c r="M720" s="25">
        <f>MIN(0.16,MAX(0.05,NORMINV(RAND(),$C$8,$D$8)))</f>
        <v/>
      </c>
      <c r="N720" s="26">
        <f>MIN(24,MAX(5,NORMINV(RAND(),$C$9,$D$9)))</f>
        <v/>
      </c>
      <c r="O720" s="49">
        <f>$I$8*(SUMPRODUCT(($I$2*(1+K720)^{1;2;3;4;5;6;7;8;9;10})*(($I$3+(L720-$I$3)*{1;2;3;4;5;6;7;8;9;10}/10)*(1-$I$7)+$I$4-$I$4*($I$5+(1.05-$I$5)*{1;2;3;4;5;6;7;8;9;10}/10)-(K720/(1+K720))*$I$6)/(1+M720)^{1;2;3;4;5;6;7;8;9;10})+$I$2*(1+K720)^10*(L720+$I$4)*N720/(1+M720)^10+$I$9-$I$10)/$I$11</f>
        <v/>
      </c>
    </row>
    <row r="721">
      <c r="K721" s="25">
        <f>MAX(-0.05,NORMINV(RAND(),$C$6,$D$6))</f>
        <v/>
      </c>
      <c r="L721" s="25">
        <f>MAX(0.02,NORMINV(RAND(),$C$7,$D$7))</f>
        <v/>
      </c>
      <c r="M721" s="25">
        <f>MIN(0.16,MAX(0.05,NORMINV(RAND(),$C$8,$D$8)))</f>
        <v/>
      </c>
      <c r="N721" s="26">
        <f>MIN(24,MAX(5,NORMINV(RAND(),$C$9,$D$9)))</f>
        <v/>
      </c>
      <c r="O721" s="49">
        <f>$I$8*(SUMPRODUCT(($I$2*(1+K721)^{1;2;3;4;5;6;7;8;9;10})*(($I$3+(L721-$I$3)*{1;2;3;4;5;6;7;8;9;10}/10)*(1-$I$7)+$I$4-$I$4*($I$5+(1.05-$I$5)*{1;2;3;4;5;6;7;8;9;10}/10)-(K721/(1+K721))*$I$6)/(1+M721)^{1;2;3;4;5;6;7;8;9;10})+$I$2*(1+K721)^10*(L721+$I$4)*N721/(1+M721)^10+$I$9-$I$10)/$I$11</f>
        <v/>
      </c>
    </row>
    <row r="722">
      <c r="K722" s="25">
        <f>MAX(-0.05,NORMINV(RAND(),$C$6,$D$6))</f>
        <v/>
      </c>
      <c r="L722" s="25">
        <f>MAX(0.02,NORMINV(RAND(),$C$7,$D$7))</f>
        <v/>
      </c>
      <c r="M722" s="25">
        <f>MIN(0.16,MAX(0.05,NORMINV(RAND(),$C$8,$D$8)))</f>
        <v/>
      </c>
      <c r="N722" s="26">
        <f>MIN(24,MAX(5,NORMINV(RAND(),$C$9,$D$9)))</f>
        <v/>
      </c>
      <c r="O722" s="49">
        <f>$I$8*(SUMPRODUCT(($I$2*(1+K722)^{1;2;3;4;5;6;7;8;9;10})*(($I$3+(L722-$I$3)*{1;2;3;4;5;6;7;8;9;10}/10)*(1-$I$7)+$I$4-$I$4*($I$5+(1.05-$I$5)*{1;2;3;4;5;6;7;8;9;10}/10)-(K722/(1+K722))*$I$6)/(1+M722)^{1;2;3;4;5;6;7;8;9;10})+$I$2*(1+K722)^10*(L722+$I$4)*N722/(1+M722)^10+$I$9-$I$10)/$I$11</f>
        <v/>
      </c>
    </row>
    <row r="723">
      <c r="K723" s="25">
        <f>MAX(-0.05,NORMINV(RAND(),$C$6,$D$6))</f>
        <v/>
      </c>
      <c r="L723" s="25">
        <f>MAX(0.02,NORMINV(RAND(),$C$7,$D$7))</f>
        <v/>
      </c>
      <c r="M723" s="25">
        <f>MIN(0.16,MAX(0.05,NORMINV(RAND(),$C$8,$D$8)))</f>
        <v/>
      </c>
      <c r="N723" s="26">
        <f>MIN(24,MAX(5,NORMINV(RAND(),$C$9,$D$9)))</f>
        <v/>
      </c>
      <c r="O723" s="49">
        <f>$I$8*(SUMPRODUCT(($I$2*(1+K723)^{1;2;3;4;5;6;7;8;9;10})*(($I$3+(L723-$I$3)*{1;2;3;4;5;6;7;8;9;10}/10)*(1-$I$7)+$I$4-$I$4*($I$5+(1.05-$I$5)*{1;2;3;4;5;6;7;8;9;10}/10)-(K723/(1+K723))*$I$6)/(1+M723)^{1;2;3;4;5;6;7;8;9;10})+$I$2*(1+K723)^10*(L723+$I$4)*N723/(1+M723)^10+$I$9-$I$10)/$I$11</f>
        <v/>
      </c>
    </row>
    <row r="724">
      <c r="K724" s="25">
        <f>MAX(-0.05,NORMINV(RAND(),$C$6,$D$6))</f>
        <v/>
      </c>
      <c r="L724" s="25">
        <f>MAX(0.02,NORMINV(RAND(),$C$7,$D$7))</f>
        <v/>
      </c>
      <c r="M724" s="25">
        <f>MIN(0.16,MAX(0.05,NORMINV(RAND(),$C$8,$D$8)))</f>
        <v/>
      </c>
      <c r="N724" s="26">
        <f>MIN(24,MAX(5,NORMINV(RAND(),$C$9,$D$9)))</f>
        <v/>
      </c>
      <c r="O724" s="49">
        <f>$I$8*(SUMPRODUCT(($I$2*(1+K724)^{1;2;3;4;5;6;7;8;9;10})*(($I$3+(L724-$I$3)*{1;2;3;4;5;6;7;8;9;10}/10)*(1-$I$7)+$I$4-$I$4*($I$5+(1.05-$I$5)*{1;2;3;4;5;6;7;8;9;10}/10)-(K724/(1+K724))*$I$6)/(1+M724)^{1;2;3;4;5;6;7;8;9;10})+$I$2*(1+K724)^10*(L724+$I$4)*N724/(1+M724)^10+$I$9-$I$10)/$I$11</f>
        <v/>
      </c>
    </row>
    <row r="725">
      <c r="K725" s="25">
        <f>MAX(-0.05,NORMINV(RAND(),$C$6,$D$6))</f>
        <v/>
      </c>
      <c r="L725" s="25">
        <f>MAX(0.02,NORMINV(RAND(),$C$7,$D$7))</f>
        <v/>
      </c>
      <c r="M725" s="25">
        <f>MIN(0.16,MAX(0.05,NORMINV(RAND(),$C$8,$D$8)))</f>
        <v/>
      </c>
      <c r="N725" s="26">
        <f>MIN(24,MAX(5,NORMINV(RAND(),$C$9,$D$9)))</f>
        <v/>
      </c>
      <c r="O725" s="49">
        <f>$I$8*(SUMPRODUCT(($I$2*(1+K725)^{1;2;3;4;5;6;7;8;9;10})*(($I$3+(L725-$I$3)*{1;2;3;4;5;6;7;8;9;10}/10)*(1-$I$7)+$I$4-$I$4*($I$5+(1.05-$I$5)*{1;2;3;4;5;6;7;8;9;10}/10)-(K725/(1+K725))*$I$6)/(1+M725)^{1;2;3;4;5;6;7;8;9;10})+$I$2*(1+K725)^10*(L725+$I$4)*N725/(1+M725)^10+$I$9-$I$10)/$I$11</f>
        <v/>
      </c>
    </row>
    <row r="726">
      <c r="K726" s="25">
        <f>MAX(-0.05,NORMINV(RAND(),$C$6,$D$6))</f>
        <v/>
      </c>
      <c r="L726" s="25">
        <f>MAX(0.02,NORMINV(RAND(),$C$7,$D$7))</f>
        <v/>
      </c>
      <c r="M726" s="25">
        <f>MIN(0.16,MAX(0.05,NORMINV(RAND(),$C$8,$D$8)))</f>
        <v/>
      </c>
      <c r="N726" s="26">
        <f>MIN(24,MAX(5,NORMINV(RAND(),$C$9,$D$9)))</f>
        <v/>
      </c>
      <c r="O726" s="49">
        <f>$I$8*(SUMPRODUCT(($I$2*(1+K726)^{1;2;3;4;5;6;7;8;9;10})*(($I$3+(L726-$I$3)*{1;2;3;4;5;6;7;8;9;10}/10)*(1-$I$7)+$I$4-$I$4*($I$5+(1.05-$I$5)*{1;2;3;4;5;6;7;8;9;10}/10)-(K726/(1+K726))*$I$6)/(1+M726)^{1;2;3;4;5;6;7;8;9;10})+$I$2*(1+K726)^10*(L726+$I$4)*N726/(1+M726)^10+$I$9-$I$10)/$I$11</f>
        <v/>
      </c>
    </row>
    <row r="727">
      <c r="K727" s="25">
        <f>MAX(-0.05,NORMINV(RAND(),$C$6,$D$6))</f>
        <v/>
      </c>
      <c r="L727" s="25">
        <f>MAX(0.02,NORMINV(RAND(),$C$7,$D$7))</f>
        <v/>
      </c>
      <c r="M727" s="25">
        <f>MIN(0.16,MAX(0.05,NORMINV(RAND(),$C$8,$D$8)))</f>
        <v/>
      </c>
      <c r="N727" s="26">
        <f>MIN(24,MAX(5,NORMINV(RAND(),$C$9,$D$9)))</f>
        <v/>
      </c>
      <c r="O727" s="49">
        <f>$I$8*(SUMPRODUCT(($I$2*(1+K727)^{1;2;3;4;5;6;7;8;9;10})*(($I$3+(L727-$I$3)*{1;2;3;4;5;6;7;8;9;10}/10)*(1-$I$7)+$I$4-$I$4*($I$5+(1.05-$I$5)*{1;2;3;4;5;6;7;8;9;10}/10)-(K727/(1+K727))*$I$6)/(1+M727)^{1;2;3;4;5;6;7;8;9;10})+$I$2*(1+K727)^10*(L727+$I$4)*N727/(1+M727)^10+$I$9-$I$10)/$I$11</f>
        <v/>
      </c>
    </row>
    <row r="728">
      <c r="K728" s="25">
        <f>MAX(-0.05,NORMINV(RAND(),$C$6,$D$6))</f>
        <v/>
      </c>
      <c r="L728" s="25">
        <f>MAX(0.02,NORMINV(RAND(),$C$7,$D$7))</f>
        <v/>
      </c>
      <c r="M728" s="25">
        <f>MIN(0.16,MAX(0.05,NORMINV(RAND(),$C$8,$D$8)))</f>
        <v/>
      </c>
      <c r="N728" s="26">
        <f>MIN(24,MAX(5,NORMINV(RAND(),$C$9,$D$9)))</f>
        <v/>
      </c>
      <c r="O728" s="49">
        <f>$I$8*(SUMPRODUCT(($I$2*(1+K728)^{1;2;3;4;5;6;7;8;9;10})*(($I$3+(L728-$I$3)*{1;2;3;4;5;6;7;8;9;10}/10)*(1-$I$7)+$I$4-$I$4*($I$5+(1.05-$I$5)*{1;2;3;4;5;6;7;8;9;10}/10)-(K728/(1+K728))*$I$6)/(1+M728)^{1;2;3;4;5;6;7;8;9;10})+$I$2*(1+K728)^10*(L728+$I$4)*N728/(1+M728)^10+$I$9-$I$10)/$I$11</f>
        <v/>
      </c>
    </row>
    <row r="729">
      <c r="K729" s="25">
        <f>MAX(-0.05,NORMINV(RAND(),$C$6,$D$6))</f>
        <v/>
      </c>
      <c r="L729" s="25">
        <f>MAX(0.02,NORMINV(RAND(),$C$7,$D$7))</f>
        <v/>
      </c>
      <c r="M729" s="25">
        <f>MIN(0.16,MAX(0.05,NORMINV(RAND(),$C$8,$D$8)))</f>
        <v/>
      </c>
      <c r="N729" s="26">
        <f>MIN(24,MAX(5,NORMINV(RAND(),$C$9,$D$9)))</f>
        <v/>
      </c>
      <c r="O729" s="49">
        <f>$I$8*(SUMPRODUCT(($I$2*(1+K729)^{1;2;3;4;5;6;7;8;9;10})*(($I$3+(L729-$I$3)*{1;2;3;4;5;6;7;8;9;10}/10)*(1-$I$7)+$I$4-$I$4*($I$5+(1.05-$I$5)*{1;2;3;4;5;6;7;8;9;10}/10)-(K729/(1+K729))*$I$6)/(1+M729)^{1;2;3;4;5;6;7;8;9;10})+$I$2*(1+K729)^10*(L729+$I$4)*N729/(1+M729)^10+$I$9-$I$10)/$I$11</f>
        <v/>
      </c>
    </row>
    <row r="730">
      <c r="K730" s="25">
        <f>MAX(-0.05,NORMINV(RAND(),$C$6,$D$6))</f>
        <v/>
      </c>
      <c r="L730" s="25">
        <f>MAX(0.02,NORMINV(RAND(),$C$7,$D$7))</f>
        <v/>
      </c>
      <c r="M730" s="25">
        <f>MIN(0.16,MAX(0.05,NORMINV(RAND(),$C$8,$D$8)))</f>
        <v/>
      </c>
      <c r="N730" s="26">
        <f>MIN(24,MAX(5,NORMINV(RAND(),$C$9,$D$9)))</f>
        <v/>
      </c>
      <c r="O730" s="49">
        <f>$I$8*(SUMPRODUCT(($I$2*(1+K730)^{1;2;3;4;5;6;7;8;9;10})*(($I$3+(L730-$I$3)*{1;2;3;4;5;6;7;8;9;10}/10)*(1-$I$7)+$I$4-$I$4*($I$5+(1.05-$I$5)*{1;2;3;4;5;6;7;8;9;10}/10)-(K730/(1+K730))*$I$6)/(1+M730)^{1;2;3;4;5;6;7;8;9;10})+$I$2*(1+K730)^10*(L730+$I$4)*N730/(1+M730)^10+$I$9-$I$10)/$I$11</f>
        <v/>
      </c>
    </row>
    <row r="731">
      <c r="K731" s="25">
        <f>MAX(-0.05,NORMINV(RAND(),$C$6,$D$6))</f>
        <v/>
      </c>
      <c r="L731" s="25">
        <f>MAX(0.02,NORMINV(RAND(),$C$7,$D$7))</f>
        <v/>
      </c>
      <c r="M731" s="25">
        <f>MIN(0.16,MAX(0.05,NORMINV(RAND(),$C$8,$D$8)))</f>
        <v/>
      </c>
      <c r="N731" s="26">
        <f>MIN(24,MAX(5,NORMINV(RAND(),$C$9,$D$9)))</f>
        <v/>
      </c>
      <c r="O731" s="49">
        <f>$I$8*(SUMPRODUCT(($I$2*(1+K731)^{1;2;3;4;5;6;7;8;9;10})*(($I$3+(L731-$I$3)*{1;2;3;4;5;6;7;8;9;10}/10)*(1-$I$7)+$I$4-$I$4*($I$5+(1.05-$I$5)*{1;2;3;4;5;6;7;8;9;10}/10)-(K731/(1+K731))*$I$6)/(1+M731)^{1;2;3;4;5;6;7;8;9;10})+$I$2*(1+K731)^10*(L731+$I$4)*N731/(1+M731)^10+$I$9-$I$10)/$I$11</f>
        <v/>
      </c>
    </row>
    <row r="732">
      <c r="K732" s="25">
        <f>MAX(-0.05,NORMINV(RAND(),$C$6,$D$6))</f>
        <v/>
      </c>
      <c r="L732" s="25">
        <f>MAX(0.02,NORMINV(RAND(),$C$7,$D$7))</f>
        <v/>
      </c>
      <c r="M732" s="25">
        <f>MIN(0.16,MAX(0.05,NORMINV(RAND(),$C$8,$D$8)))</f>
        <v/>
      </c>
      <c r="N732" s="26">
        <f>MIN(24,MAX(5,NORMINV(RAND(),$C$9,$D$9)))</f>
        <v/>
      </c>
      <c r="O732" s="49">
        <f>$I$8*(SUMPRODUCT(($I$2*(1+K732)^{1;2;3;4;5;6;7;8;9;10})*(($I$3+(L732-$I$3)*{1;2;3;4;5;6;7;8;9;10}/10)*(1-$I$7)+$I$4-$I$4*($I$5+(1.05-$I$5)*{1;2;3;4;5;6;7;8;9;10}/10)-(K732/(1+K732))*$I$6)/(1+M732)^{1;2;3;4;5;6;7;8;9;10})+$I$2*(1+K732)^10*(L732+$I$4)*N732/(1+M732)^10+$I$9-$I$10)/$I$11</f>
        <v/>
      </c>
    </row>
    <row r="733">
      <c r="K733" s="25">
        <f>MAX(-0.05,NORMINV(RAND(),$C$6,$D$6))</f>
        <v/>
      </c>
      <c r="L733" s="25">
        <f>MAX(0.02,NORMINV(RAND(),$C$7,$D$7))</f>
        <v/>
      </c>
      <c r="M733" s="25">
        <f>MIN(0.16,MAX(0.05,NORMINV(RAND(),$C$8,$D$8)))</f>
        <v/>
      </c>
      <c r="N733" s="26">
        <f>MIN(24,MAX(5,NORMINV(RAND(),$C$9,$D$9)))</f>
        <v/>
      </c>
      <c r="O733" s="49">
        <f>$I$8*(SUMPRODUCT(($I$2*(1+K733)^{1;2;3;4;5;6;7;8;9;10})*(($I$3+(L733-$I$3)*{1;2;3;4;5;6;7;8;9;10}/10)*(1-$I$7)+$I$4-$I$4*($I$5+(1.05-$I$5)*{1;2;3;4;5;6;7;8;9;10}/10)-(K733/(1+K733))*$I$6)/(1+M733)^{1;2;3;4;5;6;7;8;9;10})+$I$2*(1+K733)^10*(L733+$I$4)*N733/(1+M733)^10+$I$9-$I$10)/$I$11</f>
        <v/>
      </c>
    </row>
    <row r="734">
      <c r="K734" s="25">
        <f>MAX(-0.05,NORMINV(RAND(),$C$6,$D$6))</f>
        <v/>
      </c>
      <c r="L734" s="25">
        <f>MAX(0.02,NORMINV(RAND(),$C$7,$D$7))</f>
        <v/>
      </c>
      <c r="M734" s="25">
        <f>MIN(0.16,MAX(0.05,NORMINV(RAND(),$C$8,$D$8)))</f>
        <v/>
      </c>
      <c r="N734" s="26">
        <f>MIN(24,MAX(5,NORMINV(RAND(),$C$9,$D$9)))</f>
        <v/>
      </c>
      <c r="O734" s="49">
        <f>$I$8*(SUMPRODUCT(($I$2*(1+K734)^{1;2;3;4;5;6;7;8;9;10})*(($I$3+(L734-$I$3)*{1;2;3;4;5;6;7;8;9;10}/10)*(1-$I$7)+$I$4-$I$4*($I$5+(1.05-$I$5)*{1;2;3;4;5;6;7;8;9;10}/10)-(K734/(1+K734))*$I$6)/(1+M734)^{1;2;3;4;5;6;7;8;9;10})+$I$2*(1+K734)^10*(L734+$I$4)*N734/(1+M734)^10+$I$9-$I$10)/$I$11</f>
        <v/>
      </c>
    </row>
    <row r="735">
      <c r="K735" s="25">
        <f>MAX(-0.05,NORMINV(RAND(),$C$6,$D$6))</f>
        <v/>
      </c>
      <c r="L735" s="25">
        <f>MAX(0.02,NORMINV(RAND(),$C$7,$D$7))</f>
        <v/>
      </c>
      <c r="M735" s="25">
        <f>MIN(0.16,MAX(0.05,NORMINV(RAND(),$C$8,$D$8)))</f>
        <v/>
      </c>
      <c r="N735" s="26">
        <f>MIN(24,MAX(5,NORMINV(RAND(),$C$9,$D$9)))</f>
        <v/>
      </c>
      <c r="O735" s="49">
        <f>$I$8*(SUMPRODUCT(($I$2*(1+K735)^{1;2;3;4;5;6;7;8;9;10})*(($I$3+(L735-$I$3)*{1;2;3;4;5;6;7;8;9;10}/10)*(1-$I$7)+$I$4-$I$4*($I$5+(1.05-$I$5)*{1;2;3;4;5;6;7;8;9;10}/10)-(K735/(1+K735))*$I$6)/(1+M735)^{1;2;3;4;5;6;7;8;9;10})+$I$2*(1+K735)^10*(L735+$I$4)*N735/(1+M735)^10+$I$9-$I$10)/$I$11</f>
        <v/>
      </c>
    </row>
    <row r="736">
      <c r="K736" s="25">
        <f>MAX(-0.05,NORMINV(RAND(),$C$6,$D$6))</f>
        <v/>
      </c>
      <c r="L736" s="25">
        <f>MAX(0.02,NORMINV(RAND(),$C$7,$D$7))</f>
        <v/>
      </c>
      <c r="M736" s="25">
        <f>MIN(0.16,MAX(0.05,NORMINV(RAND(),$C$8,$D$8)))</f>
        <v/>
      </c>
      <c r="N736" s="26">
        <f>MIN(24,MAX(5,NORMINV(RAND(),$C$9,$D$9)))</f>
        <v/>
      </c>
      <c r="O736" s="49">
        <f>$I$8*(SUMPRODUCT(($I$2*(1+K736)^{1;2;3;4;5;6;7;8;9;10})*(($I$3+(L736-$I$3)*{1;2;3;4;5;6;7;8;9;10}/10)*(1-$I$7)+$I$4-$I$4*($I$5+(1.05-$I$5)*{1;2;3;4;5;6;7;8;9;10}/10)-(K736/(1+K736))*$I$6)/(1+M736)^{1;2;3;4;5;6;7;8;9;10})+$I$2*(1+K736)^10*(L736+$I$4)*N736/(1+M736)^10+$I$9-$I$10)/$I$11</f>
        <v/>
      </c>
    </row>
    <row r="737">
      <c r="K737" s="25">
        <f>MAX(-0.05,NORMINV(RAND(),$C$6,$D$6))</f>
        <v/>
      </c>
      <c r="L737" s="25">
        <f>MAX(0.02,NORMINV(RAND(),$C$7,$D$7))</f>
        <v/>
      </c>
      <c r="M737" s="25">
        <f>MIN(0.16,MAX(0.05,NORMINV(RAND(),$C$8,$D$8)))</f>
        <v/>
      </c>
      <c r="N737" s="26">
        <f>MIN(24,MAX(5,NORMINV(RAND(),$C$9,$D$9)))</f>
        <v/>
      </c>
      <c r="O737" s="49">
        <f>$I$8*(SUMPRODUCT(($I$2*(1+K737)^{1;2;3;4;5;6;7;8;9;10})*(($I$3+(L737-$I$3)*{1;2;3;4;5;6;7;8;9;10}/10)*(1-$I$7)+$I$4-$I$4*($I$5+(1.05-$I$5)*{1;2;3;4;5;6;7;8;9;10}/10)-(K737/(1+K737))*$I$6)/(1+M737)^{1;2;3;4;5;6;7;8;9;10})+$I$2*(1+K737)^10*(L737+$I$4)*N737/(1+M737)^10+$I$9-$I$10)/$I$11</f>
        <v/>
      </c>
    </row>
    <row r="738">
      <c r="K738" s="25">
        <f>MAX(-0.05,NORMINV(RAND(),$C$6,$D$6))</f>
        <v/>
      </c>
      <c r="L738" s="25">
        <f>MAX(0.02,NORMINV(RAND(),$C$7,$D$7))</f>
        <v/>
      </c>
      <c r="M738" s="25">
        <f>MIN(0.16,MAX(0.05,NORMINV(RAND(),$C$8,$D$8)))</f>
        <v/>
      </c>
      <c r="N738" s="26">
        <f>MIN(24,MAX(5,NORMINV(RAND(),$C$9,$D$9)))</f>
        <v/>
      </c>
      <c r="O738" s="49">
        <f>$I$8*(SUMPRODUCT(($I$2*(1+K738)^{1;2;3;4;5;6;7;8;9;10})*(($I$3+(L738-$I$3)*{1;2;3;4;5;6;7;8;9;10}/10)*(1-$I$7)+$I$4-$I$4*($I$5+(1.05-$I$5)*{1;2;3;4;5;6;7;8;9;10}/10)-(K738/(1+K738))*$I$6)/(1+M738)^{1;2;3;4;5;6;7;8;9;10})+$I$2*(1+K738)^10*(L738+$I$4)*N738/(1+M738)^10+$I$9-$I$10)/$I$11</f>
        <v/>
      </c>
    </row>
    <row r="739">
      <c r="K739" s="25">
        <f>MAX(-0.05,NORMINV(RAND(),$C$6,$D$6))</f>
        <v/>
      </c>
      <c r="L739" s="25">
        <f>MAX(0.02,NORMINV(RAND(),$C$7,$D$7))</f>
        <v/>
      </c>
      <c r="M739" s="25">
        <f>MIN(0.16,MAX(0.05,NORMINV(RAND(),$C$8,$D$8)))</f>
        <v/>
      </c>
      <c r="N739" s="26">
        <f>MIN(24,MAX(5,NORMINV(RAND(),$C$9,$D$9)))</f>
        <v/>
      </c>
      <c r="O739" s="49">
        <f>$I$8*(SUMPRODUCT(($I$2*(1+K739)^{1;2;3;4;5;6;7;8;9;10})*(($I$3+(L739-$I$3)*{1;2;3;4;5;6;7;8;9;10}/10)*(1-$I$7)+$I$4-$I$4*($I$5+(1.05-$I$5)*{1;2;3;4;5;6;7;8;9;10}/10)-(K739/(1+K739))*$I$6)/(1+M739)^{1;2;3;4;5;6;7;8;9;10})+$I$2*(1+K739)^10*(L739+$I$4)*N739/(1+M739)^10+$I$9-$I$10)/$I$11</f>
        <v/>
      </c>
    </row>
    <row r="740">
      <c r="K740" s="25">
        <f>MAX(-0.05,NORMINV(RAND(),$C$6,$D$6))</f>
        <v/>
      </c>
      <c r="L740" s="25">
        <f>MAX(0.02,NORMINV(RAND(),$C$7,$D$7))</f>
        <v/>
      </c>
      <c r="M740" s="25">
        <f>MIN(0.16,MAX(0.05,NORMINV(RAND(),$C$8,$D$8)))</f>
        <v/>
      </c>
      <c r="N740" s="26">
        <f>MIN(24,MAX(5,NORMINV(RAND(),$C$9,$D$9)))</f>
        <v/>
      </c>
      <c r="O740" s="49">
        <f>$I$8*(SUMPRODUCT(($I$2*(1+K740)^{1;2;3;4;5;6;7;8;9;10})*(($I$3+(L740-$I$3)*{1;2;3;4;5;6;7;8;9;10}/10)*(1-$I$7)+$I$4-$I$4*($I$5+(1.05-$I$5)*{1;2;3;4;5;6;7;8;9;10}/10)-(K740/(1+K740))*$I$6)/(1+M740)^{1;2;3;4;5;6;7;8;9;10})+$I$2*(1+K740)^10*(L740+$I$4)*N740/(1+M740)^10+$I$9-$I$10)/$I$11</f>
        <v/>
      </c>
    </row>
    <row r="741">
      <c r="K741" s="25">
        <f>MAX(-0.05,NORMINV(RAND(),$C$6,$D$6))</f>
        <v/>
      </c>
      <c r="L741" s="25">
        <f>MAX(0.02,NORMINV(RAND(),$C$7,$D$7))</f>
        <v/>
      </c>
      <c r="M741" s="25">
        <f>MIN(0.16,MAX(0.05,NORMINV(RAND(),$C$8,$D$8)))</f>
        <v/>
      </c>
      <c r="N741" s="26">
        <f>MIN(24,MAX(5,NORMINV(RAND(),$C$9,$D$9)))</f>
        <v/>
      </c>
      <c r="O741" s="49">
        <f>$I$8*(SUMPRODUCT(($I$2*(1+K741)^{1;2;3;4;5;6;7;8;9;10})*(($I$3+(L741-$I$3)*{1;2;3;4;5;6;7;8;9;10}/10)*(1-$I$7)+$I$4-$I$4*($I$5+(1.05-$I$5)*{1;2;3;4;5;6;7;8;9;10}/10)-(K741/(1+K741))*$I$6)/(1+M741)^{1;2;3;4;5;6;7;8;9;10})+$I$2*(1+K741)^10*(L741+$I$4)*N741/(1+M741)^10+$I$9-$I$10)/$I$11</f>
        <v/>
      </c>
    </row>
    <row r="742">
      <c r="K742" s="25">
        <f>MAX(-0.05,NORMINV(RAND(),$C$6,$D$6))</f>
        <v/>
      </c>
      <c r="L742" s="25">
        <f>MAX(0.02,NORMINV(RAND(),$C$7,$D$7))</f>
        <v/>
      </c>
      <c r="M742" s="25">
        <f>MIN(0.16,MAX(0.05,NORMINV(RAND(),$C$8,$D$8)))</f>
        <v/>
      </c>
      <c r="N742" s="26">
        <f>MIN(24,MAX(5,NORMINV(RAND(),$C$9,$D$9)))</f>
        <v/>
      </c>
      <c r="O742" s="49">
        <f>$I$8*(SUMPRODUCT(($I$2*(1+K742)^{1;2;3;4;5;6;7;8;9;10})*(($I$3+(L742-$I$3)*{1;2;3;4;5;6;7;8;9;10}/10)*(1-$I$7)+$I$4-$I$4*($I$5+(1.05-$I$5)*{1;2;3;4;5;6;7;8;9;10}/10)-(K742/(1+K742))*$I$6)/(1+M742)^{1;2;3;4;5;6;7;8;9;10})+$I$2*(1+K742)^10*(L742+$I$4)*N742/(1+M742)^10+$I$9-$I$10)/$I$11</f>
        <v/>
      </c>
    </row>
    <row r="743">
      <c r="K743" s="25">
        <f>MAX(-0.05,NORMINV(RAND(),$C$6,$D$6))</f>
        <v/>
      </c>
      <c r="L743" s="25">
        <f>MAX(0.02,NORMINV(RAND(),$C$7,$D$7))</f>
        <v/>
      </c>
      <c r="M743" s="25">
        <f>MIN(0.16,MAX(0.05,NORMINV(RAND(),$C$8,$D$8)))</f>
        <v/>
      </c>
      <c r="N743" s="26">
        <f>MIN(24,MAX(5,NORMINV(RAND(),$C$9,$D$9)))</f>
        <v/>
      </c>
      <c r="O743" s="49">
        <f>$I$8*(SUMPRODUCT(($I$2*(1+K743)^{1;2;3;4;5;6;7;8;9;10})*(($I$3+(L743-$I$3)*{1;2;3;4;5;6;7;8;9;10}/10)*(1-$I$7)+$I$4-$I$4*($I$5+(1.05-$I$5)*{1;2;3;4;5;6;7;8;9;10}/10)-(K743/(1+K743))*$I$6)/(1+M743)^{1;2;3;4;5;6;7;8;9;10})+$I$2*(1+K743)^10*(L743+$I$4)*N743/(1+M743)^10+$I$9-$I$10)/$I$11</f>
        <v/>
      </c>
    </row>
    <row r="744">
      <c r="K744" s="25">
        <f>MAX(-0.05,NORMINV(RAND(),$C$6,$D$6))</f>
        <v/>
      </c>
      <c r="L744" s="25">
        <f>MAX(0.02,NORMINV(RAND(),$C$7,$D$7))</f>
        <v/>
      </c>
      <c r="M744" s="25">
        <f>MIN(0.16,MAX(0.05,NORMINV(RAND(),$C$8,$D$8)))</f>
        <v/>
      </c>
      <c r="N744" s="26">
        <f>MIN(24,MAX(5,NORMINV(RAND(),$C$9,$D$9)))</f>
        <v/>
      </c>
      <c r="O744" s="49">
        <f>$I$8*(SUMPRODUCT(($I$2*(1+K744)^{1;2;3;4;5;6;7;8;9;10})*(($I$3+(L744-$I$3)*{1;2;3;4;5;6;7;8;9;10}/10)*(1-$I$7)+$I$4-$I$4*($I$5+(1.05-$I$5)*{1;2;3;4;5;6;7;8;9;10}/10)-(K744/(1+K744))*$I$6)/(1+M744)^{1;2;3;4;5;6;7;8;9;10})+$I$2*(1+K744)^10*(L744+$I$4)*N744/(1+M744)^10+$I$9-$I$10)/$I$11</f>
        <v/>
      </c>
    </row>
    <row r="745">
      <c r="K745" s="25">
        <f>MAX(-0.05,NORMINV(RAND(),$C$6,$D$6))</f>
        <v/>
      </c>
      <c r="L745" s="25">
        <f>MAX(0.02,NORMINV(RAND(),$C$7,$D$7))</f>
        <v/>
      </c>
      <c r="M745" s="25">
        <f>MIN(0.16,MAX(0.05,NORMINV(RAND(),$C$8,$D$8)))</f>
        <v/>
      </c>
      <c r="N745" s="26">
        <f>MIN(24,MAX(5,NORMINV(RAND(),$C$9,$D$9)))</f>
        <v/>
      </c>
      <c r="O745" s="49">
        <f>$I$8*(SUMPRODUCT(($I$2*(1+K745)^{1;2;3;4;5;6;7;8;9;10})*(($I$3+(L745-$I$3)*{1;2;3;4;5;6;7;8;9;10}/10)*(1-$I$7)+$I$4-$I$4*($I$5+(1.05-$I$5)*{1;2;3;4;5;6;7;8;9;10}/10)-(K745/(1+K745))*$I$6)/(1+M745)^{1;2;3;4;5;6;7;8;9;10})+$I$2*(1+K745)^10*(L745+$I$4)*N745/(1+M745)^10+$I$9-$I$10)/$I$11</f>
        <v/>
      </c>
    </row>
    <row r="746">
      <c r="K746" s="25">
        <f>MAX(-0.05,NORMINV(RAND(),$C$6,$D$6))</f>
        <v/>
      </c>
      <c r="L746" s="25">
        <f>MAX(0.02,NORMINV(RAND(),$C$7,$D$7))</f>
        <v/>
      </c>
      <c r="M746" s="25">
        <f>MIN(0.16,MAX(0.05,NORMINV(RAND(),$C$8,$D$8)))</f>
        <v/>
      </c>
      <c r="N746" s="26">
        <f>MIN(24,MAX(5,NORMINV(RAND(),$C$9,$D$9)))</f>
        <v/>
      </c>
      <c r="O746" s="49">
        <f>$I$8*(SUMPRODUCT(($I$2*(1+K746)^{1;2;3;4;5;6;7;8;9;10})*(($I$3+(L746-$I$3)*{1;2;3;4;5;6;7;8;9;10}/10)*(1-$I$7)+$I$4-$I$4*($I$5+(1.05-$I$5)*{1;2;3;4;5;6;7;8;9;10}/10)-(K746/(1+K746))*$I$6)/(1+M746)^{1;2;3;4;5;6;7;8;9;10})+$I$2*(1+K746)^10*(L746+$I$4)*N746/(1+M746)^10+$I$9-$I$10)/$I$11</f>
        <v/>
      </c>
    </row>
    <row r="747">
      <c r="K747" s="25">
        <f>MAX(-0.05,NORMINV(RAND(),$C$6,$D$6))</f>
        <v/>
      </c>
      <c r="L747" s="25">
        <f>MAX(0.02,NORMINV(RAND(),$C$7,$D$7))</f>
        <v/>
      </c>
      <c r="M747" s="25">
        <f>MIN(0.16,MAX(0.05,NORMINV(RAND(),$C$8,$D$8)))</f>
        <v/>
      </c>
      <c r="N747" s="26">
        <f>MIN(24,MAX(5,NORMINV(RAND(),$C$9,$D$9)))</f>
        <v/>
      </c>
      <c r="O747" s="49">
        <f>$I$8*(SUMPRODUCT(($I$2*(1+K747)^{1;2;3;4;5;6;7;8;9;10})*(($I$3+(L747-$I$3)*{1;2;3;4;5;6;7;8;9;10}/10)*(1-$I$7)+$I$4-$I$4*($I$5+(1.05-$I$5)*{1;2;3;4;5;6;7;8;9;10}/10)-(K747/(1+K747))*$I$6)/(1+M747)^{1;2;3;4;5;6;7;8;9;10})+$I$2*(1+K747)^10*(L747+$I$4)*N747/(1+M747)^10+$I$9-$I$10)/$I$11</f>
        <v/>
      </c>
    </row>
    <row r="748">
      <c r="K748" s="25">
        <f>MAX(-0.05,NORMINV(RAND(),$C$6,$D$6))</f>
        <v/>
      </c>
      <c r="L748" s="25">
        <f>MAX(0.02,NORMINV(RAND(),$C$7,$D$7))</f>
        <v/>
      </c>
      <c r="M748" s="25">
        <f>MIN(0.16,MAX(0.05,NORMINV(RAND(),$C$8,$D$8)))</f>
        <v/>
      </c>
      <c r="N748" s="26">
        <f>MIN(24,MAX(5,NORMINV(RAND(),$C$9,$D$9)))</f>
        <v/>
      </c>
      <c r="O748" s="49">
        <f>$I$8*(SUMPRODUCT(($I$2*(1+K748)^{1;2;3;4;5;6;7;8;9;10})*(($I$3+(L748-$I$3)*{1;2;3;4;5;6;7;8;9;10}/10)*(1-$I$7)+$I$4-$I$4*($I$5+(1.05-$I$5)*{1;2;3;4;5;6;7;8;9;10}/10)-(K748/(1+K748))*$I$6)/(1+M748)^{1;2;3;4;5;6;7;8;9;10})+$I$2*(1+K748)^10*(L748+$I$4)*N748/(1+M748)^10+$I$9-$I$10)/$I$11</f>
        <v/>
      </c>
    </row>
    <row r="749">
      <c r="K749" s="25">
        <f>MAX(-0.05,NORMINV(RAND(),$C$6,$D$6))</f>
        <v/>
      </c>
      <c r="L749" s="25">
        <f>MAX(0.02,NORMINV(RAND(),$C$7,$D$7))</f>
        <v/>
      </c>
      <c r="M749" s="25">
        <f>MIN(0.16,MAX(0.05,NORMINV(RAND(),$C$8,$D$8)))</f>
        <v/>
      </c>
      <c r="N749" s="26">
        <f>MIN(24,MAX(5,NORMINV(RAND(),$C$9,$D$9)))</f>
        <v/>
      </c>
      <c r="O749" s="49">
        <f>$I$8*(SUMPRODUCT(($I$2*(1+K749)^{1;2;3;4;5;6;7;8;9;10})*(($I$3+(L749-$I$3)*{1;2;3;4;5;6;7;8;9;10}/10)*(1-$I$7)+$I$4-$I$4*($I$5+(1.05-$I$5)*{1;2;3;4;5;6;7;8;9;10}/10)-(K749/(1+K749))*$I$6)/(1+M749)^{1;2;3;4;5;6;7;8;9;10})+$I$2*(1+K749)^10*(L749+$I$4)*N749/(1+M749)^10+$I$9-$I$10)/$I$11</f>
        <v/>
      </c>
    </row>
    <row r="750">
      <c r="K750" s="25">
        <f>MAX(-0.05,NORMINV(RAND(),$C$6,$D$6))</f>
        <v/>
      </c>
      <c r="L750" s="25">
        <f>MAX(0.02,NORMINV(RAND(),$C$7,$D$7))</f>
        <v/>
      </c>
      <c r="M750" s="25">
        <f>MIN(0.16,MAX(0.05,NORMINV(RAND(),$C$8,$D$8)))</f>
        <v/>
      </c>
      <c r="N750" s="26">
        <f>MIN(24,MAX(5,NORMINV(RAND(),$C$9,$D$9)))</f>
        <v/>
      </c>
      <c r="O750" s="49">
        <f>$I$8*(SUMPRODUCT(($I$2*(1+K750)^{1;2;3;4;5;6;7;8;9;10})*(($I$3+(L750-$I$3)*{1;2;3;4;5;6;7;8;9;10}/10)*(1-$I$7)+$I$4-$I$4*($I$5+(1.05-$I$5)*{1;2;3;4;5;6;7;8;9;10}/10)-(K750/(1+K750))*$I$6)/(1+M750)^{1;2;3;4;5;6;7;8;9;10})+$I$2*(1+K750)^10*(L750+$I$4)*N750/(1+M750)^10+$I$9-$I$10)/$I$11</f>
        <v/>
      </c>
    </row>
    <row r="751">
      <c r="K751" s="25">
        <f>MAX(-0.05,NORMINV(RAND(),$C$6,$D$6))</f>
        <v/>
      </c>
      <c r="L751" s="25">
        <f>MAX(0.02,NORMINV(RAND(),$C$7,$D$7))</f>
        <v/>
      </c>
      <c r="M751" s="25">
        <f>MIN(0.16,MAX(0.05,NORMINV(RAND(),$C$8,$D$8)))</f>
        <v/>
      </c>
      <c r="N751" s="26">
        <f>MIN(24,MAX(5,NORMINV(RAND(),$C$9,$D$9)))</f>
        <v/>
      </c>
      <c r="O751" s="49">
        <f>$I$8*(SUMPRODUCT(($I$2*(1+K751)^{1;2;3;4;5;6;7;8;9;10})*(($I$3+(L751-$I$3)*{1;2;3;4;5;6;7;8;9;10}/10)*(1-$I$7)+$I$4-$I$4*($I$5+(1.05-$I$5)*{1;2;3;4;5;6;7;8;9;10}/10)-(K751/(1+K751))*$I$6)/(1+M751)^{1;2;3;4;5;6;7;8;9;10})+$I$2*(1+K751)^10*(L751+$I$4)*N751/(1+M751)^10+$I$9-$I$10)/$I$11</f>
        <v/>
      </c>
    </row>
    <row r="752">
      <c r="K752" s="25">
        <f>MAX(-0.05,NORMINV(RAND(),$C$6,$D$6))</f>
        <v/>
      </c>
      <c r="L752" s="25">
        <f>MAX(0.02,NORMINV(RAND(),$C$7,$D$7))</f>
        <v/>
      </c>
      <c r="M752" s="25">
        <f>MIN(0.16,MAX(0.05,NORMINV(RAND(),$C$8,$D$8)))</f>
        <v/>
      </c>
      <c r="N752" s="26">
        <f>MIN(24,MAX(5,NORMINV(RAND(),$C$9,$D$9)))</f>
        <v/>
      </c>
      <c r="O752" s="49">
        <f>$I$8*(SUMPRODUCT(($I$2*(1+K752)^{1;2;3;4;5;6;7;8;9;10})*(($I$3+(L752-$I$3)*{1;2;3;4;5;6;7;8;9;10}/10)*(1-$I$7)+$I$4-$I$4*($I$5+(1.05-$I$5)*{1;2;3;4;5;6;7;8;9;10}/10)-(K752/(1+K752))*$I$6)/(1+M752)^{1;2;3;4;5;6;7;8;9;10})+$I$2*(1+K752)^10*(L752+$I$4)*N752/(1+M752)^10+$I$9-$I$10)/$I$11</f>
        <v/>
      </c>
    </row>
    <row r="753">
      <c r="K753" s="25">
        <f>MAX(-0.05,NORMINV(RAND(),$C$6,$D$6))</f>
        <v/>
      </c>
      <c r="L753" s="25">
        <f>MAX(0.02,NORMINV(RAND(),$C$7,$D$7))</f>
        <v/>
      </c>
      <c r="M753" s="25">
        <f>MIN(0.16,MAX(0.05,NORMINV(RAND(),$C$8,$D$8)))</f>
        <v/>
      </c>
      <c r="N753" s="26">
        <f>MIN(24,MAX(5,NORMINV(RAND(),$C$9,$D$9)))</f>
        <v/>
      </c>
      <c r="O753" s="49">
        <f>$I$8*(SUMPRODUCT(($I$2*(1+K753)^{1;2;3;4;5;6;7;8;9;10})*(($I$3+(L753-$I$3)*{1;2;3;4;5;6;7;8;9;10}/10)*(1-$I$7)+$I$4-$I$4*($I$5+(1.05-$I$5)*{1;2;3;4;5;6;7;8;9;10}/10)-(K753/(1+K753))*$I$6)/(1+M753)^{1;2;3;4;5;6;7;8;9;10})+$I$2*(1+K753)^10*(L753+$I$4)*N753/(1+M753)^10+$I$9-$I$10)/$I$11</f>
        <v/>
      </c>
    </row>
    <row r="754">
      <c r="K754" s="25">
        <f>MAX(-0.05,NORMINV(RAND(),$C$6,$D$6))</f>
        <v/>
      </c>
      <c r="L754" s="25">
        <f>MAX(0.02,NORMINV(RAND(),$C$7,$D$7))</f>
        <v/>
      </c>
      <c r="M754" s="25">
        <f>MIN(0.16,MAX(0.05,NORMINV(RAND(),$C$8,$D$8)))</f>
        <v/>
      </c>
      <c r="N754" s="26">
        <f>MIN(24,MAX(5,NORMINV(RAND(),$C$9,$D$9)))</f>
        <v/>
      </c>
      <c r="O754" s="49">
        <f>$I$8*(SUMPRODUCT(($I$2*(1+K754)^{1;2;3;4;5;6;7;8;9;10})*(($I$3+(L754-$I$3)*{1;2;3;4;5;6;7;8;9;10}/10)*(1-$I$7)+$I$4-$I$4*($I$5+(1.05-$I$5)*{1;2;3;4;5;6;7;8;9;10}/10)-(K754/(1+K754))*$I$6)/(1+M754)^{1;2;3;4;5;6;7;8;9;10})+$I$2*(1+K754)^10*(L754+$I$4)*N754/(1+M754)^10+$I$9-$I$10)/$I$11</f>
        <v/>
      </c>
    </row>
    <row r="755">
      <c r="K755" s="25">
        <f>MAX(-0.05,NORMINV(RAND(),$C$6,$D$6))</f>
        <v/>
      </c>
      <c r="L755" s="25">
        <f>MAX(0.02,NORMINV(RAND(),$C$7,$D$7))</f>
        <v/>
      </c>
      <c r="M755" s="25">
        <f>MIN(0.16,MAX(0.05,NORMINV(RAND(),$C$8,$D$8)))</f>
        <v/>
      </c>
      <c r="N755" s="26">
        <f>MIN(24,MAX(5,NORMINV(RAND(),$C$9,$D$9)))</f>
        <v/>
      </c>
      <c r="O755" s="49">
        <f>$I$8*(SUMPRODUCT(($I$2*(1+K755)^{1;2;3;4;5;6;7;8;9;10})*(($I$3+(L755-$I$3)*{1;2;3;4;5;6;7;8;9;10}/10)*(1-$I$7)+$I$4-$I$4*($I$5+(1.05-$I$5)*{1;2;3;4;5;6;7;8;9;10}/10)-(K755/(1+K755))*$I$6)/(1+M755)^{1;2;3;4;5;6;7;8;9;10})+$I$2*(1+K755)^10*(L755+$I$4)*N755/(1+M755)^10+$I$9-$I$10)/$I$11</f>
        <v/>
      </c>
    </row>
    <row r="756">
      <c r="K756" s="25">
        <f>MAX(-0.05,NORMINV(RAND(),$C$6,$D$6))</f>
        <v/>
      </c>
      <c r="L756" s="25">
        <f>MAX(0.02,NORMINV(RAND(),$C$7,$D$7))</f>
        <v/>
      </c>
      <c r="M756" s="25">
        <f>MIN(0.16,MAX(0.05,NORMINV(RAND(),$C$8,$D$8)))</f>
        <v/>
      </c>
      <c r="N756" s="26">
        <f>MIN(24,MAX(5,NORMINV(RAND(),$C$9,$D$9)))</f>
        <v/>
      </c>
      <c r="O756" s="49">
        <f>$I$8*(SUMPRODUCT(($I$2*(1+K756)^{1;2;3;4;5;6;7;8;9;10})*(($I$3+(L756-$I$3)*{1;2;3;4;5;6;7;8;9;10}/10)*(1-$I$7)+$I$4-$I$4*($I$5+(1.05-$I$5)*{1;2;3;4;5;6;7;8;9;10}/10)-(K756/(1+K756))*$I$6)/(1+M756)^{1;2;3;4;5;6;7;8;9;10})+$I$2*(1+K756)^10*(L756+$I$4)*N756/(1+M756)^10+$I$9-$I$10)/$I$11</f>
        <v/>
      </c>
    </row>
    <row r="757">
      <c r="K757" s="25">
        <f>MAX(-0.05,NORMINV(RAND(),$C$6,$D$6))</f>
        <v/>
      </c>
      <c r="L757" s="25">
        <f>MAX(0.02,NORMINV(RAND(),$C$7,$D$7))</f>
        <v/>
      </c>
      <c r="M757" s="25">
        <f>MIN(0.16,MAX(0.05,NORMINV(RAND(),$C$8,$D$8)))</f>
        <v/>
      </c>
      <c r="N757" s="26">
        <f>MIN(24,MAX(5,NORMINV(RAND(),$C$9,$D$9)))</f>
        <v/>
      </c>
      <c r="O757" s="49">
        <f>$I$8*(SUMPRODUCT(($I$2*(1+K757)^{1;2;3;4;5;6;7;8;9;10})*(($I$3+(L757-$I$3)*{1;2;3;4;5;6;7;8;9;10}/10)*(1-$I$7)+$I$4-$I$4*($I$5+(1.05-$I$5)*{1;2;3;4;5;6;7;8;9;10}/10)-(K757/(1+K757))*$I$6)/(1+M757)^{1;2;3;4;5;6;7;8;9;10})+$I$2*(1+K757)^10*(L757+$I$4)*N757/(1+M757)^10+$I$9-$I$10)/$I$11</f>
        <v/>
      </c>
    </row>
    <row r="758">
      <c r="K758" s="25">
        <f>MAX(-0.05,NORMINV(RAND(),$C$6,$D$6))</f>
        <v/>
      </c>
      <c r="L758" s="25">
        <f>MAX(0.02,NORMINV(RAND(),$C$7,$D$7))</f>
        <v/>
      </c>
      <c r="M758" s="25">
        <f>MIN(0.16,MAX(0.05,NORMINV(RAND(),$C$8,$D$8)))</f>
        <v/>
      </c>
      <c r="N758" s="26">
        <f>MIN(24,MAX(5,NORMINV(RAND(),$C$9,$D$9)))</f>
        <v/>
      </c>
      <c r="O758" s="49">
        <f>$I$8*(SUMPRODUCT(($I$2*(1+K758)^{1;2;3;4;5;6;7;8;9;10})*(($I$3+(L758-$I$3)*{1;2;3;4;5;6;7;8;9;10}/10)*(1-$I$7)+$I$4-$I$4*($I$5+(1.05-$I$5)*{1;2;3;4;5;6;7;8;9;10}/10)-(K758/(1+K758))*$I$6)/(1+M758)^{1;2;3;4;5;6;7;8;9;10})+$I$2*(1+K758)^10*(L758+$I$4)*N758/(1+M758)^10+$I$9-$I$10)/$I$11</f>
        <v/>
      </c>
    </row>
    <row r="759">
      <c r="K759" s="25">
        <f>MAX(-0.05,NORMINV(RAND(),$C$6,$D$6))</f>
        <v/>
      </c>
      <c r="L759" s="25">
        <f>MAX(0.02,NORMINV(RAND(),$C$7,$D$7))</f>
        <v/>
      </c>
      <c r="M759" s="25">
        <f>MIN(0.16,MAX(0.05,NORMINV(RAND(),$C$8,$D$8)))</f>
        <v/>
      </c>
      <c r="N759" s="26">
        <f>MIN(24,MAX(5,NORMINV(RAND(),$C$9,$D$9)))</f>
        <v/>
      </c>
      <c r="O759" s="49">
        <f>$I$8*(SUMPRODUCT(($I$2*(1+K759)^{1;2;3;4;5;6;7;8;9;10})*(($I$3+(L759-$I$3)*{1;2;3;4;5;6;7;8;9;10}/10)*(1-$I$7)+$I$4-$I$4*($I$5+(1.05-$I$5)*{1;2;3;4;5;6;7;8;9;10}/10)-(K759/(1+K759))*$I$6)/(1+M759)^{1;2;3;4;5;6;7;8;9;10})+$I$2*(1+K759)^10*(L759+$I$4)*N759/(1+M759)^10+$I$9-$I$10)/$I$11</f>
        <v/>
      </c>
    </row>
    <row r="760">
      <c r="K760" s="25">
        <f>MAX(-0.05,NORMINV(RAND(),$C$6,$D$6))</f>
        <v/>
      </c>
      <c r="L760" s="25">
        <f>MAX(0.02,NORMINV(RAND(),$C$7,$D$7))</f>
        <v/>
      </c>
      <c r="M760" s="25">
        <f>MIN(0.16,MAX(0.05,NORMINV(RAND(),$C$8,$D$8)))</f>
        <v/>
      </c>
      <c r="N760" s="26">
        <f>MIN(24,MAX(5,NORMINV(RAND(),$C$9,$D$9)))</f>
        <v/>
      </c>
      <c r="O760" s="49">
        <f>$I$8*(SUMPRODUCT(($I$2*(1+K760)^{1;2;3;4;5;6;7;8;9;10})*(($I$3+(L760-$I$3)*{1;2;3;4;5;6;7;8;9;10}/10)*(1-$I$7)+$I$4-$I$4*($I$5+(1.05-$I$5)*{1;2;3;4;5;6;7;8;9;10}/10)-(K760/(1+K760))*$I$6)/(1+M760)^{1;2;3;4;5;6;7;8;9;10})+$I$2*(1+K760)^10*(L760+$I$4)*N760/(1+M760)^10+$I$9-$I$10)/$I$11</f>
        <v/>
      </c>
    </row>
    <row r="761">
      <c r="K761" s="25">
        <f>MAX(-0.05,NORMINV(RAND(),$C$6,$D$6))</f>
        <v/>
      </c>
      <c r="L761" s="25">
        <f>MAX(0.02,NORMINV(RAND(),$C$7,$D$7))</f>
        <v/>
      </c>
      <c r="M761" s="25">
        <f>MIN(0.16,MAX(0.05,NORMINV(RAND(),$C$8,$D$8)))</f>
        <v/>
      </c>
      <c r="N761" s="26">
        <f>MIN(24,MAX(5,NORMINV(RAND(),$C$9,$D$9)))</f>
        <v/>
      </c>
      <c r="O761" s="49">
        <f>$I$8*(SUMPRODUCT(($I$2*(1+K761)^{1;2;3;4;5;6;7;8;9;10})*(($I$3+(L761-$I$3)*{1;2;3;4;5;6;7;8;9;10}/10)*(1-$I$7)+$I$4-$I$4*($I$5+(1.05-$I$5)*{1;2;3;4;5;6;7;8;9;10}/10)-(K761/(1+K761))*$I$6)/(1+M761)^{1;2;3;4;5;6;7;8;9;10})+$I$2*(1+K761)^10*(L761+$I$4)*N761/(1+M761)^10+$I$9-$I$10)/$I$11</f>
        <v/>
      </c>
    </row>
    <row r="762">
      <c r="K762" s="25">
        <f>MAX(-0.05,NORMINV(RAND(),$C$6,$D$6))</f>
        <v/>
      </c>
      <c r="L762" s="25">
        <f>MAX(0.02,NORMINV(RAND(),$C$7,$D$7))</f>
        <v/>
      </c>
      <c r="M762" s="25">
        <f>MIN(0.16,MAX(0.05,NORMINV(RAND(),$C$8,$D$8)))</f>
        <v/>
      </c>
      <c r="N762" s="26">
        <f>MIN(24,MAX(5,NORMINV(RAND(),$C$9,$D$9)))</f>
        <v/>
      </c>
      <c r="O762" s="49">
        <f>$I$8*(SUMPRODUCT(($I$2*(1+K762)^{1;2;3;4;5;6;7;8;9;10})*(($I$3+(L762-$I$3)*{1;2;3;4;5;6;7;8;9;10}/10)*(1-$I$7)+$I$4-$I$4*($I$5+(1.05-$I$5)*{1;2;3;4;5;6;7;8;9;10}/10)-(K762/(1+K762))*$I$6)/(1+M762)^{1;2;3;4;5;6;7;8;9;10})+$I$2*(1+K762)^10*(L762+$I$4)*N762/(1+M762)^10+$I$9-$I$10)/$I$11</f>
        <v/>
      </c>
    </row>
    <row r="763">
      <c r="K763" s="25">
        <f>MAX(-0.05,NORMINV(RAND(),$C$6,$D$6))</f>
        <v/>
      </c>
      <c r="L763" s="25">
        <f>MAX(0.02,NORMINV(RAND(),$C$7,$D$7))</f>
        <v/>
      </c>
      <c r="M763" s="25">
        <f>MIN(0.16,MAX(0.05,NORMINV(RAND(),$C$8,$D$8)))</f>
        <v/>
      </c>
      <c r="N763" s="26">
        <f>MIN(24,MAX(5,NORMINV(RAND(),$C$9,$D$9)))</f>
        <v/>
      </c>
      <c r="O763" s="49">
        <f>$I$8*(SUMPRODUCT(($I$2*(1+K763)^{1;2;3;4;5;6;7;8;9;10})*(($I$3+(L763-$I$3)*{1;2;3;4;5;6;7;8;9;10}/10)*(1-$I$7)+$I$4-$I$4*($I$5+(1.05-$I$5)*{1;2;3;4;5;6;7;8;9;10}/10)-(K763/(1+K763))*$I$6)/(1+M763)^{1;2;3;4;5;6;7;8;9;10})+$I$2*(1+K763)^10*(L763+$I$4)*N763/(1+M763)^10+$I$9-$I$10)/$I$11</f>
        <v/>
      </c>
    </row>
    <row r="764">
      <c r="K764" s="25">
        <f>MAX(-0.05,NORMINV(RAND(),$C$6,$D$6))</f>
        <v/>
      </c>
      <c r="L764" s="25">
        <f>MAX(0.02,NORMINV(RAND(),$C$7,$D$7))</f>
        <v/>
      </c>
      <c r="M764" s="25">
        <f>MIN(0.16,MAX(0.05,NORMINV(RAND(),$C$8,$D$8)))</f>
        <v/>
      </c>
      <c r="N764" s="26">
        <f>MIN(24,MAX(5,NORMINV(RAND(),$C$9,$D$9)))</f>
        <v/>
      </c>
      <c r="O764" s="49">
        <f>$I$8*(SUMPRODUCT(($I$2*(1+K764)^{1;2;3;4;5;6;7;8;9;10})*(($I$3+(L764-$I$3)*{1;2;3;4;5;6;7;8;9;10}/10)*(1-$I$7)+$I$4-$I$4*($I$5+(1.05-$I$5)*{1;2;3;4;5;6;7;8;9;10}/10)-(K764/(1+K764))*$I$6)/(1+M764)^{1;2;3;4;5;6;7;8;9;10})+$I$2*(1+K764)^10*(L764+$I$4)*N764/(1+M764)^10+$I$9-$I$10)/$I$11</f>
        <v/>
      </c>
    </row>
    <row r="765">
      <c r="K765" s="25">
        <f>MAX(-0.05,NORMINV(RAND(),$C$6,$D$6))</f>
        <v/>
      </c>
      <c r="L765" s="25">
        <f>MAX(0.02,NORMINV(RAND(),$C$7,$D$7))</f>
        <v/>
      </c>
      <c r="M765" s="25">
        <f>MIN(0.16,MAX(0.05,NORMINV(RAND(),$C$8,$D$8)))</f>
        <v/>
      </c>
      <c r="N765" s="26">
        <f>MIN(24,MAX(5,NORMINV(RAND(),$C$9,$D$9)))</f>
        <v/>
      </c>
      <c r="O765" s="49">
        <f>$I$8*(SUMPRODUCT(($I$2*(1+K765)^{1;2;3;4;5;6;7;8;9;10})*(($I$3+(L765-$I$3)*{1;2;3;4;5;6;7;8;9;10}/10)*(1-$I$7)+$I$4-$I$4*($I$5+(1.05-$I$5)*{1;2;3;4;5;6;7;8;9;10}/10)-(K765/(1+K765))*$I$6)/(1+M765)^{1;2;3;4;5;6;7;8;9;10})+$I$2*(1+K765)^10*(L765+$I$4)*N765/(1+M765)^10+$I$9-$I$10)/$I$11</f>
        <v/>
      </c>
    </row>
    <row r="766">
      <c r="K766" s="25">
        <f>MAX(-0.05,NORMINV(RAND(),$C$6,$D$6))</f>
        <v/>
      </c>
      <c r="L766" s="25">
        <f>MAX(0.02,NORMINV(RAND(),$C$7,$D$7))</f>
        <v/>
      </c>
      <c r="M766" s="25">
        <f>MIN(0.16,MAX(0.05,NORMINV(RAND(),$C$8,$D$8)))</f>
        <v/>
      </c>
      <c r="N766" s="26">
        <f>MIN(24,MAX(5,NORMINV(RAND(),$C$9,$D$9)))</f>
        <v/>
      </c>
      <c r="O766" s="49">
        <f>$I$8*(SUMPRODUCT(($I$2*(1+K766)^{1;2;3;4;5;6;7;8;9;10})*(($I$3+(L766-$I$3)*{1;2;3;4;5;6;7;8;9;10}/10)*(1-$I$7)+$I$4-$I$4*($I$5+(1.05-$I$5)*{1;2;3;4;5;6;7;8;9;10}/10)-(K766/(1+K766))*$I$6)/(1+M766)^{1;2;3;4;5;6;7;8;9;10})+$I$2*(1+K766)^10*(L766+$I$4)*N766/(1+M766)^10+$I$9-$I$10)/$I$11</f>
        <v/>
      </c>
    </row>
    <row r="767">
      <c r="K767" s="25">
        <f>MAX(-0.05,NORMINV(RAND(),$C$6,$D$6))</f>
        <v/>
      </c>
      <c r="L767" s="25">
        <f>MAX(0.02,NORMINV(RAND(),$C$7,$D$7))</f>
        <v/>
      </c>
      <c r="M767" s="25">
        <f>MIN(0.16,MAX(0.05,NORMINV(RAND(),$C$8,$D$8)))</f>
        <v/>
      </c>
      <c r="N767" s="26">
        <f>MIN(24,MAX(5,NORMINV(RAND(),$C$9,$D$9)))</f>
        <v/>
      </c>
      <c r="O767" s="49">
        <f>$I$8*(SUMPRODUCT(($I$2*(1+K767)^{1;2;3;4;5;6;7;8;9;10})*(($I$3+(L767-$I$3)*{1;2;3;4;5;6;7;8;9;10}/10)*(1-$I$7)+$I$4-$I$4*($I$5+(1.05-$I$5)*{1;2;3;4;5;6;7;8;9;10}/10)-(K767/(1+K767))*$I$6)/(1+M767)^{1;2;3;4;5;6;7;8;9;10})+$I$2*(1+K767)^10*(L767+$I$4)*N767/(1+M767)^10+$I$9-$I$10)/$I$11</f>
        <v/>
      </c>
    </row>
    <row r="768">
      <c r="K768" s="25">
        <f>MAX(-0.05,NORMINV(RAND(),$C$6,$D$6))</f>
        <v/>
      </c>
      <c r="L768" s="25">
        <f>MAX(0.02,NORMINV(RAND(),$C$7,$D$7))</f>
        <v/>
      </c>
      <c r="M768" s="25">
        <f>MIN(0.16,MAX(0.05,NORMINV(RAND(),$C$8,$D$8)))</f>
        <v/>
      </c>
      <c r="N768" s="26">
        <f>MIN(24,MAX(5,NORMINV(RAND(),$C$9,$D$9)))</f>
        <v/>
      </c>
      <c r="O768" s="49">
        <f>$I$8*(SUMPRODUCT(($I$2*(1+K768)^{1;2;3;4;5;6;7;8;9;10})*(($I$3+(L768-$I$3)*{1;2;3;4;5;6;7;8;9;10}/10)*(1-$I$7)+$I$4-$I$4*($I$5+(1.05-$I$5)*{1;2;3;4;5;6;7;8;9;10}/10)-(K768/(1+K768))*$I$6)/(1+M768)^{1;2;3;4;5;6;7;8;9;10})+$I$2*(1+K768)^10*(L768+$I$4)*N768/(1+M768)^10+$I$9-$I$10)/$I$11</f>
        <v/>
      </c>
    </row>
    <row r="769">
      <c r="K769" s="25">
        <f>MAX(-0.05,NORMINV(RAND(),$C$6,$D$6))</f>
        <v/>
      </c>
      <c r="L769" s="25">
        <f>MAX(0.02,NORMINV(RAND(),$C$7,$D$7))</f>
        <v/>
      </c>
      <c r="M769" s="25">
        <f>MIN(0.16,MAX(0.05,NORMINV(RAND(),$C$8,$D$8)))</f>
        <v/>
      </c>
      <c r="N769" s="26">
        <f>MIN(24,MAX(5,NORMINV(RAND(),$C$9,$D$9)))</f>
        <v/>
      </c>
      <c r="O769" s="49">
        <f>$I$8*(SUMPRODUCT(($I$2*(1+K769)^{1;2;3;4;5;6;7;8;9;10})*(($I$3+(L769-$I$3)*{1;2;3;4;5;6;7;8;9;10}/10)*(1-$I$7)+$I$4-$I$4*($I$5+(1.05-$I$5)*{1;2;3;4;5;6;7;8;9;10}/10)-(K769/(1+K769))*$I$6)/(1+M769)^{1;2;3;4;5;6;7;8;9;10})+$I$2*(1+K769)^10*(L769+$I$4)*N769/(1+M769)^10+$I$9-$I$10)/$I$11</f>
        <v/>
      </c>
    </row>
    <row r="770">
      <c r="K770" s="25">
        <f>MAX(-0.05,NORMINV(RAND(),$C$6,$D$6))</f>
        <v/>
      </c>
      <c r="L770" s="25">
        <f>MAX(0.02,NORMINV(RAND(),$C$7,$D$7))</f>
        <v/>
      </c>
      <c r="M770" s="25">
        <f>MIN(0.16,MAX(0.05,NORMINV(RAND(),$C$8,$D$8)))</f>
        <v/>
      </c>
      <c r="N770" s="26">
        <f>MIN(24,MAX(5,NORMINV(RAND(),$C$9,$D$9)))</f>
        <v/>
      </c>
      <c r="O770" s="49">
        <f>$I$8*(SUMPRODUCT(($I$2*(1+K770)^{1;2;3;4;5;6;7;8;9;10})*(($I$3+(L770-$I$3)*{1;2;3;4;5;6;7;8;9;10}/10)*(1-$I$7)+$I$4-$I$4*($I$5+(1.05-$I$5)*{1;2;3;4;5;6;7;8;9;10}/10)-(K770/(1+K770))*$I$6)/(1+M770)^{1;2;3;4;5;6;7;8;9;10})+$I$2*(1+K770)^10*(L770+$I$4)*N770/(1+M770)^10+$I$9-$I$10)/$I$11</f>
        <v/>
      </c>
    </row>
    <row r="771">
      <c r="K771" s="25">
        <f>MAX(-0.05,NORMINV(RAND(),$C$6,$D$6))</f>
        <v/>
      </c>
      <c r="L771" s="25">
        <f>MAX(0.02,NORMINV(RAND(),$C$7,$D$7))</f>
        <v/>
      </c>
      <c r="M771" s="25">
        <f>MIN(0.16,MAX(0.05,NORMINV(RAND(),$C$8,$D$8)))</f>
        <v/>
      </c>
      <c r="N771" s="26">
        <f>MIN(24,MAX(5,NORMINV(RAND(),$C$9,$D$9)))</f>
        <v/>
      </c>
      <c r="O771" s="49">
        <f>$I$8*(SUMPRODUCT(($I$2*(1+K771)^{1;2;3;4;5;6;7;8;9;10})*(($I$3+(L771-$I$3)*{1;2;3;4;5;6;7;8;9;10}/10)*(1-$I$7)+$I$4-$I$4*($I$5+(1.05-$I$5)*{1;2;3;4;5;6;7;8;9;10}/10)-(K771/(1+K771))*$I$6)/(1+M771)^{1;2;3;4;5;6;7;8;9;10})+$I$2*(1+K771)^10*(L771+$I$4)*N771/(1+M771)^10+$I$9-$I$10)/$I$11</f>
        <v/>
      </c>
    </row>
    <row r="772">
      <c r="K772" s="25">
        <f>MAX(-0.05,NORMINV(RAND(),$C$6,$D$6))</f>
        <v/>
      </c>
      <c r="L772" s="25">
        <f>MAX(0.02,NORMINV(RAND(),$C$7,$D$7))</f>
        <v/>
      </c>
      <c r="M772" s="25">
        <f>MIN(0.16,MAX(0.05,NORMINV(RAND(),$C$8,$D$8)))</f>
        <v/>
      </c>
      <c r="N772" s="26">
        <f>MIN(24,MAX(5,NORMINV(RAND(),$C$9,$D$9)))</f>
        <v/>
      </c>
      <c r="O772" s="49">
        <f>$I$8*(SUMPRODUCT(($I$2*(1+K772)^{1;2;3;4;5;6;7;8;9;10})*(($I$3+(L772-$I$3)*{1;2;3;4;5;6;7;8;9;10}/10)*(1-$I$7)+$I$4-$I$4*($I$5+(1.05-$I$5)*{1;2;3;4;5;6;7;8;9;10}/10)-(K772/(1+K772))*$I$6)/(1+M772)^{1;2;3;4;5;6;7;8;9;10})+$I$2*(1+K772)^10*(L772+$I$4)*N772/(1+M772)^10+$I$9-$I$10)/$I$11</f>
        <v/>
      </c>
    </row>
    <row r="773">
      <c r="K773" s="25">
        <f>MAX(-0.05,NORMINV(RAND(),$C$6,$D$6))</f>
        <v/>
      </c>
      <c r="L773" s="25">
        <f>MAX(0.02,NORMINV(RAND(),$C$7,$D$7))</f>
        <v/>
      </c>
      <c r="M773" s="25">
        <f>MIN(0.16,MAX(0.05,NORMINV(RAND(),$C$8,$D$8)))</f>
        <v/>
      </c>
      <c r="N773" s="26">
        <f>MIN(24,MAX(5,NORMINV(RAND(),$C$9,$D$9)))</f>
        <v/>
      </c>
      <c r="O773" s="49">
        <f>$I$8*(SUMPRODUCT(($I$2*(1+K773)^{1;2;3;4;5;6;7;8;9;10})*(($I$3+(L773-$I$3)*{1;2;3;4;5;6;7;8;9;10}/10)*(1-$I$7)+$I$4-$I$4*($I$5+(1.05-$I$5)*{1;2;3;4;5;6;7;8;9;10}/10)-(K773/(1+K773))*$I$6)/(1+M773)^{1;2;3;4;5;6;7;8;9;10})+$I$2*(1+K773)^10*(L773+$I$4)*N773/(1+M773)^10+$I$9-$I$10)/$I$11</f>
        <v/>
      </c>
    </row>
    <row r="774">
      <c r="K774" s="25">
        <f>MAX(-0.05,NORMINV(RAND(),$C$6,$D$6))</f>
        <v/>
      </c>
      <c r="L774" s="25">
        <f>MAX(0.02,NORMINV(RAND(),$C$7,$D$7))</f>
        <v/>
      </c>
      <c r="M774" s="25">
        <f>MIN(0.16,MAX(0.05,NORMINV(RAND(),$C$8,$D$8)))</f>
        <v/>
      </c>
      <c r="N774" s="26">
        <f>MIN(24,MAX(5,NORMINV(RAND(),$C$9,$D$9)))</f>
        <v/>
      </c>
      <c r="O774" s="49">
        <f>$I$8*(SUMPRODUCT(($I$2*(1+K774)^{1;2;3;4;5;6;7;8;9;10})*(($I$3+(L774-$I$3)*{1;2;3;4;5;6;7;8;9;10}/10)*(1-$I$7)+$I$4-$I$4*($I$5+(1.05-$I$5)*{1;2;3;4;5;6;7;8;9;10}/10)-(K774/(1+K774))*$I$6)/(1+M774)^{1;2;3;4;5;6;7;8;9;10})+$I$2*(1+K774)^10*(L774+$I$4)*N774/(1+M774)^10+$I$9-$I$10)/$I$11</f>
        <v/>
      </c>
    </row>
    <row r="775">
      <c r="K775" s="25">
        <f>MAX(-0.05,NORMINV(RAND(),$C$6,$D$6))</f>
        <v/>
      </c>
      <c r="L775" s="25">
        <f>MAX(0.02,NORMINV(RAND(),$C$7,$D$7))</f>
        <v/>
      </c>
      <c r="M775" s="25">
        <f>MIN(0.16,MAX(0.05,NORMINV(RAND(),$C$8,$D$8)))</f>
        <v/>
      </c>
      <c r="N775" s="26">
        <f>MIN(24,MAX(5,NORMINV(RAND(),$C$9,$D$9)))</f>
        <v/>
      </c>
      <c r="O775" s="49">
        <f>$I$8*(SUMPRODUCT(($I$2*(1+K775)^{1;2;3;4;5;6;7;8;9;10})*(($I$3+(L775-$I$3)*{1;2;3;4;5;6;7;8;9;10}/10)*(1-$I$7)+$I$4-$I$4*($I$5+(1.05-$I$5)*{1;2;3;4;5;6;7;8;9;10}/10)-(K775/(1+K775))*$I$6)/(1+M775)^{1;2;3;4;5;6;7;8;9;10})+$I$2*(1+K775)^10*(L775+$I$4)*N775/(1+M775)^10+$I$9-$I$10)/$I$11</f>
        <v/>
      </c>
    </row>
    <row r="776">
      <c r="K776" s="25">
        <f>MAX(-0.05,NORMINV(RAND(),$C$6,$D$6))</f>
        <v/>
      </c>
      <c r="L776" s="25">
        <f>MAX(0.02,NORMINV(RAND(),$C$7,$D$7))</f>
        <v/>
      </c>
      <c r="M776" s="25">
        <f>MIN(0.16,MAX(0.05,NORMINV(RAND(),$C$8,$D$8)))</f>
        <v/>
      </c>
      <c r="N776" s="26">
        <f>MIN(24,MAX(5,NORMINV(RAND(),$C$9,$D$9)))</f>
        <v/>
      </c>
      <c r="O776" s="49">
        <f>$I$8*(SUMPRODUCT(($I$2*(1+K776)^{1;2;3;4;5;6;7;8;9;10})*(($I$3+(L776-$I$3)*{1;2;3;4;5;6;7;8;9;10}/10)*(1-$I$7)+$I$4-$I$4*($I$5+(1.05-$I$5)*{1;2;3;4;5;6;7;8;9;10}/10)-(K776/(1+K776))*$I$6)/(1+M776)^{1;2;3;4;5;6;7;8;9;10})+$I$2*(1+K776)^10*(L776+$I$4)*N776/(1+M776)^10+$I$9-$I$10)/$I$11</f>
        <v/>
      </c>
    </row>
    <row r="777">
      <c r="K777" s="25">
        <f>MAX(-0.05,NORMINV(RAND(),$C$6,$D$6))</f>
        <v/>
      </c>
      <c r="L777" s="25">
        <f>MAX(0.02,NORMINV(RAND(),$C$7,$D$7))</f>
        <v/>
      </c>
      <c r="M777" s="25">
        <f>MIN(0.16,MAX(0.05,NORMINV(RAND(),$C$8,$D$8)))</f>
        <v/>
      </c>
      <c r="N777" s="26">
        <f>MIN(24,MAX(5,NORMINV(RAND(),$C$9,$D$9)))</f>
        <v/>
      </c>
      <c r="O777" s="49">
        <f>$I$8*(SUMPRODUCT(($I$2*(1+K777)^{1;2;3;4;5;6;7;8;9;10})*(($I$3+(L777-$I$3)*{1;2;3;4;5;6;7;8;9;10}/10)*(1-$I$7)+$I$4-$I$4*($I$5+(1.05-$I$5)*{1;2;3;4;5;6;7;8;9;10}/10)-(K777/(1+K777))*$I$6)/(1+M777)^{1;2;3;4;5;6;7;8;9;10})+$I$2*(1+K777)^10*(L777+$I$4)*N777/(1+M777)^10+$I$9-$I$10)/$I$11</f>
        <v/>
      </c>
    </row>
    <row r="778">
      <c r="K778" s="25">
        <f>MAX(-0.05,NORMINV(RAND(),$C$6,$D$6))</f>
        <v/>
      </c>
      <c r="L778" s="25">
        <f>MAX(0.02,NORMINV(RAND(),$C$7,$D$7))</f>
        <v/>
      </c>
      <c r="M778" s="25">
        <f>MIN(0.16,MAX(0.05,NORMINV(RAND(),$C$8,$D$8)))</f>
        <v/>
      </c>
      <c r="N778" s="26">
        <f>MIN(24,MAX(5,NORMINV(RAND(),$C$9,$D$9)))</f>
        <v/>
      </c>
      <c r="O778" s="49">
        <f>$I$8*(SUMPRODUCT(($I$2*(1+K778)^{1;2;3;4;5;6;7;8;9;10})*(($I$3+(L778-$I$3)*{1;2;3;4;5;6;7;8;9;10}/10)*(1-$I$7)+$I$4-$I$4*($I$5+(1.05-$I$5)*{1;2;3;4;5;6;7;8;9;10}/10)-(K778/(1+K778))*$I$6)/(1+M778)^{1;2;3;4;5;6;7;8;9;10})+$I$2*(1+K778)^10*(L778+$I$4)*N778/(1+M778)^10+$I$9-$I$10)/$I$11</f>
        <v/>
      </c>
    </row>
    <row r="779">
      <c r="K779" s="25">
        <f>MAX(-0.05,NORMINV(RAND(),$C$6,$D$6))</f>
        <v/>
      </c>
      <c r="L779" s="25">
        <f>MAX(0.02,NORMINV(RAND(),$C$7,$D$7))</f>
        <v/>
      </c>
      <c r="M779" s="25">
        <f>MIN(0.16,MAX(0.05,NORMINV(RAND(),$C$8,$D$8)))</f>
        <v/>
      </c>
      <c r="N779" s="26">
        <f>MIN(24,MAX(5,NORMINV(RAND(),$C$9,$D$9)))</f>
        <v/>
      </c>
      <c r="O779" s="49">
        <f>$I$8*(SUMPRODUCT(($I$2*(1+K779)^{1;2;3;4;5;6;7;8;9;10})*(($I$3+(L779-$I$3)*{1;2;3;4;5;6;7;8;9;10}/10)*(1-$I$7)+$I$4-$I$4*($I$5+(1.05-$I$5)*{1;2;3;4;5;6;7;8;9;10}/10)-(K779/(1+K779))*$I$6)/(1+M779)^{1;2;3;4;5;6;7;8;9;10})+$I$2*(1+K779)^10*(L779+$I$4)*N779/(1+M779)^10+$I$9-$I$10)/$I$11</f>
        <v/>
      </c>
    </row>
    <row r="780">
      <c r="K780" s="25">
        <f>MAX(-0.05,NORMINV(RAND(),$C$6,$D$6))</f>
        <v/>
      </c>
      <c r="L780" s="25">
        <f>MAX(0.02,NORMINV(RAND(),$C$7,$D$7))</f>
        <v/>
      </c>
      <c r="M780" s="25">
        <f>MIN(0.16,MAX(0.05,NORMINV(RAND(),$C$8,$D$8)))</f>
        <v/>
      </c>
      <c r="N780" s="26">
        <f>MIN(24,MAX(5,NORMINV(RAND(),$C$9,$D$9)))</f>
        <v/>
      </c>
      <c r="O780" s="49">
        <f>$I$8*(SUMPRODUCT(($I$2*(1+K780)^{1;2;3;4;5;6;7;8;9;10})*(($I$3+(L780-$I$3)*{1;2;3;4;5;6;7;8;9;10}/10)*(1-$I$7)+$I$4-$I$4*($I$5+(1.05-$I$5)*{1;2;3;4;5;6;7;8;9;10}/10)-(K780/(1+K780))*$I$6)/(1+M780)^{1;2;3;4;5;6;7;8;9;10})+$I$2*(1+K780)^10*(L780+$I$4)*N780/(1+M780)^10+$I$9-$I$10)/$I$11</f>
        <v/>
      </c>
    </row>
    <row r="781">
      <c r="K781" s="25">
        <f>MAX(-0.05,NORMINV(RAND(),$C$6,$D$6))</f>
        <v/>
      </c>
      <c r="L781" s="25">
        <f>MAX(0.02,NORMINV(RAND(),$C$7,$D$7))</f>
        <v/>
      </c>
      <c r="M781" s="25">
        <f>MIN(0.16,MAX(0.05,NORMINV(RAND(),$C$8,$D$8)))</f>
        <v/>
      </c>
      <c r="N781" s="26">
        <f>MIN(24,MAX(5,NORMINV(RAND(),$C$9,$D$9)))</f>
        <v/>
      </c>
      <c r="O781" s="49">
        <f>$I$8*(SUMPRODUCT(($I$2*(1+K781)^{1;2;3;4;5;6;7;8;9;10})*(($I$3+(L781-$I$3)*{1;2;3;4;5;6;7;8;9;10}/10)*(1-$I$7)+$I$4-$I$4*($I$5+(1.05-$I$5)*{1;2;3;4;5;6;7;8;9;10}/10)-(K781/(1+K781))*$I$6)/(1+M781)^{1;2;3;4;5;6;7;8;9;10})+$I$2*(1+K781)^10*(L781+$I$4)*N781/(1+M781)^10+$I$9-$I$10)/$I$11</f>
        <v/>
      </c>
    </row>
    <row r="782">
      <c r="K782" s="25">
        <f>MAX(-0.05,NORMINV(RAND(),$C$6,$D$6))</f>
        <v/>
      </c>
      <c r="L782" s="25">
        <f>MAX(0.02,NORMINV(RAND(),$C$7,$D$7))</f>
        <v/>
      </c>
      <c r="M782" s="25">
        <f>MIN(0.16,MAX(0.05,NORMINV(RAND(),$C$8,$D$8)))</f>
        <v/>
      </c>
      <c r="N782" s="26">
        <f>MIN(24,MAX(5,NORMINV(RAND(),$C$9,$D$9)))</f>
        <v/>
      </c>
      <c r="O782" s="49">
        <f>$I$8*(SUMPRODUCT(($I$2*(1+K782)^{1;2;3;4;5;6;7;8;9;10})*(($I$3+(L782-$I$3)*{1;2;3;4;5;6;7;8;9;10}/10)*(1-$I$7)+$I$4-$I$4*($I$5+(1.05-$I$5)*{1;2;3;4;5;6;7;8;9;10}/10)-(K782/(1+K782))*$I$6)/(1+M782)^{1;2;3;4;5;6;7;8;9;10})+$I$2*(1+K782)^10*(L782+$I$4)*N782/(1+M782)^10+$I$9-$I$10)/$I$11</f>
        <v/>
      </c>
    </row>
    <row r="783">
      <c r="K783" s="25">
        <f>MAX(-0.05,NORMINV(RAND(),$C$6,$D$6))</f>
        <v/>
      </c>
      <c r="L783" s="25">
        <f>MAX(0.02,NORMINV(RAND(),$C$7,$D$7))</f>
        <v/>
      </c>
      <c r="M783" s="25">
        <f>MIN(0.16,MAX(0.05,NORMINV(RAND(),$C$8,$D$8)))</f>
        <v/>
      </c>
      <c r="N783" s="26">
        <f>MIN(24,MAX(5,NORMINV(RAND(),$C$9,$D$9)))</f>
        <v/>
      </c>
      <c r="O783" s="49">
        <f>$I$8*(SUMPRODUCT(($I$2*(1+K783)^{1;2;3;4;5;6;7;8;9;10})*(($I$3+(L783-$I$3)*{1;2;3;4;5;6;7;8;9;10}/10)*(1-$I$7)+$I$4-$I$4*($I$5+(1.05-$I$5)*{1;2;3;4;5;6;7;8;9;10}/10)-(K783/(1+K783))*$I$6)/(1+M783)^{1;2;3;4;5;6;7;8;9;10})+$I$2*(1+K783)^10*(L783+$I$4)*N783/(1+M783)^10+$I$9-$I$10)/$I$11</f>
        <v/>
      </c>
    </row>
    <row r="784">
      <c r="K784" s="25">
        <f>MAX(-0.05,NORMINV(RAND(),$C$6,$D$6))</f>
        <v/>
      </c>
      <c r="L784" s="25">
        <f>MAX(0.02,NORMINV(RAND(),$C$7,$D$7))</f>
        <v/>
      </c>
      <c r="M784" s="25">
        <f>MIN(0.16,MAX(0.05,NORMINV(RAND(),$C$8,$D$8)))</f>
        <v/>
      </c>
      <c r="N784" s="26">
        <f>MIN(24,MAX(5,NORMINV(RAND(),$C$9,$D$9)))</f>
        <v/>
      </c>
      <c r="O784" s="49">
        <f>$I$8*(SUMPRODUCT(($I$2*(1+K784)^{1;2;3;4;5;6;7;8;9;10})*(($I$3+(L784-$I$3)*{1;2;3;4;5;6;7;8;9;10}/10)*(1-$I$7)+$I$4-$I$4*($I$5+(1.05-$I$5)*{1;2;3;4;5;6;7;8;9;10}/10)-(K784/(1+K784))*$I$6)/(1+M784)^{1;2;3;4;5;6;7;8;9;10})+$I$2*(1+K784)^10*(L784+$I$4)*N784/(1+M784)^10+$I$9-$I$10)/$I$11</f>
        <v/>
      </c>
    </row>
    <row r="785">
      <c r="K785" s="25">
        <f>MAX(-0.05,NORMINV(RAND(),$C$6,$D$6))</f>
        <v/>
      </c>
      <c r="L785" s="25">
        <f>MAX(0.02,NORMINV(RAND(),$C$7,$D$7))</f>
        <v/>
      </c>
      <c r="M785" s="25">
        <f>MIN(0.16,MAX(0.05,NORMINV(RAND(),$C$8,$D$8)))</f>
        <v/>
      </c>
      <c r="N785" s="26">
        <f>MIN(24,MAX(5,NORMINV(RAND(),$C$9,$D$9)))</f>
        <v/>
      </c>
      <c r="O785" s="49">
        <f>$I$8*(SUMPRODUCT(($I$2*(1+K785)^{1;2;3;4;5;6;7;8;9;10})*(($I$3+(L785-$I$3)*{1;2;3;4;5;6;7;8;9;10}/10)*(1-$I$7)+$I$4-$I$4*($I$5+(1.05-$I$5)*{1;2;3;4;5;6;7;8;9;10}/10)-(K785/(1+K785))*$I$6)/(1+M785)^{1;2;3;4;5;6;7;8;9;10})+$I$2*(1+K785)^10*(L785+$I$4)*N785/(1+M785)^10+$I$9-$I$10)/$I$11</f>
        <v/>
      </c>
    </row>
    <row r="786">
      <c r="K786" s="25">
        <f>MAX(-0.05,NORMINV(RAND(),$C$6,$D$6))</f>
        <v/>
      </c>
      <c r="L786" s="25">
        <f>MAX(0.02,NORMINV(RAND(),$C$7,$D$7))</f>
        <v/>
      </c>
      <c r="M786" s="25">
        <f>MIN(0.16,MAX(0.05,NORMINV(RAND(),$C$8,$D$8)))</f>
        <v/>
      </c>
      <c r="N786" s="26">
        <f>MIN(24,MAX(5,NORMINV(RAND(),$C$9,$D$9)))</f>
        <v/>
      </c>
      <c r="O786" s="49">
        <f>$I$8*(SUMPRODUCT(($I$2*(1+K786)^{1;2;3;4;5;6;7;8;9;10})*(($I$3+(L786-$I$3)*{1;2;3;4;5;6;7;8;9;10}/10)*(1-$I$7)+$I$4-$I$4*($I$5+(1.05-$I$5)*{1;2;3;4;5;6;7;8;9;10}/10)-(K786/(1+K786))*$I$6)/(1+M786)^{1;2;3;4;5;6;7;8;9;10})+$I$2*(1+K786)^10*(L786+$I$4)*N786/(1+M786)^10+$I$9-$I$10)/$I$11</f>
        <v/>
      </c>
    </row>
    <row r="787">
      <c r="K787" s="25">
        <f>MAX(-0.05,NORMINV(RAND(),$C$6,$D$6))</f>
        <v/>
      </c>
      <c r="L787" s="25">
        <f>MAX(0.02,NORMINV(RAND(),$C$7,$D$7))</f>
        <v/>
      </c>
      <c r="M787" s="25">
        <f>MIN(0.16,MAX(0.05,NORMINV(RAND(),$C$8,$D$8)))</f>
        <v/>
      </c>
      <c r="N787" s="26">
        <f>MIN(24,MAX(5,NORMINV(RAND(),$C$9,$D$9)))</f>
        <v/>
      </c>
      <c r="O787" s="49">
        <f>$I$8*(SUMPRODUCT(($I$2*(1+K787)^{1;2;3;4;5;6;7;8;9;10})*(($I$3+(L787-$I$3)*{1;2;3;4;5;6;7;8;9;10}/10)*(1-$I$7)+$I$4-$I$4*($I$5+(1.05-$I$5)*{1;2;3;4;5;6;7;8;9;10}/10)-(K787/(1+K787))*$I$6)/(1+M787)^{1;2;3;4;5;6;7;8;9;10})+$I$2*(1+K787)^10*(L787+$I$4)*N787/(1+M787)^10+$I$9-$I$10)/$I$11</f>
        <v/>
      </c>
    </row>
    <row r="788">
      <c r="K788" s="25">
        <f>MAX(-0.05,NORMINV(RAND(),$C$6,$D$6))</f>
        <v/>
      </c>
      <c r="L788" s="25">
        <f>MAX(0.02,NORMINV(RAND(),$C$7,$D$7))</f>
        <v/>
      </c>
      <c r="M788" s="25">
        <f>MIN(0.16,MAX(0.05,NORMINV(RAND(),$C$8,$D$8)))</f>
        <v/>
      </c>
      <c r="N788" s="26">
        <f>MIN(24,MAX(5,NORMINV(RAND(),$C$9,$D$9)))</f>
        <v/>
      </c>
      <c r="O788" s="49">
        <f>$I$8*(SUMPRODUCT(($I$2*(1+K788)^{1;2;3;4;5;6;7;8;9;10})*(($I$3+(L788-$I$3)*{1;2;3;4;5;6;7;8;9;10}/10)*(1-$I$7)+$I$4-$I$4*($I$5+(1.05-$I$5)*{1;2;3;4;5;6;7;8;9;10}/10)-(K788/(1+K788))*$I$6)/(1+M788)^{1;2;3;4;5;6;7;8;9;10})+$I$2*(1+K788)^10*(L788+$I$4)*N788/(1+M788)^10+$I$9-$I$10)/$I$11</f>
        <v/>
      </c>
    </row>
    <row r="789">
      <c r="K789" s="25">
        <f>MAX(-0.05,NORMINV(RAND(),$C$6,$D$6))</f>
        <v/>
      </c>
      <c r="L789" s="25">
        <f>MAX(0.02,NORMINV(RAND(),$C$7,$D$7))</f>
        <v/>
      </c>
      <c r="M789" s="25">
        <f>MIN(0.16,MAX(0.05,NORMINV(RAND(),$C$8,$D$8)))</f>
        <v/>
      </c>
      <c r="N789" s="26">
        <f>MIN(24,MAX(5,NORMINV(RAND(),$C$9,$D$9)))</f>
        <v/>
      </c>
      <c r="O789" s="49">
        <f>$I$8*(SUMPRODUCT(($I$2*(1+K789)^{1;2;3;4;5;6;7;8;9;10})*(($I$3+(L789-$I$3)*{1;2;3;4;5;6;7;8;9;10}/10)*(1-$I$7)+$I$4-$I$4*($I$5+(1.05-$I$5)*{1;2;3;4;5;6;7;8;9;10}/10)-(K789/(1+K789))*$I$6)/(1+M789)^{1;2;3;4;5;6;7;8;9;10})+$I$2*(1+K789)^10*(L789+$I$4)*N789/(1+M789)^10+$I$9-$I$10)/$I$11</f>
        <v/>
      </c>
    </row>
    <row r="790">
      <c r="K790" s="25">
        <f>MAX(-0.05,NORMINV(RAND(),$C$6,$D$6))</f>
        <v/>
      </c>
      <c r="L790" s="25">
        <f>MAX(0.02,NORMINV(RAND(),$C$7,$D$7))</f>
        <v/>
      </c>
      <c r="M790" s="25">
        <f>MIN(0.16,MAX(0.05,NORMINV(RAND(),$C$8,$D$8)))</f>
        <v/>
      </c>
      <c r="N790" s="26">
        <f>MIN(24,MAX(5,NORMINV(RAND(),$C$9,$D$9)))</f>
        <v/>
      </c>
      <c r="O790" s="49">
        <f>$I$8*(SUMPRODUCT(($I$2*(1+K790)^{1;2;3;4;5;6;7;8;9;10})*(($I$3+(L790-$I$3)*{1;2;3;4;5;6;7;8;9;10}/10)*(1-$I$7)+$I$4-$I$4*($I$5+(1.05-$I$5)*{1;2;3;4;5;6;7;8;9;10}/10)-(K790/(1+K790))*$I$6)/(1+M790)^{1;2;3;4;5;6;7;8;9;10})+$I$2*(1+K790)^10*(L790+$I$4)*N790/(1+M790)^10+$I$9-$I$10)/$I$11</f>
        <v/>
      </c>
    </row>
    <row r="791">
      <c r="K791" s="25">
        <f>MAX(-0.05,NORMINV(RAND(),$C$6,$D$6))</f>
        <v/>
      </c>
      <c r="L791" s="25">
        <f>MAX(0.02,NORMINV(RAND(),$C$7,$D$7))</f>
        <v/>
      </c>
      <c r="M791" s="25">
        <f>MIN(0.16,MAX(0.05,NORMINV(RAND(),$C$8,$D$8)))</f>
        <v/>
      </c>
      <c r="N791" s="26">
        <f>MIN(24,MAX(5,NORMINV(RAND(),$C$9,$D$9)))</f>
        <v/>
      </c>
      <c r="O791" s="49">
        <f>$I$8*(SUMPRODUCT(($I$2*(1+K791)^{1;2;3;4;5;6;7;8;9;10})*(($I$3+(L791-$I$3)*{1;2;3;4;5;6;7;8;9;10}/10)*(1-$I$7)+$I$4-$I$4*($I$5+(1.05-$I$5)*{1;2;3;4;5;6;7;8;9;10}/10)-(K791/(1+K791))*$I$6)/(1+M791)^{1;2;3;4;5;6;7;8;9;10})+$I$2*(1+K791)^10*(L791+$I$4)*N791/(1+M791)^10+$I$9-$I$10)/$I$11</f>
        <v/>
      </c>
    </row>
    <row r="792">
      <c r="K792" s="25">
        <f>MAX(-0.05,NORMINV(RAND(),$C$6,$D$6))</f>
        <v/>
      </c>
      <c r="L792" s="25">
        <f>MAX(0.02,NORMINV(RAND(),$C$7,$D$7))</f>
        <v/>
      </c>
      <c r="M792" s="25">
        <f>MIN(0.16,MAX(0.05,NORMINV(RAND(),$C$8,$D$8)))</f>
        <v/>
      </c>
      <c r="N792" s="26">
        <f>MIN(24,MAX(5,NORMINV(RAND(),$C$9,$D$9)))</f>
        <v/>
      </c>
      <c r="O792" s="49">
        <f>$I$8*(SUMPRODUCT(($I$2*(1+K792)^{1;2;3;4;5;6;7;8;9;10})*(($I$3+(L792-$I$3)*{1;2;3;4;5;6;7;8;9;10}/10)*(1-$I$7)+$I$4-$I$4*($I$5+(1.05-$I$5)*{1;2;3;4;5;6;7;8;9;10}/10)-(K792/(1+K792))*$I$6)/(1+M792)^{1;2;3;4;5;6;7;8;9;10})+$I$2*(1+K792)^10*(L792+$I$4)*N792/(1+M792)^10+$I$9-$I$10)/$I$11</f>
        <v/>
      </c>
    </row>
    <row r="793">
      <c r="K793" s="25">
        <f>MAX(-0.05,NORMINV(RAND(),$C$6,$D$6))</f>
        <v/>
      </c>
      <c r="L793" s="25">
        <f>MAX(0.02,NORMINV(RAND(),$C$7,$D$7))</f>
        <v/>
      </c>
      <c r="M793" s="25">
        <f>MIN(0.16,MAX(0.05,NORMINV(RAND(),$C$8,$D$8)))</f>
        <v/>
      </c>
      <c r="N793" s="26">
        <f>MIN(24,MAX(5,NORMINV(RAND(),$C$9,$D$9)))</f>
        <v/>
      </c>
      <c r="O793" s="49">
        <f>$I$8*(SUMPRODUCT(($I$2*(1+K793)^{1;2;3;4;5;6;7;8;9;10})*(($I$3+(L793-$I$3)*{1;2;3;4;5;6;7;8;9;10}/10)*(1-$I$7)+$I$4-$I$4*($I$5+(1.05-$I$5)*{1;2;3;4;5;6;7;8;9;10}/10)-(K793/(1+K793))*$I$6)/(1+M793)^{1;2;3;4;5;6;7;8;9;10})+$I$2*(1+K793)^10*(L793+$I$4)*N793/(1+M793)^10+$I$9-$I$10)/$I$11</f>
        <v/>
      </c>
    </row>
    <row r="794">
      <c r="K794" s="25">
        <f>MAX(-0.05,NORMINV(RAND(),$C$6,$D$6))</f>
        <v/>
      </c>
      <c r="L794" s="25">
        <f>MAX(0.02,NORMINV(RAND(),$C$7,$D$7))</f>
        <v/>
      </c>
      <c r="M794" s="25">
        <f>MIN(0.16,MAX(0.05,NORMINV(RAND(),$C$8,$D$8)))</f>
        <v/>
      </c>
      <c r="N794" s="26">
        <f>MIN(24,MAX(5,NORMINV(RAND(),$C$9,$D$9)))</f>
        <v/>
      </c>
      <c r="O794" s="49">
        <f>$I$8*(SUMPRODUCT(($I$2*(1+K794)^{1;2;3;4;5;6;7;8;9;10})*(($I$3+(L794-$I$3)*{1;2;3;4;5;6;7;8;9;10}/10)*(1-$I$7)+$I$4-$I$4*($I$5+(1.05-$I$5)*{1;2;3;4;5;6;7;8;9;10}/10)-(K794/(1+K794))*$I$6)/(1+M794)^{1;2;3;4;5;6;7;8;9;10})+$I$2*(1+K794)^10*(L794+$I$4)*N794/(1+M794)^10+$I$9-$I$10)/$I$11</f>
        <v/>
      </c>
    </row>
    <row r="795">
      <c r="K795" s="25">
        <f>MAX(-0.05,NORMINV(RAND(),$C$6,$D$6))</f>
        <v/>
      </c>
      <c r="L795" s="25">
        <f>MAX(0.02,NORMINV(RAND(),$C$7,$D$7))</f>
        <v/>
      </c>
      <c r="M795" s="25">
        <f>MIN(0.16,MAX(0.05,NORMINV(RAND(),$C$8,$D$8)))</f>
        <v/>
      </c>
      <c r="N795" s="26">
        <f>MIN(24,MAX(5,NORMINV(RAND(),$C$9,$D$9)))</f>
        <v/>
      </c>
      <c r="O795" s="49">
        <f>$I$8*(SUMPRODUCT(($I$2*(1+K795)^{1;2;3;4;5;6;7;8;9;10})*(($I$3+(L795-$I$3)*{1;2;3;4;5;6;7;8;9;10}/10)*(1-$I$7)+$I$4-$I$4*($I$5+(1.05-$I$5)*{1;2;3;4;5;6;7;8;9;10}/10)-(K795/(1+K795))*$I$6)/(1+M795)^{1;2;3;4;5;6;7;8;9;10})+$I$2*(1+K795)^10*(L795+$I$4)*N795/(1+M795)^10+$I$9-$I$10)/$I$11</f>
        <v/>
      </c>
    </row>
    <row r="796">
      <c r="K796" s="25">
        <f>MAX(-0.05,NORMINV(RAND(),$C$6,$D$6))</f>
        <v/>
      </c>
      <c r="L796" s="25">
        <f>MAX(0.02,NORMINV(RAND(),$C$7,$D$7))</f>
        <v/>
      </c>
      <c r="M796" s="25">
        <f>MIN(0.16,MAX(0.05,NORMINV(RAND(),$C$8,$D$8)))</f>
        <v/>
      </c>
      <c r="N796" s="26">
        <f>MIN(24,MAX(5,NORMINV(RAND(),$C$9,$D$9)))</f>
        <v/>
      </c>
      <c r="O796" s="49">
        <f>$I$8*(SUMPRODUCT(($I$2*(1+K796)^{1;2;3;4;5;6;7;8;9;10})*(($I$3+(L796-$I$3)*{1;2;3;4;5;6;7;8;9;10}/10)*(1-$I$7)+$I$4-$I$4*($I$5+(1.05-$I$5)*{1;2;3;4;5;6;7;8;9;10}/10)-(K796/(1+K796))*$I$6)/(1+M796)^{1;2;3;4;5;6;7;8;9;10})+$I$2*(1+K796)^10*(L796+$I$4)*N796/(1+M796)^10+$I$9-$I$10)/$I$11</f>
        <v/>
      </c>
    </row>
    <row r="797">
      <c r="K797" s="25">
        <f>MAX(-0.05,NORMINV(RAND(),$C$6,$D$6))</f>
        <v/>
      </c>
      <c r="L797" s="25">
        <f>MAX(0.02,NORMINV(RAND(),$C$7,$D$7))</f>
        <v/>
      </c>
      <c r="M797" s="25">
        <f>MIN(0.16,MAX(0.05,NORMINV(RAND(),$C$8,$D$8)))</f>
        <v/>
      </c>
      <c r="N797" s="26">
        <f>MIN(24,MAX(5,NORMINV(RAND(),$C$9,$D$9)))</f>
        <v/>
      </c>
      <c r="O797" s="49">
        <f>$I$8*(SUMPRODUCT(($I$2*(1+K797)^{1;2;3;4;5;6;7;8;9;10})*(($I$3+(L797-$I$3)*{1;2;3;4;5;6;7;8;9;10}/10)*(1-$I$7)+$I$4-$I$4*($I$5+(1.05-$I$5)*{1;2;3;4;5;6;7;8;9;10}/10)-(K797/(1+K797))*$I$6)/(1+M797)^{1;2;3;4;5;6;7;8;9;10})+$I$2*(1+K797)^10*(L797+$I$4)*N797/(1+M797)^10+$I$9-$I$10)/$I$11</f>
        <v/>
      </c>
    </row>
    <row r="798">
      <c r="K798" s="25">
        <f>MAX(-0.05,NORMINV(RAND(),$C$6,$D$6))</f>
        <v/>
      </c>
      <c r="L798" s="25">
        <f>MAX(0.02,NORMINV(RAND(),$C$7,$D$7))</f>
        <v/>
      </c>
      <c r="M798" s="25">
        <f>MIN(0.16,MAX(0.05,NORMINV(RAND(),$C$8,$D$8)))</f>
        <v/>
      </c>
      <c r="N798" s="26">
        <f>MIN(24,MAX(5,NORMINV(RAND(),$C$9,$D$9)))</f>
        <v/>
      </c>
      <c r="O798" s="49">
        <f>$I$8*(SUMPRODUCT(($I$2*(1+K798)^{1;2;3;4;5;6;7;8;9;10})*(($I$3+(L798-$I$3)*{1;2;3;4;5;6;7;8;9;10}/10)*(1-$I$7)+$I$4-$I$4*($I$5+(1.05-$I$5)*{1;2;3;4;5;6;7;8;9;10}/10)-(K798/(1+K798))*$I$6)/(1+M798)^{1;2;3;4;5;6;7;8;9;10})+$I$2*(1+K798)^10*(L798+$I$4)*N798/(1+M798)^10+$I$9-$I$10)/$I$11</f>
        <v/>
      </c>
    </row>
    <row r="799">
      <c r="K799" s="25">
        <f>MAX(-0.05,NORMINV(RAND(),$C$6,$D$6))</f>
        <v/>
      </c>
      <c r="L799" s="25">
        <f>MAX(0.02,NORMINV(RAND(),$C$7,$D$7))</f>
        <v/>
      </c>
      <c r="M799" s="25">
        <f>MIN(0.16,MAX(0.05,NORMINV(RAND(),$C$8,$D$8)))</f>
        <v/>
      </c>
      <c r="N799" s="26">
        <f>MIN(24,MAX(5,NORMINV(RAND(),$C$9,$D$9)))</f>
        <v/>
      </c>
      <c r="O799" s="49">
        <f>$I$8*(SUMPRODUCT(($I$2*(1+K799)^{1;2;3;4;5;6;7;8;9;10})*(($I$3+(L799-$I$3)*{1;2;3;4;5;6;7;8;9;10}/10)*(1-$I$7)+$I$4-$I$4*($I$5+(1.05-$I$5)*{1;2;3;4;5;6;7;8;9;10}/10)-(K799/(1+K799))*$I$6)/(1+M799)^{1;2;3;4;5;6;7;8;9;10})+$I$2*(1+K799)^10*(L799+$I$4)*N799/(1+M799)^10+$I$9-$I$10)/$I$11</f>
        <v/>
      </c>
    </row>
    <row r="800">
      <c r="K800" s="25">
        <f>MAX(-0.05,NORMINV(RAND(),$C$6,$D$6))</f>
        <v/>
      </c>
      <c r="L800" s="25">
        <f>MAX(0.02,NORMINV(RAND(),$C$7,$D$7))</f>
        <v/>
      </c>
      <c r="M800" s="25">
        <f>MIN(0.16,MAX(0.05,NORMINV(RAND(),$C$8,$D$8)))</f>
        <v/>
      </c>
      <c r="N800" s="26">
        <f>MIN(24,MAX(5,NORMINV(RAND(),$C$9,$D$9)))</f>
        <v/>
      </c>
      <c r="O800" s="49">
        <f>$I$8*(SUMPRODUCT(($I$2*(1+K800)^{1;2;3;4;5;6;7;8;9;10})*(($I$3+(L800-$I$3)*{1;2;3;4;5;6;7;8;9;10}/10)*(1-$I$7)+$I$4-$I$4*($I$5+(1.05-$I$5)*{1;2;3;4;5;6;7;8;9;10}/10)-(K800/(1+K800))*$I$6)/(1+M800)^{1;2;3;4;5;6;7;8;9;10})+$I$2*(1+K800)^10*(L800+$I$4)*N800/(1+M800)^10+$I$9-$I$10)/$I$11</f>
        <v/>
      </c>
    </row>
    <row r="801">
      <c r="K801" s="25">
        <f>MAX(-0.05,NORMINV(RAND(),$C$6,$D$6))</f>
        <v/>
      </c>
      <c r="L801" s="25">
        <f>MAX(0.02,NORMINV(RAND(),$C$7,$D$7))</f>
        <v/>
      </c>
      <c r="M801" s="25">
        <f>MIN(0.16,MAX(0.05,NORMINV(RAND(),$C$8,$D$8)))</f>
        <v/>
      </c>
      <c r="N801" s="26">
        <f>MIN(24,MAX(5,NORMINV(RAND(),$C$9,$D$9)))</f>
        <v/>
      </c>
      <c r="O801" s="49">
        <f>$I$8*(SUMPRODUCT(($I$2*(1+K801)^{1;2;3;4;5;6;7;8;9;10})*(($I$3+(L801-$I$3)*{1;2;3;4;5;6;7;8;9;10}/10)*(1-$I$7)+$I$4-$I$4*($I$5+(1.05-$I$5)*{1;2;3;4;5;6;7;8;9;10}/10)-(K801/(1+K801))*$I$6)/(1+M801)^{1;2;3;4;5;6;7;8;9;10})+$I$2*(1+K801)^10*(L801+$I$4)*N801/(1+M801)^10+$I$9-$I$10)/$I$11</f>
        <v/>
      </c>
    </row>
    <row r="802">
      <c r="K802" s="25">
        <f>MAX(-0.05,NORMINV(RAND(),$C$6,$D$6))</f>
        <v/>
      </c>
      <c r="L802" s="25">
        <f>MAX(0.02,NORMINV(RAND(),$C$7,$D$7))</f>
        <v/>
      </c>
      <c r="M802" s="25">
        <f>MIN(0.16,MAX(0.05,NORMINV(RAND(),$C$8,$D$8)))</f>
        <v/>
      </c>
      <c r="N802" s="26">
        <f>MIN(24,MAX(5,NORMINV(RAND(),$C$9,$D$9)))</f>
        <v/>
      </c>
      <c r="O802" s="49">
        <f>$I$8*(SUMPRODUCT(($I$2*(1+K802)^{1;2;3;4;5;6;7;8;9;10})*(($I$3+(L802-$I$3)*{1;2;3;4;5;6;7;8;9;10}/10)*(1-$I$7)+$I$4-$I$4*($I$5+(1.05-$I$5)*{1;2;3;4;5;6;7;8;9;10}/10)-(K802/(1+K802))*$I$6)/(1+M802)^{1;2;3;4;5;6;7;8;9;10})+$I$2*(1+K802)^10*(L802+$I$4)*N802/(1+M802)^10+$I$9-$I$10)/$I$11</f>
        <v/>
      </c>
    </row>
    <row r="803">
      <c r="K803" s="25">
        <f>MAX(-0.05,NORMINV(RAND(),$C$6,$D$6))</f>
        <v/>
      </c>
      <c r="L803" s="25">
        <f>MAX(0.02,NORMINV(RAND(),$C$7,$D$7))</f>
        <v/>
      </c>
      <c r="M803" s="25">
        <f>MIN(0.16,MAX(0.05,NORMINV(RAND(),$C$8,$D$8)))</f>
        <v/>
      </c>
      <c r="N803" s="26">
        <f>MIN(24,MAX(5,NORMINV(RAND(),$C$9,$D$9)))</f>
        <v/>
      </c>
      <c r="O803" s="49">
        <f>$I$8*(SUMPRODUCT(($I$2*(1+K803)^{1;2;3;4;5;6;7;8;9;10})*(($I$3+(L803-$I$3)*{1;2;3;4;5;6;7;8;9;10}/10)*(1-$I$7)+$I$4-$I$4*($I$5+(1.05-$I$5)*{1;2;3;4;5;6;7;8;9;10}/10)-(K803/(1+K803))*$I$6)/(1+M803)^{1;2;3;4;5;6;7;8;9;10})+$I$2*(1+K803)^10*(L803+$I$4)*N803/(1+M803)^10+$I$9-$I$10)/$I$11</f>
        <v/>
      </c>
    </row>
    <row r="804">
      <c r="K804" s="25">
        <f>MAX(-0.05,NORMINV(RAND(),$C$6,$D$6))</f>
        <v/>
      </c>
      <c r="L804" s="25">
        <f>MAX(0.02,NORMINV(RAND(),$C$7,$D$7))</f>
        <v/>
      </c>
      <c r="M804" s="25">
        <f>MIN(0.16,MAX(0.05,NORMINV(RAND(),$C$8,$D$8)))</f>
        <v/>
      </c>
      <c r="N804" s="26">
        <f>MIN(24,MAX(5,NORMINV(RAND(),$C$9,$D$9)))</f>
        <v/>
      </c>
      <c r="O804" s="49">
        <f>$I$8*(SUMPRODUCT(($I$2*(1+K804)^{1;2;3;4;5;6;7;8;9;10})*(($I$3+(L804-$I$3)*{1;2;3;4;5;6;7;8;9;10}/10)*(1-$I$7)+$I$4-$I$4*($I$5+(1.05-$I$5)*{1;2;3;4;5;6;7;8;9;10}/10)-(K804/(1+K804))*$I$6)/(1+M804)^{1;2;3;4;5;6;7;8;9;10})+$I$2*(1+K804)^10*(L804+$I$4)*N804/(1+M804)^10+$I$9-$I$10)/$I$11</f>
        <v/>
      </c>
    </row>
    <row r="805">
      <c r="K805" s="25">
        <f>MAX(-0.05,NORMINV(RAND(),$C$6,$D$6))</f>
        <v/>
      </c>
      <c r="L805" s="25">
        <f>MAX(0.02,NORMINV(RAND(),$C$7,$D$7))</f>
        <v/>
      </c>
      <c r="M805" s="25">
        <f>MIN(0.16,MAX(0.05,NORMINV(RAND(),$C$8,$D$8)))</f>
        <v/>
      </c>
      <c r="N805" s="26">
        <f>MIN(24,MAX(5,NORMINV(RAND(),$C$9,$D$9)))</f>
        <v/>
      </c>
      <c r="O805" s="49">
        <f>$I$8*(SUMPRODUCT(($I$2*(1+K805)^{1;2;3;4;5;6;7;8;9;10})*(($I$3+(L805-$I$3)*{1;2;3;4;5;6;7;8;9;10}/10)*(1-$I$7)+$I$4-$I$4*($I$5+(1.05-$I$5)*{1;2;3;4;5;6;7;8;9;10}/10)-(K805/(1+K805))*$I$6)/(1+M805)^{1;2;3;4;5;6;7;8;9;10})+$I$2*(1+K805)^10*(L805+$I$4)*N805/(1+M805)^10+$I$9-$I$10)/$I$11</f>
        <v/>
      </c>
    </row>
    <row r="806">
      <c r="K806" s="25">
        <f>MAX(-0.05,NORMINV(RAND(),$C$6,$D$6))</f>
        <v/>
      </c>
      <c r="L806" s="25">
        <f>MAX(0.02,NORMINV(RAND(),$C$7,$D$7))</f>
        <v/>
      </c>
      <c r="M806" s="25">
        <f>MIN(0.16,MAX(0.05,NORMINV(RAND(),$C$8,$D$8)))</f>
        <v/>
      </c>
      <c r="N806" s="26">
        <f>MIN(24,MAX(5,NORMINV(RAND(),$C$9,$D$9)))</f>
        <v/>
      </c>
      <c r="O806" s="49">
        <f>$I$8*(SUMPRODUCT(($I$2*(1+K806)^{1;2;3;4;5;6;7;8;9;10})*(($I$3+(L806-$I$3)*{1;2;3;4;5;6;7;8;9;10}/10)*(1-$I$7)+$I$4-$I$4*($I$5+(1.05-$I$5)*{1;2;3;4;5;6;7;8;9;10}/10)-(K806/(1+K806))*$I$6)/(1+M806)^{1;2;3;4;5;6;7;8;9;10})+$I$2*(1+K806)^10*(L806+$I$4)*N806/(1+M806)^10+$I$9-$I$10)/$I$11</f>
        <v/>
      </c>
    </row>
    <row r="807">
      <c r="K807" s="25">
        <f>MAX(-0.05,NORMINV(RAND(),$C$6,$D$6))</f>
        <v/>
      </c>
      <c r="L807" s="25">
        <f>MAX(0.02,NORMINV(RAND(),$C$7,$D$7))</f>
        <v/>
      </c>
      <c r="M807" s="25">
        <f>MIN(0.16,MAX(0.05,NORMINV(RAND(),$C$8,$D$8)))</f>
        <v/>
      </c>
      <c r="N807" s="26">
        <f>MIN(24,MAX(5,NORMINV(RAND(),$C$9,$D$9)))</f>
        <v/>
      </c>
      <c r="O807" s="49">
        <f>$I$8*(SUMPRODUCT(($I$2*(1+K807)^{1;2;3;4;5;6;7;8;9;10})*(($I$3+(L807-$I$3)*{1;2;3;4;5;6;7;8;9;10}/10)*(1-$I$7)+$I$4-$I$4*($I$5+(1.05-$I$5)*{1;2;3;4;5;6;7;8;9;10}/10)-(K807/(1+K807))*$I$6)/(1+M807)^{1;2;3;4;5;6;7;8;9;10})+$I$2*(1+K807)^10*(L807+$I$4)*N807/(1+M807)^10+$I$9-$I$10)/$I$11</f>
        <v/>
      </c>
    </row>
    <row r="808">
      <c r="K808" s="25">
        <f>MAX(-0.05,NORMINV(RAND(),$C$6,$D$6))</f>
        <v/>
      </c>
      <c r="L808" s="25">
        <f>MAX(0.02,NORMINV(RAND(),$C$7,$D$7))</f>
        <v/>
      </c>
      <c r="M808" s="25">
        <f>MIN(0.16,MAX(0.05,NORMINV(RAND(),$C$8,$D$8)))</f>
        <v/>
      </c>
      <c r="N808" s="26">
        <f>MIN(24,MAX(5,NORMINV(RAND(),$C$9,$D$9)))</f>
        <v/>
      </c>
      <c r="O808" s="49">
        <f>$I$8*(SUMPRODUCT(($I$2*(1+K808)^{1;2;3;4;5;6;7;8;9;10})*(($I$3+(L808-$I$3)*{1;2;3;4;5;6;7;8;9;10}/10)*(1-$I$7)+$I$4-$I$4*($I$5+(1.05-$I$5)*{1;2;3;4;5;6;7;8;9;10}/10)-(K808/(1+K808))*$I$6)/(1+M808)^{1;2;3;4;5;6;7;8;9;10})+$I$2*(1+K808)^10*(L808+$I$4)*N808/(1+M808)^10+$I$9-$I$10)/$I$11</f>
        <v/>
      </c>
    </row>
    <row r="809">
      <c r="K809" s="25">
        <f>MAX(-0.05,NORMINV(RAND(),$C$6,$D$6))</f>
        <v/>
      </c>
      <c r="L809" s="25">
        <f>MAX(0.02,NORMINV(RAND(),$C$7,$D$7))</f>
        <v/>
      </c>
      <c r="M809" s="25">
        <f>MIN(0.16,MAX(0.05,NORMINV(RAND(),$C$8,$D$8)))</f>
        <v/>
      </c>
      <c r="N809" s="26">
        <f>MIN(24,MAX(5,NORMINV(RAND(),$C$9,$D$9)))</f>
        <v/>
      </c>
      <c r="O809" s="49">
        <f>$I$8*(SUMPRODUCT(($I$2*(1+K809)^{1;2;3;4;5;6;7;8;9;10})*(($I$3+(L809-$I$3)*{1;2;3;4;5;6;7;8;9;10}/10)*(1-$I$7)+$I$4-$I$4*($I$5+(1.05-$I$5)*{1;2;3;4;5;6;7;8;9;10}/10)-(K809/(1+K809))*$I$6)/(1+M809)^{1;2;3;4;5;6;7;8;9;10})+$I$2*(1+K809)^10*(L809+$I$4)*N809/(1+M809)^10+$I$9-$I$10)/$I$11</f>
        <v/>
      </c>
    </row>
    <row r="810">
      <c r="K810" s="25">
        <f>MAX(-0.05,NORMINV(RAND(),$C$6,$D$6))</f>
        <v/>
      </c>
      <c r="L810" s="25">
        <f>MAX(0.02,NORMINV(RAND(),$C$7,$D$7))</f>
        <v/>
      </c>
      <c r="M810" s="25">
        <f>MIN(0.16,MAX(0.05,NORMINV(RAND(),$C$8,$D$8)))</f>
        <v/>
      </c>
      <c r="N810" s="26">
        <f>MIN(24,MAX(5,NORMINV(RAND(),$C$9,$D$9)))</f>
        <v/>
      </c>
      <c r="O810" s="49">
        <f>$I$8*(SUMPRODUCT(($I$2*(1+K810)^{1;2;3;4;5;6;7;8;9;10})*(($I$3+(L810-$I$3)*{1;2;3;4;5;6;7;8;9;10}/10)*(1-$I$7)+$I$4-$I$4*($I$5+(1.05-$I$5)*{1;2;3;4;5;6;7;8;9;10}/10)-(K810/(1+K810))*$I$6)/(1+M810)^{1;2;3;4;5;6;7;8;9;10})+$I$2*(1+K810)^10*(L810+$I$4)*N810/(1+M810)^10+$I$9-$I$10)/$I$11</f>
        <v/>
      </c>
    </row>
    <row r="811">
      <c r="K811" s="25">
        <f>MAX(-0.05,NORMINV(RAND(),$C$6,$D$6))</f>
        <v/>
      </c>
      <c r="L811" s="25">
        <f>MAX(0.02,NORMINV(RAND(),$C$7,$D$7))</f>
        <v/>
      </c>
      <c r="M811" s="25">
        <f>MIN(0.16,MAX(0.05,NORMINV(RAND(),$C$8,$D$8)))</f>
        <v/>
      </c>
      <c r="N811" s="26">
        <f>MIN(24,MAX(5,NORMINV(RAND(),$C$9,$D$9)))</f>
        <v/>
      </c>
      <c r="O811" s="49">
        <f>$I$8*(SUMPRODUCT(($I$2*(1+K811)^{1;2;3;4;5;6;7;8;9;10})*(($I$3+(L811-$I$3)*{1;2;3;4;5;6;7;8;9;10}/10)*(1-$I$7)+$I$4-$I$4*($I$5+(1.05-$I$5)*{1;2;3;4;5;6;7;8;9;10}/10)-(K811/(1+K811))*$I$6)/(1+M811)^{1;2;3;4;5;6;7;8;9;10})+$I$2*(1+K811)^10*(L811+$I$4)*N811/(1+M811)^10+$I$9-$I$10)/$I$11</f>
        <v/>
      </c>
    </row>
    <row r="812">
      <c r="K812" s="25">
        <f>MAX(-0.05,NORMINV(RAND(),$C$6,$D$6))</f>
        <v/>
      </c>
      <c r="L812" s="25">
        <f>MAX(0.02,NORMINV(RAND(),$C$7,$D$7))</f>
        <v/>
      </c>
      <c r="M812" s="25">
        <f>MIN(0.16,MAX(0.05,NORMINV(RAND(),$C$8,$D$8)))</f>
        <v/>
      </c>
      <c r="N812" s="26">
        <f>MIN(24,MAX(5,NORMINV(RAND(),$C$9,$D$9)))</f>
        <v/>
      </c>
      <c r="O812" s="49">
        <f>$I$8*(SUMPRODUCT(($I$2*(1+K812)^{1;2;3;4;5;6;7;8;9;10})*(($I$3+(L812-$I$3)*{1;2;3;4;5;6;7;8;9;10}/10)*(1-$I$7)+$I$4-$I$4*($I$5+(1.05-$I$5)*{1;2;3;4;5;6;7;8;9;10}/10)-(K812/(1+K812))*$I$6)/(1+M812)^{1;2;3;4;5;6;7;8;9;10})+$I$2*(1+K812)^10*(L812+$I$4)*N812/(1+M812)^10+$I$9-$I$10)/$I$11</f>
        <v/>
      </c>
    </row>
    <row r="813">
      <c r="K813" s="25">
        <f>MAX(-0.05,NORMINV(RAND(),$C$6,$D$6))</f>
        <v/>
      </c>
      <c r="L813" s="25">
        <f>MAX(0.02,NORMINV(RAND(),$C$7,$D$7))</f>
        <v/>
      </c>
      <c r="M813" s="25">
        <f>MIN(0.16,MAX(0.05,NORMINV(RAND(),$C$8,$D$8)))</f>
        <v/>
      </c>
      <c r="N813" s="26">
        <f>MIN(24,MAX(5,NORMINV(RAND(),$C$9,$D$9)))</f>
        <v/>
      </c>
      <c r="O813" s="49">
        <f>$I$8*(SUMPRODUCT(($I$2*(1+K813)^{1;2;3;4;5;6;7;8;9;10})*(($I$3+(L813-$I$3)*{1;2;3;4;5;6;7;8;9;10}/10)*(1-$I$7)+$I$4-$I$4*($I$5+(1.05-$I$5)*{1;2;3;4;5;6;7;8;9;10}/10)-(K813/(1+K813))*$I$6)/(1+M813)^{1;2;3;4;5;6;7;8;9;10})+$I$2*(1+K813)^10*(L813+$I$4)*N813/(1+M813)^10+$I$9-$I$10)/$I$11</f>
        <v/>
      </c>
    </row>
    <row r="814">
      <c r="K814" s="25">
        <f>MAX(-0.05,NORMINV(RAND(),$C$6,$D$6))</f>
        <v/>
      </c>
      <c r="L814" s="25">
        <f>MAX(0.02,NORMINV(RAND(),$C$7,$D$7))</f>
        <v/>
      </c>
      <c r="M814" s="25">
        <f>MIN(0.16,MAX(0.05,NORMINV(RAND(),$C$8,$D$8)))</f>
        <v/>
      </c>
      <c r="N814" s="26">
        <f>MIN(24,MAX(5,NORMINV(RAND(),$C$9,$D$9)))</f>
        <v/>
      </c>
      <c r="O814" s="49">
        <f>$I$8*(SUMPRODUCT(($I$2*(1+K814)^{1;2;3;4;5;6;7;8;9;10})*(($I$3+(L814-$I$3)*{1;2;3;4;5;6;7;8;9;10}/10)*(1-$I$7)+$I$4-$I$4*($I$5+(1.05-$I$5)*{1;2;3;4;5;6;7;8;9;10}/10)-(K814/(1+K814))*$I$6)/(1+M814)^{1;2;3;4;5;6;7;8;9;10})+$I$2*(1+K814)^10*(L814+$I$4)*N814/(1+M814)^10+$I$9-$I$10)/$I$11</f>
        <v/>
      </c>
    </row>
    <row r="815">
      <c r="K815" s="25">
        <f>MAX(-0.05,NORMINV(RAND(),$C$6,$D$6))</f>
        <v/>
      </c>
      <c r="L815" s="25">
        <f>MAX(0.02,NORMINV(RAND(),$C$7,$D$7))</f>
        <v/>
      </c>
      <c r="M815" s="25">
        <f>MIN(0.16,MAX(0.05,NORMINV(RAND(),$C$8,$D$8)))</f>
        <v/>
      </c>
      <c r="N815" s="26">
        <f>MIN(24,MAX(5,NORMINV(RAND(),$C$9,$D$9)))</f>
        <v/>
      </c>
      <c r="O815" s="49">
        <f>$I$8*(SUMPRODUCT(($I$2*(1+K815)^{1;2;3;4;5;6;7;8;9;10})*(($I$3+(L815-$I$3)*{1;2;3;4;5;6;7;8;9;10}/10)*(1-$I$7)+$I$4-$I$4*($I$5+(1.05-$I$5)*{1;2;3;4;5;6;7;8;9;10}/10)-(K815/(1+K815))*$I$6)/(1+M815)^{1;2;3;4;5;6;7;8;9;10})+$I$2*(1+K815)^10*(L815+$I$4)*N815/(1+M815)^10+$I$9-$I$10)/$I$11</f>
        <v/>
      </c>
    </row>
    <row r="816">
      <c r="K816" s="25">
        <f>MAX(-0.05,NORMINV(RAND(),$C$6,$D$6))</f>
        <v/>
      </c>
      <c r="L816" s="25">
        <f>MAX(0.02,NORMINV(RAND(),$C$7,$D$7))</f>
        <v/>
      </c>
      <c r="M816" s="25">
        <f>MIN(0.16,MAX(0.05,NORMINV(RAND(),$C$8,$D$8)))</f>
        <v/>
      </c>
      <c r="N816" s="26">
        <f>MIN(24,MAX(5,NORMINV(RAND(),$C$9,$D$9)))</f>
        <v/>
      </c>
      <c r="O816" s="49">
        <f>$I$8*(SUMPRODUCT(($I$2*(1+K816)^{1;2;3;4;5;6;7;8;9;10})*(($I$3+(L816-$I$3)*{1;2;3;4;5;6;7;8;9;10}/10)*(1-$I$7)+$I$4-$I$4*($I$5+(1.05-$I$5)*{1;2;3;4;5;6;7;8;9;10}/10)-(K816/(1+K816))*$I$6)/(1+M816)^{1;2;3;4;5;6;7;8;9;10})+$I$2*(1+K816)^10*(L816+$I$4)*N816/(1+M816)^10+$I$9-$I$10)/$I$11</f>
        <v/>
      </c>
    </row>
    <row r="817">
      <c r="K817" s="25">
        <f>MAX(-0.05,NORMINV(RAND(),$C$6,$D$6))</f>
        <v/>
      </c>
      <c r="L817" s="25">
        <f>MAX(0.02,NORMINV(RAND(),$C$7,$D$7))</f>
        <v/>
      </c>
      <c r="M817" s="25">
        <f>MIN(0.16,MAX(0.05,NORMINV(RAND(),$C$8,$D$8)))</f>
        <v/>
      </c>
      <c r="N817" s="26">
        <f>MIN(24,MAX(5,NORMINV(RAND(),$C$9,$D$9)))</f>
        <v/>
      </c>
      <c r="O817" s="49">
        <f>$I$8*(SUMPRODUCT(($I$2*(1+K817)^{1;2;3;4;5;6;7;8;9;10})*(($I$3+(L817-$I$3)*{1;2;3;4;5;6;7;8;9;10}/10)*(1-$I$7)+$I$4-$I$4*($I$5+(1.05-$I$5)*{1;2;3;4;5;6;7;8;9;10}/10)-(K817/(1+K817))*$I$6)/(1+M817)^{1;2;3;4;5;6;7;8;9;10})+$I$2*(1+K817)^10*(L817+$I$4)*N817/(1+M817)^10+$I$9-$I$10)/$I$11</f>
        <v/>
      </c>
    </row>
    <row r="818">
      <c r="K818" s="25">
        <f>MAX(-0.05,NORMINV(RAND(),$C$6,$D$6))</f>
        <v/>
      </c>
      <c r="L818" s="25">
        <f>MAX(0.02,NORMINV(RAND(),$C$7,$D$7))</f>
        <v/>
      </c>
      <c r="M818" s="25">
        <f>MIN(0.16,MAX(0.05,NORMINV(RAND(),$C$8,$D$8)))</f>
        <v/>
      </c>
      <c r="N818" s="26">
        <f>MIN(24,MAX(5,NORMINV(RAND(),$C$9,$D$9)))</f>
        <v/>
      </c>
      <c r="O818" s="49">
        <f>$I$8*(SUMPRODUCT(($I$2*(1+K818)^{1;2;3;4;5;6;7;8;9;10})*(($I$3+(L818-$I$3)*{1;2;3;4;5;6;7;8;9;10}/10)*(1-$I$7)+$I$4-$I$4*($I$5+(1.05-$I$5)*{1;2;3;4;5;6;7;8;9;10}/10)-(K818/(1+K818))*$I$6)/(1+M818)^{1;2;3;4;5;6;7;8;9;10})+$I$2*(1+K818)^10*(L818+$I$4)*N818/(1+M818)^10+$I$9-$I$10)/$I$11</f>
        <v/>
      </c>
    </row>
    <row r="819">
      <c r="K819" s="25">
        <f>MAX(-0.05,NORMINV(RAND(),$C$6,$D$6))</f>
        <v/>
      </c>
      <c r="L819" s="25">
        <f>MAX(0.02,NORMINV(RAND(),$C$7,$D$7))</f>
        <v/>
      </c>
      <c r="M819" s="25">
        <f>MIN(0.16,MAX(0.05,NORMINV(RAND(),$C$8,$D$8)))</f>
        <v/>
      </c>
      <c r="N819" s="26">
        <f>MIN(24,MAX(5,NORMINV(RAND(),$C$9,$D$9)))</f>
        <v/>
      </c>
      <c r="O819" s="49">
        <f>$I$8*(SUMPRODUCT(($I$2*(1+K819)^{1;2;3;4;5;6;7;8;9;10})*(($I$3+(L819-$I$3)*{1;2;3;4;5;6;7;8;9;10}/10)*(1-$I$7)+$I$4-$I$4*($I$5+(1.05-$I$5)*{1;2;3;4;5;6;7;8;9;10}/10)-(K819/(1+K819))*$I$6)/(1+M819)^{1;2;3;4;5;6;7;8;9;10})+$I$2*(1+K819)^10*(L819+$I$4)*N819/(1+M819)^10+$I$9-$I$10)/$I$11</f>
        <v/>
      </c>
    </row>
    <row r="820">
      <c r="K820" s="25">
        <f>MAX(-0.05,NORMINV(RAND(),$C$6,$D$6))</f>
        <v/>
      </c>
      <c r="L820" s="25">
        <f>MAX(0.02,NORMINV(RAND(),$C$7,$D$7))</f>
        <v/>
      </c>
      <c r="M820" s="25">
        <f>MIN(0.16,MAX(0.05,NORMINV(RAND(),$C$8,$D$8)))</f>
        <v/>
      </c>
      <c r="N820" s="26">
        <f>MIN(24,MAX(5,NORMINV(RAND(),$C$9,$D$9)))</f>
        <v/>
      </c>
      <c r="O820" s="49">
        <f>$I$8*(SUMPRODUCT(($I$2*(1+K820)^{1;2;3;4;5;6;7;8;9;10})*(($I$3+(L820-$I$3)*{1;2;3;4;5;6;7;8;9;10}/10)*(1-$I$7)+$I$4-$I$4*($I$5+(1.05-$I$5)*{1;2;3;4;5;6;7;8;9;10}/10)-(K820/(1+K820))*$I$6)/(1+M820)^{1;2;3;4;5;6;7;8;9;10})+$I$2*(1+K820)^10*(L820+$I$4)*N820/(1+M820)^10+$I$9-$I$10)/$I$11</f>
        <v/>
      </c>
    </row>
    <row r="821">
      <c r="K821" s="25">
        <f>MAX(-0.05,NORMINV(RAND(),$C$6,$D$6))</f>
        <v/>
      </c>
      <c r="L821" s="25">
        <f>MAX(0.02,NORMINV(RAND(),$C$7,$D$7))</f>
        <v/>
      </c>
      <c r="M821" s="25">
        <f>MIN(0.16,MAX(0.05,NORMINV(RAND(),$C$8,$D$8)))</f>
        <v/>
      </c>
      <c r="N821" s="26">
        <f>MIN(24,MAX(5,NORMINV(RAND(),$C$9,$D$9)))</f>
        <v/>
      </c>
      <c r="O821" s="49">
        <f>$I$8*(SUMPRODUCT(($I$2*(1+K821)^{1;2;3;4;5;6;7;8;9;10})*(($I$3+(L821-$I$3)*{1;2;3;4;5;6;7;8;9;10}/10)*(1-$I$7)+$I$4-$I$4*($I$5+(1.05-$I$5)*{1;2;3;4;5;6;7;8;9;10}/10)-(K821/(1+K821))*$I$6)/(1+M821)^{1;2;3;4;5;6;7;8;9;10})+$I$2*(1+K821)^10*(L821+$I$4)*N821/(1+M821)^10+$I$9-$I$10)/$I$11</f>
        <v/>
      </c>
    </row>
    <row r="822">
      <c r="K822" s="25">
        <f>MAX(-0.05,NORMINV(RAND(),$C$6,$D$6))</f>
        <v/>
      </c>
      <c r="L822" s="25">
        <f>MAX(0.02,NORMINV(RAND(),$C$7,$D$7))</f>
        <v/>
      </c>
      <c r="M822" s="25">
        <f>MIN(0.16,MAX(0.05,NORMINV(RAND(),$C$8,$D$8)))</f>
        <v/>
      </c>
      <c r="N822" s="26">
        <f>MIN(24,MAX(5,NORMINV(RAND(),$C$9,$D$9)))</f>
        <v/>
      </c>
      <c r="O822" s="49">
        <f>$I$8*(SUMPRODUCT(($I$2*(1+K822)^{1;2;3;4;5;6;7;8;9;10})*(($I$3+(L822-$I$3)*{1;2;3;4;5;6;7;8;9;10}/10)*(1-$I$7)+$I$4-$I$4*($I$5+(1.05-$I$5)*{1;2;3;4;5;6;7;8;9;10}/10)-(K822/(1+K822))*$I$6)/(1+M822)^{1;2;3;4;5;6;7;8;9;10})+$I$2*(1+K822)^10*(L822+$I$4)*N822/(1+M822)^10+$I$9-$I$10)/$I$11</f>
        <v/>
      </c>
    </row>
    <row r="823">
      <c r="K823" s="25">
        <f>MAX(-0.05,NORMINV(RAND(),$C$6,$D$6))</f>
        <v/>
      </c>
      <c r="L823" s="25">
        <f>MAX(0.02,NORMINV(RAND(),$C$7,$D$7))</f>
        <v/>
      </c>
      <c r="M823" s="25">
        <f>MIN(0.16,MAX(0.05,NORMINV(RAND(),$C$8,$D$8)))</f>
        <v/>
      </c>
      <c r="N823" s="26">
        <f>MIN(24,MAX(5,NORMINV(RAND(),$C$9,$D$9)))</f>
        <v/>
      </c>
      <c r="O823" s="49">
        <f>$I$8*(SUMPRODUCT(($I$2*(1+K823)^{1;2;3;4;5;6;7;8;9;10})*(($I$3+(L823-$I$3)*{1;2;3;4;5;6;7;8;9;10}/10)*(1-$I$7)+$I$4-$I$4*($I$5+(1.05-$I$5)*{1;2;3;4;5;6;7;8;9;10}/10)-(K823/(1+K823))*$I$6)/(1+M823)^{1;2;3;4;5;6;7;8;9;10})+$I$2*(1+K823)^10*(L823+$I$4)*N823/(1+M823)^10+$I$9-$I$10)/$I$11</f>
        <v/>
      </c>
    </row>
    <row r="824">
      <c r="K824" s="25">
        <f>MAX(-0.05,NORMINV(RAND(),$C$6,$D$6))</f>
        <v/>
      </c>
      <c r="L824" s="25">
        <f>MAX(0.02,NORMINV(RAND(),$C$7,$D$7))</f>
        <v/>
      </c>
      <c r="M824" s="25">
        <f>MIN(0.16,MAX(0.05,NORMINV(RAND(),$C$8,$D$8)))</f>
        <v/>
      </c>
      <c r="N824" s="26">
        <f>MIN(24,MAX(5,NORMINV(RAND(),$C$9,$D$9)))</f>
        <v/>
      </c>
      <c r="O824" s="49">
        <f>$I$8*(SUMPRODUCT(($I$2*(1+K824)^{1;2;3;4;5;6;7;8;9;10})*(($I$3+(L824-$I$3)*{1;2;3;4;5;6;7;8;9;10}/10)*(1-$I$7)+$I$4-$I$4*($I$5+(1.05-$I$5)*{1;2;3;4;5;6;7;8;9;10}/10)-(K824/(1+K824))*$I$6)/(1+M824)^{1;2;3;4;5;6;7;8;9;10})+$I$2*(1+K824)^10*(L824+$I$4)*N824/(1+M824)^10+$I$9-$I$10)/$I$11</f>
        <v/>
      </c>
    </row>
    <row r="825">
      <c r="K825" s="25">
        <f>MAX(-0.05,NORMINV(RAND(),$C$6,$D$6))</f>
        <v/>
      </c>
      <c r="L825" s="25">
        <f>MAX(0.02,NORMINV(RAND(),$C$7,$D$7))</f>
        <v/>
      </c>
      <c r="M825" s="25">
        <f>MIN(0.16,MAX(0.05,NORMINV(RAND(),$C$8,$D$8)))</f>
        <v/>
      </c>
      <c r="N825" s="26">
        <f>MIN(24,MAX(5,NORMINV(RAND(),$C$9,$D$9)))</f>
        <v/>
      </c>
      <c r="O825" s="49">
        <f>$I$8*(SUMPRODUCT(($I$2*(1+K825)^{1;2;3;4;5;6;7;8;9;10})*(($I$3+(L825-$I$3)*{1;2;3;4;5;6;7;8;9;10}/10)*(1-$I$7)+$I$4-$I$4*($I$5+(1.05-$I$5)*{1;2;3;4;5;6;7;8;9;10}/10)-(K825/(1+K825))*$I$6)/(1+M825)^{1;2;3;4;5;6;7;8;9;10})+$I$2*(1+K825)^10*(L825+$I$4)*N825/(1+M825)^10+$I$9-$I$10)/$I$11</f>
        <v/>
      </c>
    </row>
    <row r="826">
      <c r="K826" s="25">
        <f>MAX(-0.05,NORMINV(RAND(),$C$6,$D$6))</f>
        <v/>
      </c>
      <c r="L826" s="25">
        <f>MAX(0.02,NORMINV(RAND(),$C$7,$D$7))</f>
        <v/>
      </c>
      <c r="M826" s="25">
        <f>MIN(0.16,MAX(0.05,NORMINV(RAND(),$C$8,$D$8)))</f>
        <v/>
      </c>
      <c r="N826" s="26">
        <f>MIN(24,MAX(5,NORMINV(RAND(),$C$9,$D$9)))</f>
        <v/>
      </c>
      <c r="O826" s="49">
        <f>$I$8*(SUMPRODUCT(($I$2*(1+K826)^{1;2;3;4;5;6;7;8;9;10})*(($I$3+(L826-$I$3)*{1;2;3;4;5;6;7;8;9;10}/10)*(1-$I$7)+$I$4-$I$4*($I$5+(1.05-$I$5)*{1;2;3;4;5;6;7;8;9;10}/10)-(K826/(1+K826))*$I$6)/(1+M826)^{1;2;3;4;5;6;7;8;9;10})+$I$2*(1+K826)^10*(L826+$I$4)*N826/(1+M826)^10+$I$9-$I$10)/$I$11</f>
        <v/>
      </c>
    </row>
    <row r="827">
      <c r="K827" s="25">
        <f>MAX(-0.05,NORMINV(RAND(),$C$6,$D$6))</f>
        <v/>
      </c>
      <c r="L827" s="25">
        <f>MAX(0.02,NORMINV(RAND(),$C$7,$D$7))</f>
        <v/>
      </c>
      <c r="M827" s="25">
        <f>MIN(0.16,MAX(0.05,NORMINV(RAND(),$C$8,$D$8)))</f>
        <v/>
      </c>
      <c r="N827" s="26">
        <f>MIN(24,MAX(5,NORMINV(RAND(),$C$9,$D$9)))</f>
        <v/>
      </c>
      <c r="O827" s="49">
        <f>$I$8*(SUMPRODUCT(($I$2*(1+K827)^{1;2;3;4;5;6;7;8;9;10})*(($I$3+(L827-$I$3)*{1;2;3;4;5;6;7;8;9;10}/10)*(1-$I$7)+$I$4-$I$4*($I$5+(1.05-$I$5)*{1;2;3;4;5;6;7;8;9;10}/10)-(K827/(1+K827))*$I$6)/(1+M827)^{1;2;3;4;5;6;7;8;9;10})+$I$2*(1+K827)^10*(L827+$I$4)*N827/(1+M827)^10+$I$9-$I$10)/$I$11</f>
        <v/>
      </c>
    </row>
    <row r="828">
      <c r="K828" s="25">
        <f>MAX(-0.05,NORMINV(RAND(),$C$6,$D$6))</f>
        <v/>
      </c>
      <c r="L828" s="25">
        <f>MAX(0.02,NORMINV(RAND(),$C$7,$D$7))</f>
        <v/>
      </c>
      <c r="M828" s="25">
        <f>MIN(0.16,MAX(0.05,NORMINV(RAND(),$C$8,$D$8)))</f>
        <v/>
      </c>
      <c r="N828" s="26">
        <f>MIN(24,MAX(5,NORMINV(RAND(),$C$9,$D$9)))</f>
        <v/>
      </c>
      <c r="O828" s="49">
        <f>$I$8*(SUMPRODUCT(($I$2*(1+K828)^{1;2;3;4;5;6;7;8;9;10})*(($I$3+(L828-$I$3)*{1;2;3;4;5;6;7;8;9;10}/10)*(1-$I$7)+$I$4-$I$4*($I$5+(1.05-$I$5)*{1;2;3;4;5;6;7;8;9;10}/10)-(K828/(1+K828))*$I$6)/(1+M828)^{1;2;3;4;5;6;7;8;9;10})+$I$2*(1+K828)^10*(L828+$I$4)*N828/(1+M828)^10+$I$9-$I$10)/$I$11</f>
        <v/>
      </c>
    </row>
    <row r="829">
      <c r="K829" s="25">
        <f>MAX(-0.05,NORMINV(RAND(),$C$6,$D$6))</f>
        <v/>
      </c>
      <c r="L829" s="25">
        <f>MAX(0.02,NORMINV(RAND(),$C$7,$D$7))</f>
        <v/>
      </c>
      <c r="M829" s="25">
        <f>MIN(0.16,MAX(0.05,NORMINV(RAND(),$C$8,$D$8)))</f>
        <v/>
      </c>
      <c r="N829" s="26">
        <f>MIN(24,MAX(5,NORMINV(RAND(),$C$9,$D$9)))</f>
        <v/>
      </c>
      <c r="O829" s="49">
        <f>$I$8*(SUMPRODUCT(($I$2*(1+K829)^{1;2;3;4;5;6;7;8;9;10})*(($I$3+(L829-$I$3)*{1;2;3;4;5;6;7;8;9;10}/10)*(1-$I$7)+$I$4-$I$4*($I$5+(1.05-$I$5)*{1;2;3;4;5;6;7;8;9;10}/10)-(K829/(1+K829))*$I$6)/(1+M829)^{1;2;3;4;5;6;7;8;9;10})+$I$2*(1+K829)^10*(L829+$I$4)*N829/(1+M829)^10+$I$9-$I$10)/$I$11</f>
        <v/>
      </c>
    </row>
    <row r="830">
      <c r="K830" s="25">
        <f>MAX(-0.05,NORMINV(RAND(),$C$6,$D$6))</f>
        <v/>
      </c>
      <c r="L830" s="25">
        <f>MAX(0.02,NORMINV(RAND(),$C$7,$D$7))</f>
        <v/>
      </c>
      <c r="M830" s="25">
        <f>MIN(0.16,MAX(0.05,NORMINV(RAND(),$C$8,$D$8)))</f>
        <v/>
      </c>
      <c r="N830" s="26">
        <f>MIN(24,MAX(5,NORMINV(RAND(),$C$9,$D$9)))</f>
        <v/>
      </c>
      <c r="O830" s="49">
        <f>$I$8*(SUMPRODUCT(($I$2*(1+K830)^{1;2;3;4;5;6;7;8;9;10})*(($I$3+(L830-$I$3)*{1;2;3;4;5;6;7;8;9;10}/10)*(1-$I$7)+$I$4-$I$4*($I$5+(1.05-$I$5)*{1;2;3;4;5;6;7;8;9;10}/10)-(K830/(1+K830))*$I$6)/(1+M830)^{1;2;3;4;5;6;7;8;9;10})+$I$2*(1+K830)^10*(L830+$I$4)*N830/(1+M830)^10+$I$9-$I$10)/$I$11</f>
        <v/>
      </c>
    </row>
    <row r="831">
      <c r="K831" s="25">
        <f>MAX(-0.05,NORMINV(RAND(),$C$6,$D$6))</f>
        <v/>
      </c>
      <c r="L831" s="25">
        <f>MAX(0.02,NORMINV(RAND(),$C$7,$D$7))</f>
        <v/>
      </c>
      <c r="M831" s="25">
        <f>MIN(0.16,MAX(0.05,NORMINV(RAND(),$C$8,$D$8)))</f>
        <v/>
      </c>
      <c r="N831" s="26">
        <f>MIN(24,MAX(5,NORMINV(RAND(),$C$9,$D$9)))</f>
        <v/>
      </c>
      <c r="O831" s="49">
        <f>$I$8*(SUMPRODUCT(($I$2*(1+K831)^{1;2;3;4;5;6;7;8;9;10})*(($I$3+(L831-$I$3)*{1;2;3;4;5;6;7;8;9;10}/10)*(1-$I$7)+$I$4-$I$4*($I$5+(1.05-$I$5)*{1;2;3;4;5;6;7;8;9;10}/10)-(K831/(1+K831))*$I$6)/(1+M831)^{1;2;3;4;5;6;7;8;9;10})+$I$2*(1+K831)^10*(L831+$I$4)*N831/(1+M831)^10+$I$9-$I$10)/$I$11</f>
        <v/>
      </c>
    </row>
    <row r="832">
      <c r="K832" s="25">
        <f>MAX(-0.05,NORMINV(RAND(),$C$6,$D$6))</f>
        <v/>
      </c>
      <c r="L832" s="25">
        <f>MAX(0.02,NORMINV(RAND(),$C$7,$D$7))</f>
        <v/>
      </c>
      <c r="M832" s="25">
        <f>MIN(0.16,MAX(0.05,NORMINV(RAND(),$C$8,$D$8)))</f>
        <v/>
      </c>
      <c r="N832" s="26">
        <f>MIN(24,MAX(5,NORMINV(RAND(),$C$9,$D$9)))</f>
        <v/>
      </c>
      <c r="O832" s="49">
        <f>$I$8*(SUMPRODUCT(($I$2*(1+K832)^{1;2;3;4;5;6;7;8;9;10})*(($I$3+(L832-$I$3)*{1;2;3;4;5;6;7;8;9;10}/10)*(1-$I$7)+$I$4-$I$4*($I$5+(1.05-$I$5)*{1;2;3;4;5;6;7;8;9;10}/10)-(K832/(1+K832))*$I$6)/(1+M832)^{1;2;3;4;5;6;7;8;9;10})+$I$2*(1+K832)^10*(L832+$I$4)*N832/(1+M832)^10+$I$9-$I$10)/$I$11</f>
        <v/>
      </c>
    </row>
    <row r="833">
      <c r="K833" s="25">
        <f>MAX(-0.05,NORMINV(RAND(),$C$6,$D$6))</f>
        <v/>
      </c>
      <c r="L833" s="25">
        <f>MAX(0.02,NORMINV(RAND(),$C$7,$D$7))</f>
        <v/>
      </c>
      <c r="M833" s="25">
        <f>MIN(0.16,MAX(0.05,NORMINV(RAND(),$C$8,$D$8)))</f>
        <v/>
      </c>
      <c r="N833" s="26">
        <f>MIN(24,MAX(5,NORMINV(RAND(),$C$9,$D$9)))</f>
        <v/>
      </c>
      <c r="O833" s="49">
        <f>$I$8*(SUMPRODUCT(($I$2*(1+K833)^{1;2;3;4;5;6;7;8;9;10})*(($I$3+(L833-$I$3)*{1;2;3;4;5;6;7;8;9;10}/10)*(1-$I$7)+$I$4-$I$4*($I$5+(1.05-$I$5)*{1;2;3;4;5;6;7;8;9;10}/10)-(K833/(1+K833))*$I$6)/(1+M833)^{1;2;3;4;5;6;7;8;9;10})+$I$2*(1+K833)^10*(L833+$I$4)*N833/(1+M833)^10+$I$9-$I$10)/$I$11</f>
        <v/>
      </c>
    </row>
    <row r="834">
      <c r="K834" s="25">
        <f>MAX(-0.05,NORMINV(RAND(),$C$6,$D$6))</f>
        <v/>
      </c>
      <c r="L834" s="25">
        <f>MAX(0.02,NORMINV(RAND(),$C$7,$D$7))</f>
        <v/>
      </c>
      <c r="M834" s="25">
        <f>MIN(0.16,MAX(0.05,NORMINV(RAND(),$C$8,$D$8)))</f>
        <v/>
      </c>
      <c r="N834" s="26">
        <f>MIN(24,MAX(5,NORMINV(RAND(),$C$9,$D$9)))</f>
        <v/>
      </c>
      <c r="O834" s="49">
        <f>$I$8*(SUMPRODUCT(($I$2*(1+K834)^{1;2;3;4;5;6;7;8;9;10})*(($I$3+(L834-$I$3)*{1;2;3;4;5;6;7;8;9;10}/10)*(1-$I$7)+$I$4-$I$4*($I$5+(1.05-$I$5)*{1;2;3;4;5;6;7;8;9;10}/10)-(K834/(1+K834))*$I$6)/(1+M834)^{1;2;3;4;5;6;7;8;9;10})+$I$2*(1+K834)^10*(L834+$I$4)*N834/(1+M834)^10+$I$9-$I$10)/$I$11</f>
        <v/>
      </c>
    </row>
    <row r="835">
      <c r="K835" s="25">
        <f>MAX(-0.05,NORMINV(RAND(),$C$6,$D$6))</f>
        <v/>
      </c>
      <c r="L835" s="25">
        <f>MAX(0.02,NORMINV(RAND(),$C$7,$D$7))</f>
        <v/>
      </c>
      <c r="M835" s="25">
        <f>MIN(0.16,MAX(0.05,NORMINV(RAND(),$C$8,$D$8)))</f>
        <v/>
      </c>
      <c r="N835" s="26">
        <f>MIN(24,MAX(5,NORMINV(RAND(),$C$9,$D$9)))</f>
        <v/>
      </c>
      <c r="O835" s="49">
        <f>$I$8*(SUMPRODUCT(($I$2*(1+K835)^{1;2;3;4;5;6;7;8;9;10})*(($I$3+(L835-$I$3)*{1;2;3;4;5;6;7;8;9;10}/10)*(1-$I$7)+$I$4-$I$4*($I$5+(1.05-$I$5)*{1;2;3;4;5;6;7;8;9;10}/10)-(K835/(1+K835))*$I$6)/(1+M835)^{1;2;3;4;5;6;7;8;9;10})+$I$2*(1+K835)^10*(L835+$I$4)*N835/(1+M835)^10+$I$9-$I$10)/$I$11</f>
        <v/>
      </c>
    </row>
    <row r="836">
      <c r="K836" s="25">
        <f>MAX(-0.05,NORMINV(RAND(),$C$6,$D$6))</f>
        <v/>
      </c>
      <c r="L836" s="25">
        <f>MAX(0.02,NORMINV(RAND(),$C$7,$D$7))</f>
        <v/>
      </c>
      <c r="M836" s="25">
        <f>MIN(0.16,MAX(0.05,NORMINV(RAND(),$C$8,$D$8)))</f>
        <v/>
      </c>
      <c r="N836" s="26">
        <f>MIN(24,MAX(5,NORMINV(RAND(),$C$9,$D$9)))</f>
        <v/>
      </c>
      <c r="O836" s="49">
        <f>$I$8*(SUMPRODUCT(($I$2*(1+K836)^{1;2;3;4;5;6;7;8;9;10})*(($I$3+(L836-$I$3)*{1;2;3;4;5;6;7;8;9;10}/10)*(1-$I$7)+$I$4-$I$4*($I$5+(1.05-$I$5)*{1;2;3;4;5;6;7;8;9;10}/10)-(K836/(1+K836))*$I$6)/(1+M836)^{1;2;3;4;5;6;7;8;9;10})+$I$2*(1+K836)^10*(L836+$I$4)*N836/(1+M836)^10+$I$9-$I$10)/$I$11</f>
        <v/>
      </c>
    </row>
    <row r="837">
      <c r="K837" s="25">
        <f>MAX(-0.05,NORMINV(RAND(),$C$6,$D$6))</f>
        <v/>
      </c>
      <c r="L837" s="25">
        <f>MAX(0.02,NORMINV(RAND(),$C$7,$D$7))</f>
        <v/>
      </c>
      <c r="M837" s="25">
        <f>MIN(0.16,MAX(0.05,NORMINV(RAND(),$C$8,$D$8)))</f>
        <v/>
      </c>
      <c r="N837" s="26">
        <f>MIN(24,MAX(5,NORMINV(RAND(),$C$9,$D$9)))</f>
        <v/>
      </c>
      <c r="O837" s="49">
        <f>$I$8*(SUMPRODUCT(($I$2*(1+K837)^{1;2;3;4;5;6;7;8;9;10})*(($I$3+(L837-$I$3)*{1;2;3;4;5;6;7;8;9;10}/10)*(1-$I$7)+$I$4-$I$4*($I$5+(1.05-$I$5)*{1;2;3;4;5;6;7;8;9;10}/10)-(K837/(1+K837))*$I$6)/(1+M837)^{1;2;3;4;5;6;7;8;9;10})+$I$2*(1+K837)^10*(L837+$I$4)*N837/(1+M837)^10+$I$9-$I$10)/$I$11</f>
        <v/>
      </c>
    </row>
    <row r="838">
      <c r="K838" s="25">
        <f>MAX(-0.05,NORMINV(RAND(),$C$6,$D$6))</f>
        <v/>
      </c>
      <c r="L838" s="25">
        <f>MAX(0.02,NORMINV(RAND(),$C$7,$D$7))</f>
        <v/>
      </c>
      <c r="M838" s="25">
        <f>MIN(0.16,MAX(0.05,NORMINV(RAND(),$C$8,$D$8)))</f>
        <v/>
      </c>
      <c r="N838" s="26">
        <f>MIN(24,MAX(5,NORMINV(RAND(),$C$9,$D$9)))</f>
        <v/>
      </c>
      <c r="O838" s="49">
        <f>$I$8*(SUMPRODUCT(($I$2*(1+K838)^{1;2;3;4;5;6;7;8;9;10})*(($I$3+(L838-$I$3)*{1;2;3;4;5;6;7;8;9;10}/10)*(1-$I$7)+$I$4-$I$4*($I$5+(1.05-$I$5)*{1;2;3;4;5;6;7;8;9;10}/10)-(K838/(1+K838))*$I$6)/(1+M838)^{1;2;3;4;5;6;7;8;9;10})+$I$2*(1+K838)^10*(L838+$I$4)*N838/(1+M838)^10+$I$9-$I$10)/$I$11</f>
        <v/>
      </c>
    </row>
    <row r="839">
      <c r="K839" s="25">
        <f>MAX(-0.05,NORMINV(RAND(),$C$6,$D$6))</f>
        <v/>
      </c>
      <c r="L839" s="25">
        <f>MAX(0.02,NORMINV(RAND(),$C$7,$D$7))</f>
        <v/>
      </c>
      <c r="M839" s="25">
        <f>MIN(0.16,MAX(0.05,NORMINV(RAND(),$C$8,$D$8)))</f>
        <v/>
      </c>
      <c r="N839" s="26">
        <f>MIN(24,MAX(5,NORMINV(RAND(),$C$9,$D$9)))</f>
        <v/>
      </c>
      <c r="O839" s="49">
        <f>$I$8*(SUMPRODUCT(($I$2*(1+K839)^{1;2;3;4;5;6;7;8;9;10})*(($I$3+(L839-$I$3)*{1;2;3;4;5;6;7;8;9;10}/10)*(1-$I$7)+$I$4-$I$4*($I$5+(1.05-$I$5)*{1;2;3;4;5;6;7;8;9;10}/10)-(K839/(1+K839))*$I$6)/(1+M839)^{1;2;3;4;5;6;7;8;9;10})+$I$2*(1+K839)^10*(L839+$I$4)*N839/(1+M839)^10+$I$9-$I$10)/$I$11</f>
        <v/>
      </c>
    </row>
    <row r="840">
      <c r="K840" s="25">
        <f>MAX(-0.05,NORMINV(RAND(),$C$6,$D$6))</f>
        <v/>
      </c>
      <c r="L840" s="25">
        <f>MAX(0.02,NORMINV(RAND(),$C$7,$D$7))</f>
        <v/>
      </c>
      <c r="M840" s="25">
        <f>MIN(0.16,MAX(0.05,NORMINV(RAND(),$C$8,$D$8)))</f>
        <v/>
      </c>
      <c r="N840" s="26">
        <f>MIN(24,MAX(5,NORMINV(RAND(),$C$9,$D$9)))</f>
        <v/>
      </c>
      <c r="O840" s="49">
        <f>$I$8*(SUMPRODUCT(($I$2*(1+K840)^{1;2;3;4;5;6;7;8;9;10})*(($I$3+(L840-$I$3)*{1;2;3;4;5;6;7;8;9;10}/10)*(1-$I$7)+$I$4-$I$4*($I$5+(1.05-$I$5)*{1;2;3;4;5;6;7;8;9;10}/10)-(K840/(1+K840))*$I$6)/(1+M840)^{1;2;3;4;5;6;7;8;9;10})+$I$2*(1+K840)^10*(L840+$I$4)*N840/(1+M840)^10+$I$9-$I$10)/$I$11</f>
        <v/>
      </c>
    </row>
    <row r="841">
      <c r="K841" s="25">
        <f>MAX(-0.05,NORMINV(RAND(),$C$6,$D$6))</f>
        <v/>
      </c>
      <c r="L841" s="25">
        <f>MAX(0.02,NORMINV(RAND(),$C$7,$D$7))</f>
        <v/>
      </c>
      <c r="M841" s="25">
        <f>MIN(0.16,MAX(0.05,NORMINV(RAND(),$C$8,$D$8)))</f>
        <v/>
      </c>
      <c r="N841" s="26">
        <f>MIN(24,MAX(5,NORMINV(RAND(),$C$9,$D$9)))</f>
        <v/>
      </c>
      <c r="O841" s="49">
        <f>$I$8*(SUMPRODUCT(($I$2*(1+K841)^{1;2;3;4;5;6;7;8;9;10})*(($I$3+(L841-$I$3)*{1;2;3;4;5;6;7;8;9;10}/10)*(1-$I$7)+$I$4-$I$4*($I$5+(1.05-$I$5)*{1;2;3;4;5;6;7;8;9;10}/10)-(K841/(1+K841))*$I$6)/(1+M841)^{1;2;3;4;5;6;7;8;9;10})+$I$2*(1+K841)^10*(L841+$I$4)*N841/(1+M841)^10+$I$9-$I$10)/$I$11</f>
        <v/>
      </c>
    </row>
    <row r="842">
      <c r="K842" s="25">
        <f>MAX(-0.05,NORMINV(RAND(),$C$6,$D$6))</f>
        <v/>
      </c>
      <c r="L842" s="25">
        <f>MAX(0.02,NORMINV(RAND(),$C$7,$D$7))</f>
        <v/>
      </c>
      <c r="M842" s="25">
        <f>MIN(0.16,MAX(0.05,NORMINV(RAND(),$C$8,$D$8)))</f>
        <v/>
      </c>
      <c r="N842" s="26">
        <f>MIN(24,MAX(5,NORMINV(RAND(),$C$9,$D$9)))</f>
        <v/>
      </c>
      <c r="O842" s="49">
        <f>$I$8*(SUMPRODUCT(($I$2*(1+K842)^{1;2;3;4;5;6;7;8;9;10})*(($I$3+(L842-$I$3)*{1;2;3;4;5;6;7;8;9;10}/10)*(1-$I$7)+$I$4-$I$4*($I$5+(1.05-$I$5)*{1;2;3;4;5;6;7;8;9;10}/10)-(K842/(1+K842))*$I$6)/(1+M842)^{1;2;3;4;5;6;7;8;9;10})+$I$2*(1+K842)^10*(L842+$I$4)*N842/(1+M842)^10+$I$9-$I$10)/$I$11</f>
        <v/>
      </c>
    </row>
    <row r="843">
      <c r="K843" s="25">
        <f>MAX(-0.05,NORMINV(RAND(),$C$6,$D$6))</f>
        <v/>
      </c>
      <c r="L843" s="25">
        <f>MAX(0.02,NORMINV(RAND(),$C$7,$D$7))</f>
        <v/>
      </c>
      <c r="M843" s="25">
        <f>MIN(0.16,MAX(0.05,NORMINV(RAND(),$C$8,$D$8)))</f>
        <v/>
      </c>
      <c r="N843" s="26">
        <f>MIN(24,MAX(5,NORMINV(RAND(),$C$9,$D$9)))</f>
        <v/>
      </c>
      <c r="O843" s="49">
        <f>$I$8*(SUMPRODUCT(($I$2*(1+K843)^{1;2;3;4;5;6;7;8;9;10})*(($I$3+(L843-$I$3)*{1;2;3;4;5;6;7;8;9;10}/10)*(1-$I$7)+$I$4-$I$4*($I$5+(1.05-$I$5)*{1;2;3;4;5;6;7;8;9;10}/10)-(K843/(1+K843))*$I$6)/(1+M843)^{1;2;3;4;5;6;7;8;9;10})+$I$2*(1+K843)^10*(L843+$I$4)*N843/(1+M843)^10+$I$9-$I$10)/$I$11</f>
        <v/>
      </c>
    </row>
    <row r="844">
      <c r="K844" s="25">
        <f>MAX(-0.05,NORMINV(RAND(),$C$6,$D$6))</f>
        <v/>
      </c>
      <c r="L844" s="25">
        <f>MAX(0.02,NORMINV(RAND(),$C$7,$D$7))</f>
        <v/>
      </c>
      <c r="M844" s="25">
        <f>MIN(0.16,MAX(0.05,NORMINV(RAND(),$C$8,$D$8)))</f>
        <v/>
      </c>
      <c r="N844" s="26">
        <f>MIN(24,MAX(5,NORMINV(RAND(),$C$9,$D$9)))</f>
        <v/>
      </c>
      <c r="O844" s="49">
        <f>$I$8*(SUMPRODUCT(($I$2*(1+K844)^{1;2;3;4;5;6;7;8;9;10})*(($I$3+(L844-$I$3)*{1;2;3;4;5;6;7;8;9;10}/10)*(1-$I$7)+$I$4-$I$4*($I$5+(1.05-$I$5)*{1;2;3;4;5;6;7;8;9;10}/10)-(K844/(1+K844))*$I$6)/(1+M844)^{1;2;3;4;5;6;7;8;9;10})+$I$2*(1+K844)^10*(L844+$I$4)*N844/(1+M844)^10+$I$9-$I$10)/$I$11</f>
        <v/>
      </c>
    </row>
    <row r="845">
      <c r="K845" s="25">
        <f>MAX(-0.05,NORMINV(RAND(),$C$6,$D$6))</f>
        <v/>
      </c>
      <c r="L845" s="25">
        <f>MAX(0.02,NORMINV(RAND(),$C$7,$D$7))</f>
        <v/>
      </c>
      <c r="M845" s="25">
        <f>MIN(0.16,MAX(0.05,NORMINV(RAND(),$C$8,$D$8)))</f>
        <v/>
      </c>
      <c r="N845" s="26">
        <f>MIN(24,MAX(5,NORMINV(RAND(),$C$9,$D$9)))</f>
        <v/>
      </c>
      <c r="O845" s="49">
        <f>$I$8*(SUMPRODUCT(($I$2*(1+K845)^{1;2;3;4;5;6;7;8;9;10})*(($I$3+(L845-$I$3)*{1;2;3;4;5;6;7;8;9;10}/10)*(1-$I$7)+$I$4-$I$4*($I$5+(1.05-$I$5)*{1;2;3;4;5;6;7;8;9;10}/10)-(K845/(1+K845))*$I$6)/(1+M845)^{1;2;3;4;5;6;7;8;9;10})+$I$2*(1+K845)^10*(L845+$I$4)*N845/(1+M845)^10+$I$9-$I$10)/$I$11</f>
        <v/>
      </c>
    </row>
    <row r="846">
      <c r="K846" s="25">
        <f>MAX(-0.05,NORMINV(RAND(),$C$6,$D$6))</f>
        <v/>
      </c>
      <c r="L846" s="25">
        <f>MAX(0.02,NORMINV(RAND(),$C$7,$D$7))</f>
        <v/>
      </c>
      <c r="M846" s="25">
        <f>MIN(0.16,MAX(0.05,NORMINV(RAND(),$C$8,$D$8)))</f>
        <v/>
      </c>
      <c r="N846" s="26">
        <f>MIN(24,MAX(5,NORMINV(RAND(),$C$9,$D$9)))</f>
        <v/>
      </c>
      <c r="O846" s="49">
        <f>$I$8*(SUMPRODUCT(($I$2*(1+K846)^{1;2;3;4;5;6;7;8;9;10})*(($I$3+(L846-$I$3)*{1;2;3;4;5;6;7;8;9;10}/10)*(1-$I$7)+$I$4-$I$4*($I$5+(1.05-$I$5)*{1;2;3;4;5;6;7;8;9;10}/10)-(K846/(1+K846))*$I$6)/(1+M846)^{1;2;3;4;5;6;7;8;9;10})+$I$2*(1+K846)^10*(L846+$I$4)*N846/(1+M846)^10+$I$9-$I$10)/$I$11</f>
        <v/>
      </c>
    </row>
    <row r="847">
      <c r="K847" s="25">
        <f>MAX(-0.05,NORMINV(RAND(),$C$6,$D$6))</f>
        <v/>
      </c>
      <c r="L847" s="25">
        <f>MAX(0.02,NORMINV(RAND(),$C$7,$D$7))</f>
        <v/>
      </c>
      <c r="M847" s="25">
        <f>MIN(0.16,MAX(0.05,NORMINV(RAND(),$C$8,$D$8)))</f>
        <v/>
      </c>
      <c r="N847" s="26">
        <f>MIN(24,MAX(5,NORMINV(RAND(),$C$9,$D$9)))</f>
        <v/>
      </c>
      <c r="O847" s="49">
        <f>$I$8*(SUMPRODUCT(($I$2*(1+K847)^{1;2;3;4;5;6;7;8;9;10})*(($I$3+(L847-$I$3)*{1;2;3;4;5;6;7;8;9;10}/10)*(1-$I$7)+$I$4-$I$4*($I$5+(1.05-$I$5)*{1;2;3;4;5;6;7;8;9;10}/10)-(K847/(1+K847))*$I$6)/(1+M847)^{1;2;3;4;5;6;7;8;9;10})+$I$2*(1+K847)^10*(L847+$I$4)*N847/(1+M847)^10+$I$9-$I$10)/$I$11</f>
        <v/>
      </c>
    </row>
    <row r="848">
      <c r="K848" s="25">
        <f>MAX(-0.05,NORMINV(RAND(),$C$6,$D$6))</f>
        <v/>
      </c>
      <c r="L848" s="25">
        <f>MAX(0.02,NORMINV(RAND(),$C$7,$D$7))</f>
        <v/>
      </c>
      <c r="M848" s="25">
        <f>MIN(0.16,MAX(0.05,NORMINV(RAND(),$C$8,$D$8)))</f>
        <v/>
      </c>
      <c r="N848" s="26">
        <f>MIN(24,MAX(5,NORMINV(RAND(),$C$9,$D$9)))</f>
        <v/>
      </c>
      <c r="O848" s="49">
        <f>$I$8*(SUMPRODUCT(($I$2*(1+K848)^{1;2;3;4;5;6;7;8;9;10})*(($I$3+(L848-$I$3)*{1;2;3;4;5;6;7;8;9;10}/10)*(1-$I$7)+$I$4-$I$4*($I$5+(1.05-$I$5)*{1;2;3;4;5;6;7;8;9;10}/10)-(K848/(1+K848))*$I$6)/(1+M848)^{1;2;3;4;5;6;7;8;9;10})+$I$2*(1+K848)^10*(L848+$I$4)*N848/(1+M848)^10+$I$9-$I$10)/$I$11</f>
        <v/>
      </c>
    </row>
    <row r="849">
      <c r="K849" s="25">
        <f>MAX(-0.05,NORMINV(RAND(),$C$6,$D$6))</f>
        <v/>
      </c>
      <c r="L849" s="25">
        <f>MAX(0.02,NORMINV(RAND(),$C$7,$D$7))</f>
        <v/>
      </c>
      <c r="M849" s="25">
        <f>MIN(0.16,MAX(0.05,NORMINV(RAND(),$C$8,$D$8)))</f>
        <v/>
      </c>
      <c r="N849" s="26">
        <f>MIN(24,MAX(5,NORMINV(RAND(),$C$9,$D$9)))</f>
        <v/>
      </c>
      <c r="O849" s="49">
        <f>$I$8*(SUMPRODUCT(($I$2*(1+K849)^{1;2;3;4;5;6;7;8;9;10})*(($I$3+(L849-$I$3)*{1;2;3;4;5;6;7;8;9;10}/10)*(1-$I$7)+$I$4-$I$4*($I$5+(1.05-$I$5)*{1;2;3;4;5;6;7;8;9;10}/10)-(K849/(1+K849))*$I$6)/(1+M849)^{1;2;3;4;5;6;7;8;9;10})+$I$2*(1+K849)^10*(L849+$I$4)*N849/(1+M849)^10+$I$9-$I$10)/$I$11</f>
        <v/>
      </c>
    </row>
    <row r="850">
      <c r="K850" s="25">
        <f>MAX(-0.05,NORMINV(RAND(),$C$6,$D$6))</f>
        <v/>
      </c>
      <c r="L850" s="25">
        <f>MAX(0.02,NORMINV(RAND(),$C$7,$D$7))</f>
        <v/>
      </c>
      <c r="M850" s="25">
        <f>MIN(0.16,MAX(0.05,NORMINV(RAND(),$C$8,$D$8)))</f>
        <v/>
      </c>
      <c r="N850" s="26">
        <f>MIN(24,MAX(5,NORMINV(RAND(),$C$9,$D$9)))</f>
        <v/>
      </c>
      <c r="O850" s="49">
        <f>$I$8*(SUMPRODUCT(($I$2*(1+K850)^{1;2;3;4;5;6;7;8;9;10})*(($I$3+(L850-$I$3)*{1;2;3;4;5;6;7;8;9;10}/10)*(1-$I$7)+$I$4-$I$4*($I$5+(1.05-$I$5)*{1;2;3;4;5;6;7;8;9;10}/10)-(K850/(1+K850))*$I$6)/(1+M850)^{1;2;3;4;5;6;7;8;9;10})+$I$2*(1+K850)^10*(L850+$I$4)*N850/(1+M850)^10+$I$9-$I$10)/$I$11</f>
        <v/>
      </c>
    </row>
    <row r="851">
      <c r="K851" s="25">
        <f>MAX(-0.05,NORMINV(RAND(),$C$6,$D$6))</f>
        <v/>
      </c>
      <c r="L851" s="25">
        <f>MAX(0.02,NORMINV(RAND(),$C$7,$D$7))</f>
        <v/>
      </c>
      <c r="M851" s="25">
        <f>MIN(0.16,MAX(0.05,NORMINV(RAND(),$C$8,$D$8)))</f>
        <v/>
      </c>
      <c r="N851" s="26">
        <f>MIN(24,MAX(5,NORMINV(RAND(),$C$9,$D$9)))</f>
        <v/>
      </c>
      <c r="O851" s="49">
        <f>$I$8*(SUMPRODUCT(($I$2*(1+K851)^{1;2;3;4;5;6;7;8;9;10})*(($I$3+(L851-$I$3)*{1;2;3;4;5;6;7;8;9;10}/10)*(1-$I$7)+$I$4-$I$4*($I$5+(1.05-$I$5)*{1;2;3;4;5;6;7;8;9;10}/10)-(K851/(1+K851))*$I$6)/(1+M851)^{1;2;3;4;5;6;7;8;9;10})+$I$2*(1+K851)^10*(L851+$I$4)*N851/(1+M851)^10+$I$9-$I$10)/$I$11</f>
        <v/>
      </c>
    </row>
    <row r="852">
      <c r="K852" s="25">
        <f>MAX(-0.05,NORMINV(RAND(),$C$6,$D$6))</f>
        <v/>
      </c>
      <c r="L852" s="25">
        <f>MAX(0.02,NORMINV(RAND(),$C$7,$D$7))</f>
        <v/>
      </c>
      <c r="M852" s="25">
        <f>MIN(0.16,MAX(0.05,NORMINV(RAND(),$C$8,$D$8)))</f>
        <v/>
      </c>
      <c r="N852" s="26">
        <f>MIN(24,MAX(5,NORMINV(RAND(),$C$9,$D$9)))</f>
        <v/>
      </c>
      <c r="O852" s="49">
        <f>$I$8*(SUMPRODUCT(($I$2*(1+K852)^{1;2;3;4;5;6;7;8;9;10})*(($I$3+(L852-$I$3)*{1;2;3;4;5;6;7;8;9;10}/10)*(1-$I$7)+$I$4-$I$4*($I$5+(1.05-$I$5)*{1;2;3;4;5;6;7;8;9;10}/10)-(K852/(1+K852))*$I$6)/(1+M852)^{1;2;3;4;5;6;7;8;9;10})+$I$2*(1+K852)^10*(L852+$I$4)*N852/(1+M852)^10+$I$9-$I$10)/$I$11</f>
        <v/>
      </c>
    </row>
    <row r="853">
      <c r="K853" s="25">
        <f>MAX(-0.05,NORMINV(RAND(),$C$6,$D$6))</f>
        <v/>
      </c>
      <c r="L853" s="25">
        <f>MAX(0.02,NORMINV(RAND(),$C$7,$D$7))</f>
        <v/>
      </c>
      <c r="M853" s="25">
        <f>MIN(0.16,MAX(0.05,NORMINV(RAND(),$C$8,$D$8)))</f>
        <v/>
      </c>
      <c r="N853" s="26">
        <f>MIN(24,MAX(5,NORMINV(RAND(),$C$9,$D$9)))</f>
        <v/>
      </c>
      <c r="O853" s="49">
        <f>$I$8*(SUMPRODUCT(($I$2*(1+K853)^{1;2;3;4;5;6;7;8;9;10})*(($I$3+(L853-$I$3)*{1;2;3;4;5;6;7;8;9;10}/10)*(1-$I$7)+$I$4-$I$4*($I$5+(1.05-$I$5)*{1;2;3;4;5;6;7;8;9;10}/10)-(K853/(1+K853))*$I$6)/(1+M853)^{1;2;3;4;5;6;7;8;9;10})+$I$2*(1+K853)^10*(L853+$I$4)*N853/(1+M853)^10+$I$9-$I$10)/$I$11</f>
        <v/>
      </c>
    </row>
    <row r="854">
      <c r="K854" s="25">
        <f>MAX(-0.05,NORMINV(RAND(),$C$6,$D$6))</f>
        <v/>
      </c>
      <c r="L854" s="25">
        <f>MAX(0.02,NORMINV(RAND(),$C$7,$D$7))</f>
        <v/>
      </c>
      <c r="M854" s="25">
        <f>MIN(0.16,MAX(0.05,NORMINV(RAND(),$C$8,$D$8)))</f>
        <v/>
      </c>
      <c r="N854" s="26">
        <f>MIN(24,MAX(5,NORMINV(RAND(),$C$9,$D$9)))</f>
        <v/>
      </c>
      <c r="O854" s="49">
        <f>$I$8*(SUMPRODUCT(($I$2*(1+K854)^{1;2;3;4;5;6;7;8;9;10})*(($I$3+(L854-$I$3)*{1;2;3;4;5;6;7;8;9;10}/10)*(1-$I$7)+$I$4-$I$4*($I$5+(1.05-$I$5)*{1;2;3;4;5;6;7;8;9;10}/10)-(K854/(1+K854))*$I$6)/(1+M854)^{1;2;3;4;5;6;7;8;9;10})+$I$2*(1+K854)^10*(L854+$I$4)*N854/(1+M854)^10+$I$9-$I$10)/$I$11</f>
        <v/>
      </c>
    </row>
    <row r="855">
      <c r="K855" s="25">
        <f>MAX(-0.05,NORMINV(RAND(),$C$6,$D$6))</f>
        <v/>
      </c>
      <c r="L855" s="25">
        <f>MAX(0.02,NORMINV(RAND(),$C$7,$D$7))</f>
        <v/>
      </c>
      <c r="M855" s="25">
        <f>MIN(0.16,MAX(0.05,NORMINV(RAND(),$C$8,$D$8)))</f>
        <v/>
      </c>
      <c r="N855" s="26">
        <f>MIN(24,MAX(5,NORMINV(RAND(),$C$9,$D$9)))</f>
        <v/>
      </c>
      <c r="O855" s="49">
        <f>$I$8*(SUMPRODUCT(($I$2*(1+K855)^{1;2;3;4;5;6;7;8;9;10})*(($I$3+(L855-$I$3)*{1;2;3;4;5;6;7;8;9;10}/10)*(1-$I$7)+$I$4-$I$4*($I$5+(1.05-$I$5)*{1;2;3;4;5;6;7;8;9;10}/10)-(K855/(1+K855))*$I$6)/(1+M855)^{1;2;3;4;5;6;7;8;9;10})+$I$2*(1+K855)^10*(L855+$I$4)*N855/(1+M855)^10+$I$9-$I$10)/$I$11</f>
        <v/>
      </c>
    </row>
    <row r="856">
      <c r="K856" s="25">
        <f>MAX(-0.05,NORMINV(RAND(),$C$6,$D$6))</f>
        <v/>
      </c>
      <c r="L856" s="25">
        <f>MAX(0.02,NORMINV(RAND(),$C$7,$D$7))</f>
        <v/>
      </c>
      <c r="M856" s="25">
        <f>MIN(0.16,MAX(0.05,NORMINV(RAND(),$C$8,$D$8)))</f>
        <v/>
      </c>
      <c r="N856" s="26">
        <f>MIN(24,MAX(5,NORMINV(RAND(),$C$9,$D$9)))</f>
        <v/>
      </c>
      <c r="O856" s="49">
        <f>$I$8*(SUMPRODUCT(($I$2*(1+K856)^{1;2;3;4;5;6;7;8;9;10})*(($I$3+(L856-$I$3)*{1;2;3;4;5;6;7;8;9;10}/10)*(1-$I$7)+$I$4-$I$4*($I$5+(1.05-$I$5)*{1;2;3;4;5;6;7;8;9;10}/10)-(K856/(1+K856))*$I$6)/(1+M856)^{1;2;3;4;5;6;7;8;9;10})+$I$2*(1+K856)^10*(L856+$I$4)*N856/(1+M856)^10+$I$9-$I$10)/$I$11</f>
        <v/>
      </c>
    </row>
    <row r="857">
      <c r="K857" s="25">
        <f>MAX(-0.05,NORMINV(RAND(),$C$6,$D$6))</f>
        <v/>
      </c>
      <c r="L857" s="25">
        <f>MAX(0.02,NORMINV(RAND(),$C$7,$D$7))</f>
        <v/>
      </c>
      <c r="M857" s="25">
        <f>MIN(0.16,MAX(0.05,NORMINV(RAND(),$C$8,$D$8)))</f>
        <v/>
      </c>
      <c r="N857" s="26">
        <f>MIN(24,MAX(5,NORMINV(RAND(),$C$9,$D$9)))</f>
        <v/>
      </c>
      <c r="O857" s="49">
        <f>$I$8*(SUMPRODUCT(($I$2*(1+K857)^{1;2;3;4;5;6;7;8;9;10})*(($I$3+(L857-$I$3)*{1;2;3;4;5;6;7;8;9;10}/10)*(1-$I$7)+$I$4-$I$4*($I$5+(1.05-$I$5)*{1;2;3;4;5;6;7;8;9;10}/10)-(K857/(1+K857))*$I$6)/(1+M857)^{1;2;3;4;5;6;7;8;9;10})+$I$2*(1+K857)^10*(L857+$I$4)*N857/(1+M857)^10+$I$9-$I$10)/$I$11</f>
        <v/>
      </c>
    </row>
    <row r="858">
      <c r="K858" s="25">
        <f>MAX(-0.05,NORMINV(RAND(),$C$6,$D$6))</f>
        <v/>
      </c>
      <c r="L858" s="25">
        <f>MAX(0.02,NORMINV(RAND(),$C$7,$D$7))</f>
        <v/>
      </c>
      <c r="M858" s="25">
        <f>MIN(0.16,MAX(0.05,NORMINV(RAND(),$C$8,$D$8)))</f>
        <v/>
      </c>
      <c r="N858" s="26">
        <f>MIN(24,MAX(5,NORMINV(RAND(),$C$9,$D$9)))</f>
        <v/>
      </c>
      <c r="O858" s="49">
        <f>$I$8*(SUMPRODUCT(($I$2*(1+K858)^{1;2;3;4;5;6;7;8;9;10})*(($I$3+(L858-$I$3)*{1;2;3;4;5;6;7;8;9;10}/10)*(1-$I$7)+$I$4-$I$4*($I$5+(1.05-$I$5)*{1;2;3;4;5;6;7;8;9;10}/10)-(K858/(1+K858))*$I$6)/(1+M858)^{1;2;3;4;5;6;7;8;9;10})+$I$2*(1+K858)^10*(L858+$I$4)*N858/(1+M858)^10+$I$9-$I$10)/$I$11</f>
        <v/>
      </c>
    </row>
    <row r="859">
      <c r="K859" s="25">
        <f>MAX(-0.05,NORMINV(RAND(),$C$6,$D$6))</f>
        <v/>
      </c>
      <c r="L859" s="25">
        <f>MAX(0.02,NORMINV(RAND(),$C$7,$D$7))</f>
        <v/>
      </c>
      <c r="M859" s="25">
        <f>MIN(0.16,MAX(0.05,NORMINV(RAND(),$C$8,$D$8)))</f>
        <v/>
      </c>
      <c r="N859" s="26">
        <f>MIN(24,MAX(5,NORMINV(RAND(),$C$9,$D$9)))</f>
        <v/>
      </c>
      <c r="O859" s="49">
        <f>$I$8*(SUMPRODUCT(($I$2*(1+K859)^{1;2;3;4;5;6;7;8;9;10})*(($I$3+(L859-$I$3)*{1;2;3;4;5;6;7;8;9;10}/10)*(1-$I$7)+$I$4-$I$4*($I$5+(1.05-$I$5)*{1;2;3;4;5;6;7;8;9;10}/10)-(K859/(1+K859))*$I$6)/(1+M859)^{1;2;3;4;5;6;7;8;9;10})+$I$2*(1+K859)^10*(L859+$I$4)*N859/(1+M859)^10+$I$9-$I$10)/$I$11</f>
        <v/>
      </c>
    </row>
    <row r="860">
      <c r="K860" s="25">
        <f>MAX(-0.05,NORMINV(RAND(),$C$6,$D$6))</f>
        <v/>
      </c>
      <c r="L860" s="25">
        <f>MAX(0.02,NORMINV(RAND(),$C$7,$D$7))</f>
        <v/>
      </c>
      <c r="M860" s="25">
        <f>MIN(0.16,MAX(0.05,NORMINV(RAND(),$C$8,$D$8)))</f>
        <v/>
      </c>
      <c r="N860" s="26">
        <f>MIN(24,MAX(5,NORMINV(RAND(),$C$9,$D$9)))</f>
        <v/>
      </c>
      <c r="O860" s="49">
        <f>$I$8*(SUMPRODUCT(($I$2*(1+K860)^{1;2;3;4;5;6;7;8;9;10})*(($I$3+(L860-$I$3)*{1;2;3;4;5;6;7;8;9;10}/10)*(1-$I$7)+$I$4-$I$4*($I$5+(1.05-$I$5)*{1;2;3;4;5;6;7;8;9;10}/10)-(K860/(1+K860))*$I$6)/(1+M860)^{1;2;3;4;5;6;7;8;9;10})+$I$2*(1+K860)^10*(L860+$I$4)*N860/(1+M860)^10+$I$9-$I$10)/$I$11</f>
        <v/>
      </c>
    </row>
    <row r="861">
      <c r="K861" s="25">
        <f>MAX(-0.05,NORMINV(RAND(),$C$6,$D$6))</f>
        <v/>
      </c>
      <c r="L861" s="25">
        <f>MAX(0.02,NORMINV(RAND(),$C$7,$D$7))</f>
        <v/>
      </c>
      <c r="M861" s="25">
        <f>MIN(0.16,MAX(0.05,NORMINV(RAND(),$C$8,$D$8)))</f>
        <v/>
      </c>
      <c r="N861" s="26">
        <f>MIN(24,MAX(5,NORMINV(RAND(),$C$9,$D$9)))</f>
        <v/>
      </c>
      <c r="O861" s="49">
        <f>$I$8*(SUMPRODUCT(($I$2*(1+K861)^{1;2;3;4;5;6;7;8;9;10})*(($I$3+(L861-$I$3)*{1;2;3;4;5;6;7;8;9;10}/10)*(1-$I$7)+$I$4-$I$4*($I$5+(1.05-$I$5)*{1;2;3;4;5;6;7;8;9;10}/10)-(K861/(1+K861))*$I$6)/(1+M861)^{1;2;3;4;5;6;7;8;9;10})+$I$2*(1+K861)^10*(L861+$I$4)*N861/(1+M861)^10+$I$9-$I$10)/$I$11</f>
        <v/>
      </c>
    </row>
    <row r="862">
      <c r="K862" s="25">
        <f>MAX(-0.05,NORMINV(RAND(),$C$6,$D$6))</f>
        <v/>
      </c>
      <c r="L862" s="25">
        <f>MAX(0.02,NORMINV(RAND(),$C$7,$D$7))</f>
        <v/>
      </c>
      <c r="M862" s="25">
        <f>MIN(0.16,MAX(0.05,NORMINV(RAND(),$C$8,$D$8)))</f>
        <v/>
      </c>
      <c r="N862" s="26">
        <f>MIN(24,MAX(5,NORMINV(RAND(),$C$9,$D$9)))</f>
        <v/>
      </c>
      <c r="O862" s="49">
        <f>$I$8*(SUMPRODUCT(($I$2*(1+K862)^{1;2;3;4;5;6;7;8;9;10})*(($I$3+(L862-$I$3)*{1;2;3;4;5;6;7;8;9;10}/10)*(1-$I$7)+$I$4-$I$4*($I$5+(1.05-$I$5)*{1;2;3;4;5;6;7;8;9;10}/10)-(K862/(1+K862))*$I$6)/(1+M862)^{1;2;3;4;5;6;7;8;9;10})+$I$2*(1+K862)^10*(L862+$I$4)*N862/(1+M862)^10+$I$9-$I$10)/$I$11</f>
        <v/>
      </c>
    </row>
    <row r="863">
      <c r="K863" s="25">
        <f>MAX(-0.05,NORMINV(RAND(),$C$6,$D$6))</f>
        <v/>
      </c>
      <c r="L863" s="25">
        <f>MAX(0.02,NORMINV(RAND(),$C$7,$D$7))</f>
        <v/>
      </c>
      <c r="M863" s="25">
        <f>MIN(0.16,MAX(0.05,NORMINV(RAND(),$C$8,$D$8)))</f>
        <v/>
      </c>
      <c r="N863" s="26">
        <f>MIN(24,MAX(5,NORMINV(RAND(),$C$9,$D$9)))</f>
        <v/>
      </c>
      <c r="O863" s="49">
        <f>$I$8*(SUMPRODUCT(($I$2*(1+K863)^{1;2;3;4;5;6;7;8;9;10})*(($I$3+(L863-$I$3)*{1;2;3;4;5;6;7;8;9;10}/10)*(1-$I$7)+$I$4-$I$4*($I$5+(1.05-$I$5)*{1;2;3;4;5;6;7;8;9;10}/10)-(K863/(1+K863))*$I$6)/(1+M863)^{1;2;3;4;5;6;7;8;9;10})+$I$2*(1+K863)^10*(L863+$I$4)*N863/(1+M863)^10+$I$9-$I$10)/$I$11</f>
        <v/>
      </c>
    </row>
    <row r="864">
      <c r="K864" s="25">
        <f>MAX(-0.05,NORMINV(RAND(),$C$6,$D$6))</f>
        <v/>
      </c>
      <c r="L864" s="25">
        <f>MAX(0.02,NORMINV(RAND(),$C$7,$D$7))</f>
        <v/>
      </c>
      <c r="M864" s="25">
        <f>MIN(0.16,MAX(0.05,NORMINV(RAND(),$C$8,$D$8)))</f>
        <v/>
      </c>
      <c r="N864" s="26">
        <f>MIN(24,MAX(5,NORMINV(RAND(),$C$9,$D$9)))</f>
        <v/>
      </c>
      <c r="O864" s="49">
        <f>$I$8*(SUMPRODUCT(($I$2*(1+K864)^{1;2;3;4;5;6;7;8;9;10})*(($I$3+(L864-$I$3)*{1;2;3;4;5;6;7;8;9;10}/10)*(1-$I$7)+$I$4-$I$4*($I$5+(1.05-$I$5)*{1;2;3;4;5;6;7;8;9;10}/10)-(K864/(1+K864))*$I$6)/(1+M864)^{1;2;3;4;5;6;7;8;9;10})+$I$2*(1+K864)^10*(L864+$I$4)*N864/(1+M864)^10+$I$9-$I$10)/$I$11</f>
        <v/>
      </c>
    </row>
    <row r="865">
      <c r="K865" s="25">
        <f>MAX(-0.05,NORMINV(RAND(),$C$6,$D$6))</f>
        <v/>
      </c>
      <c r="L865" s="25">
        <f>MAX(0.02,NORMINV(RAND(),$C$7,$D$7))</f>
        <v/>
      </c>
      <c r="M865" s="25">
        <f>MIN(0.16,MAX(0.05,NORMINV(RAND(),$C$8,$D$8)))</f>
        <v/>
      </c>
      <c r="N865" s="26">
        <f>MIN(24,MAX(5,NORMINV(RAND(),$C$9,$D$9)))</f>
        <v/>
      </c>
      <c r="O865" s="49">
        <f>$I$8*(SUMPRODUCT(($I$2*(1+K865)^{1;2;3;4;5;6;7;8;9;10})*(($I$3+(L865-$I$3)*{1;2;3;4;5;6;7;8;9;10}/10)*(1-$I$7)+$I$4-$I$4*($I$5+(1.05-$I$5)*{1;2;3;4;5;6;7;8;9;10}/10)-(K865/(1+K865))*$I$6)/(1+M865)^{1;2;3;4;5;6;7;8;9;10})+$I$2*(1+K865)^10*(L865+$I$4)*N865/(1+M865)^10+$I$9-$I$10)/$I$11</f>
        <v/>
      </c>
    </row>
    <row r="866">
      <c r="K866" s="25">
        <f>MAX(-0.05,NORMINV(RAND(),$C$6,$D$6))</f>
        <v/>
      </c>
      <c r="L866" s="25">
        <f>MAX(0.02,NORMINV(RAND(),$C$7,$D$7))</f>
        <v/>
      </c>
      <c r="M866" s="25">
        <f>MIN(0.16,MAX(0.05,NORMINV(RAND(),$C$8,$D$8)))</f>
        <v/>
      </c>
      <c r="N866" s="26">
        <f>MIN(24,MAX(5,NORMINV(RAND(),$C$9,$D$9)))</f>
        <v/>
      </c>
      <c r="O866" s="49">
        <f>$I$8*(SUMPRODUCT(($I$2*(1+K866)^{1;2;3;4;5;6;7;8;9;10})*(($I$3+(L866-$I$3)*{1;2;3;4;5;6;7;8;9;10}/10)*(1-$I$7)+$I$4-$I$4*($I$5+(1.05-$I$5)*{1;2;3;4;5;6;7;8;9;10}/10)-(K866/(1+K866))*$I$6)/(1+M866)^{1;2;3;4;5;6;7;8;9;10})+$I$2*(1+K866)^10*(L866+$I$4)*N866/(1+M866)^10+$I$9-$I$10)/$I$11</f>
        <v/>
      </c>
    </row>
    <row r="867">
      <c r="K867" s="25">
        <f>MAX(-0.05,NORMINV(RAND(),$C$6,$D$6))</f>
        <v/>
      </c>
      <c r="L867" s="25">
        <f>MAX(0.02,NORMINV(RAND(),$C$7,$D$7))</f>
        <v/>
      </c>
      <c r="M867" s="25">
        <f>MIN(0.16,MAX(0.05,NORMINV(RAND(),$C$8,$D$8)))</f>
        <v/>
      </c>
      <c r="N867" s="26">
        <f>MIN(24,MAX(5,NORMINV(RAND(),$C$9,$D$9)))</f>
        <v/>
      </c>
      <c r="O867" s="49">
        <f>$I$8*(SUMPRODUCT(($I$2*(1+K867)^{1;2;3;4;5;6;7;8;9;10})*(($I$3+(L867-$I$3)*{1;2;3;4;5;6;7;8;9;10}/10)*(1-$I$7)+$I$4-$I$4*($I$5+(1.05-$I$5)*{1;2;3;4;5;6;7;8;9;10}/10)-(K867/(1+K867))*$I$6)/(1+M867)^{1;2;3;4;5;6;7;8;9;10})+$I$2*(1+K867)^10*(L867+$I$4)*N867/(1+M867)^10+$I$9-$I$10)/$I$11</f>
        <v/>
      </c>
    </row>
    <row r="868">
      <c r="K868" s="25">
        <f>MAX(-0.05,NORMINV(RAND(),$C$6,$D$6))</f>
        <v/>
      </c>
      <c r="L868" s="25">
        <f>MAX(0.02,NORMINV(RAND(),$C$7,$D$7))</f>
        <v/>
      </c>
      <c r="M868" s="25">
        <f>MIN(0.16,MAX(0.05,NORMINV(RAND(),$C$8,$D$8)))</f>
        <v/>
      </c>
      <c r="N868" s="26">
        <f>MIN(24,MAX(5,NORMINV(RAND(),$C$9,$D$9)))</f>
        <v/>
      </c>
      <c r="O868" s="49">
        <f>$I$8*(SUMPRODUCT(($I$2*(1+K868)^{1;2;3;4;5;6;7;8;9;10})*(($I$3+(L868-$I$3)*{1;2;3;4;5;6;7;8;9;10}/10)*(1-$I$7)+$I$4-$I$4*($I$5+(1.05-$I$5)*{1;2;3;4;5;6;7;8;9;10}/10)-(K868/(1+K868))*$I$6)/(1+M868)^{1;2;3;4;5;6;7;8;9;10})+$I$2*(1+K868)^10*(L868+$I$4)*N868/(1+M868)^10+$I$9-$I$10)/$I$11</f>
        <v/>
      </c>
    </row>
    <row r="869">
      <c r="K869" s="25">
        <f>MAX(-0.05,NORMINV(RAND(),$C$6,$D$6))</f>
        <v/>
      </c>
      <c r="L869" s="25">
        <f>MAX(0.02,NORMINV(RAND(),$C$7,$D$7))</f>
        <v/>
      </c>
      <c r="M869" s="25">
        <f>MIN(0.16,MAX(0.05,NORMINV(RAND(),$C$8,$D$8)))</f>
        <v/>
      </c>
      <c r="N869" s="26">
        <f>MIN(24,MAX(5,NORMINV(RAND(),$C$9,$D$9)))</f>
        <v/>
      </c>
      <c r="O869" s="49">
        <f>$I$8*(SUMPRODUCT(($I$2*(1+K869)^{1;2;3;4;5;6;7;8;9;10})*(($I$3+(L869-$I$3)*{1;2;3;4;5;6;7;8;9;10}/10)*(1-$I$7)+$I$4-$I$4*($I$5+(1.05-$I$5)*{1;2;3;4;5;6;7;8;9;10}/10)-(K869/(1+K869))*$I$6)/(1+M869)^{1;2;3;4;5;6;7;8;9;10})+$I$2*(1+K869)^10*(L869+$I$4)*N869/(1+M869)^10+$I$9-$I$10)/$I$11</f>
        <v/>
      </c>
    </row>
    <row r="870">
      <c r="K870" s="25">
        <f>MAX(-0.05,NORMINV(RAND(),$C$6,$D$6))</f>
        <v/>
      </c>
      <c r="L870" s="25">
        <f>MAX(0.02,NORMINV(RAND(),$C$7,$D$7))</f>
        <v/>
      </c>
      <c r="M870" s="25">
        <f>MIN(0.16,MAX(0.05,NORMINV(RAND(),$C$8,$D$8)))</f>
        <v/>
      </c>
      <c r="N870" s="26">
        <f>MIN(24,MAX(5,NORMINV(RAND(),$C$9,$D$9)))</f>
        <v/>
      </c>
      <c r="O870" s="49">
        <f>$I$8*(SUMPRODUCT(($I$2*(1+K870)^{1;2;3;4;5;6;7;8;9;10})*(($I$3+(L870-$I$3)*{1;2;3;4;5;6;7;8;9;10}/10)*(1-$I$7)+$I$4-$I$4*($I$5+(1.05-$I$5)*{1;2;3;4;5;6;7;8;9;10}/10)-(K870/(1+K870))*$I$6)/(1+M870)^{1;2;3;4;5;6;7;8;9;10})+$I$2*(1+K870)^10*(L870+$I$4)*N870/(1+M870)^10+$I$9-$I$10)/$I$11</f>
        <v/>
      </c>
    </row>
    <row r="871">
      <c r="K871" s="25">
        <f>MAX(-0.05,NORMINV(RAND(),$C$6,$D$6))</f>
        <v/>
      </c>
      <c r="L871" s="25">
        <f>MAX(0.02,NORMINV(RAND(),$C$7,$D$7))</f>
        <v/>
      </c>
      <c r="M871" s="25">
        <f>MIN(0.16,MAX(0.05,NORMINV(RAND(),$C$8,$D$8)))</f>
        <v/>
      </c>
      <c r="N871" s="26">
        <f>MIN(24,MAX(5,NORMINV(RAND(),$C$9,$D$9)))</f>
        <v/>
      </c>
      <c r="O871" s="49">
        <f>$I$8*(SUMPRODUCT(($I$2*(1+K871)^{1;2;3;4;5;6;7;8;9;10})*(($I$3+(L871-$I$3)*{1;2;3;4;5;6;7;8;9;10}/10)*(1-$I$7)+$I$4-$I$4*($I$5+(1.05-$I$5)*{1;2;3;4;5;6;7;8;9;10}/10)-(K871/(1+K871))*$I$6)/(1+M871)^{1;2;3;4;5;6;7;8;9;10})+$I$2*(1+K871)^10*(L871+$I$4)*N871/(1+M871)^10+$I$9-$I$10)/$I$11</f>
        <v/>
      </c>
    </row>
    <row r="872">
      <c r="K872" s="25">
        <f>MAX(-0.05,NORMINV(RAND(),$C$6,$D$6))</f>
        <v/>
      </c>
      <c r="L872" s="25">
        <f>MAX(0.02,NORMINV(RAND(),$C$7,$D$7))</f>
        <v/>
      </c>
      <c r="M872" s="25">
        <f>MIN(0.16,MAX(0.05,NORMINV(RAND(),$C$8,$D$8)))</f>
        <v/>
      </c>
      <c r="N872" s="26">
        <f>MIN(24,MAX(5,NORMINV(RAND(),$C$9,$D$9)))</f>
        <v/>
      </c>
      <c r="O872" s="49">
        <f>$I$8*(SUMPRODUCT(($I$2*(1+K872)^{1;2;3;4;5;6;7;8;9;10})*(($I$3+(L872-$I$3)*{1;2;3;4;5;6;7;8;9;10}/10)*(1-$I$7)+$I$4-$I$4*($I$5+(1.05-$I$5)*{1;2;3;4;5;6;7;8;9;10}/10)-(K872/(1+K872))*$I$6)/(1+M872)^{1;2;3;4;5;6;7;8;9;10})+$I$2*(1+K872)^10*(L872+$I$4)*N872/(1+M872)^10+$I$9-$I$10)/$I$11</f>
        <v/>
      </c>
    </row>
    <row r="873">
      <c r="K873" s="25">
        <f>MAX(-0.05,NORMINV(RAND(),$C$6,$D$6))</f>
        <v/>
      </c>
      <c r="L873" s="25">
        <f>MAX(0.02,NORMINV(RAND(),$C$7,$D$7))</f>
        <v/>
      </c>
      <c r="M873" s="25">
        <f>MIN(0.16,MAX(0.05,NORMINV(RAND(),$C$8,$D$8)))</f>
        <v/>
      </c>
      <c r="N873" s="26">
        <f>MIN(24,MAX(5,NORMINV(RAND(),$C$9,$D$9)))</f>
        <v/>
      </c>
      <c r="O873" s="49">
        <f>$I$8*(SUMPRODUCT(($I$2*(1+K873)^{1;2;3;4;5;6;7;8;9;10})*(($I$3+(L873-$I$3)*{1;2;3;4;5;6;7;8;9;10}/10)*(1-$I$7)+$I$4-$I$4*($I$5+(1.05-$I$5)*{1;2;3;4;5;6;7;8;9;10}/10)-(K873/(1+K873))*$I$6)/(1+M873)^{1;2;3;4;5;6;7;8;9;10})+$I$2*(1+K873)^10*(L873+$I$4)*N873/(1+M873)^10+$I$9-$I$10)/$I$11</f>
        <v/>
      </c>
    </row>
    <row r="874">
      <c r="K874" s="25">
        <f>MAX(-0.05,NORMINV(RAND(),$C$6,$D$6))</f>
        <v/>
      </c>
      <c r="L874" s="25">
        <f>MAX(0.02,NORMINV(RAND(),$C$7,$D$7))</f>
        <v/>
      </c>
      <c r="M874" s="25">
        <f>MIN(0.16,MAX(0.05,NORMINV(RAND(),$C$8,$D$8)))</f>
        <v/>
      </c>
      <c r="N874" s="26">
        <f>MIN(24,MAX(5,NORMINV(RAND(),$C$9,$D$9)))</f>
        <v/>
      </c>
      <c r="O874" s="49">
        <f>$I$8*(SUMPRODUCT(($I$2*(1+K874)^{1;2;3;4;5;6;7;8;9;10})*(($I$3+(L874-$I$3)*{1;2;3;4;5;6;7;8;9;10}/10)*(1-$I$7)+$I$4-$I$4*($I$5+(1.05-$I$5)*{1;2;3;4;5;6;7;8;9;10}/10)-(K874/(1+K874))*$I$6)/(1+M874)^{1;2;3;4;5;6;7;8;9;10})+$I$2*(1+K874)^10*(L874+$I$4)*N874/(1+M874)^10+$I$9-$I$10)/$I$11</f>
        <v/>
      </c>
    </row>
    <row r="875">
      <c r="K875" s="25">
        <f>MAX(-0.05,NORMINV(RAND(),$C$6,$D$6))</f>
        <v/>
      </c>
      <c r="L875" s="25">
        <f>MAX(0.02,NORMINV(RAND(),$C$7,$D$7))</f>
        <v/>
      </c>
      <c r="M875" s="25">
        <f>MIN(0.16,MAX(0.05,NORMINV(RAND(),$C$8,$D$8)))</f>
        <v/>
      </c>
      <c r="N875" s="26">
        <f>MIN(24,MAX(5,NORMINV(RAND(),$C$9,$D$9)))</f>
        <v/>
      </c>
      <c r="O875" s="49">
        <f>$I$8*(SUMPRODUCT(($I$2*(1+K875)^{1;2;3;4;5;6;7;8;9;10})*(($I$3+(L875-$I$3)*{1;2;3;4;5;6;7;8;9;10}/10)*(1-$I$7)+$I$4-$I$4*($I$5+(1.05-$I$5)*{1;2;3;4;5;6;7;8;9;10}/10)-(K875/(1+K875))*$I$6)/(1+M875)^{1;2;3;4;5;6;7;8;9;10})+$I$2*(1+K875)^10*(L875+$I$4)*N875/(1+M875)^10+$I$9-$I$10)/$I$11</f>
        <v/>
      </c>
    </row>
    <row r="876">
      <c r="K876" s="25">
        <f>MAX(-0.05,NORMINV(RAND(),$C$6,$D$6))</f>
        <v/>
      </c>
      <c r="L876" s="25">
        <f>MAX(0.02,NORMINV(RAND(),$C$7,$D$7))</f>
        <v/>
      </c>
      <c r="M876" s="25">
        <f>MIN(0.16,MAX(0.05,NORMINV(RAND(),$C$8,$D$8)))</f>
        <v/>
      </c>
      <c r="N876" s="26">
        <f>MIN(24,MAX(5,NORMINV(RAND(),$C$9,$D$9)))</f>
        <v/>
      </c>
      <c r="O876" s="49">
        <f>$I$8*(SUMPRODUCT(($I$2*(1+K876)^{1;2;3;4;5;6;7;8;9;10})*(($I$3+(L876-$I$3)*{1;2;3;4;5;6;7;8;9;10}/10)*(1-$I$7)+$I$4-$I$4*($I$5+(1.05-$I$5)*{1;2;3;4;5;6;7;8;9;10}/10)-(K876/(1+K876))*$I$6)/(1+M876)^{1;2;3;4;5;6;7;8;9;10})+$I$2*(1+K876)^10*(L876+$I$4)*N876/(1+M876)^10+$I$9-$I$10)/$I$11</f>
        <v/>
      </c>
    </row>
    <row r="877">
      <c r="K877" s="25">
        <f>MAX(-0.05,NORMINV(RAND(),$C$6,$D$6))</f>
        <v/>
      </c>
      <c r="L877" s="25">
        <f>MAX(0.02,NORMINV(RAND(),$C$7,$D$7))</f>
        <v/>
      </c>
      <c r="M877" s="25">
        <f>MIN(0.16,MAX(0.05,NORMINV(RAND(),$C$8,$D$8)))</f>
        <v/>
      </c>
      <c r="N877" s="26">
        <f>MIN(24,MAX(5,NORMINV(RAND(),$C$9,$D$9)))</f>
        <v/>
      </c>
      <c r="O877" s="49">
        <f>$I$8*(SUMPRODUCT(($I$2*(1+K877)^{1;2;3;4;5;6;7;8;9;10})*(($I$3+(L877-$I$3)*{1;2;3;4;5;6;7;8;9;10}/10)*(1-$I$7)+$I$4-$I$4*($I$5+(1.05-$I$5)*{1;2;3;4;5;6;7;8;9;10}/10)-(K877/(1+K877))*$I$6)/(1+M877)^{1;2;3;4;5;6;7;8;9;10})+$I$2*(1+K877)^10*(L877+$I$4)*N877/(1+M877)^10+$I$9-$I$10)/$I$11</f>
        <v/>
      </c>
    </row>
    <row r="878">
      <c r="K878" s="25">
        <f>MAX(-0.05,NORMINV(RAND(),$C$6,$D$6))</f>
        <v/>
      </c>
      <c r="L878" s="25">
        <f>MAX(0.02,NORMINV(RAND(),$C$7,$D$7))</f>
        <v/>
      </c>
      <c r="M878" s="25">
        <f>MIN(0.16,MAX(0.05,NORMINV(RAND(),$C$8,$D$8)))</f>
        <v/>
      </c>
      <c r="N878" s="26">
        <f>MIN(24,MAX(5,NORMINV(RAND(),$C$9,$D$9)))</f>
        <v/>
      </c>
      <c r="O878" s="49">
        <f>$I$8*(SUMPRODUCT(($I$2*(1+K878)^{1;2;3;4;5;6;7;8;9;10})*(($I$3+(L878-$I$3)*{1;2;3;4;5;6;7;8;9;10}/10)*(1-$I$7)+$I$4-$I$4*($I$5+(1.05-$I$5)*{1;2;3;4;5;6;7;8;9;10}/10)-(K878/(1+K878))*$I$6)/(1+M878)^{1;2;3;4;5;6;7;8;9;10})+$I$2*(1+K878)^10*(L878+$I$4)*N878/(1+M878)^10+$I$9-$I$10)/$I$11</f>
        <v/>
      </c>
    </row>
    <row r="879">
      <c r="K879" s="25">
        <f>MAX(-0.05,NORMINV(RAND(),$C$6,$D$6))</f>
        <v/>
      </c>
      <c r="L879" s="25">
        <f>MAX(0.02,NORMINV(RAND(),$C$7,$D$7))</f>
        <v/>
      </c>
      <c r="M879" s="25">
        <f>MIN(0.16,MAX(0.05,NORMINV(RAND(),$C$8,$D$8)))</f>
        <v/>
      </c>
      <c r="N879" s="26">
        <f>MIN(24,MAX(5,NORMINV(RAND(),$C$9,$D$9)))</f>
        <v/>
      </c>
      <c r="O879" s="49">
        <f>$I$8*(SUMPRODUCT(($I$2*(1+K879)^{1;2;3;4;5;6;7;8;9;10})*(($I$3+(L879-$I$3)*{1;2;3;4;5;6;7;8;9;10}/10)*(1-$I$7)+$I$4-$I$4*($I$5+(1.05-$I$5)*{1;2;3;4;5;6;7;8;9;10}/10)-(K879/(1+K879))*$I$6)/(1+M879)^{1;2;3;4;5;6;7;8;9;10})+$I$2*(1+K879)^10*(L879+$I$4)*N879/(1+M879)^10+$I$9-$I$10)/$I$11</f>
        <v/>
      </c>
    </row>
    <row r="880">
      <c r="K880" s="25">
        <f>MAX(-0.05,NORMINV(RAND(),$C$6,$D$6))</f>
        <v/>
      </c>
      <c r="L880" s="25">
        <f>MAX(0.02,NORMINV(RAND(),$C$7,$D$7))</f>
        <v/>
      </c>
      <c r="M880" s="25">
        <f>MIN(0.16,MAX(0.05,NORMINV(RAND(),$C$8,$D$8)))</f>
        <v/>
      </c>
      <c r="N880" s="26">
        <f>MIN(24,MAX(5,NORMINV(RAND(),$C$9,$D$9)))</f>
        <v/>
      </c>
      <c r="O880" s="49">
        <f>$I$8*(SUMPRODUCT(($I$2*(1+K880)^{1;2;3;4;5;6;7;8;9;10})*(($I$3+(L880-$I$3)*{1;2;3;4;5;6;7;8;9;10}/10)*(1-$I$7)+$I$4-$I$4*($I$5+(1.05-$I$5)*{1;2;3;4;5;6;7;8;9;10}/10)-(K880/(1+K880))*$I$6)/(1+M880)^{1;2;3;4;5;6;7;8;9;10})+$I$2*(1+K880)^10*(L880+$I$4)*N880/(1+M880)^10+$I$9-$I$10)/$I$11</f>
        <v/>
      </c>
    </row>
    <row r="881">
      <c r="K881" s="25">
        <f>MAX(-0.05,NORMINV(RAND(),$C$6,$D$6))</f>
        <v/>
      </c>
      <c r="L881" s="25">
        <f>MAX(0.02,NORMINV(RAND(),$C$7,$D$7))</f>
        <v/>
      </c>
      <c r="M881" s="25">
        <f>MIN(0.16,MAX(0.05,NORMINV(RAND(),$C$8,$D$8)))</f>
        <v/>
      </c>
      <c r="N881" s="26">
        <f>MIN(24,MAX(5,NORMINV(RAND(),$C$9,$D$9)))</f>
        <v/>
      </c>
      <c r="O881" s="49">
        <f>$I$8*(SUMPRODUCT(($I$2*(1+K881)^{1;2;3;4;5;6;7;8;9;10})*(($I$3+(L881-$I$3)*{1;2;3;4;5;6;7;8;9;10}/10)*(1-$I$7)+$I$4-$I$4*($I$5+(1.05-$I$5)*{1;2;3;4;5;6;7;8;9;10}/10)-(K881/(1+K881))*$I$6)/(1+M881)^{1;2;3;4;5;6;7;8;9;10})+$I$2*(1+K881)^10*(L881+$I$4)*N881/(1+M881)^10+$I$9-$I$10)/$I$11</f>
        <v/>
      </c>
    </row>
    <row r="882">
      <c r="K882" s="25">
        <f>MAX(-0.05,NORMINV(RAND(),$C$6,$D$6))</f>
        <v/>
      </c>
      <c r="L882" s="25">
        <f>MAX(0.02,NORMINV(RAND(),$C$7,$D$7))</f>
        <v/>
      </c>
      <c r="M882" s="25">
        <f>MIN(0.16,MAX(0.05,NORMINV(RAND(),$C$8,$D$8)))</f>
        <v/>
      </c>
      <c r="N882" s="26">
        <f>MIN(24,MAX(5,NORMINV(RAND(),$C$9,$D$9)))</f>
        <v/>
      </c>
      <c r="O882" s="49">
        <f>$I$8*(SUMPRODUCT(($I$2*(1+K882)^{1;2;3;4;5;6;7;8;9;10})*(($I$3+(L882-$I$3)*{1;2;3;4;5;6;7;8;9;10}/10)*(1-$I$7)+$I$4-$I$4*($I$5+(1.05-$I$5)*{1;2;3;4;5;6;7;8;9;10}/10)-(K882/(1+K882))*$I$6)/(1+M882)^{1;2;3;4;5;6;7;8;9;10})+$I$2*(1+K882)^10*(L882+$I$4)*N882/(1+M882)^10+$I$9-$I$10)/$I$11</f>
        <v/>
      </c>
    </row>
    <row r="883">
      <c r="K883" s="25">
        <f>MAX(-0.05,NORMINV(RAND(),$C$6,$D$6))</f>
        <v/>
      </c>
      <c r="L883" s="25">
        <f>MAX(0.02,NORMINV(RAND(),$C$7,$D$7))</f>
        <v/>
      </c>
      <c r="M883" s="25">
        <f>MIN(0.16,MAX(0.05,NORMINV(RAND(),$C$8,$D$8)))</f>
        <v/>
      </c>
      <c r="N883" s="26">
        <f>MIN(24,MAX(5,NORMINV(RAND(),$C$9,$D$9)))</f>
        <v/>
      </c>
      <c r="O883" s="49">
        <f>$I$8*(SUMPRODUCT(($I$2*(1+K883)^{1;2;3;4;5;6;7;8;9;10})*(($I$3+(L883-$I$3)*{1;2;3;4;5;6;7;8;9;10}/10)*(1-$I$7)+$I$4-$I$4*($I$5+(1.05-$I$5)*{1;2;3;4;5;6;7;8;9;10}/10)-(K883/(1+K883))*$I$6)/(1+M883)^{1;2;3;4;5;6;7;8;9;10})+$I$2*(1+K883)^10*(L883+$I$4)*N883/(1+M883)^10+$I$9-$I$10)/$I$11</f>
        <v/>
      </c>
    </row>
    <row r="884">
      <c r="K884" s="25">
        <f>MAX(-0.05,NORMINV(RAND(),$C$6,$D$6))</f>
        <v/>
      </c>
      <c r="L884" s="25">
        <f>MAX(0.02,NORMINV(RAND(),$C$7,$D$7))</f>
        <v/>
      </c>
      <c r="M884" s="25">
        <f>MIN(0.16,MAX(0.05,NORMINV(RAND(),$C$8,$D$8)))</f>
        <v/>
      </c>
      <c r="N884" s="26">
        <f>MIN(24,MAX(5,NORMINV(RAND(),$C$9,$D$9)))</f>
        <v/>
      </c>
      <c r="O884" s="49">
        <f>$I$8*(SUMPRODUCT(($I$2*(1+K884)^{1;2;3;4;5;6;7;8;9;10})*(($I$3+(L884-$I$3)*{1;2;3;4;5;6;7;8;9;10}/10)*(1-$I$7)+$I$4-$I$4*($I$5+(1.05-$I$5)*{1;2;3;4;5;6;7;8;9;10}/10)-(K884/(1+K884))*$I$6)/(1+M884)^{1;2;3;4;5;6;7;8;9;10})+$I$2*(1+K884)^10*(L884+$I$4)*N884/(1+M884)^10+$I$9-$I$10)/$I$11</f>
        <v/>
      </c>
    </row>
    <row r="885">
      <c r="K885" s="25">
        <f>MAX(-0.05,NORMINV(RAND(),$C$6,$D$6))</f>
        <v/>
      </c>
      <c r="L885" s="25">
        <f>MAX(0.02,NORMINV(RAND(),$C$7,$D$7))</f>
        <v/>
      </c>
      <c r="M885" s="25">
        <f>MIN(0.16,MAX(0.05,NORMINV(RAND(),$C$8,$D$8)))</f>
        <v/>
      </c>
      <c r="N885" s="26">
        <f>MIN(24,MAX(5,NORMINV(RAND(),$C$9,$D$9)))</f>
        <v/>
      </c>
      <c r="O885" s="49">
        <f>$I$8*(SUMPRODUCT(($I$2*(1+K885)^{1;2;3;4;5;6;7;8;9;10})*(($I$3+(L885-$I$3)*{1;2;3;4;5;6;7;8;9;10}/10)*(1-$I$7)+$I$4-$I$4*($I$5+(1.05-$I$5)*{1;2;3;4;5;6;7;8;9;10}/10)-(K885/(1+K885))*$I$6)/(1+M885)^{1;2;3;4;5;6;7;8;9;10})+$I$2*(1+K885)^10*(L885+$I$4)*N885/(1+M885)^10+$I$9-$I$10)/$I$11</f>
        <v/>
      </c>
    </row>
    <row r="886">
      <c r="K886" s="25">
        <f>MAX(-0.05,NORMINV(RAND(),$C$6,$D$6))</f>
        <v/>
      </c>
      <c r="L886" s="25">
        <f>MAX(0.02,NORMINV(RAND(),$C$7,$D$7))</f>
        <v/>
      </c>
      <c r="M886" s="25">
        <f>MIN(0.16,MAX(0.05,NORMINV(RAND(),$C$8,$D$8)))</f>
        <v/>
      </c>
      <c r="N886" s="26">
        <f>MIN(24,MAX(5,NORMINV(RAND(),$C$9,$D$9)))</f>
        <v/>
      </c>
      <c r="O886" s="49">
        <f>$I$8*(SUMPRODUCT(($I$2*(1+K886)^{1;2;3;4;5;6;7;8;9;10})*(($I$3+(L886-$I$3)*{1;2;3;4;5;6;7;8;9;10}/10)*(1-$I$7)+$I$4-$I$4*($I$5+(1.05-$I$5)*{1;2;3;4;5;6;7;8;9;10}/10)-(K886/(1+K886))*$I$6)/(1+M886)^{1;2;3;4;5;6;7;8;9;10})+$I$2*(1+K886)^10*(L886+$I$4)*N886/(1+M886)^10+$I$9-$I$10)/$I$11</f>
        <v/>
      </c>
    </row>
    <row r="887">
      <c r="K887" s="25">
        <f>MAX(-0.05,NORMINV(RAND(),$C$6,$D$6))</f>
        <v/>
      </c>
      <c r="L887" s="25">
        <f>MAX(0.02,NORMINV(RAND(),$C$7,$D$7))</f>
        <v/>
      </c>
      <c r="M887" s="25">
        <f>MIN(0.16,MAX(0.05,NORMINV(RAND(),$C$8,$D$8)))</f>
        <v/>
      </c>
      <c r="N887" s="26">
        <f>MIN(24,MAX(5,NORMINV(RAND(),$C$9,$D$9)))</f>
        <v/>
      </c>
      <c r="O887" s="49">
        <f>$I$8*(SUMPRODUCT(($I$2*(1+K887)^{1;2;3;4;5;6;7;8;9;10})*(($I$3+(L887-$I$3)*{1;2;3;4;5;6;7;8;9;10}/10)*(1-$I$7)+$I$4-$I$4*($I$5+(1.05-$I$5)*{1;2;3;4;5;6;7;8;9;10}/10)-(K887/(1+K887))*$I$6)/(1+M887)^{1;2;3;4;5;6;7;8;9;10})+$I$2*(1+K887)^10*(L887+$I$4)*N887/(1+M887)^10+$I$9-$I$10)/$I$11</f>
        <v/>
      </c>
    </row>
    <row r="888">
      <c r="K888" s="25">
        <f>MAX(-0.05,NORMINV(RAND(),$C$6,$D$6))</f>
        <v/>
      </c>
      <c r="L888" s="25">
        <f>MAX(0.02,NORMINV(RAND(),$C$7,$D$7))</f>
        <v/>
      </c>
      <c r="M888" s="25">
        <f>MIN(0.16,MAX(0.05,NORMINV(RAND(),$C$8,$D$8)))</f>
        <v/>
      </c>
      <c r="N888" s="26">
        <f>MIN(24,MAX(5,NORMINV(RAND(),$C$9,$D$9)))</f>
        <v/>
      </c>
      <c r="O888" s="49">
        <f>$I$8*(SUMPRODUCT(($I$2*(1+K888)^{1;2;3;4;5;6;7;8;9;10})*(($I$3+(L888-$I$3)*{1;2;3;4;5;6;7;8;9;10}/10)*(1-$I$7)+$I$4-$I$4*($I$5+(1.05-$I$5)*{1;2;3;4;5;6;7;8;9;10}/10)-(K888/(1+K888))*$I$6)/(1+M888)^{1;2;3;4;5;6;7;8;9;10})+$I$2*(1+K888)^10*(L888+$I$4)*N888/(1+M888)^10+$I$9-$I$10)/$I$11</f>
        <v/>
      </c>
    </row>
    <row r="889">
      <c r="K889" s="25">
        <f>MAX(-0.05,NORMINV(RAND(),$C$6,$D$6))</f>
        <v/>
      </c>
      <c r="L889" s="25">
        <f>MAX(0.02,NORMINV(RAND(),$C$7,$D$7))</f>
        <v/>
      </c>
      <c r="M889" s="25">
        <f>MIN(0.16,MAX(0.05,NORMINV(RAND(),$C$8,$D$8)))</f>
        <v/>
      </c>
      <c r="N889" s="26">
        <f>MIN(24,MAX(5,NORMINV(RAND(),$C$9,$D$9)))</f>
        <v/>
      </c>
      <c r="O889" s="49">
        <f>$I$8*(SUMPRODUCT(($I$2*(1+K889)^{1;2;3;4;5;6;7;8;9;10})*(($I$3+(L889-$I$3)*{1;2;3;4;5;6;7;8;9;10}/10)*(1-$I$7)+$I$4-$I$4*($I$5+(1.05-$I$5)*{1;2;3;4;5;6;7;8;9;10}/10)-(K889/(1+K889))*$I$6)/(1+M889)^{1;2;3;4;5;6;7;8;9;10})+$I$2*(1+K889)^10*(L889+$I$4)*N889/(1+M889)^10+$I$9-$I$10)/$I$11</f>
        <v/>
      </c>
    </row>
    <row r="890">
      <c r="K890" s="25">
        <f>MAX(-0.05,NORMINV(RAND(),$C$6,$D$6))</f>
        <v/>
      </c>
      <c r="L890" s="25">
        <f>MAX(0.02,NORMINV(RAND(),$C$7,$D$7))</f>
        <v/>
      </c>
      <c r="M890" s="25">
        <f>MIN(0.16,MAX(0.05,NORMINV(RAND(),$C$8,$D$8)))</f>
        <v/>
      </c>
      <c r="N890" s="26">
        <f>MIN(24,MAX(5,NORMINV(RAND(),$C$9,$D$9)))</f>
        <v/>
      </c>
      <c r="O890" s="49">
        <f>$I$8*(SUMPRODUCT(($I$2*(1+K890)^{1;2;3;4;5;6;7;8;9;10})*(($I$3+(L890-$I$3)*{1;2;3;4;5;6;7;8;9;10}/10)*(1-$I$7)+$I$4-$I$4*($I$5+(1.05-$I$5)*{1;2;3;4;5;6;7;8;9;10}/10)-(K890/(1+K890))*$I$6)/(1+M890)^{1;2;3;4;5;6;7;8;9;10})+$I$2*(1+K890)^10*(L890+$I$4)*N890/(1+M890)^10+$I$9-$I$10)/$I$11</f>
        <v/>
      </c>
    </row>
    <row r="891">
      <c r="K891" s="25">
        <f>MAX(-0.05,NORMINV(RAND(),$C$6,$D$6))</f>
        <v/>
      </c>
      <c r="L891" s="25">
        <f>MAX(0.02,NORMINV(RAND(),$C$7,$D$7))</f>
        <v/>
      </c>
      <c r="M891" s="25">
        <f>MIN(0.16,MAX(0.05,NORMINV(RAND(),$C$8,$D$8)))</f>
        <v/>
      </c>
      <c r="N891" s="26">
        <f>MIN(24,MAX(5,NORMINV(RAND(),$C$9,$D$9)))</f>
        <v/>
      </c>
      <c r="O891" s="49">
        <f>$I$8*(SUMPRODUCT(($I$2*(1+K891)^{1;2;3;4;5;6;7;8;9;10})*(($I$3+(L891-$I$3)*{1;2;3;4;5;6;7;8;9;10}/10)*(1-$I$7)+$I$4-$I$4*($I$5+(1.05-$I$5)*{1;2;3;4;5;6;7;8;9;10}/10)-(K891/(1+K891))*$I$6)/(1+M891)^{1;2;3;4;5;6;7;8;9;10})+$I$2*(1+K891)^10*(L891+$I$4)*N891/(1+M891)^10+$I$9-$I$10)/$I$11</f>
        <v/>
      </c>
    </row>
    <row r="892">
      <c r="K892" s="25">
        <f>MAX(-0.05,NORMINV(RAND(),$C$6,$D$6))</f>
        <v/>
      </c>
      <c r="L892" s="25">
        <f>MAX(0.02,NORMINV(RAND(),$C$7,$D$7))</f>
        <v/>
      </c>
      <c r="M892" s="25">
        <f>MIN(0.16,MAX(0.05,NORMINV(RAND(),$C$8,$D$8)))</f>
        <v/>
      </c>
      <c r="N892" s="26">
        <f>MIN(24,MAX(5,NORMINV(RAND(),$C$9,$D$9)))</f>
        <v/>
      </c>
      <c r="O892" s="49">
        <f>$I$8*(SUMPRODUCT(($I$2*(1+K892)^{1;2;3;4;5;6;7;8;9;10})*(($I$3+(L892-$I$3)*{1;2;3;4;5;6;7;8;9;10}/10)*(1-$I$7)+$I$4-$I$4*($I$5+(1.05-$I$5)*{1;2;3;4;5;6;7;8;9;10}/10)-(K892/(1+K892))*$I$6)/(1+M892)^{1;2;3;4;5;6;7;8;9;10})+$I$2*(1+K892)^10*(L892+$I$4)*N892/(1+M892)^10+$I$9-$I$10)/$I$11</f>
        <v/>
      </c>
    </row>
    <row r="893">
      <c r="K893" s="25">
        <f>MAX(-0.05,NORMINV(RAND(),$C$6,$D$6))</f>
        <v/>
      </c>
      <c r="L893" s="25">
        <f>MAX(0.02,NORMINV(RAND(),$C$7,$D$7))</f>
        <v/>
      </c>
      <c r="M893" s="25">
        <f>MIN(0.16,MAX(0.05,NORMINV(RAND(),$C$8,$D$8)))</f>
        <v/>
      </c>
      <c r="N893" s="26">
        <f>MIN(24,MAX(5,NORMINV(RAND(),$C$9,$D$9)))</f>
        <v/>
      </c>
      <c r="O893" s="49">
        <f>$I$8*(SUMPRODUCT(($I$2*(1+K893)^{1;2;3;4;5;6;7;8;9;10})*(($I$3+(L893-$I$3)*{1;2;3;4;5;6;7;8;9;10}/10)*(1-$I$7)+$I$4-$I$4*($I$5+(1.05-$I$5)*{1;2;3;4;5;6;7;8;9;10}/10)-(K893/(1+K893))*$I$6)/(1+M893)^{1;2;3;4;5;6;7;8;9;10})+$I$2*(1+K893)^10*(L893+$I$4)*N893/(1+M893)^10+$I$9-$I$10)/$I$11</f>
        <v/>
      </c>
    </row>
    <row r="894">
      <c r="K894" s="25">
        <f>MAX(-0.05,NORMINV(RAND(),$C$6,$D$6))</f>
        <v/>
      </c>
      <c r="L894" s="25">
        <f>MAX(0.02,NORMINV(RAND(),$C$7,$D$7))</f>
        <v/>
      </c>
      <c r="M894" s="25">
        <f>MIN(0.16,MAX(0.05,NORMINV(RAND(),$C$8,$D$8)))</f>
        <v/>
      </c>
      <c r="N894" s="26">
        <f>MIN(24,MAX(5,NORMINV(RAND(),$C$9,$D$9)))</f>
        <v/>
      </c>
      <c r="O894" s="49">
        <f>$I$8*(SUMPRODUCT(($I$2*(1+K894)^{1;2;3;4;5;6;7;8;9;10})*(($I$3+(L894-$I$3)*{1;2;3;4;5;6;7;8;9;10}/10)*(1-$I$7)+$I$4-$I$4*($I$5+(1.05-$I$5)*{1;2;3;4;5;6;7;8;9;10}/10)-(K894/(1+K894))*$I$6)/(1+M894)^{1;2;3;4;5;6;7;8;9;10})+$I$2*(1+K894)^10*(L894+$I$4)*N894/(1+M894)^10+$I$9-$I$10)/$I$11</f>
        <v/>
      </c>
    </row>
    <row r="895">
      <c r="K895" s="25">
        <f>MAX(-0.05,NORMINV(RAND(),$C$6,$D$6))</f>
        <v/>
      </c>
      <c r="L895" s="25">
        <f>MAX(0.02,NORMINV(RAND(),$C$7,$D$7))</f>
        <v/>
      </c>
      <c r="M895" s="25">
        <f>MIN(0.16,MAX(0.05,NORMINV(RAND(),$C$8,$D$8)))</f>
        <v/>
      </c>
      <c r="N895" s="26">
        <f>MIN(24,MAX(5,NORMINV(RAND(),$C$9,$D$9)))</f>
        <v/>
      </c>
      <c r="O895" s="49">
        <f>$I$8*(SUMPRODUCT(($I$2*(1+K895)^{1;2;3;4;5;6;7;8;9;10})*(($I$3+(L895-$I$3)*{1;2;3;4;5;6;7;8;9;10}/10)*(1-$I$7)+$I$4-$I$4*($I$5+(1.05-$I$5)*{1;2;3;4;5;6;7;8;9;10}/10)-(K895/(1+K895))*$I$6)/(1+M895)^{1;2;3;4;5;6;7;8;9;10})+$I$2*(1+K895)^10*(L895+$I$4)*N895/(1+M895)^10+$I$9-$I$10)/$I$11</f>
        <v/>
      </c>
    </row>
    <row r="896">
      <c r="K896" s="25">
        <f>MAX(-0.05,NORMINV(RAND(),$C$6,$D$6))</f>
        <v/>
      </c>
      <c r="L896" s="25">
        <f>MAX(0.02,NORMINV(RAND(),$C$7,$D$7))</f>
        <v/>
      </c>
      <c r="M896" s="25">
        <f>MIN(0.16,MAX(0.05,NORMINV(RAND(),$C$8,$D$8)))</f>
        <v/>
      </c>
      <c r="N896" s="26">
        <f>MIN(24,MAX(5,NORMINV(RAND(),$C$9,$D$9)))</f>
        <v/>
      </c>
      <c r="O896" s="49">
        <f>$I$8*(SUMPRODUCT(($I$2*(1+K896)^{1;2;3;4;5;6;7;8;9;10})*(($I$3+(L896-$I$3)*{1;2;3;4;5;6;7;8;9;10}/10)*(1-$I$7)+$I$4-$I$4*($I$5+(1.05-$I$5)*{1;2;3;4;5;6;7;8;9;10}/10)-(K896/(1+K896))*$I$6)/(1+M896)^{1;2;3;4;5;6;7;8;9;10})+$I$2*(1+K896)^10*(L896+$I$4)*N896/(1+M896)^10+$I$9-$I$10)/$I$11</f>
        <v/>
      </c>
    </row>
    <row r="897">
      <c r="K897" s="25">
        <f>MAX(-0.05,NORMINV(RAND(),$C$6,$D$6))</f>
        <v/>
      </c>
      <c r="L897" s="25">
        <f>MAX(0.02,NORMINV(RAND(),$C$7,$D$7))</f>
        <v/>
      </c>
      <c r="M897" s="25">
        <f>MIN(0.16,MAX(0.05,NORMINV(RAND(),$C$8,$D$8)))</f>
        <v/>
      </c>
      <c r="N897" s="26">
        <f>MIN(24,MAX(5,NORMINV(RAND(),$C$9,$D$9)))</f>
        <v/>
      </c>
      <c r="O897" s="49">
        <f>$I$8*(SUMPRODUCT(($I$2*(1+K897)^{1;2;3;4;5;6;7;8;9;10})*(($I$3+(L897-$I$3)*{1;2;3;4;5;6;7;8;9;10}/10)*(1-$I$7)+$I$4-$I$4*($I$5+(1.05-$I$5)*{1;2;3;4;5;6;7;8;9;10}/10)-(K897/(1+K897))*$I$6)/(1+M897)^{1;2;3;4;5;6;7;8;9;10})+$I$2*(1+K897)^10*(L897+$I$4)*N897/(1+M897)^10+$I$9-$I$10)/$I$11</f>
        <v/>
      </c>
    </row>
    <row r="898">
      <c r="K898" s="25">
        <f>MAX(-0.05,NORMINV(RAND(),$C$6,$D$6))</f>
        <v/>
      </c>
      <c r="L898" s="25">
        <f>MAX(0.02,NORMINV(RAND(),$C$7,$D$7))</f>
        <v/>
      </c>
      <c r="M898" s="25">
        <f>MIN(0.16,MAX(0.05,NORMINV(RAND(),$C$8,$D$8)))</f>
        <v/>
      </c>
      <c r="N898" s="26">
        <f>MIN(24,MAX(5,NORMINV(RAND(),$C$9,$D$9)))</f>
        <v/>
      </c>
      <c r="O898" s="49">
        <f>$I$8*(SUMPRODUCT(($I$2*(1+K898)^{1;2;3;4;5;6;7;8;9;10})*(($I$3+(L898-$I$3)*{1;2;3;4;5;6;7;8;9;10}/10)*(1-$I$7)+$I$4-$I$4*($I$5+(1.05-$I$5)*{1;2;3;4;5;6;7;8;9;10}/10)-(K898/(1+K898))*$I$6)/(1+M898)^{1;2;3;4;5;6;7;8;9;10})+$I$2*(1+K898)^10*(L898+$I$4)*N898/(1+M898)^10+$I$9-$I$10)/$I$11</f>
        <v/>
      </c>
    </row>
    <row r="899">
      <c r="K899" s="25">
        <f>MAX(-0.05,NORMINV(RAND(),$C$6,$D$6))</f>
        <v/>
      </c>
      <c r="L899" s="25">
        <f>MAX(0.02,NORMINV(RAND(),$C$7,$D$7))</f>
        <v/>
      </c>
      <c r="M899" s="25">
        <f>MIN(0.16,MAX(0.05,NORMINV(RAND(),$C$8,$D$8)))</f>
        <v/>
      </c>
      <c r="N899" s="26">
        <f>MIN(24,MAX(5,NORMINV(RAND(),$C$9,$D$9)))</f>
        <v/>
      </c>
      <c r="O899" s="49">
        <f>$I$8*(SUMPRODUCT(($I$2*(1+K899)^{1;2;3;4;5;6;7;8;9;10})*(($I$3+(L899-$I$3)*{1;2;3;4;5;6;7;8;9;10}/10)*(1-$I$7)+$I$4-$I$4*($I$5+(1.05-$I$5)*{1;2;3;4;5;6;7;8;9;10}/10)-(K899/(1+K899))*$I$6)/(1+M899)^{1;2;3;4;5;6;7;8;9;10})+$I$2*(1+K899)^10*(L899+$I$4)*N899/(1+M899)^10+$I$9-$I$10)/$I$11</f>
        <v/>
      </c>
    </row>
    <row r="900">
      <c r="K900" s="25">
        <f>MAX(-0.05,NORMINV(RAND(),$C$6,$D$6))</f>
        <v/>
      </c>
      <c r="L900" s="25">
        <f>MAX(0.02,NORMINV(RAND(),$C$7,$D$7))</f>
        <v/>
      </c>
      <c r="M900" s="25">
        <f>MIN(0.16,MAX(0.05,NORMINV(RAND(),$C$8,$D$8)))</f>
        <v/>
      </c>
      <c r="N900" s="26">
        <f>MIN(24,MAX(5,NORMINV(RAND(),$C$9,$D$9)))</f>
        <v/>
      </c>
      <c r="O900" s="49">
        <f>$I$8*(SUMPRODUCT(($I$2*(1+K900)^{1;2;3;4;5;6;7;8;9;10})*(($I$3+(L900-$I$3)*{1;2;3;4;5;6;7;8;9;10}/10)*(1-$I$7)+$I$4-$I$4*($I$5+(1.05-$I$5)*{1;2;3;4;5;6;7;8;9;10}/10)-(K900/(1+K900))*$I$6)/(1+M900)^{1;2;3;4;5;6;7;8;9;10})+$I$2*(1+K900)^10*(L900+$I$4)*N900/(1+M900)^10+$I$9-$I$10)/$I$11</f>
        <v/>
      </c>
    </row>
    <row r="901">
      <c r="K901" s="25">
        <f>MAX(-0.05,NORMINV(RAND(),$C$6,$D$6))</f>
        <v/>
      </c>
      <c r="L901" s="25">
        <f>MAX(0.02,NORMINV(RAND(),$C$7,$D$7))</f>
        <v/>
      </c>
      <c r="M901" s="25">
        <f>MIN(0.16,MAX(0.05,NORMINV(RAND(),$C$8,$D$8)))</f>
        <v/>
      </c>
      <c r="N901" s="26">
        <f>MIN(24,MAX(5,NORMINV(RAND(),$C$9,$D$9)))</f>
        <v/>
      </c>
      <c r="O901" s="49">
        <f>$I$8*(SUMPRODUCT(($I$2*(1+K901)^{1;2;3;4;5;6;7;8;9;10})*(($I$3+(L901-$I$3)*{1;2;3;4;5;6;7;8;9;10}/10)*(1-$I$7)+$I$4-$I$4*($I$5+(1.05-$I$5)*{1;2;3;4;5;6;7;8;9;10}/10)-(K901/(1+K901))*$I$6)/(1+M901)^{1;2;3;4;5;6;7;8;9;10})+$I$2*(1+K901)^10*(L901+$I$4)*N901/(1+M901)^10+$I$9-$I$10)/$I$11</f>
        <v/>
      </c>
    </row>
    <row r="902">
      <c r="K902" s="25">
        <f>MAX(-0.05,NORMINV(RAND(),$C$6,$D$6))</f>
        <v/>
      </c>
      <c r="L902" s="25">
        <f>MAX(0.02,NORMINV(RAND(),$C$7,$D$7))</f>
        <v/>
      </c>
      <c r="M902" s="25">
        <f>MIN(0.16,MAX(0.05,NORMINV(RAND(),$C$8,$D$8)))</f>
        <v/>
      </c>
      <c r="N902" s="26">
        <f>MIN(24,MAX(5,NORMINV(RAND(),$C$9,$D$9)))</f>
        <v/>
      </c>
      <c r="O902" s="49">
        <f>$I$8*(SUMPRODUCT(($I$2*(1+K902)^{1;2;3;4;5;6;7;8;9;10})*(($I$3+(L902-$I$3)*{1;2;3;4;5;6;7;8;9;10}/10)*(1-$I$7)+$I$4-$I$4*($I$5+(1.05-$I$5)*{1;2;3;4;5;6;7;8;9;10}/10)-(K902/(1+K902))*$I$6)/(1+M902)^{1;2;3;4;5;6;7;8;9;10})+$I$2*(1+K902)^10*(L902+$I$4)*N902/(1+M902)^10+$I$9-$I$10)/$I$11</f>
        <v/>
      </c>
    </row>
    <row r="903">
      <c r="K903" s="25">
        <f>MAX(-0.05,NORMINV(RAND(),$C$6,$D$6))</f>
        <v/>
      </c>
      <c r="L903" s="25">
        <f>MAX(0.02,NORMINV(RAND(),$C$7,$D$7))</f>
        <v/>
      </c>
      <c r="M903" s="25">
        <f>MIN(0.16,MAX(0.05,NORMINV(RAND(),$C$8,$D$8)))</f>
        <v/>
      </c>
      <c r="N903" s="26">
        <f>MIN(24,MAX(5,NORMINV(RAND(),$C$9,$D$9)))</f>
        <v/>
      </c>
      <c r="O903" s="49">
        <f>$I$8*(SUMPRODUCT(($I$2*(1+K903)^{1;2;3;4;5;6;7;8;9;10})*(($I$3+(L903-$I$3)*{1;2;3;4;5;6;7;8;9;10}/10)*(1-$I$7)+$I$4-$I$4*($I$5+(1.05-$I$5)*{1;2;3;4;5;6;7;8;9;10}/10)-(K903/(1+K903))*$I$6)/(1+M903)^{1;2;3;4;5;6;7;8;9;10})+$I$2*(1+K903)^10*(L903+$I$4)*N903/(1+M903)^10+$I$9-$I$10)/$I$11</f>
        <v/>
      </c>
    </row>
    <row r="904">
      <c r="K904" s="25">
        <f>MAX(-0.05,NORMINV(RAND(),$C$6,$D$6))</f>
        <v/>
      </c>
      <c r="L904" s="25">
        <f>MAX(0.02,NORMINV(RAND(),$C$7,$D$7))</f>
        <v/>
      </c>
      <c r="M904" s="25">
        <f>MIN(0.16,MAX(0.05,NORMINV(RAND(),$C$8,$D$8)))</f>
        <v/>
      </c>
      <c r="N904" s="26">
        <f>MIN(24,MAX(5,NORMINV(RAND(),$C$9,$D$9)))</f>
        <v/>
      </c>
      <c r="O904" s="49">
        <f>$I$8*(SUMPRODUCT(($I$2*(1+K904)^{1;2;3;4;5;6;7;8;9;10})*(($I$3+(L904-$I$3)*{1;2;3;4;5;6;7;8;9;10}/10)*(1-$I$7)+$I$4-$I$4*($I$5+(1.05-$I$5)*{1;2;3;4;5;6;7;8;9;10}/10)-(K904/(1+K904))*$I$6)/(1+M904)^{1;2;3;4;5;6;7;8;9;10})+$I$2*(1+K904)^10*(L904+$I$4)*N904/(1+M904)^10+$I$9-$I$10)/$I$11</f>
        <v/>
      </c>
    </row>
    <row r="905">
      <c r="K905" s="25">
        <f>MAX(-0.05,NORMINV(RAND(),$C$6,$D$6))</f>
        <v/>
      </c>
      <c r="L905" s="25">
        <f>MAX(0.02,NORMINV(RAND(),$C$7,$D$7))</f>
        <v/>
      </c>
      <c r="M905" s="25">
        <f>MIN(0.16,MAX(0.05,NORMINV(RAND(),$C$8,$D$8)))</f>
        <v/>
      </c>
      <c r="N905" s="26">
        <f>MIN(24,MAX(5,NORMINV(RAND(),$C$9,$D$9)))</f>
        <v/>
      </c>
      <c r="O905" s="49">
        <f>$I$8*(SUMPRODUCT(($I$2*(1+K905)^{1;2;3;4;5;6;7;8;9;10})*(($I$3+(L905-$I$3)*{1;2;3;4;5;6;7;8;9;10}/10)*(1-$I$7)+$I$4-$I$4*($I$5+(1.05-$I$5)*{1;2;3;4;5;6;7;8;9;10}/10)-(K905/(1+K905))*$I$6)/(1+M905)^{1;2;3;4;5;6;7;8;9;10})+$I$2*(1+K905)^10*(L905+$I$4)*N905/(1+M905)^10+$I$9-$I$10)/$I$11</f>
        <v/>
      </c>
    </row>
    <row r="906">
      <c r="K906" s="25">
        <f>MAX(-0.05,NORMINV(RAND(),$C$6,$D$6))</f>
        <v/>
      </c>
      <c r="L906" s="25">
        <f>MAX(0.02,NORMINV(RAND(),$C$7,$D$7))</f>
        <v/>
      </c>
      <c r="M906" s="25">
        <f>MIN(0.16,MAX(0.05,NORMINV(RAND(),$C$8,$D$8)))</f>
        <v/>
      </c>
      <c r="N906" s="26">
        <f>MIN(24,MAX(5,NORMINV(RAND(),$C$9,$D$9)))</f>
        <v/>
      </c>
      <c r="O906" s="49">
        <f>$I$8*(SUMPRODUCT(($I$2*(1+K906)^{1;2;3;4;5;6;7;8;9;10})*(($I$3+(L906-$I$3)*{1;2;3;4;5;6;7;8;9;10}/10)*(1-$I$7)+$I$4-$I$4*($I$5+(1.05-$I$5)*{1;2;3;4;5;6;7;8;9;10}/10)-(K906/(1+K906))*$I$6)/(1+M906)^{1;2;3;4;5;6;7;8;9;10})+$I$2*(1+K906)^10*(L906+$I$4)*N906/(1+M906)^10+$I$9-$I$10)/$I$11</f>
        <v/>
      </c>
    </row>
    <row r="907">
      <c r="K907" s="25">
        <f>MAX(-0.05,NORMINV(RAND(),$C$6,$D$6))</f>
        <v/>
      </c>
      <c r="L907" s="25">
        <f>MAX(0.02,NORMINV(RAND(),$C$7,$D$7))</f>
        <v/>
      </c>
      <c r="M907" s="25">
        <f>MIN(0.16,MAX(0.05,NORMINV(RAND(),$C$8,$D$8)))</f>
        <v/>
      </c>
      <c r="N907" s="26">
        <f>MIN(24,MAX(5,NORMINV(RAND(),$C$9,$D$9)))</f>
        <v/>
      </c>
      <c r="O907" s="49">
        <f>$I$8*(SUMPRODUCT(($I$2*(1+K907)^{1;2;3;4;5;6;7;8;9;10})*(($I$3+(L907-$I$3)*{1;2;3;4;5;6;7;8;9;10}/10)*(1-$I$7)+$I$4-$I$4*($I$5+(1.05-$I$5)*{1;2;3;4;5;6;7;8;9;10}/10)-(K907/(1+K907))*$I$6)/(1+M907)^{1;2;3;4;5;6;7;8;9;10})+$I$2*(1+K907)^10*(L907+$I$4)*N907/(1+M907)^10+$I$9-$I$10)/$I$11</f>
        <v/>
      </c>
    </row>
    <row r="908">
      <c r="K908" s="25">
        <f>MAX(-0.05,NORMINV(RAND(),$C$6,$D$6))</f>
        <v/>
      </c>
      <c r="L908" s="25">
        <f>MAX(0.02,NORMINV(RAND(),$C$7,$D$7))</f>
        <v/>
      </c>
      <c r="M908" s="25">
        <f>MIN(0.16,MAX(0.05,NORMINV(RAND(),$C$8,$D$8)))</f>
        <v/>
      </c>
      <c r="N908" s="26">
        <f>MIN(24,MAX(5,NORMINV(RAND(),$C$9,$D$9)))</f>
        <v/>
      </c>
      <c r="O908" s="49">
        <f>$I$8*(SUMPRODUCT(($I$2*(1+K908)^{1;2;3;4;5;6;7;8;9;10})*(($I$3+(L908-$I$3)*{1;2;3;4;5;6;7;8;9;10}/10)*(1-$I$7)+$I$4-$I$4*($I$5+(1.05-$I$5)*{1;2;3;4;5;6;7;8;9;10}/10)-(K908/(1+K908))*$I$6)/(1+M908)^{1;2;3;4;5;6;7;8;9;10})+$I$2*(1+K908)^10*(L908+$I$4)*N908/(1+M908)^10+$I$9-$I$10)/$I$11</f>
        <v/>
      </c>
    </row>
    <row r="909">
      <c r="K909" s="25">
        <f>MAX(-0.05,NORMINV(RAND(),$C$6,$D$6))</f>
        <v/>
      </c>
      <c r="L909" s="25">
        <f>MAX(0.02,NORMINV(RAND(),$C$7,$D$7))</f>
        <v/>
      </c>
      <c r="M909" s="25">
        <f>MIN(0.16,MAX(0.05,NORMINV(RAND(),$C$8,$D$8)))</f>
        <v/>
      </c>
      <c r="N909" s="26">
        <f>MIN(24,MAX(5,NORMINV(RAND(),$C$9,$D$9)))</f>
        <v/>
      </c>
      <c r="O909" s="49">
        <f>$I$8*(SUMPRODUCT(($I$2*(1+K909)^{1;2;3;4;5;6;7;8;9;10})*(($I$3+(L909-$I$3)*{1;2;3;4;5;6;7;8;9;10}/10)*(1-$I$7)+$I$4-$I$4*($I$5+(1.05-$I$5)*{1;2;3;4;5;6;7;8;9;10}/10)-(K909/(1+K909))*$I$6)/(1+M909)^{1;2;3;4;5;6;7;8;9;10})+$I$2*(1+K909)^10*(L909+$I$4)*N909/(1+M909)^10+$I$9-$I$10)/$I$11</f>
        <v/>
      </c>
    </row>
    <row r="910">
      <c r="K910" s="25">
        <f>MAX(-0.05,NORMINV(RAND(),$C$6,$D$6))</f>
        <v/>
      </c>
      <c r="L910" s="25">
        <f>MAX(0.02,NORMINV(RAND(),$C$7,$D$7))</f>
        <v/>
      </c>
      <c r="M910" s="25">
        <f>MIN(0.16,MAX(0.05,NORMINV(RAND(),$C$8,$D$8)))</f>
        <v/>
      </c>
      <c r="N910" s="26">
        <f>MIN(24,MAX(5,NORMINV(RAND(),$C$9,$D$9)))</f>
        <v/>
      </c>
      <c r="O910" s="49">
        <f>$I$8*(SUMPRODUCT(($I$2*(1+K910)^{1;2;3;4;5;6;7;8;9;10})*(($I$3+(L910-$I$3)*{1;2;3;4;5;6;7;8;9;10}/10)*(1-$I$7)+$I$4-$I$4*($I$5+(1.05-$I$5)*{1;2;3;4;5;6;7;8;9;10}/10)-(K910/(1+K910))*$I$6)/(1+M910)^{1;2;3;4;5;6;7;8;9;10})+$I$2*(1+K910)^10*(L910+$I$4)*N910/(1+M910)^10+$I$9-$I$10)/$I$11</f>
        <v/>
      </c>
    </row>
    <row r="911">
      <c r="K911" s="25">
        <f>MAX(-0.05,NORMINV(RAND(),$C$6,$D$6))</f>
        <v/>
      </c>
      <c r="L911" s="25">
        <f>MAX(0.02,NORMINV(RAND(),$C$7,$D$7))</f>
        <v/>
      </c>
      <c r="M911" s="25">
        <f>MIN(0.16,MAX(0.05,NORMINV(RAND(),$C$8,$D$8)))</f>
        <v/>
      </c>
      <c r="N911" s="26">
        <f>MIN(24,MAX(5,NORMINV(RAND(),$C$9,$D$9)))</f>
        <v/>
      </c>
      <c r="O911" s="49">
        <f>$I$8*(SUMPRODUCT(($I$2*(1+K911)^{1;2;3;4;5;6;7;8;9;10})*(($I$3+(L911-$I$3)*{1;2;3;4;5;6;7;8;9;10}/10)*(1-$I$7)+$I$4-$I$4*($I$5+(1.05-$I$5)*{1;2;3;4;5;6;7;8;9;10}/10)-(K911/(1+K911))*$I$6)/(1+M911)^{1;2;3;4;5;6;7;8;9;10})+$I$2*(1+K911)^10*(L911+$I$4)*N911/(1+M911)^10+$I$9-$I$10)/$I$11</f>
        <v/>
      </c>
    </row>
    <row r="912">
      <c r="K912" s="25">
        <f>MAX(-0.05,NORMINV(RAND(),$C$6,$D$6))</f>
        <v/>
      </c>
      <c r="L912" s="25">
        <f>MAX(0.02,NORMINV(RAND(),$C$7,$D$7))</f>
        <v/>
      </c>
      <c r="M912" s="25">
        <f>MIN(0.16,MAX(0.05,NORMINV(RAND(),$C$8,$D$8)))</f>
        <v/>
      </c>
      <c r="N912" s="26">
        <f>MIN(24,MAX(5,NORMINV(RAND(),$C$9,$D$9)))</f>
        <v/>
      </c>
      <c r="O912" s="49">
        <f>$I$8*(SUMPRODUCT(($I$2*(1+K912)^{1;2;3;4;5;6;7;8;9;10})*(($I$3+(L912-$I$3)*{1;2;3;4;5;6;7;8;9;10}/10)*(1-$I$7)+$I$4-$I$4*($I$5+(1.05-$I$5)*{1;2;3;4;5;6;7;8;9;10}/10)-(K912/(1+K912))*$I$6)/(1+M912)^{1;2;3;4;5;6;7;8;9;10})+$I$2*(1+K912)^10*(L912+$I$4)*N912/(1+M912)^10+$I$9-$I$10)/$I$11</f>
        <v/>
      </c>
    </row>
    <row r="913">
      <c r="K913" s="25">
        <f>MAX(-0.05,NORMINV(RAND(),$C$6,$D$6))</f>
        <v/>
      </c>
      <c r="L913" s="25">
        <f>MAX(0.02,NORMINV(RAND(),$C$7,$D$7))</f>
        <v/>
      </c>
      <c r="M913" s="25">
        <f>MIN(0.16,MAX(0.05,NORMINV(RAND(),$C$8,$D$8)))</f>
        <v/>
      </c>
      <c r="N913" s="26">
        <f>MIN(24,MAX(5,NORMINV(RAND(),$C$9,$D$9)))</f>
        <v/>
      </c>
      <c r="O913" s="49">
        <f>$I$8*(SUMPRODUCT(($I$2*(1+K913)^{1;2;3;4;5;6;7;8;9;10})*(($I$3+(L913-$I$3)*{1;2;3;4;5;6;7;8;9;10}/10)*(1-$I$7)+$I$4-$I$4*($I$5+(1.05-$I$5)*{1;2;3;4;5;6;7;8;9;10}/10)-(K913/(1+K913))*$I$6)/(1+M913)^{1;2;3;4;5;6;7;8;9;10})+$I$2*(1+K913)^10*(L913+$I$4)*N913/(1+M913)^10+$I$9-$I$10)/$I$11</f>
        <v/>
      </c>
    </row>
    <row r="914">
      <c r="K914" s="25">
        <f>MAX(-0.05,NORMINV(RAND(),$C$6,$D$6))</f>
        <v/>
      </c>
      <c r="L914" s="25">
        <f>MAX(0.02,NORMINV(RAND(),$C$7,$D$7))</f>
        <v/>
      </c>
      <c r="M914" s="25">
        <f>MIN(0.16,MAX(0.05,NORMINV(RAND(),$C$8,$D$8)))</f>
        <v/>
      </c>
      <c r="N914" s="26">
        <f>MIN(24,MAX(5,NORMINV(RAND(),$C$9,$D$9)))</f>
        <v/>
      </c>
      <c r="O914" s="49">
        <f>$I$8*(SUMPRODUCT(($I$2*(1+K914)^{1;2;3;4;5;6;7;8;9;10})*(($I$3+(L914-$I$3)*{1;2;3;4;5;6;7;8;9;10}/10)*(1-$I$7)+$I$4-$I$4*($I$5+(1.05-$I$5)*{1;2;3;4;5;6;7;8;9;10}/10)-(K914/(1+K914))*$I$6)/(1+M914)^{1;2;3;4;5;6;7;8;9;10})+$I$2*(1+K914)^10*(L914+$I$4)*N914/(1+M914)^10+$I$9-$I$10)/$I$11</f>
        <v/>
      </c>
    </row>
    <row r="915">
      <c r="K915" s="25">
        <f>MAX(-0.05,NORMINV(RAND(),$C$6,$D$6))</f>
        <v/>
      </c>
      <c r="L915" s="25">
        <f>MAX(0.02,NORMINV(RAND(),$C$7,$D$7))</f>
        <v/>
      </c>
      <c r="M915" s="25">
        <f>MIN(0.16,MAX(0.05,NORMINV(RAND(),$C$8,$D$8)))</f>
        <v/>
      </c>
      <c r="N915" s="26">
        <f>MIN(24,MAX(5,NORMINV(RAND(),$C$9,$D$9)))</f>
        <v/>
      </c>
      <c r="O915" s="49">
        <f>$I$8*(SUMPRODUCT(($I$2*(1+K915)^{1;2;3;4;5;6;7;8;9;10})*(($I$3+(L915-$I$3)*{1;2;3;4;5;6;7;8;9;10}/10)*(1-$I$7)+$I$4-$I$4*($I$5+(1.05-$I$5)*{1;2;3;4;5;6;7;8;9;10}/10)-(K915/(1+K915))*$I$6)/(1+M915)^{1;2;3;4;5;6;7;8;9;10})+$I$2*(1+K915)^10*(L915+$I$4)*N915/(1+M915)^10+$I$9-$I$10)/$I$11</f>
        <v/>
      </c>
    </row>
    <row r="916">
      <c r="K916" s="25">
        <f>MAX(-0.05,NORMINV(RAND(),$C$6,$D$6))</f>
        <v/>
      </c>
      <c r="L916" s="25">
        <f>MAX(0.02,NORMINV(RAND(),$C$7,$D$7))</f>
        <v/>
      </c>
      <c r="M916" s="25">
        <f>MIN(0.16,MAX(0.05,NORMINV(RAND(),$C$8,$D$8)))</f>
        <v/>
      </c>
      <c r="N916" s="26">
        <f>MIN(24,MAX(5,NORMINV(RAND(),$C$9,$D$9)))</f>
        <v/>
      </c>
      <c r="O916" s="49">
        <f>$I$8*(SUMPRODUCT(($I$2*(1+K916)^{1;2;3;4;5;6;7;8;9;10})*(($I$3+(L916-$I$3)*{1;2;3;4;5;6;7;8;9;10}/10)*(1-$I$7)+$I$4-$I$4*($I$5+(1.05-$I$5)*{1;2;3;4;5;6;7;8;9;10}/10)-(K916/(1+K916))*$I$6)/(1+M916)^{1;2;3;4;5;6;7;8;9;10})+$I$2*(1+K916)^10*(L916+$I$4)*N916/(1+M916)^10+$I$9-$I$10)/$I$11</f>
        <v/>
      </c>
    </row>
    <row r="917">
      <c r="K917" s="25">
        <f>MAX(-0.05,NORMINV(RAND(),$C$6,$D$6))</f>
        <v/>
      </c>
      <c r="L917" s="25">
        <f>MAX(0.02,NORMINV(RAND(),$C$7,$D$7))</f>
        <v/>
      </c>
      <c r="M917" s="25">
        <f>MIN(0.16,MAX(0.05,NORMINV(RAND(),$C$8,$D$8)))</f>
        <v/>
      </c>
      <c r="N917" s="26">
        <f>MIN(24,MAX(5,NORMINV(RAND(),$C$9,$D$9)))</f>
        <v/>
      </c>
      <c r="O917" s="49">
        <f>$I$8*(SUMPRODUCT(($I$2*(1+K917)^{1;2;3;4;5;6;7;8;9;10})*(($I$3+(L917-$I$3)*{1;2;3;4;5;6;7;8;9;10}/10)*(1-$I$7)+$I$4-$I$4*($I$5+(1.05-$I$5)*{1;2;3;4;5;6;7;8;9;10}/10)-(K917/(1+K917))*$I$6)/(1+M917)^{1;2;3;4;5;6;7;8;9;10})+$I$2*(1+K917)^10*(L917+$I$4)*N917/(1+M917)^10+$I$9-$I$10)/$I$11</f>
        <v/>
      </c>
    </row>
    <row r="918">
      <c r="K918" s="25">
        <f>MAX(-0.05,NORMINV(RAND(),$C$6,$D$6))</f>
        <v/>
      </c>
      <c r="L918" s="25">
        <f>MAX(0.02,NORMINV(RAND(),$C$7,$D$7))</f>
        <v/>
      </c>
      <c r="M918" s="25">
        <f>MIN(0.16,MAX(0.05,NORMINV(RAND(),$C$8,$D$8)))</f>
        <v/>
      </c>
      <c r="N918" s="26">
        <f>MIN(24,MAX(5,NORMINV(RAND(),$C$9,$D$9)))</f>
        <v/>
      </c>
      <c r="O918" s="49">
        <f>$I$8*(SUMPRODUCT(($I$2*(1+K918)^{1;2;3;4;5;6;7;8;9;10})*(($I$3+(L918-$I$3)*{1;2;3;4;5;6;7;8;9;10}/10)*(1-$I$7)+$I$4-$I$4*($I$5+(1.05-$I$5)*{1;2;3;4;5;6;7;8;9;10}/10)-(K918/(1+K918))*$I$6)/(1+M918)^{1;2;3;4;5;6;7;8;9;10})+$I$2*(1+K918)^10*(L918+$I$4)*N918/(1+M918)^10+$I$9-$I$10)/$I$11</f>
        <v/>
      </c>
    </row>
    <row r="919">
      <c r="K919" s="25">
        <f>MAX(-0.05,NORMINV(RAND(),$C$6,$D$6))</f>
        <v/>
      </c>
      <c r="L919" s="25">
        <f>MAX(0.02,NORMINV(RAND(),$C$7,$D$7))</f>
        <v/>
      </c>
      <c r="M919" s="25">
        <f>MIN(0.16,MAX(0.05,NORMINV(RAND(),$C$8,$D$8)))</f>
        <v/>
      </c>
      <c r="N919" s="26">
        <f>MIN(24,MAX(5,NORMINV(RAND(),$C$9,$D$9)))</f>
        <v/>
      </c>
      <c r="O919" s="49">
        <f>$I$8*(SUMPRODUCT(($I$2*(1+K919)^{1;2;3;4;5;6;7;8;9;10})*(($I$3+(L919-$I$3)*{1;2;3;4;5;6;7;8;9;10}/10)*(1-$I$7)+$I$4-$I$4*($I$5+(1.05-$I$5)*{1;2;3;4;5;6;7;8;9;10}/10)-(K919/(1+K919))*$I$6)/(1+M919)^{1;2;3;4;5;6;7;8;9;10})+$I$2*(1+K919)^10*(L919+$I$4)*N919/(1+M919)^10+$I$9-$I$10)/$I$11</f>
        <v/>
      </c>
    </row>
    <row r="920">
      <c r="K920" s="25">
        <f>MAX(-0.05,NORMINV(RAND(),$C$6,$D$6))</f>
        <v/>
      </c>
      <c r="L920" s="25">
        <f>MAX(0.02,NORMINV(RAND(),$C$7,$D$7))</f>
        <v/>
      </c>
      <c r="M920" s="25">
        <f>MIN(0.16,MAX(0.05,NORMINV(RAND(),$C$8,$D$8)))</f>
        <v/>
      </c>
      <c r="N920" s="26">
        <f>MIN(24,MAX(5,NORMINV(RAND(),$C$9,$D$9)))</f>
        <v/>
      </c>
      <c r="O920" s="49">
        <f>$I$8*(SUMPRODUCT(($I$2*(1+K920)^{1;2;3;4;5;6;7;8;9;10})*(($I$3+(L920-$I$3)*{1;2;3;4;5;6;7;8;9;10}/10)*(1-$I$7)+$I$4-$I$4*($I$5+(1.05-$I$5)*{1;2;3;4;5;6;7;8;9;10}/10)-(K920/(1+K920))*$I$6)/(1+M920)^{1;2;3;4;5;6;7;8;9;10})+$I$2*(1+K920)^10*(L920+$I$4)*N920/(1+M920)^10+$I$9-$I$10)/$I$11</f>
        <v/>
      </c>
    </row>
    <row r="921">
      <c r="K921" s="25">
        <f>MAX(-0.05,NORMINV(RAND(),$C$6,$D$6))</f>
        <v/>
      </c>
      <c r="L921" s="25">
        <f>MAX(0.02,NORMINV(RAND(),$C$7,$D$7))</f>
        <v/>
      </c>
      <c r="M921" s="25">
        <f>MIN(0.16,MAX(0.05,NORMINV(RAND(),$C$8,$D$8)))</f>
        <v/>
      </c>
      <c r="N921" s="26">
        <f>MIN(24,MAX(5,NORMINV(RAND(),$C$9,$D$9)))</f>
        <v/>
      </c>
      <c r="O921" s="49">
        <f>$I$8*(SUMPRODUCT(($I$2*(1+K921)^{1;2;3;4;5;6;7;8;9;10})*(($I$3+(L921-$I$3)*{1;2;3;4;5;6;7;8;9;10}/10)*(1-$I$7)+$I$4-$I$4*($I$5+(1.05-$I$5)*{1;2;3;4;5;6;7;8;9;10}/10)-(K921/(1+K921))*$I$6)/(1+M921)^{1;2;3;4;5;6;7;8;9;10})+$I$2*(1+K921)^10*(L921+$I$4)*N921/(1+M921)^10+$I$9-$I$10)/$I$11</f>
        <v/>
      </c>
    </row>
    <row r="922">
      <c r="K922" s="25">
        <f>MAX(-0.05,NORMINV(RAND(),$C$6,$D$6))</f>
        <v/>
      </c>
      <c r="L922" s="25">
        <f>MAX(0.02,NORMINV(RAND(),$C$7,$D$7))</f>
        <v/>
      </c>
      <c r="M922" s="25">
        <f>MIN(0.16,MAX(0.05,NORMINV(RAND(),$C$8,$D$8)))</f>
        <v/>
      </c>
      <c r="N922" s="26">
        <f>MIN(24,MAX(5,NORMINV(RAND(),$C$9,$D$9)))</f>
        <v/>
      </c>
      <c r="O922" s="49">
        <f>$I$8*(SUMPRODUCT(($I$2*(1+K922)^{1;2;3;4;5;6;7;8;9;10})*(($I$3+(L922-$I$3)*{1;2;3;4;5;6;7;8;9;10}/10)*(1-$I$7)+$I$4-$I$4*($I$5+(1.05-$I$5)*{1;2;3;4;5;6;7;8;9;10}/10)-(K922/(1+K922))*$I$6)/(1+M922)^{1;2;3;4;5;6;7;8;9;10})+$I$2*(1+K922)^10*(L922+$I$4)*N922/(1+M922)^10+$I$9-$I$10)/$I$11</f>
        <v/>
      </c>
    </row>
    <row r="923">
      <c r="K923" s="25">
        <f>MAX(-0.05,NORMINV(RAND(),$C$6,$D$6))</f>
        <v/>
      </c>
      <c r="L923" s="25">
        <f>MAX(0.02,NORMINV(RAND(),$C$7,$D$7))</f>
        <v/>
      </c>
      <c r="M923" s="25">
        <f>MIN(0.16,MAX(0.05,NORMINV(RAND(),$C$8,$D$8)))</f>
        <v/>
      </c>
      <c r="N923" s="26">
        <f>MIN(24,MAX(5,NORMINV(RAND(),$C$9,$D$9)))</f>
        <v/>
      </c>
      <c r="O923" s="49">
        <f>$I$8*(SUMPRODUCT(($I$2*(1+K923)^{1;2;3;4;5;6;7;8;9;10})*(($I$3+(L923-$I$3)*{1;2;3;4;5;6;7;8;9;10}/10)*(1-$I$7)+$I$4-$I$4*($I$5+(1.05-$I$5)*{1;2;3;4;5;6;7;8;9;10}/10)-(K923/(1+K923))*$I$6)/(1+M923)^{1;2;3;4;5;6;7;8;9;10})+$I$2*(1+K923)^10*(L923+$I$4)*N923/(1+M923)^10+$I$9-$I$10)/$I$11</f>
        <v/>
      </c>
    </row>
    <row r="924">
      <c r="K924" s="25">
        <f>MAX(-0.05,NORMINV(RAND(),$C$6,$D$6))</f>
        <v/>
      </c>
      <c r="L924" s="25">
        <f>MAX(0.02,NORMINV(RAND(),$C$7,$D$7))</f>
        <v/>
      </c>
      <c r="M924" s="25">
        <f>MIN(0.16,MAX(0.05,NORMINV(RAND(),$C$8,$D$8)))</f>
        <v/>
      </c>
      <c r="N924" s="26">
        <f>MIN(24,MAX(5,NORMINV(RAND(),$C$9,$D$9)))</f>
        <v/>
      </c>
      <c r="O924" s="49">
        <f>$I$8*(SUMPRODUCT(($I$2*(1+K924)^{1;2;3;4;5;6;7;8;9;10})*(($I$3+(L924-$I$3)*{1;2;3;4;5;6;7;8;9;10}/10)*(1-$I$7)+$I$4-$I$4*($I$5+(1.05-$I$5)*{1;2;3;4;5;6;7;8;9;10}/10)-(K924/(1+K924))*$I$6)/(1+M924)^{1;2;3;4;5;6;7;8;9;10})+$I$2*(1+K924)^10*(L924+$I$4)*N924/(1+M924)^10+$I$9-$I$10)/$I$11</f>
        <v/>
      </c>
    </row>
    <row r="925">
      <c r="K925" s="25">
        <f>MAX(-0.05,NORMINV(RAND(),$C$6,$D$6))</f>
        <v/>
      </c>
      <c r="L925" s="25">
        <f>MAX(0.02,NORMINV(RAND(),$C$7,$D$7))</f>
        <v/>
      </c>
      <c r="M925" s="25">
        <f>MIN(0.16,MAX(0.05,NORMINV(RAND(),$C$8,$D$8)))</f>
        <v/>
      </c>
      <c r="N925" s="26">
        <f>MIN(24,MAX(5,NORMINV(RAND(),$C$9,$D$9)))</f>
        <v/>
      </c>
      <c r="O925" s="49">
        <f>$I$8*(SUMPRODUCT(($I$2*(1+K925)^{1;2;3;4;5;6;7;8;9;10})*(($I$3+(L925-$I$3)*{1;2;3;4;5;6;7;8;9;10}/10)*(1-$I$7)+$I$4-$I$4*($I$5+(1.05-$I$5)*{1;2;3;4;5;6;7;8;9;10}/10)-(K925/(1+K925))*$I$6)/(1+M925)^{1;2;3;4;5;6;7;8;9;10})+$I$2*(1+K925)^10*(L925+$I$4)*N925/(1+M925)^10+$I$9-$I$10)/$I$11</f>
        <v/>
      </c>
    </row>
    <row r="926">
      <c r="K926" s="25">
        <f>MAX(-0.05,NORMINV(RAND(),$C$6,$D$6))</f>
        <v/>
      </c>
      <c r="L926" s="25">
        <f>MAX(0.02,NORMINV(RAND(),$C$7,$D$7))</f>
        <v/>
      </c>
      <c r="M926" s="25">
        <f>MIN(0.16,MAX(0.05,NORMINV(RAND(),$C$8,$D$8)))</f>
        <v/>
      </c>
      <c r="N926" s="26">
        <f>MIN(24,MAX(5,NORMINV(RAND(),$C$9,$D$9)))</f>
        <v/>
      </c>
      <c r="O926" s="49">
        <f>$I$8*(SUMPRODUCT(($I$2*(1+K926)^{1;2;3;4;5;6;7;8;9;10})*(($I$3+(L926-$I$3)*{1;2;3;4;5;6;7;8;9;10}/10)*(1-$I$7)+$I$4-$I$4*($I$5+(1.05-$I$5)*{1;2;3;4;5;6;7;8;9;10}/10)-(K926/(1+K926))*$I$6)/(1+M926)^{1;2;3;4;5;6;7;8;9;10})+$I$2*(1+K926)^10*(L926+$I$4)*N926/(1+M926)^10+$I$9-$I$10)/$I$11</f>
        <v/>
      </c>
    </row>
    <row r="927">
      <c r="K927" s="25">
        <f>MAX(-0.05,NORMINV(RAND(),$C$6,$D$6))</f>
        <v/>
      </c>
      <c r="L927" s="25">
        <f>MAX(0.02,NORMINV(RAND(),$C$7,$D$7))</f>
        <v/>
      </c>
      <c r="M927" s="25">
        <f>MIN(0.16,MAX(0.05,NORMINV(RAND(),$C$8,$D$8)))</f>
        <v/>
      </c>
      <c r="N927" s="26">
        <f>MIN(24,MAX(5,NORMINV(RAND(),$C$9,$D$9)))</f>
        <v/>
      </c>
      <c r="O927" s="49">
        <f>$I$8*(SUMPRODUCT(($I$2*(1+K927)^{1;2;3;4;5;6;7;8;9;10})*(($I$3+(L927-$I$3)*{1;2;3;4;5;6;7;8;9;10}/10)*(1-$I$7)+$I$4-$I$4*($I$5+(1.05-$I$5)*{1;2;3;4;5;6;7;8;9;10}/10)-(K927/(1+K927))*$I$6)/(1+M927)^{1;2;3;4;5;6;7;8;9;10})+$I$2*(1+K927)^10*(L927+$I$4)*N927/(1+M927)^10+$I$9-$I$10)/$I$11</f>
        <v/>
      </c>
    </row>
    <row r="928">
      <c r="K928" s="25">
        <f>MAX(-0.05,NORMINV(RAND(),$C$6,$D$6))</f>
        <v/>
      </c>
      <c r="L928" s="25">
        <f>MAX(0.02,NORMINV(RAND(),$C$7,$D$7))</f>
        <v/>
      </c>
      <c r="M928" s="25">
        <f>MIN(0.16,MAX(0.05,NORMINV(RAND(),$C$8,$D$8)))</f>
        <v/>
      </c>
      <c r="N928" s="26">
        <f>MIN(24,MAX(5,NORMINV(RAND(),$C$9,$D$9)))</f>
        <v/>
      </c>
      <c r="O928" s="49">
        <f>$I$8*(SUMPRODUCT(($I$2*(1+K928)^{1;2;3;4;5;6;7;8;9;10})*(($I$3+(L928-$I$3)*{1;2;3;4;5;6;7;8;9;10}/10)*(1-$I$7)+$I$4-$I$4*($I$5+(1.05-$I$5)*{1;2;3;4;5;6;7;8;9;10}/10)-(K928/(1+K928))*$I$6)/(1+M928)^{1;2;3;4;5;6;7;8;9;10})+$I$2*(1+K928)^10*(L928+$I$4)*N928/(1+M928)^10+$I$9-$I$10)/$I$11</f>
        <v/>
      </c>
    </row>
    <row r="929">
      <c r="K929" s="25">
        <f>MAX(-0.05,NORMINV(RAND(),$C$6,$D$6))</f>
        <v/>
      </c>
      <c r="L929" s="25">
        <f>MAX(0.02,NORMINV(RAND(),$C$7,$D$7))</f>
        <v/>
      </c>
      <c r="M929" s="25">
        <f>MIN(0.16,MAX(0.05,NORMINV(RAND(),$C$8,$D$8)))</f>
        <v/>
      </c>
      <c r="N929" s="26">
        <f>MIN(24,MAX(5,NORMINV(RAND(),$C$9,$D$9)))</f>
        <v/>
      </c>
      <c r="O929" s="49">
        <f>$I$8*(SUMPRODUCT(($I$2*(1+K929)^{1;2;3;4;5;6;7;8;9;10})*(($I$3+(L929-$I$3)*{1;2;3;4;5;6;7;8;9;10}/10)*(1-$I$7)+$I$4-$I$4*($I$5+(1.05-$I$5)*{1;2;3;4;5;6;7;8;9;10}/10)-(K929/(1+K929))*$I$6)/(1+M929)^{1;2;3;4;5;6;7;8;9;10})+$I$2*(1+K929)^10*(L929+$I$4)*N929/(1+M929)^10+$I$9-$I$10)/$I$11</f>
        <v/>
      </c>
    </row>
    <row r="930">
      <c r="K930" s="25">
        <f>MAX(-0.05,NORMINV(RAND(),$C$6,$D$6))</f>
        <v/>
      </c>
      <c r="L930" s="25">
        <f>MAX(0.02,NORMINV(RAND(),$C$7,$D$7))</f>
        <v/>
      </c>
      <c r="M930" s="25">
        <f>MIN(0.16,MAX(0.05,NORMINV(RAND(),$C$8,$D$8)))</f>
        <v/>
      </c>
      <c r="N930" s="26">
        <f>MIN(24,MAX(5,NORMINV(RAND(),$C$9,$D$9)))</f>
        <v/>
      </c>
      <c r="O930" s="49">
        <f>$I$8*(SUMPRODUCT(($I$2*(1+K930)^{1;2;3;4;5;6;7;8;9;10})*(($I$3+(L930-$I$3)*{1;2;3;4;5;6;7;8;9;10}/10)*(1-$I$7)+$I$4-$I$4*($I$5+(1.05-$I$5)*{1;2;3;4;5;6;7;8;9;10}/10)-(K930/(1+K930))*$I$6)/(1+M930)^{1;2;3;4;5;6;7;8;9;10})+$I$2*(1+K930)^10*(L930+$I$4)*N930/(1+M930)^10+$I$9-$I$10)/$I$11</f>
        <v/>
      </c>
    </row>
    <row r="931">
      <c r="K931" s="25">
        <f>MAX(-0.05,NORMINV(RAND(),$C$6,$D$6))</f>
        <v/>
      </c>
      <c r="L931" s="25">
        <f>MAX(0.02,NORMINV(RAND(),$C$7,$D$7))</f>
        <v/>
      </c>
      <c r="M931" s="25">
        <f>MIN(0.16,MAX(0.05,NORMINV(RAND(),$C$8,$D$8)))</f>
        <v/>
      </c>
      <c r="N931" s="26">
        <f>MIN(24,MAX(5,NORMINV(RAND(),$C$9,$D$9)))</f>
        <v/>
      </c>
      <c r="O931" s="49">
        <f>$I$8*(SUMPRODUCT(($I$2*(1+K931)^{1;2;3;4;5;6;7;8;9;10})*(($I$3+(L931-$I$3)*{1;2;3;4;5;6;7;8;9;10}/10)*(1-$I$7)+$I$4-$I$4*($I$5+(1.05-$I$5)*{1;2;3;4;5;6;7;8;9;10}/10)-(K931/(1+K931))*$I$6)/(1+M931)^{1;2;3;4;5;6;7;8;9;10})+$I$2*(1+K931)^10*(L931+$I$4)*N931/(1+M931)^10+$I$9-$I$10)/$I$11</f>
        <v/>
      </c>
    </row>
    <row r="932">
      <c r="K932" s="25">
        <f>MAX(-0.05,NORMINV(RAND(),$C$6,$D$6))</f>
        <v/>
      </c>
      <c r="L932" s="25">
        <f>MAX(0.02,NORMINV(RAND(),$C$7,$D$7))</f>
        <v/>
      </c>
      <c r="M932" s="25">
        <f>MIN(0.16,MAX(0.05,NORMINV(RAND(),$C$8,$D$8)))</f>
        <v/>
      </c>
      <c r="N932" s="26">
        <f>MIN(24,MAX(5,NORMINV(RAND(),$C$9,$D$9)))</f>
        <v/>
      </c>
      <c r="O932" s="49">
        <f>$I$8*(SUMPRODUCT(($I$2*(1+K932)^{1;2;3;4;5;6;7;8;9;10})*(($I$3+(L932-$I$3)*{1;2;3;4;5;6;7;8;9;10}/10)*(1-$I$7)+$I$4-$I$4*($I$5+(1.05-$I$5)*{1;2;3;4;5;6;7;8;9;10}/10)-(K932/(1+K932))*$I$6)/(1+M932)^{1;2;3;4;5;6;7;8;9;10})+$I$2*(1+K932)^10*(L932+$I$4)*N932/(1+M932)^10+$I$9-$I$10)/$I$11</f>
        <v/>
      </c>
    </row>
    <row r="933">
      <c r="K933" s="25">
        <f>MAX(-0.05,NORMINV(RAND(),$C$6,$D$6))</f>
        <v/>
      </c>
      <c r="L933" s="25">
        <f>MAX(0.02,NORMINV(RAND(),$C$7,$D$7))</f>
        <v/>
      </c>
      <c r="M933" s="25">
        <f>MIN(0.16,MAX(0.05,NORMINV(RAND(),$C$8,$D$8)))</f>
        <v/>
      </c>
      <c r="N933" s="26">
        <f>MIN(24,MAX(5,NORMINV(RAND(),$C$9,$D$9)))</f>
        <v/>
      </c>
      <c r="O933" s="49">
        <f>$I$8*(SUMPRODUCT(($I$2*(1+K933)^{1;2;3;4;5;6;7;8;9;10})*(($I$3+(L933-$I$3)*{1;2;3;4;5;6;7;8;9;10}/10)*(1-$I$7)+$I$4-$I$4*($I$5+(1.05-$I$5)*{1;2;3;4;5;6;7;8;9;10}/10)-(K933/(1+K933))*$I$6)/(1+M933)^{1;2;3;4;5;6;7;8;9;10})+$I$2*(1+K933)^10*(L933+$I$4)*N933/(1+M933)^10+$I$9-$I$10)/$I$11</f>
        <v/>
      </c>
    </row>
    <row r="934">
      <c r="K934" s="25">
        <f>MAX(-0.05,NORMINV(RAND(),$C$6,$D$6))</f>
        <v/>
      </c>
      <c r="L934" s="25">
        <f>MAX(0.02,NORMINV(RAND(),$C$7,$D$7))</f>
        <v/>
      </c>
      <c r="M934" s="25">
        <f>MIN(0.16,MAX(0.05,NORMINV(RAND(),$C$8,$D$8)))</f>
        <v/>
      </c>
      <c r="N934" s="26">
        <f>MIN(24,MAX(5,NORMINV(RAND(),$C$9,$D$9)))</f>
        <v/>
      </c>
      <c r="O934" s="49">
        <f>$I$8*(SUMPRODUCT(($I$2*(1+K934)^{1;2;3;4;5;6;7;8;9;10})*(($I$3+(L934-$I$3)*{1;2;3;4;5;6;7;8;9;10}/10)*(1-$I$7)+$I$4-$I$4*($I$5+(1.05-$I$5)*{1;2;3;4;5;6;7;8;9;10}/10)-(K934/(1+K934))*$I$6)/(1+M934)^{1;2;3;4;5;6;7;8;9;10})+$I$2*(1+K934)^10*(L934+$I$4)*N934/(1+M934)^10+$I$9-$I$10)/$I$11</f>
        <v/>
      </c>
    </row>
    <row r="935">
      <c r="K935" s="25">
        <f>MAX(-0.05,NORMINV(RAND(),$C$6,$D$6))</f>
        <v/>
      </c>
      <c r="L935" s="25">
        <f>MAX(0.02,NORMINV(RAND(),$C$7,$D$7))</f>
        <v/>
      </c>
      <c r="M935" s="25">
        <f>MIN(0.16,MAX(0.05,NORMINV(RAND(),$C$8,$D$8)))</f>
        <v/>
      </c>
      <c r="N935" s="26">
        <f>MIN(24,MAX(5,NORMINV(RAND(),$C$9,$D$9)))</f>
        <v/>
      </c>
      <c r="O935" s="49">
        <f>$I$8*(SUMPRODUCT(($I$2*(1+K935)^{1;2;3;4;5;6;7;8;9;10})*(($I$3+(L935-$I$3)*{1;2;3;4;5;6;7;8;9;10}/10)*(1-$I$7)+$I$4-$I$4*($I$5+(1.05-$I$5)*{1;2;3;4;5;6;7;8;9;10}/10)-(K935/(1+K935))*$I$6)/(1+M935)^{1;2;3;4;5;6;7;8;9;10})+$I$2*(1+K935)^10*(L935+$I$4)*N935/(1+M935)^10+$I$9-$I$10)/$I$11</f>
        <v/>
      </c>
    </row>
    <row r="936">
      <c r="K936" s="25">
        <f>MAX(-0.05,NORMINV(RAND(),$C$6,$D$6))</f>
        <v/>
      </c>
      <c r="L936" s="25">
        <f>MAX(0.02,NORMINV(RAND(),$C$7,$D$7))</f>
        <v/>
      </c>
      <c r="M936" s="25">
        <f>MIN(0.16,MAX(0.05,NORMINV(RAND(),$C$8,$D$8)))</f>
        <v/>
      </c>
      <c r="N936" s="26">
        <f>MIN(24,MAX(5,NORMINV(RAND(),$C$9,$D$9)))</f>
        <v/>
      </c>
      <c r="O936" s="49">
        <f>$I$8*(SUMPRODUCT(($I$2*(1+K936)^{1;2;3;4;5;6;7;8;9;10})*(($I$3+(L936-$I$3)*{1;2;3;4;5;6;7;8;9;10}/10)*(1-$I$7)+$I$4-$I$4*($I$5+(1.05-$I$5)*{1;2;3;4;5;6;7;8;9;10}/10)-(K936/(1+K936))*$I$6)/(1+M936)^{1;2;3;4;5;6;7;8;9;10})+$I$2*(1+K936)^10*(L936+$I$4)*N936/(1+M936)^10+$I$9-$I$10)/$I$11</f>
        <v/>
      </c>
    </row>
    <row r="937">
      <c r="K937" s="25">
        <f>MAX(-0.05,NORMINV(RAND(),$C$6,$D$6))</f>
        <v/>
      </c>
      <c r="L937" s="25">
        <f>MAX(0.02,NORMINV(RAND(),$C$7,$D$7))</f>
        <v/>
      </c>
      <c r="M937" s="25">
        <f>MIN(0.16,MAX(0.05,NORMINV(RAND(),$C$8,$D$8)))</f>
        <v/>
      </c>
      <c r="N937" s="26">
        <f>MIN(24,MAX(5,NORMINV(RAND(),$C$9,$D$9)))</f>
        <v/>
      </c>
      <c r="O937" s="49">
        <f>$I$8*(SUMPRODUCT(($I$2*(1+K937)^{1;2;3;4;5;6;7;8;9;10})*(($I$3+(L937-$I$3)*{1;2;3;4;5;6;7;8;9;10}/10)*(1-$I$7)+$I$4-$I$4*($I$5+(1.05-$I$5)*{1;2;3;4;5;6;7;8;9;10}/10)-(K937/(1+K937))*$I$6)/(1+M937)^{1;2;3;4;5;6;7;8;9;10})+$I$2*(1+K937)^10*(L937+$I$4)*N937/(1+M937)^10+$I$9-$I$10)/$I$11</f>
        <v/>
      </c>
    </row>
    <row r="938">
      <c r="K938" s="25">
        <f>MAX(-0.05,NORMINV(RAND(),$C$6,$D$6))</f>
        <v/>
      </c>
      <c r="L938" s="25">
        <f>MAX(0.02,NORMINV(RAND(),$C$7,$D$7))</f>
        <v/>
      </c>
      <c r="M938" s="25">
        <f>MIN(0.16,MAX(0.05,NORMINV(RAND(),$C$8,$D$8)))</f>
        <v/>
      </c>
      <c r="N938" s="26">
        <f>MIN(24,MAX(5,NORMINV(RAND(),$C$9,$D$9)))</f>
        <v/>
      </c>
      <c r="O938" s="49">
        <f>$I$8*(SUMPRODUCT(($I$2*(1+K938)^{1;2;3;4;5;6;7;8;9;10})*(($I$3+(L938-$I$3)*{1;2;3;4;5;6;7;8;9;10}/10)*(1-$I$7)+$I$4-$I$4*($I$5+(1.05-$I$5)*{1;2;3;4;5;6;7;8;9;10}/10)-(K938/(1+K938))*$I$6)/(1+M938)^{1;2;3;4;5;6;7;8;9;10})+$I$2*(1+K938)^10*(L938+$I$4)*N938/(1+M938)^10+$I$9-$I$10)/$I$11</f>
        <v/>
      </c>
    </row>
    <row r="939">
      <c r="K939" s="25">
        <f>MAX(-0.05,NORMINV(RAND(),$C$6,$D$6))</f>
        <v/>
      </c>
      <c r="L939" s="25">
        <f>MAX(0.02,NORMINV(RAND(),$C$7,$D$7))</f>
        <v/>
      </c>
      <c r="M939" s="25">
        <f>MIN(0.16,MAX(0.05,NORMINV(RAND(),$C$8,$D$8)))</f>
        <v/>
      </c>
      <c r="N939" s="26">
        <f>MIN(24,MAX(5,NORMINV(RAND(),$C$9,$D$9)))</f>
        <v/>
      </c>
      <c r="O939" s="49">
        <f>$I$8*(SUMPRODUCT(($I$2*(1+K939)^{1;2;3;4;5;6;7;8;9;10})*(($I$3+(L939-$I$3)*{1;2;3;4;5;6;7;8;9;10}/10)*(1-$I$7)+$I$4-$I$4*($I$5+(1.05-$I$5)*{1;2;3;4;5;6;7;8;9;10}/10)-(K939/(1+K939))*$I$6)/(1+M939)^{1;2;3;4;5;6;7;8;9;10})+$I$2*(1+K939)^10*(L939+$I$4)*N939/(1+M939)^10+$I$9-$I$10)/$I$11</f>
        <v/>
      </c>
    </row>
    <row r="940">
      <c r="K940" s="25">
        <f>MAX(-0.05,NORMINV(RAND(),$C$6,$D$6))</f>
        <v/>
      </c>
      <c r="L940" s="25">
        <f>MAX(0.02,NORMINV(RAND(),$C$7,$D$7))</f>
        <v/>
      </c>
      <c r="M940" s="25">
        <f>MIN(0.16,MAX(0.05,NORMINV(RAND(),$C$8,$D$8)))</f>
        <v/>
      </c>
      <c r="N940" s="26">
        <f>MIN(24,MAX(5,NORMINV(RAND(),$C$9,$D$9)))</f>
        <v/>
      </c>
      <c r="O940" s="49">
        <f>$I$8*(SUMPRODUCT(($I$2*(1+K940)^{1;2;3;4;5;6;7;8;9;10})*(($I$3+(L940-$I$3)*{1;2;3;4;5;6;7;8;9;10}/10)*(1-$I$7)+$I$4-$I$4*($I$5+(1.05-$I$5)*{1;2;3;4;5;6;7;8;9;10}/10)-(K940/(1+K940))*$I$6)/(1+M940)^{1;2;3;4;5;6;7;8;9;10})+$I$2*(1+K940)^10*(L940+$I$4)*N940/(1+M940)^10+$I$9-$I$10)/$I$11</f>
        <v/>
      </c>
    </row>
    <row r="941">
      <c r="K941" s="25">
        <f>MAX(-0.05,NORMINV(RAND(),$C$6,$D$6))</f>
        <v/>
      </c>
      <c r="L941" s="25">
        <f>MAX(0.02,NORMINV(RAND(),$C$7,$D$7))</f>
        <v/>
      </c>
      <c r="M941" s="25">
        <f>MIN(0.16,MAX(0.05,NORMINV(RAND(),$C$8,$D$8)))</f>
        <v/>
      </c>
      <c r="N941" s="26">
        <f>MIN(24,MAX(5,NORMINV(RAND(),$C$9,$D$9)))</f>
        <v/>
      </c>
      <c r="O941" s="49">
        <f>$I$8*(SUMPRODUCT(($I$2*(1+K941)^{1;2;3;4;5;6;7;8;9;10})*(($I$3+(L941-$I$3)*{1;2;3;4;5;6;7;8;9;10}/10)*(1-$I$7)+$I$4-$I$4*($I$5+(1.05-$I$5)*{1;2;3;4;5;6;7;8;9;10}/10)-(K941/(1+K941))*$I$6)/(1+M941)^{1;2;3;4;5;6;7;8;9;10})+$I$2*(1+K941)^10*(L941+$I$4)*N941/(1+M941)^10+$I$9-$I$10)/$I$11</f>
        <v/>
      </c>
    </row>
    <row r="942">
      <c r="K942" s="25">
        <f>MAX(-0.05,NORMINV(RAND(),$C$6,$D$6))</f>
        <v/>
      </c>
      <c r="L942" s="25">
        <f>MAX(0.02,NORMINV(RAND(),$C$7,$D$7))</f>
        <v/>
      </c>
      <c r="M942" s="25">
        <f>MIN(0.16,MAX(0.05,NORMINV(RAND(),$C$8,$D$8)))</f>
        <v/>
      </c>
      <c r="N942" s="26">
        <f>MIN(24,MAX(5,NORMINV(RAND(),$C$9,$D$9)))</f>
        <v/>
      </c>
      <c r="O942" s="49">
        <f>$I$8*(SUMPRODUCT(($I$2*(1+K942)^{1;2;3;4;5;6;7;8;9;10})*(($I$3+(L942-$I$3)*{1;2;3;4;5;6;7;8;9;10}/10)*(1-$I$7)+$I$4-$I$4*($I$5+(1.05-$I$5)*{1;2;3;4;5;6;7;8;9;10}/10)-(K942/(1+K942))*$I$6)/(1+M942)^{1;2;3;4;5;6;7;8;9;10})+$I$2*(1+K942)^10*(L942+$I$4)*N942/(1+M942)^10+$I$9-$I$10)/$I$11</f>
        <v/>
      </c>
    </row>
    <row r="943">
      <c r="K943" s="25">
        <f>MAX(-0.05,NORMINV(RAND(),$C$6,$D$6))</f>
        <v/>
      </c>
      <c r="L943" s="25">
        <f>MAX(0.02,NORMINV(RAND(),$C$7,$D$7))</f>
        <v/>
      </c>
      <c r="M943" s="25">
        <f>MIN(0.16,MAX(0.05,NORMINV(RAND(),$C$8,$D$8)))</f>
        <v/>
      </c>
      <c r="N943" s="26">
        <f>MIN(24,MAX(5,NORMINV(RAND(),$C$9,$D$9)))</f>
        <v/>
      </c>
      <c r="O943" s="49">
        <f>$I$8*(SUMPRODUCT(($I$2*(1+K943)^{1;2;3;4;5;6;7;8;9;10})*(($I$3+(L943-$I$3)*{1;2;3;4;5;6;7;8;9;10}/10)*(1-$I$7)+$I$4-$I$4*($I$5+(1.05-$I$5)*{1;2;3;4;5;6;7;8;9;10}/10)-(K943/(1+K943))*$I$6)/(1+M943)^{1;2;3;4;5;6;7;8;9;10})+$I$2*(1+K943)^10*(L943+$I$4)*N943/(1+M943)^10+$I$9-$I$10)/$I$11</f>
        <v/>
      </c>
    </row>
    <row r="944">
      <c r="K944" s="25">
        <f>MAX(-0.05,NORMINV(RAND(),$C$6,$D$6))</f>
        <v/>
      </c>
      <c r="L944" s="25">
        <f>MAX(0.02,NORMINV(RAND(),$C$7,$D$7))</f>
        <v/>
      </c>
      <c r="M944" s="25">
        <f>MIN(0.16,MAX(0.05,NORMINV(RAND(),$C$8,$D$8)))</f>
        <v/>
      </c>
      <c r="N944" s="26">
        <f>MIN(24,MAX(5,NORMINV(RAND(),$C$9,$D$9)))</f>
        <v/>
      </c>
      <c r="O944" s="49">
        <f>$I$8*(SUMPRODUCT(($I$2*(1+K944)^{1;2;3;4;5;6;7;8;9;10})*(($I$3+(L944-$I$3)*{1;2;3;4;5;6;7;8;9;10}/10)*(1-$I$7)+$I$4-$I$4*($I$5+(1.05-$I$5)*{1;2;3;4;5;6;7;8;9;10}/10)-(K944/(1+K944))*$I$6)/(1+M944)^{1;2;3;4;5;6;7;8;9;10})+$I$2*(1+K944)^10*(L944+$I$4)*N944/(1+M944)^10+$I$9-$I$10)/$I$11</f>
        <v/>
      </c>
    </row>
    <row r="945">
      <c r="K945" s="25">
        <f>MAX(-0.05,NORMINV(RAND(),$C$6,$D$6))</f>
        <v/>
      </c>
      <c r="L945" s="25">
        <f>MAX(0.02,NORMINV(RAND(),$C$7,$D$7))</f>
        <v/>
      </c>
      <c r="M945" s="25">
        <f>MIN(0.16,MAX(0.05,NORMINV(RAND(),$C$8,$D$8)))</f>
        <v/>
      </c>
      <c r="N945" s="26">
        <f>MIN(24,MAX(5,NORMINV(RAND(),$C$9,$D$9)))</f>
        <v/>
      </c>
      <c r="O945" s="49">
        <f>$I$8*(SUMPRODUCT(($I$2*(1+K945)^{1;2;3;4;5;6;7;8;9;10})*(($I$3+(L945-$I$3)*{1;2;3;4;5;6;7;8;9;10}/10)*(1-$I$7)+$I$4-$I$4*($I$5+(1.05-$I$5)*{1;2;3;4;5;6;7;8;9;10}/10)-(K945/(1+K945))*$I$6)/(1+M945)^{1;2;3;4;5;6;7;8;9;10})+$I$2*(1+K945)^10*(L945+$I$4)*N945/(1+M945)^10+$I$9-$I$10)/$I$11</f>
        <v/>
      </c>
    </row>
    <row r="946">
      <c r="K946" s="25">
        <f>MAX(-0.05,NORMINV(RAND(),$C$6,$D$6))</f>
        <v/>
      </c>
      <c r="L946" s="25">
        <f>MAX(0.02,NORMINV(RAND(),$C$7,$D$7))</f>
        <v/>
      </c>
      <c r="M946" s="25">
        <f>MIN(0.16,MAX(0.05,NORMINV(RAND(),$C$8,$D$8)))</f>
        <v/>
      </c>
      <c r="N946" s="26">
        <f>MIN(24,MAX(5,NORMINV(RAND(),$C$9,$D$9)))</f>
        <v/>
      </c>
      <c r="O946" s="49">
        <f>$I$8*(SUMPRODUCT(($I$2*(1+K946)^{1;2;3;4;5;6;7;8;9;10})*(($I$3+(L946-$I$3)*{1;2;3;4;5;6;7;8;9;10}/10)*(1-$I$7)+$I$4-$I$4*($I$5+(1.05-$I$5)*{1;2;3;4;5;6;7;8;9;10}/10)-(K946/(1+K946))*$I$6)/(1+M946)^{1;2;3;4;5;6;7;8;9;10})+$I$2*(1+K946)^10*(L946+$I$4)*N946/(1+M946)^10+$I$9-$I$10)/$I$11</f>
        <v/>
      </c>
    </row>
    <row r="947">
      <c r="K947" s="25">
        <f>MAX(-0.05,NORMINV(RAND(),$C$6,$D$6))</f>
        <v/>
      </c>
      <c r="L947" s="25">
        <f>MAX(0.02,NORMINV(RAND(),$C$7,$D$7))</f>
        <v/>
      </c>
      <c r="M947" s="25">
        <f>MIN(0.16,MAX(0.05,NORMINV(RAND(),$C$8,$D$8)))</f>
        <v/>
      </c>
      <c r="N947" s="26">
        <f>MIN(24,MAX(5,NORMINV(RAND(),$C$9,$D$9)))</f>
        <v/>
      </c>
      <c r="O947" s="49">
        <f>$I$8*(SUMPRODUCT(($I$2*(1+K947)^{1;2;3;4;5;6;7;8;9;10})*(($I$3+(L947-$I$3)*{1;2;3;4;5;6;7;8;9;10}/10)*(1-$I$7)+$I$4-$I$4*($I$5+(1.05-$I$5)*{1;2;3;4;5;6;7;8;9;10}/10)-(K947/(1+K947))*$I$6)/(1+M947)^{1;2;3;4;5;6;7;8;9;10})+$I$2*(1+K947)^10*(L947+$I$4)*N947/(1+M947)^10+$I$9-$I$10)/$I$11</f>
        <v/>
      </c>
    </row>
    <row r="948">
      <c r="K948" s="25">
        <f>MAX(-0.05,NORMINV(RAND(),$C$6,$D$6))</f>
        <v/>
      </c>
      <c r="L948" s="25">
        <f>MAX(0.02,NORMINV(RAND(),$C$7,$D$7))</f>
        <v/>
      </c>
      <c r="M948" s="25">
        <f>MIN(0.16,MAX(0.05,NORMINV(RAND(),$C$8,$D$8)))</f>
        <v/>
      </c>
      <c r="N948" s="26">
        <f>MIN(24,MAX(5,NORMINV(RAND(),$C$9,$D$9)))</f>
        <v/>
      </c>
      <c r="O948" s="49">
        <f>$I$8*(SUMPRODUCT(($I$2*(1+K948)^{1;2;3;4;5;6;7;8;9;10})*(($I$3+(L948-$I$3)*{1;2;3;4;5;6;7;8;9;10}/10)*(1-$I$7)+$I$4-$I$4*($I$5+(1.05-$I$5)*{1;2;3;4;5;6;7;8;9;10}/10)-(K948/(1+K948))*$I$6)/(1+M948)^{1;2;3;4;5;6;7;8;9;10})+$I$2*(1+K948)^10*(L948+$I$4)*N948/(1+M948)^10+$I$9-$I$10)/$I$11</f>
        <v/>
      </c>
    </row>
    <row r="949">
      <c r="K949" s="25">
        <f>MAX(-0.05,NORMINV(RAND(),$C$6,$D$6))</f>
        <v/>
      </c>
      <c r="L949" s="25">
        <f>MAX(0.02,NORMINV(RAND(),$C$7,$D$7))</f>
        <v/>
      </c>
      <c r="M949" s="25">
        <f>MIN(0.16,MAX(0.05,NORMINV(RAND(),$C$8,$D$8)))</f>
        <v/>
      </c>
      <c r="N949" s="26">
        <f>MIN(24,MAX(5,NORMINV(RAND(),$C$9,$D$9)))</f>
        <v/>
      </c>
      <c r="O949" s="49">
        <f>$I$8*(SUMPRODUCT(($I$2*(1+K949)^{1;2;3;4;5;6;7;8;9;10})*(($I$3+(L949-$I$3)*{1;2;3;4;5;6;7;8;9;10}/10)*(1-$I$7)+$I$4-$I$4*($I$5+(1.05-$I$5)*{1;2;3;4;5;6;7;8;9;10}/10)-(K949/(1+K949))*$I$6)/(1+M949)^{1;2;3;4;5;6;7;8;9;10})+$I$2*(1+K949)^10*(L949+$I$4)*N949/(1+M949)^10+$I$9-$I$10)/$I$11</f>
        <v/>
      </c>
    </row>
    <row r="950">
      <c r="K950" s="25">
        <f>MAX(-0.05,NORMINV(RAND(),$C$6,$D$6))</f>
        <v/>
      </c>
      <c r="L950" s="25">
        <f>MAX(0.02,NORMINV(RAND(),$C$7,$D$7))</f>
        <v/>
      </c>
      <c r="M950" s="25">
        <f>MIN(0.16,MAX(0.05,NORMINV(RAND(),$C$8,$D$8)))</f>
        <v/>
      </c>
      <c r="N950" s="26">
        <f>MIN(24,MAX(5,NORMINV(RAND(),$C$9,$D$9)))</f>
        <v/>
      </c>
      <c r="O950" s="49">
        <f>$I$8*(SUMPRODUCT(($I$2*(1+K950)^{1;2;3;4;5;6;7;8;9;10})*(($I$3+(L950-$I$3)*{1;2;3;4;5;6;7;8;9;10}/10)*(1-$I$7)+$I$4-$I$4*($I$5+(1.05-$I$5)*{1;2;3;4;5;6;7;8;9;10}/10)-(K950/(1+K950))*$I$6)/(1+M950)^{1;2;3;4;5;6;7;8;9;10})+$I$2*(1+K950)^10*(L950+$I$4)*N950/(1+M950)^10+$I$9-$I$10)/$I$11</f>
        <v/>
      </c>
    </row>
    <row r="951">
      <c r="K951" s="25">
        <f>MAX(-0.05,NORMINV(RAND(),$C$6,$D$6))</f>
        <v/>
      </c>
      <c r="L951" s="25">
        <f>MAX(0.02,NORMINV(RAND(),$C$7,$D$7))</f>
        <v/>
      </c>
      <c r="M951" s="25">
        <f>MIN(0.16,MAX(0.05,NORMINV(RAND(),$C$8,$D$8)))</f>
        <v/>
      </c>
      <c r="N951" s="26">
        <f>MIN(24,MAX(5,NORMINV(RAND(),$C$9,$D$9)))</f>
        <v/>
      </c>
      <c r="O951" s="49">
        <f>$I$8*(SUMPRODUCT(($I$2*(1+K951)^{1;2;3;4;5;6;7;8;9;10})*(($I$3+(L951-$I$3)*{1;2;3;4;5;6;7;8;9;10}/10)*(1-$I$7)+$I$4-$I$4*($I$5+(1.05-$I$5)*{1;2;3;4;5;6;7;8;9;10}/10)-(K951/(1+K951))*$I$6)/(1+M951)^{1;2;3;4;5;6;7;8;9;10})+$I$2*(1+K951)^10*(L951+$I$4)*N951/(1+M951)^10+$I$9-$I$10)/$I$11</f>
        <v/>
      </c>
    </row>
    <row r="952">
      <c r="K952" s="25">
        <f>MAX(-0.05,NORMINV(RAND(),$C$6,$D$6))</f>
        <v/>
      </c>
      <c r="L952" s="25">
        <f>MAX(0.02,NORMINV(RAND(),$C$7,$D$7))</f>
        <v/>
      </c>
      <c r="M952" s="25">
        <f>MIN(0.16,MAX(0.05,NORMINV(RAND(),$C$8,$D$8)))</f>
        <v/>
      </c>
      <c r="N952" s="26">
        <f>MIN(24,MAX(5,NORMINV(RAND(),$C$9,$D$9)))</f>
        <v/>
      </c>
      <c r="O952" s="49">
        <f>$I$8*(SUMPRODUCT(($I$2*(1+K952)^{1;2;3;4;5;6;7;8;9;10})*(($I$3+(L952-$I$3)*{1;2;3;4;5;6;7;8;9;10}/10)*(1-$I$7)+$I$4-$I$4*($I$5+(1.05-$I$5)*{1;2;3;4;5;6;7;8;9;10}/10)-(K952/(1+K952))*$I$6)/(1+M952)^{1;2;3;4;5;6;7;8;9;10})+$I$2*(1+K952)^10*(L952+$I$4)*N952/(1+M952)^10+$I$9-$I$10)/$I$11</f>
        <v/>
      </c>
    </row>
    <row r="953">
      <c r="K953" s="25">
        <f>MAX(-0.05,NORMINV(RAND(),$C$6,$D$6))</f>
        <v/>
      </c>
      <c r="L953" s="25">
        <f>MAX(0.02,NORMINV(RAND(),$C$7,$D$7))</f>
        <v/>
      </c>
      <c r="M953" s="25">
        <f>MIN(0.16,MAX(0.05,NORMINV(RAND(),$C$8,$D$8)))</f>
        <v/>
      </c>
      <c r="N953" s="26">
        <f>MIN(24,MAX(5,NORMINV(RAND(),$C$9,$D$9)))</f>
        <v/>
      </c>
      <c r="O953" s="49">
        <f>$I$8*(SUMPRODUCT(($I$2*(1+K953)^{1;2;3;4;5;6;7;8;9;10})*(($I$3+(L953-$I$3)*{1;2;3;4;5;6;7;8;9;10}/10)*(1-$I$7)+$I$4-$I$4*($I$5+(1.05-$I$5)*{1;2;3;4;5;6;7;8;9;10}/10)-(K953/(1+K953))*$I$6)/(1+M953)^{1;2;3;4;5;6;7;8;9;10})+$I$2*(1+K953)^10*(L953+$I$4)*N953/(1+M953)^10+$I$9-$I$10)/$I$11</f>
        <v/>
      </c>
    </row>
    <row r="954">
      <c r="K954" s="25">
        <f>MAX(-0.05,NORMINV(RAND(),$C$6,$D$6))</f>
        <v/>
      </c>
      <c r="L954" s="25">
        <f>MAX(0.02,NORMINV(RAND(),$C$7,$D$7))</f>
        <v/>
      </c>
      <c r="M954" s="25">
        <f>MIN(0.16,MAX(0.05,NORMINV(RAND(),$C$8,$D$8)))</f>
        <v/>
      </c>
      <c r="N954" s="26">
        <f>MIN(24,MAX(5,NORMINV(RAND(),$C$9,$D$9)))</f>
        <v/>
      </c>
      <c r="O954" s="49">
        <f>$I$8*(SUMPRODUCT(($I$2*(1+K954)^{1;2;3;4;5;6;7;8;9;10})*(($I$3+(L954-$I$3)*{1;2;3;4;5;6;7;8;9;10}/10)*(1-$I$7)+$I$4-$I$4*($I$5+(1.05-$I$5)*{1;2;3;4;5;6;7;8;9;10}/10)-(K954/(1+K954))*$I$6)/(1+M954)^{1;2;3;4;5;6;7;8;9;10})+$I$2*(1+K954)^10*(L954+$I$4)*N954/(1+M954)^10+$I$9-$I$10)/$I$11</f>
        <v/>
      </c>
    </row>
    <row r="955">
      <c r="K955" s="25">
        <f>MAX(-0.05,NORMINV(RAND(),$C$6,$D$6))</f>
        <v/>
      </c>
      <c r="L955" s="25">
        <f>MAX(0.02,NORMINV(RAND(),$C$7,$D$7))</f>
        <v/>
      </c>
      <c r="M955" s="25">
        <f>MIN(0.16,MAX(0.05,NORMINV(RAND(),$C$8,$D$8)))</f>
        <v/>
      </c>
      <c r="N955" s="26">
        <f>MIN(24,MAX(5,NORMINV(RAND(),$C$9,$D$9)))</f>
        <v/>
      </c>
      <c r="O955" s="49">
        <f>$I$8*(SUMPRODUCT(($I$2*(1+K955)^{1;2;3;4;5;6;7;8;9;10})*(($I$3+(L955-$I$3)*{1;2;3;4;5;6;7;8;9;10}/10)*(1-$I$7)+$I$4-$I$4*($I$5+(1.05-$I$5)*{1;2;3;4;5;6;7;8;9;10}/10)-(K955/(1+K955))*$I$6)/(1+M955)^{1;2;3;4;5;6;7;8;9;10})+$I$2*(1+K955)^10*(L955+$I$4)*N955/(1+M955)^10+$I$9-$I$10)/$I$11</f>
        <v/>
      </c>
    </row>
    <row r="956">
      <c r="K956" s="25">
        <f>MAX(-0.05,NORMINV(RAND(),$C$6,$D$6))</f>
        <v/>
      </c>
      <c r="L956" s="25">
        <f>MAX(0.02,NORMINV(RAND(),$C$7,$D$7))</f>
        <v/>
      </c>
      <c r="M956" s="25">
        <f>MIN(0.16,MAX(0.05,NORMINV(RAND(),$C$8,$D$8)))</f>
        <v/>
      </c>
      <c r="N956" s="26">
        <f>MIN(24,MAX(5,NORMINV(RAND(),$C$9,$D$9)))</f>
        <v/>
      </c>
      <c r="O956" s="49">
        <f>$I$8*(SUMPRODUCT(($I$2*(1+K956)^{1;2;3;4;5;6;7;8;9;10})*(($I$3+(L956-$I$3)*{1;2;3;4;5;6;7;8;9;10}/10)*(1-$I$7)+$I$4-$I$4*($I$5+(1.05-$I$5)*{1;2;3;4;5;6;7;8;9;10}/10)-(K956/(1+K956))*$I$6)/(1+M956)^{1;2;3;4;5;6;7;8;9;10})+$I$2*(1+K956)^10*(L956+$I$4)*N956/(1+M956)^10+$I$9-$I$10)/$I$11</f>
        <v/>
      </c>
    </row>
    <row r="957">
      <c r="K957" s="25">
        <f>MAX(-0.05,NORMINV(RAND(),$C$6,$D$6))</f>
        <v/>
      </c>
      <c r="L957" s="25">
        <f>MAX(0.02,NORMINV(RAND(),$C$7,$D$7))</f>
        <v/>
      </c>
      <c r="M957" s="25">
        <f>MIN(0.16,MAX(0.05,NORMINV(RAND(),$C$8,$D$8)))</f>
        <v/>
      </c>
      <c r="N957" s="26">
        <f>MIN(24,MAX(5,NORMINV(RAND(),$C$9,$D$9)))</f>
        <v/>
      </c>
      <c r="O957" s="49">
        <f>$I$8*(SUMPRODUCT(($I$2*(1+K957)^{1;2;3;4;5;6;7;8;9;10})*(($I$3+(L957-$I$3)*{1;2;3;4;5;6;7;8;9;10}/10)*(1-$I$7)+$I$4-$I$4*($I$5+(1.05-$I$5)*{1;2;3;4;5;6;7;8;9;10}/10)-(K957/(1+K957))*$I$6)/(1+M957)^{1;2;3;4;5;6;7;8;9;10})+$I$2*(1+K957)^10*(L957+$I$4)*N957/(1+M957)^10+$I$9-$I$10)/$I$11</f>
        <v/>
      </c>
    </row>
    <row r="958">
      <c r="K958" s="25">
        <f>MAX(-0.05,NORMINV(RAND(),$C$6,$D$6))</f>
        <v/>
      </c>
      <c r="L958" s="25">
        <f>MAX(0.02,NORMINV(RAND(),$C$7,$D$7))</f>
        <v/>
      </c>
      <c r="M958" s="25">
        <f>MIN(0.16,MAX(0.05,NORMINV(RAND(),$C$8,$D$8)))</f>
        <v/>
      </c>
      <c r="N958" s="26">
        <f>MIN(24,MAX(5,NORMINV(RAND(),$C$9,$D$9)))</f>
        <v/>
      </c>
      <c r="O958" s="49">
        <f>$I$8*(SUMPRODUCT(($I$2*(1+K958)^{1;2;3;4;5;6;7;8;9;10})*(($I$3+(L958-$I$3)*{1;2;3;4;5;6;7;8;9;10}/10)*(1-$I$7)+$I$4-$I$4*($I$5+(1.05-$I$5)*{1;2;3;4;5;6;7;8;9;10}/10)-(K958/(1+K958))*$I$6)/(1+M958)^{1;2;3;4;5;6;7;8;9;10})+$I$2*(1+K958)^10*(L958+$I$4)*N958/(1+M958)^10+$I$9-$I$10)/$I$11</f>
        <v/>
      </c>
    </row>
    <row r="959">
      <c r="K959" s="25">
        <f>MAX(-0.05,NORMINV(RAND(),$C$6,$D$6))</f>
        <v/>
      </c>
      <c r="L959" s="25">
        <f>MAX(0.02,NORMINV(RAND(),$C$7,$D$7))</f>
        <v/>
      </c>
      <c r="M959" s="25">
        <f>MIN(0.16,MAX(0.05,NORMINV(RAND(),$C$8,$D$8)))</f>
        <v/>
      </c>
      <c r="N959" s="26">
        <f>MIN(24,MAX(5,NORMINV(RAND(),$C$9,$D$9)))</f>
        <v/>
      </c>
      <c r="O959" s="49">
        <f>$I$8*(SUMPRODUCT(($I$2*(1+K959)^{1;2;3;4;5;6;7;8;9;10})*(($I$3+(L959-$I$3)*{1;2;3;4;5;6;7;8;9;10}/10)*(1-$I$7)+$I$4-$I$4*($I$5+(1.05-$I$5)*{1;2;3;4;5;6;7;8;9;10}/10)-(K959/(1+K959))*$I$6)/(1+M959)^{1;2;3;4;5;6;7;8;9;10})+$I$2*(1+K959)^10*(L959+$I$4)*N959/(1+M959)^10+$I$9-$I$10)/$I$11</f>
        <v/>
      </c>
    </row>
    <row r="960">
      <c r="K960" s="25">
        <f>MAX(-0.05,NORMINV(RAND(),$C$6,$D$6))</f>
        <v/>
      </c>
      <c r="L960" s="25">
        <f>MAX(0.02,NORMINV(RAND(),$C$7,$D$7))</f>
        <v/>
      </c>
      <c r="M960" s="25">
        <f>MIN(0.16,MAX(0.05,NORMINV(RAND(),$C$8,$D$8)))</f>
        <v/>
      </c>
      <c r="N960" s="26">
        <f>MIN(24,MAX(5,NORMINV(RAND(),$C$9,$D$9)))</f>
        <v/>
      </c>
      <c r="O960" s="49">
        <f>$I$8*(SUMPRODUCT(($I$2*(1+K960)^{1;2;3;4;5;6;7;8;9;10})*(($I$3+(L960-$I$3)*{1;2;3;4;5;6;7;8;9;10}/10)*(1-$I$7)+$I$4-$I$4*($I$5+(1.05-$I$5)*{1;2;3;4;5;6;7;8;9;10}/10)-(K960/(1+K960))*$I$6)/(1+M960)^{1;2;3;4;5;6;7;8;9;10})+$I$2*(1+K960)^10*(L960+$I$4)*N960/(1+M960)^10+$I$9-$I$10)/$I$11</f>
        <v/>
      </c>
    </row>
    <row r="961">
      <c r="K961" s="25">
        <f>MAX(-0.05,NORMINV(RAND(),$C$6,$D$6))</f>
        <v/>
      </c>
      <c r="L961" s="25">
        <f>MAX(0.02,NORMINV(RAND(),$C$7,$D$7))</f>
        <v/>
      </c>
      <c r="M961" s="25">
        <f>MIN(0.16,MAX(0.05,NORMINV(RAND(),$C$8,$D$8)))</f>
        <v/>
      </c>
      <c r="N961" s="26">
        <f>MIN(24,MAX(5,NORMINV(RAND(),$C$9,$D$9)))</f>
        <v/>
      </c>
      <c r="O961" s="49">
        <f>$I$8*(SUMPRODUCT(($I$2*(1+K961)^{1;2;3;4;5;6;7;8;9;10})*(($I$3+(L961-$I$3)*{1;2;3;4;5;6;7;8;9;10}/10)*(1-$I$7)+$I$4-$I$4*($I$5+(1.05-$I$5)*{1;2;3;4;5;6;7;8;9;10}/10)-(K961/(1+K961))*$I$6)/(1+M961)^{1;2;3;4;5;6;7;8;9;10})+$I$2*(1+K961)^10*(L961+$I$4)*N961/(1+M961)^10+$I$9-$I$10)/$I$11</f>
        <v/>
      </c>
    </row>
    <row r="962">
      <c r="K962" s="25">
        <f>MAX(-0.05,NORMINV(RAND(),$C$6,$D$6))</f>
        <v/>
      </c>
      <c r="L962" s="25">
        <f>MAX(0.02,NORMINV(RAND(),$C$7,$D$7))</f>
        <v/>
      </c>
      <c r="M962" s="25">
        <f>MIN(0.16,MAX(0.05,NORMINV(RAND(),$C$8,$D$8)))</f>
        <v/>
      </c>
      <c r="N962" s="26">
        <f>MIN(24,MAX(5,NORMINV(RAND(),$C$9,$D$9)))</f>
        <v/>
      </c>
      <c r="O962" s="49">
        <f>$I$8*(SUMPRODUCT(($I$2*(1+K962)^{1;2;3;4;5;6;7;8;9;10})*(($I$3+(L962-$I$3)*{1;2;3;4;5;6;7;8;9;10}/10)*(1-$I$7)+$I$4-$I$4*($I$5+(1.05-$I$5)*{1;2;3;4;5;6;7;8;9;10}/10)-(K962/(1+K962))*$I$6)/(1+M962)^{1;2;3;4;5;6;7;8;9;10})+$I$2*(1+K962)^10*(L962+$I$4)*N962/(1+M962)^10+$I$9-$I$10)/$I$11</f>
        <v/>
      </c>
    </row>
    <row r="963">
      <c r="K963" s="25">
        <f>MAX(-0.05,NORMINV(RAND(),$C$6,$D$6))</f>
        <v/>
      </c>
      <c r="L963" s="25">
        <f>MAX(0.02,NORMINV(RAND(),$C$7,$D$7))</f>
        <v/>
      </c>
      <c r="M963" s="25">
        <f>MIN(0.16,MAX(0.05,NORMINV(RAND(),$C$8,$D$8)))</f>
        <v/>
      </c>
      <c r="N963" s="26">
        <f>MIN(24,MAX(5,NORMINV(RAND(),$C$9,$D$9)))</f>
        <v/>
      </c>
      <c r="O963" s="49">
        <f>$I$8*(SUMPRODUCT(($I$2*(1+K963)^{1;2;3;4;5;6;7;8;9;10})*(($I$3+(L963-$I$3)*{1;2;3;4;5;6;7;8;9;10}/10)*(1-$I$7)+$I$4-$I$4*($I$5+(1.05-$I$5)*{1;2;3;4;5;6;7;8;9;10}/10)-(K963/(1+K963))*$I$6)/(1+M963)^{1;2;3;4;5;6;7;8;9;10})+$I$2*(1+K963)^10*(L963+$I$4)*N963/(1+M963)^10+$I$9-$I$10)/$I$11</f>
        <v/>
      </c>
    </row>
    <row r="964">
      <c r="K964" s="25">
        <f>MAX(-0.05,NORMINV(RAND(),$C$6,$D$6))</f>
        <v/>
      </c>
      <c r="L964" s="25">
        <f>MAX(0.02,NORMINV(RAND(),$C$7,$D$7))</f>
        <v/>
      </c>
      <c r="M964" s="25">
        <f>MIN(0.16,MAX(0.05,NORMINV(RAND(),$C$8,$D$8)))</f>
        <v/>
      </c>
      <c r="N964" s="26">
        <f>MIN(24,MAX(5,NORMINV(RAND(),$C$9,$D$9)))</f>
        <v/>
      </c>
      <c r="O964" s="49">
        <f>$I$8*(SUMPRODUCT(($I$2*(1+K964)^{1;2;3;4;5;6;7;8;9;10})*(($I$3+(L964-$I$3)*{1;2;3;4;5;6;7;8;9;10}/10)*(1-$I$7)+$I$4-$I$4*($I$5+(1.05-$I$5)*{1;2;3;4;5;6;7;8;9;10}/10)-(K964/(1+K964))*$I$6)/(1+M964)^{1;2;3;4;5;6;7;8;9;10})+$I$2*(1+K964)^10*(L964+$I$4)*N964/(1+M964)^10+$I$9-$I$10)/$I$11</f>
        <v/>
      </c>
    </row>
    <row r="965">
      <c r="K965" s="25">
        <f>MAX(-0.05,NORMINV(RAND(),$C$6,$D$6))</f>
        <v/>
      </c>
      <c r="L965" s="25">
        <f>MAX(0.02,NORMINV(RAND(),$C$7,$D$7))</f>
        <v/>
      </c>
      <c r="M965" s="25">
        <f>MIN(0.16,MAX(0.05,NORMINV(RAND(),$C$8,$D$8)))</f>
        <v/>
      </c>
      <c r="N965" s="26">
        <f>MIN(24,MAX(5,NORMINV(RAND(),$C$9,$D$9)))</f>
        <v/>
      </c>
      <c r="O965" s="49">
        <f>$I$8*(SUMPRODUCT(($I$2*(1+K965)^{1;2;3;4;5;6;7;8;9;10})*(($I$3+(L965-$I$3)*{1;2;3;4;5;6;7;8;9;10}/10)*(1-$I$7)+$I$4-$I$4*($I$5+(1.05-$I$5)*{1;2;3;4;5;6;7;8;9;10}/10)-(K965/(1+K965))*$I$6)/(1+M965)^{1;2;3;4;5;6;7;8;9;10})+$I$2*(1+K965)^10*(L965+$I$4)*N965/(1+M965)^10+$I$9-$I$10)/$I$11</f>
        <v/>
      </c>
    </row>
    <row r="966">
      <c r="K966" s="25">
        <f>MAX(-0.05,NORMINV(RAND(),$C$6,$D$6))</f>
        <v/>
      </c>
      <c r="L966" s="25">
        <f>MAX(0.02,NORMINV(RAND(),$C$7,$D$7))</f>
        <v/>
      </c>
      <c r="M966" s="25">
        <f>MIN(0.16,MAX(0.05,NORMINV(RAND(),$C$8,$D$8)))</f>
        <v/>
      </c>
      <c r="N966" s="26">
        <f>MIN(24,MAX(5,NORMINV(RAND(),$C$9,$D$9)))</f>
        <v/>
      </c>
      <c r="O966" s="49">
        <f>$I$8*(SUMPRODUCT(($I$2*(1+K966)^{1;2;3;4;5;6;7;8;9;10})*(($I$3+(L966-$I$3)*{1;2;3;4;5;6;7;8;9;10}/10)*(1-$I$7)+$I$4-$I$4*($I$5+(1.05-$I$5)*{1;2;3;4;5;6;7;8;9;10}/10)-(K966/(1+K966))*$I$6)/(1+M966)^{1;2;3;4;5;6;7;8;9;10})+$I$2*(1+K966)^10*(L966+$I$4)*N966/(1+M966)^10+$I$9-$I$10)/$I$11</f>
        <v/>
      </c>
    </row>
    <row r="967">
      <c r="K967" s="25">
        <f>MAX(-0.05,NORMINV(RAND(),$C$6,$D$6))</f>
        <v/>
      </c>
      <c r="L967" s="25">
        <f>MAX(0.02,NORMINV(RAND(),$C$7,$D$7))</f>
        <v/>
      </c>
      <c r="M967" s="25">
        <f>MIN(0.16,MAX(0.05,NORMINV(RAND(),$C$8,$D$8)))</f>
        <v/>
      </c>
      <c r="N967" s="26">
        <f>MIN(24,MAX(5,NORMINV(RAND(),$C$9,$D$9)))</f>
        <v/>
      </c>
      <c r="O967" s="49">
        <f>$I$8*(SUMPRODUCT(($I$2*(1+K967)^{1;2;3;4;5;6;7;8;9;10})*(($I$3+(L967-$I$3)*{1;2;3;4;5;6;7;8;9;10}/10)*(1-$I$7)+$I$4-$I$4*($I$5+(1.05-$I$5)*{1;2;3;4;5;6;7;8;9;10}/10)-(K967/(1+K967))*$I$6)/(1+M967)^{1;2;3;4;5;6;7;8;9;10})+$I$2*(1+K967)^10*(L967+$I$4)*N967/(1+M967)^10+$I$9-$I$10)/$I$11</f>
        <v/>
      </c>
    </row>
    <row r="968">
      <c r="K968" s="25">
        <f>MAX(-0.05,NORMINV(RAND(),$C$6,$D$6))</f>
        <v/>
      </c>
      <c r="L968" s="25">
        <f>MAX(0.02,NORMINV(RAND(),$C$7,$D$7))</f>
        <v/>
      </c>
      <c r="M968" s="25">
        <f>MIN(0.16,MAX(0.05,NORMINV(RAND(),$C$8,$D$8)))</f>
        <v/>
      </c>
      <c r="N968" s="26">
        <f>MIN(24,MAX(5,NORMINV(RAND(),$C$9,$D$9)))</f>
        <v/>
      </c>
      <c r="O968" s="49">
        <f>$I$8*(SUMPRODUCT(($I$2*(1+K968)^{1;2;3;4;5;6;7;8;9;10})*(($I$3+(L968-$I$3)*{1;2;3;4;5;6;7;8;9;10}/10)*(1-$I$7)+$I$4-$I$4*($I$5+(1.05-$I$5)*{1;2;3;4;5;6;7;8;9;10}/10)-(K968/(1+K968))*$I$6)/(1+M968)^{1;2;3;4;5;6;7;8;9;10})+$I$2*(1+K968)^10*(L968+$I$4)*N968/(1+M968)^10+$I$9-$I$10)/$I$11</f>
        <v/>
      </c>
    </row>
    <row r="969">
      <c r="K969" s="25">
        <f>MAX(-0.05,NORMINV(RAND(),$C$6,$D$6))</f>
        <v/>
      </c>
      <c r="L969" s="25">
        <f>MAX(0.02,NORMINV(RAND(),$C$7,$D$7))</f>
        <v/>
      </c>
      <c r="M969" s="25">
        <f>MIN(0.16,MAX(0.05,NORMINV(RAND(),$C$8,$D$8)))</f>
        <v/>
      </c>
      <c r="N969" s="26">
        <f>MIN(24,MAX(5,NORMINV(RAND(),$C$9,$D$9)))</f>
        <v/>
      </c>
      <c r="O969" s="49">
        <f>$I$8*(SUMPRODUCT(($I$2*(1+K969)^{1;2;3;4;5;6;7;8;9;10})*(($I$3+(L969-$I$3)*{1;2;3;4;5;6;7;8;9;10}/10)*(1-$I$7)+$I$4-$I$4*($I$5+(1.05-$I$5)*{1;2;3;4;5;6;7;8;9;10}/10)-(K969/(1+K969))*$I$6)/(1+M969)^{1;2;3;4;5;6;7;8;9;10})+$I$2*(1+K969)^10*(L969+$I$4)*N969/(1+M969)^10+$I$9-$I$10)/$I$11</f>
        <v/>
      </c>
    </row>
    <row r="970">
      <c r="K970" s="25">
        <f>MAX(-0.05,NORMINV(RAND(),$C$6,$D$6))</f>
        <v/>
      </c>
      <c r="L970" s="25">
        <f>MAX(0.02,NORMINV(RAND(),$C$7,$D$7))</f>
        <v/>
      </c>
      <c r="M970" s="25">
        <f>MIN(0.16,MAX(0.05,NORMINV(RAND(),$C$8,$D$8)))</f>
        <v/>
      </c>
      <c r="N970" s="26">
        <f>MIN(24,MAX(5,NORMINV(RAND(),$C$9,$D$9)))</f>
        <v/>
      </c>
      <c r="O970" s="49">
        <f>$I$8*(SUMPRODUCT(($I$2*(1+K970)^{1;2;3;4;5;6;7;8;9;10})*(($I$3+(L970-$I$3)*{1;2;3;4;5;6;7;8;9;10}/10)*(1-$I$7)+$I$4-$I$4*($I$5+(1.05-$I$5)*{1;2;3;4;5;6;7;8;9;10}/10)-(K970/(1+K970))*$I$6)/(1+M970)^{1;2;3;4;5;6;7;8;9;10})+$I$2*(1+K970)^10*(L970+$I$4)*N970/(1+M970)^10+$I$9-$I$10)/$I$11</f>
        <v/>
      </c>
    </row>
    <row r="971">
      <c r="K971" s="25">
        <f>MAX(-0.05,NORMINV(RAND(),$C$6,$D$6))</f>
        <v/>
      </c>
      <c r="L971" s="25">
        <f>MAX(0.02,NORMINV(RAND(),$C$7,$D$7))</f>
        <v/>
      </c>
      <c r="M971" s="25">
        <f>MIN(0.16,MAX(0.05,NORMINV(RAND(),$C$8,$D$8)))</f>
        <v/>
      </c>
      <c r="N971" s="26">
        <f>MIN(24,MAX(5,NORMINV(RAND(),$C$9,$D$9)))</f>
        <v/>
      </c>
      <c r="O971" s="49">
        <f>$I$8*(SUMPRODUCT(($I$2*(1+K971)^{1;2;3;4;5;6;7;8;9;10})*(($I$3+(L971-$I$3)*{1;2;3;4;5;6;7;8;9;10}/10)*(1-$I$7)+$I$4-$I$4*($I$5+(1.05-$I$5)*{1;2;3;4;5;6;7;8;9;10}/10)-(K971/(1+K971))*$I$6)/(1+M971)^{1;2;3;4;5;6;7;8;9;10})+$I$2*(1+K971)^10*(L971+$I$4)*N971/(1+M971)^10+$I$9-$I$10)/$I$11</f>
        <v/>
      </c>
    </row>
    <row r="972">
      <c r="K972" s="25">
        <f>MAX(-0.05,NORMINV(RAND(),$C$6,$D$6))</f>
        <v/>
      </c>
      <c r="L972" s="25">
        <f>MAX(0.02,NORMINV(RAND(),$C$7,$D$7))</f>
        <v/>
      </c>
      <c r="M972" s="25">
        <f>MIN(0.16,MAX(0.05,NORMINV(RAND(),$C$8,$D$8)))</f>
        <v/>
      </c>
      <c r="N972" s="26">
        <f>MIN(24,MAX(5,NORMINV(RAND(),$C$9,$D$9)))</f>
        <v/>
      </c>
      <c r="O972" s="49">
        <f>$I$8*(SUMPRODUCT(($I$2*(1+K972)^{1;2;3;4;5;6;7;8;9;10})*(($I$3+(L972-$I$3)*{1;2;3;4;5;6;7;8;9;10}/10)*(1-$I$7)+$I$4-$I$4*($I$5+(1.05-$I$5)*{1;2;3;4;5;6;7;8;9;10}/10)-(K972/(1+K972))*$I$6)/(1+M972)^{1;2;3;4;5;6;7;8;9;10})+$I$2*(1+K972)^10*(L972+$I$4)*N972/(1+M972)^10+$I$9-$I$10)/$I$11</f>
        <v/>
      </c>
    </row>
    <row r="973">
      <c r="K973" s="25">
        <f>MAX(-0.05,NORMINV(RAND(),$C$6,$D$6))</f>
        <v/>
      </c>
      <c r="L973" s="25">
        <f>MAX(0.02,NORMINV(RAND(),$C$7,$D$7))</f>
        <v/>
      </c>
      <c r="M973" s="25">
        <f>MIN(0.16,MAX(0.05,NORMINV(RAND(),$C$8,$D$8)))</f>
        <v/>
      </c>
      <c r="N973" s="26">
        <f>MIN(24,MAX(5,NORMINV(RAND(),$C$9,$D$9)))</f>
        <v/>
      </c>
      <c r="O973" s="49">
        <f>$I$8*(SUMPRODUCT(($I$2*(1+K973)^{1;2;3;4;5;6;7;8;9;10})*(($I$3+(L973-$I$3)*{1;2;3;4;5;6;7;8;9;10}/10)*(1-$I$7)+$I$4-$I$4*($I$5+(1.05-$I$5)*{1;2;3;4;5;6;7;8;9;10}/10)-(K973/(1+K973))*$I$6)/(1+M973)^{1;2;3;4;5;6;7;8;9;10})+$I$2*(1+K973)^10*(L973+$I$4)*N973/(1+M973)^10+$I$9-$I$10)/$I$11</f>
        <v/>
      </c>
    </row>
    <row r="974">
      <c r="K974" s="25">
        <f>MAX(-0.05,NORMINV(RAND(),$C$6,$D$6))</f>
        <v/>
      </c>
      <c r="L974" s="25">
        <f>MAX(0.02,NORMINV(RAND(),$C$7,$D$7))</f>
        <v/>
      </c>
      <c r="M974" s="25">
        <f>MIN(0.16,MAX(0.05,NORMINV(RAND(),$C$8,$D$8)))</f>
        <v/>
      </c>
      <c r="N974" s="26">
        <f>MIN(24,MAX(5,NORMINV(RAND(),$C$9,$D$9)))</f>
        <v/>
      </c>
      <c r="O974" s="49">
        <f>$I$8*(SUMPRODUCT(($I$2*(1+K974)^{1;2;3;4;5;6;7;8;9;10})*(($I$3+(L974-$I$3)*{1;2;3;4;5;6;7;8;9;10}/10)*(1-$I$7)+$I$4-$I$4*($I$5+(1.05-$I$5)*{1;2;3;4;5;6;7;8;9;10}/10)-(K974/(1+K974))*$I$6)/(1+M974)^{1;2;3;4;5;6;7;8;9;10})+$I$2*(1+K974)^10*(L974+$I$4)*N974/(1+M974)^10+$I$9-$I$10)/$I$11</f>
        <v/>
      </c>
    </row>
    <row r="975">
      <c r="K975" s="25">
        <f>MAX(-0.05,NORMINV(RAND(),$C$6,$D$6))</f>
        <v/>
      </c>
      <c r="L975" s="25">
        <f>MAX(0.02,NORMINV(RAND(),$C$7,$D$7))</f>
        <v/>
      </c>
      <c r="M975" s="25">
        <f>MIN(0.16,MAX(0.05,NORMINV(RAND(),$C$8,$D$8)))</f>
        <v/>
      </c>
      <c r="N975" s="26">
        <f>MIN(24,MAX(5,NORMINV(RAND(),$C$9,$D$9)))</f>
        <v/>
      </c>
      <c r="O975" s="49">
        <f>$I$8*(SUMPRODUCT(($I$2*(1+K975)^{1;2;3;4;5;6;7;8;9;10})*(($I$3+(L975-$I$3)*{1;2;3;4;5;6;7;8;9;10}/10)*(1-$I$7)+$I$4-$I$4*($I$5+(1.05-$I$5)*{1;2;3;4;5;6;7;8;9;10}/10)-(K975/(1+K975))*$I$6)/(1+M975)^{1;2;3;4;5;6;7;8;9;10})+$I$2*(1+K975)^10*(L975+$I$4)*N975/(1+M975)^10+$I$9-$I$10)/$I$11</f>
        <v/>
      </c>
    </row>
    <row r="976">
      <c r="K976" s="25">
        <f>MAX(-0.05,NORMINV(RAND(),$C$6,$D$6))</f>
        <v/>
      </c>
      <c r="L976" s="25">
        <f>MAX(0.02,NORMINV(RAND(),$C$7,$D$7))</f>
        <v/>
      </c>
      <c r="M976" s="25">
        <f>MIN(0.16,MAX(0.05,NORMINV(RAND(),$C$8,$D$8)))</f>
        <v/>
      </c>
      <c r="N976" s="26">
        <f>MIN(24,MAX(5,NORMINV(RAND(),$C$9,$D$9)))</f>
        <v/>
      </c>
      <c r="O976" s="49">
        <f>$I$8*(SUMPRODUCT(($I$2*(1+K976)^{1;2;3;4;5;6;7;8;9;10})*(($I$3+(L976-$I$3)*{1;2;3;4;5;6;7;8;9;10}/10)*(1-$I$7)+$I$4-$I$4*($I$5+(1.05-$I$5)*{1;2;3;4;5;6;7;8;9;10}/10)-(K976/(1+K976))*$I$6)/(1+M976)^{1;2;3;4;5;6;7;8;9;10})+$I$2*(1+K976)^10*(L976+$I$4)*N976/(1+M976)^10+$I$9-$I$10)/$I$11</f>
        <v/>
      </c>
    </row>
    <row r="977">
      <c r="K977" s="25">
        <f>MAX(-0.05,NORMINV(RAND(),$C$6,$D$6))</f>
        <v/>
      </c>
      <c r="L977" s="25">
        <f>MAX(0.02,NORMINV(RAND(),$C$7,$D$7))</f>
        <v/>
      </c>
      <c r="M977" s="25">
        <f>MIN(0.16,MAX(0.05,NORMINV(RAND(),$C$8,$D$8)))</f>
        <v/>
      </c>
      <c r="N977" s="26">
        <f>MIN(24,MAX(5,NORMINV(RAND(),$C$9,$D$9)))</f>
        <v/>
      </c>
      <c r="O977" s="49">
        <f>$I$8*(SUMPRODUCT(($I$2*(1+K977)^{1;2;3;4;5;6;7;8;9;10})*(($I$3+(L977-$I$3)*{1;2;3;4;5;6;7;8;9;10}/10)*(1-$I$7)+$I$4-$I$4*($I$5+(1.05-$I$5)*{1;2;3;4;5;6;7;8;9;10}/10)-(K977/(1+K977))*$I$6)/(1+M977)^{1;2;3;4;5;6;7;8;9;10})+$I$2*(1+K977)^10*(L977+$I$4)*N977/(1+M977)^10+$I$9-$I$10)/$I$11</f>
        <v/>
      </c>
    </row>
    <row r="978">
      <c r="K978" s="25">
        <f>MAX(-0.05,NORMINV(RAND(),$C$6,$D$6))</f>
        <v/>
      </c>
      <c r="L978" s="25">
        <f>MAX(0.02,NORMINV(RAND(),$C$7,$D$7))</f>
        <v/>
      </c>
      <c r="M978" s="25">
        <f>MIN(0.16,MAX(0.05,NORMINV(RAND(),$C$8,$D$8)))</f>
        <v/>
      </c>
      <c r="N978" s="26">
        <f>MIN(24,MAX(5,NORMINV(RAND(),$C$9,$D$9)))</f>
        <v/>
      </c>
      <c r="O978" s="49">
        <f>$I$8*(SUMPRODUCT(($I$2*(1+K978)^{1;2;3;4;5;6;7;8;9;10})*(($I$3+(L978-$I$3)*{1;2;3;4;5;6;7;8;9;10}/10)*(1-$I$7)+$I$4-$I$4*($I$5+(1.05-$I$5)*{1;2;3;4;5;6;7;8;9;10}/10)-(K978/(1+K978))*$I$6)/(1+M978)^{1;2;3;4;5;6;7;8;9;10})+$I$2*(1+K978)^10*(L978+$I$4)*N978/(1+M978)^10+$I$9-$I$10)/$I$11</f>
        <v/>
      </c>
    </row>
    <row r="979">
      <c r="K979" s="25">
        <f>MAX(-0.05,NORMINV(RAND(),$C$6,$D$6))</f>
        <v/>
      </c>
      <c r="L979" s="25">
        <f>MAX(0.02,NORMINV(RAND(),$C$7,$D$7))</f>
        <v/>
      </c>
      <c r="M979" s="25">
        <f>MIN(0.16,MAX(0.05,NORMINV(RAND(),$C$8,$D$8)))</f>
        <v/>
      </c>
      <c r="N979" s="26">
        <f>MIN(24,MAX(5,NORMINV(RAND(),$C$9,$D$9)))</f>
        <v/>
      </c>
      <c r="O979" s="49">
        <f>$I$8*(SUMPRODUCT(($I$2*(1+K979)^{1;2;3;4;5;6;7;8;9;10})*(($I$3+(L979-$I$3)*{1;2;3;4;5;6;7;8;9;10}/10)*(1-$I$7)+$I$4-$I$4*($I$5+(1.05-$I$5)*{1;2;3;4;5;6;7;8;9;10}/10)-(K979/(1+K979))*$I$6)/(1+M979)^{1;2;3;4;5;6;7;8;9;10})+$I$2*(1+K979)^10*(L979+$I$4)*N979/(1+M979)^10+$I$9-$I$10)/$I$11</f>
        <v/>
      </c>
    </row>
    <row r="980">
      <c r="K980" s="25">
        <f>MAX(-0.05,NORMINV(RAND(),$C$6,$D$6))</f>
        <v/>
      </c>
      <c r="L980" s="25">
        <f>MAX(0.02,NORMINV(RAND(),$C$7,$D$7))</f>
        <v/>
      </c>
      <c r="M980" s="25">
        <f>MIN(0.16,MAX(0.05,NORMINV(RAND(),$C$8,$D$8)))</f>
        <v/>
      </c>
      <c r="N980" s="26">
        <f>MIN(24,MAX(5,NORMINV(RAND(),$C$9,$D$9)))</f>
        <v/>
      </c>
      <c r="O980" s="49">
        <f>$I$8*(SUMPRODUCT(($I$2*(1+K980)^{1;2;3;4;5;6;7;8;9;10})*(($I$3+(L980-$I$3)*{1;2;3;4;5;6;7;8;9;10}/10)*(1-$I$7)+$I$4-$I$4*($I$5+(1.05-$I$5)*{1;2;3;4;5;6;7;8;9;10}/10)-(K980/(1+K980))*$I$6)/(1+M980)^{1;2;3;4;5;6;7;8;9;10})+$I$2*(1+K980)^10*(L980+$I$4)*N980/(1+M980)^10+$I$9-$I$10)/$I$11</f>
        <v/>
      </c>
    </row>
    <row r="981">
      <c r="K981" s="25">
        <f>MAX(-0.05,NORMINV(RAND(),$C$6,$D$6))</f>
        <v/>
      </c>
      <c r="L981" s="25">
        <f>MAX(0.02,NORMINV(RAND(),$C$7,$D$7))</f>
        <v/>
      </c>
      <c r="M981" s="25">
        <f>MIN(0.16,MAX(0.05,NORMINV(RAND(),$C$8,$D$8)))</f>
        <v/>
      </c>
      <c r="N981" s="26">
        <f>MIN(24,MAX(5,NORMINV(RAND(),$C$9,$D$9)))</f>
        <v/>
      </c>
      <c r="O981" s="49">
        <f>$I$8*(SUMPRODUCT(($I$2*(1+K981)^{1;2;3;4;5;6;7;8;9;10})*(($I$3+(L981-$I$3)*{1;2;3;4;5;6;7;8;9;10}/10)*(1-$I$7)+$I$4-$I$4*($I$5+(1.05-$I$5)*{1;2;3;4;5;6;7;8;9;10}/10)-(K981/(1+K981))*$I$6)/(1+M981)^{1;2;3;4;5;6;7;8;9;10})+$I$2*(1+K981)^10*(L981+$I$4)*N981/(1+M981)^10+$I$9-$I$10)/$I$11</f>
        <v/>
      </c>
    </row>
    <row r="982">
      <c r="K982" s="25">
        <f>MAX(-0.05,NORMINV(RAND(),$C$6,$D$6))</f>
        <v/>
      </c>
      <c r="L982" s="25">
        <f>MAX(0.02,NORMINV(RAND(),$C$7,$D$7))</f>
        <v/>
      </c>
      <c r="M982" s="25">
        <f>MIN(0.16,MAX(0.05,NORMINV(RAND(),$C$8,$D$8)))</f>
        <v/>
      </c>
      <c r="N982" s="26">
        <f>MIN(24,MAX(5,NORMINV(RAND(),$C$9,$D$9)))</f>
        <v/>
      </c>
      <c r="O982" s="49">
        <f>$I$8*(SUMPRODUCT(($I$2*(1+K982)^{1;2;3;4;5;6;7;8;9;10})*(($I$3+(L982-$I$3)*{1;2;3;4;5;6;7;8;9;10}/10)*(1-$I$7)+$I$4-$I$4*($I$5+(1.05-$I$5)*{1;2;3;4;5;6;7;8;9;10}/10)-(K982/(1+K982))*$I$6)/(1+M982)^{1;2;3;4;5;6;7;8;9;10})+$I$2*(1+K982)^10*(L982+$I$4)*N982/(1+M982)^10+$I$9-$I$10)/$I$11</f>
        <v/>
      </c>
    </row>
    <row r="983">
      <c r="K983" s="25">
        <f>MAX(-0.05,NORMINV(RAND(),$C$6,$D$6))</f>
        <v/>
      </c>
      <c r="L983" s="25">
        <f>MAX(0.02,NORMINV(RAND(),$C$7,$D$7))</f>
        <v/>
      </c>
      <c r="M983" s="25">
        <f>MIN(0.16,MAX(0.05,NORMINV(RAND(),$C$8,$D$8)))</f>
        <v/>
      </c>
      <c r="N983" s="26">
        <f>MIN(24,MAX(5,NORMINV(RAND(),$C$9,$D$9)))</f>
        <v/>
      </c>
      <c r="O983" s="49">
        <f>$I$8*(SUMPRODUCT(($I$2*(1+K983)^{1;2;3;4;5;6;7;8;9;10})*(($I$3+(L983-$I$3)*{1;2;3;4;5;6;7;8;9;10}/10)*(1-$I$7)+$I$4-$I$4*($I$5+(1.05-$I$5)*{1;2;3;4;5;6;7;8;9;10}/10)-(K983/(1+K983))*$I$6)/(1+M983)^{1;2;3;4;5;6;7;8;9;10})+$I$2*(1+K983)^10*(L983+$I$4)*N983/(1+M983)^10+$I$9-$I$10)/$I$11</f>
        <v/>
      </c>
    </row>
    <row r="984">
      <c r="K984" s="25">
        <f>MAX(-0.05,NORMINV(RAND(),$C$6,$D$6))</f>
        <v/>
      </c>
      <c r="L984" s="25">
        <f>MAX(0.02,NORMINV(RAND(),$C$7,$D$7))</f>
        <v/>
      </c>
      <c r="M984" s="25">
        <f>MIN(0.16,MAX(0.05,NORMINV(RAND(),$C$8,$D$8)))</f>
        <v/>
      </c>
      <c r="N984" s="26">
        <f>MIN(24,MAX(5,NORMINV(RAND(),$C$9,$D$9)))</f>
        <v/>
      </c>
      <c r="O984" s="49">
        <f>$I$8*(SUMPRODUCT(($I$2*(1+K984)^{1;2;3;4;5;6;7;8;9;10})*(($I$3+(L984-$I$3)*{1;2;3;4;5;6;7;8;9;10}/10)*(1-$I$7)+$I$4-$I$4*($I$5+(1.05-$I$5)*{1;2;3;4;5;6;7;8;9;10}/10)-(K984/(1+K984))*$I$6)/(1+M984)^{1;2;3;4;5;6;7;8;9;10})+$I$2*(1+K984)^10*(L984+$I$4)*N984/(1+M984)^10+$I$9-$I$10)/$I$11</f>
        <v/>
      </c>
    </row>
    <row r="985">
      <c r="K985" s="25">
        <f>MAX(-0.05,NORMINV(RAND(),$C$6,$D$6))</f>
        <v/>
      </c>
      <c r="L985" s="25">
        <f>MAX(0.02,NORMINV(RAND(),$C$7,$D$7))</f>
        <v/>
      </c>
      <c r="M985" s="25">
        <f>MIN(0.16,MAX(0.05,NORMINV(RAND(),$C$8,$D$8)))</f>
        <v/>
      </c>
      <c r="N985" s="26">
        <f>MIN(24,MAX(5,NORMINV(RAND(),$C$9,$D$9)))</f>
        <v/>
      </c>
      <c r="O985" s="49">
        <f>$I$8*(SUMPRODUCT(($I$2*(1+K985)^{1;2;3;4;5;6;7;8;9;10})*(($I$3+(L985-$I$3)*{1;2;3;4;5;6;7;8;9;10}/10)*(1-$I$7)+$I$4-$I$4*($I$5+(1.05-$I$5)*{1;2;3;4;5;6;7;8;9;10}/10)-(K985/(1+K985))*$I$6)/(1+M985)^{1;2;3;4;5;6;7;8;9;10})+$I$2*(1+K985)^10*(L985+$I$4)*N985/(1+M985)^10+$I$9-$I$10)/$I$11</f>
        <v/>
      </c>
    </row>
    <row r="986">
      <c r="K986" s="25">
        <f>MAX(-0.05,NORMINV(RAND(),$C$6,$D$6))</f>
        <v/>
      </c>
      <c r="L986" s="25">
        <f>MAX(0.02,NORMINV(RAND(),$C$7,$D$7))</f>
        <v/>
      </c>
      <c r="M986" s="25">
        <f>MIN(0.16,MAX(0.05,NORMINV(RAND(),$C$8,$D$8)))</f>
        <v/>
      </c>
      <c r="N986" s="26">
        <f>MIN(24,MAX(5,NORMINV(RAND(),$C$9,$D$9)))</f>
        <v/>
      </c>
      <c r="O986" s="49">
        <f>$I$8*(SUMPRODUCT(($I$2*(1+K986)^{1;2;3;4;5;6;7;8;9;10})*(($I$3+(L986-$I$3)*{1;2;3;4;5;6;7;8;9;10}/10)*(1-$I$7)+$I$4-$I$4*($I$5+(1.05-$I$5)*{1;2;3;4;5;6;7;8;9;10}/10)-(K986/(1+K986))*$I$6)/(1+M986)^{1;2;3;4;5;6;7;8;9;10})+$I$2*(1+K986)^10*(L986+$I$4)*N986/(1+M986)^10+$I$9-$I$10)/$I$11</f>
        <v/>
      </c>
    </row>
    <row r="987">
      <c r="K987" s="25">
        <f>MAX(-0.05,NORMINV(RAND(),$C$6,$D$6))</f>
        <v/>
      </c>
      <c r="L987" s="25">
        <f>MAX(0.02,NORMINV(RAND(),$C$7,$D$7))</f>
        <v/>
      </c>
      <c r="M987" s="25">
        <f>MIN(0.16,MAX(0.05,NORMINV(RAND(),$C$8,$D$8)))</f>
        <v/>
      </c>
      <c r="N987" s="26">
        <f>MIN(24,MAX(5,NORMINV(RAND(),$C$9,$D$9)))</f>
        <v/>
      </c>
      <c r="O987" s="49">
        <f>$I$8*(SUMPRODUCT(($I$2*(1+K987)^{1;2;3;4;5;6;7;8;9;10})*(($I$3+(L987-$I$3)*{1;2;3;4;5;6;7;8;9;10}/10)*(1-$I$7)+$I$4-$I$4*($I$5+(1.05-$I$5)*{1;2;3;4;5;6;7;8;9;10}/10)-(K987/(1+K987))*$I$6)/(1+M987)^{1;2;3;4;5;6;7;8;9;10})+$I$2*(1+K987)^10*(L987+$I$4)*N987/(1+M987)^10+$I$9-$I$10)/$I$11</f>
        <v/>
      </c>
    </row>
    <row r="988">
      <c r="K988" s="25">
        <f>MAX(-0.05,NORMINV(RAND(),$C$6,$D$6))</f>
        <v/>
      </c>
      <c r="L988" s="25">
        <f>MAX(0.02,NORMINV(RAND(),$C$7,$D$7))</f>
        <v/>
      </c>
      <c r="M988" s="25">
        <f>MIN(0.16,MAX(0.05,NORMINV(RAND(),$C$8,$D$8)))</f>
        <v/>
      </c>
      <c r="N988" s="26">
        <f>MIN(24,MAX(5,NORMINV(RAND(),$C$9,$D$9)))</f>
        <v/>
      </c>
      <c r="O988" s="49">
        <f>$I$8*(SUMPRODUCT(($I$2*(1+K988)^{1;2;3;4;5;6;7;8;9;10})*(($I$3+(L988-$I$3)*{1;2;3;4;5;6;7;8;9;10}/10)*(1-$I$7)+$I$4-$I$4*($I$5+(1.05-$I$5)*{1;2;3;4;5;6;7;8;9;10}/10)-(K988/(1+K988))*$I$6)/(1+M988)^{1;2;3;4;5;6;7;8;9;10})+$I$2*(1+K988)^10*(L988+$I$4)*N988/(1+M988)^10+$I$9-$I$10)/$I$11</f>
        <v/>
      </c>
    </row>
    <row r="989">
      <c r="K989" s="25">
        <f>MAX(-0.05,NORMINV(RAND(),$C$6,$D$6))</f>
        <v/>
      </c>
      <c r="L989" s="25">
        <f>MAX(0.02,NORMINV(RAND(),$C$7,$D$7))</f>
        <v/>
      </c>
      <c r="M989" s="25">
        <f>MIN(0.16,MAX(0.05,NORMINV(RAND(),$C$8,$D$8)))</f>
        <v/>
      </c>
      <c r="N989" s="26">
        <f>MIN(24,MAX(5,NORMINV(RAND(),$C$9,$D$9)))</f>
        <v/>
      </c>
      <c r="O989" s="49">
        <f>$I$8*(SUMPRODUCT(($I$2*(1+K989)^{1;2;3;4;5;6;7;8;9;10})*(($I$3+(L989-$I$3)*{1;2;3;4;5;6;7;8;9;10}/10)*(1-$I$7)+$I$4-$I$4*($I$5+(1.05-$I$5)*{1;2;3;4;5;6;7;8;9;10}/10)-(K989/(1+K989))*$I$6)/(1+M989)^{1;2;3;4;5;6;7;8;9;10})+$I$2*(1+K989)^10*(L989+$I$4)*N989/(1+M989)^10+$I$9-$I$10)/$I$11</f>
        <v/>
      </c>
    </row>
    <row r="990">
      <c r="K990" s="25">
        <f>MAX(-0.05,NORMINV(RAND(),$C$6,$D$6))</f>
        <v/>
      </c>
      <c r="L990" s="25">
        <f>MAX(0.02,NORMINV(RAND(),$C$7,$D$7))</f>
        <v/>
      </c>
      <c r="M990" s="25">
        <f>MIN(0.16,MAX(0.05,NORMINV(RAND(),$C$8,$D$8)))</f>
        <v/>
      </c>
      <c r="N990" s="26">
        <f>MIN(24,MAX(5,NORMINV(RAND(),$C$9,$D$9)))</f>
        <v/>
      </c>
      <c r="O990" s="49">
        <f>$I$8*(SUMPRODUCT(($I$2*(1+K990)^{1;2;3;4;5;6;7;8;9;10})*(($I$3+(L990-$I$3)*{1;2;3;4;5;6;7;8;9;10}/10)*(1-$I$7)+$I$4-$I$4*($I$5+(1.05-$I$5)*{1;2;3;4;5;6;7;8;9;10}/10)-(K990/(1+K990))*$I$6)/(1+M990)^{1;2;3;4;5;6;7;8;9;10})+$I$2*(1+K990)^10*(L990+$I$4)*N990/(1+M990)^10+$I$9-$I$10)/$I$11</f>
        <v/>
      </c>
    </row>
    <row r="991">
      <c r="K991" s="25">
        <f>MAX(-0.05,NORMINV(RAND(),$C$6,$D$6))</f>
        <v/>
      </c>
      <c r="L991" s="25">
        <f>MAX(0.02,NORMINV(RAND(),$C$7,$D$7))</f>
        <v/>
      </c>
      <c r="M991" s="25">
        <f>MIN(0.16,MAX(0.05,NORMINV(RAND(),$C$8,$D$8)))</f>
        <v/>
      </c>
      <c r="N991" s="26">
        <f>MIN(24,MAX(5,NORMINV(RAND(),$C$9,$D$9)))</f>
        <v/>
      </c>
      <c r="O991" s="49">
        <f>$I$8*(SUMPRODUCT(($I$2*(1+K991)^{1;2;3;4;5;6;7;8;9;10})*(($I$3+(L991-$I$3)*{1;2;3;4;5;6;7;8;9;10}/10)*(1-$I$7)+$I$4-$I$4*($I$5+(1.05-$I$5)*{1;2;3;4;5;6;7;8;9;10}/10)-(K991/(1+K991))*$I$6)/(1+M991)^{1;2;3;4;5;6;7;8;9;10})+$I$2*(1+K991)^10*(L991+$I$4)*N991/(1+M991)^10+$I$9-$I$10)/$I$11</f>
        <v/>
      </c>
    </row>
    <row r="992">
      <c r="K992" s="25">
        <f>MAX(-0.05,NORMINV(RAND(),$C$6,$D$6))</f>
        <v/>
      </c>
      <c r="L992" s="25">
        <f>MAX(0.02,NORMINV(RAND(),$C$7,$D$7))</f>
        <v/>
      </c>
      <c r="M992" s="25">
        <f>MIN(0.16,MAX(0.05,NORMINV(RAND(),$C$8,$D$8)))</f>
        <v/>
      </c>
      <c r="N992" s="26">
        <f>MIN(24,MAX(5,NORMINV(RAND(),$C$9,$D$9)))</f>
        <v/>
      </c>
      <c r="O992" s="49">
        <f>$I$8*(SUMPRODUCT(($I$2*(1+K992)^{1;2;3;4;5;6;7;8;9;10})*(($I$3+(L992-$I$3)*{1;2;3;4;5;6;7;8;9;10}/10)*(1-$I$7)+$I$4-$I$4*($I$5+(1.05-$I$5)*{1;2;3;4;5;6;7;8;9;10}/10)-(K992/(1+K992))*$I$6)/(1+M992)^{1;2;3;4;5;6;7;8;9;10})+$I$2*(1+K992)^10*(L992+$I$4)*N992/(1+M992)^10+$I$9-$I$10)/$I$11</f>
        <v/>
      </c>
    </row>
    <row r="993">
      <c r="K993" s="25">
        <f>MAX(-0.05,NORMINV(RAND(),$C$6,$D$6))</f>
        <v/>
      </c>
      <c r="L993" s="25">
        <f>MAX(0.02,NORMINV(RAND(),$C$7,$D$7))</f>
        <v/>
      </c>
      <c r="M993" s="25">
        <f>MIN(0.16,MAX(0.05,NORMINV(RAND(),$C$8,$D$8)))</f>
        <v/>
      </c>
      <c r="N993" s="26">
        <f>MIN(24,MAX(5,NORMINV(RAND(),$C$9,$D$9)))</f>
        <v/>
      </c>
      <c r="O993" s="49">
        <f>$I$8*(SUMPRODUCT(($I$2*(1+K993)^{1;2;3;4;5;6;7;8;9;10})*(($I$3+(L993-$I$3)*{1;2;3;4;5;6;7;8;9;10}/10)*(1-$I$7)+$I$4-$I$4*($I$5+(1.05-$I$5)*{1;2;3;4;5;6;7;8;9;10}/10)-(K993/(1+K993))*$I$6)/(1+M993)^{1;2;3;4;5;6;7;8;9;10})+$I$2*(1+K993)^10*(L993+$I$4)*N993/(1+M993)^10+$I$9-$I$10)/$I$11</f>
        <v/>
      </c>
    </row>
    <row r="994">
      <c r="K994" s="25">
        <f>MAX(-0.05,NORMINV(RAND(),$C$6,$D$6))</f>
        <v/>
      </c>
      <c r="L994" s="25">
        <f>MAX(0.02,NORMINV(RAND(),$C$7,$D$7))</f>
        <v/>
      </c>
      <c r="M994" s="25">
        <f>MIN(0.16,MAX(0.05,NORMINV(RAND(),$C$8,$D$8)))</f>
        <v/>
      </c>
      <c r="N994" s="26">
        <f>MIN(24,MAX(5,NORMINV(RAND(),$C$9,$D$9)))</f>
        <v/>
      </c>
      <c r="O994" s="49">
        <f>$I$8*(SUMPRODUCT(($I$2*(1+K994)^{1;2;3;4;5;6;7;8;9;10})*(($I$3+(L994-$I$3)*{1;2;3;4;5;6;7;8;9;10}/10)*(1-$I$7)+$I$4-$I$4*($I$5+(1.05-$I$5)*{1;2;3;4;5;6;7;8;9;10}/10)-(K994/(1+K994))*$I$6)/(1+M994)^{1;2;3;4;5;6;7;8;9;10})+$I$2*(1+K994)^10*(L994+$I$4)*N994/(1+M994)^10+$I$9-$I$10)/$I$11</f>
        <v/>
      </c>
    </row>
    <row r="995">
      <c r="K995" s="25">
        <f>MAX(-0.05,NORMINV(RAND(),$C$6,$D$6))</f>
        <v/>
      </c>
      <c r="L995" s="25">
        <f>MAX(0.02,NORMINV(RAND(),$C$7,$D$7))</f>
        <v/>
      </c>
      <c r="M995" s="25">
        <f>MIN(0.16,MAX(0.05,NORMINV(RAND(),$C$8,$D$8)))</f>
        <v/>
      </c>
      <c r="N995" s="26">
        <f>MIN(24,MAX(5,NORMINV(RAND(),$C$9,$D$9)))</f>
        <v/>
      </c>
      <c r="O995" s="49">
        <f>$I$8*(SUMPRODUCT(($I$2*(1+K995)^{1;2;3;4;5;6;7;8;9;10})*(($I$3+(L995-$I$3)*{1;2;3;4;5;6;7;8;9;10}/10)*(1-$I$7)+$I$4-$I$4*($I$5+(1.05-$I$5)*{1;2;3;4;5;6;7;8;9;10}/10)-(K995/(1+K995))*$I$6)/(1+M995)^{1;2;3;4;5;6;7;8;9;10})+$I$2*(1+K995)^10*(L995+$I$4)*N995/(1+M995)^10+$I$9-$I$10)/$I$11</f>
        <v/>
      </c>
    </row>
    <row r="996">
      <c r="K996" s="25">
        <f>MAX(-0.05,NORMINV(RAND(),$C$6,$D$6))</f>
        <v/>
      </c>
      <c r="L996" s="25">
        <f>MAX(0.02,NORMINV(RAND(),$C$7,$D$7))</f>
        <v/>
      </c>
      <c r="M996" s="25">
        <f>MIN(0.16,MAX(0.05,NORMINV(RAND(),$C$8,$D$8)))</f>
        <v/>
      </c>
      <c r="N996" s="26">
        <f>MIN(24,MAX(5,NORMINV(RAND(),$C$9,$D$9)))</f>
        <v/>
      </c>
      <c r="O996" s="49">
        <f>$I$8*(SUMPRODUCT(($I$2*(1+K996)^{1;2;3;4;5;6;7;8;9;10})*(($I$3+(L996-$I$3)*{1;2;3;4;5;6;7;8;9;10}/10)*(1-$I$7)+$I$4-$I$4*($I$5+(1.05-$I$5)*{1;2;3;4;5;6;7;8;9;10}/10)-(K996/(1+K996))*$I$6)/(1+M996)^{1;2;3;4;5;6;7;8;9;10})+$I$2*(1+K996)^10*(L996+$I$4)*N996/(1+M996)^10+$I$9-$I$10)/$I$11</f>
        <v/>
      </c>
    </row>
    <row r="997">
      <c r="K997" s="25">
        <f>MAX(-0.05,NORMINV(RAND(),$C$6,$D$6))</f>
        <v/>
      </c>
      <c r="L997" s="25">
        <f>MAX(0.02,NORMINV(RAND(),$C$7,$D$7))</f>
        <v/>
      </c>
      <c r="M997" s="25">
        <f>MIN(0.16,MAX(0.05,NORMINV(RAND(),$C$8,$D$8)))</f>
        <v/>
      </c>
      <c r="N997" s="26">
        <f>MIN(24,MAX(5,NORMINV(RAND(),$C$9,$D$9)))</f>
        <v/>
      </c>
      <c r="O997" s="49">
        <f>$I$8*(SUMPRODUCT(($I$2*(1+K997)^{1;2;3;4;5;6;7;8;9;10})*(($I$3+(L997-$I$3)*{1;2;3;4;5;6;7;8;9;10}/10)*(1-$I$7)+$I$4-$I$4*($I$5+(1.05-$I$5)*{1;2;3;4;5;6;7;8;9;10}/10)-(K997/(1+K997))*$I$6)/(1+M997)^{1;2;3;4;5;6;7;8;9;10})+$I$2*(1+K997)^10*(L997+$I$4)*N997/(1+M997)^10+$I$9-$I$10)/$I$11</f>
        <v/>
      </c>
    </row>
    <row r="998">
      <c r="K998" s="25">
        <f>MAX(-0.05,NORMINV(RAND(),$C$6,$D$6))</f>
        <v/>
      </c>
      <c r="L998" s="25">
        <f>MAX(0.02,NORMINV(RAND(),$C$7,$D$7))</f>
        <v/>
      </c>
      <c r="M998" s="25">
        <f>MIN(0.16,MAX(0.05,NORMINV(RAND(),$C$8,$D$8)))</f>
        <v/>
      </c>
      <c r="N998" s="26">
        <f>MIN(24,MAX(5,NORMINV(RAND(),$C$9,$D$9)))</f>
        <v/>
      </c>
      <c r="O998" s="49">
        <f>$I$8*(SUMPRODUCT(($I$2*(1+K998)^{1;2;3;4;5;6;7;8;9;10})*(($I$3+(L998-$I$3)*{1;2;3;4;5;6;7;8;9;10}/10)*(1-$I$7)+$I$4-$I$4*($I$5+(1.05-$I$5)*{1;2;3;4;5;6;7;8;9;10}/10)-(K998/(1+K998))*$I$6)/(1+M998)^{1;2;3;4;5;6;7;8;9;10})+$I$2*(1+K998)^10*(L998+$I$4)*N998/(1+M998)^10+$I$9-$I$10)/$I$11</f>
        <v/>
      </c>
    </row>
    <row r="999">
      <c r="K999" s="25">
        <f>MAX(-0.05,NORMINV(RAND(),$C$6,$D$6))</f>
        <v/>
      </c>
      <c r="L999" s="25">
        <f>MAX(0.02,NORMINV(RAND(),$C$7,$D$7))</f>
        <v/>
      </c>
      <c r="M999" s="25">
        <f>MIN(0.16,MAX(0.05,NORMINV(RAND(),$C$8,$D$8)))</f>
        <v/>
      </c>
      <c r="N999" s="26">
        <f>MIN(24,MAX(5,NORMINV(RAND(),$C$9,$D$9)))</f>
        <v/>
      </c>
      <c r="O999" s="49">
        <f>$I$8*(SUMPRODUCT(($I$2*(1+K999)^{1;2;3;4;5;6;7;8;9;10})*(($I$3+(L999-$I$3)*{1;2;3;4;5;6;7;8;9;10}/10)*(1-$I$7)+$I$4-$I$4*($I$5+(1.05-$I$5)*{1;2;3;4;5;6;7;8;9;10}/10)-(K999/(1+K999))*$I$6)/(1+M999)^{1;2;3;4;5;6;7;8;9;10})+$I$2*(1+K999)^10*(L999+$I$4)*N999/(1+M999)^10+$I$9-$I$10)/$I$11</f>
        <v/>
      </c>
    </row>
    <row r="1000">
      <c r="K1000" s="25">
        <f>MAX(-0.05,NORMINV(RAND(),$C$6,$D$6))</f>
        <v/>
      </c>
      <c r="L1000" s="25">
        <f>MAX(0.02,NORMINV(RAND(),$C$7,$D$7))</f>
        <v/>
      </c>
      <c r="M1000" s="25">
        <f>MIN(0.16,MAX(0.05,NORMINV(RAND(),$C$8,$D$8)))</f>
        <v/>
      </c>
      <c r="N1000" s="26">
        <f>MIN(24,MAX(5,NORMINV(RAND(),$C$9,$D$9)))</f>
        <v/>
      </c>
      <c r="O1000" s="49">
        <f>$I$8*(SUMPRODUCT(($I$2*(1+K1000)^{1;2;3;4;5;6;7;8;9;10})*(($I$3+(L1000-$I$3)*{1;2;3;4;5;6;7;8;9;10}/10)*(1-$I$7)+$I$4-$I$4*($I$5+(1.05-$I$5)*{1;2;3;4;5;6;7;8;9;10}/10)-(K1000/(1+K1000))*$I$6)/(1+M1000)^{1;2;3;4;5;6;7;8;9;10})+$I$2*(1+K1000)^10*(L1000+$I$4)*N1000/(1+M1000)^10+$I$9-$I$10)/$I$11</f>
        <v/>
      </c>
    </row>
    <row r="1001">
      <c r="K1001" s="25">
        <f>MAX(-0.05,NORMINV(RAND(),$C$6,$D$6))</f>
        <v/>
      </c>
      <c r="L1001" s="25">
        <f>MAX(0.02,NORMINV(RAND(),$C$7,$D$7))</f>
        <v/>
      </c>
      <c r="M1001" s="25">
        <f>MIN(0.16,MAX(0.05,NORMINV(RAND(),$C$8,$D$8)))</f>
        <v/>
      </c>
      <c r="N1001" s="26">
        <f>MIN(24,MAX(5,NORMINV(RAND(),$C$9,$D$9)))</f>
        <v/>
      </c>
      <c r="O1001" s="49">
        <f>$I$8*(SUMPRODUCT(($I$2*(1+K1001)^{1;2;3;4;5;6;7;8;9;10})*(($I$3+(L1001-$I$3)*{1;2;3;4;5;6;7;8;9;10}/10)*(1-$I$7)+$I$4-$I$4*($I$5+(1.05-$I$5)*{1;2;3;4;5;6;7;8;9;10}/10)-(K1001/(1+K1001))*$I$6)/(1+M1001)^{1;2;3;4;5;6;7;8;9;10})+$I$2*(1+K1001)^10*(L1001+$I$4)*N1001/(1+M1001)^10+$I$9-$I$10)/$I$11</f>
        <v/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2026-07-08T07:03:28Z</dcterms:created>
  <dcterms:modified xmlns:dcterms="http://purl.org/dc/terms/" xmlns:xsi="http://www.w3.org/2001/XMLSchema-instance" xsi:type="dcterms:W3CDTF">2026-07-08T07:03:29Z</dcterms:modified>
</cp:coreProperties>
</file>