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26.0%</t>
      </text>
    </comment>
    <comment ref="C20" authorId="0" shapeId="0">
      <text>
        <t>Opus: 4.0%</t>
      </text>
    </comment>
    <comment ref="B21" authorId="0" shapeId="0">
      <text>
        <t>Opus: 9.0%</t>
      </text>
    </comment>
    <comment ref="C21" authorId="0" shapeId="0">
      <text>
        <t>Opus: 3.0%</t>
      </text>
    </comment>
    <comment ref="B22" authorId="0" shapeId="0">
      <text>
        <t>Opus: 20.0%</t>
      </text>
    </comment>
    <comment ref="C22" authorId="0" shapeId="0">
      <text>
        <t>Opus: 3.0%</t>
      </text>
    </comment>
    <comment ref="B23" authorId="0" shapeId="0">
      <text>
        <t>Opus: 12.0%</t>
      </text>
    </comment>
    <comment ref="C23" authorId="0" shapeId="0">
      <text>
        <t>Opus: 3.0%</t>
      </text>
    </comment>
    <comment ref="B29" authorId="0" shapeId="0">
      <text>
        <t>Opus: 5.0%</t>
      </text>
    </comment>
    <comment ref="B30" authorId="0" shapeId="0">
      <text>
        <t>Opus: 22.0%</t>
      </text>
    </comment>
    <comment ref="B31" authorId="0" shapeId="0">
      <text>
        <t>Opus: 21.0%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2026-06-12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EV/Sales</t>
      </text>
    </comment>
    <comment ref="B45" authorId="0" shapeId="0">
      <text>
        <t>Opus: 6.0x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Confluent, Inc. (CFLT)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2025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Confluent is a data-streaming platform whose Cloud segment (now ~53% of revenue, growing ~27%) is the primary value driver, augmented by Flink stream-processing attach. Consolidated growth fades from low-20s% toward a mature ~4% as the streaming-infrastructure market saturates and the legacy License/Support mix shrinks in proportion. The company transitions from GAAP-negative operating margins (-30.9% in FY2025) to durable mid-20s% margins as non-GAAP profitability scales and operating leverage on R&amp;D and S&amp;M kicks in.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Confluent, Inc. (CFLT)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IF(Model!F40&lt;=0,"n/a (neg. capital)",Model!G42-WACC!B15)</f>
        <v/>
      </c>
      <c r="C15" s="10">
        <f>IF(Model!F40&lt;=0,"n/a",IF(Model!G42-WACC!B15&lt;0,"!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Confluent Cloud</t>
        </is>
      </c>
      <c r="B20" s="15" t="n">
        <v>0.26</v>
      </c>
      <c r="C20" s="15" t="n">
        <v>0.04</v>
      </c>
      <c r="D20" s="16" t="n">
        <v>0.26</v>
      </c>
      <c r="E20" s="2" t="inlineStr"/>
    </row>
    <row r="21">
      <c r="A21" s="4" t="inlineStr">
        <is>
          <t>Post Contract Customer Support</t>
        </is>
      </c>
      <c r="B21" s="15" t="n">
        <v>0.09</v>
      </c>
      <c r="C21" s="15" t="n">
        <v>0.03</v>
      </c>
      <c r="D21" s="16" t="n">
        <v>0.09</v>
      </c>
      <c r="E21" s="2" t="inlineStr"/>
    </row>
    <row r="22">
      <c r="A22" s="4" t="inlineStr">
        <is>
          <t>License</t>
        </is>
      </c>
      <c r="B22" s="15" t="n">
        <v>0.2</v>
      </c>
      <c r="C22" s="15" t="n">
        <v>0.03</v>
      </c>
      <c r="D22" s="16" t="n">
        <v>0.2</v>
      </c>
      <c r="E22" s="2" t="inlineStr"/>
    </row>
    <row r="23">
      <c r="A23" s="4" t="inlineStr">
        <is>
          <t>Service</t>
        </is>
      </c>
      <c r="B23" s="15" t="n">
        <v>0.12</v>
      </c>
      <c r="C23" s="15" t="n">
        <v>0.03</v>
      </c>
      <c r="D23" s="16" t="n">
        <v>0.12</v>
      </c>
      <c r="E23" s="2" t="inlineStr"/>
    </row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0.05</v>
      </c>
      <c r="D29" s="16" t="n">
        <v>0.05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20.456877495</v>
      </c>
      <c r="D34" s="18" t="n">
        <v>20.456877495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0.949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EV/Sales</t>
        </is>
      </c>
    </row>
    <row r="45">
      <c r="A45" s="4" t="inlineStr">
        <is>
          <t>Exit multiple</t>
        </is>
      </c>
      <c r="B45" s="19" t="n">
        <v>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30.99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22.14222369811305</v>
      </c>
      <c r="C58" s="28" t="n">
        <v>34.85792662374777</v>
      </c>
      <c r="D58" s="28" t="n">
        <v>12.26588088829715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0.3405405451734222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0.2043243271040533</v>
      </c>
      <c r="E66" s="2" t="inlineStr">
        <is>
          <t>fades near-&gt;terminal; also burdens the exit-multiple EBITDA</t>
        </is>
      </c>
    </row>
  </sheetData>
  <conditionalFormatting sqref="B20:B23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CFLT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Confluent is a data-streaming platform whose Cloud segment (now ~53% of revenue, growing ~27%) is the primary value driver, augmented by Flink stream-processing attach. Consolidated growth fades from low-20s% toward a mature ~4% as the streaming-infrastructure market saturates and the legacy License/Support mix shrinks in proportion. The company transitions from GAAP-negative operating margins (-30.9% in FY2025) to durable mid-20s% margins as non-GAAP profitability scales and operating leverage on R&amp;D and S&amp;M kicks in.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margins are anchored to the inflection toward GAAP breakeven implied by consensus net income (~$179M on $1.36B in 2026), so I set a modest +5% near-term operating margin rather than the still-negative GAAP print, then fade to a 22% mature software margin. Cloud growth is held near its current 27% before fading, while License's 35% YoY is treated as noisy and faded faster given secular cloud migration. A 6x mature EV/Sales exit reflects a decelerated, profitable infrastructure-SaaS comp rather than today's higher-growth multiple, and capex stays low (~1.5% of revenue) converging to ~1.1x D&amp;A given the asset-light, cloud-hosted model.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Confluent Cloud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26.0%</t>
        </is>
      </c>
      <c r="F20" s="31" t="inlineStr"/>
    </row>
    <row r="21">
      <c r="A21" t="inlineStr">
        <is>
          <t>Confluent Cloud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Post Contract Customer Support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9.0%</t>
        </is>
      </c>
      <c r="F22" s="31" t="inlineStr"/>
    </row>
    <row r="23">
      <c r="A23" t="inlineStr">
        <is>
          <t>Post Contract Customer Support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3.0%</t>
        </is>
      </c>
      <c r="F23" s="31" t="inlineStr"/>
    </row>
    <row r="24">
      <c r="A24" t="inlineStr">
        <is>
          <t>License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20.0%</t>
        </is>
      </c>
      <c r="F24" s="31" t="inlineStr"/>
    </row>
    <row r="25">
      <c r="A25" t="inlineStr">
        <is>
          <t>License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Service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12.0%</t>
        </is>
      </c>
      <c r="F26" s="31" t="inlineStr"/>
    </row>
    <row r="27">
      <c r="A27" t="inlineStr">
        <is>
          <t>Service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3.0%</t>
        </is>
      </c>
      <c r="F27" s="31" t="inlineStr"/>
    </row>
    <row r="28">
      <c r="A28" t="inlineStr">
        <is>
          <t>Near-term operating margin</t>
        </is>
      </c>
      <c r="B28" t="inlineStr">
        <is>
          <t>B29</t>
        </is>
      </c>
      <c r="C28" s="11">
        <f>Dashboard!B29</f>
        <v/>
      </c>
      <c r="D28" t="inlineStr">
        <is>
          <t>Opus</t>
        </is>
      </c>
      <c r="E28" t="inlineStr">
        <is>
          <t>5.0%</t>
        </is>
      </c>
      <c r="F28" s="31" t="inlineStr"/>
    </row>
    <row r="29">
      <c r="A29" t="inlineStr">
        <is>
          <t>Terminal operating margin</t>
        </is>
      </c>
      <c r="B29" t="inlineStr">
        <is>
          <t>B30</t>
        </is>
      </c>
      <c r="C29" s="11">
        <f>Dashboard!B30</f>
        <v/>
      </c>
      <c r="D29" t="inlineStr">
        <is>
          <t>Opus</t>
        </is>
      </c>
      <c r="E29" t="inlineStr">
        <is>
          <t>22.0%</t>
        </is>
      </c>
      <c r="F29" s="31" t="inlineStr"/>
    </row>
    <row r="30">
      <c r="A30" t="inlineStr">
        <is>
          <t>Tax rate</t>
        </is>
      </c>
      <c r="B30" t="inlineStr">
        <is>
          <t>B31</t>
        </is>
      </c>
      <c r="C30" s="11">
        <f>Dashboard!B31</f>
        <v/>
      </c>
      <c r="D30" t="inlineStr">
        <is>
          <t>Opus</t>
        </is>
      </c>
      <c r="E30" t="inlineStr">
        <is>
          <t>21.0%</t>
        </is>
      </c>
      <c r="F30" s="31" t="inlineStr"/>
    </row>
    <row r="31">
      <c r="A31" t="inlineStr">
        <is>
          <t>Terminal capex / D&amp;A</t>
        </is>
      </c>
      <c r="B31" t="inlineStr">
        <is>
          <t>B35</t>
        </is>
      </c>
      <c r="C31" s="13">
        <f>Dashboard!B35</f>
        <v/>
      </c>
      <c r="D31" s="32" t="inlineStr">
        <is>
          <t>user-edited</t>
        </is>
      </c>
      <c r="E31" t="inlineStr">
        <is>
          <t>1.1x</t>
        </is>
      </c>
      <c r="F31" s="31" t="inlineStr">
        <is>
          <t>overridden from Opus 1.1x on 2026-06-12</t>
        </is>
      </c>
    </row>
    <row r="32">
      <c r="A32" t="inlineStr">
        <is>
          <t>Risk-free rate (10Y)</t>
        </is>
      </c>
      <c r="B32" t="inlineStr">
        <is>
          <t>B38</t>
        </is>
      </c>
      <c r="C32" s="11">
        <f>Dashboard!B38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Equity risk premium</t>
        </is>
      </c>
      <c r="B33" t="inlineStr">
        <is>
          <t>B39</t>
        </is>
      </c>
      <c r="C33" s="11">
        <f>Dashboard!B39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Beta (levered)</t>
        </is>
      </c>
      <c r="B34" t="inlineStr">
        <is>
          <t>B40</t>
        </is>
      </c>
      <c r="C34" s="33">
        <f>Dashboard!B40</f>
        <v/>
      </c>
      <c r="D34" t="inlineStr">
        <is>
          <t>builder default</t>
        </is>
      </c>
      <c r="E34" t="inlineStr">
        <is>
          <t>—</t>
        </is>
      </c>
      <c r="F34" s="31" t="inlineStr"/>
    </row>
    <row r="35">
      <c r="A35" t="inlineStr">
        <is>
          <t>Pre-tax cost of debt</t>
        </is>
      </c>
      <c r="B35" t="inlineStr">
        <is>
          <t>B41</t>
        </is>
      </c>
      <c r="C35" s="11">
        <f>Dashboard!B41</f>
        <v/>
      </c>
      <c r="D35" t="inlineStr">
        <is>
          <t>builder default</t>
        </is>
      </c>
      <c r="E35" t="inlineStr">
        <is>
          <t>—</t>
        </is>
      </c>
      <c r="F35" s="31" t="inlineStr"/>
    </row>
    <row r="36">
      <c r="A36" t="inlineStr">
        <is>
          <t>Terminal method</t>
        </is>
      </c>
      <c r="B36" t="inlineStr">
        <is>
          <t>B43</t>
        </is>
      </c>
      <c r="C36" s="12">
        <f>Dashboard!B43</f>
        <v/>
      </c>
      <c r="D36" t="inlineStr">
        <is>
          <t>Opus</t>
        </is>
      </c>
      <c r="E36" t="inlineStr">
        <is>
          <t>Exit multiple</t>
        </is>
      </c>
      <c r="F36" s="31" t="inlineStr"/>
    </row>
    <row r="37">
      <c r="A37" t="inlineStr">
        <is>
          <t>Exit basis</t>
        </is>
      </c>
      <c r="B37" t="inlineStr">
        <is>
          <t>B44</t>
        </is>
      </c>
      <c r="C37" s="12">
        <f>Dashboard!B44</f>
        <v/>
      </c>
      <c r="D37" t="inlineStr">
        <is>
          <t>Opus</t>
        </is>
      </c>
      <c r="E37" t="inlineStr">
        <is>
          <t>EV/Sales</t>
        </is>
      </c>
      <c r="F37" s="31" t="inlineStr"/>
    </row>
    <row r="38">
      <c r="A38" t="inlineStr">
        <is>
          <t>Exit multiple</t>
        </is>
      </c>
      <c r="B38" t="inlineStr">
        <is>
          <t>B45</t>
        </is>
      </c>
      <c r="C38" s="13">
        <f>Dashboard!B45</f>
        <v/>
      </c>
      <c r="D38" t="inlineStr">
        <is>
          <t>Opus</t>
        </is>
      </c>
      <c r="E38" t="inlineStr">
        <is>
          <t>6.0x</t>
        </is>
      </c>
      <c r="F38" s="31" t="inlineStr"/>
    </row>
    <row r="39">
      <c r="A39" t="inlineStr">
        <is>
          <t>Terminal growth (g)</t>
        </is>
      </c>
      <c r="B39" t="inlineStr">
        <is>
          <t>B46</t>
        </is>
      </c>
      <c r="C39" s="11">
        <f>Dashboard!B46</f>
        <v/>
      </c>
      <c r="D39" t="inlineStr">
        <is>
          <t>Opus</t>
        </is>
      </c>
      <c r="E39" t="inlineStr">
        <is>
          <t>4.0%</t>
        </is>
      </c>
      <c r="F39" s="31" t="inlineStr"/>
    </row>
    <row r="40">
      <c r="A40" t="inlineStr">
        <is>
          <t>2026 capex ($M)</t>
        </is>
      </c>
      <c r="B40" t="inlineStr">
        <is>
          <t>B34</t>
        </is>
      </c>
      <c r="C40" s="34">
        <f>Dashboard!B34</f>
        <v/>
      </c>
      <c r="D40" t="inlineStr">
        <is>
          <t>Opus</t>
        </is>
      </c>
      <c r="E40" t="inlineStr">
        <is>
          <t>—</t>
        </is>
      </c>
      <c r="F40" s="31" t="inlineStr">
        <is>
          <t>set from Opus 2% of FY1E revenue; edits not tracked (unit differs from the JSON)</t>
        </is>
      </c>
    </row>
    <row r="41">
      <c r="A41" t="inlineStr">
        <is>
          <t>Bull Δ — segment growth, near-term</t>
        </is>
      </c>
      <c r="B41" t="inlineStr">
        <is>
          <t>C52</t>
        </is>
      </c>
      <c r="C41" s="35">
        <f>Dashboard!C52</f>
        <v/>
      </c>
      <c r="D41" t="inlineStr">
        <is>
          <t>seed default</t>
        </is>
      </c>
      <c r="E41" t="inlineStr">
        <is>
          <t>3.0%</t>
        </is>
      </c>
      <c r="F41" s="31" t="inlineStr"/>
    </row>
    <row r="42">
      <c r="A42" t="inlineStr">
        <is>
          <t>Bear Δ — segment growth, near-term</t>
        </is>
      </c>
      <c r="B42" t="inlineStr">
        <is>
          <t>D52</t>
        </is>
      </c>
      <c r="C42" s="35">
        <f>Dashboard!D52</f>
        <v/>
      </c>
      <c r="D42" t="inlineStr">
        <is>
          <t>seed default</t>
        </is>
      </c>
      <c r="E42" t="inlineStr">
        <is>
          <t>-3.0%</t>
        </is>
      </c>
      <c r="F42" s="31" t="inlineStr"/>
    </row>
    <row r="43">
      <c r="A43" t="inlineStr">
        <is>
          <t>Bull Δ — segment growth, terminal</t>
        </is>
      </c>
      <c r="B43" t="inlineStr">
        <is>
          <t>C53</t>
        </is>
      </c>
      <c r="C43" s="35">
        <f>Dashboard!C53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segment growth, terminal</t>
        </is>
      </c>
      <c r="B44" t="inlineStr">
        <is>
          <t>D53</t>
        </is>
      </c>
      <c r="C44" s="35">
        <f>Dashboard!D53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near-term</t>
        </is>
      </c>
      <c r="B45" t="inlineStr">
        <is>
          <t>C54</t>
        </is>
      </c>
      <c r="C45" s="35">
        <f>Dashboard!C54</f>
        <v/>
      </c>
      <c r="D45" t="inlineStr">
        <is>
          <t>seed default</t>
        </is>
      </c>
      <c r="E45" t="inlineStr">
        <is>
          <t>1.0%</t>
        </is>
      </c>
      <c r="F45" s="31" t="inlineStr"/>
    </row>
    <row r="46">
      <c r="A46" t="inlineStr">
        <is>
          <t>Bear Δ — operating margin, near-term</t>
        </is>
      </c>
      <c r="B46" t="inlineStr">
        <is>
          <t>D54</t>
        </is>
      </c>
      <c r="C46" s="35">
        <f>Dashboard!D54</f>
        <v/>
      </c>
      <c r="D46" t="inlineStr">
        <is>
          <t>seed default</t>
        </is>
      </c>
      <c r="E46" t="inlineStr">
        <is>
          <t>-1.0%</t>
        </is>
      </c>
      <c r="F46" s="31" t="inlineStr"/>
    </row>
    <row r="47">
      <c r="A47" t="inlineStr">
        <is>
          <t>Bull Δ — operating margin, terminal</t>
        </is>
      </c>
      <c r="B47" t="inlineStr">
        <is>
          <t>C55</t>
        </is>
      </c>
      <c r="C47" s="35">
        <f>Dashboard!C55</f>
        <v/>
      </c>
      <c r="D47" t="inlineStr">
        <is>
          <t>seed default</t>
        </is>
      </c>
      <c r="E47" t="inlineStr">
        <is>
          <t>2.0%</t>
        </is>
      </c>
      <c r="F47" s="31" t="inlineStr"/>
    </row>
    <row r="48">
      <c r="A48" t="inlineStr">
        <is>
          <t>Bear Δ — operating margin, terminal</t>
        </is>
      </c>
      <c r="B48" t="inlineStr">
        <is>
          <t>D55</t>
        </is>
      </c>
      <c r="C48" s="35">
        <f>Dashboard!D55</f>
        <v/>
      </c>
      <c r="D48" t="inlineStr">
        <is>
          <t>seed default</t>
        </is>
      </c>
      <c r="E48" t="inlineStr">
        <is>
          <t>-2.0%</t>
        </is>
      </c>
      <c r="F48" s="31" t="inlineStr"/>
    </row>
    <row r="49">
      <c r="A49" t="inlineStr">
        <is>
          <t>Bull Δ — exit multiple</t>
        </is>
      </c>
      <c r="B49" t="inlineStr">
        <is>
          <t>C56</t>
        </is>
      </c>
      <c r="C49" s="36">
        <f>Dashboard!C56</f>
        <v/>
      </c>
      <c r="D49" t="inlineStr">
        <is>
          <t>seed default</t>
        </is>
      </c>
      <c r="E49" t="inlineStr">
        <is>
          <t>2.0x</t>
        </is>
      </c>
      <c r="F49" s="31" t="inlineStr"/>
    </row>
    <row r="50">
      <c r="A50" t="inlineStr">
        <is>
          <t>Bear Δ — exit multiple</t>
        </is>
      </c>
      <c r="B50" t="inlineStr">
        <is>
          <t>D56</t>
        </is>
      </c>
      <c r="C50" s="36">
        <f>Dashboard!D56</f>
        <v/>
      </c>
      <c r="D50" t="inlineStr">
        <is>
          <t>seed default</t>
        </is>
      </c>
      <c r="E50" t="inlineStr">
        <is>
          <t>-2.0x</t>
        </is>
      </c>
      <c r="F50" s="31" t="inlineStr"/>
    </row>
    <row r="51">
      <c r="A51" t="inlineStr">
        <is>
          <t>Bull Δ — terminal growth (g)</t>
        </is>
      </c>
      <c r="B51" t="inlineStr">
        <is>
          <t>C57</t>
        </is>
      </c>
      <c r="C51" s="35">
        <f>Dashboard!C57</f>
        <v/>
      </c>
      <c r="D51" t="inlineStr">
        <is>
          <t>seed default</t>
        </is>
      </c>
      <c r="E51" t="inlineStr">
        <is>
          <t>0.5%</t>
        </is>
      </c>
      <c r="F51" s="31" t="inlineStr"/>
    </row>
    <row r="52">
      <c r="A52" t="inlineStr">
        <is>
          <t>Bear Δ — terminal growth (g)</t>
        </is>
      </c>
      <c r="B52" t="inlineStr">
        <is>
          <t>D57</t>
        </is>
      </c>
      <c r="C52" s="35">
        <f>Dashboard!D57</f>
        <v/>
      </c>
      <c r="D52" t="inlineStr">
        <is>
          <t>seed default</t>
        </is>
      </c>
      <c r="E52" t="inlineStr">
        <is>
          <t>-0.5%</t>
        </is>
      </c>
      <c r="F52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Dashboard!$B$48*Financials!Y17</f>
        <v/>
      </c>
    </row>
    <row r="11">
      <c r="A11" s="4" t="inlineStr">
        <is>
          <t>Total debt (D)</t>
        </is>
      </c>
      <c r="B11" s="34">
        <f>Financials!Y44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Confluent Cloud</t>
        </is>
      </c>
      <c r="B4" s="34">
        <f>SUM(Financials!F19:I19)</f>
        <v/>
      </c>
      <c r="C4" s="34">
        <f>SUM(Financials!J19:M19)</f>
        <v/>
      </c>
      <c r="D4" s="34">
        <f>SUM(Financials!N19:Q19)</f>
        <v/>
      </c>
      <c r="E4" s="34">
        <f>SUM(Financials!R19:U19)</f>
        <v/>
      </c>
      <c r="F4" s="34">
        <f>SUM(Financials!V19:Y19)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Post Contract Customer Support</t>
        </is>
      </c>
      <c r="B6" s="34">
        <f>SUM(Financials!F22:I22)</f>
        <v/>
      </c>
      <c r="C6" s="34">
        <f>SUM(Financials!J22:M22)</f>
        <v/>
      </c>
      <c r="D6" s="34">
        <f>SUM(Financials!N22:Q22)</f>
        <v/>
      </c>
      <c r="E6" s="34">
        <f>SUM(Financials!R22:U22)</f>
        <v/>
      </c>
      <c r="F6" s="34">
        <f>SUM(Financials!V22:Y22)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License</t>
        </is>
      </c>
      <c r="B8" s="34">
        <f>SUM(Financials!F25:I25)</f>
        <v/>
      </c>
      <c r="C8" s="34">
        <f>SUM(Financials!J25:M25)</f>
        <v/>
      </c>
      <c r="D8" s="34">
        <f>SUM(Financials!N25:Q25)</f>
        <v/>
      </c>
      <c r="E8" s="34">
        <f>SUM(Financials!R25:U25)</f>
        <v/>
      </c>
      <c r="F8" s="34">
        <f>SUM(Financials!V25:Y25)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Service</t>
        </is>
      </c>
      <c r="B10" s="34">
        <f>SUM(Financials!F28:I28)</f>
        <v/>
      </c>
      <c r="C10" s="34">
        <f>SUM(Financials!J28:M28)</f>
        <v/>
      </c>
      <c r="D10" s="34">
        <f>SUM(Financials!N28:Q28)</f>
        <v/>
      </c>
      <c r="E10" s="34">
        <f>SUM(Financials!R28:U28)</f>
        <v/>
      </c>
      <c r="F10" s="34">
        <f>SUM(Financials!V28:Y28)</f>
        <v/>
      </c>
      <c r="G10" s="42">
        <f>F10*(1+G11)</f>
        <v/>
      </c>
      <c r="H10" s="42">
        <f>G10*(1+H11)</f>
        <v/>
      </c>
      <c r="I10" s="42">
        <f>H10*(1+I11)</f>
        <v/>
      </c>
      <c r="J10" s="42">
        <f>I10*(1+J11)</f>
        <v/>
      </c>
      <c r="K10" s="42">
        <f>J10*(1+K11)</f>
        <v/>
      </c>
      <c r="L10" s="42">
        <f>K10*(1+L11)</f>
        <v/>
      </c>
      <c r="M10" s="42">
        <f>L10*(1+M11)</f>
        <v/>
      </c>
      <c r="N10" s="42">
        <f>M10*(1+N11)</f>
        <v/>
      </c>
      <c r="O10" s="42">
        <f>N10*(1+O11)</f>
        <v/>
      </c>
      <c r="P10" s="42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3" t="inlineStr">
        <is>
          <t>Total revenue</t>
        </is>
      </c>
      <c r="B12" s="43">
        <f>B4+B6+B8+B10</f>
        <v/>
      </c>
      <c r="C12" s="43">
        <f>C4+C6+C8+C10</f>
        <v/>
      </c>
      <c r="D12" s="43">
        <f>D4+D6+D8+D10</f>
        <v/>
      </c>
      <c r="E12" s="43">
        <f>E4+E6+E8+E10</f>
        <v/>
      </c>
      <c r="F12" s="43">
        <f>F4+F6+F8+F10</f>
        <v/>
      </c>
      <c r="G12" s="43">
        <f>G4+G6+G8+G10</f>
        <v/>
      </c>
      <c r="H12" s="43">
        <f>H4+H6+H8+H10</f>
        <v/>
      </c>
      <c r="I12" s="43">
        <f>I4+I6+I8+I10</f>
        <v/>
      </c>
      <c r="J12" s="43">
        <f>J4+J6+J8+J10</f>
        <v/>
      </c>
      <c r="K12" s="43">
        <f>K4+K6+K8+K10</f>
        <v/>
      </c>
      <c r="L12" s="43">
        <f>L4+L6+L8+L10</f>
        <v/>
      </c>
      <c r="M12" s="43">
        <f>M4+M6+M8+M10</f>
        <v/>
      </c>
      <c r="N12" s="43">
        <f>N4+N6+N8+N10</f>
        <v/>
      </c>
      <c r="O12" s="43">
        <f>O4+O6+O8+O10</f>
        <v/>
      </c>
      <c r="P12" s="43">
        <f>P4+P6+P8+P10</f>
        <v/>
      </c>
    </row>
    <row r="13">
      <c r="A13" s="4" t="inlineStr">
        <is>
          <t xml:space="preserve">    growth %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25">
        <f>IFERROR(G12/F12-1,"")</f>
        <v/>
      </c>
      <c r="H13" s="25">
        <f>IFERROR(H12/G12-1,"")</f>
        <v/>
      </c>
      <c r="I13" s="25">
        <f>IFERROR(I12/H12-1,"")</f>
        <v/>
      </c>
      <c r="J13" s="25">
        <f>IFERROR(J12/I12-1,"")</f>
        <v/>
      </c>
      <c r="K13" s="25">
        <f>IFERROR(K12/J12-1,"")</f>
        <v/>
      </c>
      <c r="L13" s="25">
        <f>IFERROR(L12/K12-1,"")</f>
        <v/>
      </c>
      <c r="M13" s="25">
        <f>IFERROR(M12/L12-1,"")</f>
        <v/>
      </c>
      <c r="N13" s="25">
        <f>IFERROR(N12/M12-1,"")</f>
        <v/>
      </c>
      <c r="O13" s="25">
        <f>IFERROR(O12/N12-1,"")</f>
        <v/>
      </c>
      <c r="P13" s="25">
        <f>IFERROR(P12/O12-1,"")</f>
        <v/>
      </c>
    </row>
    <row r="15">
      <c r="A15" s="5" t="inlineStr">
        <is>
          <t xml:space="preserve">  COST STRUCTURE (yellow = % of revenue)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4" t="inlineStr">
        <is>
          <t>Cost of revenue</t>
        </is>
      </c>
      <c r="B16" s="34">
        <f>SUM(Financials!F5:I5)</f>
        <v/>
      </c>
      <c r="C16" s="34">
        <f>SUM(Financials!J5:M5)</f>
        <v/>
      </c>
      <c r="D16" s="34">
        <f>SUM(Financials!N5:Q5)</f>
        <v/>
      </c>
      <c r="E16" s="34">
        <f>SUM(Financials!R5:U5)</f>
        <v/>
      </c>
      <c r="F16" s="34">
        <f>SUM(Financials!V5:Y5)</f>
        <v/>
      </c>
      <c r="G16" s="42">
        <f>G12*G17</f>
        <v/>
      </c>
      <c r="H16" s="42">
        <f>H12*H17</f>
        <v/>
      </c>
      <c r="I16" s="42">
        <f>I12*I17</f>
        <v/>
      </c>
      <c r="J16" s="42">
        <f>J12*J17</f>
        <v/>
      </c>
      <c r="K16" s="42">
        <f>K12*K17</f>
        <v/>
      </c>
      <c r="L16" s="42">
        <f>L12*L17</f>
        <v/>
      </c>
      <c r="M16" s="42">
        <f>M12*M17</f>
        <v/>
      </c>
      <c r="N16" s="42">
        <f>N12*N17</f>
        <v/>
      </c>
      <c r="O16" s="42">
        <f>O12*O17</f>
        <v/>
      </c>
      <c r="P16" s="42">
        <f>P12*P17</f>
        <v/>
      </c>
    </row>
    <row r="17">
      <c r="A17" s="4" t="inlineStr">
        <is>
          <t xml:space="preserve">    % of revenue</t>
        </is>
      </c>
      <c r="B17" s="25">
        <f>IFERROR(B16/B12,"")</f>
        <v/>
      </c>
      <c r="C17" s="25">
        <f>IFERROR(C16/C12,"")</f>
        <v/>
      </c>
      <c r="D17" s="25">
        <f>IFERROR(D16/D12,"")</f>
        <v/>
      </c>
      <c r="E17" s="25">
        <f>IFERROR(E16/E12,"")</f>
        <v/>
      </c>
      <c r="F17" s="25">
        <f>IFERROR(F16/F12,"")</f>
        <v/>
      </c>
      <c r="G17" s="15" t="n">
        <v>0.2570469372992283</v>
      </c>
      <c r="H17" s="15" t="n">
        <v>0.2570469372992283</v>
      </c>
      <c r="I17" s="15" t="n">
        <v>0.2570469372992283</v>
      </c>
      <c r="J17" s="15" t="n">
        <v>0.2570469372992283</v>
      </c>
      <c r="K17" s="15" t="n">
        <v>0.2570469372992283</v>
      </c>
      <c r="L17" s="15" t="n">
        <v>0.2570469372992283</v>
      </c>
      <c r="M17" s="15" t="n">
        <v>0.2570469372992283</v>
      </c>
      <c r="N17" s="15" t="n">
        <v>0.2570469372992283</v>
      </c>
      <c r="O17" s="15" t="n">
        <v>0.2570469372992283</v>
      </c>
      <c r="P17" s="15" t="n">
        <v>0.2570469372992283</v>
      </c>
    </row>
    <row r="18">
      <c r="A18" s="4" t="inlineStr">
        <is>
          <t>R&amp;D / Technology</t>
        </is>
      </c>
      <c r="B18" s="34">
        <f>SUM(Financials!F7:I7)</f>
        <v/>
      </c>
      <c r="C18" s="34">
        <f>SUM(Financials!J7:M7)</f>
        <v/>
      </c>
      <c r="D18" s="34">
        <f>SUM(Financials!N7:Q7)</f>
        <v/>
      </c>
      <c r="E18" s="34">
        <f>SUM(Financials!R7:U7)</f>
        <v/>
      </c>
      <c r="F18" s="34">
        <f>SUM(Financials!V7:Y7)</f>
        <v/>
      </c>
      <c r="G18" s="42">
        <f>G12*G19</f>
        <v/>
      </c>
      <c r="H18" s="42">
        <f>H12*H19</f>
        <v/>
      </c>
      <c r="I18" s="42">
        <f>I12*I19</f>
        <v/>
      </c>
      <c r="J18" s="42">
        <f>J12*J19</f>
        <v/>
      </c>
      <c r="K18" s="42">
        <f>K12*K19</f>
        <v/>
      </c>
      <c r="L18" s="42">
        <f>L12*L19</f>
        <v/>
      </c>
      <c r="M18" s="42">
        <f>M12*M19</f>
        <v/>
      </c>
      <c r="N18" s="42">
        <f>N12*N19</f>
        <v/>
      </c>
      <c r="O18" s="42">
        <f>O12*O19</f>
        <v/>
      </c>
      <c r="P18" s="42">
        <f>P12*P19</f>
        <v/>
      </c>
    </row>
    <row r="19">
      <c r="A19" s="4" t="inlineStr">
        <is>
          <t xml:space="preserve">    % of revenue</t>
        </is>
      </c>
      <c r="B19" s="25">
        <f>IFERROR(B18/B12,"")</f>
        <v/>
      </c>
      <c r="C19" s="25">
        <f>IFERROR(C18/C12,"")</f>
        <v/>
      </c>
      <c r="D19" s="25">
        <f>IFERROR(D18/D12,"")</f>
        <v/>
      </c>
      <c r="E19" s="25">
        <f>IFERROR(E18/E12,"")</f>
        <v/>
      </c>
      <c r="F19" s="25">
        <f>IFERROR(F18/F12,"")</f>
        <v/>
      </c>
      <c r="G19" s="15" t="n">
        <v>0.4067605001251341</v>
      </c>
      <c r="H19" s="15" t="n">
        <v>0.4067605001251341</v>
      </c>
      <c r="I19" s="15" t="n">
        <v>0.4067605001251341</v>
      </c>
      <c r="J19" s="15" t="n">
        <v>0.4067605001251341</v>
      </c>
      <c r="K19" s="15" t="n">
        <v>0.4067605001251341</v>
      </c>
      <c r="L19" s="15" t="n">
        <v>0.4067605001251341</v>
      </c>
      <c r="M19" s="15" t="n">
        <v>0.4067605001251341</v>
      </c>
      <c r="N19" s="15" t="n">
        <v>0.4067605001251341</v>
      </c>
      <c r="O19" s="15" t="n">
        <v>0.4067605001251341</v>
      </c>
      <c r="P19" s="15" t="n">
        <v>0.4067605001251341</v>
      </c>
    </row>
    <row r="20">
      <c r="A20" s="4" t="inlineStr">
        <is>
          <t>SG&amp;A</t>
        </is>
      </c>
      <c r="B20" s="34">
        <f>SUM(Financials!F9:I9)</f>
        <v/>
      </c>
      <c r="C20" s="34">
        <f>SUM(Financials!J9:M9)</f>
        <v/>
      </c>
      <c r="D20" s="34">
        <f>SUM(Financials!N9:Q9)</f>
        <v/>
      </c>
      <c r="E20" s="34">
        <f>SUM(Financials!R9:U9)</f>
        <v/>
      </c>
      <c r="F20" s="34">
        <f>SUM(Financials!V9:Y9)</f>
        <v/>
      </c>
      <c r="G20" s="42">
        <f>G12*G21</f>
        <v/>
      </c>
      <c r="H20" s="42">
        <f>H12*H21</f>
        <v/>
      </c>
      <c r="I20" s="42">
        <f>I12*I21</f>
        <v/>
      </c>
      <c r="J20" s="42">
        <f>J12*J21</f>
        <v/>
      </c>
      <c r="K20" s="42">
        <f>K12*K21</f>
        <v/>
      </c>
      <c r="L20" s="42">
        <f>L12*L21</f>
        <v/>
      </c>
      <c r="M20" s="42">
        <f>M12*M21</f>
        <v/>
      </c>
      <c r="N20" s="42">
        <f>N12*N21</f>
        <v/>
      </c>
      <c r="O20" s="42">
        <f>O12*O21</f>
        <v/>
      </c>
      <c r="P20" s="42">
        <f>P12*P21</f>
        <v/>
      </c>
    </row>
    <row r="21">
      <c r="A21" s="4" t="inlineStr">
        <is>
          <t xml:space="preserve">    % of revenue</t>
        </is>
      </c>
      <c r="B21" s="25">
        <f>IFERROR(B20/B12,"")</f>
        <v/>
      </c>
      <c r="C21" s="25">
        <f>IFERROR(C20/C12,"")</f>
        <v/>
      </c>
      <c r="D21" s="25">
        <f>IFERROR(D20/D12,"")</f>
        <v/>
      </c>
      <c r="E21" s="25">
        <f>IFERROR(E20/E12,"")</f>
        <v/>
      </c>
      <c r="F21" s="25">
        <f>IFERROR(F20/F12,"")</f>
        <v/>
      </c>
      <c r="G21" s="15" t="n">
        <v>0.6451204544597462</v>
      </c>
      <c r="H21" s="15" t="n">
        <v>0.6451204544597462</v>
      </c>
      <c r="I21" s="15" t="n">
        <v>0.6451204544597462</v>
      </c>
      <c r="J21" s="15" t="n">
        <v>0.6451204544597462</v>
      </c>
      <c r="K21" s="15" t="n">
        <v>0.6451204544597462</v>
      </c>
      <c r="L21" s="15" t="n">
        <v>0.6451204544597462</v>
      </c>
      <c r="M21" s="15" t="n">
        <v>0.6451204544597462</v>
      </c>
      <c r="N21" s="15" t="n">
        <v>0.6451204544597462</v>
      </c>
      <c r="O21" s="15" t="n">
        <v>0.6451204544597462</v>
      </c>
      <c r="P21" s="15" t="n">
        <v>0.6451204544597462</v>
      </c>
    </row>
    <row r="22">
      <c r="A22" s="4" t="inlineStr">
        <is>
          <t>Other opex (fulfilment, etc.)</t>
        </is>
      </c>
      <c r="B22" s="34">
        <f>B12-(B16+B18+B20)-SUM(Financials!F13:I13)</f>
        <v/>
      </c>
      <c r="C22" s="34">
        <f>C12-(C16+C18+C20)-SUM(Financials!J13:M13)</f>
        <v/>
      </c>
      <c r="D22" s="34">
        <f>D12-(D16+D18+D20)-SUM(Financials!N13:Q13)</f>
        <v/>
      </c>
      <c r="E22" s="34">
        <f>E12-(E16+E18+E20)-SUM(Financials!R13:U13)</f>
        <v/>
      </c>
      <c r="F22" s="34">
        <f>F12-(F16+F18+F20)-SUM(Financials!V13:Y13)</f>
        <v/>
      </c>
      <c r="G22" s="34">
        <f>G12*(1-(Dashboard!$B$29+(Dashboard!$B$30-Dashboard!$B$29)*MIN(1,0/4)))-(G16+G18+G20)</f>
        <v/>
      </c>
      <c r="H22" s="34">
        <f>H12*(1-(Dashboard!$B$29+(Dashboard!$B$30-Dashboard!$B$29)*MIN(1,1/4)))-(H16+H18+H20)</f>
        <v/>
      </c>
      <c r="I22" s="34">
        <f>I12*(1-(Dashboard!$B$29+(Dashboard!$B$30-Dashboard!$B$29)*MIN(1,2/4)))-(I16+I18+I20)</f>
        <v/>
      </c>
      <c r="J22" s="34">
        <f>J12*(1-(Dashboard!$B$29+(Dashboard!$B$30-Dashboard!$B$29)*MIN(1,3/4)))-(J16+J18+J20)</f>
        <v/>
      </c>
      <c r="K22" s="34">
        <f>K12*(1-(Dashboard!$B$29+(Dashboard!$B$30-Dashboard!$B$29)*MIN(1,4/4)))-(K16+K18+K20)</f>
        <v/>
      </c>
      <c r="L22" s="34">
        <f>L12*(1-(Dashboard!$B$29+(Dashboard!$B$30-Dashboard!$B$29)*MIN(1,5/4)))-(L16+L18+L20)</f>
        <v/>
      </c>
      <c r="M22" s="34">
        <f>M12*(1-(Dashboard!$B$29+(Dashboard!$B$30-Dashboard!$B$29)*MIN(1,6/4)))-(M16+M18+M20)</f>
        <v/>
      </c>
      <c r="N22" s="34">
        <f>N12*(1-(Dashboard!$B$29+(Dashboard!$B$30-Dashboard!$B$29)*MIN(1,7/4)))-(N16+N18+N20)</f>
        <v/>
      </c>
      <c r="O22" s="34">
        <f>O12*(1-(Dashboard!$B$29+(Dashboard!$B$30-Dashboard!$B$29)*MIN(1,8/4)))-(O16+O18+O20)</f>
        <v/>
      </c>
      <c r="P22" s="34">
        <f>P12*(1-(Dashboard!$B$29+(Dashboard!$B$30-Dashboard!$B$29)*MIN(1,9/4)))-(P16+P18+P20)</f>
        <v/>
      </c>
    </row>
    <row r="23">
      <c r="A23" s="4" t="inlineStr">
        <is>
          <t xml:space="preserve">    % of revenue</t>
        </is>
      </c>
      <c r="B23" s="25">
        <f>IFERROR(B22/B12,"")</f>
        <v/>
      </c>
      <c r="C23" s="25">
        <f>IFERROR(C22/C12,"")</f>
        <v/>
      </c>
      <c r="D23" s="25">
        <f>IFERROR(D22/D12,"")</f>
        <v/>
      </c>
      <c r="E23" s="25">
        <f>IFERROR(E22/E12,"")</f>
        <v/>
      </c>
      <c r="F23" s="25">
        <f>IFERROR(F22/F12,"")</f>
        <v/>
      </c>
      <c r="G23" s="25">
        <f>IFERROR(G22/G12,"")</f>
        <v/>
      </c>
      <c r="H23" s="25">
        <f>IFERROR(H22/H12,"")</f>
        <v/>
      </c>
      <c r="I23" s="25">
        <f>IFERROR(I22/I12,"")</f>
        <v/>
      </c>
      <c r="J23" s="25">
        <f>IFERROR(J22/J12,"")</f>
        <v/>
      </c>
      <c r="K23" s="25">
        <f>IFERROR(K22/K12,"")</f>
        <v/>
      </c>
      <c r="L23" s="25">
        <f>IFERROR(L22/L12,"")</f>
        <v/>
      </c>
      <c r="M23" s="25">
        <f>IFERROR(M22/M12,"")</f>
        <v/>
      </c>
      <c r="N23" s="25">
        <f>IFERROR(N22/N12,"")</f>
        <v/>
      </c>
      <c r="O23" s="25">
        <f>IFERROR(O22/O12,"")</f>
        <v/>
      </c>
      <c r="P23" s="25">
        <f>IFERROR(P22/P12,"")</f>
        <v/>
      </c>
    </row>
    <row r="25">
      <c r="A25" s="3" t="inlineStr">
        <is>
          <t>Operating income (EBIT)</t>
        </is>
      </c>
      <c r="B25" s="43">
        <f>B12-(B16+B18+B20)-B22</f>
        <v/>
      </c>
      <c r="C25" s="43">
        <f>C12-(C16+C18+C20)-C22</f>
        <v/>
      </c>
      <c r="D25" s="43">
        <f>D12-(D16+D18+D20)-D22</f>
        <v/>
      </c>
      <c r="E25" s="43">
        <f>E12-(E16+E18+E20)-E22</f>
        <v/>
      </c>
      <c r="F25" s="43">
        <f>F12-(F16+F18+F20)-F22</f>
        <v/>
      </c>
      <c r="G25" s="43">
        <f>G12-(G16+G18+G20)-G22</f>
        <v/>
      </c>
      <c r="H25" s="43">
        <f>H12-(H16+H18+H20)-H22</f>
        <v/>
      </c>
      <c r="I25" s="43">
        <f>I12-(I16+I18+I20)-I22</f>
        <v/>
      </c>
      <c r="J25" s="43">
        <f>J12-(J16+J18+J20)-J22</f>
        <v/>
      </c>
      <c r="K25" s="43">
        <f>K12-(K16+K18+K20)-K22</f>
        <v/>
      </c>
      <c r="L25" s="43">
        <f>L12-(L16+L18+L20)-L22</f>
        <v/>
      </c>
      <c r="M25" s="43">
        <f>M12-(M16+M18+M20)-M22</f>
        <v/>
      </c>
      <c r="N25" s="43">
        <f>N12-(N16+N18+N20)-N22</f>
        <v/>
      </c>
      <c r="O25" s="43">
        <f>O12-(O16+O18+O20)-O22</f>
        <v/>
      </c>
      <c r="P25" s="43">
        <f>P12-(P16+P18+P20)-P22</f>
        <v/>
      </c>
    </row>
    <row r="26">
      <c r="A26" s="4" t="inlineStr">
        <is>
          <t xml:space="preserve">    operating margin</t>
        </is>
      </c>
      <c r="B26" s="25">
        <f>IFERROR(B25/B12,"")</f>
        <v/>
      </c>
      <c r="C26" s="25">
        <f>IFERROR(C25/C12,"")</f>
        <v/>
      </c>
      <c r="D26" s="25">
        <f>IFERROR(D25/D12,"")</f>
        <v/>
      </c>
      <c r="E26" s="25">
        <f>IFERROR(E25/E12,"")</f>
        <v/>
      </c>
      <c r="F26" s="25">
        <f>IFERROR(F25/F12,"")</f>
        <v/>
      </c>
      <c r="G26" s="25">
        <f>IFERROR(G25/G12,"")</f>
        <v/>
      </c>
      <c r="H26" s="25">
        <f>IFERROR(H25/H12,"")</f>
        <v/>
      </c>
      <c r="I26" s="25">
        <f>IFERROR(I25/I12,"")</f>
        <v/>
      </c>
      <c r="J26" s="25">
        <f>IFERROR(J25/J12,"")</f>
        <v/>
      </c>
      <c r="K26" s="25">
        <f>IFERROR(K25/K12,"")</f>
        <v/>
      </c>
      <c r="L26" s="25">
        <f>IFERROR(L25/L12,"")</f>
        <v/>
      </c>
      <c r="M26" s="25">
        <f>IFERROR(M25/M12,"")</f>
        <v/>
      </c>
      <c r="N26" s="25">
        <f>IFERROR(N25/N12,"")</f>
        <v/>
      </c>
      <c r="O26" s="25">
        <f>IFERROR(O25/O12,"")</f>
        <v/>
      </c>
      <c r="P26" s="25">
        <f>IFERROR(P25/P12,"")</f>
        <v/>
      </c>
    </row>
    <row r="28">
      <c r="A28" s="5" t="inlineStr">
        <is>
          <t xml:space="preserve">  FCF BRIDGE (NOPAT + D&amp;A + SBC - dNWC - Capex)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4" t="inlineStr">
        <is>
          <t>NOPAT = EBIT x (1 - tax)</t>
        </is>
      </c>
      <c r="B29" s="34">
        <f>B25*(1-Valuation!$B$5)</f>
        <v/>
      </c>
      <c r="C29" s="34">
        <f>C25*(1-Valuation!$B$5)</f>
        <v/>
      </c>
      <c r="D29" s="34">
        <f>D25*(1-Valuation!$B$5)</f>
        <v/>
      </c>
      <c r="E29" s="34">
        <f>E25*(1-Valuation!$B$5)</f>
        <v/>
      </c>
      <c r="F29" s="34">
        <f>F25*(1-Valuation!$B$5)</f>
        <v/>
      </c>
      <c r="G29" s="34">
        <f>G25*(1-Valuation!$B$5)</f>
        <v/>
      </c>
      <c r="H29" s="34">
        <f>H25*(1-Valuation!$B$5)</f>
        <v/>
      </c>
      <c r="I29" s="34">
        <f>I25*(1-Valuation!$B$5)</f>
        <v/>
      </c>
      <c r="J29" s="34">
        <f>J25*(1-Valuation!$B$5)</f>
        <v/>
      </c>
      <c r="K29" s="34">
        <f>K25*(1-Valuation!$B$5)</f>
        <v/>
      </c>
      <c r="L29" s="34">
        <f>L25*(1-Valuation!$B$5)</f>
        <v/>
      </c>
      <c r="M29" s="34">
        <f>M25*(1-Valuation!$B$5)</f>
        <v/>
      </c>
      <c r="N29" s="34">
        <f>N25*(1-Valuation!$B$5)</f>
        <v/>
      </c>
      <c r="O29" s="34">
        <f>O25*(1-Valuation!$B$5)</f>
        <v/>
      </c>
      <c r="P29" s="34">
        <f>P25*(1-Valuation!$B$5)</f>
        <v/>
      </c>
    </row>
    <row r="30">
      <c r="A30" s="4" t="inlineStr">
        <is>
          <t>+ D&amp;A</t>
        </is>
      </c>
      <c r="B30" s="34">
        <f>SUM(Financials!F47:I47)</f>
        <v/>
      </c>
      <c r="C30" s="34">
        <f>SUM(Financials!J47:M47)</f>
        <v/>
      </c>
      <c r="D30" s="34">
        <f>SUM(Financials!N47:Q47)</f>
        <v/>
      </c>
      <c r="E30" s="34">
        <f>SUM(Financials!R47:U47)</f>
        <v/>
      </c>
      <c r="F30" s="34">
        <f>SUM(Financials!V47:Y47)</f>
        <v/>
      </c>
      <c r="G30" s="42">
        <f>G12*0.0253</f>
        <v/>
      </c>
      <c r="H30" s="42">
        <f>H12*0.0253</f>
        <v/>
      </c>
      <c r="I30" s="42">
        <f>I12*0.0253</f>
        <v/>
      </c>
      <c r="J30" s="42">
        <f>J12*0.0253</f>
        <v/>
      </c>
      <c r="K30" s="42">
        <f>K12*0.0253</f>
        <v/>
      </c>
      <c r="L30" s="42">
        <f>L12*0.0253</f>
        <v/>
      </c>
      <c r="M30" s="42">
        <f>M12*0.0253</f>
        <v/>
      </c>
      <c r="N30" s="42">
        <f>N12*0.0253</f>
        <v/>
      </c>
      <c r="O30" s="42">
        <f>O12*0.0253</f>
        <v/>
      </c>
      <c r="P30" s="42">
        <f>P12*0.0253</f>
        <v/>
      </c>
    </row>
    <row r="31">
      <c r="A31" s="4" t="inlineStr">
        <is>
          <t>+ SBC (non-cash)</t>
        </is>
      </c>
      <c r="B31" s="34">
        <f>SUM(Financials!F48:I48)</f>
        <v/>
      </c>
      <c r="C31" s="34">
        <f>SUM(Financials!J48:M48)</f>
        <v/>
      </c>
      <c r="D31" s="34">
        <f>SUM(Financials!N48:Q48)</f>
        <v/>
      </c>
      <c r="E31" s="34">
        <f>SUM(Financials!R48:U48)</f>
        <v/>
      </c>
      <c r="F31" s="34">
        <f>SUM(Financials!V48:Y48)</f>
        <v/>
      </c>
      <c r="G31" s="34">
        <f>G12*(Dashboard!$B$65+(Dashboard!$B$66-Dashboard!$B$65)*0/9)</f>
        <v/>
      </c>
      <c r="H31" s="34">
        <f>H12*(Dashboard!$B$65+(Dashboard!$B$66-Dashboard!$B$65)*1/9)</f>
        <v/>
      </c>
      <c r="I31" s="34">
        <f>I12*(Dashboard!$B$65+(Dashboard!$B$66-Dashboard!$B$65)*2/9)</f>
        <v/>
      </c>
      <c r="J31" s="34">
        <f>J12*(Dashboard!$B$65+(Dashboard!$B$66-Dashboard!$B$65)*3/9)</f>
        <v/>
      </c>
      <c r="K31" s="34">
        <f>K12*(Dashboard!$B$65+(Dashboard!$B$66-Dashboard!$B$65)*4/9)</f>
        <v/>
      </c>
      <c r="L31" s="34">
        <f>L12*(Dashboard!$B$65+(Dashboard!$B$66-Dashboard!$B$65)*5/9)</f>
        <v/>
      </c>
      <c r="M31" s="34">
        <f>M12*(Dashboard!$B$65+(Dashboard!$B$66-Dashboard!$B$65)*6/9)</f>
        <v/>
      </c>
      <c r="N31" s="34">
        <f>N12*(Dashboard!$B$65+(Dashboard!$B$66-Dashboard!$B$65)*7/9)</f>
        <v/>
      </c>
      <c r="O31" s="34">
        <f>O12*(Dashboard!$B$65+(Dashboard!$B$66-Dashboard!$B$65)*8/9)</f>
        <v/>
      </c>
      <c r="P31" s="34">
        <f>P12*(Dashboard!$B$65+(Dashboard!$B$66-Dashboard!$B$65)*9/9)</f>
        <v/>
      </c>
    </row>
    <row r="32">
      <c r="A32" s="4" t="inlineStr">
        <is>
          <t>- dNWC</t>
        </is>
      </c>
      <c r="G32" s="42">
        <f>(G12-F12)*0.0050</f>
        <v/>
      </c>
      <c r="H32" s="42">
        <f>(H12-G12)*0.0050</f>
        <v/>
      </c>
      <c r="I32" s="42">
        <f>(I12-H12)*0.0050</f>
        <v/>
      </c>
      <c r="J32" s="42">
        <f>(J12-I12)*0.0050</f>
        <v/>
      </c>
      <c r="K32" s="42">
        <f>(K12-J12)*0.0050</f>
        <v/>
      </c>
      <c r="L32" s="42">
        <f>(L12-K12)*0.0050</f>
        <v/>
      </c>
      <c r="M32" s="42">
        <f>(M12-L12)*0.0050</f>
        <v/>
      </c>
      <c r="N32" s="42">
        <f>(N12-M12)*0.0050</f>
        <v/>
      </c>
      <c r="O32" s="42">
        <f>(O12-N12)*0.0050</f>
        <v/>
      </c>
      <c r="P32" s="42">
        <f>(P12-O12)*0.0050</f>
        <v/>
      </c>
    </row>
    <row r="33">
      <c r="A33" s="4" t="inlineStr">
        <is>
          <t>- Capex</t>
        </is>
      </c>
      <c r="B33" s="34">
        <f>-SUM(Financials!F51:I51)</f>
        <v/>
      </c>
      <c r="C33" s="34">
        <f>-SUM(Financials!J51:M51)</f>
        <v/>
      </c>
      <c r="D33" s="34">
        <f>-SUM(Financials!N51:Q51)</f>
        <v/>
      </c>
      <c r="E33" s="34">
        <f>-SUM(Financials!R51:U51)</f>
        <v/>
      </c>
      <c r="F33" s="34">
        <f>-SUM(Financials!V51:Y51)</f>
        <v/>
      </c>
      <c r="G33" s="42">
        <f>G30*G34</f>
        <v/>
      </c>
      <c r="H33" s="42">
        <f>H30*H34</f>
        <v/>
      </c>
      <c r="I33" s="42">
        <f>I30*I34</f>
        <v/>
      </c>
      <c r="J33" s="42">
        <f>J30*J34</f>
        <v/>
      </c>
      <c r="K33" s="42">
        <f>K30*K34</f>
        <v/>
      </c>
      <c r="L33" s="42">
        <f>L30*L34</f>
        <v/>
      </c>
      <c r="M33" s="42">
        <f>M30*M34</f>
        <v/>
      </c>
      <c r="N33" s="42">
        <f>N30*N34</f>
        <v/>
      </c>
      <c r="O33" s="42">
        <f>O30*O34</f>
        <v/>
      </c>
      <c r="P33" s="42">
        <f>P30*P34</f>
        <v/>
      </c>
    </row>
    <row r="34">
      <c r="A34" s="4" t="inlineStr">
        <is>
          <t xml:space="preserve">    Capex / D&amp;A  (from Dashboard: $cap'26 -&gt; terminal)</t>
        </is>
      </c>
      <c r="B34" s="26">
        <f>IFERROR(B33/B30,"")</f>
        <v/>
      </c>
      <c r="C34" s="26">
        <f>IFERROR(C33/C30,"")</f>
        <v/>
      </c>
      <c r="D34" s="26">
        <f>IFERROR(D33/D30,"")</f>
        <v/>
      </c>
      <c r="E34" s="26">
        <f>IFERROR(E33/E30,"")</f>
        <v/>
      </c>
      <c r="F34" s="26">
        <f>IFERROR(F33/F30,"")</f>
        <v/>
      </c>
      <c r="G34" s="13">
        <f>(Dashboard!$B$34/G30)+(Dashboard!$B$35-(Dashboard!$B$34/G30))*0/9</f>
        <v/>
      </c>
      <c r="H34" s="13">
        <f>(Dashboard!$B$34/G30)+(Dashboard!$B$35-(Dashboard!$B$34/G30))*1/9</f>
        <v/>
      </c>
      <c r="I34" s="13">
        <f>(Dashboard!$B$34/G30)+(Dashboard!$B$35-(Dashboard!$B$34/G30))*2/9</f>
        <v/>
      </c>
      <c r="J34" s="13">
        <f>(Dashboard!$B$34/G30)+(Dashboard!$B$35-(Dashboard!$B$34/G30))*3/9</f>
        <v/>
      </c>
      <c r="K34" s="13">
        <f>(Dashboard!$B$34/G30)+(Dashboard!$B$35-(Dashboard!$B$34/G30))*4/9</f>
        <v/>
      </c>
      <c r="L34" s="13">
        <f>(Dashboard!$B$34/G30)+(Dashboard!$B$35-(Dashboard!$B$34/G30))*5/9</f>
        <v/>
      </c>
      <c r="M34" s="13">
        <f>(Dashboard!$B$34/G30)+(Dashboard!$B$35-(Dashboard!$B$34/G30))*6/9</f>
        <v/>
      </c>
      <c r="N34" s="13">
        <f>(Dashboard!$B$34/G30)+(Dashboard!$B$35-(Dashboard!$B$34/G30))*7/9</f>
        <v/>
      </c>
      <c r="O34" s="13">
        <f>(Dashboard!$B$34/G30)+(Dashboard!$B$35-(Dashboard!$B$34/G30))*8/9</f>
        <v/>
      </c>
      <c r="P34" s="13">
        <f>(Dashboard!$B$34/G30)+(Dashboard!$B$35-(Dashboard!$B$34/G30))*9/9</f>
        <v/>
      </c>
    </row>
    <row r="36">
      <c r="A36" s="3" t="inlineStr">
        <is>
          <t>FCFF (firm)</t>
        </is>
      </c>
      <c r="B36" s="43">
        <f>B29+B30+B31-B32-B33</f>
        <v/>
      </c>
      <c r="C36" s="43">
        <f>C29+C30+C31-C32-C33</f>
        <v/>
      </c>
      <c r="D36" s="43">
        <f>D29+D30+D31-D32-D33</f>
        <v/>
      </c>
      <c r="E36" s="43">
        <f>E29+E30+E31-E32-E33</f>
        <v/>
      </c>
      <c r="F36" s="43">
        <f>F29+F30+F31-F32-F33</f>
        <v/>
      </c>
      <c r="G36" s="43">
        <f>G29+G30+G31-G32-G33</f>
        <v/>
      </c>
      <c r="H36" s="43">
        <f>H29+H30+H31-H32-H33</f>
        <v/>
      </c>
      <c r="I36" s="43">
        <f>I29+I30+I31-I32-I33</f>
        <v/>
      </c>
      <c r="J36" s="43">
        <f>J29+J30+J31-J32-J33</f>
        <v/>
      </c>
      <c r="K36" s="43">
        <f>K29+K30+K31-K32-K33</f>
        <v/>
      </c>
      <c r="L36" s="43">
        <f>L29+L30+L31-L32-L33</f>
        <v/>
      </c>
      <c r="M36" s="43">
        <f>M29+M30+M31-M32-M33</f>
        <v/>
      </c>
      <c r="N36" s="43">
        <f>N29+N30+N31-N32-N33</f>
        <v/>
      </c>
      <c r="O36" s="43">
        <f>O29+O30+O31-O32-O33</f>
        <v/>
      </c>
      <c r="P36" s="43">
        <f>P29+P30+P31-P32-P33</f>
        <v/>
      </c>
    </row>
    <row r="37">
      <c r="A37" s="3" t="inlineStr">
        <is>
          <t>Valuation FCF (NOPAT + D&amp;A - dNWC - Capex - after-tax SBC)</t>
        </is>
      </c>
      <c r="B37" s="44">
        <f>B36-B31-B31*(1-Valuation!$B$5)</f>
        <v/>
      </c>
      <c r="C37" s="44">
        <f>C36-C31-C31*(1-Valuation!$B$5)</f>
        <v/>
      </c>
      <c r="D37" s="44">
        <f>D36-D31-D31*(1-Valuation!$B$5)</f>
        <v/>
      </c>
      <c r="E37" s="44">
        <f>E36-E31-E31*(1-Valuation!$B$5)</f>
        <v/>
      </c>
      <c r="F37" s="44">
        <f>F36-F31-F31*(1-Valuation!$B$5)</f>
        <v/>
      </c>
      <c r="G37" s="44">
        <f>G36-G31-G31*(1-Valuation!$B$5)</f>
        <v/>
      </c>
      <c r="H37" s="44">
        <f>H36-H31-H31*(1-Valuation!$B$5)</f>
        <v/>
      </c>
      <c r="I37" s="44">
        <f>I36-I31-I31*(1-Valuation!$B$5)</f>
        <v/>
      </c>
      <c r="J37" s="44">
        <f>J36-J31-J31*(1-Valuation!$B$5)</f>
        <v/>
      </c>
      <c r="K37" s="44">
        <f>K36-K31-K31*(1-Valuation!$B$5)</f>
        <v/>
      </c>
      <c r="L37" s="44">
        <f>L36-L31-L31*(1-Valuation!$B$5)</f>
        <v/>
      </c>
      <c r="M37" s="44">
        <f>M36-M31-M31*(1-Valuation!$B$5)</f>
        <v/>
      </c>
      <c r="N37" s="44">
        <f>N36-N31-N31*(1-Valuation!$B$5)</f>
        <v/>
      </c>
      <c r="O37" s="44">
        <f>O36-O31-O31*(1-Valuation!$B$5)</f>
        <v/>
      </c>
      <c r="P37" s="44">
        <f>P36-P31-P31*(1-Valuation!$B$5)</f>
        <v/>
      </c>
    </row>
    <row r="39">
      <c r="A39" s="5" t="inlineStr">
        <is>
          <t xml:space="preserve">  RETURNS ON CAPITAL &amp; EFFICIENCY  (is new revenue/capital earning its keep?)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4" t="inlineStr">
        <is>
          <t>Invested capital (debt + equity - cash)</t>
        </is>
      </c>
      <c r="B40" s="34">
        <f>Financials!I45+Financials!I44-Financials!I39</f>
        <v/>
      </c>
      <c r="C40" s="34">
        <f>Financials!M45+Financials!M44-Financials!M39</f>
        <v/>
      </c>
      <c r="D40" s="34">
        <f>Financials!Q45+Financials!Q44-Financials!Q39</f>
        <v/>
      </c>
      <c r="E40" s="34">
        <f>Financials!U45+Financials!U44-Financials!U39</f>
        <v/>
      </c>
      <c r="F40" s="34">
        <f>Financials!Y45+Financials!Y44-Financials!Y39</f>
        <v/>
      </c>
      <c r="G40" s="42">
        <f>F40+G33-G30+G32</f>
        <v/>
      </c>
      <c r="H40" s="42">
        <f>G40+H33-H30+H32</f>
        <v/>
      </c>
      <c r="I40" s="42">
        <f>H40+I33-I30+I32</f>
        <v/>
      </c>
      <c r="J40" s="42">
        <f>I40+J33-J30+J32</f>
        <v/>
      </c>
      <c r="K40" s="42">
        <f>J40+K33-K30+K32</f>
        <v/>
      </c>
      <c r="L40" s="42">
        <f>K40+L33-L30+L32</f>
        <v/>
      </c>
      <c r="M40" s="42">
        <f>L40+M33-M30+M32</f>
        <v/>
      </c>
      <c r="N40" s="42">
        <f>M40+N33-N30+N32</f>
        <v/>
      </c>
      <c r="O40" s="42">
        <f>N40+O33-O30+O32</f>
        <v/>
      </c>
      <c r="P40" s="42">
        <f>O40+P33-P30+P32</f>
        <v/>
      </c>
    </row>
    <row r="41">
      <c r="A41" s="4" t="inlineStr">
        <is>
          <t>Book equity (year-end)</t>
        </is>
      </c>
      <c r="B41" s="34">
        <f>Financials!I45</f>
        <v/>
      </c>
      <c r="C41" s="34">
        <f>Financials!M45</f>
        <v/>
      </c>
      <c r="D41" s="34">
        <f>Financials!Q45</f>
        <v/>
      </c>
      <c r="E41" s="34">
        <f>Financials!U45</f>
        <v/>
      </c>
      <c r="F41" s="34">
        <f>Financials!Y45</f>
        <v/>
      </c>
      <c r="G41" s="42">
        <f>F41+G29</f>
        <v/>
      </c>
      <c r="H41" s="42">
        <f>G41+H29</f>
        <v/>
      </c>
      <c r="I41" s="42">
        <f>H41+I29</f>
        <v/>
      </c>
      <c r="J41" s="42">
        <f>I41+J29</f>
        <v/>
      </c>
      <c r="K41" s="42">
        <f>J41+K29</f>
        <v/>
      </c>
      <c r="L41" s="42">
        <f>K41+L29</f>
        <v/>
      </c>
      <c r="M41" s="42">
        <f>L41+M29</f>
        <v/>
      </c>
      <c r="N41" s="42">
        <f>M41+N29</f>
        <v/>
      </c>
      <c r="O41" s="42">
        <f>N41+O29</f>
        <v/>
      </c>
      <c r="P41" s="42">
        <f>O41+P29</f>
        <v/>
      </c>
    </row>
    <row r="42">
      <c r="A42" s="3" t="inlineStr">
        <is>
          <t xml:space="preserve">  ROIC (NOPAT / beg. invested capital)</t>
        </is>
      </c>
      <c r="C42" s="25">
        <f>IFERROR(C29/B40,"")</f>
        <v/>
      </c>
      <c r="D42" s="25">
        <f>IFERROR(D29/C40,"")</f>
        <v/>
      </c>
      <c r="E42" s="25">
        <f>IFERROR(E29/D40,"")</f>
        <v/>
      </c>
      <c r="F42" s="25">
        <f>IFERROR(F29/E40,"")</f>
        <v/>
      </c>
      <c r="G42" s="25">
        <f>IFERROR(G29/F40,"")</f>
        <v/>
      </c>
      <c r="H42" s="25">
        <f>IFERROR(H29/G40,"")</f>
        <v/>
      </c>
      <c r="I42" s="25">
        <f>IFERROR(I29/H40,"")</f>
        <v/>
      </c>
      <c r="J42" s="25">
        <f>IFERROR(J29/I40,"")</f>
        <v/>
      </c>
      <c r="K42" s="25">
        <f>IFERROR(K29/J40,"")</f>
        <v/>
      </c>
      <c r="L42" s="25">
        <f>IFERROR(L29/K40,"")</f>
        <v/>
      </c>
      <c r="M42" s="25">
        <f>IFERROR(M29/L40,"")</f>
        <v/>
      </c>
      <c r="N42" s="25">
        <f>IFERROR(N29/M40,"")</f>
        <v/>
      </c>
      <c r="O42" s="25">
        <f>IFERROR(O29/N40,"")</f>
        <v/>
      </c>
      <c r="P42" s="25">
        <f>IFERROR(P29/O40,"")</f>
        <v/>
      </c>
    </row>
    <row r="43">
      <c r="A43" s="3" t="inlineStr">
        <is>
          <t xml:space="preserve">  ROE (earnings / beg. equity)</t>
        </is>
      </c>
      <c r="C43" s="11">
        <f>IFERROR(SUM(Financials!J15:M15)/B41,"")</f>
        <v/>
      </c>
      <c r="D43" s="11">
        <f>IFERROR(SUM(Financials!N15:Q15)/C41,"")</f>
        <v/>
      </c>
      <c r="E43" s="11">
        <f>IFERROR(SUM(Financials!R15:U15)/D41,"")</f>
        <v/>
      </c>
      <c r="F43" s="11">
        <f>IFERROR(SUM(Financials!V15:Y15)/E41,"")</f>
        <v/>
      </c>
      <c r="G43" s="25">
        <f>IFERROR(G29/F41,"")</f>
        <v/>
      </c>
      <c r="H43" s="25">
        <f>IFERROR(H29/G41,"")</f>
        <v/>
      </c>
      <c r="I43" s="25">
        <f>IFERROR(I29/H41,"")</f>
        <v/>
      </c>
      <c r="J43" s="25">
        <f>IFERROR(J29/I41,"")</f>
        <v/>
      </c>
      <c r="K43" s="25">
        <f>IFERROR(K29/J41,"")</f>
        <v/>
      </c>
      <c r="L43" s="25">
        <f>IFERROR(L29/K41,"")</f>
        <v/>
      </c>
      <c r="M43" s="25">
        <f>IFERROR(M29/L41,"")</f>
        <v/>
      </c>
      <c r="N43" s="25">
        <f>IFERROR(N29/M41,"")</f>
        <v/>
      </c>
      <c r="O43" s="25">
        <f>IFERROR(O29/N41,"")</f>
        <v/>
      </c>
      <c r="P43" s="25">
        <f>IFERROR(P29/O41,"")</f>
        <v/>
      </c>
    </row>
    <row r="44">
      <c r="A44" s="4" t="inlineStr">
        <is>
          <t xml:space="preserve">  ROIC - WACC spread (value created)</t>
        </is>
      </c>
      <c r="C44" s="11">
        <f>IFERROR(C42-WACC!$B$15,"")</f>
        <v/>
      </c>
      <c r="D44" s="11">
        <f>IFERROR(D42-WACC!$B$15,"")</f>
        <v/>
      </c>
      <c r="E44" s="11">
        <f>IFERROR(E42-WACC!$B$15,"")</f>
        <v/>
      </c>
      <c r="F44" s="11">
        <f>IFERROR(F42-WACC!$B$15,"")</f>
        <v/>
      </c>
      <c r="G44" s="11">
        <f>IFERROR(G42-WACC!$B$15,"")</f>
        <v/>
      </c>
      <c r="H44" s="11">
        <f>IFERROR(H42-WACC!$B$15,"")</f>
        <v/>
      </c>
      <c r="I44" s="11">
        <f>IFERROR(I42-WACC!$B$15,"")</f>
        <v/>
      </c>
      <c r="J44" s="11">
        <f>IFERROR(J42-WACC!$B$15,"")</f>
        <v/>
      </c>
      <c r="K44" s="11">
        <f>IFERROR(K42-WACC!$B$15,"")</f>
        <v/>
      </c>
      <c r="L44" s="11">
        <f>IFERROR(L42-WACC!$B$15,"")</f>
        <v/>
      </c>
      <c r="M44" s="11">
        <f>IFERROR(M42-WACC!$B$15,"")</f>
        <v/>
      </c>
      <c r="N44" s="11">
        <f>IFERROR(N42-WACC!$B$15,"")</f>
        <v/>
      </c>
      <c r="O44" s="11">
        <f>IFERROR(O42-WACC!$B$15,"")</f>
        <v/>
      </c>
      <c r="P44" s="11">
        <f>IFERROR(P42-WACC!$B$15,"")</f>
        <v/>
      </c>
    </row>
    <row r="45">
      <c r="A45" s="4" t="inlineStr">
        <is>
          <t xml:space="preserve">  Incremental op margin (ΔEBIT / ΔRev)</t>
        </is>
      </c>
      <c r="C45" s="25">
        <f>IFERROR((C25-B25)/(C12-B12),"")</f>
        <v/>
      </c>
      <c r="D45" s="25">
        <f>IFERROR((D25-C25)/(D12-C12),"")</f>
        <v/>
      </c>
      <c r="E45" s="25">
        <f>IFERROR((E25-D25)/(E12-D12),"")</f>
        <v/>
      </c>
      <c r="F45" s="25">
        <f>IFERROR((F25-E25)/(F12-E12),"")</f>
        <v/>
      </c>
      <c r="G45" s="25">
        <f>IFERROR((G25-F25)/(G12-F12),"")</f>
        <v/>
      </c>
      <c r="H45" s="25">
        <f>IFERROR((H25-G25)/(H12-G12),"")</f>
        <v/>
      </c>
      <c r="I45" s="25">
        <f>IFERROR((I25-H25)/(I12-H12),"")</f>
        <v/>
      </c>
      <c r="J45" s="25">
        <f>IFERROR((J25-I25)/(J12-I12),"")</f>
        <v/>
      </c>
      <c r="K45" s="25">
        <f>IFERROR((K25-J25)/(K12-J12),"")</f>
        <v/>
      </c>
      <c r="L45" s="25">
        <f>IFERROR((L25-K25)/(L12-K12),"")</f>
        <v/>
      </c>
      <c r="M45" s="25">
        <f>IFERROR((M25-L25)/(M12-L12),"")</f>
        <v/>
      </c>
      <c r="N45" s="25">
        <f>IFERROR((N25-M25)/(N12-M12),"")</f>
        <v/>
      </c>
      <c r="O45" s="25">
        <f>IFERROR((O25-N25)/(O12-N12),"")</f>
        <v/>
      </c>
      <c r="P45" s="25">
        <f>IFERROR((P25-O25)/(P12-O12),"")</f>
        <v/>
      </c>
    </row>
    <row r="46">
      <c r="A46" s="3" t="inlineStr">
        <is>
          <t xml:space="preserve">  ROIIC (ΔNOPAT / ΔInvested capital)</t>
        </is>
      </c>
      <c r="C46" s="25">
        <f>IFERROR((C29-B29)/(C40-B40),"")</f>
        <v/>
      </c>
      <c r="D46" s="25">
        <f>IFERROR((D29-C29)/(D40-C40),"")</f>
        <v/>
      </c>
      <c r="E46" s="25">
        <f>IFERROR((E29-D29)/(E40-D40),"")</f>
        <v/>
      </c>
      <c r="F46" s="25">
        <f>IFERROR((F29-E29)/(F40-E40),"")</f>
        <v/>
      </c>
      <c r="G46" s="25">
        <f>IFERROR((G29-F29)/(G40-F40),"")</f>
        <v/>
      </c>
      <c r="H46" s="25">
        <f>IFERROR((H29-G29)/(H40-G40),"")</f>
        <v/>
      </c>
      <c r="I46" s="25">
        <f>IFERROR((I29-H29)/(I40-H40),"")</f>
        <v/>
      </c>
      <c r="J46" s="25">
        <f>IFERROR((J29-I29)/(J40-I40),"")</f>
        <v/>
      </c>
      <c r="K46" s="25">
        <f>IFERROR((K29-J29)/(K40-J40),"")</f>
        <v/>
      </c>
      <c r="L46" s="25">
        <f>IFERROR((L29-K29)/(L40-K40),"")</f>
        <v/>
      </c>
      <c r="M46" s="25">
        <f>IFERROR((M29-L29)/(M40-L40),"")</f>
        <v/>
      </c>
      <c r="N46" s="25">
        <f>IFERROR((N29-M29)/(N40-M40),"")</f>
        <v/>
      </c>
      <c r="O46" s="25">
        <f>IFERROR((O29-N29)/(O40-N40),"")</f>
        <v/>
      </c>
      <c r="P46" s="25">
        <f>IFERROR((P29-O29)/(P40-O40),"")</f>
        <v/>
      </c>
    </row>
    <row r="47">
      <c r="A47" s="4" t="inlineStr">
        <is>
          <t xml:space="preserve">  Sales-to-capital (ΔRev / ΔInvested capital)</t>
        </is>
      </c>
      <c r="C47" s="45">
        <f>IFERROR((C12-B12)/(C40-B40),"")</f>
        <v/>
      </c>
      <c r="D47" s="45">
        <f>IFERROR((D12-C12)/(D40-C40),"")</f>
        <v/>
      </c>
      <c r="E47" s="45">
        <f>IFERROR((E12-D12)/(E40-D40),"")</f>
        <v/>
      </c>
      <c r="F47" s="45">
        <f>IFERROR((F12-E12)/(F40-E40),"")</f>
        <v/>
      </c>
      <c r="G47" s="45">
        <f>IFERROR((G12-F12)/(G40-F40),"")</f>
        <v/>
      </c>
      <c r="H47" s="45">
        <f>IFERROR((H12-G12)/(H40-G40),"")</f>
        <v/>
      </c>
      <c r="I47" s="45">
        <f>IFERROR((I12-H12)/(I40-H40),"")</f>
        <v/>
      </c>
      <c r="J47" s="45">
        <f>IFERROR((J12-I12)/(J40-I40),"")</f>
        <v/>
      </c>
      <c r="K47" s="45">
        <f>IFERROR((K12-J12)/(K40-J40),"")</f>
        <v/>
      </c>
      <c r="L47" s="45">
        <f>IFERROR((L12-K12)/(L40-K40),"")</f>
        <v/>
      </c>
      <c r="M47" s="45">
        <f>IFERROR((M12-L12)/(M40-L40),"")</f>
        <v/>
      </c>
      <c r="N47" s="45">
        <f>IFERROR((N12-M12)/(N40-M40),"")</f>
        <v/>
      </c>
      <c r="O47" s="45">
        <f>IFERROR((O12-N12)/(O40-N40),"")</f>
        <v/>
      </c>
      <c r="P47" s="45">
        <f>IFERROR((P12-O12)/(P40-O40),"")</f>
        <v/>
      </c>
    </row>
    <row r="48">
      <c r="A48" s="4" t="inlineStr">
        <is>
          <t xml:space="preserve">  Reinvestment rate (ΔInvested capital / NOPAT)</t>
        </is>
      </c>
      <c r="C48" s="25">
        <f>IFERROR((C40-B40)/C29,"")</f>
        <v/>
      </c>
      <c r="D48" s="25">
        <f>IFERROR((D40-C40)/D29,"")</f>
        <v/>
      </c>
      <c r="E48" s="25">
        <f>IFERROR((E40-D40)/E29,"")</f>
        <v/>
      </c>
      <c r="F48" s="25">
        <f>IFERROR((F40-E40)/F29,"")</f>
        <v/>
      </c>
      <c r="G48" s="25">
        <f>IFERROR((G40-F40)/G29,"")</f>
        <v/>
      </c>
      <c r="H48" s="25">
        <f>IFERROR((H40-G40)/H29,"")</f>
        <v/>
      </c>
      <c r="I48" s="25">
        <f>IFERROR((I40-H40)/I29,"")</f>
        <v/>
      </c>
      <c r="J48" s="25">
        <f>IFERROR((J40-I40)/J29,"")</f>
        <v/>
      </c>
      <c r="K48" s="25">
        <f>IFERROR((K40-J40)/K29,"")</f>
        <v/>
      </c>
      <c r="L48" s="25">
        <f>IFERROR((L40-K40)/L29,"")</f>
        <v/>
      </c>
      <c r="M48" s="25">
        <f>IFERROR((M40-L40)/M29,"")</f>
        <v/>
      </c>
      <c r="N48" s="25">
        <f>IFERROR((N40-M40)/N29,"")</f>
        <v/>
      </c>
      <c r="O48" s="25">
        <f>IFERROR((O40-N40)/O29,"")</f>
        <v/>
      </c>
      <c r="P48" s="25">
        <f>IFERROR((P40-O40)/P29,"")</f>
        <v/>
      </c>
    </row>
    <row r="50">
      <c r="A50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>
      <c r="A3" s="4" t="inlineStr">
        <is>
          <t>Revenue</t>
        </is>
      </c>
      <c r="B3" s="18" t="n">
        <v>50.904</v>
      </c>
      <c r="C3" s="18" t="n">
        <v>53.852</v>
      </c>
      <c r="D3" s="18" t="n">
        <v>61.497</v>
      </c>
      <c r="E3" s="18" t="n">
        <v>70.324</v>
      </c>
      <c r="F3" s="18" t="n">
        <v>77.02800000000001</v>
      </c>
      <c r="G3" s="18" t="n">
        <v>88.33799999999999</v>
      </c>
      <c r="H3" s="18" t="n">
        <v>102.57</v>
      </c>
      <c r="I3" s="18" t="n">
        <v>119.928</v>
      </c>
      <c r="J3" s="18" t="n">
        <v>126.139</v>
      </c>
      <c r="K3" s="18" t="n">
        <v>139.407</v>
      </c>
      <c r="L3" s="18" t="n">
        <v>151.732</v>
      </c>
      <c r="M3" s="18" t="n">
        <v>168.666</v>
      </c>
      <c r="N3" s="18" t="n">
        <v>174.302</v>
      </c>
      <c r="O3" s="18" t="n">
        <v>189.285</v>
      </c>
      <c r="P3" s="18" t="n">
        <v>200.181</v>
      </c>
      <c r="Q3" s="18" t="n">
        <v>213.184</v>
      </c>
      <c r="R3" s="18" t="n">
        <v>217.237</v>
      </c>
      <c r="S3" s="18" t="n">
        <v>234.986</v>
      </c>
      <c r="T3" s="18" t="n">
        <v>250.199</v>
      </c>
      <c r="U3" s="18" t="n">
        <v>261.22</v>
      </c>
      <c r="V3" s="18" t="n">
        <v>271.12</v>
      </c>
      <c r="W3" s="18" t="n">
        <v>282.285</v>
      </c>
      <c r="X3" s="18" t="n">
        <v>298.524</v>
      </c>
      <c r="Y3" s="18" t="n">
        <v>314.819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</row>
    <row r="5">
      <c r="A5" s="4" t="inlineStr">
        <is>
          <t>Cost of Revenue</t>
        </is>
      </c>
      <c r="B5" s="18" t="n">
        <v>17.813</v>
      </c>
      <c r="C5" s="18" t="n">
        <v>17.69</v>
      </c>
      <c r="D5" s="18" t="n">
        <v>19.056</v>
      </c>
      <c r="E5" s="18" t="n">
        <v>20.917</v>
      </c>
      <c r="F5" s="18" t="n">
        <v>23.838</v>
      </c>
      <c r="G5" s="18" t="n">
        <v>30.009</v>
      </c>
      <c r="H5" s="18" t="n">
        <v>37.299</v>
      </c>
      <c r="I5" s="18" t="n">
        <v>46.146</v>
      </c>
      <c r="J5" s="18" t="n">
        <v>45.777</v>
      </c>
      <c r="K5" s="18" t="n">
        <v>49.509</v>
      </c>
      <c r="L5" s="18" t="n">
        <v>53.18</v>
      </c>
      <c r="M5" s="18" t="n">
        <v>53.949</v>
      </c>
      <c r="N5" s="18" t="n">
        <v>58.144</v>
      </c>
      <c r="O5" s="18" t="n">
        <v>57.92</v>
      </c>
      <c r="P5" s="18" t="n">
        <v>56.549</v>
      </c>
      <c r="Q5" s="18" t="n">
        <v>57.057</v>
      </c>
      <c r="R5" s="18" t="n">
        <v>61.221</v>
      </c>
      <c r="S5" s="18" t="n">
        <v>64.94</v>
      </c>
      <c r="T5" s="18" t="n">
        <v>63.703</v>
      </c>
      <c r="U5" s="18" t="n">
        <v>67.565</v>
      </c>
      <c r="V5" s="18" t="n">
        <v>69.11799999999999</v>
      </c>
      <c r="W5" s="18" t="n">
        <v>74.17</v>
      </c>
      <c r="X5" s="18" t="n">
        <v>76.959</v>
      </c>
      <c r="Y5" s="18" t="n">
        <v>79.66200000000001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</row>
    <row r="7">
      <c r="A7" s="4" t="inlineStr">
        <is>
          <t>R&amp;D Expense</t>
        </is>
      </c>
      <c r="B7" s="18" t="n">
        <v>19.742</v>
      </c>
      <c r="C7" s="18" t="n">
        <v>18.875</v>
      </c>
      <c r="D7" s="18" t="n">
        <v>44.921</v>
      </c>
      <c r="E7" s="18" t="n">
        <v>21.861</v>
      </c>
      <c r="F7" s="18" t="n">
        <v>24.313</v>
      </c>
      <c r="G7" s="18" t="n">
        <v>33.225</v>
      </c>
      <c r="H7" s="18" t="n">
        <v>47.701</v>
      </c>
      <c r="I7" s="18" t="n">
        <v>56.686</v>
      </c>
      <c r="J7" s="18" t="n">
        <v>57.661</v>
      </c>
      <c r="K7" s="18" t="n">
        <v>64.47199999999999</v>
      </c>
      <c r="L7" s="18" t="n">
        <v>70.099</v>
      </c>
      <c r="M7" s="18" t="n">
        <v>71.809</v>
      </c>
      <c r="N7" s="18" t="n">
        <v>84.89</v>
      </c>
      <c r="O7" s="18" t="n">
        <v>85.67700000000001</v>
      </c>
      <c r="P7" s="18" t="n">
        <v>91.23699999999999</v>
      </c>
      <c r="Q7" s="18" t="n">
        <v>86.94799999999999</v>
      </c>
      <c r="R7" s="18" t="n">
        <v>97.571</v>
      </c>
      <c r="S7" s="18" t="n">
        <v>106.027</v>
      </c>
      <c r="T7" s="18" t="n">
        <v>102.72</v>
      </c>
      <c r="U7" s="18" t="n">
        <v>114.919</v>
      </c>
      <c r="V7" s="18" t="n">
        <v>116.801</v>
      </c>
      <c r="W7" s="18" t="n">
        <v>121.221</v>
      </c>
      <c r="X7" s="18" t="n">
        <v>121.758</v>
      </c>
      <c r="Y7" s="18" t="n">
        <v>114.807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</row>
    <row r="9">
      <c r="A9" s="4" t="inlineStr">
        <is>
          <t>SG&amp;A Expense</t>
        </is>
      </c>
      <c r="B9" s="18" t="n">
        <v>46.732</v>
      </c>
      <c r="C9" s="18" t="n">
        <v>44.781</v>
      </c>
      <c r="D9" s="18" t="n">
        <v>137.517</v>
      </c>
      <c r="E9" s="18" t="n">
        <v>59.847</v>
      </c>
      <c r="F9" s="18" t="n">
        <v>74.021</v>
      </c>
      <c r="G9" s="18" t="n">
        <v>111.149</v>
      </c>
      <c r="H9" s="18" t="n">
        <v>112.321</v>
      </c>
      <c r="I9" s="18" t="n">
        <v>130.776</v>
      </c>
      <c r="J9" s="18" t="n">
        <v>134.183</v>
      </c>
      <c r="K9" s="18" t="n">
        <v>142.733</v>
      </c>
      <c r="L9" s="18" t="n">
        <v>147.353</v>
      </c>
      <c r="M9" s="18" t="n">
        <v>157.893</v>
      </c>
      <c r="N9" s="18" t="n">
        <v>163.979</v>
      </c>
      <c r="O9" s="18" t="n">
        <v>164.113</v>
      </c>
      <c r="P9" s="18" t="n">
        <v>160.498</v>
      </c>
      <c r="Q9" s="18" t="n">
        <v>153.859</v>
      </c>
      <c r="R9" s="18" t="n">
        <v>169.796</v>
      </c>
      <c r="S9" s="18" t="n">
        <v>172.199</v>
      </c>
      <c r="T9" s="18" t="n">
        <v>177.439</v>
      </c>
      <c r="U9" s="18" t="n">
        <v>184.553</v>
      </c>
      <c r="V9" s="18" t="n">
        <v>186.379</v>
      </c>
      <c r="W9" s="18" t="n">
        <v>183.332</v>
      </c>
      <c r="X9" s="18" t="n">
        <v>183.119</v>
      </c>
      <c r="Y9" s="18" t="n">
        <v>199.863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</row>
    <row r="11">
      <c r="A11" s="4" t="inlineStr">
        <is>
          <t>Gross Profit</t>
        </is>
      </c>
      <c r="B11" s="18" t="n">
        <v>33.091</v>
      </c>
      <c r="C11" s="18" t="n">
        <v>36.162</v>
      </c>
      <c r="D11" s="18" t="n">
        <v>42.441</v>
      </c>
      <c r="E11" s="18" t="n">
        <v>49.407</v>
      </c>
      <c r="F11" s="18" t="n">
        <v>53.19</v>
      </c>
      <c r="G11" s="18" t="n">
        <v>58.329</v>
      </c>
      <c r="H11" s="18" t="n">
        <v>65.271</v>
      </c>
      <c r="I11" s="18" t="n">
        <v>73.782</v>
      </c>
      <c r="J11" s="18" t="n">
        <v>80.36199999999999</v>
      </c>
      <c r="K11" s="18" t="n">
        <v>89.898</v>
      </c>
      <c r="L11" s="18" t="n">
        <v>98.55200000000001</v>
      </c>
      <c r="M11" s="18" t="n">
        <v>114.717</v>
      </c>
      <c r="N11" s="18" t="n">
        <v>116.158</v>
      </c>
      <c r="O11" s="18" t="n">
        <v>131.365</v>
      </c>
      <c r="P11" s="18" t="n">
        <v>143.632</v>
      </c>
      <c r="Q11" s="18" t="n">
        <v>156.127</v>
      </c>
      <c r="R11" s="18" t="n">
        <v>156.016</v>
      </c>
      <c r="S11" s="18" t="n">
        <v>170.046</v>
      </c>
      <c r="T11" s="18" t="n">
        <v>186.496</v>
      </c>
      <c r="U11" s="18" t="n">
        <v>193.655</v>
      </c>
      <c r="V11" s="18" t="n">
        <v>202.002</v>
      </c>
      <c r="W11" s="18" t="n">
        <v>208.115</v>
      </c>
      <c r="X11" s="18" t="n">
        <v>221.565</v>
      </c>
      <c r="Y11" s="18" t="n">
        <v>235.157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</row>
    <row r="13">
      <c r="A13" s="4" t="inlineStr">
        <is>
          <t>Operating Income</t>
        </is>
      </c>
      <c r="B13" s="18" t="n">
        <v>-33.383</v>
      </c>
      <c r="C13" s="18" t="n">
        <v>-27.494</v>
      </c>
      <c r="D13" s="18" t="n">
        <v>-139.997</v>
      </c>
      <c r="E13" s="18" t="n">
        <v>-32.301</v>
      </c>
      <c r="F13" s="18" t="n">
        <v>-45.144</v>
      </c>
      <c r="G13" s="18" t="n">
        <v>-86.045</v>
      </c>
      <c r="H13" s="18" t="n">
        <v>-94.751</v>
      </c>
      <c r="I13" s="18" t="n">
        <v>-113.68</v>
      </c>
      <c r="J13" s="18" t="n">
        <v>-111.482</v>
      </c>
      <c r="K13" s="18" t="n">
        <v>-117.307</v>
      </c>
      <c r="L13" s="18" t="n">
        <v>-118.9</v>
      </c>
      <c r="M13" s="18" t="n">
        <v>-114.985</v>
      </c>
      <c r="N13" s="18" t="n">
        <v>-166.093</v>
      </c>
      <c r="O13" s="18" t="n">
        <v>-119.368</v>
      </c>
      <c r="P13" s="18" t="n">
        <v>-108.632</v>
      </c>
      <c r="Q13" s="18" t="n">
        <v>-84.68000000000001</v>
      </c>
      <c r="R13" s="18" t="n">
        <v>-111.351</v>
      </c>
      <c r="S13" s="18" t="n">
        <v>-108.349</v>
      </c>
      <c r="T13" s="18" t="n">
        <v>-93.663</v>
      </c>
      <c r="U13" s="18" t="n">
        <v>-105.784</v>
      </c>
      <c r="V13" s="18" t="n">
        <v>-101.178</v>
      </c>
      <c r="W13" s="18" t="n">
        <v>-96.438</v>
      </c>
      <c r="X13" s="18" t="n">
        <v>-83.312</v>
      </c>
      <c r="Y13" s="18" t="n">
        <v>-79.556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</row>
    <row r="15">
      <c r="A15" s="4" t="inlineStr">
        <is>
          <t>Net Income</t>
        </is>
      </c>
      <c r="B15" s="18" t="n">
        <v>-33.635</v>
      </c>
      <c r="C15" s="18" t="n">
        <v>-26.296</v>
      </c>
      <c r="D15" s="18" t="n">
        <v>-138.141</v>
      </c>
      <c r="E15" s="18" t="n">
        <v>-31.756</v>
      </c>
      <c r="F15" s="18" t="n">
        <v>-44.526</v>
      </c>
      <c r="G15" s="18" t="n">
        <v>-88.17</v>
      </c>
      <c r="H15" s="18" t="n">
        <v>-95.666</v>
      </c>
      <c r="I15" s="18" t="n">
        <v>-114.439</v>
      </c>
      <c r="J15" s="18" t="n">
        <v>-112.987</v>
      </c>
      <c r="K15" s="18" t="n">
        <v>-117.631</v>
      </c>
      <c r="L15" s="18" t="n">
        <v>-116.049</v>
      </c>
      <c r="M15" s="18" t="n">
        <v>-105.884</v>
      </c>
      <c r="N15" s="18" t="n">
        <v>-152.555</v>
      </c>
      <c r="O15" s="18" t="n">
        <v>-103.425</v>
      </c>
      <c r="P15" s="18" t="n">
        <v>-92.67</v>
      </c>
      <c r="Q15" s="18" t="n">
        <v>-94.096</v>
      </c>
      <c r="R15" s="18" t="n">
        <v>-92.967</v>
      </c>
      <c r="S15" s="18" t="n">
        <v>-89.90000000000001</v>
      </c>
      <c r="T15" s="18" t="n">
        <v>-74.14400000000001</v>
      </c>
      <c r="U15" s="18" t="n">
        <v>-88.054</v>
      </c>
      <c r="V15" s="18" t="n">
        <v>-67.574</v>
      </c>
      <c r="W15" s="18" t="n">
        <v>-81.95</v>
      </c>
      <c r="X15" s="18" t="n">
        <v>-66.504</v>
      </c>
      <c r="Y15" s="18" t="n">
        <v>-79.247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</row>
    <row r="17">
      <c r="A17" s="4" t="inlineStr">
        <is>
          <t>Diluted Shares (M)</t>
        </is>
      </c>
      <c r="B17" s="18" t="n">
        <v>224.261477</v>
      </c>
      <c r="C17" s="18" t="n">
        <v>224.261477</v>
      </c>
      <c r="D17" s="18" t="n">
        <v>224.261477</v>
      </c>
      <c r="E17" s="18" t="n">
        <v>224.261477</v>
      </c>
      <c r="F17" s="18" t="n">
        <v>252.36519</v>
      </c>
      <c r="G17" s="18" t="n">
        <v>255.758747</v>
      </c>
      <c r="H17" s="18" t="n">
        <v>259.152303</v>
      </c>
      <c r="I17" s="18" t="n">
        <v>265.480761</v>
      </c>
      <c r="J17" s="18" t="n">
        <v>272.890829</v>
      </c>
      <c r="K17" s="18" t="n">
        <v>278.26898</v>
      </c>
      <c r="L17" s="18" t="n">
        <v>282.26723</v>
      </c>
      <c r="M17" s="18" t="n">
        <v>286.732756</v>
      </c>
      <c r="N17" s="18" t="n">
        <v>291.864975</v>
      </c>
      <c r="O17" s="18" t="n">
        <v>297.8272</v>
      </c>
      <c r="P17" s="18" t="n">
        <v>303.896632</v>
      </c>
      <c r="Q17" s="18" t="n">
        <v>309.101119</v>
      </c>
      <c r="R17" s="18" t="n">
        <v>314.203181</v>
      </c>
      <c r="S17" s="18" t="n">
        <v>319.415586</v>
      </c>
      <c r="T17" s="18" t="n">
        <v>324.318</v>
      </c>
      <c r="U17" s="18" t="n">
        <v>329.407</v>
      </c>
      <c r="V17" s="18" t="n">
        <v>335.756</v>
      </c>
      <c r="W17" s="18" t="n">
        <v>341.208548</v>
      </c>
      <c r="X17" s="18" t="n">
        <v>346.197913</v>
      </c>
      <c r="Y17" s="18" t="n">
        <v>351.88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4" t="inlineStr">
        <is>
          <t>Confluent Cloud</t>
        </is>
      </c>
      <c r="G19" s="18" t="n">
        <v>19.669</v>
      </c>
      <c r="H19" s="18" t="n">
        <v>26.808</v>
      </c>
      <c r="I19" s="18" t="n">
        <v>33.783</v>
      </c>
      <c r="J19" s="18" t="n">
        <v>38.913</v>
      </c>
      <c r="K19" s="18" t="n">
        <v>46.98</v>
      </c>
      <c r="L19" s="18" t="n">
        <v>56.922</v>
      </c>
      <c r="M19" s="18" t="n">
        <v>68.372</v>
      </c>
      <c r="N19" s="18" t="n">
        <v>73.63800000000001</v>
      </c>
      <c r="O19" s="18" t="n">
        <v>83.578</v>
      </c>
      <c r="P19" s="18" t="n">
        <v>91.59999999999999</v>
      </c>
      <c r="Q19" s="18" t="n">
        <v>100.026</v>
      </c>
      <c r="R19" s="18" t="n">
        <v>106.842</v>
      </c>
      <c r="S19" s="18" t="n">
        <v>117.363</v>
      </c>
      <c r="T19" s="18" t="n">
        <v>129.774</v>
      </c>
      <c r="U19" s="18" t="n">
        <v>137.892</v>
      </c>
      <c r="V19" s="18" t="n">
        <v>142.742</v>
      </c>
      <c r="W19" s="18" t="n">
        <v>150.524</v>
      </c>
      <c r="X19" s="18" t="n">
        <v>160.953</v>
      </c>
      <c r="Y19" s="18" t="n">
        <v>169.414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</row>
    <row r="22">
      <c r="A22" s="4" t="inlineStr">
        <is>
          <t>Post Contract Customer Support</t>
        </is>
      </c>
      <c r="G22" s="18" t="n">
        <v>43.296</v>
      </c>
      <c r="H22" s="18" t="n">
        <v>47.72</v>
      </c>
      <c r="I22" s="18" t="n">
        <v>52.609</v>
      </c>
      <c r="J22" s="18" t="n">
        <v>56.06</v>
      </c>
      <c r="K22" s="18" t="n">
        <v>60.47</v>
      </c>
      <c r="L22" s="18" t="n">
        <v>64.688</v>
      </c>
      <c r="M22" s="18" t="n">
        <v>66.58499999999999</v>
      </c>
      <c r="N22" s="18" t="n">
        <v>67.941</v>
      </c>
      <c r="O22" s="18" t="n">
        <v>72.366</v>
      </c>
      <c r="P22" s="18" t="n">
        <v>76.28400000000001</v>
      </c>
      <c r="Q22" s="18" t="n">
        <v>79.654</v>
      </c>
      <c r="R22" s="18" t="n">
        <v>80.693</v>
      </c>
      <c r="S22" s="18" t="n">
        <v>80.381</v>
      </c>
      <c r="T22" s="18" t="n">
        <v>85.11</v>
      </c>
      <c r="U22" s="18" t="n">
        <v>86.676</v>
      </c>
      <c r="V22" s="18" t="n">
        <v>87.11</v>
      </c>
      <c r="W22" s="18" t="n">
        <v>89.678</v>
      </c>
      <c r="X22" s="18" t="n">
        <v>93.56</v>
      </c>
      <c r="Y22" s="18" t="n">
        <v>93.82599999999999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</row>
    <row r="25">
      <c r="A25" s="4" t="inlineStr">
        <is>
          <t>License</t>
        </is>
      </c>
      <c r="G25" s="18" t="n">
        <v>15.551</v>
      </c>
      <c r="H25" s="18" t="n">
        <v>17.872</v>
      </c>
      <c r="I25" s="18" t="n">
        <v>21.799</v>
      </c>
      <c r="J25" s="18" t="n">
        <v>18.947</v>
      </c>
      <c r="K25" s="18" t="n">
        <v>19.568</v>
      </c>
      <c r="L25" s="18" t="n">
        <v>17.12</v>
      </c>
      <c r="M25" s="18" t="n">
        <v>20.384</v>
      </c>
      <c r="N25" s="18" t="n">
        <v>18.988</v>
      </c>
      <c r="O25" s="18" t="n">
        <v>20.544</v>
      </c>
      <c r="P25" s="18" t="n">
        <v>21.386</v>
      </c>
      <c r="Q25" s="18" t="n">
        <v>23.107</v>
      </c>
      <c r="R25" s="18" t="n">
        <v>19.367</v>
      </c>
      <c r="S25" s="18" t="n">
        <v>26.958</v>
      </c>
      <c r="T25" s="18" t="n">
        <v>24.967</v>
      </c>
      <c r="U25" s="18" t="n">
        <v>26.068</v>
      </c>
      <c r="V25" s="18" t="n">
        <v>31.058</v>
      </c>
      <c r="W25" s="18" t="n">
        <v>30.63</v>
      </c>
      <c r="X25" s="18" t="n">
        <v>31.824</v>
      </c>
      <c r="Y25" s="18" t="n">
        <v>38.405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</row>
    <row r="28">
      <c r="A28" s="4" t="inlineStr">
        <is>
          <t>Service</t>
        </is>
      </c>
      <c r="G28" s="18" t="n">
        <v>9.821999999999999</v>
      </c>
      <c r="H28" s="18" t="n">
        <v>10.17</v>
      </c>
      <c r="I28" s="18" t="n">
        <v>11.737</v>
      </c>
      <c r="J28" s="18" t="n">
        <v>12.219</v>
      </c>
      <c r="K28" s="18" t="n">
        <v>12.389</v>
      </c>
      <c r="L28" s="18" t="n">
        <v>13.002</v>
      </c>
      <c r="M28" s="18" t="n">
        <v>13.325</v>
      </c>
      <c r="N28" s="18" t="n">
        <v>13.735</v>
      </c>
      <c r="O28" s="18" t="n">
        <v>12.797</v>
      </c>
      <c r="P28" s="18" t="n">
        <v>10.911</v>
      </c>
      <c r="Q28" s="18" t="n">
        <v>10.397</v>
      </c>
      <c r="R28" s="18" t="n">
        <v>10.335</v>
      </c>
      <c r="S28" s="18" t="n">
        <v>10.284</v>
      </c>
      <c r="T28" s="18" t="n">
        <v>10.348</v>
      </c>
      <c r="U28" s="18" t="n">
        <v>10.584</v>
      </c>
      <c r="V28" s="18" t="n">
        <v>10.21</v>
      </c>
      <c r="W28" s="18" t="n">
        <v>11.453</v>
      </c>
      <c r="X28" s="18" t="n">
        <v>12.187</v>
      </c>
      <c r="Y28" s="18" t="n">
        <v>13.174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</row>
    <row r="31">
      <c r="A31" s="5" t="inlineStr">
        <is>
          <t xml:space="preserve">  REVENUE BY SEGMENT — GEOGRAPHY (% YoY, % of revenue)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</row>
    <row r="32">
      <c r="A32" s="4" t="inlineStr">
        <is>
          <t>UNITED STATES</t>
        </is>
      </c>
      <c r="G32" s="18" t="n">
        <v>56.811</v>
      </c>
      <c r="H32" s="18" t="n">
        <v>66.264</v>
      </c>
      <c r="I32" s="18" t="n">
        <v>74.322</v>
      </c>
      <c r="J32" s="18" t="n">
        <v>78.992</v>
      </c>
      <c r="K32" s="18" t="n">
        <v>87.556</v>
      </c>
      <c r="L32" s="18" t="n">
        <v>95.126</v>
      </c>
      <c r="M32" s="18" t="n">
        <v>100.458</v>
      </c>
      <c r="N32" s="18" t="n">
        <v>103.942</v>
      </c>
      <c r="O32" s="18" t="n">
        <v>113.91</v>
      </c>
      <c r="P32" s="18" t="n">
        <v>119.367</v>
      </c>
      <c r="Q32" s="18" t="n">
        <v>127.638</v>
      </c>
      <c r="R32" s="18" t="n">
        <v>127.41</v>
      </c>
      <c r="S32" s="18" t="n">
        <v>143.246</v>
      </c>
      <c r="T32" s="18" t="n">
        <v>152.4</v>
      </c>
      <c r="U32" s="18" t="n">
        <v>153.704</v>
      </c>
      <c r="V32" s="18" t="n">
        <v>156.412</v>
      </c>
      <c r="W32" s="18" t="n">
        <v>164.348</v>
      </c>
      <c r="X32" s="18" t="n">
        <v>172.14</v>
      </c>
      <c r="Y32" s="18" t="n">
        <v>172.415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</row>
    <row r="35">
      <c r="A35" s="4" t="inlineStr">
        <is>
          <t>Non-US</t>
        </is>
      </c>
      <c r="I35" s="18" t="n">
        <v>45.606</v>
      </c>
      <c r="J35" s="18" t="n">
        <v>47.147</v>
      </c>
      <c r="K35" s="18" t="n">
        <v>51.851</v>
      </c>
      <c r="L35" s="18" t="n">
        <v>56.606</v>
      </c>
      <c r="M35" s="18" t="n">
        <v>68.208</v>
      </c>
      <c r="N35" s="18" t="n">
        <v>70.36</v>
      </c>
      <c r="O35" s="18" t="n">
        <v>75.375</v>
      </c>
      <c r="P35" s="18" t="n">
        <v>80.81399999999999</v>
      </c>
      <c r="Q35" s="18" t="n">
        <v>85.54600000000001</v>
      </c>
      <c r="R35" s="18" t="n">
        <v>89.827</v>
      </c>
      <c r="S35" s="18" t="n">
        <v>91.73999999999999</v>
      </c>
      <c r="T35" s="18" t="n">
        <v>97.79900000000001</v>
      </c>
      <c r="U35" s="18" t="n">
        <v>107.516</v>
      </c>
      <c r="V35" s="18" t="n">
        <v>114.708</v>
      </c>
      <c r="W35" s="18" t="n">
        <v>117.937</v>
      </c>
      <c r="X35" s="18" t="n">
        <v>126.384</v>
      </c>
      <c r="Y35" s="18" t="n">
        <v>142.404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</row>
    <row r="39">
      <c r="A39" s="4" t="inlineStr">
        <is>
          <t>Cash &amp; ST Investments</t>
        </is>
      </c>
      <c r="B39" s="18" t="n">
        <v>99.773</v>
      </c>
      <c r="E39" s="18" t="n">
        <v>288.545</v>
      </c>
      <c r="F39" s="18" t="n">
        <v>280.098</v>
      </c>
      <c r="G39" s="18" t="n">
        <v>1043.873</v>
      </c>
      <c r="H39" s="18" t="n">
        <v>1030.942</v>
      </c>
      <c r="I39" s="18" t="n">
        <v>2016.017</v>
      </c>
      <c r="J39" s="18" t="n">
        <v>1990.637</v>
      </c>
      <c r="K39" s="18" t="n">
        <v>1957.526</v>
      </c>
      <c r="L39" s="18" t="n">
        <v>1939.719</v>
      </c>
      <c r="M39" s="18" t="n">
        <v>1926.825</v>
      </c>
      <c r="N39" s="18" t="n">
        <v>1849.852</v>
      </c>
      <c r="O39" s="18" t="n">
        <v>1847.555</v>
      </c>
      <c r="P39" s="18" t="n">
        <v>1872.792</v>
      </c>
      <c r="Q39" s="18" t="n">
        <v>1900.77</v>
      </c>
      <c r="R39" s="18" t="n">
        <v>1906.959</v>
      </c>
      <c r="S39" s="18" t="n">
        <v>1931.181</v>
      </c>
      <c r="T39" s="18" t="n">
        <v>1859.493</v>
      </c>
      <c r="U39" s="18" t="n">
        <v>1910.563</v>
      </c>
      <c r="V39" s="18" t="n">
        <v>1916.577</v>
      </c>
      <c r="W39" s="18" t="n">
        <v>1940.623</v>
      </c>
      <c r="X39" s="18" t="n">
        <v>1989.778</v>
      </c>
      <c r="Y39" s="18" t="n">
        <v>2053.972</v>
      </c>
    </row>
    <row r="40">
      <c r="A40" s="4" t="inlineStr">
        <is>
          <t>Total Current Assets</t>
        </is>
      </c>
      <c r="B40" s="18" t="n">
        <v>99.773</v>
      </c>
      <c r="E40" s="18" t="n">
        <v>427.694</v>
      </c>
      <c r="F40" s="18" t="n">
        <v>417.186</v>
      </c>
      <c r="G40" s="18" t="n">
        <v>1213.605</v>
      </c>
      <c r="H40" s="18" t="n">
        <v>1207.549</v>
      </c>
      <c r="I40" s="18" t="n">
        <v>2226.073</v>
      </c>
      <c r="J40" s="18" t="n">
        <v>2195.249</v>
      </c>
      <c r="K40" s="18" t="n">
        <v>2192.023</v>
      </c>
      <c r="L40" s="18" t="n">
        <v>2174.555</v>
      </c>
      <c r="M40" s="18" t="n">
        <v>2198.125</v>
      </c>
      <c r="N40" s="18" t="n">
        <v>2115.049</v>
      </c>
      <c r="O40" s="18" t="n">
        <v>2139.658</v>
      </c>
      <c r="P40" s="18" t="n">
        <v>2168.058</v>
      </c>
      <c r="Q40" s="18" t="n">
        <v>2251.655</v>
      </c>
      <c r="R40" s="18" t="n">
        <v>2226.117</v>
      </c>
      <c r="S40" s="18" t="n">
        <v>2262.801</v>
      </c>
      <c r="T40" s="18" t="n">
        <v>2266.193</v>
      </c>
      <c r="U40" s="18" t="n">
        <v>2351.319</v>
      </c>
      <c r="V40" s="18" t="n">
        <v>2342.838</v>
      </c>
      <c r="W40" s="18" t="n">
        <v>2441.494</v>
      </c>
      <c r="X40" s="18" t="n">
        <v>2498.858</v>
      </c>
      <c r="Y40" s="18" t="n">
        <v>2607.013</v>
      </c>
    </row>
    <row r="41">
      <c r="A41" s="4" t="inlineStr">
        <is>
          <t>PP&amp;E (net)</t>
        </is>
      </c>
      <c r="B41" s="18" t="n">
        <v>0</v>
      </c>
      <c r="E41" s="18" t="n">
        <v>54.991</v>
      </c>
      <c r="F41" s="18" t="n">
        <v>52.738</v>
      </c>
      <c r="G41" s="18" t="n">
        <v>52.542</v>
      </c>
      <c r="H41" s="18" t="n">
        <v>51.597</v>
      </c>
      <c r="I41" s="18" t="n">
        <v>51.709</v>
      </c>
      <c r="J41" s="18" t="n">
        <v>53.3</v>
      </c>
      <c r="K41" s="18" t="n">
        <v>54.426</v>
      </c>
      <c r="L41" s="18" t="n">
        <v>57.12</v>
      </c>
      <c r="M41" s="18" t="n">
        <v>58.567</v>
      </c>
      <c r="N41" s="18" t="n">
        <v>48.072</v>
      </c>
      <c r="O41" s="18" t="n">
        <v>55.469</v>
      </c>
      <c r="P41" s="18" t="n">
        <v>58.885</v>
      </c>
      <c r="Q41" s="18" t="n">
        <v>64.07299999999999</v>
      </c>
      <c r="R41" s="18" t="n">
        <v>70.803</v>
      </c>
      <c r="S41" s="18" t="n">
        <v>76.788</v>
      </c>
      <c r="T41" s="18" t="n">
        <v>83.14700000000001</v>
      </c>
      <c r="U41" s="18" t="n">
        <v>87.498</v>
      </c>
      <c r="V41" s="18" t="n">
        <v>89.62</v>
      </c>
      <c r="W41" s="18" t="n">
        <v>93.89400000000001</v>
      </c>
      <c r="X41" s="18" t="n">
        <v>95.051</v>
      </c>
      <c r="Y41" s="18" t="n">
        <v>98.11499999999999</v>
      </c>
    </row>
    <row r="42">
      <c r="A42" s="4" t="inlineStr">
        <is>
          <t>Total Assets</t>
        </is>
      </c>
      <c r="B42" s="18" t="n">
        <v>0</v>
      </c>
      <c r="E42" s="18" t="n">
        <v>526.119</v>
      </c>
      <c r="F42" s="18" t="n">
        <v>518.956</v>
      </c>
      <c r="G42" s="18" t="n">
        <v>1317.978</v>
      </c>
      <c r="H42" s="18" t="n">
        <v>1309.82</v>
      </c>
      <c r="I42" s="18" t="n">
        <v>2342.729</v>
      </c>
      <c r="J42" s="18" t="n">
        <v>2317.501</v>
      </c>
      <c r="K42" s="18" t="n">
        <v>2324.917</v>
      </c>
      <c r="L42" s="18" t="n">
        <v>2313.629</v>
      </c>
      <c r="M42" s="18" t="n">
        <v>2344.849</v>
      </c>
      <c r="N42" s="18" t="n">
        <v>2292.825</v>
      </c>
      <c r="O42" s="18" t="n">
        <v>2327.64</v>
      </c>
      <c r="P42" s="18" t="n">
        <v>2361.667</v>
      </c>
      <c r="Q42" s="18" t="n">
        <v>2460.809</v>
      </c>
      <c r="R42" s="18" t="n">
        <v>2439.629</v>
      </c>
      <c r="S42" s="18" t="n">
        <v>2528.466</v>
      </c>
      <c r="T42" s="18" t="n">
        <v>2608.009</v>
      </c>
      <c r="U42" s="18" t="n">
        <v>2694.911</v>
      </c>
      <c r="V42" s="18" t="n">
        <v>2698.674</v>
      </c>
      <c r="W42" s="18" t="n">
        <v>2817.408</v>
      </c>
      <c r="X42" s="18" t="n">
        <v>2877.105</v>
      </c>
      <c r="Y42" s="18" t="n">
        <v>2985.27</v>
      </c>
    </row>
    <row r="43">
      <c r="A43" s="4" t="inlineStr">
        <is>
          <t>Total Current Liabilities</t>
        </is>
      </c>
      <c r="B43" s="18" t="n">
        <v>0</v>
      </c>
      <c r="E43" s="18" t="n">
        <v>193.799</v>
      </c>
      <c r="F43" s="18" t="n">
        <v>211.708</v>
      </c>
      <c r="G43" s="18" t="n">
        <v>248.98</v>
      </c>
      <c r="H43" s="18" t="n">
        <v>272.801</v>
      </c>
      <c r="I43" s="18" t="n">
        <v>348.188</v>
      </c>
      <c r="J43" s="18" t="n">
        <v>330.729</v>
      </c>
      <c r="K43" s="18" t="n">
        <v>376.18</v>
      </c>
      <c r="L43" s="18" t="n">
        <v>378.646</v>
      </c>
      <c r="M43" s="18" t="n">
        <v>424.33</v>
      </c>
      <c r="N43" s="18" t="n">
        <v>401.162</v>
      </c>
      <c r="O43" s="18" t="n">
        <v>423.358</v>
      </c>
      <c r="P43" s="18" t="n">
        <v>435.46</v>
      </c>
      <c r="Q43" s="18" t="n">
        <v>487.021</v>
      </c>
      <c r="R43" s="18" t="n">
        <v>439.198</v>
      </c>
      <c r="S43" s="18" t="n">
        <v>520.186</v>
      </c>
      <c r="T43" s="18" t="n">
        <v>534.955</v>
      </c>
      <c r="U43" s="18" t="n">
        <v>589.246</v>
      </c>
      <c r="V43" s="18" t="n">
        <v>529.8680000000001</v>
      </c>
      <c r="W43" s="18" t="n">
        <v>612.874</v>
      </c>
      <c r="X43" s="18" t="n">
        <v>622.611</v>
      </c>
      <c r="Y43" s="18" t="n">
        <v>680.605</v>
      </c>
    </row>
    <row r="44">
      <c r="A44" s="4" t="inlineStr">
        <is>
          <t>Long-term Debt</t>
        </is>
      </c>
      <c r="B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1080.701</v>
      </c>
      <c r="J44" s="18" t="n">
        <v>1081.637</v>
      </c>
      <c r="K44" s="18" t="n">
        <v>1082.583</v>
      </c>
      <c r="L44" s="18" t="n">
        <v>1083.541</v>
      </c>
      <c r="M44" s="18" t="n">
        <v>1084.5</v>
      </c>
      <c r="N44" s="18" t="n">
        <v>1085.439</v>
      </c>
      <c r="O44" s="18" t="n">
        <v>1086.389</v>
      </c>
      <c r="P44" s="18" t="n">
        <v>1087.35</v>
      </c>
      <c r="Q44" s="18" t="n">
        <v>1088.313</v>
      </c>
      <c r="R44" s="18" t="n">
        <v>1089.266</v>
      </c>
      <c r="S44" s="18" t="n">
        <v>1090.219</v>
      </c>
      <c r="T44" s="18" t="n">
        <v>1091.183</v>
      </c>
      <c r="U44" s="18" t="n">
        <v>1092.149</v>
      </c>
      <c r="V44" s="18" t="n">
        <v>1093.094</v>
      </c>
      <c r="W44" s="18" t="n">
        <v>1094.051</v>
      </c>
      <c r="X44" s="18" t="n">
        <v>1097.083</v>
      </c>
      <c r="Y44" s="18" t="n">
        <v>1095.988</v>
      </c>
    </row>
    <row r="45">
      <c r="A45" s="4" t="inlineStr">
        <is>
          <t>Total Equity</t>
        </is>
      </c>
      <c r="B45" s="18" t="n">
        <v>75.01900000000001</v>
      </c>
      <c r="E45" s="18" t="n">
        <v>-306.249</v>
      </c>
      <c r="F45" s="18" t="n">
        <v>-330.086</v>
      </c>
      <c r="G45" s="18" t="n">
        <v>1003.545</v>
      </c>
      <c r="H45" s="18" t="n">
        <v>971.141</v>
      </c>
      <c r="I45" s="18" t="n">
        <v>850.2809999999999</v>
      </c>
      <c r="J45" s="18" t="n">
        <v>836.069</v>
      </c>
      <c r="K45" s="18" t="n">
        <v>796.624</v>
      </c>
      <c r="L45" s="18" t="n">
        <v>783.898</v>
      </c>
      <c r="M45" s="18" t="n">
        <v>769.477</v>
      </c>
      <c r="N45" s="18" t="n">
        <v>744.851</v>
      </c>
      <c r="O45" s="18" t="n">
        <v>761.386</v>
      </c>
      <c r="P45" s="18" t="n">
        <v>789.056</v>
      </c>
      <c r="Q45" s="18" t="n">
        <v>810.415</v>
      </c>
      <c r="R45" s="18" t="n">
        <v>845.217</v>
      </c>
      <c r="S45" s="18" t="n">
        <v>873.864</v>
      </c>
      <c r="T45" s="18" t="n">
        <v>934.318</v>
      </c>
      <c r="U45" s="18" t="n">
        <v>961.226</v>
      </c>
      <c r="V45" s="18" t="n">
        <v>1025.333</v>
      </c>
      <c r="W45" s="18" t="n">
        <v>1063.667</v>
      </c>
      <c r="X45" s="18" t="n">
        <v>1118.95</v>
      </c>
      <c r="Y45" s="18" t="n">
        <v>1169.139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</row>
    <row r="47">
      <c r="A47" s="4" t="inlineStr">
        <is>
          <t>D&amp;A</t>
        </is>
      </c>
      <c r="B47" s="18" t="n">
        <v>0.265</v>
      </c>
      <c r="C47" s="18" t="n">
        <v>0.434</v>
      </c>
      <c r="D47" s="18" t="n">
        <v>0.488</v>
      </c>
      <c r="E47" s="18" t="n">
        <v>0.38</v>
      </c>
      <c r="F47" s="18" t="n">
        <v>0.787</v>
      </c>
      <c r="G47" s="18" t="n">
        <v>0.756</v>
      </c>
      <c r="H47" s="18" t="n">
        <v>0.897</v>
      </c>
      <c r="I47" s="18" t="n">
        <v>3.616</v>
      </c>
      <c r="J47" s="18" t="n">
        <v>1.25</v>
      </c>
      <c r="K47" s="18" t="n">
        <v>4.01</v>
      </c>
      <c r="L47" s="18" t="n">
        <v>2.075</v>
      </c>
      <c r="M47" s="18" t="n">
        <v>4.476</v>
      </c>
      <c r="N47" s="18" t="n">
        <v>3.122</v>
      </c>
      <c r="O47" s="18" t="n">
        <v>3.256</v>
      </c>
      <c r="P47" s="18" t="n">
        <v>3.609</v>
      </c>
      <c r="Q47" s="18" t="n">
        <v>3.923</v>
      </c>
      <c r="R47" s="18" t="n">
        <v>4.311</v>
      </c>
      <c r="S47" s="18" t="n">
        <v>5.842</v>
      </c>
      <c r="T47" s="18" t="n">
        <v>5.702</v>
      </c>
      <c r="U47" s="18" t="n">
        <v>6.234</v>
      </c>
      <c r="V47" s="18" t="n">
        <v>6.605</v>
      </c>
      <c r="W47" s="18" t="n">
        <v>7.344</v>
      </c>
      <c r="X47" s="18" t="n">
        <v>7.821</v>
      </c>
      <c r="Y47" s="18" t="n">
        <v>7.786</v>
      </c>
    </row>
    <row r="48">
      <c r="A48" s="4" t="inlineStr">
        <is>
          <t>Stock-based Compensation</t>
        </is>
      </c>
      <c r="B48" s="18" t="n">
        <v>6.451</v>
      </c>
      <c r="C48" s="18" t="n">
        <v>7.072</v>
      </c>
      <c r="D48" s="18" t="n">
        <v>120.074</v>
      </c>
      <c r="E48" s="18" t="n">
        <v>9.744</v>
      </c>
      <c r="F48" s="18" t="n">
        <v>13.353</v>
      </c>
      <c r="G48" s="18" t="n">
        <v>34.516</v>
      </c>
      <c r="H48" s="18" t="n">
        <v>49.683</v>
      </c>
      <c r="I48" s="18" t="n">
        <v>0</v>
      </c>
      <c r="J48" s="18" t="n">
        <v>57.369</v>
      </c>
      <c r="K48" s="18" t="n">
        <v>0</v>
      </c>
      <c r="L48" s="18" t="n">
        <v>75.393</v>
      </c>
      <c r="M48" s="18" t="n">
        <v>0</v>
      </c>
      <c r="N48" s="18" t="n">
        <v>79.289</v>
      </c>
      <c r="O48" s="18" t="n">
        <v>92.15900000000001</v>
      </c>
      <c r="P48" s="18" t="n">
        <v>89.514</v>
      </c>
      <c r="Q48" s="18" t="n">
        <v>88.871</v>
      </c>
      <c r="R48" s="18" t="n">
        <v>95.322</v>
      </c>
      <c r="S48" s="18" t="n">
        <v>99.107</v>
      </c>
      <c r="T48" s="18" t="n">
        <v>98.307</v>
      </c>
      <c r="U48" s="18" t="n">
        <v>102.924</v>
      </c>
      <c r="V48" s="18" t="n">
        <v>92.575</v>
      </c>
      <c r="W48" s="18" t="n">
        <v>101.997</v>
      </c>
      <c r="X48" s="18" t="n">
        <v>101.128</v>
      </c>
      <c r="Y48" s="18" t="n">
        <v>101.625</v>
      </c>
    </row>
    <row r="49">
      <c r="A49" s="4" t="inlineStr">
        <is>
          <t>Change in Working Capital</t>
        </is>
      </c>
      <c r="B49" s="18" t="n">
        <v>-10.273</v>
      </c>
      <c r="C49" s="18" t="n">
        <v>-9.214</v>
      </c>
      <c r="D49" s="18" t="n">
        <v>1.696</v>
      </c>
      <c r="E49" s="18" t="n">
        <v>-7.955</v>
      </c>
      <c r="F49" s="18" t="n">
        <v>1.629</v>
      </c>
      <c r="G49" s="18" t="n">
        <v>-15.319</v>
      </c>
      <c r="H49" s="18" t="n">
        <v>15.798</v>
      </c>
      <c r="I49" s="18" t="n">
        <v>19.78</v>
      </c>
      <c r="J49" s="18" t="n">
        <v>-13.249</v>
      </c>
      <c r="K49" s="18" t="n">
        <v>1.495</v>
      </c>
      <c r="L49" s="18" t="n">
        <v>-13.165</v>
      </c>
      <c r="M49" s="18" t="n">
        <v>-7.141</v>
      </c>
      <c r="N49" s="18" t="n">
        <v>-27.076</v>
      </c>
      <c r="O49" s="18" t="n">
        <v>-24.019</v>
      </c>
      <c r="P49" s="18" t="n">
        <v>-14.309</v>
      </c>
      <c r="Q49" s="18" t="n">
        <v>9.648</v>
      </c>
      <c r="R49" s="18" t="n">
        <v>-38.288</v>
      </c>
      <c r="S49" s="18" t="n">
        <v>-11.932</v>
      </c>
      <c r="T49" s="18" t="n">
        <v>-21.185</v>
      </c>
      <c r="U49" s="18" t="n">
        <v>4.24</v>
      </c>
      <c r="V49" s="18" t="n">
        <v>-50.58</v>
      </c>
      <c r="W49" s="18" t="n">
        <v>-20.977</v>
      </c>
      <c r="X49" s="18" t="n">
        <v>-27.141</v>
      </c>
      <c r="Y49" s="18" t="n">
        <v>0.23</v>
      </c>
    </row>
    <row r="50">
      <c r="A50" s="4" t="inlineStr">
        <is>
          <t>Operating Cash Flow</t>
        </is>
      </c>
      <c r="B50" s="18" t="n">
        <v>-31.031</v>
      </c>
      <c r="C50" s="18" t="n">
        <v>-21.456</v>
      </c>
      <c r="D50" s="18" t="n">
        <v>-9.175000000000001</v>
      </c>
      <c r="E50" s="18" t="n">
        <v>-20.395</v>
      </c>
      <c r="F50" s="18" t="n">
        <v>-19.989</v>
      </c>
      <c r="G50" s="18" t="n">
        <v>-43.166</v>
      </c>
      <c r="H50" s="18" t="n">
        <v>-18.029</v>
      </c>
      <c r="I50" s="18" t="n">
        <v>-23.876</v>
      </c>
      <c r="J50" s="18" t="n">
        <v>-55.031</v>
      </c>
      <c r="K50" s="18" t="n">
        <v>-34.258</v>
      </c>
      <c r="L50" s="18" t="n">
        <v>-41.752</v>
      </c>
      <c r="M50" s="18" t="n">
        <v>-26.292</v>
      </c>
      <c r="N50" s="18" t="n">
        <v>-77.77200000000001</v>
      </c>
      <c r="O50" s="18" t="n">
        <v>-29.06</v>
      </c>
      <c r="P50" s="18" t="n">
        <v>-9.06</v>
      </c>
      <c r="Q50" s="18" t="n">
        <v>12.235</v>
      </c>
      <c r="R50" s="18" t="n">
        <v>-25.954</v>
      </c>
      <c r="S50" s="18" t="n">
        <v>8.59</v>
      </c>
      <c r="T50" s="18" t="n">
        <v>15.613</v>
      </c>
      <c r="U50" s="18" t="n">
        <v>35.211</v>
      </c>
      <c r="V50" s="18" t="n">
        <v>-26.754</v>
      </c>
      <c r="W50" s="18" t="n">
        <v>18.115</v>
      </c>
      <c r="X50" s="18" t="n">
        <v>30.801</v>
      </c>
      <c r="Y50" s="18" t="n">
        <v>42.112</v>
      </c>
    </row>
    <row r="51">
      <c r="A51" s="4" t="inlineStr">
        <is>
          <t>Capex</t>
        </is>
      </c>
      <c r="B51" s="18" t="n">
        <v>-1.338</v>
      </c>
      <c r="C51" s="18" t="n">
        <v>-1.243</v>
      </c>
      <c r="D51" s="18" t="n">
        <v>-1.079</v>
      </c>
      <c r="E51" s="18" t="n">
        <v>-0.99</v>
      </c>
      <c r="F51" s="18" t="n">
        <v>-1.239</v>
      </c>
      <c r="G51" s="18" t="n">
        <v>-2.245</v>
      </c>
      <c r="H51" s="18" t="n">
        <v>-2.615</v>
      </c>
      <c r="I51" s="18" t="n">
        <v>-2.843</v>
      </c>
      <c r="J51" s="18" t="n">
        <v>-3.396</v>
      </c>
      <c r="K51" s="18" t="n">
        <v>-3.44</v>
      </c>
      <c r="L51" s="18" t="n">
        <v>-3.832</v>
      </c>
      <c r="M51" s="18" t="n">
        <v>-3.787</v>
      </c>
      <c r="N51" s="18" t="n">
        <v>-5.102</v>
      </c>
      <c r="O51" s="18" t="n">
        <v>-6.139</v>
      </c>
      <c r="P51" s="18" t="n">
        <v>-4.023</v>
      </c>
      <c r="Q51" s="18" t="n">
        <v>-5.415</v>
      </c>
      <c r="R51" s="18" t="n">
        <v>-5.725</v>
      </c>
      <c r="S51" s="18" t="n">
        <v>-5.881</v>
      </c>
      <c r="T51" s="18" t="n">
        <v>-6.276</v>
      </c>
      <c r="U51" s="18" t="n">
        <v>-6.089</v>
      </c>
      <c r="V51" s="18" t="n">
        <v>-6.235</v>
      </c>
      <c r="W51" s="18" t="n">
        <v>-0.919</v>
      </c>
      <c r="X51" s="18" t="n">
        <v>-6.216</v>
      </c>
      <c r="Y51" s="18" t="n">
        <v>-0.442</v>
      </c>
    </row>
    <row r="52">
      <c r="A52" s="4" t="inlineStr">
        <is>
          <t>Free Cash Flow</t>
        </is>
      </c>
      <c r="B52" s="18" t="n">
        <v>-32.369</v>
      </c>
      <c r="C52" s="18" t="n">
        <v>-22.699</v>
      </c>
      <c r="D52" s="18" t="n">
        <v>-10.254</v>
      </c>
      <c r="E52" s="18" t="n">
        <v>-21.385</v>
      </c>
      <c r="F52" s="18" t="n">
        <v>-21.228</v>
      </c>
      <c r="G52" s="18" t="n">
        <v>-45.411</v>
      </c>
      <c r="H52" s="18" t="n">
        <v>-20.644</v>
      </c>
      <c r="I52" s="18" t="n">
        <v>-26.719</v>
      </c>
      <c r="J52" s="18" t="n">
        <v>-58.427</v>
      </c>
      <c r="K52" s="18" t="n">
        <v>-37.698</v>
      </c>
      <c r="L52" s="18" t="n">
        <v>-45.584</v>
      </c>
      <c r="M52" s="18" t="n">
        <v>-30.079</v>
      </c>
      <c r="N52" s="18" t="n">
        <v>-82.874</v>
      </c>
      <c r="O52" s="18" t="n">
        <v>-35.199</v>
      </c>
      <c r="P52" s="18" t="n">
        <v>-13.083</v>
      </c>
      <c r="Q52" s="18" t="n">
        <v>6.82</v>
      </c>
      <c r="R52" s="18" t="n">
        <v>-31.679</v>
      </c>
      <c r="S52" s="18" t="n">
        <v>2.709</v>
      </c>
      <c r="T52" s="18" t="n">
        <v>9.337</v>
      </c>
      <c r="U52" s="18" t="n">
        <v>29.122</v>
      </c>
      <c r="V52" s="18" t="n">
        <v>-32.989</v>
      </c>
      <c r="W52" s="18" t="n">
        <v>17.196</v>
      </c>
      <c r="X52" s="18" t="n">
        <v>24.585</v>
      </c>
      <c r="Y52" s="18" t="n">
        <v>41.67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1363.791833</v>
      </c>
      <c r="C4" s="18" t="n">
        <v>1592.552592</v>
      </c>
      <c r="D4" s="18" t="n">
        <v>1820.15</v>
      </c>
      <c r="E4" s="18" t="n">
        <v>2041.5</v>
      </c>
      <c r="F4" s="18" t="n">
        <v>2315.3</v>
      </c>
    </row>
    <row r="5">
      <c r="A5" s="4" t="inlineStr">
        <is>
          <t xml:space="preserve">  model</t>
        </is>
      </c>
      <c r="B5" s="34">
        <f>Model!G12</f>
        <v/>
      </c>
      <c r="C5" s="34">
        <f>Model!H12</f>
        <v/>
      </c>
      <c r="D5" s="34">
        <f>Model!I12</f>
        <v/>
      </c>
      <c r="E5" s="34">
        <f>Model!J12</f>
        <v/>
      </c>
      <c r="F5" s="34">
        <f>Model!K12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319.598159</v>
      </c>
      <c r="C8" s="18" t="n">
        <v>373.207159</v>
      </c>
      <c r="D8" s="18" t="n">
        <v>426.543534</v>
      </c>
      <c r="E8" s="18" t="n">
        <v>478.415859</v>
      </c>
      <c r="F8" s="18" t="n">
        <v>542.579593</v>
      </c>
    </row>
    <row r="9">
      <c r="A9" s="4" t="inlineStr">
        <is>
          <t xml:space="preserve">  model</t>
        </is>
      </c>
      <c r="B9" s="34">
        <f>Model!G25+Model!G30</f>
        <v/>
      </c>
      <c r="C9" s="34">
        <f>Model!H25+Model!H30</f>
        <v/>
      </c>
      <c r="D9" s="34">
        <f>Model!I25+Model!I30</f>
        <v/>
      </c>
      <c r="E9" s="34">
        <f>Model!J25+Model!J30</f>
        <v/>
      </c>
      <c r="F9" s="34">
        <f>Model!K25+Model!K30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278.044815</v>
      </c>
      <c r="C12" s="18" t="n">
        <v>324.68371</v>
      </c>
      <c r="D12" s="18" t="n">
        <v>371.085424</v>
      </c>
      <c r="E12" s="18" t="n">
        <v>416.213441</v>
      </c>
      <c r="F12" s="18" t="n">
        <v>472.034768</v>
      </c>
    </row>
    <row r="13">
      <c r="A13" s="4" t="inlineStr">
        <is>
          <t xml:space="preserve">  model</t>
        </is>
      </c>
      <c r="B13" s="34">
        <f>Model!G25</f>
        <v/>
      </c>
      <c r="C13" s="34">
        <f>Model!H25</f>
        <v/>
      </c>
      <c r="D13" s="34">
        <f>Model!I25</f>
        <v/>
      </c>
      <c r="E13" s="34">
        <f>Model!J25</f>
        <v/>
      </c>
      <c r="F13" s="34">
        <f>Model!K25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1173.329763</v>
      </c>
      <c r="C16" s="18" t="n">
        <v>1370.142649</v>
      </c>
      <c r="D16" s="18" t="n">
        <v>1565.954654</v>
      </c>
      <c r="E16" s="18" t="n">
        <v>1756.391741</v>
      </c>
      <c r="F16" s="18" t="n">
        <v>1991.953856</v>
      </c>
    </row>
    <row r="17">
      <c r="A17" s="4" t="inlineStr">
        <is>
          <t xml:space="preserve">  model</t>
        </is>
      </c>
      <c r="B17" s="34">
        <f>Model!G20</f>
        <v/>
      </c>
      <c r="C17" s="34">
        <f>Model!H20</f>
        <v/>
      </c>
      <c r="D17" s="34">
        <f>Model!I20</f>
        <v/>
      </c>
      <c r="E17" s="34">
        <f>Model!J20</f>
        <v/>
      </c>
      <c r="F17" s="34">
        <f>Model!K20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179.15418</v>
      </c>
      <c r="C20" s="18" t="n">
        <v>237.075885</v>
      </c>
      <c r="D20" s="18" t="n">
        <v>297.973179</v>
      </c>
      <c r="E20" s="18" t="n">
        <v>405.684001</v>
      </c>
      <c r="F20" s="18" t="n">
        <v>474.444001</v>
      </c>
    </row>
    <row r="21">
      <c r="A21" s="4" t="inlineStr">
        <is>
          <t xml:space="preserve">  model</t>
        </is>
      </c>
      <c r="B21" s="34">
        <f>Model!G29</f>
        <v/>
      </c>
      <c r="C21" s="34">
        <f>Model!H29</f>
        <v/>
      </c>
      <c r="D21" s="34">
        <f>Model!I29</f>
        <v/>
      </c>
      <c r="E21" s="34">
        <f>Model!J29</f>
        <v/>
      </c>
      <c r="F21" s="34">
        <f>Model!K29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0.51108</v>
      </c>
      <c r="C24" s="48" t="n">
        <v>0.67425</v>
      </c>
      <c r="D24" s="48" t="n">
        <v>0.87</v>
      </c>
      <c r="E24" s="48" t="n">
        <v>1.18</v>
      </c>
      <c r="F24" s="48" t="n">
        <v>1.38</v>
      </c>
    </row>
    <row r="25">
      <c r="A25" s="4" t="inlineStr">
        <is>
          <t xml:space="preserve">  model</t>
        </is>
      </c>
      <c r="B25" s="8">
        <f>Model!G29/Financials!Y17</f>
        <v/>
      </c>
      <c r="C25" s="8">
        <f>Model!H29/Financials!Y17</f>
        <v/>
      </c>
      <c r="D25" s="8">
        <f>Model!I29/Financials!Y17</f>
        <v/>
      </c>
      <c r="E25" s="8">
        <f>Model!J29/Financials!Y17</f>
        <v/>
      </c>
      <c r="F25" s="8">
        <f>Model!K29/Financials!Y17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Confluent,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Model!G37</f>
        <v/>
      </c>
      <c r="D12" s="34">
        <f>Model!H37</f>
        <v/>
      </c>
      <c r="E12" s="34">
        <f>Model!I37</f>
        <v/>
      </c>
      <c r="F12" s="34">
        <f>Model!J37</f>
        <v/>
      </c>
      <c r="G12" s="34">
        <f>Model!K37</f>
        <v/>
      </c>
      <c r="H12" s="34">
        <f>Model!L37</f>
        <v/>
      </c>
      <c r="I12" s="34">
        <f>Model!M37</f>
        <v/>
      </c>
      <c r="J12" s="34">
        <f>Model!N37</f>
        <v/>
      </c>
      <c r="K12" s="34">
        <f>Model!O37</f>
        <v/>
      </c>
      <c r="L12" s="34">
        <f>Model!P37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Model!P12</f>
        <v/>
      </c>
    </row>
    <row r="21">
      <c r="A21" s="4" t="inlineStr">
        <is>
          <t>Terminal EBIT</t>
        </is>
      </c>
      <c r="B21" s="34">
        <f>Model!P25</f>
        <v/>
      </c>
    </row>
    <row r="22">
      <c r="A22" s="4" t="inlineStr">
        <is>
          <t>Terminal EBITDA (SBC-burdened)</t>
        </is>
      </c>
      <c r="B22" s="34">
        <f>Model!P25+Model!P30-Model!P31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Financials!Y39</f>
        <v/>
      </c>
    </row>
    <row r="33">
      <c r="A33" s="4" t="inlineStr">
        <is>
          <t>- Long-term debt</t>
        </is>
      </c>
      <c r="B33" s="34">
        <f>-Financials!Y44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Financials!Y17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(EV/Sales). Static grid recomputed by every rebuild/refresh — edit the Dashboard, re-run refresh_dcf to update. Shaded = base case; green = above current price.</t>
        </is>
      </c>
    </row>
    <row r="4">
      <c r="A4" s="3" t="inlineStr">
        <is>
          <t>EV/Sales x  \  WACC</t>
        </is>
      </c>
      <c r="B4" s="52" t="n">
        <v>0.06612451279675105</v>
      </c>
      <c r="C4" s="52" t="n">
        <v>0.07112451279675105</v>
      </c>
      <c r="D4" s="52" t="n">
        <v>0.07612451279675105</v>
      </c>
      <c r="E4" s="52" t="n">
        <v>0.08112451279675105</v>
      </c>
      <c r="F4" s="52" t="n">
        <v>0.08612451279675105</v>
      </c>
      <c r="G4" s="52" t="n">
        <v>0.09112451279675104</v>
      </c>
      <c r="H4" s="52" t="n">
        <v>0.09612451279675105</v>
      </c>
    </row>
    <row r="5">
      <c r="A5" s="53" t="n">
        <v>3</v>
      </c>
      <c r="B5" s="54" t="n">
        <v>12.58247920302645</v>
      </c>
      <c r="C5" s="54" t="n">
        <v>12.03487867817454</v>
      </c>
      <c r="D5" s="54" t="n">
        <v>11.51575916079956</v>
      </c>
      <c r="E5" s="54" t="n">
        <v>11.02355149313224</v>
      </c>
      <c r="F5" s="54" t="n">
        <v>10.55677906992721</v>
      </c>
      <c r="G5" s="54" t="n">
        <v>10.11405200284364</v>
      </c>
      <c r="H5" s="54" t="n">
        <v>9.694061676761656</v>
      </c>
    </row>
    <row r="6">
      <c r="A6" s="53" t="n">
        <v>4</v>
      </c>
      <c r="B6" s="54" t="n">
        <v>16.84444074546783</v>
      </c>
      <c r="C6" s="54" t="n">
        <v>16.10201971815645</v>
      </c>
      <c r="D6" s="54" t="n">
        <v>15.39783105484373</v>
      </c>
      <c r="E6" s="54" t="n">
        <v>14.72977556145918</v>
      </c>
      <c r="F6" s="54" t="n">
        <v>14.09587766629108</v>
      </c>
      <c r="G6" s="54" t="n">
        <v>13.49427763184246</v>
      </c>
      <c r="H6" s="54" t="n">
        <v>12.92322428950062</v>
      </c>
    </row>
    <row r="7">
      <c r="A7" s="53" t="n">
        <v>5</v>
      </c>
      <c r="B7" s="54" t="n">
        <v>21.10640228790921</v>
      </c>
      <c r="C7" s="54" t="n">
        <v>20.16916075813837</v>
      </c>
      <c r="D7" s="54" t="n">
        <v>19.27990294888789</v>
      </c>
      <c r="E7" s="54" t="n">
        <v>18.43599962978611</v>
      </c>
      <c r="F7" s="54" t="n">
        <v>17.63497626265494</v>
      </c>
      <c r="G7" s="54" t="n">
        <v>16.87450326084129</v>
      </c>
      <c r="H7" s="54" t="n">
        <v>16.15238690223958</v>
      </c>
    </row>
    <row r="8">
      <c r="A8" s="53" t="n">
        <v>6</v>
      </c>
      <c r="B8" s="54" t="n">
        <v>25.36836383035059</v>
      </c>
      <c r="C8" s="54" t="n">
        <v>24.23630179812028</v>
      </c>
      <c r="D8" s="54" t="n">
        <v>23.16197484293205</v>
      </c>
      <c r="E8" s="55" t="n">
        <v>22.14222369811305</v>
      </c>
      <c r="F8" s="54" t="n">
        <v>21.17407485901881</v>
      </c>
      <c r="G8" s="54" t="n">
        <v>20.25472888984012</v>
      </c>
      <c r="H8" s="54" t="n">
        <v>19.38154951497853</v>
      </c>
    </row>
    <row r="9">
      <c r="A9" s="53" t="n">
        <v>7</v>
      </c>
      <c r="B9" s="54" t="n">
        <v>29.63032537279198</v>
      </c>
      <c r="C9" s="54" t="n">
        <v>28.3034428381022</v>
      </c>
      <c r="D9" s="54" t="n">
        <v>27.04404673697622</v>
      </c>
      <c r="E9" s="54" t="n">
        <v>25.84844776643999</v>
      </c>
      <c r="F9" s="54" t="n">
        <v>24.71317345538268</v>
      </c>
      <c r="G9" s="54" t="n">
        <v>23.63495451883895</v>
      </c>
      <c r="H9" s="54" t="n">
        <v>22.6107121277175</v>
      </c>
    </row>
    <row r="10">
      <c r="A10" s="53" t="n">
        <v>8</v>
      </c>
      <c r="B10" s="8" t="n">
        <v>33.89228691523336</v>
      </c>
      <c r="C10" s="8" t="n">
        <v>32.37058387808411</v>
      </c>
      <c r="D10" s="54" t="n">
        <v>30.92611863102038</v>
      </c>
      <c r="E10" s="54" t="n">
        <v>29.55467183476692</v>
      </c>
      <c r="F10" s="54" t="n">
        <v>28.25227205174654</v>
      </c>
      <c r="G10" s="54" t="n">
        <v>27.01518014783777</v>
      </c>
      <c r="H10" s="54" t="n">
        <v>25.83987474045646</v>
      </c>
    </row>
    <row r="11">
      <c r="A11" s="53" t="n">
        <v>9</v>
      </c>
      <c r="B11" s="8" t="n">
        <v>38.15424845767474</v>
      </c>
      <c r="C11" s="8" t="n">
        <v>36.43772491806603</v>
      </c>
      <c r="D11" s="8" t="n">
        <v>34.80819052506454</v>
      </c>
      <c r="E11" s="8" t="n">
        <v>33.26089590309386</v>
      </c>
      <c r="F11" s="8" t="n">
        <v>31.79137064811041</v>
      </c>
      <c r="G11" s="54" t="n">
        <v>30.3954057768366</v>
      </c>
      <c r="H11" s="54" t="n">
        <v>29.06903735319543</v>
      </c>
    </row>
    <row r="13">
      <c r="A13" s="3" t="inlineStr">
        <is>
          <t>Current price</t>
        </is>
      </c>
      <c r="B13" s="54" t="n">
        <v>30.99</v>
      </c>
    </row>
    <row r="14">
      <c r="A14" s="3" t="inlineStr">
        <is>
          <t>Base WACC / multiple</t>
        </is>
      </c>
      <c r="B14" s="56" t="n">
        <v>0.08112451279675105</v>
      </c>
      <c r="C14" s="57" t="n"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Model!F12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Model!F26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0.02533194828703371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0.5921376370280146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(Model!P12/Model!F12)^(1/10)-1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2.791348176711717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Financials!Y39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Financials!Y44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Financials!Y17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2026-07-06T20:34:29Z</dcterms:created>
  <dcterms:modified xmlns:dcterms="http://purl.org/dc/terms/" xmlns:xsi="http://www.w3.org/2001/XMLSchema-instance" xsi:type="dcterms:W3CDTF">2026-07-06T20:34:29Z</dcterms:modified>
</cp:coreProperties>
</file>