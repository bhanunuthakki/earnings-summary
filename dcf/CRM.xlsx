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16.0%</t>
      </text>
    </comment>
    <comment ref="C20" authorId="0" shapeId="0">
      <text>
        <t>Opus: 4.0%</t>
      </text>
    </comment>
    <comment ref="B21" authorId="0" shapeId="0">
      <text>
        <t>Opus: 8.0%</t>
      </text>
    </comment>
    <comment ref="C21" authorId="0" shapeId="0">
      <text>
        <t>Opus: 3.0%</t>
      </text>
    </comment>
    <comment ref="B22" authorId="0" shapeId="0">
      <text>
        <t>Opus: 8.0%</t>
      </text>
    </comment>
    <comment ref="C22" authorId="0" shapeId="0">
      <text>
        <t>Opus: 3.0%</t>
      </text>
    </comment>
    <comment ref="B23" authorId="0" shapeId="0">
      <text>
        <t>Opus: 9.0%</t>
      </text>
    </comment>
    <comment ref="C23" authorId="0" shapeId="0">
      <text>
        <t>Opus: 3.0%</t>
      </text>
    </comment>
    <comment ref="B24" authorId="0" shapeId="0">
      <text>
        <t>Opus: 4.0%</t>
      </text>
    </comment>
    <comment ref="C24" authorId="0" shapeId="0">
      <text>
        <t>Opus: 2.5%</t>
      </text>
    </comment>
    <comment ref="B25" authorId="0" shapeId="0">
      <text>
        <t>Opus: 0.0%</t>
      </text>
    </comment>
    <comment ref="C25" authorId="0" shapeId="0">
      <text>
        <t>Opus: 2.0%</t>
      </text>
    </comment>
    <comment ref="B29" authorId="0" shapeId="0">
      <text>
        <t>Opus: 22.0%</t>
      </text>
    </comment>
    <comment ref="B30" authorId="0" shapeId="0">
      <text>
        <t>Opus: 30.0%</t>
      </text>
    </comment>
    <comment ref="B31" authorId="0" shapeId="0">
      <text>
        <t>Opus: 23.0%</t>
      </text>
    </comment>
    <comment ref="B34" authorId="0" shapeId="0">
      <text>
        <t>Opus: —
set from Opus 1% of FY1E revenue; edits not tracked (unit differs from the JSON)</t>
      </text>
    </comment>
    <comment ref="B35" authorId="0" shapeId="0">
      <text>
        <t>User-edited — overridden from Opus 1.1x on 2026-06-12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15.0x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Salesforce, Inc. (CRM)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values as of 2026-06-12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Salesforce is a mature enterprise SaaS leader whose growth is decelerating into the high-single/low-double digits as its core Sales and Service clouds saturate, offset by faster Platform/Data Cloud and AI (Agentforce) adoption. The investment case rests on durable mid-single-digit terminal growth plus continued operating-margin expansion from ~22% today toward ~30% as the company exercises pricing power and prior reorg discipline. Free cash flow remains the standout: low capex intensity (~1.4% of revenue) and a software model convert margin gains efficiently into FCFF.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Salesforce, Inc. (CRM)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IF(Model!F44&lt;=0,"n/a (neg. capital)",Model!G46-WACC!B15)</f>
        <v/>
      </c>
      <c r="C15" s="10">
        <f>IF(Model!F44&lt;=0,"n/a",IF(Model!G46-WACC!B15&lt;0,"!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Salesforce Platform and Other</t>
        </is>
      </c>
      <c r="B20" s="15" t="n">
        <v>0.16</v>
      </c>
      <c r="C20" s="15" t="n">
        <v>0.04</v>
      </c>
      <c r="D20" s="16" t="n">
        <v>0.16</v>
      </c>
      <c r="E20" s="2" t="inlineStr"/>
    </row>
    <row r="21">
      <c r="A21" s="4" t="inlineStr">
        <is>
          <t>Service Cloud</t>
        </is>
      </c>
      <c r="B21" s="15" t="n">
        <v>0.08</v>
      </c>
      <c r="C21" s="15" t="n">
        <v>0.03</v>
      </c>
      <c r="D21" s="16" t="n">
        <v>0.08</v>
      </c>
      <c r="E21" s="2" t="inlineStr"/>
    </row>
    <row r="22">
      <c r="A22" s="4" t="inlineStr">
        <is>
          <t>Sales Cloud</t>
        </is>
      </c>
      <c r="B22" s="15" t="n">
        <v>0.08</v>
      </c>
      <c r="C22" s="15" t="n">
        <v>0.03</v>
      </c>
      <c r="D22" s="16" t="n">
        <v>0.08</v>
      </c>
      <c r="E22" s="2" t="inlineStr"/>
    </row>
    <row r="23">
      <c r="A23" s="4" t="inlineStr">
        <is>
          <t>Integration And Analytics</t>
        </is>
      </c>
      <c r="B23" s="15" t="n">
        <v>0.09</v>
      </c>
      <c r="C23" s="15" t="n">
        <v>0.03</v>
      </c>
      <c r="D23" s="16" t="n">
        <v>0.09</v>
      </c>
      <c r="E23" s="2" t="inlineStr"/>
    </row>
    <row r="24">
      <c r="A24" s="4" t="inlineStr">
        <is>
          <t>Marketing and Commerce Cloud</t>
        </is>
      </c>
      <c r="B24" s="15" t="n">
        <v>0.04</v>
      </c>
      <c r="C24" s="15" t="n">
        <v>0.025</v>
      </c>
      <c r="D24" s="16" t="n">
        <v>0.04</v>
      </c>
      <c r="E24" s="2" t="inlineStr"/>
    </row>
    <row r="25">
      <c r="A25" s="4" t="inlineStr">
        <is>
          <t>Professional Services and Other</t>
        </is>
      </c>
      <c r="B25" s="15" t="n">
        <v>0</v>
      </c>
      <c r="C25" s="15" t="n">
        <v>0.02</v>
      </c>
      <c r="D25" s="16" t="n">
        <v>0</v>
      </c>
      <c r="E25" s="2" t="inlineStr"/>
    </row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0.22</v>
      </c>
      <c r="D29" s="16" t="n">
        <v>0.22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645.6990626100001</v>
      </c>
      <c r="D34" s="18" t="n">
        <v>645.6990626100001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1.139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166.1100006103516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251.8923464495284</v>
      </c>
      <c r="C58" s="28" t="n">
        <v>344.4698137253017</v>
      </c>
      <c r="D58" s="28" t="n">
        <v>182.2831163411123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0.08450331125827815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0.05070198675496689</v>
      </c>
      <c r="E66" s="2" t="inlineStr">
        <is>
          <t>fades near-&gt;terminal; also burdens the exit-multiple EBITDA</t>
        </is>
      </c>
    </row>
  </sheetData>
  <conditionalFormatting sqref="B20:B25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CRM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2026-06-12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Salesforce is a mature enterprise SaaS leader whose growth is decelerating into the high-single/low-double digits as its core Sales and Service clouds saturate, offset by faster Platform/Data Cloud and AI (Agentforce) adoption. The investment case rests on durable mid-single-digit terminal growth plus continued operating-margin expansion from ~22% today toward ~30% as the company exercises pricing power and prior reorg discipline. Free cash flow remains the standout: low capex intensity (~1.4% of revenue) and a software model convert margin gains efficiently into FCFF.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segment growth and ~22% op-margin are anchored to FMP consensus (revenue fading from ~11% to ~10% and net margin near 18-21%), then faded toward a 4% terminal tied to the risk-free rate. Terminal op-margin of 30% reflects best-in-class mature software profitability via operating leverage, and capex is converged toward maintenance (capex/D&amp;A ~1.1x); EV/EBITDA at 15x is the basis the market actually applies to large-cap profitable software and is conservative versus current trading.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Salesforce Platform and Other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16.0%</t>
        </is>
      </c>
      <c r="F20" s="31" t="inlineStr"/>
    </row>
    <row r="21">
      <c r="A21" t="inlineStr">
        <is>
          <t>Salesforce Platform and Other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Service Cloud — near-term growth</t>
        </is>
      </c>
      <c r="B22" t="inlineStr">
        <is>
          <t>B21</t>
        </is>
      </c>
      <c r="C22" s="11">
        <f>Dashboard!B21</f>
        <v/>
      </c>
      <c r="D22" t="inlineStr">
        <is>
          <t>Opus</t>
        </is>
      </c>
      <c r="E22" t="inlineStr">
        <is>
          <t>8.0%</t>
        </is>
      </c>
      <c r="F22" s="31" t="inlineStr"/>
    </row>
    <row r="23">
      <c r="A23" t="inlineStr">
        <is>
          <t>Service Cloud — terminal growth</t>
        </is>
      </c>
      <c r="B23" t="inlineStr">
        <is>
          <t>C21</t>
        </is>
      </c>
      <c r="C23" s="11">
        <f>Dashboard!C21</f>
        <v/>
      </c>
      <c r="D23" t="inlineStr">
        <is>
          <t>Opus</t>
        </is>
      </c>
      <c r="E23" t="inlineStr">
        <is>
          <t>3.0%</t>
        </is>
      </c>
      <c r="F23" s="31" t="inlineStr"/>
    </row>
    <row r="24">
      <c r="A24" t="inlineStr">
        <is>
          <t>Sales Cloud — near-term growth</t>
        </is>
      </c>
      <c r="B24" t="inlineStr">
        <is>
          <t>B22</t>
        </is>
      </c>
      <c r="C24" s="11">
        <f>Dashboard!B22</f>
        <v/>
      </c>
      <c r="D24" t="inlineStr">
        <is>
          <t>Opus</t>
        </is>
      </c>
      <c r="E24" t="inlineStr">
        <is>
          <t>8.0%</t>
        </is>
      </c>
      <c r="F24" s="31" t="inlineStr"/>
    </row>
    <row r="25">
      <c r="A25" t="inlineStr">
        <is>
          <t>Sales Cloud — terminal growth</t>
        </is>
      </c>
      <c r="B25" t="inlineStr">
        <is>
          <t>C22</t>
        </is>
      </c>
      <c r="C25" s="11">
        <f>Dashboard!C22</f>
        <v/>
      </c>
      <c r="D25" t="inlineStr">
        <is>
          <t>Opus</t>
        </is>
      </c>
      <c r="E25" t="inlineStr">
        <is>
          <t>3.0%</t>
        </is>
      </c>
      <c r="F25" s="31" t="inlineStr"/>
    </row>
    <row r="26">
      <c r="A26" t="inlineStr">
        <is>
          <t>Integration And Analytics — near-term growth</t>
        </is>
      </c>
      <c r="B26" t="inlineStr">
        <is>
          <t>B23</t>
        </is>
      </c>
      <c r="C26" s="11">
        <f>Dashboard!B23</f>
        <v/>
      </c>
      <c r="D26" t="inlineStr">
        <is>
          <t>Opus</t>
        </is>
      </c>
      <c r="E26" t="inlineStr">
        <is>
          <t>9.0%</t>
        </is>
      </c>
      <c r="F26" s="31" t="inlineStr"/>
    </row>
    <row r="27">
      <c r="A27" t="inlineStr">
        <is>
          <t>Integration And Analytics — terminal growth</t>
        </is>
      </c>
      <c r="B27" t="inlineStr">
        <is>
          <t>C23</t>
        </is>
      </c>
      <c r="C27" s="11">
        <f>Dashboard!C23</f>
        <v/>
      </c>
      <c r="D27" t="inlineStr">
        <is>
          <t>Opus</t>
        </is>
      </c>
      <c r="E27" t="inlineStr">
        <is>
          <t>3.0%</t>
        </is>
      </c>
      <c r="F27" s="31" t="inlineStr"/>
    </row>
    <row r="28">
      <c r="A28" t="inlineStr">
        <is>
          <t>Marketing and Commerce Cloud — near-term growth</t>
        </is>
      </c>
      <c r="B28" t="inlineStr">
        <is>
          <t>B24</t>
        </is>
      </c>
      <c r="C28" s="11">
        <f>Dashboard!B24</f>
        <v/>
      </c>
      <c r="D28" t="inlineStr">
        <is>
          <t>Opus</t>
        </is>
      </c>
      <c r="E28" t="inlineStr">
        <is>
          <t>4.0%</t>
        </is>
      </c>
      <c r="F28" s="31" t="inlineStr"/>
    </row>
    <row r="29">
      <c r="A29" t="inlineStr">
        <is>
          <t>Marketing and Commerce Cloud — terminal growth</t>
        </is>
      </c>
      <c r="B29" t="inlineStr">
        <is>
          <t>C24</t>
        </is>
      </c>
      <c r="C29" s="11">
        <f>Dashboard!C24</f>
        <v/>
      </c>
      <c r="D29" t="inlineStr">
        <is>
          <t>Opus</t>
        </is>
      </c>
      <c r="E29" t="inlineStr">
        <is>
          <t>2.5%</t>
        </is>
      </c>
      <c r="F29" s="31" t="inlineStr"/>
    </row>
    <row r="30">
      <c r="A30" t="inlineStr">
        <is>
          <t>Professional Services and Other — near-term growth</t>
        </is>
      </c>
      <c r="B30" t="inlineStr">
        <is>
          <t>B25</t>
        </is>
      </c>
      <c r="C30" s="11">
        <f>Dashboard!B25</f>
        <v/>
      </c>
      <c r="D30" t="inlineStr">
        <is>
          <t>Opus</t>
        </is>
      </c>
      <c r="E30" t="inlineStr">
        <is>
          <t>0.0%</t>
        </is>
      </c>
      <c r="F30" s="31" t="inlineStr"/>
    </row>
    <row r="31">
      <c r="A31" t="inlineStr">
        <is>
          <t>Professional Services and Other — terminal growth</t>
        </is>
      </c>
      <c r="B31" t="inlineStr">
        <is>
          <t>C25</t>
        </is>
      </c>
      <c r="C31" s="11">
        <f>Dashboard!C25</f>
        <v/>
      </c>
      <c r="D31" t="inlineStr">
        <is>
          <t>Opus</t>
        </is>
      </c>
      <c r="E31" t="inlineStr">
        <is>
          <t>2.0%</t>
        </is>
      </c>
      <c r="F31" s="31" t="inlineStr"/>
    </row>
    <row r="32">
      <c r="A32" t="inlineStr">
        <is>
          <t>Near-term operating margin</t>
        </is>
      </c>
      <c r="B32" t="inlineStr">
        <is>
          <t>B29</t>
        </is>
      </c>
      <c r="C32" s="11">
        <f>Dashboard!B29</f>
        <v/>
      </c>
      <c r="D32" t="inlineStr">
        <is>
          <t>Opus</t>
        </is>
      </c>
      <c r="E32" t="inlineStr">
        <is>
          <t>22.0%</t>
        </is>
      </c>
      <c r="F32" s="31" t="inlineStr"/>
    </row>
    <row r="33">
      <c r="A33" t="inlineStr">
        <is>
          <t>Terminal operating margin</t>
        </is>
      </c>
      <c r="B33" t="inlineStr">
        <is>
          <t>B30</t>
        </is>
      </c>
      <c r="C33" s="11">
        <f>Dashboard!B30</f>
        <v/>
      </c>
      <c r="D33" t="inlineStr">
        <is>
          <t>Opus</t>
        </is>
      </c>
      <c r="E33" t="inlineStr">
        <is>
          <t>30.0%</t>
        </is>
      </c>
      <c r="F33" s="31" t="inlineStr"/>
    </row>
    <row r="34">
      <c r="A34" t="inlineStr">
        <is>
          <t>Tax rate</t>
        </is>
      </c>
      <c r="B34" t="inlineStr">
        <is>
          <t>B31</t>
        </is>
      </c>
      <c r="C34" s="11">
        <f>Dashboard!B31</f>
        <v/>
      </c>
      <c r="D34" t="inlineStr">
        <is>
          <t>Opus</t>
        </is>
      </c>
      <c r="E34" t="inlineStr">
        <is>
          <t>23.0%</t>
        </is>
      </c>
      <c r="F34" s="31" t="inlineStr"/>
    </row>
    <row r="35">
      <c r="A35" t="inlineStr">
        <is>
          <t>Terminal capex / D&amp;A</t>
        </is>
      </c>
      <c r="B35" t="inlineStr">
        <is>
          <t>B35</t>
        </is>
      </c>
      <c r="C35" s="13">
        <f>Dashboard!B35</f>
        <v/>
      </c>
      <c r="D35" s="32" t="inlineStr">
        <is>
          <t>user-edited</t>
        </is>
      </c>
      <c r="E35" t="inlineStr">
        <is>
          <t>1.1x</t>
        </is>
      </c>
      <c r="F35" s="31" t="inlineStr">
        <is>
          <t>overridden from Opus 1.1x on 2026-06-12</t>
        </is>
      </c>
    </row>
    <row r="36">
      <c r="A36" t="inlineStr">
        <is>
          <t>Risk-free rate (10Y)</t>
        </is>
      </c>
      <c r="B36" t="inlineStr">
        <is>
          <t>B38</t>
        </is>
      </c>
      <c r="C36" s="11">
        <f>Dashboard!B38</f>
        <v/>
      </c>
      <c r="D36" t="inlineStr">
        <is>
          <t>builder default</t>
        </is>
      </c>
      <c r="E36" t="inlineStr">
        <is>
          <t>—</t>
        </is>
      </c>
      <c r="F36" s="31" t="inlineStr"/>
    </row>
    <row r="37">
      <c r="A37" t="inlineStr">
        <is>
          <t>Equity risk premium</t>
        </is>
      </c>
      <c r="B37" t="inlineStr">
        <is>
          <t>B39</t>
        </is>
      </c>
      <c r="C37" s="11">
        <f>Dashboard!B39</f>
        <v/>
      </c>
      <c r="D37" t="inlineStr">
        <is>
          <t>builder default</t>
        </is>
      </c>
      <c r="E37" t="inlineStr">
        <is>
          <t>—</t>
        </is>
      </c>
      <c r="F37" s="31" t="inlineStr"/>
    </row>
    <row r="38">
      <c r="A38" t="inlineStr">
        <is>
          <t>Beta (levered)</t>
        </is>
      </c>
      <c r="B38" t="inlineStr">
        <is>
          <t>B40</t>
        </is>
      </c>
      <c r="C38" s="33">
        <f>Dashboard!B40</f>
        <v/>
      </c>
      <c r="D38" t="inlineStr">
        <is>
          <t>builder default</t>
        </is>
      </c>
      <c r="E38" t="inlineStr">
        <is>
          <t>—</t>
        </is>
      </c>
      <c r="F38" s="31" t="inlineStr"/>
    </row>
    <row r="39">
      <c r="A39" t="inlineStr">
        <is>
          <t>Pre-tax cost of debt</t>
        </is>
      </c>
      <c r="B39" t="inlineStr">
        <is>
          <t>B41</t>
        </is>
      </c>
      <c r="C39" s="11">
        <f>Dashboard!B41</f>
        <v/>
      </c>
      <c r="D39" t="inlineStr">
        <is>
          <t>builder default</t>
        </is>
      </c>
      <c r="E39" t="inlineStr">
        <is>
          <t>—</t>
        </is>
      </c>
      <c r="F39" s="31" t="inlineStr"/>
    </row>
    <row r="40">
      <c r="A40" t="inlineStr">
        <is>
          <t>Terminal method</t>
        </is>
      </c>
      <c r="B40" t="inlineStr">
        <is>
          <t>B43</t>
        </is>
      </c>
      <c r="C40" s="12">
        <f>Dashboard!B43</f>
        <v/>
      </c>
      <c r="D40" t="inlineStr">
        <is>
          <t>Opus</t>
        </is>
      </c>
      <c r="E40" t="inlineStr">
        <is>
          <t>Exit multiple</t>
        </is>
      </c>
      <c r="F40" s="31" t="inlineStr"/>
    </row>
    <row r="41">
      <c r="A41" t="inlineStr">
        <is>
          <t>Exit basis</t>
        </is>
      </c>
      <c r="B41" t="inlineStr">
        <is>
          <t>B44</t>
        </is>
      </c>
      <c r="C41" s="12">
        <f>Dashboard!B44</f>
        <v/>
      </c>
      <c r="D41" t="inlineStr">
        <is>
          <t>Opus</t>
        </is>
      </c>
      <c r="E41" t="inlineStr">
        <is>
          <t>EV/EBITDA</t>
        </is>
      </c>
      <c r="F41" s="31" t="inlineStr"/>
    </row>
    <row r="42">
      <c r="A42" t="inlineStr">
        <is>
          <t>Exit multiple</t>
        </is>
      </c>
      <c r="B42" t="inlineStr">
        <is>
          <t>B45</t>
        </is>
      </c>
      <c r="C42" s="13">
        <f>Dashboard!B45</f>
        <v/>
      </c>
      <c r="D42" t="inlineStr">
        <is>
          <t>Opus</t>
        </is>
      </c>
      <c r="E42" t="inlineStr">
        <is>
          <t>15.0x</t>
        </is>
      </c>
      <c r="F42" s="31" t="inlineStr"/>
    </row>
    <row r="43">
      <c r="A43" t="inlineStr">
        <is>
          <t>Terminal growth (g)</t>
        </is>
      </c>
      <c r="B43" t="inlineStr">
        <is>
          <t>B46</t>
        </is>
      </c>
      <c r="C43" s="11">
        <f>Dashboard!B46</f>
        <v/>
      </c>
      <c r="D43" t="inlineStr">
        <is>
          <t>Opus</t>
        </is>
      </c>
      <c r="E43" t="inlineStr">
        <is>
          <t>4.0%</t>
        </is>
      </c>
      <c r="F43" s="31" t="inlineStr"/>
    </row>
    <row r="44">
      <c r="A44" t="inlineStr">
        <is>
          <t>2026 capex ($M)</t>
        </is>
      </c>
      <c r="B44" t="inlineStr">
        <is>
          <t>B34</t>
        </is>
      </c>
      <c r="C44" s="34">
        <f>Dashboard!B34</f>
        <v/>
      </c>
      <c r="D44" t="inlineStr">
        <is>
          <t>Opus</t>
        </is>
      </c>
      <c r="E44" t="inlineStr">
        <is>
          <t>—</t>
        </is>
      </c>
      <c r="F44" s="31" t="inlineStr">
        <is>
          <t>set from Opus 1% of FY1E revenue; edits not tracked (unit differs from the JSON)</t>
        </is>
      </c>
    </row>
    <row r="45">
      <c r="A45" t="inlineStr">
        <is>
          <t>Bull Δ — segment growth, near-term</t>
        </is>
      </c>
      <c r="B45" t="inlineStr">
        <is>
          <t>C52</t>
        </is>
      </c>
      <c r="C45" s="35">
        <f>Dashboard!C52</f>
        <v/>
      </c>
      <c r="D45" t="inlineStr">
        <is>
          <t>seed default</t>
        </is>
      </c>
      <c r="E45" t="inlineStr">
        <is>
          <t>3.0%</t>
        </is>
      </c>
      <c r="F45" s="31" t="inlineStr"/>
    </row>
    <row r="46">
      <c r="A46" t="inlineStr">
        <is>
          <t>Bear Δ — segment growth, near-term</t>
        </is>
      </c>
      <c r="B46" t="inlineStr">
        <is>
          <t>D52</t>
        </is>
      </c>
      <c r="C46" s="35">
        <f>Dashboard!D52</f>
        <v/>
      </c>
      <c r="D46" t="inlineStr">
        <is>
          <t>seed default</t>
        </is>
      </c>
      <c r="E46" t="inlineStr">
        <is>
          <t>-3.0%</t>
        </is>
      </c>
      <c r="F46" s="31" t="inlineStr"/>
    </row>
    <row r="47">
      <c r="A47" t="inlineStr">
        <is>
          <t>Bull Δ — segment growth, terminal</t>
        </is>
      </c>
      <c r="B47" t="inlineStr">
        <is>
          <t>C53</t>
        </is>
      </c>
      <c r="C47" s="35">
        <f>Dashboard!C53</f>
        <v/>
      </c>
      <c r="D47" t="inlineStr">
        <is>
          <t>seed default</t>
        </is>
      </c>
      <c r="E47" t="inlineStr">
        <is>
          <t>1.0%</t>
        </is>
      </c>
      <c r="F47" s="31" t="inlineStr"/>
    </row>
    <row r="48">
      <c r="A48" t="inlineStr">
        <is>
          <t>Bear Δ — segment growth, terminal</t>
        </is>
      </c>
      <c r="B48" t="inlineStr">
        <is>
          <t>D53</t>
        </is>
      </c>
      <c r="C48" s="35">
        <f>Dashboard!D53</f>
        <v/>
      </c>
      <c r="D48" t="inlineStr">
        <is>
          <t>seed default</t>
        </is>
      </c>
      <c r="E48" t="inlineStr">
        <is>
          <t>-1.0%</t>
        </is>
      </c>
      <c r="F48" s="31" t="inlineStr"/>
    </row>
    <row r="49">
      <c r="A49" t="inlineStr">
        <is>
          <t>Bull Δ — operating margin, near-term</t>
        </is>
      </c>
      <c r="B49" t="inlineStr">
        <is>
          <t>C54</t>
        </is>
      </c>
      <c r="C49" s="35">
        <f>Dashboard!C54</f>
        <v/>
      </c>
      <c r="D49" t="inlineStr">
        <is>
          <t>seed default</t>
        </is>
      </c>
      <c r="E49" t="inlineStr">
        <is>
          <t>1.0%</t>
        </is>
      </c>
      <c r="F49" s="31" t="inlineStr"/>
    </row>
    <row r="50">
      <c r="A50" t="inlineStr">
        <is>
          <t>Bear Δ — operating margin, near-term</t>
        </is>
      </c>
      <c r="B50" t="inlineStr">
        <is>
          <t>D54</t>
        </is>
      </c>
      <c r="C50" s="35">
        <f>Dashboard!D54</f>
        <v/>
      </c>
      <c r="D50" t="inlineStr">
        <is>
          <t>seed default</t>
        </is>
      </c>
      <c r="E50" t="inlineStr">
        <is>
          <t>-1.0%</t>
        </is>
      </c>
      <c r="F50" s="31" t="inlineStr"/>
    </row>
    <row r="51">
      <c r="A51" t="inlineStr">
        <is>
          <t>Bull Δ — operating margin, terminal</t>
        </is>
      </c>
      <c r="B51" t="inlineStr">
        <is>
          <t>C55</t>
        </is>
      </c>
      <c r="C51" s="35">
        <f>Dashboard!C55</f>
        <v/>
      </c>
      <c r="D51" t="inlineStr">
        <is>
          <t>seed default</t>
        </is>
      </c>
      <c r="E51" t="inlineStr">
        <is>
          <t>2.0%</t>
        </is>
      </c>
      <c r="F51" s="31" t="inlineStr"/>
    </row>
    <row r="52">
      <c r="A52" t="inlineStr">
        <is>
          <t>Bear Δ — operating margin, terminal</t>
        </is>
      </c>
      <c r="B52" t="inlineStr">
        <is>
          <t>D55</t>
        </is>
      </c>
      <c r="C52" s="35">
        <f>Dashboard!D55</f>
        <v/>
      </c>
      <c r="D52" t="inlineStr">
        <is>
          <t>seed default</t>
        </is>
      </c>
      <c r="E52" t="inlineStr">
        <is>
          <t>-2.0%</t>
        </is>
      </c>
      <c r="F52" s="31" t="inlineStr"/>
    </row>
    <row r="53">
      <c r="A53" t="inlineStr">
        <is>
          <t>Bull Δ — exit multiple</t>
        </is>
      </c>
      <c r="B53" t="inlineStr">
        <is>
          <t>C56</t>
        </is>
      </c>
      <c r="C53" s="36">
        <f>Dashboard!C56</f>
        <v/>
      </c>
      <c r="D53" t="inlineStr">
        <is>
          <t>seed default</t>
        </is>
      </c>
      <c r="E53" t="inlineStr">
        <is>
          <t>2.0x</t>
        </is>
      </c>
      <c r="F53" s="31" t="inlineStr"/>
    </row>
    <row r="54">
      <c r="A54" t="inlineStr">
        <is>
          <t>Bear Δ — exit multiple</t>
        </is>
      </c>
      <c r="B54" t="inlineStr">
        <is>
          <t>D56</t>
        </is>
      </c>
      <c r="C54" s="36">
        <f>Dashboard!D56</f>
        <v/>
      </c>
      <c r="D54" t="inlineStr">
        <is>
          <t>seed default</t>
        </is>
      </c>
      <c r="E54" t="inlineStr">
        <is>
          <t>-2.0x</t>
        </is>
      </c>
      <c r="F54" s="31" t="inlineStr"/>
    </row>
    <row r="55">
      <c r="A55" t="inlineStr">
        <is>
          <t>Bull Δ — terminal growth (g)</t>
        </is>
      </c>
      <c r="B55" t="inlineStr">
        <is>
          <t>C57</t>
        </is>
      </c>
      <c r="C55" s="35">
        <f>Dashboard!C57</f>
        <v/>
      </c>
      <c r="D55" t="inlineStr">
        <is>
          <t>seed default</t>
        </is>
      </c>
      <c r="E55" t="inlineStr">
        <is>
          <t>0.5%</t>
        </is>
      </c>
      <c r="F55" s="31" t="inlineStr"/>
    </row>
    <row r="56">
      <c r="A56" t="inlineStr">
        <is>
          <t>Bear Δ — terminal growth (g)</t>
        </is>
      </c>
      <c r="B56" t="inlineStr">
        <is>
          <t>D57</t>
        </is>
      </c>
      <c r="C56" s="35">
        <f>Dashboard!D57</f>
        <v/>
      </c>
      <c r="D56" t="inlineStr">
        <is>
          <t>seed default</t>
        </is>
      </c>
      <c r="E56" t="inlineStr">
        <is>
          <t>-0.5%</t>
        </is>
      </c>
      <c r="F5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Financials!AC53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FY2022A</t>
        </is>
      </c>
      <c r="C1" s="40" t="inlineStr">
        <is>
          <t>FY2023A</t>
        </is>
      </c>
      <c r="D1" s="40" t="inlineStr">
        <is>
          <t>FY2024A</t>
        </is>
      </c>
      <c r="E1" s="40" t="inlineStr">
        <is>
          <t>FY2025A</t>
        </is>
      </c>
      <c r="F1" s="40" t="inlineStr">
        <is>
          <t>FY2026A</t>
        </is>
      </c>
      <c r="G1" s="41" t="inlineStr">
        <is>
          <t>FY2027E</t>
        </is>
      </c>
      <c r="H1" s="41" t="inlineStr">
        <is>
          <t>FY2028E</t>
        </is>
      </c>
      <c r="I1" s="41" t="inlineStr">
        <is>
          <t>FY2029E</t>
        </is>
      </c>
      <c r="J1" s="41" t="inlineStr">
        <is>
          <t>FY2030E</t>
        </is>
      </c>
      <c r="K1" s="41" t="inlineStr">
        <is>
          <t>FY2031E</t>
        </is>
      </c>
      <c r="L1" s="41" t="inlineStr">
        <is>
          <t>FY2032E</t>
        </is>
      </c>
      <c r="M1" s="41" t="inlineStr">
        <is>
          <t>FY2033E</t>
        </is>
      </c>
      <c r="N1" s="41" t="inlineStr">
        <is>
          <t>FY2034E</t>
        </is>
      </c>
      <c r="O1" s="41" t="inlineStr">
        <is>
          <t>FY2035E</t>
        </is>
      </c>
      <c r="P1" s="4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Salesforce Platform and Other</t>
        </is>
      </c>
      <c r="B4" s="34">
        <f>SUM(Financials!J19:M19)</f>
        <v/>
      </c>
      <c r="C4" s="34">
        <f>SUM(Financials!N19:Q19)</f>
        <v/>
      </c>
      <c r="D4" s="34">
        <f>SUM(Financials!R19:U19)</f>
        <v/>
      </c>
      <c r="E4" s="34">
        <f>SUM(Financials!V19:Y19)</f>
        <v/>
      </c>
      <c r="F4" s="34">
        <f>SUM(Financials!Z19:AC19)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Service Cloud</t>
        </is>
      </c>
      <c r="B6" s="34">
        <f>SUM(Financials!J22:M22)</f>
        <v/>
      </c>
      <c r="C6" s="34">
        <f>SUM(Financials!N22:Q22)</f>
        <v/>
      </c>
      <c r="D6" s="34">
        <f>SUM(Financials!R22:U22)</f>
        <v/>
      </c>
      <c r="E6" s="34">
        <f>SUM(Financials!V22:Y22)</f>
        <v/>
      </c>
      <c r="F6" s="34">
        <f>SUM(Financials!Z22:AC22)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Sales Cloud</t>
        </is>
      </c>
      <c r="B8" s="34">
        <f>SUM(Financials!J25:M25)</f>
        <v/>
      </c>
      <c r="C8" s="34">
        <f>SUM(Financials!N25:Q25)</f>
        <v/>
      </c>
      <c r="D8" s="34">
        <f>SUM(Financials!R25:U25)</f>
        <v/>
      </c>
      <c r="E8" s="34">
        <f>SUM(Financials!V25:Y25)</f>
        <v/>
      </c>
      <c r="F8" s="34">
        <f>SUM(Financials!Z25:AC25)</f>
        <v/>
      </c>
      <c r="G8" s="42">
        <f>F8*(1+G9)</f>
        <v/>
      </c>
      <c r="H8" s="42">
        <f>G8*(1+H9)</f>
        <v/>
      </c>
      <c r="I8" s="42">
        <f>H8*(1+I9)</f>
        <v/>
      </c>
      <c r="J8" s="42">
        <f>I8*(1+J9)</f>
        <v/>
      </c>
      <c r="K8" s="42">
        <f>J8*(1+K9)</f>
        <v/>
      </c>
      <c r="L8" s="42">
        <f>K8*(1+L9)</f>
        <v/>
      </c>
      <c r="M8" s="42">
        <f>L8*(1+M9)</f>
        <v/>
      </c>
      <c r="N8" s="42">
        <f>M8*(1+N9)</f>
        <v/>
      </c>
      <c r="O8" s="42">
        <f>N8*(1+O9)</f>
        <v/>
      </c>
      <c r="P8" s="42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4" t="inlineStr">
        <is>
          <t>Integration And Analytics</t>
        </is>
      </c>
      <c r="B10" s="34">
        <f>SUM(Financials!J28:M28)</f>
        <v/>
      </c>
      <c r="C10" s="34">
        <f>SUM(Financials!N28:Q28)</f>
        <v/>
      </c>
      <c r="D10" s="34">
        <f>SUM(Financials!R28:U28)</f>
        <v/>
      </c>
      <c r="E10" s="34">
        <f>SUM(Financials!V28:Y28)</f>
        <v/>
      </c>
      <c r="F10" s="34">
        <f>SUM(Financials!Z28:AC28)</f>
        <v/>
      </c>
      <c r="G10" s="42">
        <f>F10*(1+G11)</f>
        <v/>
      </c>
      <c r="H10" s="42">
        <f>G10*(1+H11)</f>
        <v/>
      </c>
      <c r="I10" s="42">
        <f>H10*(1+I11)</f>
        <v/>
      </c>
      <c r="J10" s="42">
        <f>I10*(1+J11)</f>
        <v/>
      </c>
      <c r="K10" s="42">
        <f>J10*(1+K11)</f>
        <v/>
      </c>
      <c r="L10" s="42">
        <f>K10*(1+L11)</f>
        <v/>
      </c>
      <c r="M10" s="42">
        <f>L10*(1+M11)</f>
        <v/>
      </c>
      <c r="N10" s="42">
        <f>M10*(1+N11)</f>
        <v/>
      </c>
      <c r="O10" s="42">
        <f>N10*(1+O11)</f>
        <v/>
      </c>
      <c r="P10" s="42">
        <f>O10*(1+P11)</f>
        <v/>
      </c>
    </row>
    <row r="11">
      <c r="A11" s="4" t="inlineStr">
        <is>
          <t xml:space="preserve">    growth % (convex fade; curvature from Dashboard)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11">
        <f>Dashboard!$C$23+(Dashboard!$B$23-Dashboard!$C$23)*((9-0)/9)^Dashboard!$B$49</f>
        <v/>
      </c>
      <c r="H11" s="11">
        <f>Dashboard!$C$23+(Dashboard!$B$23-Dashboard!$C$23)*((9-1)/9)^Dashboard!$B$49</f>
        <v/>
      </c>
      <c r="I11" s="11">
        <f>Dashboard!$C$23+(Dashboard!$B$23-Dashboard!$C$23)*((9-2)/9)^Dashboard!$B$49</f>
        <v/>
      </c>
      <c r="J11" s="11">
        <f>Dashboard!$C$23+(Dashboard!$B$23-Dashboard!$C$23)*((9-3)/9)^Dashboard!$B$49</f>
        <v/>
      </c>
      <c r="K11" s="11">
        <f>Dashboard!$C$23+(Dashboard!$B$23-Dashboard!$C$23)*((9-4)/9)^Dashboard!$B$49</f>
        <v/>
      </c>
      <c r="L11" s="11">
        <f>Dashboard!$C$23+(Dashboard!$B$23-Dashboard!$C$23)*((9-5)/9)^Dashboard!$B$49</f>
        <v/>
      </c>
      <c r="M11" s="11">
        <f>Dashboard!$C$23+(Dashboard!$B$23-Dashboard!$C$23)*((9-6)/9)^Dashboard!$B$49</f>
        <v/>
      </c>
      <c r="N11" s="11">
        <f>Dashboard!$C$23+(Dashboard!$B$23-Dashboard!$C$23)*((9-7)/9)^Dashboard!$B$49</f>
        <v/>
      </c>
      <c r="O11" s="11">
        <f>Dashboard!$C$23+(Dashboard!$B$23-Dashboard!$C$23)*((9-8)/9)^Dashboard!$B$49</f>
        <v/>
      </c>
      <c r="P11" s="11">
        <f>Dashboard!$C$23+(Dashboard!$B$23-Dashboard!$C$23)*((9-9)/9)^Dashboard!$B$49</f>
        <v/>
      </c>
    </row>
    <row r="12">
      <c r="A12" s="4" t="inlineStr">
        <is>
          <t>Marketing and Commerce Cloud</t>
        </is>
      </c>
      <c r="B12" s="34">
        <f>SUM(Financials!J31:M31)</f>
        <v/>
      </c>
      <c r="C12" s="34">
        <f>SUM(Financials!N31:Q31)</f>
        <v/>
      </c>
      <c r="D12" s="34">
        <f>SUM(Financials!R31:U31)</f>
        <v/>
      </c>
      <c r="E12" s="34">
        <f>SUM(Financials!V31:Y31)</f>
        <v/>
      </c>
      <c r="F12" s="34">
        <f>SUM(Financials!Z31:AC31)</f>
        <v/>
      </c>
      <c r="G12" s="42">
        <f>F12*(1+G13)</f>
        <v/>
      </c>
      <c r="H12" s="42">
        <f>G12*(1+H13)</f>
        <v/>
      </c>
      <c r="I12" s="42">
        <f>H12*(1+I13)</f>
        <v/>
      </c>
      <c r="J12" s="42">
        <f>I12*(1+J13)</f>
        <v/>
      </c>
      <c r="K12" s="42">
        <f>J12*(1+K13)</f>
        <v/>
      </c>
      <c r="L12" s="42">
        <f>K12*(1+L13)</f>
        <v/>
      </c>
      <c r="M12" s="42">
        <f>L12*(1+M13)</f>
        <v/>
      </c>
      <c r="N12" s="42">
        <f>M12*(1+N13)</f>
        <v/>
      </c>
      <c r="O12" s="42">
        <f>N12*(1+O13)</f>
        <v/>
      </c>
      <c r="P12" s="42">
        <f>O12*(1+P13)</f>
        <v/>
      </c>
    </row>
    <row r="13">
      <c r="A13" s="4" t="inlineStr">
        <is>
          <t xml:space="preserve">    growth % (convex fade; curvature from Dashboard)</t>
        </is>
      </c>
      <c r="C13" s="25">
        <f>IFERROR(C12/B12-1,"")</f>
        <v/>
      </c>
      <c r="D13" s="25">
        <f>IFERROR(D12/C12-1,"")</f>
        <v/>
      </c>
      <c r="E13" s="25">
        <f>IFERROR(E12/D12-1,"")</f>
        <v/>
      </c>
      <c r="F13" s="25">
        <f>IFERROR(F12/E12-1,"")</f>
        <v/>
      </c>
      <c r="G13" s="11">
        <f>Dashboard!$C$24+(Dashboard!$B$24-Dashboard!$C$24)*((9-0)/9)^Dashboard!$B$49</f>
        <v/>
      </c>
      <c r="H13" s="11">
        <f>Dashboard!$C$24+(Dashboard!$B$24-Dashboard!$C$24)*((9-1)/9)^Dashboard!$B$49</f>
        <v/>
      </c>
      <c r="I13" s="11">
        <f>Dashboard!$C$24+(Dashboard!$B$24-Dashboard!$C$24)*((9-2)/9)^Dashboard!$B$49</f>
        <v/>
      </c>
      <c r="J13" s="11">
        <f>Dashboard!$C$24+(Dashboard!$B$24-Dashboard!$C$24)*((9-3)/9)^Dashboard!$B$49</f>
        <v/>
      </c>
      <c r="K13" s="11">
        <f>Dashboard!$C$24+(Dashboard!$B$24-Dashboard!$C$24)*((9-4)/9)^Dashboard!$B$49</f>
        <v/>
      </c>
      <c r="L13" s="11">
        <f>Dashboard!$C$24+(Dashboard!$B$24-Dashboard!$C$24)*((9-5)/9)^Dashboard!$B$49</f>
        <v/>
      </c>
      <c r="M13" s="11">
        <f>Dashboard!$C$24+(Dashboard!$B$24-Dashboard!$C$24)*((9-6)/9)^Dashboard!$B$49</f>
        <v/>
      </c>
      <c r="N13" s="11">
        <f>Dashboard!$C$24+(Dashboard!$B$24-Dashboard!$C$24)*((9-7)/9)^Dashboard!$B$49</f>
        <v/>
      </c>
      <c r="O13" s="11">
        <f>Dashboard!$C$24+(Dashboard!$B$24-Dashboard!$C$24)*((9-8)/9)^Dashboard!$B$49</f>
        <v/>
      </c>
      <c r="P13" s="11">
        <f>Dashboard!$C$24+(Dashboard!$B$24-Dashboard!$C$24)*((9-9)/9)^Dashboard!$B$49</f>
        <v/>
      </c>
    </row>
    <row r="14">
      <c r="A14" s="4" t="inlineStr">
        <is>
          <t>Professional Services and Other</t>
        </is>
      </c>
      <c r="B14" s="34">
        <f>SUM(Financials!J34:M34)</f>
        <v/>
      </c>
      <c r="C14" s="34">
        <f>SUM(Financials!N34:Q34)</f>
        <v/>
      </c>
      <c r="D14" s="34">
        <f>SUM(Financials!R34:U34)</f>
        <v/>
      </c>
      <c r="E14" s="34">
        <f>SUM(Financials!V34:Y34)</f>
        <v/>
      </c>
      <c r="F14" s="34">
        <f>SUM(Financials!Z34:AC34)</f>
        <v/>
      </c>
      <c r="G14" s="42">
        <f>F14*(1+G15)</f>
        <v/>
      </c>
      <c r="H14" s="42">
        <f>G14*(1+H15)</f>
        <v/>
      </c>
      <c r="I14" s="42">
        <f>H14*(1+I15)</f>
        <v/>
      </c>
      <c r="J14" s="42">
        <f>I14*(1+J15)</f>
        <v/>
      </c>
      <c r="K14" s="42">
        <f>J14*(1+K15)</f>
        <v/>
      </c>
      <c r="L14" s="42">
        <f>K14*(1+L15)</f>
        <v/>
      </c>
      <c r="M14" s="42">
        <f>L14*(1+M15)</f>
        <v/>
      </c>
      <c r="N14" s="42">
        <f>M14*(1+N15)</f>
        <v/>
      </c>
      <c r="O14" s="42">
        <f>N14*(1+O15)</f>
        <v/>
      </c>
      <c r="P14" s="42">
        <f>O14*(1+P15)</f>
        <v/>
      </c>
    </row>
    <row r="15">
      <c r="A15" s="4" t="inlineStr">
        <is>
          <t xml:space="preserve">    growth % (convex fade; curvature from Dashboard)</t>
        </is>
      </c>
      <c r="C15" s="25">
        <f>IFERROR(C14/B14-1,"")</f>
        <v/>
      </c>
      <c r="D15" s="25">
        <f>IFERROR(D14/C14-1,"")</f>
        <v/>
      </c>
      <c r="E15" s="25">
        <f>IFERROR(E14/D14-1,"")</f>
        <v/>
      </c>
      <c r="F15" s="25">
        <f>IFERROR(F14/E14-1,"")</f>
        <v/>
      </c>
      <c r="G15" s="11">
        <f>Dashboard!$C$25+(Dashboard!$B$25-Dashboard!$C$25)*((9-0)/9)^Dashboard!$B$49</f>
        <v/>
      </c>
      <c r="H15" s="11">
        <f>Dashboard!$C$25+(Dashboard!$B$25-Dashboard!$C$25)*((9-1)/9)^Dashboard!$B$49</f>
        <v/>
      </c>
      <c r="I15" s="11">
        <f>Dashboard!$C$25+(Dashboard!$B$25-Dashboard!$C$25)*((9-2)/9)^Dashboard!$B$49</f>
        <v/>
      </c>
      <c r="J15" s="11">
        <f>Dashboard!$C$25+(Dashboard!$B$25-Dashboard!$C$25)*((9-3)/9)^Dashboard!$B$49</f>
        <v/>
      </c>
      <c r="K15" s="11">
        <f>Dashboard!$C$25+(Dashboard!$B$25-Dashboard!$C$25)*((9-4)/9)^Dashboard!$B$49</f>
        <v/>
      </c>
      <c r="L15" s="11">
        <f>Dashboard!$C$25+(Dashboard!$B$25-Dashboard!$C$25)*((9-5)/9)^Dashboard!$B$49</f>
        <v/>
      </c>
      <c r="M15" s="11">
        <f>Dashboard!$C$25+(Dashboard!$B$25-Dashboard!$C$25)*((9-6)/9)^Dashboard!$B$49</f>
        <v/>
      </c>
      <c r="N15" s="11">
        <f>Dashboard!$C$25+(Dashboard!$B$25-Dashboard!$C$25)*((9-7)/9)^Dashboard!$B$49</f>
        <v/>
      </c>
      <c r="O15" s="11">
        <f>Dashboard!$C$25+(Dashboard!$B$25-Dashboard!$C$25)*((9-8)/9)^Dashboard!$B$49</f>
        <v/>
      </c>
      <c r="P15" s="11">
        <f>Dashboard!$C$25+(Dashboard!$B$25-Dashboard!$C$25)*((9-9)/9)^Dashboard!$B$49</f>
        <v/>
      </c>
    </row>
    <row r="16">
      <c r="A16" s="3" t="inlineStr">
        <is>
          <t>Total revenue</t>
        </is>
      </c>
      <c r="B16" s="43">
        <f>B4+B6+B8+B10+B12+B14</f>
        <v/>
      </c>
      <c r="C16" s="43">
        <f>C4+C6+C8+C10+C12+C14</f>
        <v/>
      </c>
      <c r="D16" s="43">
        <f>D4+D6+D8+D10+D12+D14</f>
        <v/>
      </c>
      <c r="E16" s="43">
        <f>E4+E6+E8+E10+E12+E14</f>
        <v/>
      </c>
      <c r="F16" s="43">
        <f>F4+F6+F8+F10+F12+F14</f>
        <v/>
      </c>
      <c r="G16" s="43">
        <f>G4+G6+G8+G10+G12+G14</f>
        <v/>
      </c>
      <c r="H16" s="43">
        <f>H4+H6+H8+H10+H12+H14</f>
        <v/>
      </c>
      <c r="I16" s="43">
        <f>I4+I6+I8+I10+I12+I14</f>
        <v/>
      </c>
      <c r="J16" s="43">
        <f>J4+J6+J8+J10+J12+J14</f>
        <v/>
      </c>
      <c r="K16" s="43">
        <f>K4+K6+K8+K10+K12+K14</f>
        <v/>
      </c>
      <c r="L16" s="43">
        <f>L4+L6+L8+L10+L12+L14</f>
        <v/>
      </c>
      <c r="M16" s="43">
        <f>M4+M6+M8+M10+M12+M14</f>
        <v/>
      </c>
      <c r="N16" s="43">
        <f>N4+N6+N8+N10+N12+N14</f>
        <v/>
      </c>
      <c r="O16" s="43">
        <f>O4+O6+O8+O10+O12+O14</f>
        <v/>
      </c>
      <c r="P16" s="43">
        <f>P4+P6+P8+P10+P12+P14</f>
        <v/>
      </c>
    </row>
    <row r="17">
      <c r="A17" s="4" t="inlineStr">
        <is>
          <t xml:space="preserve">    growth %</t>
        </is>
      </c>
      <c r="C17" s="25">
        <f>IFERROR(C16/B16-1,"")</f>
        <v/>
      </c>
      <c r="D17" s="25">
        <f>IFERROR(D16/C16-1,"")</f>
        <v/>
      </c>
      <c r="E17" s="25">
        <f>IFERROR(E16/D16-1,"")</f>
        <v/>
      </c>
      <c r="F17" s="25">
        <f>IFERROR(F16/E16-1,"")</f>
        <v/>
      </c>
      <c r="G17" s="25">
        <f>IFERROR(G16/F16-1,"")</f>
        <v/>
      </c>
      <c r="H17" s="25">
        <f>IFERROR(H16/G16-1,"")</f>
        <v/>
      </c>
      <c r="I17" s="25">
        <f>IFERROR(I16/H16-1,"")</f>
        <v/>
      </c>
      <c r="J17" s="25">
        <f>IFERROR(J16/I16-1,"")</f>
        <v/>
      </c>
      <c r="K17" s="25">
        <f>IFERROR(K16/J16-1,"")</f>
        <v/>
      </c>
      <c r="L17" s="25">
        <f>IFERROR(L16/K16-1,"")</f>
        <v/>
      </c>
      <c r="M17" s="25">
        <f>IFERROR(M16/L16-1,"")</f>
        <v/>
      </c>
      <c r="N17" s="25">
        <f>IFERROR(N16/M16-1,"")</f>
        <v/>
      </c>
      <c r="O17" s="25">
        <f>IFERROR(O16/N16-1,"")</f>
        <v/>
      </c>
      <c r="P17" s="25">
        <f>IFERROR(P16/O16-1,"")</f>
        <v/>
      </c>
    </row>
    <row r="19">
      <c r="A19" s="5" t="inlineStr">
        <is>
          <t xml:space="preserve">  COST STRUCTURE (yellow = % of revenue)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4" t="inlineStr">
        <is>
          <t>Cost of revenue</t>
        </is>
      </c>
      <c r="B20" s="34">
        <f>SUM(Financials!J5:M5)</f>
        <v/>
      </c>
      <c r="C20" s="34">
        <f>SUM(Financials!N5:Q5)</f>
        <v/>
      </c>
      <c r="D20" s="34">
        <f>SUM(Financials!R5:U5)</f>
        <v/>
      </c>
      <c r="E20" s="34">
        <f>SUM(Financials!V5:Y5)</f>
        <v/>
      </c>
      <c r="F20" s="34">
        <f>SUM(Financials!Z5:AC5)</f>
        <v/>
      </c>
      <c r="G20" s="42">
        <f>G16*G21</f>
        <v/>
      </c>
      <c r="H20" s="42">
        <f>H16*H21</f>
        <v/>
      </c>
      <c r="I20" s="42">
        <f>I16*I21</f>
        <v/>
      </c>
      <c r="J20" s="42">
        <f>J16*J21</f>
        <v/>
      </c>
      <c r="K20" s="42">
        <f>K16*K21</f>
        <v/>
      </c>
      <c r="L20" s="42">
        <f>L16*L21</f>
        <v/>
      </c>
      <c r="M20" s="42">
        <f>M16*M21</f>
        <v/>
      </c>
      <c r="N20" s="42">
        <f>N16*N21</f>
        <v/>
      </c>
      <c r="O20" s="42">
        <f>O16*O21</f>
        <v/>
      </c>
      <c r="P20" s="42">
        <f>P16*P21</f>
        <v/>
      </c>
    </row>
    <row r="21">
      <c r="A21" s="4" t="inlineStr">
        <is>
          <t xml:space="preserve">    % of revenue</t>
        </is>
      </c>
      <c r="B21" s="25">
        <f>IFERROR(B20/B16,"")</f>
        <v/>
      </c>
      <c r="C21" s="25">
        <f>IFERROR(C20/C16,"")</f>
        <v/>
      </c>
      <c r="D21" s="25">
        <f>IFERROR(D20/D16,"")</f>
        <v/>
      </c>
      <c r="E21" s="25">
        <f>IFERROR(E20/E16,"")</f>
        <v/>
      </c>
      <c r="F21" s="25">
        <f>IFERROR(F20/F16,"")</f>
        <v/>
      </c>
      <c r="G21" s="15" t="n">
        <v>0.2232390126429862</v>
      </c>
      <c r="H21" s="15" t="n">
        <v>0.2232390126429862</v>
      </c>
      <c r="I21" s="15" t="n">
        <v>0.2232390126429862</v>
      </c>
      <c r="J21" s="15" t="n">
        <v>0.2232390126429862</v>
      </c>
      <c r="K21" s="15" t="n">
        <v>0.2232390126429862</v>
      </c>
      <c r="L21" s="15" t="n">
        <v>0.2232390126429862</v>
      </c>
      <c r="M21" s="15" t="n">
        <v>0.2232390126429862</v>
      </c>
      <c r="N21" s="15" t="n">
        <v>0.2232390126429862</v>
      </c>
      <c r="O21" s="15" t="n">
        <v>0.2232390126429862</v>
      </c>
      <c r="P21" s="15" t="n">
        <v>0.2232390126429862</v>
      </c>
    </row>
    <row r="22">
      <c r="A22" s="4" t="inlineStr">
        <is>
          <t>R&amp;D / Technology</t>
        </is>
      </c>
      <c r="B22" s="34">
        <f>SUM(Financials!J7:M7)</f>
        <v/>
      </c>
      <c r="C22" s="34">
        <f>SUM(Financials!N7:Q7)</f>
        <v/>
      </c>
      <c r="D22" s="34">
        <f>SUM(Financials!R7:U7)</f>
        <v/>
      </c>
      <c r="E22" s="34">
        <f>SUM(Financials!V7:Y7)</f>
        <v/>
      </c>
      <c r="F22" s="34">
        <f>SUM(Financials!Z7:AC7)</f>
        <v/>
      </c>
      <c r="G22" s="42">
        <f>G16*G23</f>
        <v/>
      </c>
      <c r="H22" s="42">
        <f>H16*H23</f>
        <v/>
      </c>
      <c r="I22" s="42">
        <f>I16*I23</f>
        <v/>
      </c>
      <c r="J22" s="42">
        <f>J16*J23</f>
        <v/>
      </c>
      <c r="K22" s="42">
        <f>K16*K23</f>
        <v/>
      </c>
      <c r="L22" s="42">
        <f>L16*L23</f>
        <v/>
      </c>
      <c r="M22" s="42">
        <f>M16*M23</f>
        <v/>
      </c>
      <c r="N22" s="42">
        <f>N16*N23</f>
        <v/>
      </c>
      <c r="O22" s="42">
        <f>O16*O23</f>
        <v/>
      </c>
      <c r="P22" s="42">
        <f>P16*P23</f>
        <v/>
      </c>
    </row>
    <row r="23">
      <c r="A23" s="4" t="inlineStr">
        <is>
          <t xml:space="preserve">    % of revenue</t>
        </is>
      </c>
      <c r="B23" s="25">
        <f>IFERROR(B22/B16,"")</f>
        <v/>
      </c>
      <c r="C23" s="25">
        <f>IFERROR(C22/C16,"")</f>
        <v/>
      </c>
      <c r="D23" s="25">
        <f>IFERROR(D22/D16,"")</f>
        <v/>
      </c>
      <c r="E23" s="25">
        <f>IFERROR(E22/E16,"")</f>
        <v/>
      </c>
      <c r="F23" s="25">
        <f>IFERROR(F22/F16,"")</f>
        <v/>
      </c>
      <c r="G23" s="15" t="n">
        <v>0.1443226971703793</v>
      </c>
      <c r="H23" s="15" t="n">
        <v>0.1443226971703793</v>
      </c>
      <c r="I23" s="15" t="n">
        <v>0.1443226971703793</v>
      </c>
      <c r="J23" s="15" t="n">
        <v>0.1443226971703793</v>
      </c>
      <c r="K23" s="15" t="n">
        <v>0.1443226971703793</v>
      </c>
      <c r="L23" s="15" t="n">
        <v>0.1443226971703793</v>
      </c>
      <c r="M23" s="15" t="n">
        <v>0.1443226971703793</v>
      </c>
      <c r="N23" s="15" t="n">
        <v>0.1443226971703793</v>
      </c>
      <c r="O23" s="15" t="n">
        <v>0.1443226971703793</v>
      </c>
      <c r="P23" s="15" t="n">
        <v>0.1443226971703793</v>
      </c>
    </row>
    <row r="24">
      <c r="A24" s="4" t="inlineStr">
        <is>
          <t>SG&amp;A</t>
        </is>
      </c>
      <c r="B24" s="34">
        <f>SUM(Financials!J9:M9)</f>
        <v/>
      </c>
      <c r="C24" s="34">
        <f>SUM(Financials!N9:Q9)</f>
        <v/>
      </c>
      <c r="D24" s="34">
        <f>SUM(Financials!R9:U9)</f>
        <v/>
      </c>
      <c r="E24" s="34">
        <f>SUM(Financials!V9:Y9)</f>
        <v/>
      </c>
      <c r="F24" s="34">
        <f>SUM(Financials!Z9:AC9)</f>
        <v/>
      </c>
      <c r="G24" s="42">
        <f>G16*G25</f>
        <v/>
      </c>
      <c r="H24" s="42">
        <f>H16*H25</f>
        <v/>
      </c>
      <c r="I24" s="42">
        <f>I16*I25</f>
        <v/>
      </c>
      <c r="J24" s="42">
        <f>J16*J25</f>
        <v/>
      </c>
      <c r="K24" s="42">
        <f>K16*K25</f>
        <v/>
      </c>
      <c r="L24" s="42">
        <f>L16*L25</f>
        <v/>
      </c>
      <c r="M24" s="42">
        <f>M16*M25</f>
        <v/>
      </c>
      <c r="N24" s="42">
        <f>N16*N25</f>
        <v/>
      </c>
      <c r="O24" s="42">
        <f>O16*O25</f>
        <v/>
      </c>
      <c r="P24" s="42">
        <f>P16*P25</f>
        <v/>
      </c>
    </row>
    <row r="25">
      <c r="A25" s="4" t="inlineStr">
        <is>
          <t xml:space="preserve">    % of revenue</t>
        </is>
      </c>
      <c r="B25" s="25">
        <f>IFERROR(B24/B16,"")</f>
        <v/>
      </c>
      <c r="C25" s="25">
        <f>IFERROR(C24/C16,"")</f>
        <v/>
      </c>
      <c r="D25" s="25">
        <f>IFERROR(D24/D16,"")</f>
        <v/>
      </c>
      <c r="E25" s="25">
        <f>IFERROR(E24/E16,"")</f>
        <v/>
      </c>
      <c r="F25" s="25">
        <f>IFERROR(F24/F16,"")</f>
        <v/>
      </c>
      <c r="G25" s="15" t="n">
        <v>0.4177001806140879</v>
      </c>
      <c r="H25" s="15" t="n">
        <v>0.4177001806140879</v>
      </c>
      <c r="I25" s="15" t="n">
        <v>0.4177001806140879</v>
      </c>
      <c r="J25" s="15" t="n">
        <v>0.4177001806140879</v>
      </c>
      <c r="K25" s="15" t="n">
        <v>0.4177001806140879</v>
      </c>
      <c r="L25" s="15" t="n">
        <v>0.4177001806140879</v>
      </c>
      <c r="M25" s="15" t="n">
        <v>0.4177001806140879</v>
      </c>
      <c r="N25" s="15" t="n">
        <v>0.4177001806140879</v>
      </c>
      <c r="O25" s="15" t="n">
        <v>0.4177001806140879</v>
      </c>
      <c r="P25" s="15" t="n">
        <v>0.4177001806140879</v>
      </c>
    </row>
    <row r="26">
      <c r="A26" s="4" t="inlineStr">
        <is>
          <t>Other opex (fulfilment, etc.)</t>
        </is>
      </c>
      <c r="B26" s="34">
        <f>B16-(B20+B22+B24)-SUM(Financials!J13:M13)</f>
        <v/>
      </c>
      <c r="C26" s="34">
        <f>C16-(C20+C22+C24)-SUM(Financials!N13:Q13)</f>
        <v/>
      </c>
      <c r="D26" s="34">
        <f>D16-(D20+D22+D24)-SUM(Financials!R13:U13)</f>
        <v/>
      </c>
      <c r="E26" s="34">
        <f>E16-(E20+E22+E24)-SUM(Financials!V13:Y13)</f>
        <v/>
      </c>
      <c r="F26" s="34">
        <f>F16-(F20+F22+F24)-SUM(Financials!Z13:AC13)</f>
        <v/>
      </c>
      <c r="G26" s="34">
        <f>G16*(1-(Dashboard!$B$29+(Dashboard!$B$30-Dashboard!$B$29)*MIN(1,0/3)))-(G20+G22+G24)</f>
        <v/>
      </c>
      <c r="H26" s="34">
        <f>H16*(1-(Dashboard!$B$29+(Dashboard!$B$30-Dashboard!$B$29)*MIN(1,1/3)))-(H20+H22+H24)</f>
        <v/>
      </c>
      <c r="I26" s="34">
        <f>I16*(1-(Dashboard!$B$29+(Dashboard!$B$30-Dashboard!$B$29)*MIN(1,2/3)))-(I20+I22+I24)</f>
        <v/>
      </c>
      <c r="J26" s="34">
        <f>J16*(1-(Dashboard!$B$29+(Dashboard!$B$30-Dashboard!$B$29)*MIN(1,3/3)))-(J20+J22+J24)</f>
        <v/>
      </c>
      <c r="K26" s="34">
        <f>K16*(1-(Dashboard!$B$29+(Dashboard!$B$30-Dashboard!$B$29)*MIN(1,4/3)))-(K20+K22+K24)</f>
        <v/>
      </c>
      <c r="L26" s="34">
        <f>L16*(1-(Dashboard!$B$29+(Dashboard!$B$30-Dashboard!$B$29)*MIN(1,5/3)))-(L20+L22+L24)</f>
        <v/>
      </c>
      <c r="M26" s="34">
        <f>M16*(1-(Dashboard!$B$29+(Dashboard!$B$30-Dashboard!$B$29)*MIN(1,6/3)))-(M20+M22+M24)</f>
        <v/>
      </c>
      <c r="N26" s="34">
        <f>N16*(1-(Dashboard!$B$29+(Dashboard!$B$30-Dashboard!$B$29)*MIN(1,7/3)))-(N20+N22+N24)</f>
        <v/>
      </c>
      <c r="O26" s="34">
        <f>O16*(1-(Dashboard!$B$29+(Dashboard!$B$30-Dashboard!$B$29)*MIN(1,8/3)))-(O20+O22+O24)</f>
        <v/>
      </c>
      <c r="P26" s="34">
        <f>P16*(1-(Dashboard!$B$29+(Dashboard!$B$30-Dashboard!$B$29)*MIN(1,9/3)))-(P20+P22+P24)</f>
        <v/>
      </c>
    </row>
    <row r="27">
      <c r="A27" s="4" t="inlineStr">
        <is>
          <t xml:space="preserve">    % of revenue</t>
        </is>
      </c>
      <c r="B27" s="25">
        <f>IFERROR(B26/B16,"")</f>
        <v/>
      </c>
      <c r="C27" s="25">
        <f>IFERROR(C26/C16,"")</f>
        <v/>
      </c>
      <c r="D27" s="25">
        <f>IFERROR(D26/D16,"")</f>
        <v/>
      </c>
      <c r="E27" s="25">
        <f>IFERROR(E26/E16,"")</f>
        <v/>
      </c>
      <c r="F27" s="25">
        <f>IFERROR(F26/F16,"")</f>
        <v/>
      </c>
      <c r="G27" s="25">
        <f>IFERROR(G26/G16,"")</f>
        <v/>
      </c>
      <c r="H27" s="25">
        <f>IFERROR(H26/H16,"")</f>
        <v/>
      </c>
      <c r="I27" s="25">
        <f>IFERROR(I26/I16,"")</f>
        <v/>
      </c>
      <c r="J27" s="25">
        <f>IFERROR(J26/J16,"")</f>
        <v/>
      </c>
      <c r="K27" s="25">
        <f>IFERROR(K26/K16,"")</f>
        <v/>
      </c>
      <c r="L27" s="25">
        <f>IFERROR(L26/L16,"")</f>
        <v/>
      </c>
      <c r="M27" s="25">
        <f>IFERROR(M26/M16,"")</f>
        <v/>
      </c>
      <c r="N27" s="25">
        <f>IFERROR(N26/N16,"")</f>
        <v/>
      </c>
      <c r="O27" s="25">
        <f>IFERROR(O26/O16,"")</f>
        <v/>
      </c>
      <c r="P27" s="25">
        <f>IFERROR(P26/P16,"")</f>
        <v/>
      </c>
    </row>
    <row r="29">
      <c r="A29" s="3" t="inlineStr">
        <is>
          <t>Operating income (EBIT)</t>
        </is>
      </c>
      <c r="B29" s="43">
        <f>B16-(B20+B22+B24)-B26</f>
        <v/>
      </c>
      <c r="C29" s="43">
        <f>C16-(C20+C22+C24)-C26</f>
        <v/>
      </c>
      <c r="D29" s="43">
        <f>D16-(D20+D22+D24)-D26</f>
        <v/>
      </c>
      <c r="E29" s="43">
        <f>E16-(E20+E22+E24)-E26</f>
        <v/>
      </c>
      <c r="F29" s="43">
        <f>F16-(F20+F22+F24)-F26</f>
        <v/>
      </c>
      <c r="G29" s="43">
        <f>G16-(G20+G22+G24)-G26</f>
        <v/>
      </c>
      <c r="H29" s="43">
        <f>H16-(H20+H22+H24)-H26</f>
        <v/>
      </c>
      <c r="I29" s="43">
        <f>I16-(I20+I22+I24)-I26</f>
        <v/>
      </c>
      <c r="J29" s="43">
        <f>J16-(J20+J22+J24)-J26</f>
        <v/>
      </c>
      <c r="K29" s="43">
        <f>K16-(K20+K22+K24)-K26</f>
        <v/>
      </c>
      <c r="L29" s="43">
        <f>L16-(L20+L22+L24)-L26</f>
        <v/>
      </c>
      <c r="M29" s="43">
        <f>M16-(M20+M22+M24)-M26</f>
        <v/>
      </c>
      <c r="N29" s="43">
        <f>N16-(N20+N22+N24)-N26</f>
        <v/>
      </c>
      <c r="O29" s="43">
        <f>O16-(O20+O22+O24)-O26</f>
        <v/>
      </c>
      <c r="P29" s="43">
        <f>P16-(P20+P22+P24)-P26</f>
        <v/>
      </c>
    </row>
    <row r="30">
      <c r="A30" s="4" t="inlineStr">
        <is>
          <t xml:space="preserve">    operating margin</t>
        </is>
      </c>
      <c r="B30" s="25">
        <f>IFERROR(B29/B16,"")</f>
        <v/>
      </c>
      <c r="C30" s="25">
        <f>IFERROR(C29/C16,"")</f>
        <v/>
      </c>
      <c r="D30" s="25">
        <f>IFERROR(D29/D16,"")</f>
        <v/>
      </c>
      <c r="E30" s="25">
        <f>IFERROR(E29/E16,"")</f>
        <v/>
      </c>
      <c r="F30" s="25">
        <f>IFERROR(F29/F16,"")</f>
        <v/>
      </c>
      <c r="G30" s="25">
        <f>IFERROR(G29/G16,"")</f>
        <v/>
      </c>
      <c r="H30" s="25">
        <f>IFERROR(H29/H16,"")</f>
        <v/>
      </c>
      <c r="I30" s="25">
        <f>IFERROR(I29/I16,"")</f>
        <v/>
      </c>
      <c r="J30" s="25">
        <f>IFERROR(J29/J16,"")</f>
        <v/>
      </c>
      <c r="K30" s="25">
        <f>IFERROR(K29/K16,"")</f>
        <v/>
      </c>
      <c r="L30" s="25">
        <f>IFERROR(L29/L16,"")</f>
        <v/>
      </c>
      <c r="M30" s="25">
        <f>IFERROR(M29/M16,"")</f>
        <v/>
      </c>
      <c r="N30" s="25">
        <f>IFERROR(N29/N16,"")</f>
        <v/>
      </c>
      <c r="O30" s="25">
        <f>IFERROR(O29/O16,"")</f>
        <v/>
      </c>
      <c r="P30" s="25">
        <f>IFERROR(P29/P16,"")</f>
        <v/>
      </c>
    </row>
    <row r="32">
      <c r="A32" s="5" t="inlineStr">
        <is>
          <t xml:space="preserve">  FCF BRIDGE (NOPAT + D&amp;A + SBC - dNWC - Capex)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4" t="inlineStr">
        <is>
          <t>NOPAT = EBIT x (1 - tax)</t>
        </is>
      </c>
      <c r="B33" s="34">
        <f>B29*(1-Valuation!$B$5)</f>
        <v/>
      </c>
      <c r="C33" s="34">
        <f>C29*(1-Valuation!$B$5)</f>
        <v/>
      </c>
      <c r="D33" s="34">
        <f>D29*(1-Valuation!$B$5)</f>
        <v/>
      </c>
      <c r="E33" s="34">
        <f>E29*(1-Valuation!$B$5)</f>
        <v/>
      </c>
      <c r="F33" s="34">
        <f>F29*(1-Valuation!$B$5)</f>
        <v/>
      </c>
      <c r="G33" s="34">
        <f>G29*(1-Valuation!$B$5)</f>
        <v/>
      </c>
      <c r="H33" s="34">
        <f>H29*(1-Valuation!$B$5)</f>
        <v/>
      </c>
      <c r="I33" s="34">
        <f>I29*(1-Valuation!$B$5)</f>
        <v/>
      </c>
      <c r="J33" s="34">
        <f>J29*(1-Valuation!$B$5)</f>
        <v/>
      </c>
      <c r="K33" s="34">
        <f>K29*(1-Valuation!$B$5)</f>
        <v/>
      </c>
      <c r="L33" s="34">
        <f>L29*(1-Valuation!$B$5)</f>
        <v/>
      </c>
      <c r="M33" s="34">
        <f>M29*(1-Valuation!$B$5)</f>
        <v/>
      </c>
      <c r="N33" s="34">
        <f>N29*(1-Valuation!$B$5)</f>
        <v/>
      </c>
      <c r="O33" s="34">
        <f>O29*(1-Valuation!$B$5)</f>
        <v/>
      </c>
      <c r="P33" s="34">
        <f>P29*(1-Valuation!$B$5)</f>
        <v/>
      </c>
    </row>
    <row r="34">
      <c r="A34" s="4" t="inlineStr">
        <is>
          <t>+ D&amp;A</t>
        </is>
      </c>
      <c r="B34" s="34">
        <f>SUM(Financials!J56:M56)</f>
        <v/>
      </c>
      <c r="C34" s="34">
        <f>SUM(Financials!N56:Q56)</f>
        <v/>
      </c>
      <c r="D34" s="34">
        <f>SUM(Financials!R56:U56)</f>
        <v/>
      </c>
      <c r="E34" s="34">
        <f>SUM(Financials!V56:Y56)</f>
        <v/>
      </c>
      <c r="F34" s="34">
        <f>SUM(Financials!Z56:AC56)</f>
        <v/>
      </c>
      <c r="G34" s="42">
        <f>G16*0.0874</f>
        <v/>
      </c>
      <c r="H34" s="42">
        <f>H16*0.0874</f>
        <v/>
      </c>
      <c r="I34" s="42">
        <f>I16*0.0874</f>
        <v/>
      </c>
      <c r="J34" s="42">
        <f>J16*0.0874</f>
        <v/>
      </c>
      <c r="K34" s="42">
        <f>K16*0.0874</f>
        <v/>
      </c>
      <c r="L34" s="42">
        <f>L16*0.0874</f>
        <v/>
      </c>
      <c r="M34" s="42">
        <f>M16*0.0874</f>
        <v/>
      </c>
      <c r="N34" s="42">
        <f>N16*0.0874</f>
        <v/>
      </c>
      <c r="O34" s="42">
        <f>O16*0.0874</f>
        <v/>
      </c>
      <c r="P34" s="42">
        <f>P16*0.0874</f>
        <v/>
      </c>
    </row>
    <row r="35">
      <c r="A35" s="4" t="inlineStr">
        <is>
          <t>+ SBC (non-cash)</t>
        </is>
      </c>
      <c r="B35" s="34">
        <f>SUM(Financials!J57:M57)</f>
        <v/>
      </c>
      <c r="C35" s="34">
        <f>SUM(Financials!N57:Q57)</f>
        <v/>
      </c>
      <c r="D35" s="34">
        <f>SUM(Financials!R57:U57)</f>
        <v/>
      </c>
      <c r="E35" s="34">
        <f>SUM(Financials!V57:Y57)</f>
        <v/>
      </c>
      <c r="F35" s="34">
        <f>SUM(Financials!Z57:AC57)</f>
        <v/>
      </c>
      <c r="G35" s="34">
        <f>G16*(Dashboard!$B$65+(Dashboard!$B$66-Dashboard!$B$65)*0/9)</f>
        <v/>
      </c>
      <c r="H35" s="34">
        <f>H16*(Dashboard!$B$65+(Dashboard!$B$66-Dashboard!$B$65)*1/9)</f>
        <v/>
      </c>
      <c r="I35" s="34">
        <f>I16*(Dashboard!$B$65+(Dashboard!$B$66-Dashboard!$B$65)*2/9)</f>
        <v/>
      </c>
      <c r="J35" s="34">
        <f>J16*(Dashboard!$B$65+(Dashboard!$B$66-Dashboard!$B$65)*3/9)</f>
        <v/>
      </c>
      <c r="K35" s="34">
        <f>K16*(Dashboard!$B$65+(Dashboard!$B$66-Dashboard!$B$65)*4/9)</f>
        <v/>
      </c>
      <c r="L35" s="34">
        <f>L16*(Dashboard!$B$65+(Dashboard!$B$66-Dashboard!$B$65)*5/9)</f>
        <v/>
      </c>
      <c r="M35" s="34">
        <f>M16*(Dashboard!$B$65+(Dashboard!$B$66-Dashboard!$B$65)*6/9)</f>
        <v/>
      </c>
      <c r="N35" s="34">
        <f>N16*(Dashboard!$B$65+(Dashboard!$B$66-Dashboard!$B$65)*7/9)</f>
        <v/>
      </c>
      <c r="O35" s="34">
        <f>O16*(Dashboard!$B$65+(Dashboard!$B$66-Dashboard!$B$65)*8/9)</f>
        <v/>
      </c>
      <c r="P35" s="34">
        <f>P16*(Dashboard!$B$65+(Dashboard!$B$66-Dashboard!$B$65)*9/9)</f>
        <v/>
      </c>
    </row>
    <row r="36">
      <c r="A36" s="4" t="inlineStr">
        <is>
          <t>- dNWC</t>
        </is>
      </c>
      <c r="G36" s="42">
        <f>(G16-F16)*0.0050</f>
        <v/>
      </c>
      <c r="H36" s="42">
        <f>(H16-G16)*0.0050</f>
        <v/>
      </c>
      <c r="I36" s="42">
        <f>(I16-H16)*0.0050</f>
        <v/>
      </c>
      <c r="J36" s="42">
        <f>(J16-I16)*0.0050</f>
        <v/>
      </c>
      <c r="K36" s="42">
        <f>(K16-J16)*0.0050</f>
        <v/>
      </c>
      <c r="L36" s="42">
        <f>(L16-K16)*0.0050</f>
        <v/>
      </c>
      <c r="M36" s="42">
        <f>(M16-L16)*0.0050</f>
        <v/>
      </c>
      <c r="N36" s="42">
        <f>(N16-M16)*0.0050</f>
        <v/>
      </c>
      <c r="O36" s="42">
        <f>(O16-N16)*0.0050</f>
        <v/>
      </c>
      <c r="P36" s="42">
        <f>(P16-O16)*0.0050</f>
        <v/>
      </c>
    </row>
    <row r="37">
      <c r="A37" s="4" t="inlineStr">
        <is>
          <t>- Capex</t>
        </is>
      </c>
      <c r="B37" s="34">
        <f>-SUM(Financials!J60:M60)</f>
        <v/>
      </c>
      <c r="C37" s="34">
        <f>-SUM(Financials!N60:Q60)</f>
        <v/>
      </c>
      <c r="D37" s="34">
        <f>-SUM(Financials!R60:U60)</f>
        <v/>
      </c>
      <c r="E37" s="34">
        <f>-SUM(Financials!V60:Y60)</f>
        <v/>
      </c>
      <c r="F37" s="34">
        <f>-SUM(Financials!Z60:AC60)</f>
        <v/>
      </c>
      <c r="G37" s="42">
        <f>G34*G38</f>
        <v/>
      </c>
      <c r="H37" s="42">
        <f>H34*H38</f>
        <v/>
      </c>
      <c r="I37" s="42">
        <f>I34*I38</f>
        <v/>
      </c>
      <c r="J37" s="42">
        <f>J34*J38</f>
        <v/>
      </c>
      <c r="K37" s="42">
        <f>K34*K38</f>
        <v/>
      </c>
      <c r="L37" s="42">
        <f>L34*L38</f>
        <v/>
      </c>
      <c r="M37" s="42">
        <f>M34*M38</f>
        <v/>
      </c>
      <c r="N37" s="42">
        <f>N34*N38</f>
        <v/>
      </c>
      <c r="O37" s="42">
        <f>O34*O38</f>
        <v/>
      </c>
      <c r="P37" s="42">
        <f>P34*P38</f>
        <v/>
      </c>
    </row>
    <row r="38">
      <c r="A38" s="4" t="inlineStr">
        <is>
          <t xml:space="preserve">    Capex / D&amp;A  (from Dashboard: $cap'26 -&gt; terminal)</t>
        </is>
      </c>
      <c r="B38" s="26">
        <f>IFERROR(B37/B34,"")</f>
        <v/>
      </c>
      <c r="C38" s="26">
        <f>IFERROR(C37/C34,"")</f>
        <v/>
      </c>
      <c r="D38" s="26">
        <f>IFERROR(D37/D34,"")</f>
        <v/>
      </c>
      <c r="E38" s="26">
        <f>IFERROR(E37/E34,"")</f>
        <v/>
      </c>
      <c r="F38" s="26">
        <f>IFERROR(F37/F34,"")</f>
        <v/>
      </c>
      <c r="G38" s="13">
        <f>(Dashboard!$B$34/G34)+(Dashboard!$B$35-(Dashboard!$B$34/G34))*0/9</f>
        <v/>
      </c>
      <c r="H38" s="13">
        <f>(Dashboard!$B$34/G34)+(Dashboard!$B$35-(Dashboard!$B$34/G34))*1/9</f>
        <v/>
      </c>
      <c r="I38" s="13">
        <f>(Dashboard!$B$34/G34)+(Dashboard!$B$35-(Dashboard!$B$34/G34))*2/9</f>
        <v/>
      </c>
      <c r="J38" s="13">
        <f>(Dashboard!$B$34/G34)+(Dashboard!$B$35-(Dashboard!$B$34/G34))*3/9</f>
        <v/>
      </c>
      <c r="K38" s="13">
        <f>(Dashboard!$B$34/G34)+(Dashboard!$B$35-(Dashboard!$B$34/G34))*4/9</f>
        <v/>
      </c>
      <c r="L38" s="13">
        <f>(Dashboard!$B$34/G34)+(Dashboard!$B$35-(Dashboard!$B$34/G34))*5/9</f>
        <v/>
      </c>
      <c r="M38" s="13">
        <f>(Dashboard!$B$34/G34)+(Dashboard!$B$35-(Dashboard!$B$34/G34))*6/9</f>
        <v/>
      </c>
      <c r="N38" s="13">
        <f>(Dashboard!$B$34/G34)+(Dashboard!$B$35-(Dashboard!$B$34/G34))*7/9</f>
        <v/>
      </c>
      <c r="O38" s="13">
        <f>(Dashboard!$B$34/G34)+(Dashboard!$B$35-(Dashboard!$B$34/G34))*8/9</f>
        <v/>
      </c>
      <c r="P38" s="13">
        <f>(Dashboard!$B$34/G34)+(Dashboard!$B$35-(Dashboard!$B$34/G34))*9/9</f>
        <v/>
      </c>
    </row>
    <row r="40">
      <c r="A40" s="3" t="inlineStr">
        <is>
          <t>FCFF (firm)</t>
        </is>
      </c>
      <c r="B40" s="43">
        <f>B33+B34+B35-B36-B37</f>
        <v/>
      </c>
      <c r="C40" s="43">
        <f>C33+C34+C35-C36-C37</f>
        <v/>
      </c>
      <c r="D40" s="43">
        <f>D33+D34+D35-D36-D37</f>
        <v/>
      </c>
      <c r="E40" s="43">
        <f>E33+E34+E35-E36-E37</f>
        <v/>
      </c>
      <c r="F40" s="43">
        <f>F33+F34+F35-F36-F37</f>
        <v/>
      </c>
      <c r="G40" s="43">
        <f>G33+G34+G35-G36-G37</f>
        <v/>
      </c>
      <c r="H40" s="43">
        <f>H33+H34+H35-H36-H37</f>
        <v/>
      </c>
      <c r="I40" s="43">
        <f>I33+I34+I35-I36-I37</f>
        <v/>
      </c>
      <c r="J40" s="43">
        <f>J33+J34+J35-J36-J37</f>
        <v/>
      </c>
      <c r="K40" s="43">
        <f>K33+K34+K35-K36-K37</f>
        <v/>
      </c>
      <c r="L40" s="43">
        <f>L33+L34+L35-L36-L37</f>
        <v/>
      </c>
      <c r="M40" s="43">
        <f>M33+M34+M35-M36-M37</f>
        <v/>
      </c>
      <c r="N40" s="43">
        <f>N33+N34+N35-N36-N37</f>
        <v/>
      </c>
      <c r="O40" s="43">
        <f>O33+O34+O35-O36-O37</f>
        <v/>
      </c>
      <c r="P40" s="43">
        <f>P33+P34+P35-P36-P37</f>
        <v/>
      </c>
    </row>
    <row r="41">
      <c r="A41" s="3" t="inlineStr">
        <is>
          <t>Valuation FCF (NOPAT + D&amp;A - dNWC - Capex - after-tax SBC)</t>
        </is>
      </c>
      <c r="B41" s="44">
        <f>B40-B35-B35*(1-Valuation!$B$5)</f>
        <v/>
      </c>
      <c r="C41" s="44">
        <f>C40-C35-C35*(1-Valuation!$B$5)</f>
        <v/>
      </c>
      <c r="D41" s="44">
        <f>D40-D35-D35*(1-Valuation!$B$5)</f>
        <v/>
      </c>
      <c r="E41" s="44">
        <f>E40-E35-E35*(1-Valuation!$B$5)</f>
        <v/>
      </c>
      <c r="F41" s="44">
        <f>F40-F35-F35*(1-Valuation!$B$5)</f>
        <v/>
      </c>
      <c r="G41" s="44">
        <f>G40-G35-G35*(1-Valuation!$B$5)</f>
        <v/>
      </c>
      <c r="H41" s="44">
        <f>H40-H35-H35*(1-Valuation!$B$5)</f>
        <v/>
      </c>
      <c r="I41" s="44">
        <f>I40-I35-I35*(1-Valuation!$B$5)</f>
        <v/>
      </c>
      <c r="J41" s="44">
        <f>J40-J35-J35*(1-Valuation!$B$5)</f>
        <v/>
      </c>
      <c r="K41" s="44">
        <f>K40-K35-K35*(1-Valuation!$B$5)</f>
        <v/>
      </c>
      <c r="L41" s="44">
        <f>L40-L35-L35*(1-Valuation!$B$5)</f>
        <v/>
      </c>
      <c r="M41" s="44">
        <f>M40-M35-M35*(1-Valuation!$B$5)</f>
        <v/>
      </c>
      <c r="N41" s="44">
        <f>N40-N35-N35*(1-Valuation!$B$5)</f>
        <v/>
      </c>
      <c r="O41" s="44">
        <f>O40-O35-O35*(1-Valuation!$B$5)</f>
        <v/>
      </c>
      <c r="P41" s="44">
        <f>P40-P35-P35*(1-Valuation!$B$5)</f>
        <v/>
      </c>
    </row>
    <row r="43">
      <c r="A43" s="5" t="inlineStr">
        <is>
          <t xml:space="preserve">  RETURNS ON CAPITAL &amp; EFFICIENCY  (is new revenue/capital earning its keep?)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4" t="inlineStr">
        <is>
          <t>Invested capital (debt + equity - cash)</t>
        </is>
      </c>
      <c r="B44" s="34">
        <f>Financials!M54+Financials!M53-Financials!M48</f>
        <v/>
      </c>
      <c r="C44" s="34">
        <f>Financials!Q54+Financials!Q53-Financials!Q48</f>
        <v/>
      </c>
      <c r="D44" s="34">
        <f>Financials!U54+Financials!U53-Financials!U48</f>
        <v/>
      </c>
      <c r="E44" s="34">
        <f>Financials!Y54+Financials!Y53-Financials!Y48</f>
        <v/>
      </c>
      <c r="F44" s="34">
        <f>Financials!AC54+Financials!AC53-Financials!AC48</f>
        <v/>
      </c>
      <c r="G44" s="42">
        <f>F44+G37-G34+G36</f>
        <v/>
      </c>
      <c r="H44" s="42">
        <f>G44+H37-H34+H36</f>
        <v/>
      </c>
      <c r="I44" s="42">
        <f>H44+I37-I34+I36</f>
        <v/>
      </c>
      <c r="J44" s="42">
        <f>I44+J37-J34+J36</f>
        <v/>
      </c>
      <c r="K44" s="42">
        <f>J44+K37-K34+K36</f>
        <v/>
      </c>
      <c r="L44" s="42">
        <f>K44+L37-L34+L36</f>
        <v/>
      </c>
      <c r="M44" s="42">
        <f>L44+M37-M34+M36</f>
        <v/>
      </c>
      <c r="N44" s="42">
        <f>M44+N37-N34+N36</f>
        <v/>
      </c>
      <c r="O44" s="42">
        <f>N44+O37-O34+O36</f>
        <v/>
      </c>
      <c r="P44" s="42">
        <f>O44+P37-P34+P36</f>
        <v/>
      </c>
    </row>
    <row r="45">
      <c r="A45" s="4" t="inlineStr">
        <is>
          <t>Book equity (year-end)</t>
        </is>
      </c>
      <c r="B45" s="34">
        <f>Financials!M54</f>
        <v/>
      </c>
      <c r="C45" s="34">
        <f>Financials!Q54</f>
        <v/>
      </c>
      <c r="D45" s="34">
        <f>Financials!U54</f>
        <v/>
      </c>
      <c r="E45" s="34">
        <f>Financials!Y54</f>
        <v/>
      </c>
      <c r="F45" s="34">
        <f>Financials!AC54</f>
        <v/>
      </c>
      <c r="G45" s="42">
        <f>F45+G33</f>
        <v/>
      </c>
      <c r="H45" s="42">
        <f>G45+H33</f>
        <v/>
      </c>
      <c r="I45" s="42">
        <f>H45+I33</f>
        <v/>
      </c>
      <c r="J45" s="42">
        <f>I45+J33</f>
        <v/>
      </c>
      <c r="K45" s="42">
        <f>J45+K33</f>
        <v/>
      </c>
      <c r="L45" s="42">
        <f>K45+L33</f>
        <v/>
      </c>
      <c r="M45" s="42">
        <f>L45+M33</f>
        <v/>
      </c>
      <c r="N45" s="42">
        <f>M45+N33</f>
        <v/>
      </c>
      <c r="O45" s="42">
        <f>N45+O33</f>
        <v/>
      </c>
      <c r="P45" s="42">
        <f>O45+P33</f>
        <v/>
      </c>
    </row>
    <row r="46">
      <c r="A46" s="3" t="inlineStr">
        <is>
          <t xml:space="preserve">  ROIC (NOPAT / beg. invested capital)</t>
        </is>
      </c>
      <c r="C46" s="25">
        <f>IFERROR(C33/B44,"")</f>
        <v/>
      </c>
      <c r="D46" s="25">
        <f>IFERROR(D33/C44,"")</f>
        <v/>
      </c>
      <c r="E46" s="25">
        <f>IFERROR(E33/D44,"")</f>
        <v/>
      </c>
      <c r="F46" s="25">
        <f>IFERROR(F33/E44,"")</f>
        <v/>
      </c>
      <c r="G46" s="25">
        <f>IFERROR(G33/F44,"")</f>
        <v/>
      </c>
      <c r="H46" s="25">
        <f>IFERROR(H33/G44,"")</f>
        <v/>
      </c>
      <c r="I46" s="25">
        <f>IFERROR(I33/H44,"")</f>
        <v/>
      </c>
      <c r="J46" s="25">
        <f>IFERROR(J33/I44,"")</f>
        <v/>
      </c>
      <c r="K46" s="25">
        <f>IFERROR(K33/J44,"")</f>
        <v/>
      </c>
      <c r="L46" s="25">
        <f>IFERROR(L33/K44,"")</f>
        <v/>
      </c>
      <c r="M46" s="25">
        <f>IFERROR(M33/L44,"")</f>
        <v/>
      </c>
      <c r="N46" s="25">
        <f>IFERROR(N33/M44,"")</f>
        <v/>
      </c>
      <c r="O46" s="25">
        <f>IFERROR(O33/N44,"")</f>
        <v/>
      </c>
      <c r="P46" s="25">
        <f>IFERROR(P33/O44,"")</f>
        <v/>
      </c>
    </row>
    <row r="47">
      <c r="A47" s="3" t="inlineStr">
        <is>
          <t xml:space="preserve">  ROE (earnings / beg. equity)</t>
        </is>
      </c>
      <c r="C47" s="11">
        <f>IFERROR(SUM(Financials!N15:Q15)/B45,"")</f>
        <v/>
      </c>
      <c r="D47" s="11">
        <f>IFERROR(SUM(Financials!R15:U15)/C45,"")</f>
        <v/>
      </c>
      <c r="E47" s="11">
        <f>IFERROR(SUM(Financials!V15:Y15)/D45,"")</f>
        <v/>
      </c>
      <c r="F47" s="11">
        <f>IFERROR(SUM(Financials!Z15:AC15)/E45,"")</f>
        <v/>
      </c>
      <c r="G47" s="25">
        <f>IFERROR(G33/F45,"")</f>
        <v/>
      </c>
      <c r="H47" s="25">
        <f>IFERROR(H33/G45,"")</f>
        <v/>
      </c>
      <c r="I47" s="25">
        <f>IFERROR(I33/H45,"")</f>
        <v/>
      </c>
      <c r="J47" s="25">
        <f>IFERROR(J33/I45,"")</f>
        <v/>
      </c>
      <c r="K47" s="25">
        <f>IFERROR(K33/J45,"")</f>
        <v/>
      </c>
      <c r="L47" s="25">
        <f>IFERROR(L33/K45,"")</f>
        <v/>
      </c>
      <c r="M47" s="25">
        <f>IFERROR(M33/L45,"")</f>
        <v/>
      </c>
      <c r="N47" s="25">
        <f>IFERROR(N33/M45,"")</f>
        <v/>
      </c>
      <c r="O47" s="25">
        <f>IFERROR(O33/N45,"")</f>
        <v/>
      </c>
      <c r="P47" s="25">
        <f>IFERROR(P33/O45,"")</f>
        <v/>
      </c>
    </row>
    <row r="48">
      <c r="A48" s="4" t="inlineStr">
        <is>
          <t xml:space="preserve">  ROIC - WACC spread (value created)</t>
        </is>
      </c>
      <c r="C48" s="11">
        <f>IFERROR(C46-WACC!$B$15,"")</f>
        <v/>
      </c>
      <c r="D48" s="11">
        <f>IFERROR(D46-WACC!$B$15,"")</f>
        <v/>
      </c>
      <c r="E48" s="11">
        <f>IFERROR(E46-WACC!$B$15,"")</f>
        <v/>
      </c>
      <c r="F48" s="11">
        <f>IFERROR(F46-WACC!$B$15,"")</f>
        <v/>
      </c>
      <c r="G48" s="11">
        <f>IFERROR(G46-WACC!$B$15,"")</f>
        <v/>
      </c>
      <c r="H48" s="11">
        <f>IFERROR(H46-WACC!$B$15,"")</f>
        <v/>
      </c>
      <c r="I48" s="11">
        <f>IFERROR(I46-WACC!$B$15,"")</f>
        <v/>
      </c>
      <c r="J48" s="11">
        <f>IFERROR(J46-WACC!$B$15,"")</f>
        <v/>
      </c>
      <c r="K48" s="11">
        <f>IFERROR(K46-WACC!$B$15,"")</f>
        <v/>
      </c>
      <c r="L48" s="11">
        <f>IFERROR(L46-WACC!$B$15,"")</f>
        <v/>
      </c>
      <c r="M48" s="11">
        <f>IFERROR(M46-WACC!$B$15,"")</f>
        <v/>
      </c>
      <c r="N48" s="11">
        <f>IFERROR(N46-WACC!$B$15,"")</f>
        <v/>
      </c>
      <c r="O48" s="11">
        <f>IFERROR(O46-WACC!$B$15,"")</f>
        <v/>
      </c>
      <c r="P48" s="11">
        <f>IFERROR(P46-WACC!$B$15,"")</f>
        <v/>
      </c>
    </row>
    <row r="49">
      <c r="A49" s="4" t="inlineStr">
        <is>
          <t xml:space="preserve">  Incremental op margin (ΔEBIT / ΔRev)</t>
        </is>
      </c>
      <c r="C49" s="25">
        <f>IFERROR((C29-B29)/(C16-B16),"")</f>
        <v/>
      </c>
      <c r="D49" s="25">
        <f>IFERROR((D29-C29)/(D16-C16),"")</f>
        <v/>
      </c>
      <c r="E49" s="25">
        <f>IFERROR((E29-D29)/(E16-D16),"")</f>
        <v/>
      </c>
      <c r="F49" s="25">
        <f>IFERROR((F29-E29)/(F16-E16),"")</f>
        <v/>
      </c>
      <c r="G49" s="25">
        <f>IFERROR((G29-F29)/(G16-F16),"")</f>
        <v/>
      </c>
      <c r="H49" s="25">
        <f>IFERROR((H29-G29)/(H16-G16),"")</f>
        <v/>
      </c>
      <c r="I49" s="25">
        <f>IFERROR((I29-H29)/(I16-H16),"")</f>
        <v/>
      </c>
      <c r="J49" s="25">
        <f>IFERROR((J29-I29)/(J16-I16),"")</f>
        <v/>
      </c>
      <c r="K49" s="25">
        <f>IFERROR((K29-J29)/(K16-J16),"")</f>
        <v/>
      </c>
      <c r="L49" s="25">
        <f>IFERROR((L29-K29)/(L16-K16),"")</f>
        <v/>
      </c>
      <c r="M49" s="25">
        <f>IFERROR((M29-L29)/(M16-L16),"")</f>
        <v/>
      </c>
      <c r="N49" s="25">
        <f>IFERROR((N29-M29)/(N16-M16),"")</f>
        <v/>
      </c>
      <c r="O49" s="25">
        <f>IFERROR((O29-N29)/(O16-N16),"")</f>
        <v/>
      </c>
      <c r="P49" s="25">
        <f>IFERROR((P29-O29)/(P16-O16),"")</f>
        <v/>
      </c>
    </row>
    <row r="50">
      <c r="A50" s="3" t="inlineStr">
        <is>
          <t xml:space="preserve">  ROIIC (ΔNOPAT / ΔInvested capital)</t>
        </is>
      </c>
      <c r="C50" s="25">
        <f>IFERROR((C33-B33)/(C44-B44),"")</f>
        <v/>
      </c>
      <c r="D50" s="25">
        <f>IFERROR((D33-C33)/(D44-C44),"")</f>
        <v/>
      </c>
      <c r="E50" s="25">
        <f>IFERROR((E33-D33)/(E44-D44),"")</f>
        <v/>
      </c>
      <c r="F50" s="25">
        <f>IFERROR((F33-E33)/(F44-E44),"")</f>
        <v/>
      </c>
      <c r="G50" s="25">
        <f>IFERROR((G33-F33)/(G44-F44),"")</f>
        <v/>
      </c>
      <c r="H50" s="25">
        <f>IFERROR((H33-G33)/(H44-G44),"")</f>
        <v/>
      </c>
      <c r="I50" s="25">
        <f>IFERROR((I33-H33)/(I44-H44),"")</f>
        <v/>
      </c>
      <c r="J50" s="25">
        <f>IFERROR((J33-I33)/(J44-I44),"")</f>
        <v/>
      </c>
      <c r="K50" s="25">
        <f>IFERROR((K33-J33)/(K44-J44),"")</f>
        <v/>
      </c>
      <c r="L50" s="25">
        <f>IFERROR((L33-K33)/(L44-K44),"")</f>
        <v/>
      </c>
      <c r="M50" s="25">
        <f>IFERROR((M33-L33)/(M44-L44),"")</f>
        <v/>
      </c>
      <c r="N50" s="25">
        <f>IFERROR((N33-M33)/(N44-M44),"")</f>
        <v/>
      </c>
      <c r="O50" s="25">
        <f>IFERROR((O33-N33)/(O44-N44),"")</f>
        <v/>
      </c>
      <c r="P50" s="25">
        <f>IFERROR((P33-O33)/(P44-O44),"")</f>
        <v/>
      </c>
    </row>
    <row r="51">
      <c r="A51" s="4" t="inlineStr">
        <is>
          <t xml:space="preserve">  Sales-to-capital (ΔRev / ΔInvested capital)</t>
        </is>
      </c>
      <c r="C51" s="45">
        <f>IFERROR((C16-B16)/(C44-B44),"")</f>
        <v/>
      </c>
      <c r="D51" s="45">
        <f>IFERROR((D16-C16)/(D44-C44),"")</f>
        <v/>
      </c>
      <c r="E51" s="45">
        <f>IFERROR((E16-D16)/(E44-D44),"")</f>
        <v/>
      </c>
      <c r="F51" s="45">
        <f>IFERROR((F16-E16)/(F44-E44),"")</f>
        <v/>
      </c>
      <c r="G51" s="45">
        <f>IFERROR((G16-F16)/(G44-F44),"")</f>
        <v/>
      </c>
      <c r="H51" s="45">
        <f>IFERROR((H16-G16)/(H44-G44),"")</f>
        <v/>
      </c>
      <c r="I51" s="45">
        <f>IFERROR((I16-H16)/(I44-H44),"")</f>
        <v/>
      </c>
      <c r="J51" s="45">
        <f>IFERROR((J16-I16)/(J44-I44),"")</f>
        <v/>
      </c>
      <c r="K51" s="45">
        <f>IFERROR((K16-J16)/(K44-J44),"")</f>
        <v/>
      </c>
      <c r="L51" s="45">
        <f>IFERROR((L16-K16)/(L44-K44),"")</f>
        <v/>
      </c>
      <c r="M51" s="45">
        <f>IFERROR((M16-L16)/(M44-L44),"")</f>
        <v/>
      </c>
      <c r="N51" s="45">
        <f>IFERROR((N16-M16)/(N44-M44),"")</f>
        <v/>
      </c>
      <c r="O51" s="45">
        <f>IFERROR((O16-N16)/(O44-N44),"")</f>
        <v/>
      </c>
      <c r="P51" s="45">
        <f>IFERROR((P16-O16)/(P44-O44),"")</f>
        <v/>
      </c>
    </row>
    <row r="52">
      <c r="A52" s="4" t="inlineStr">
        <is>
          <t xml:space="preserve">  Reinvestment rate (ΔInvested capital / NOPAT)</t>
        </is>
      </c>
      <c r="C52" s="25">
        <f>IFERROR((C44-B44)/C33,"")</f>
        <v/>
      </c>
      <c r="D52" s="25">
        <f>IFERROR((D44-C44)/D33,"")</f>
        <v/>
      </c>
      <c r="E52" s="25">
        <f>IFERROR((E44-D44)/E33,"")</f>
        <v/>
      </c>
      <c r="F52" s="25">
        <f>IFERROR((F44-E44)/F33,"")</f>
        <v/>
      </c>
      <c r="G52" s="25">
        <f>IFERROR((G44-F44)/G33,"")</f>
        <v/>
      </c>
      <c r="H52" s="25">
        <f>IFERROR((H44-G44)/H33,"")</f>
        <v/>
      </c>
      <c r="I52" s="25">
        <f>IFERROR((I44-H44)/I33,"")</f>
        <v/>
      </c>
      <c r="J52" s="25">
        <f>IFERROR((J44-I44)/J33,"")</f>
        <v/>
      </c>
      <c r="K52" s="25">
        <f>IFERROR((K44-J44)/K33,"")</f>
        <v/>
      </c>
      <c r="L52" s="25">
        <f>IFERROR((L44-K44)/L33,"")</f>
        <v/>
      </c>
      <c r="M52" s="25">
        <f>IFERROR((M44-L44)/M33,"")</f>
        <v/>
      </c>
      <c r="N52" s="25">
        <f>IFERROR((N44-M44)/N33,"")</f>
        <v/>
      </c>
      <c r="O52" s="25">
        <f>IFERROR((O44-N44)/O33,"")</f>
        <v/>
      </c>
      <c r="P52" s="25">
        <f>IFERROR((P44-O44)/P33,"")</f>
        <v/>
      </c>
    </row>
    <row r="54">
      <c r="A5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Q1 2020</t>
        </is>
      </c>
      <c r="C1" s="46" t="inlineStr">
        <is>
          <t>Q2 2020</t>
        </is>
      </c>
      <c r="D1" s="46" t="inlineStr">
        <is>
          <t>Q3 2020</t>
        </is>
      </c>
      <c r="E1" s="46" t="inlineStr">
        <is>
          <t>Q4 2020</t>
        </is>
      </c>
      <c r="F1" s="46" t="inlineStr">
        <is>
          <t>Q1 2021</t>
        </is>
      </c>
      <c r="G1" s="46" t="inlineStr">
        <is>
          <t>Q2 2021</t>
        </is>
      </c>
      <c r="H1" s="46" t="inlineStr">
        <is>
          <t>Q3 2021</t>
        </is>
      </c>
      <c r="I1" s="46" t="inlineStr">
        <is>
          <t>Q4 2021</t>
        </is>
      </c>
      <c r="J1" s="46" t="inlineStr">
        <is>
          <t>Q1 2022</t>
        </is>
      </c>
      <c r="K1" s="46" t="inlineStr">
        <is>
          <t>Q2 2022</t>
        </is>
      </c>
      <c r="L1" s="46" t="inlineStr">
        <is>
          <t>Q3 2022</t>
        </is>
      </c>
      <c r="M1" s="46" t="inlineStr">
        <is>
          <t>Q4 2022</t>
        </is>
      </c>
      <c r="N1" s="46" t="inlineStr">
        <is>
          <t>Q1 2023</t>
        </is>
      </c>
      <c r="O1" s="46" t="inlineStr">
        <is>
          <t>Q2 2023</t>
        </is>
      </c>
      <c r="P1" s="46" t="inlineStr">
        <is>
          <t>Q3 2023</t>
        </is>
      </c>
      <c r="Q1" s="46" t="inlineStr">
        <is>
          <t>Q4 2023</t>
        </is>
      </c>
      <c r="R1" s="46" t="inlineStr">
        <is>
          <t>Q1 2024</t>
        </is>
      </c>
      <c r="S1" s="46" t="inlineStr">
        <is>
          <t>Q2 2024</t>
        </is>
      </c>
      <c r="T1" s="46" t="inlineStr">
        <is>
          <t>Q3 2024</t>
        </is>
      </c>
      <c r="U1" s="46" t="inlineStr">
        <is>
          <t>Q4 2024</t>
        </is>
      </c>
      <c r="V1" s="46" t="inlineStr">
        <is>
          <t>Q1 2025</t>
        </is>
      </c>
      <c r="W1" s="46" t="inlineStr">
        <is>
          <t>Q2 2025</t>
        </is>
      </c>
      <c r="X1" s="46" t="inlineStr">
        <is>
          <t>Q3 2025</t>
        </is>
      </c>
      <c r="Y1" s="46" t="inlineStr">
        <is>
          <t>Q4 2025</t>
        </is>
      </c>
      <c r="Z1" s="46" t="inlineStr">
        <is>
          <t>Q1 2026</t>
        </is>
      </c>
      <c r="AA1" s="46" t="inlineStr">
        <is>
          <t>Q2 2026</t>
        </is>
      </c>
      <c r="AB1" s="46" t="inlineStr">
        <is>
          <t>Q3 2026</t>
        </is>
      </c>
      <c r="AC1" s="4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3737</v>
      </c>
      <c r="C3" s="18" t="n">
        <v>3997</v>
      </c>
      <c r="D3" s="18" t="n">
        <v>4513</v>
      </c>
      <c r="E3" s="18" t="n">
        <v>4851</v>
      </c>
      <c r="F3" s="18" t="n">
        <v>4865</v>
      </c>
      <c r="G3" s="18" t="n">
        <v>5151</v>
      </c>
      <c r="H3" s="18" t="n">
        <v>5419</v>
      </c>
      <c r="I3" s="18" t="n">
        <v>5817</v>
      </c>
      <c r="J3" s="18" t="n">
        <v>5963</v>
      </c>
      <c r="K3" s="18" t="n">
        <v>6340</v>
      </c>
      <c r="L3" s="18" t="n">
        <v>6863</v>
      </c>
      <c r="M3" s="18" t="n">
        <v>7326</v>
      </c>
      <c r="N3" s="18" t="n">
        <v>7411</v>
      </c>
      <c r="O3" s="18" t="n">
        <v>7720</v>
      </c>
      <c r="P3" s="18" t="n">
        <v>7837</v>
      </c>
      <c r="Q3" s="18" t="n">
        <v>8384</v>
      </c>
      <c r="R3" s="18" t="n">
        <v>8247</v>
      </c>
      <c r="S3" s="18" t="n">
        <v>8603</v>
      </c>
      <c r="T3" s="18" t="n">
        <v>8720</v>
      </c>
      <c r="U3" s="18" t="n">
        <v>9287</v>
      </c>
      <c r="V3" s="18" t="n">
        <v>9133</v>
      </c>
      <c r="W3" s="18" t="n">
        <v>9325</v>
      </c>
      <c r="X3" s="18" t="n">
        <v>9444</v>
      </c>
      <c r="Y3" s="18" t="n">
        <v>9993</v>
      </c>
      <c r="Z3" s="18" t="n">
        <v>9829</v>
      </c>
      <c r="AA3" s="18" t="n">
        <v>10236</v>
      </c>
      <c r="AB3" s="18" t="n">
        <v>10259</v>
      </c>
      <c r="AC3" s="18" t="n">
        <v>11201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914</v>
      </c>
      <c r="C5" s="18" t="n">
        <v>967</v>
      </c>
      <c r="D5" s="18" t="n">
        <v>1134</v>
      </c>
      <c r="E5" s="18" t="n">
        <v>1220</v>
      </c>
      <c r="F5" s="18" t="n">
        <v>1254</v>
      </c>
      <c r="G5" s="18" t="n">
        <v>1311</v>
      </c>
      <c r="H5" s="18" t="n">
        <v>1394</v>
      </c>
      <c r="I5" s="18" t="n">
        <v>1479</v>
      </c>
      <c r="J5" s="18" t="n">
        <v>1555</v>
      </c>
      <c r="K5" s="18" t="n">
        <v>1613</v>
      </c>
      <c r="L5" s="18" t="n">
        <v>1844</v>
      </c>
      <c r="M5" s="18" t="n">
        <v>2014</v>
      </c>
      <c r="N5" s="18" t="n">
        <v>2045</v>
      </c>
      <c r="O5" s="18" t="n">
        <v>2127</v>
      </c>
      <c r="P5" s="18" t="n">
        <v>2088</v>
      </c>
      <c r="Q5" s="18" t="n">
        <v>2100</v>
      </c>
      <c r="R5" s="18" t="n">
        <v>2125</v>
      </c>
      <c r="S5" s="18" t="n">
        <v>2113</v>
      </c>
      <c r="T5" s="18" t="n">
        <v>2155</v>
      </c>
      <c r="U5" s="18" t="n">
        <v>2148</v>
      </c>
      <c r="V5" s="18" t="n">
        <v>2162</v>
      </c>
      <c r="W5" s="18" t="n">
        <v>2159</v>
      </c>
      <c r="X5" s="18" t="n">
        <v>2105</v>
      </c>
      <c r="Y5" s="18" t="n">
        <v>2217</v>
      </c>
      <c r="Z5" s="18" t="n">
        <v>2265</v>
      </c>
      <c r="AA5" s="18" t="n">
        <v>2242</v>
      </c>
      <c r="AB5" s="18" t="n">
        <v>2255</v>
      </c>
      <c r="AC5" s="18" t="n">
        <v>2508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554</v>
      </c>
      <c r="C7" s="18" t="n">
        <v>607</v>
      </c>
      <c r="D7" s="18" t="n">
        <v>774</v>
      </c>
      <c r="E7" s="18" t="n">
        <v>831</v>
      </c>
      <c r="F7" s="18" t="n">
        <v>859</v>
      </c>
      <c r="G7" s="18" t="n">
        <v>898</v>
      </c>
      <c r="H7" s="18" t="n">
        <v>902</v>
      </c>
      <c r="I7" s="18" t="n">
        <v>939</v>
      </c>
      <c r="J7" s="18" t="n">
        <v>951</v>
      </c>
      <c r="K7" s="18" t="n">
        <v>1020</v>
      </c>
      <c r="L7" s="18" t="n">
        <v>1203</v>
      </c>
      <c r="M7" s="18" t="n">
        <v>1291</v>
      </c>
      <c r="N7" s="18" t="n">
        <v>1318</v>
      </c>
      <c r="O7" s="18" t="n">
        <v>1329</v>
      </c>
      <c r="P7" s="18" t="n">
        <v>1280</v>
      </c>
      <c r="Q7" s="18" t="n">
        <v>1128</v>
      </c>
      <c r="R7" s="18" t="n">
        <v>1207</v>
      </c>
      <c r="S7" s="18" t="n">
        <v>1220</v>
      </c>
      <c r="T7" s="18" t="n">
        <v>1204</v>
      </c>
      <c r="U7" s="18" t="n">
        <v>1275</v>
      </c>
      <c r="V7" s="18" t="n">
        <v>1368</v>
      </c>
      <c r="W7" s="18" t="n">
        <v>1349</v>
      </c>
      <c r="X7" s="18" t="n">
        <v>1356</v>
      </c>
      <c r="Y7" s="18" t="n">
        <v>1420</v>
      </c>
      <c r="Z7" s="18" t="n">
        <v>1460</v>
      </c>
      <c r="AA7" s="18" t="n">
        <v>1481</v>
      </c>
      <c r="AB7" s="18" t="n">
        <v>1433</v>
      </c>
      <c r="AC7" s="18" t="n">
        <v>1619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2059</v>
      </c>
      <c r="C9" s="18" t="n">
        <v>2199</v>
      </c>
      <c r="D9" s="18" t="n">
        <v>2540</v>
      </c>
      <c r="E9" s="18" t="n">
        <v>2836</v>
      </c>
      <c r="F9" s="18" t="n">
        <v>2892</v>
      </c>
      <c r="G9" s="18" t="n">
        <v>2764</v>
      </c>
      <c r="H9" s="18" t="n">
        <v>2899</v>
      </c>
      <c r="I9" s="18" t="n">
        <v>3206</v>
      </c>
      <c r="J9" s="18" t="n">
        <v>3103</v>
      </c>
      <c r="K9" s="18" t="n">
        <v>3375</v>
      </c>
      <c r="L9" s="18" t="n">
        <v>3778</v>
      </c>
      <c r="M9" s="18" t="n">
        <v>4197</v>
      </c>
      <c r="N9" s="18" t="n">
        <v>4028</v>
      </c>
      <c r="O9" s="18" t="n">
        <v>4071</v>
      </c>
      <c r="P9" s="18" t="n">
        <v>4009</v>
      </c>
      <c r="Q9" s="18" t="n">
        <v>3971</v>
      </c>
      <c r="R9" s="18" t="n">
        <v>3792</v>
      </c>
      <c r="S9" s="18" t="n">
        <v>3745</v>
      </c>
      <c r="T9" s="18" t="n">
        <v>3805</v>
      </c>
      <c r="U9" s="18" t="n">
        <v>4069</v>
      </c>
      <c r="V9" s="18" t="n">
        <v>3886</v>
      </c>
      <c r="W9" s="18" t="n">
        <v>3935</v>
      </c>
      <c r="X9" s="18" t="n">
        <v>4034</v>
      </c>
      <c r="Y9" s="18" t="n">
        <v>4238</v>
      </c>
      <c r="Z9" s="18" t="n">
        <v>4126</v>
      </c>
      <c r="AA9" s="18" t="n">
        <v>4177</v>
      </c>
      <c r="AB9" s="18" t="n">
        <v>4123</v>
      </c>
      <c r="AC9" s="18" t="n">
        <v>4919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2823</v>
      </c>
      <c r="C11" s="18" t="n">
        <v>3030</v>
      </c>
      <c r="D11" s="18" t="n">
        <v>3379</v>
      </c>
      <c r="E11" s="18" t="n">
        <v>3631</v>
      </c>
      <c r="F11" s="18" t="n">
        <v>3611</v>
      </c>
      <c r="G11" s="18" t="n">
        <v>3840</v>
      </c>
      <c r="H11" s="18" t="n">
        <v>4025</v>
      </c>
      <c r="I11" s="18" t="n">
        <v>4338</v>
      </c>
      <c r="J11" s="18" t="n">
        <v>4408</v>
      </c>
      <c r="K11" s="18" t="n">
        <v>4727</v>
      </c>
      <c r="L11" s="18" t="n">
        <v>5019</v>
      </c>
      <c r="M11" s="18" t="n">
        <v>5312</v>
      </c>
      <c r="N11" s="18" t="n">
        <v>5366</v>
      </c>
      <c r="O11" s="18" t="n">
        <v>5593</v>
      </c>
      <c r="P11" s="18" t="n">
        <v>5749</v>
      </c>
      <c r="Q11" s="18" t="n">
        <v>6284</v>
      </c>
      <c r="R11" s="18" t="n">
        <v>6122</v>
      </c>
      <c r="S11" s="18" t="n">
        <v>6490</v>
      </c>
      <c r="T11" s="18" t="n">
        <v>6565</v>
      </c>
      <c r="U11" s="18" t="n">
        <v>7139</v>
      </c>
      <c r="V11" s="18" t="n">
        <v>6971</v>
      </c>
      <c r="W11" s="18" t="n">
        <v>7166</v>
      </c>
      <c r="X11" s="18" t="n">
        <v>7339</v>
      </c>
      <c r="Y11" s="18" t="n">
        <v>7776</v>
      </c>
      <c r="Z11" s="18" t="n">
        <v>7564</v>
      </c>
      <c r="AA11" s="18" t="n">
        <v>7994</v>
      </c>
      <c r="AB11" s="18" t="n">
        <v>8004</v>
      </c>
      <c r="AC11" s="18" t="n">
        <v>8693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210</v>
      </c>
      <c r="C13" s="18" t="n">
        <v>58</v>
      </c>
      <c r="D13" s="18" t="n">
        <v>65</v>
      </c>
      <c r="E13" s="18" t="n">
        <v>-36</v>
      </c>
      <c r="F13" s="18" t="n">
        <v>-140</v>
      </c>
      <c r="G13" s="18" t="n">
        <v>178</v>
      </c>
      <c r="H13" s="18" t="n">
        <v>224</v>
      </c>
      <c r="I13" s="18" t="n">
        <v>193</v>
      </c>
      <c r="J13" s="18" t="n">
        <v>354</v>
      </c>
      <c r="K13" s="18" t="n">
        <v>332</v>
      </c>
      <c r="L13" s="18" t="n">
        <v>38</v>
      </c>
      <c r="M13" s="18" t="n">
        <v>-176</v>
      </c>
      <c r="N13" s="18" t="n">
        <v>20</v>
      </c>
      <c r="O13" s="18" t="n">
        <v>193</v>
      </c>
      <c r="P13" s="18" t="n">
        <v>460</v>
      </c>
      <c r="Q13" s="18" t="n">
        <v>357</v>
      </c>
      <c r="R13" s="18" t="n">
        <v>412</v>
      </c>
      <c r="S13" s="18" t="n">
        <v>1476</v>
      </c>
      <c r="T13" s="18" t="n">
        <v>1501</v>
      </c>
      <c r="U13" s="18" t="n">
        <v>1622</v>
      </c>
      <c r="V13" s="18" t="n">
        <v>1709</v>
      </c>
      <c r="W13" s="18" t="n">
        <v>1783</v>
      </c>
      <c r="X13" s="18" t="n">
        <v>1893</v>
      </c>
      <c r="Y13" s="18" t="n">
        <v>1820</v>
      </c>
      <c r="Z13" s="18" t="n">
        <v>1942</v>
      </c>
      <c r="AA13" s="18" t="n">
        <v>2332</v>
      </c>
      <c r="AB13" s="18" t="n">
        <v>2188</v>
      </c>
      <c r="AC13" s="18" t="n">
        <v>2451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392</v>
      </c>
      <c r="C15" s="18" t="n">
        <v>91</v>
      </c>
      <c r="D15" s="18" t="n">
        <v>-109</v>
      </c>
      <c r="E15" s="18" t="n">
        <v>-248</v>
      </c>
      <c r="F15" s="18" t="n">
        <v>99</v>
      </c>
      <c r="G15" s="18" t="n">
        <v>2625</v>
      </c>
      <c r="H15" s="18" t="n">
        <v>1081</v>
      </c>
      <c r="I15" s="18" t="n">
        <v>267</v>
      </c>
      <c r="J15" s="18" t="n">
        <v>469</v>
      </c>
      <c r="K15" s="18" t="n">
        <v>535</v>
      </c>
      <c r="L15" s="18" t="n">
        <v>468</v>
      </c>
      <c r="M15" s="18" t="n">
        <v>-28</v>
      </c>
      <c r="N15" s="18" t="n">
        <v>28</v>
      </c>
      <c r="O15" s="18" t="n">
        <v>68</v>
      </c>
      <c r="P15" s="18" t="n">
        <v>210</v>
      </c>
      <c r="Q15" s="18" t="n">
        <v>-98</v>
      </c>
      <c r="R15" s="18" t="n">
        <v>199</v>
      </c>
      <c r="S15" s="18" t="n">
        <v>1267</v>
      </c>
      <c r="T15" s="18" t="n">
        <v>1224</v>
      </c>
      <c r="U15" s="18" t="n">
        <v>1446</v>
      </c>
      <c r="V15" s="18" t="n">
        <v>1533</v>
      </c>
      <c r="W15" s="18" t="n">
        <v>1429</v>
      </c>
      <c r="X15" s="18" t="n">
        <v>1527</v>
      </c>
      <c r="Y15" s="18" t="n">
        <v>1708</v>
      </c>
      <c r="Z15" s="18" t="n">
        <v>1541</v>
      </c>
      <c r="AA15" s="18" t="n">
        <v>1887</v>
      </c>
      <c r="AB15" s="18" t="n">
        <v>2086</v>
      </c>
      <c r="AC15" s="18" t="n">
        <v>1943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793</v>
      </c>
      <c r="C17" s="18" t="n">
        <v>795</v>
      </c>
      <c r="D17" s="18" t="n">
        <v>879</v>
      </c>
      <c r="E17" s="18" t="n">
        <v>889</v>
      </c>
      <c r="F17" s="18" t="n">
        <v>913</v>
      </c>
      <c r="G17" s="18" t="n">
        <v>922</v>
      </c>
      <c r="H17" s="18" t="n">
        <v>939</v>
      </c>
      <c r="I17" s="18" t="n">
        <v>939</v>
      </c>
      <c r="J17" s="18" t="n">
        <v>940</v>
      </c>
      <c r="K17" s="18" t="n">
        <v>950</v>
      </c>
      <c r="L17" s="18" t="n">
        <v>1001</v>
      </c>
      <c r="M17" s="18" t="n">
        <v>986</v>
      </c>
      <c r="N17" s="18" t="n">
        <v>1001</v>
      </c>
      <c r="O17" s="18" t="n">
        <v>1001</v>
      </c>
      <c r="P17" s="18" t="n">
        <v>1000</v>
      </c>
      <c r="Q17" s="18" t="n">
        <v>984</v>
      </c>
      <c r="R17" s="18" t="n">
        <v>988</v>
      </c>
      <c r="S17" s="18" t="n">
        <v>986</v>
      </c>
      <c r="T17" s="18" t="n">
        <v>981</v>
      </c>
      <c r="U17" s="18" t="n">
        <v>983</v>
      </c>
      <c r="V17" s="18" t="n">
        <v>985</v>
      </c>
      <c r="W17" s="18" t="n">
        <v>973</v>
      </c>
      <c r="X17" s="18" t="n">
        <v>975</v>
      </c>
      <c r="Y17" s="18" t="n">
        <v>974</v>
      </c>
      <c r="Z17" s="18" t="n">
        <v>970</v>
      </c>
      <c r="AA17" s="18" t="n">
        <v>962</v>
      </c>
      <c r="AB17" s="18" t="n">
        <v>962</v>
      </c>
      <c r="AC17" s="18" t="n">
        <v>940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Salesforce Platform and Other</t>
        </is>
      </c>
      <c r="B19" s="18" t="n">
        <v>842</v>
      </c>
      <c r="C19" s="18" t="n">
        <v>912</v>
      </c>
      <c r="D19" s="18" t="n">
        <v>1287</v>
      </c>
      <c r="E19" s="18" t="n">
        <v>1432</v>
      </c>
      <c r="F19" s="18" t="n">
        <v>1364</v>
      </c>
      <c r="G19" s="18" t="n">
        <v>1512</v>
      </c>
      <c r="H19" s="18" t="n">
        <v>1594</v>
      </c>
      <c r="I19" s="18" t="n">
        <v>1805</v>
      </c>
      <c r="J19" s="18" t="n">
        <v>1747</v>
      </c>
      <c r="K19" s="18" t="n">
        <v>1882</v>
      </c>
      <c r="L19" s="18" t="n">
        <v>1277</v>
      </c>
      <c r="M19" s="18" t="n">
        <v>0</v>
      </c>
      <c r="N19" s="18" t="n">
        <v>1419</v>
      </c>
      <c r="O19" s="18" t="n">
        <v>1478</v>
      </c>
      <c r="P19" s="18" t="n">
        <v>1513</v>
      </c>
      <c r="Q19" s="18" t="n">
        <v>1557</v>
      </c>
      <c r="R19" s="18" t="n">
        <v>1567</v>
      </c>
      <c r="S19" s="18" t="n">
        <v>1638</v>
      </c>
      <c r="T19" s="18" t="n">
        <v>1686</v>
      </c>
      <c r="U19" s="18" t="n">
        <v>1720</v>
      </c>
      <c r="V19" s="18" t="n">
        <v>1718</v>
      </c>
      <c r="W19" s="18" t="n">
        <v>1786</v>
      </c>
      <c r="X19" s="18" t="n">
        <v>1825</v>
      </c>
      <c r="Y19" s="18" t="n">
        <v>1918</v>
      </c>
      <c r="Z19" s="18" t="n">
        <v>1963</v>
      </c>
      <c r="AA19" s="18" t="n">
        <v>2084</v>
      </c>
      <c r="AB19" s="18" t="n">
        <v>2180</v>
      </c>
      <c r="AC19" s="18" t="n">
        <v>2655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Service Cloud</t>
        </is>
      </c>
      <c r="B22" s="18" t="n">
        <v>1020</v>
      </c>
      <c r="C22" s="18" t="n">
        <v>1087</v>
      </c>
      <c r="D22" s="18" t="n">
        <v>1140</v>
      </c>
      <c r="E22" s="18" t="n">
        <v>1219</v>
      </c>
      <c r="F22" s="18" t="n">
        <v>1252</v>
      </c>
      <c r="G22" s="18" t="n">
        <v>1303</v>
      </c>
      <c r="H22" s="18" t="n">
        <v>1376</v>
      </c>
      <c r="I22" s="18" t="n">
        <v>1446</v>
      </c>
      <c r="J22" s="18" t="n">
        <v>1506</v>
      </c>
      <c r="K22" s="18" t="n">
        <v>1600</v>
      </c>
      <c r="L22" s="18" t="n">
        <v>1658</v>
      </c>
      <c r="M22" s="18" t="n">
        <v>1710</v>
      </c>
      <c r="N22" s="18" t="n">
        <v>1761</v>
      </c>
      <c r="O22" s="18" t="n">
        <v>1828</v>
      </c>
      <c r="P22" s="18" t="n">
        <v>1856</v>
      </c>
      <c r="Q22" s="18" t="n">
        <v>1924</v>
      </c>
      <c r="R22" s="18" t="n">
        <v>1964</v>
      </c>
      <c r="S22" s="18" t="n">
        <v>2049</v>
      </c>
      <c r="T22" s="18" t="n">
        <v>2074</v>
      </c>
      <c r="U22" s="18" t="n">
        <v>2158</v>
      </c>
      <c r="V22" s="18" t="n">
        <v>2182</v>
      </c>
      <c r="W22" s="18" t="n">
        <v>2257</v>
      </c>
      <c r="X22" s="18" t="n">
        <v>2288</v>
      </c>
      <c r="Y22" s="18" t="n">
        <v>2327</v>
      </c>
      <c r="Z22" s="18" t="n">
        <v>2334</v>
      </c>
      <c r="AA22" s="18" t="n">
        <v>2458</v>
      </c>
      <c r="AB22" s="18" t="n">
        <v>2495</v>
      </c>
      <c r="AC22" s="18" t="n">
        <v>2531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Sales Cloud</t>
        </is>
      </c>
      <c r="B25" s="18" t="n">
        <v>1073</v>
      </c>
      <c r="C25" s="18" t="n">
        <v>1130</v>
      </c>
      <c r="D25" s="18" t="n">
        <v>1168</v>
      </c>
      <c r="E25" s="18" t="n">
        <v>1227</v>
      </c>
      <c r="F25" s="18" t="n">
        <v>1245</v>
      </c>
      <c r="G25" s="18" t="n">
        <v>1279</v>
      </c>
      <c r="H25" s="18" t="n">
        <v>1311</v>
      </c>
      <c r="I25" s="18" t="n">
        <v>1356</v>
      </c>
      <c r="J25" s="18" t="n">
        <v>1388</v>
      </c>
      <c r="K25" s="18" t="n">
        <v>1477</v>
      </c>
      <c r="L25" s="18" t="n">
        <v>1538</v>
      </c>
      <c r="M25" s="18" t="n">
        <v>1586</v>
      </c>
      <c r="N25" s="18" t="n">
        <v>1632</v>
      </c>
      <c r="O25" s="18" t="n">
        <v>1695</v>
      </c>
      <c r="P25" s="18" t="n">
        <v>1717</v>
      </c>
      <c r="Q25" s="18" t="n">
        <v>1787</v>
      </c>
      <c r="R25" s="18" t="n">
        <v>1810</v>
      </c>
      <c r="S25" s="18" t="n">
        <v>1895</v>
      </c>
      <c r="T25" s="18" t="n">
        <v>1906</v>
      </c>
      <c r="U25" s="18" t="n">
        <v>1969</v>
      </c>
      <c r="V25" s="18" t="n">
        <v>1998</v>
      </c>
      <c r="W25" s="18" t="n">
        <v>2071</v>
      </c>
      <c r="X25" s="18" t="n">
        <v>2119</v>
      </c>
      <c r="Y25" s="18" t="n">
        <v>2134</v>
      </c>
      <c r="Z25" s="18" t="n">
        <v>2131</v>
      </c>
      <c r="AA25" s="18" t="n">
        <v>2267</v>
      </c>
      <c r="AB25" s="18" t="n">
        <v>2297</v>
      </c>
      <c r="AC25" s="18" t="n">
        <v>2333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Integration And Analytics</t>
        </is>
      </c>
      <c r="L28" s="18" t="n">
        <v>900</v>
      </c>
      <c r="M28" s="18" t="n">
        <v>2883</v>
      </c>
      <c r="N28" s="18" t="n">
        <v>955</v>
      </c>
      <c r="O28" s="18" t="n">
        <v>1021</v>
      </c>
      <c r="P28" s="18" t="n">
        <v>1018</v>
      </c>
      <c r="Q28" s="18" t="n">
        <v>1344</v>
      </c>
      <c r="R28" s="18" t="n">
        <v>1131</v>
      </c>
      <c r="S28" s="18" t="n">
        <v>1186</v>
      </c>
      <c r="T28" s="18" t="n">
        <v>1245</v>
      </c>
      <c r="U28" s="18" t="n">
        <v>1627</v>
      </c>
      <c r="V28" s="18" t="n">
        <v>1405</v>
      </c>
      <c r="W28" s="18" t="n">
        <v>1342</v>
      </c>
      <c r="X28" s="18" t="n">
        <v>1313</v>
      </c>
      <c r="Y28" s="18" t="n">
        <v>1715</v>
      </c>
      <c r="Z28" s="18" t="n">
        <v>1544</v>
      </c>
      <c r="AA28" s="18" t="n">
        <v>1516</v>
      </c>
      <c r="AB28" s="18" t="n">
        <v>1393</v>
      </c>
      <c r="AC28" s="18" t="n">
        <v>1779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Marketing and Commerce Cloud</t>
        </is>
      </c>
      <c r="B31" s="18" t="n">
        <v>561</v>
      </c>
      <c r="C31" s="18" t="n">
        <v>616</v>
      </c>
      <c r="D31" s="18" t="n">
        <v>644</v>
      </c>
      <c r="E31" s="18" t="n">
        <v>685</v>
      </c>
      <c r="F31" s="18" t="n">
        <v>714</v>
      </c>
      <c r="G31" s="18" t="n">
        <v>746</v>
      </c>
      <c r="H31" s="18" t="n">
        <v>804</v>
      </c>
      <c r="I31" s="18" t="n">
        <v>869</v>
      </c>
      <c r="J31" s="18" t="n">
        <v>895</v>
      </c>
      <c r="K31" s="18" t="n">
        <v>955</v>
      </c>
      <c r="L31" s="18" t="n">
        <v>1006</v>
      </c>
      <c r="M31" s="18" t="n">
        <v>1046</v>
      </c>
      <c r="N31" s="18" t="n">
        <v>1089</v>
      </c>
      <c r="O31" s="18" t="n">
        <v>1121</v>
      </c>
      <c r="P31" s="18" t="n">
        <v>1129</v>
      </c>
      <c r="Q31" s="18" t="n">
        <v>1177</v>
      </c>
      <c r="R31" s="18" t="n">
        <v>1170</v>
      </c>
      <c r="S31" s="18" t="n">
        <v>1238</v>
      </c>
      <c r="T31" s="18" t="n">
        <v>1230</v>
      </c>
      <c r="U31" s="18" t="n">
        <v>1274</v>
      </c>
      <c r="V31" s="18" t="n">
        <v>1282</v>
      </c>
      <c r="W31" s="18" t="n">
        <v>1308</v>
      </c>
      <c r="X31" s="18" t="n">
        <v>1334</v>
      </c>
      <c r="Y31" s="18" t="n">
        <v>1357</v>
      </c>
      <c r="Z31" s="18" t="n">
        <v>1325</v>
      </c>
      <c r="AA31" s="18" t="n">
        <v>1365</v>
      </c>
      <c r="AB31" s="18" t="n">
        <v>1361</v>
      </c>
      <c r="AC31" s="18" t="n">
        <v>1377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4" t="inlineStr">
        <is>
          <t>Professional Services and Other</t>
        </is>
      </c>
      <c r="B34" s="18" t="n">
        <v>241</v>
      </c>
      <c r="C34" s="18" t="n">
        <v>252</v>
      </c>
      <c r="D34" s="18" t="n">
        <v>274</v>
      </c>
      <c r="E34" s="18" t="n">
        <v>288</v>
      </c>
      <c r="F34" s="18" t="n">
        <v>290</v>
      </c>
      <c r="G34" s="18" t="n">
        <v>311</v>
      </c>
      <c r="H34" s="18" t="n">
        <v>334</v>
      </c>
      <c r="I34" s="18" t="n">
        <v>341</v>
      </c>
      <c r="J34" s="18" t="n">
        <v>427</v>
      </c>
      <c r="K34" s="18" t="n">
        <v>426</v>
      </c>
      <c r="L34" s="18" t="n">
        <v>484</v>
      </c>
      <c r="M34" s="18" t="n">
        <v>498</v>
      </c>
      <c r="N34" s="18" t="n">
        <v>555</v>
      </c>
      <c r="O34" s="18" t="n">
        <v>577</v>
      </c>
      <c r="P34" s="18" t="n">
        <v>604</v>
      </c>
      <c r="Q34" s="18" t="n">
        <v>595</v>
      </c>
      <c r="R34" s="18" t="n">
        <v>605</v>
      </c>
      <c r="S34" s="18" t="n">
        <v>597</v>
      </c>
      <c r="T34" s="18" t="n">
        <v>579</v>
      </c>
      <c r="U34" s="18" t="n">
        <v>539</v>
      </c>
      <c r="V34" s="18" t="n">
        <v>548</v>
      </c>
      <c r="W34" s="18" t="n">
        <v>561</v>
      </c>
      <c r="X34" s="18" t="n">
        <v>565</v>
      </c>
      <c r="Y34" s="18" t="n">
        <v>542</v>
      </c>
      <c r="Z34" s="18" t="n">
        <v>532</v>
      </c>
      <c r="AA34" s="18" t="n">
        <v>546</v>
      </c>
      <c r="AB34" s="18" t="n">
        <v>533</v>
      </c>
      <c r="AC34" s="18" t="n">
        <v>526</v>
      </c>
    </row>
    <row r="35">
      <c r="A35" s="4" t="inlineStr">
        <is>
          <t xml:space="preserve">    % YoY</t>
        </is>
      </c>
      <c r="F35" s="25">
        <f>IFERROR(F34/B34-1,"")</f>
        <v/>
      </c>
      <c r="G35" s="25">
        <f>IFERROR(G34/C34-1,"")</f>
        <v/>
      </c>
      <c r="H35" s="25">
        <f>IFERROR(H34/D34-1,"")</f>
        <v/>
      </c>
      <c r="I35" s="25">
        <f>IFERROR(I34/E34-1,"")</f>
        <v/>
      </c>
      <c r="J35" s="25">
        <f>IFERROR(J34/F34-1,"")</f>
        <v/>
      </c>
      <c r="K35" s="25">
        <f>IFERROR(K34/G34-1,"")</f>
        <v/>
      </c>
      <c r="L35" s="25">
        <f>IFERROR(L34/H34-1,"")</f>
        <v/>
      </c>
      <c r="M35" s="25">
        <f>IFERROR(M34/I34-1,"")</f>
        <v/>
      </c>
      <c r="N35" s="25">
        <f>IFERROR(N34/J34-1,"")</f>
        <v/>
      </c>
      <c r="O35" s="25">
        <f>IFERROR(O34/K34-1,"")</f>
        <v/>
      </c>
      <c r="P35" s="25">
        <f>IFERROR(P34/L34-1,"")</f>
        <v/>
      </c>
      <c r="Q35" s="25">
        <f>IFERROR(Q34/M34-1,"")</f>
        <v/>
      </c>
      <c r="R35" s="25">
        <f>IFERROR(R34/N34-1,"")</f>
        <v/>
      </c>
      <c r="S35" s="25">
        <f>IFERROR(S34/O34-1,"")</f>
        <v/>
      </c>
      <c r="T35" s="25">
        <f>IFERROR(T34/P34-1,"")</f>
        <v/>
      </c>
      <c r="U35" s="25">
        <f>IFERROR(U34/Q34-1,"")</f>
        <v/>
      </c>
      <c r="V35" s="25">
        <f>IFERROR(V34/R34-1,"")</f>
        <v/>
      </c>
      <c r="W35" s="25">
        <f>IFERROR(W34/S34-1,"")</f>
        <v/>
      </c>
      <c r="X35" s="25">
        <f>IFERROR(X34/T34-1,"")</f>
        <v/>
      </c>
      <c r="Y35" s="25">
        <f>IFERROR(Y34/U34-1,"")</f>
        <v/>
      </c>
      <c r="Z35" s="25">
        <f>IFERROR(Z34/V34-1,"")</f>
        <v/>
      </c>
      <c r="AA35" s="25">
        <f>IFERROR(AA34/W34-1,"")</f>
        <v/>
      </c>
      <c r="AB35" s="25">
        <f>IFERROR(AB34/X34-1,"")</f>
        <v/>
      </c>
      <c r="AC35" s="25">
        <f>IFERROR(AC34/Y34-1,"")</f>
        <v/>
      </c>
    </row>
    <row r="36">
      <c r="A36" s="4" t="inlineStr">
        <is>
          <t xml:space="preserve">    % of revenue</t>
        </is>
      </c>
      <c r="B36" s="25">
        <f>IFERROR(B34/B3,"")</f>
        <v/>
      </c>
      <c r="C36" s="25">
        <f>IFERROR(C34/C3,"")</f>
        <v/>
      </c>
      <c r="D36" s="25">
        <f>IFERROR(D34/D3,"")</f>
        <v/>
      </c>
      <c r="E36" s="25">
        <f>IFERROR(E34/E3,"")</f>
        <v/>
      </c>
      <c r="F36" s="25">
        <f>IFERROR(F34/F3,"")</f>
        <v/>
      </c>
      <c r="G36" s="25">
        <f>IFERROR(G34/G3,"")</f>
        <v/>
      </c>
      <c r="H36" s="25">
        <f>IFERROR(H34/H3,"")</f>
        <v/>
      </c>
      <c r="I36" s="25">
        <f>IFERROR(I34/I3,"")</f>
        <v/>
      </c>
      <c r="J36" s="25">
        <f>IFERROR(J34/J3,"")</f>
        <v/>
      </c>
      <c r="K36" s="25">
        <f>IFERROR(K34/K3,"")</f>
        <v/>
      </c>
      <c r="L36" s="25">
        <f>IFERROR(L34/L3,"")</f>
        <v/>
      </c>
      <c r="M36" s="25">
        <f>IFERROR(M34/M3,"")</f>
        <v/>
      </c>
      <c r="N36" s="25">
        <f>IFERROR(N34/N3,"")</f>
        <v/>
      </c>
      <c r="O36" s="25">
        <f>IFERROR(O34/O3,"")</f>
        <v/>
      </c>
      <c r="P36" s="25">
        <f>IFERROR(P34/P3,"")</f>
        <v/>
      </c>
      <c r="Q36" s="25">
        <f>IFERROR(Q34/Q3,"")</f>
        <v/>
      </c>
      <c r="R36" s="25">
        <f>IFERROR(R34/R3,"")</f>
        <v/>
      </c>
      <c r="S36" s="25">
        <f>IFERROR(S34/S3,"")</f>
        <v/>
      </c>
      <c r="T36" s="25">
        <f>IFERROR(T34/T3,"")</f>
        <v/>
      </c>
      <c r="U36" s="25">
        <f>IFERROR(U34/U3,"")</f>
        <v/>
      </c>
      <c r="V36" s="25">
        <f>IFERROR(V34/V3,"")</f>
        <v/>
      </c>
      <c r="W36" s="25">
        <f>IFERROR(W34/W3,"")</f>
        <v/>
      </c>
      <c r="X36" s="25">
        <f>IFERROR(X34/X3,"")</f>
        <v/>
      </c>
      <c r="Y36" s="25">
        <f>IFERROR(Y34/Y3,"")</f>
        <v/>
      </c>
      <c r="Z36" s="25">
        <f>IFERROR(Z34/Z3,"")</f>
        <v/>
      </c>
      <c r="AA36" s="25">
        <f>IFERROR(AA34/AA3,"")</f>
        <v/>
      </c>
      <c r="AB36" s="25">
        <f>IFERROR(AB34/AB3,"")</f>
        <v/>
      </c>
      <c r="AC36" s="25">
        <f>IFERROR(AC34/AC3,"")</f>
        <v/>
      </c>
    </row>
    <row r="37">
      <c r="A37" s="5" t="inlineStr">
        <is>
          <t xml:space="preserve">  REVENUE BY SEGMENT — GEOGRAPHY (% YoY, % of revenue)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4" t="inlineStr">
        <is>
          <t>Americas</t>
        </is>
      </c>
      <c r="B38" s="18" t="n">
        <v>2617</v>
      </c>
      <c r="C38" s="18" t="n">
        <v>2816</v>
      </c>
      <c r="D38" s="18" t="n">
        <v>3216</v>
      </c>
      <c r="E38" s="18" t="n">
        <v>3402</v>
      </c>
      <c r="F38" s="18" t="n">
        <v>3370</v>
      </c>
      <c r="G38" s="18" t="n">
        <v>3596</v>
      </c>
      <c r="H38" s="18" t="n">
        <v>3758</v>
      </c>
      <c r="I38" s="18" t="n">
        <v>4012</v>
      </c>
      <c r="J38" s="18" t="n">
        <v>4094</v>
      </c>
      <c r="K38" s="18" t="n">
        <v>4312</v>
      </c>
      <c r="L38" s="18" t="n">
        <v>4638</v>
      </c>
      <c r="M38" s="18" t="n">
        <v>4939</v>
      </c>
      <c r="N38" s="18" t="n">
        <v>4971</v>
      </c>
      <c r="O38" s="18" t="n">
        <v>5261</v>
      </c>
      <c r="P38" s="18" t="n">
        <v>5361</v>
      </c>
      <c r="Q38" s="18" t="n">
        <v>5657</v>
      </c>
      <c r="R38" s="18" t="n">
        <v>5482</v>
      </c>
      <c r="S38" s="18" t="n">
        <v>5769</v>
      </c>
      <c r="T38" s="18" t="n">
        <v>5862</v>
      </c>
      <c r="U38" s="18" t="n">
        <v>6176</v>
      </c>
      <c r="V38" s="18" t="n">
        <v>6062</v>
      </c>
      <c r="W38" s="18" t="n">
        <v>6201</v>
      </c>
      <c r="X38" s="18" t="n">
        <v>6220</v>
      </c>
      <c r="Y38" s="18" t="n">
        <v>6660</v>
      </c>
      <c r="Z38" s="18" t="n">
        <v>6469</v>
      </c>
      <c r="AA38" s="18" t="n">
        <v>6736</v>
      </c>
      <c r="AB38" s="18" t="n">
        <v>6703</v>
      </c>
      <c r="AC38" s="18" t="n">
        <v>7285</v>
      </c>
    </row>
    <row r="39">
      <c r="A39" s="4" t="inlineStr">
        <is>
          <t xml:space="preserve">    % YoY</t>
        </is>
      </c>
      <c r="F39" s="25">
        <f>IFERROR(F38/B38-1,"")</f>
        <v/>
      </c>
      <c r="G39" s="25">
        <f>IFERROR(G38/C38-1,"")</f>
        <v/>
      </c>
      <c r="H39" s="25">
        <f>IFERROR(H38/D38-1,"")</f>
        <v/>
      </c>
      <c r="I39" s="25">
        <f>IFERROR(I38/E38-1,"")</f>
        <v/>
      </c>
      <c r="J39" s="25">
        <f>IFERROR(J38/F38-1,"")</f>
        <v/>
      </c>
      <c r="K39" s="25">
        <f>IFERROR(K38/G38-1,"")</f>
        <v/>
      </c>
      <c r="L39" s="25">
        <f>IFERROR(L38/H38-1,"")</f>
        <v/>
      </c>
      <c r="M39" s="25">
        <f>IFERROR(M38/I38-1,"")</f>
        <v/>
      </c>
      <c r="N39" s="25">
        <f>IFERROR(N38/J38-1,"")</f>
        <v/>
      </c>
      <c r="O39" s="25">
        <f>IFERROR(O38/K38-1,"")</f>
        <v/>
      </c>
      <c r="P39" s="25">
        <f>IFERROR(P38/L38-1,"")</f>
        <v/>
      </c>
      <c r="Q39" s="25">
        <f>IFERROR(Q38/M38-1,"")</f>
        <v/>
      </c>
      <c r="R39" s="25">
        <f>IFERROR(R38/N38-1,"")</f>
        <v/>
      </c>
      <c r="S39" s="25">
        <f>IFERROR(S38/O38-1,"")</f>
        <v/>
      </c>
      <c r="T39" s="25">
        <f>IFERROR(T38/P38-1,"")</f>
        <v/>
      </c>
      <c r="U39" s="25">
        <f>IFERROR(U38/Q38-1,"")</f>
        <v/>
      </c>
      <c r="V39" s="25">
        <f>IFERROR(V38/R38-1,"")</f>
        <v/>
      </c>
      <c r="W39" s="25">
        <f>IFERROR(W38/S38-1,"")</f>
        <v/>
      </c>
      <c r="X39" s="25">
        <f>IFERROR(X38/T38-1,"")</f>
        <v/>
      </c>
      <c r="Y39" s="25">
        <f>IFERROR(Y38/U38-1,"")</f>
        <v/>
      </c>
      <c r="Z39" s="25">
        <f>IFERROR(Z38/V38-1,"")</f>
        <v/>
      </c>
      <c r="AA39" s="25">
        <f>IFERROR(AA38/W38-1,"")</f>
        <v/>
      </c>
      <c r="AB39" s="25">
        <f>IFERROR(AB38/X38-1,"")</f>
        <v/>
      </c>
      <c r="AC39" s="25">
        <f>IFERROR(AC38/Y38-1,"")</f>
        <v/>
      </c>
    </row>
    <row r="40">
      <c r="A40" s="4" t="inlineStr">
        <is>
          <t xml:space="preserve">    % of revenue</t>
        </is>
      </c>
      <c r="B40" s="25">
        <f>IFERROR(B38/B3,"")</f>
        <v/>
      </c>
      <c r="C40" s="25">
        <f>IFERROR(C38/C3,"")</f>
        <v/>
      </c>
      <c r="D40" s="25">
        <f>IFERROR(D38/D3,"")</f>
        <v/>
      </c>
      <c r="E40" s="25">
        <f>IFERROR(E38/E3,"")</f>
        <v/>
      </c>
      <c r="F40" s="25">
        <f>IFERROR(F38/F3,"")</f>
        <v/>
      </c>
      <c r="G40" s="25">
        <f>IFERROR(G38/G3,"")</f>
        <v/>
      </c>
      <c r="H40" s="25">
        <f>IFERROR(H38/H3,"")</f>
        <v/>
      </c>
      <c r="I40" s="25">
        <f>IFERROR(I38/I3,"")</f>
        <v/>
      </c>
      <c r="J40" s="25">
        <f>IFERROR(J38/J3,"")</f>
        <v/>
      </c>
      <c r="K40" s="25">
        <f>IFERROR(K38/K3,"")</f>
        <v/>
      </c>
      <c r="L40" s="25">
        <f>IFERROR(L38/L3,"")</f>
        <v/>
      </c>
      <c r="M40" s="25">
        <f>IFERROR(M38/M3,"")</f>
        <v/>
      </c>
      <c r="N40" s="25">
        <f>IFERROR(N38/N3,"")</f>
        <v/>
      </c>
      <c r="O40" s="25">
        <f>IFERROR(O38/O3,"")</f>
        <v/>
      </c>
      <c r="P40" s="25">
        <f>IFERROR(P38/P3,"")</f>
        <v/>
      </c>
      <c r="Q40" s="25">
        <f>IFERROR(Q38/Q3,"")</f>
        <v/>
      </c>
      <c r="R40" s="25">
        <f>IFERROR(R38/R3,"")</f>
        <v/>
      </c>
      <c r="S40" s="25">
        <f>IFERROR(S38/S3,"")</f>
        <v/>
      </c>
      <c r="T40" s="25">
        <f>IFERROR(T38/T3,"")</f>
        <v/>
      </c>
      <c r="U40" s="25">
        <f>IFERROR(U38/U3,"")</f>
        <v/>
      </c>
      <c r="V40" s="25">
        <f>IFERROR(V38/V3,"")</f>
        <v/>
      </c>
      <c r="W40" s="25">
        <f>IFERROR(W38/W3,"")</f>
        <v/>
      </c>
      <c r="X40" s="25">
        <f>IFERROR(X38/X3,"")</f>
        <v/>
      </c>
      <c r="Y40" s="25">
        <f>IFERROR(Y38/Y3,"")</f>
        <v/>
      </c>
      <c r="Z40" s="25">
        <f>IFERROR(Z38/Z3,"")</f>
        <v/>
      </c>
      <c r="AA40" s="25">
        <f>IFERROR(AA38/AA3,"")</f>
        <v/>
      </c>
      <c r="AB40" s="25">
        <f>IFERROR(AB38/AB3,"")</f>
        <v/>
      </c>
      <c r="AC40" s="25">
        <f>IFERROR(AC38/AC3,"")</f>
        <v/>
      </c>
    </row>
    <row r="41">
      <c r="A41" s="4" t="inlineStr">
        <is>
          <t>Europe</t>
        </is>
      </c>
      <c r="B41" s="18" t="n">
        <v>755</v>
      </c>
      <c r="C41" s="18" t="n">
        <v>786</v>
      </c>
      <c r="D41" s="18" t="n">
        <v>880</v>
      </c>
      <c r="E41" s="18" t="n">
        <v>1009</v>
      </c>
      <c r="F41" s="18" t="n">
        <v>1034</v>
      </c>
      <c r="G41" s="18" t="n">
        <v>1070</v>
      </c>
      <c r="H41" s="18" t="n">
        <v>1149</v>
      </c>
      <c r="I41" s="18" t="n">
        <v>1248</v>
      </c>
      <c r="J41" s="18" t="n">
        <v>1302</v>
      </c>
      <c r="K41" s="18" t="n">
        <v>1416</v>
      </c>
      <c r="L41" s="18" t="n">
        <v>1581</v>
      </c>
      <c r="M41" s="18" t="n">
        <v>1717</v>
      </c>
      <c r="N41" s="18" t="n">
        <v>1738</v>
      </c>
      <c r="O41" s="18" t="n">
        <v>1745</v>
      </c>
      <c r="P41" s="18" t="n">
        <v>1745</v>
      </c>
      <c r="Q41" s="18" t="n">
        <v>1935</v>
      </c>
      <c r="R41" s="18" t="n">
        <v>1951</v>
      </c>
      <c r="S41" s="18" t="n">
        <v>1974</v>
      </c>
      <c r="T41" s="18" t="n">
        <v>1998</v>
      </c>
      <c r="U41" s="18" t="n">
        <v>2205</v>
      </c>
      <c r="V41" s="18" t="n">
        <v>2145</v>
      </c>
      <c r="W41" s="18" t="n">
        <v>2184</v>
      </c>
      <c r="X41" s="18" t="n">
        <v>2228</v>
      </c>
      <c r="Y41" s="18" t="n">
        <v>2334</v>
      </c>
      <c r="Z41" s="18" t="n">
        <v>2337</v>
      </c>
      <c r="AA41" s="18" t="n">
        <v>2429</v>
      </c>
      <c r="AB41" s="18" t="n">
        <v>2470</v>
      </c>
      <c r="AC41" s="18" t="n">
        <v>2781</v>
      </c>
    </row>
    <row r="42">
      <c r="A42" s="4" t="inlineStr">
        <is>
          <t xml:space="preserve">    % YoY</t>
        </is>
      </c>
      <c r="F42" s="25">
        <f>IFERROR(F41/B41-1,"")</f>
        <v/>
      </c>
      <c r="G42" s="25">
        <f>IFERROR(G41/C41-1,"")</f>
        <v/>
      </c>
      <c r="H42" s="25">
        <f>IFERROR(H41/D41-1,"")</f>
        <v/>
      </c>
      <c r="I42" s="25">
        <f>IFERROR(I41/E41-1,"")</f>
        <v/>
      </c>
      <c r="J42" s="25">
        <f>IFERROR(J41/F41-1,"")</f>
        <v/>
      </c>
      <c r="K42" s="25">
        <f>IFERROR(K41/G41-1,"")</f>
        <v/>
      </c>
      <c r="L42" s="25">
        <f>IFERROR(L41/H41-1,"")</f>
        <v/>
      </c>
      <c r="M42" s="25">
        <f>IFERROR(M41/I41-1,"")</f>
        <v/>
      </c>
      <c r="N42" s="25">
        <f>IFERROR(N41/J41-1,"")</f>
        <v/>
      </c>
      <c r="O42" s="25">
        <f>IFERROR(O41/K41-1,"")</f>
        <v/>
      </c>
      <c r="P42" s="25">
        <f>IFERROR(P41/L41-1,"")</f>
        <v/>
      </c>
      <c r="Q42" s="25">
        <f>IFERROR(Q41/M41-1,"")</f>
        <v/>
      </c>
      <c r="R42" s="25">
        <f>IFERROR(R41/N41-1,"")</f>
        <v/>
      </c>
      <c r="S42" s="25">
        <f>IFERROR(S41/O41-1,"")</f>
        <v/>
      </c>
      <c r="T42" s="25">
        <f>IFERROR(T41/P41-1,"")</f>
        <v/>
      </c>
      <c r="U42" s="25">
        <f>IFERROR(U41/Q41-1,"")</f>
        <v/>
      </c>
      <c r="V42" s="25">
        <f>IFERROR(V41/R41-1,"")</f>
        <v/>
      </c>
      <c r="W42" s="25">
        <f>IFERROR(W41/S41-1,"")</f>
        <v/>
      </c>
      <c r="X42" s="25">
        <f>IFERROR(X41/T41-1,"")</f>
        <v/>
      </c>
      <c r="Y42" s="25">
        <f>IFERROR(Y41/U41-1,"")</f>
        <v/>
      </c>
      <c r="Z42" s="25">
        <f>IFERROR(Z41/V41-1,"")</f>
        <v/>
      </c>
      <c r="AA42" s="25">
        <f>IFERROR(AA41/W41-1,"")</f>
        <v/>
      </c>
      <c r="AB42" s="25">
        <f>IFERROR(AB41/X41-1,"")</f>
        <v/>
      </c>
      <c r="AC42" s="25">
        <f>IFERROR(AC41/Y41-1,"")</f>
        <v/>
      </c>
    </row>
    <row r="43">
      <c r="A43" s="4" t="inlineStr">
        <is>
          <t xml:space="preserve">    % of revenue</t>
        </is>
      </c>
      <c r="B43" s="25">
        <f>IFERROR(B41/B3,"")</f>
        <v/>
      </c>
      <c r="C43" s="25">
        <f>IFERROR(C41/C3,"")</f>
        <v/>
      </c>
      <c r="D43" s="25">
        <f>IFERROR(D41/D3,"")</f>
        <v/>
      </c>
      <c r="E43" s="25">
        <f>IFERROR(E41/E3,"")</f>
        <v/>
      </c>
      <c r="F43" s="25">
        <f>IFERROR(F41/F3,"")</f>
        <v/>
      </c>
      <c r="G43" s="25">
        <f>IFERROR(G41/G3,"")</f>
        <v/>
      </c>
      <c r="H43" s="25">
        <f>IFERROR(H41/H3,"")</f>
        <v/>
      </c>
      <c r="I43" s="25">
        <f>IFERROR(I41/I3,"")</f>
        <v/>
      </c>
      <c r="J43" s="25">
        <f>IFERROR(J41/J3,"")</f>
        <v/>
      </c>
      <c r="K43" s="25">
        <f>IFERROR(K41/K3,"")</f>
        <v/>
      </c>
      <c r="L43" s="25">
        <f>IFERROR(L41/L3,"")</f>
        <v/>
      </c>
      <c r="M43" s="25">
        <f>IFERROR(M41/M3,"")</f>
        <v/>
      </c>
      <c r="N43" s="25">
        <f>IFERROR(N41/N3,"")</f>
        <v/>
      </c>
      <c r="O43" s="25">
        <f>IFERROR(O41/O3,"")</f>
        <v/>
      </c>
      <c r="P43" s="25">
        <f>IFERROR(P41/P3,"")</f>
        <v/>
      </c>
      <c r="Q43" s="25">
        <f>IFERROR(Q41/Q3,"")</f>
        <v/>
      </c>
      <c r="R43" s="25">
        <f>IFERROR(R41/R3,"")</f>
        <v/>
      </c>
      <c r="S43" s="25">
        <f>IFERROR(S41/S3,"")</f>
        <v/>
      </c>
      <c r="T43" s="25">
        <f>IFERROR(T41/T3,"")</f>
        <v/>
      </c>
      <c r="U43" s="25">
        <f>IFERROR(U41/U3,"")</f>
        <v/>
      </c>
      <c r="V43" s="25">
        <f>IFERROR(V41/V3,"")</f>
        <v/>
      </c>
      <c r="W43" s="25">
        <f>IFERROR(W41/W3,"")</f>
        <v/>
      </c>
      <c r="X43" s="25">
        <f>IFERROR(X41/X3,"")</f>
        <v/>
      </c>
      <c r="Y43" s="25">
        <f>IFERROR(Y41/Y3,"")</f>
        <v/>
      </c>
      <c r="Z43" s="25">
        <f>IFERROR(Z41/Z3,"")</f>
        <v/>
      </c>
      <c r="AA43" s="25">
        <f>IFERROR(AA41/AA3,"")</f>
        <v/>
      </c>
      <c r="AB43" s="25">
        <f>IFERROR(AB41/AB3,"")</f>
        <v/>
      </c>
      <c r="AC43" s="25">
        <f>IFERROR(AC41/AC3,"")</f>
        <v/>
      </c>
    </row>
    <row r="44">
      <c r="A44" s="4" t="inlineStr">
        <is>
          <t>Asia Pacific</t>
        </is>
      </c>
      <c r="B44" s="18" t="n">
        <v>365</v>
      </c>
      <c r="C44" s="18" t="n">
        <v>395</v>
      </c>
      <c r="D44" s="18" t="n">
        <v>417</v>
      </c>
      <c r="E44" s="18" t="n">
        <v>440</v>
      </c>
      <c r="F44" s="18" t="n">
        <v>461</v>
      </c>
      <c r="G44" s="18" t="n">
        <v>485</v>
      </c>
      <c r="H44" s="18" t="n">
        <v>512</v>
      </c>
      <c r="I44" s="18" t="n">
        <v>557</v>
      </c>
      <c r="J44" s="18" t="n">
        <v>567</v>
      </c>
      <c r="K44" s="18" t="n">
        <v>612</v>
      </c>
      <c r="L44" s="18" t="n">
        <v>644</v>
      </c>
      <c r="M44" s="18" t="n">
        <v>670</v>
      </c>
      <c r="N44" s="18" t="n">
        <v>702</v>
      </c>
      <c r="O44" s="18" t="n">
        <v>714</v>
      </c>
      <c r="P44" s="18" t="n">
        <v>731</v>
      </c>
      <c r="Q44" s="18" t="n">
        <v>792</v>
      </c>
      <c r="R44" s="18" t="n">
        <v>814</v>
      </c>
      <c r="S44" s="18" t="n">
        <v>860</v>
      </c>
      <c r="T44" s="18" t="n">
        <v>860</v>
      </c>
      <c r="U44" s="18" t="n">
        <v>906</v>
      </c>
      <c r="V44" s="18" t="n">
        <v>926</v>
      </c>
      <c r="W44" s="18" t="n">
        <v>940</v>
      </c>
      <c r="X44" s="18" t="n">
        <v>996</v>
      </c>
      <c r="Y44" s="18" t="n">
        <v>999</v>
      </c>
      <c r="Z44" s="18" t="n">
        <v>1023</v>
      </c>
      <c r="AA44" s="18" t="n">
        <v>1071</v>
      </c>
      <c r="AB44" s="18" t="n">
        <v>1086</v>
      </c>
      <c r="AC44" s="18" t="n">
        <v>1135</v>
      </c>
    </row>
    <row r="45">
      <c r="A45" s="4" t="inlineStr">
        <is>
          <t xml:space="preserve">    % YoY</t>
        </is>
      </c>
      <c r="F45" s="25">
        <f>IFERROR(F44/B44-1,"")</f>
        <v/>
      </c>
      <c r="G45" s="25">
        <f>IFERROR(G44/C44-1,"")</f>
        <v/>
      </c>
      <c r="H45" s="25">
        <f>IFERROR(H44/D44-1,"")</f>
        <v/>
      </c>
      <c r="I45" s="25">
        <f>IFERROR(I44/E44-1,"")</f>
        <v/>
      </c>
      <c r="J45" s="25">
        <f>IFERROR(J44/F44-1,"")</f>
        <v/>
      </c>
      <c r="K45" s="25">
        <f>IFERROR(K44/G44-1,"")</f>
        <v/>
      </c>
      <c r="L45" s="25">
        <f>IFERROR(L44/H44-1,"")</f>
        <v/>
      </c>
      <c r="M45" s="25">
        <f>IFERROR(M44/I44-1,"")</f>
        <v/>
      </c>
      <c r="N45" s="25">
        <f>IFERROR(N44/J44-1,"")</f>
        <v/>
      </c>
      <c r="O45" s="25">
        <f>IFERROR(O44/K44-1,"")</f>
        <v/>
      </c>
      <c r="P45" s="25">
        <f>IFERROR(P44/L44-1,"")</f>
        <v/>
      </c>
      <c r="Q45" s="25">
        <f>IFERROR(Q44/M44-1,"")</f>
        <v/>
      </c>
      <c r="R45" s="25">
        <f>IFERROR(R44/N44-1,"")</f>
        <v/>
      </c>
      <c r="S45" s="25">
        <f>IFERROR(S44/O44-1,"")</f>
        <v/>
      </c>
      <c r="T45" s="25">
        <f>IFERROR(T44/P44-1,"")</f>
        <v/>
      </c>
      <c r="U45" s="25">
        <f>IFERROR(U44/Q44-1,"")</f>
        <v/>
      </c>
      <c r="V45" s="25">
        <f>IFERROR(V44/R44-1,"")</f>
        <v/>
      </c>
      <c r="W45" s="25">
        <f>IFERROR(W44/S44-1,"")</f>
        <v/>
      </c>
      <c r="X45" s="25">
        <f>IFERROR(X44/T44-1,"")</f>
        <v/>
      </c>
      <c r="Y45" s="25">
        <f>IFERROR(Y44/U44-1,"")</f>
        <v/>
      </c>
      <c r="Z45" s="25">
        <f>IFERROR(Z44/V44-1,"")</f>
        <v/>
      </c>
      <c r="AA45" s="25">
        <f>IFERROR(AA44/W44-1,"")</f>
        <v/>
      </c>
      <c r="AB45" s="25">
        <f>IFERROR(AB44/X44-1,"")</f>
        <v/>
      </c>
      <c r="AC45" s="25">
        <f>IFERROR(AC44/Y44-1,"")</f>
        <v/>
      </c>
    </row>
    <row r="46">
      <c r="A46" s="4" t="inlineStr">
        <is>
          <t xml:space="preserve">    % of revenue</t>
        </is>
      </c>
      <c r="B46" s="25">
        <f>IFERROR(B44/B3,"")</f>
        <v/>
      </c>
      <c r="C46" s="25">
        <f>IFERROR(C44/C3,"")</f>
        <v/>
      </c>
      <c r="D46" s="25">
        <f>IFERROR(D44/D3,"")</f>
        <v/>
      </c>
      <c r="E46" s="25">
        <f>IFERROR(E44/E3,"")</f>
        <v/>
      </c>
      <c r="F46" s="25">
        <f>IFERROR(F44/F3,"")</f>
        <v/>
      </c>
      <c r="G46" s="25">
        <f>IFERROR(G44/G3,"")</f>
        <v/>
      </c>
      <c r="H46" s="25">
        <f>IFERROR(H44/H3,"")</f>
        <v/>
      </c>
      <c r="I46" s="25">
        <f>IFERROR(I44/I3,"")</f>
        <v/>
      </c>
      <c r="J46" s="25">
        <f>IFERROR(J44/J3,"")</f>
        <v/>
      </c>
      <c r="K46" s="25">
        <f>IFERROR(K44/K3,"")</f>
        <v/>
      </c>
      <c r="L46" s="25">
        <f>IFERROR(L44/L3,"")</f>
        <v/>
      </c>
      <c r="M46" s="25">
        <f>IFERROR(M44/M3,"")</f>
        <v/>
      </c>
      <c r="N46" s="25">
        <f>IFERROR(N44/N3,"")</f>
        <v/>
      </c>
      <c r="O46" s="25">
        <f>IFERROR(O44/O3,"")</f>
        <v/>
      </c>
      <c r="P46" s="25">
        <f>IFERROR(P44/P3,"")</f>
        <v/>
      </c>
      <c r="Q46" s="25">
        <f>IFERROR(Q44/Q3,"")</f>
        <v/>
      </c>
      <c r="R46" s="25">
        <f>IFERROR(R44/R3,"")</f>
        <v/>
      </c>
      <c r="S46" s="25">
        <f>IFERROR(S44/S3,"")</f>
        <v/>
      </c>
      <c r="T46" s="25">
        <f>IFERROR(T44/T3,"")</f>
        <v/>
      </c>
      <c r="U46" s="25">
        <f>IFERROR(U44/U3,"")</f>
        <v/>
      </c>
      <c r="V46" s="25">
        <f>IFERROR(V44/V3,"")</f>
        <v/>
      </c>
      <c r="W46" s="25">
        <f>IFERROR(W44/W3,"")</f>
        <v/>
      </c>
      <c r="X46" s="25">
        <f>IFERROR(X44/X3,"")</f>
        <v/>
      </c>
      <c r="Y46" s="25">
        <f>IFERROR(Y44/Y3,"")</f>
        <v/>
      </c>
      <c r="Z46" s="25">
        <f>IFERROR(Z44/Z3,"")</f>
        <v/>
      </c>
      <c r="AA46" s="25">
        <f>IFERROR(AA44/AA3,"")</f>
        <v/>
      </c>
      <c r="AB46" s="25">
        <f>IFERROR(AB44/AB3,"")</f>
        <v/>
      </c>
      <c r="AC46" s="25">
        <f>IFERROR(AC44/AC3,"")</f>
        <v/>
      </c>
    </row>
    <row r="47">
      <c r="A47" s="5" t="inlineStr">
        <is>
          <t xml:space="preserve">  BALANCE SHEET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>
      <c r="A48" s="4" t="inlineStr">
        <is>
          <t>Cash &amp; ST Investments</t>
        </is>
      </c>
      <c r="B48" s="18" t="n">
        <v>6379</v>
      </c>
      <c r="C48" s="18" t="n">
        <v>6042</v>
      </c>
      <c r="D48" s="18" t="n">
        <v>6529</v>
      </c>
      <c r="E48" s="18" t="n">
        <v>7947</v>
      </c>
      <c r="F48" s="18" t="n">
        <v>9802</v>
      </c>
      <c r="G48" s="18" t="n">
        <v>9283</v>
      </c>
      <c r="H48" s="18" t="n">
        <v>9492</v>
      </c>
      <c r="I48" s="18" t="n">
        <v>11966</v>
      </c>
      <c r="J48" s="18" t="n">
        <v>15023</v>
      </c>
      <c r="K48" s="18" t="n">
        <v>9650</v>
      </c>
      <c r="L48" s="18" t="n">
        <v>9391</v>
      </c>
      <c r="M48" s="18" t="n">
        <v>10537</v>
      </c>
      <c r="N48" s="18" t="n">
        <v>13503</v>
      </c>
      <c r="O48" s="18" t="n">
        <v>13533</v>
      </c>
      <c r="P48" s="18" t="n">
        <v>11918</v>
      </c>
      <c r="Q48" s="18" t="n">
        <v>12508</v>
      </c>
      <c r="R48" s="18" t="n">
        <v>13977</v>
      </c>
      <c r="S48" s="18" t="n">
        <v>12397</v>
      </c>
      <c r="T48" s="18" t="n">
        <v>11863</v>
      </c>
      <c r="U48" s="18" t="n">
        <v>14194</v>
      </c>
      <c r="V48" s="18" t="n">
        <v>17670</v>
      </c>
      <c r="W48" s="18" t="n">
        <v>12636</v>
      </c>
      <c r="X48" s="18" t="n">
        <v>12757</v>
      </c>
      <c r="Y48" s="18" t="n">
        <v>14032</v>
      </c>
      <c r="Z48" s="18" t="n">
        <v>17408</v>
      </c>
      <c r="AA48" s="18" t="n">
        <v>15372</v>
      </c>
      <c r="AB48" s="18" t="n">
        <v>11323</v>
      </c>
      <c r="AC48" s="18" t="n">
        <v>9565</v>
      </c>
    </row>
    <row r="49">
      <c r="A49" s="4" t="inlineStr">
        <is>
          <t>Total Current Assets</t>
        </is>
      </c>
      <c r="B49" s="18" t="n">
        <v>10035</v>
      </c>
      <c r="C49" s="18" t="n">
        <v>9903</v>
      </c>
      <c r="D49" s="18" t="n">
        <v>11026</v>
      </c>
      <c r="E49" s="18" t="n">
        <v>15963</v>
      </c>
      <c r="F49" s="18" t="n">
        <v>14713</v>
      </c>
      <c r="G49" s="18" t="n">
        <v>14846</v>
      </c>
      <c r="H49" s="18" t="n">
        <v>14946</v>
      </c>
      <c r="I49" s="18" t="n">
        <v>21889</v>
      </c>
      <c r="J49" s="18" t="n">
        <v>20444</v>
      </c>
      <c r="K49" s="18" t="n">
        <v>16256</v>
      </c>
      <c r="L49" s="18" t="n">
        <v>15957</v>
      </c>
      <c r="M49" s="18" t="n">
        <v>22850</v>
      </c>
      <c r="N49" s="18" t="n">
        <v>20411</v>
      </c>
      <c r="O49" s="18" t="n">
        <v>21246</v>
      </c>
      <c r="P49" s="18" t="n">
        <v>19209</v>
      </c>
      <c r="Q49" s="18" t="n">
        <v>26395</v>
      </c>
      <c r="R49" s="18" t="n">
        <v>21981</v>
      </c>
      <c r="S49" s="18" t="n">
        <v>21138</v>
      </c>
      <c r="T49" s="18" t="n">
        <v>20202</v>
      </c>
      <c r="U49" s="18" t="n">
        <v>29074</v>
      </c>
      <c r="V49" s="18" t="n">
        <v>25604</v>
      </c>
      <c r="W49" s="18" t="n">
        <v>21862</v>
      </c>
      <c r="X49" s="18" t="n">
        <v>21425</v>
      </c>
      <c r="Y49" s="18" t="n">
        <v>29727</v>
      </c>
      <c r="Z49" s="18" t="n">
        <v>25866</v>
      </c>
      <c r="AA49" s="18" t="n">
        <v>25331</v>
      </c>
      <c r="AB49" s="18" t="n">
        <v>21063</v>
      </c>
      <c r="AC49" s="18" t="n">
        <v>28222</v>
      </c>
    </row>
    <row r="50">
      <c r="A50" s="4" t="inlineStr">
        <is>
          <t>PP&amp;E (net)</t>
        </is>
      </c>
      <c r="B50" s="18" t="n">
        <v>5097</v>
      </c>
      <c r="C50" s="18" t="n">
        <v>5187</v>
      </c>
      <c r="D50" s="18" t="n">
        <v>5515</v>
      </c>
      <c r="E50" s="18" t="n">
        <v>5415</v>
      </c>
      <c r="F50" s="18" t="n">
        <v>5501</v>
      </c>
      <c r="G50" s="18" t="n">
        <v>5513</v>
      </c>
      <c r="H50" s="18" t="n">
        <v>5526</v>
      </c>
      <c r="I50" s="18" t="n">
        <v>5663</v>
      </c>
      <c r="J50" s="18" t="n">
        <v>5555</v>
      </c>
      <c r="K50" s="18" t="n">
        <v>5834</v>
      </c>
      <c r="L50" s="18" t="n">
        <v>5677</v>
      </c>
      <c r="M50" s="18" t="n">
        <v>5695</v>
      </c>
      <c r="N50" s="18" t="n">
        <v>5781</v>
      </c>
      <c r="O50" s="18" t="n">
        <v>6102</v>
      </c>
      <c r="P50" s="18" t="n">
        <v>6418</v>
      </c>
      <c r="Q50" s="18" t="n">
        <v>6592</v>
      </c>
      <c r="R50" s="18" t="n">
        <v>6341</v>
      </c>
      <c r="S50" s="18" t="n">
        <v>6451</v>
      </c>
      <c r="T50" s="18" t="n">
        <v>6325</v>
      </c>
      <c r="U50" s="18" t="n">
        <v>6055</v>
      </c>
      <c r="V50" s="18" t="n">
        <v>5761</v>
      </c>
      <c r="W50" s="18" t="n">
        <v>5710</v>
      </c>
      <c r="X50" s="18" t="n">
        <v>5583</v>
      </c>
      <c r="Y50" s="18" t="n">
        <v>5393</v>
      </c>
      <c r="Z50" s="18" t="n">
        <v>5260</v>
      </c>
      <c r="AA50" s="18" t="n">
        <v>5182</v>
      </c>
      <c r="AB50" s="18" t="n">
        <v>5096</v>
      </c>
      <c r="AC50" s="18" t="n">
        <v>5123</v>
      </c>
    </row>
    <row r="51">
      <c r="A51" s="4" t="inlineStr">
        <is>
          <t>Total Assets</t>
        </is>
      </c>
      <c r="B51" s="18" t="n">
        <v>33154</v>
      </c>
      <c r="C51" s="18" t="n">
        <v>33336</v>
      </c>
      <c r="D51" s="18" t="n">
        <v>49942</v>
      </c>
      <c r="E51" s="18" t="n">
        <v>55126</v>
      </c>
      <c r="F51" s="18" t="n">
        <v>53623</v>
      </c>
      <c r="G51" s="18" t="n">
        <v>57780</v>
      </c>
      <c r="H51" s="18" t="n">
        <v>59136</v>
      </c>
      <c r="I51" s="18" t="n">
        <v>66301</v>
      </c>
      <c r="J51" s="18" t="n">
        <v>64885</v>
      </c>
      <c r="K51" s="18" t="n">
        <v>88658</v>
      </c>
      <c r="L51" s="18" t="n">
        <v>87436</v>
      </c>
      <c r="M51" s="18" t="n">
        <v>95209</v>
      </c>
      <c r="N51" s="18" t="n">
        <v>93022</v>
      </c>
      <c r="O51" s="18" t="n">
        <v>94148</v>
      </c>
      <c r="P51" s="18" t="n">
        <v>91884</v>
      </c>
      <c r="Q51" s="18" t="n">
        <v>98849</v>
      </c>
      <c r="R51" s="18" t="n">
        <v>93541</v>
      </c>
      <c r="S51" s="18" t="n">
        <v>92447</v>
      </c>
      <c r="T51" s="18" t="n">
        <v>91022</v>
      </c>
      <c r="U51" s="18" t="n">
        <v>99823</v>
      </c>
      <c r="V51" s="18" t="n">
        <v>96180</v>
      </c>
      <c r="W51" s="18" t="n">
        <v>92180</v>
      </c>
      <c r="X51" s="18" t="n">
        <v>91395</v>
      </c>
      <c r="Y51" s="18" t="n">
        <v>102928</v>
      </c>
      <c r="Z51" s="18" t="n">
        <v>98610</v>
      </c>
      <c r="AA51" s="18" t="n">
        <v>97573</v>
      </c>
      <c r="AB51" s="18" t="n">
        <v>95144</v>
      </c>
      <c r="AC51" s="18" t="n">
        <v>112305</v>
      </c>
    </row>
    <row r="52">
      <c r="A52" s="4" t="inlineStr">
        <is>
          <t>Total Current Liabilities</t>
        </is>
      </c>
      <c r="B52" s="18" t="n">
        <v>10488</v>
      </c>
      <c r="C52" s="18" t="n">
        <v>10195</v>
      </c>
      <c r="D52" s="18" t="n">
        <v>10474</v>
      </c>
      <c r="E52" s="18" t="n">
        <v>14845</v>
      </c>
      <c r="F52" s="18" t="n">
        <v>12843</v>
      </c>
      <c r="G52" s="18" t="n">
        <v>12963</v>
      </c>
      <c r="H52" s="18" t="n">
        <v>12234</v>
      </c>
      <c r="I52" s="18" t="n">
        <v>17728</v>
      </c>
      <c r="J52" s="18" t="n">
        <v>15323</v>
      </c>
      <c r="K52" s="18" t="n">
        <v>17393</v>
      </c>
      <c r="L52" s="18" t="n">
        <v>15035</v>
      </c>
      <c r="M52" s="18" t="n">
        <v>21788</v>
      </c>
      <c r="N52" s="18" t="n">
        <v>19899</v>
      </c>
      <c r="O52" s="18" t="n">
        <v>20080</v>
      </c>
      <c r="P52" s="18" t="n">
        <v>18227</v>
      </c>
      <c r="Q52" s="18" t="n">
        <v>25891</v>
      </c>
      <c r="R52" s="18" t="n">
        <v>21626</v>
      </c>
      <c r="S52" s="18" t="n">
        <v>20805</v>
      </c>
      <c r="T52" s="18" t="n">
        <v>19394</v>
      </c>
      <c r="U52" s="18" t="n">
        <v>26631</v>
      </c>
      <c r="V52" s="18" t="n">
        <v>23149</v>
      </c>
      <c r="W52" s="18" t="n">
        <v>21001</v>
      </c>
      <c r="X52" s="18" t="n">
        <v>19375</v>
      </c>
      <c r="Y52" s="18" t="n">
        <v>27980</v>
      </c>
      <c r="Z52" s="18" t="n">
        <v>24196</v>
      </c>
      <c r="AA52" s="18" t="n">
        <v>22532</v>
      </c>
      <c r="AB52" s="18" t="n">
        <v>21410</v>
      </c>
      <c r="AC52" s="18" t="n">
        <v>37118</v>
      </c>
    </row>
    <row r="53">
      <c r="A53" s="4" t="inlineStr">
        <is>
          <t>Long-term Debt</t>
        </is>
      </c>
      <c r="B53" s="18" t="n">
        <v>3173</v>
      </c>
      <c r="C53" s="18" t="n">
        <v>2973</v>
      </c>
      <c r="D53" s="18" t="n">
        <v>2824</v>
      </c>
      <c r="E53" s="18" t="n">
        <v>2673</v>
      </c>
      <c r="F53" s="18" t="n">
        <v>2673</v>
      </c>
      <c r="G53" s="18" t="n">
        <v>2673</v>
      </c>
      <c r="H53" s="18" t="n">
        <v>2672</v>
      </c>
      <c r="I53" s="18" t="n">
        <v>2673</v>
      </c>
      <c r="J53" s="18" t="n">
        <v>2672</v>
      </c>
      <c r="K53" s="18" t="n">
        <v>10589</v>
      </c>
      <c r="L53" s="18" t="n">
        <v>10591</v>
      </c>
      <c r="M53" s="18" t="n">
        <v>10592</v>
      </c>
      <c r="N53" s="18" t="n">
        <v>9595</v>
      </c>
      <c r="O53" s="18" t="n">
        <v>9416</v>
      </c>
      <c r="P53" s="18" t="n">
        <v>9418</v>
      </c>
      <c r="Q53" s="18" t="n">
        <v>9419</v>
      </c>
      <c r="R53" s="18" t="n">
        <v>9421</v>
      </c>
      <c r="S53" s="18" t="n">
        <v>8424</v>
      </c>
      <c r="T53" s="18" t="n">
        <v>8426</v>
      </c>
      <c r="U53" s="18" t="n">
        <v>8427</v>
      </c>
      <c r="V53" s="18" t="n">
        <v>8429</v>
      </c>
      <c r="W53" s="18" t="n">
        <v>8430</v>
      </c>
      <c r="X53" s="18" t="n">
        <v>8432</v>
      </c>
      <c r="Y53" s="18" t="n">
        <v>8433</v>
      </c>
      <c r="Z53" s="18" t="n">
        <v>8435</v>
      </c>
      <c r="AA53" s="18" t="n">
        <v>8436</v>
      </c>
      <c r="AB53" s="18" t="n">
        <v>8438</v>
      </c>
      <c r="AC53" s="18" t="n">
        <v>10439</v>
      </c>
    </row>
    <row r="54">
      <c r="A54" s="4" t="inlineStr">
        <is>
          <t>Total Equity</t>
        </is>
      </c>
      <c r="B54" s="18" t="n">
        <v>16446</v>
      </c>
      <c r="C54" s="18" t="n">
        <v>17166</v>
      </c>
      <c r="D54" s="18" t="n">
        <v>33279</v>
      </c>
      <c r="E54" s="18" t="n">
        <v>33885</v>
      </c>
      <c r="F54" s="18" t="n">
        <v>34565</v>
      </c>
      <c r="G54" s="18" t="n">
        <v>38440</v>
      </c>
      <c r="H54" s="18" t="n">
        <v>40310</v>
      </c>
      <c r="I54" s="18" t="n">
        <v>41493</v>
      </c>
      <c r="J54" s="18" t="n">
        <v>42567</v>
      </c>
      <c r="K54" s="18" t="n">
        <v>55520</v>
      </c>
      <c r="L54" s="18" t="n">
        <v>57054</v>
      </c>
      <c r="M54" s="18" t="n">
        <v>58131</v>
      </c>
      <c r="N54" s="18" t="n">
        <v>58876</v>
      </c>
      <c r="O54" s="18" t="n">
        <v>60098</v>
      </c>
      <c r="P54" s="18" t="n">
        <v>59351</v>
      </c>
      <c r="Q54" s="18" t="n">
        <v>58359</v>
      </c>
      <c r="R54" s="18" t="n">
        <v>57412</v>
      </c>
      <c r="S54" s="18" t="n">
        <v>58082</v>
      </c>
      <c r="T54" s="18" t="n">
        <v>58090</v>
      </c>
      <c r="U54" s="18" t="n">
        <v>59646</v>
      </c>
      <c r="V54" s="18" t="n">
        <v>59683</v>
      </c>
      <c r="W54" s="18" t="n">
        <v>57633</v>
      </c>
      <c r="X54" s="18" t="n">
        <v>58525</v>
      </c>
      <c r="Y54" s="18" t="n">
        <v>61173</v>
      </c>
      <c r="Z54" s="18" t="n">
        <v>60666</v>
      </c>
      <c r="AA54" s="18" t="n">
        <v>61328</v>
      </c>
      <c r="AB54" s="18" t="n">
        <v>60021</v>
      </c>
      <c r="AC54" s="18" t="n">
        <v>59142</v>
      </c>
    </row>
    <row r="55">
      <c r="A55" s="5" t="inlineStr">
        <is>
          <t xml:space="preserve">  CASH FLOW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>
      <c r="A56" s="4" t="inlineStr">
        <is>
          <t>D&amp;A</t>
        </is>
      </c>
      <c r="B56" s="18" t="n">
        <v>437</v>
      </c>
      <c r="C56" s="18" t="n">
        <v>457</v>
      </c>
      <c r="D56" s="18" t="n">
        <v>608</v>
      </c>
      <c r="E56" s="18" t="n">
        <v>633</v>
      </c>
      <c r="F56" s="18" t="n">
        <v>658</v>
      </c>
      <c r="G56" s="18" t="n">
        <v>649</v>
      </c>
      <c r="H56" s="18" t="n">
        <v>670</v>
      </c>
      <c r="I56" s="18" t="n">
        <v>869</v>
      </c>
      <c r="J56" s="18" t="n">
        <v>685</v>
      </c>
      <c r="K56" s="18" t="n">
        <v>719</v>
      </c>
      <c r="L56" s="18" t="n">
        <v>963</v>
      </c>
      <c r="M56" s="18" t="n">
        <v>931</v>
      </c>
      <c r="N56" s="18" t="n">
        <v>906</v>
      </c>
      <c r="O56" s="18" t="n">
        <v>907</v>
      </c>
      <c r="P56" s="18" t="n">
        <v>941</v>
      </c>
      <c r="Q56" s="18" t="n">
        <v>1032</v>
      </c>
      <c r="R56" s="18" t="n">
        <v>1254</v>
      </c>
      <c r="S56" s="18" t="n">
        <v>890</v>
      </c>
      <c r="T56" s="18" t="n">
        <v>862</v>
      </c>
      <c r="U56" s="18" t="n">
        <v>953</v>
      </c>
      <c r="V56" s="18" t="n">
        <v>879</v>
      </c>
      <c r="W56" s="18" t="n">
        <v>907</v>
      </c>
      <c r="X56" s="18" t="n">
        <v>814</v>
      </c>
      <c r="Y56" s="18" t="n">
        <v>877</v>
      </c>
      <c r="Z56" s="18" t="n">
        <v>843</v>
      </c>
      <c r="AA56" s="18" t="n">
        <v>817</v>
      </c>
      <c r="AB56" s="18" t="n">
        <v>851</v>
      </c>
      <c r="AC56" s="18" t="n">
        <v>1120</v>
      </c>
    </row>
    <row r="57">
      <c r="A57" s="4" t="inlineStr">
        <is>
          <t>Stock-based Compensation</t>
        </is>
      </c>
      <c r="B57" s="18" t="n">
        <v>343</v>
      </c>
      <c r="C57" s="18" t="n">
        <v>388</v>
      </c>
      <c r="D57" s="18" t="n">
        <v>543</v>
      </c>
      <c r="E57" s="18" t="n">
        <v>511</v>
      </c>
      <c r="F57" s="18" t="n">
        <v>504</v>
      </c>
      <c r="G57" s="18" t="n">
        <v>578</v>
      </c>
      <c r="H57" s="18" t="n">
        <v>566</v>
      </c>
      <c r="I57" s="18" t="n">
        <v>542</v>
      </c>
      <c r="J57" s="18" t="n">
        <v>564</v>
      </c>
      <c r="K57" s="18" t="n">
        <v>640</v>
      </c>
      <c r="L57" s="18" t="n">
        <v>812</v>
      </c>
      <c r="M57" s="18" t="n">
        <v>763</v>
      </c>
      <c r="N57" s="18" t="n">
        <v>776</v>
      </c>
      <c r="O57" s="18" t="n">
        <v>851</v>
      </c>
      <c r="P57" s="18" t="n">
        <v>843</v>
      </c>
      <c r="Q57" s="18" t="n">
        <v>809</v>
      </c>
      <c r="R57" s="18" t="n">
        <v>696</v>
      </c>
      <c r="S57" s="18" t="n">
        <v>724</v>
      </c>
      <c r="T57" s="18" t="n">
        <v>693</v>
      </c>
      <c r="U57" s="18" t="n">
        <v>674</v>
      </c>
      <c r="V57" s="18" t="n">
        <v>750</v>
      </c>
      <c r="W57" s="18" t="n">
        <v>810</v>
      </c>
      <c r="X57" s="18" t="n">
        <v>820</v>
      </c>
      <c r="Y57" s="18" t="n">
        <v>803</v>
      </c>
      <c r="Z57" s="18" t="n">
        <v>814</v>
      </c>
      <c r="AA57" s="18" t="n">
        <v>793</v>
      </c>
      <c r="AB57" s="18" t="n">
        <v>819</v>
      </c>
      <c r="AC57" s="18" t="n">
        <v>1083</v>
      </c>
    </row>
    <row r="58">
      <c r="A58" s="4" t="inlineStr">
        <is>
          <t>Change in Working Capital</t>
        </is>
      </c>
      <c r="B58" s="18" t="n">
        <v>865</v>
      </c>
      <c r="C58" s="18" t="n">
        <v>-774</v>
      </c>
      <c r="D58" s="18" t="n">
        <v>-959</v>
      </c>
      <c r="E58" s="18" t="n">
        <v>538</v>
      </c>
      <c r="F58" s="18" t="n">
        <v>543</v>
      </c>
      <c r="G58" s="18" t="n">
        <v>-988</v>
      </c>
      <c r="H58" s="18" t="n">
        <v>-1213</v>
      </c>
      <c r="I58" s="18" t="n">
        <v>466</v>
      </c>
      <c r="J58" s="18" t="n">
        <v>1484</v>
      </c>
      <c r="K58" s="18" t="n">
        <v>-1316</v>
      </c>
      <c r="L58" s="18" t="n">
        <v>-1820</v>
      </c>
      <c r="M58" s="18" t="n">
        <v>-6</v>
      </c>
      <c r="N58" s="18" t="n">
        <v>1579</v>
      </c>
      <c r="O58" s="18" t="n">
        <v>-1855</v>
      </c>
      <c r="P58" s="18" t="n">
        <v>-2081</v>
      </c>
      <c r="Q58" s="18" t="n">
        <v>288</v>
      </c>
      <c r="R58" s="18" t="n">
        <v>1731</v>
      </c>
      <c r="S58" s="18" t="n">
        <v>-2578</v>
      </c>
      <c r="T58" s="18" t="n">
        <v>-1801</v>
      </c>
      <c r="U58" s="18" t="n">
        <v>-202</v>
      </c>
      <c r="V58" s="18" t="n">
        <v>2605</v>
      </c>
      <c r="W58" s="18" t="n">
        <v>-2817</v>
      </c>
      <c r="X58" s="18" t="n">
        <v>-1920</v>
      </c>
      <c r="Y58" s="18" t="n">
        <v>151</v>
      </c>
      <c r="Z58" s="18" t="n">
        <v>2670</v>
      </c>
      <c r="AA58" s="18" t="n">
        <v>-3017</v>
      </c>
      <c r="AB58" s="18" t="n">
        <v>-1725</v>
      </c>
      <c r="AC58" s="18" t="n">
        <v>1569</v>
      </c>
    </row>
    <row r="59">
      <c r="A59" s="4" t="inlineStr">
        <is>
          <t>Operating Cash Flow</t>
        </is>
      </c>
      <c r="B59" s="18" t="n">
        <v>1965</v>
      </c>
      <c r="C59" s="18" t="n">
        <v>436</v>
      </c>
      <c r="D59" s="18" t="n">
        <v>298</v>
      </c>
      <c r="E59" s="18" t="n">
        <v>1632</v>
      </c>
      <c r="F59" s="18" t="n">
        <v>1859</v>
      </c>
      <c r="G59" s="18" t="n">
        <v>429</v>
      </c>
      <c r="H59" s="18" t="n">
        <v>339</v>
      </c>
      <c r="I59" s="18" t="n">
        <v>2174</v>
      </c>
      <c r="J59" s="18" t="n">
        <v>3228</v>
      </c>
      <c r="K59" s="18" t="n">
        <v>386</v>
      </c>
      <c r="L59" s="18" t="n">
        <v>404</v>
      </c>
      <c r="M59" s="18" t="n">
        <v>1982</v>
      </c>
      <c r="N59" s="18" t="n">
        <v>3676</v>
      </c>
      <c r="O59" s="18" t="n">
        <v>334</v>
      </c>
      <c r="P59" s="18" t="n">
        <v>313</v>
      </c>
      <c r="Q59" s="18" t="n">
        <v>2788</v>
      </c>
      <c r="R59" s="18" t="n">
        <v>4491</v>
      </c>
      <c r="S59" s="18" t="n">
        <v>808</v>
      </c>
      <c r="T59" s="18" t="n">
        <v>1532</v>
      </c>
      <c r="U59" s="18" t="n">
        <v>3403</v>
      </c>
      <c r="V59" s="18" t="n">
        <v>6247</v>
      </c>
      <c r="W59" s="18" t="n">
        <v>892</v>
      </c>
      <c r="X59" s="18" t="n">
        <v>1983</v>
      </c>
      <c r="Y59" s="18" t="n">
        <v>3970</v>
      </c>
      <c r="Z59" s="18" t="n">
        <v>6476</v>
      </c>
      <c r="AA59" s="18" t="n">
        <v>740</v>
      </c>
      <c r="AB59" s="18" t="n">
        <v>2316</v>
      </c>
      <c r="AC59" s="18" t="n">
        <v>5464</v>
      </c>
    </row>
    <row r="60">
      <c r="A60" s="4" t="inlineStr">
        <is>
          <t>Capex</t>
        </is>
      </c>
      <c r="B60" s="18" t="n">
        <v>-159</v>
      </c>
      <c r="C60" s="18" t="n">
        <v>-178</v>
      </c>
      <c r="D60" s="18" t="n">
        <v>-170</v>
      </c>
      <c r="E60" s="18" t="n">
        <v>-136</v>
      </c>
      <c r="F60" s="18" t="n">
        <v>-323</v>
      </c>
      <c r="G60" s="18" t="n">
        <v>-114</v>
      </c>
      <c r="H60" s="18" t="n">
        <v>-124</v>
      </c>
      <c r="I60" s="18" t="n">
        <v>-149</v>
      </c>
      <c r="J60" s="18" t="n">
        <v>-171</v>
      </c>
      <c r="K60" s="18" t="n">
        <v>-213</v>
      </c>
      <c r="L60" s="18" t="n">
        <v>-166</v>
      </c>
      <c r="M60" s="18" t="n">
        <v>-167</v>
      </c>
      <c r="N60" s="18" t="n">
        <v>-179</v>
      </c>
      <c r="O60" s="18" t="n">
        <v>-203</v>
      </c>
      <c r="P60" s="18" t="n">
        <v>-198</v>
      </c>
      <c r="Q60" s="18" t="n">
        <v>-218</v>
      </c>
      <c r="R60" s="18" t="n">
        <v>-243</v>
      </c>
      <c r="S60" s="18" t="n">
        <v>-180</v>
      </c>
      <c r="T60" s="18" t="n">
        <v>-166</v>
      </c>
      <c r="U60" s="18" t="n">
        <v>-147</v>
      </c>
      <c r="V60" s="18" t="n">
        <v>-163</v>
      </c>
      <c r="W60" s="18" t="n">
        <v>-137</v>
      </c>
      <c r="X60" s="18" t="n">
        <v>-204</v>
      </c>
      <c r="Y60" s="18" t="n">
        <v>-154</v>
      </c>
      <c r="Z60" s="18" t="n">
        <v>-179</v>
      </c>
      <c r="AA60" s="18" t="n">
        <v>-135</v>
      </c>
      <c r="AB60" s="18" t="n">
        <v>-139</v>
      </c>
      <c r="AC60" s="18" t="n">
        <v>-141</v>
      </c>
    </row>
    <row r="61">
      <c r="A61" s="4" t="inlineStr">
        <is>
          <t>Free Cash Flow</t>
        </is>
      </c>
      <c r="B61" s="18" t="n">
        <v>1806</v>
      </c>
      <c r="C61" s="18" t="n">
        <v>258</v>
      </c>
      <c r="D61" s="18" t="n">
        <v>128</v>
      </c>
      <c r="E61" s="18" t="n">
        <v>1496</v>
      </c>
      <c r="F61" s="18" t="n">
        <v>1536</v>
      </c>
      <c r="G61" s="18" t="n">
        <v>315</v>
      </c>
      <c r="H61" s="18" t="n">
        <v>215</v>
      </c>
      <c r="I61" s="18" t="n">
        <v>2025</v>
      </c>
      <c r="J61" s="18" t="n">
        <v>3057</v>
      </c>
      <c r="K61" s="18" t="n">
        <v>173</v>
      </c>
      <c r="L61" s="18" t="n">
        <v>238</v>
      </c>
      <c r="M61" s="18" t="n">
        <v>1815</v>
      </c>
      <c r="N61" s="18" t="n">
        <v>3497</v>
      </c>
      <c r="O61" s="18" t="n">
        <v>131</v>
      </c>
      <c r="P61" s="18" t="n">
        <v>115</v>
      </c>
      <c r="Q61" s="18" t="n">
        <v>2570</v>
      </c>
      <c r="R61" s="18" t="n">
        <v>4248</v>
      </c>
      <c r="S61" s="18" t="n">
        <v>628</v>
      </c>
      <c r="T61" s="18" t="n">
        <v>1366</v>
      </c>
      <c r="U61" s="18" t="n">
        <v>3256</v>
      </c>
      <c r="V61" s="18" t="n">
        <v>6084</v>
      </c>
      <c r="W61" s="18" t="n">
        <v>755</v>
      </c>
      <c r="X61" s="18" t="n">
        <v>1779</v>
      </c>
      <c r="Y61" s="18" t="n">
        <v>3816</v>
      </c>
      <c r="Z61" s="18" t="n">
        <v>6297</v>
      </c>
      <c r="AA61" s="18" t="n">
        <v>605</v>
      </c>
      <c r="AB61" s="18" t="n">
        <v>2177</v>
      </c>
      <c r="AC61" s="18" t="n">
        <v>5323</v>
      </c>
    </row>
    <row r="63">
      <c r="A6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2027</v>
      </c>
      <c r="C2" s="46" t="n">
        <v>2028</v>
      </c>
      <c r="D2" s="46" t="n">
        <v>2029</v>
      </c>
      <c r="E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46121.361615</v>
      </c>
      <c r="C4" s="18" t="n">
        <v>50521.98454</v>
      </c>
      <c r="D4" s="18" t="n">
        <v>55480.668219</v>
      </c>
      <c r="E4" s="18" t="n">
        <v>60784.675</v>
      </c>
    </row>
    <row r="5">
      <c r="A5" s="4" t="inlineStr">
        <is>
          <t xml:space="preserve">  model</t>
        </is>
      </c>
      <c r="B5" s="34">
        <f>Model!G16</f>
        <v/>
      </c>
      <c r="C5" s="34">
        <f>Model!H16</f>
        <v/>
      </c>
      <c r="D5" s="34">
        <f>Model!I16</f>
        <v/>
      </c>
      <c r="E5" s="34">
        <f>Model!J16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</row>
    <row r="8">
      <c r="A8" s="3" t="inlineStr">
        <is>
          <t>EBITDA* — consensus</t>
        </is>
      </c>
      <c r="B8" s="18" t="n">
        <v>22747.371179</v>
      </c>
      <c r="C8" s="18" t="n">
        <v>24917.788522</v>
      </c>
      <c r="D8" s="18" t="n">
        <v>27363.445247</v>
      </c>
      <c r="E8" s="18" t="n">
        <v>29979.417689</v>
      </c>
    </row>
    <row r="9">
      <c r="A9" s="4" t="inlineStr">
        <is>
          <t xml:space="preserve">  model</t>
        </is>
      </c>
      <c r="B9" s="34">
        <f>Model!G29+Model!G34</f>
        <v/>
      </c>
      <c r="C9" s="34">
        <f>Model!H29+Model!H34</f>
        <v/>
      </c>
      <c r="D9" s="34">
        <f>Model!I29+Model!I34</f>
        <v/>
      </c>
      <c r="E9" s="34">
        <f>Model!J29+Model!J34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</row>
    <row r="12">
      <c r="A12" s="3" t="inlineStr">
        <is>
          <t>EBIT* — consensus</t>
        </is>
      </c>
      <c r="B12" s="18" t="n">
        <v>20359.156503</v>
      </c>
      <c r="C12" s="18" t="n">
        <v>22301.704764</v>
      </c>
      <c r="D12" s="18" t="n">
        <v>24490.595412</v>
      </c>
      <c r="E12" s="18" t="n">
        <v>26831.920567</v>
      </c>
    </row>
    <row r="13">
      <c r="A13" s="4" t="inlineStr">
        <is>
          <t xml:space="preserve">  model</t>
        </is>
      </c>
      <c r="B13" s="34">
        <f>Model!G29</f>
        <v/>
      </c>
      <c r="C13" s="34">
        <f>Model!H29</f>
        <v/>
      </c>
      <c r="D13" s="34">
        <f>Model!I29</f>
        <v/>
      </c>
      <c r="E13" s="34">
        <f>Model!J29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</row>
    <row r="16">
      <c r="A16" s="3" t="inlineStr">
        <is>
          <t>SG&amp;A — consensus</t>
        </is>
      </c>
      <c r="B16" s="18" t="n">
        <v>21611.63298</v>
      </c>
      <c r="C16" s="18" t="n">
        <v>23673.685014</v>
      </c>
      <c r="D16" s="18" t="n">
        <v>25997.234189</v>
      </c>
      <c r="E16" s="18" t="n">
        <v>28482.595502</v>
      </c>
    </row>
    <row r="17">
      <c r="A17" s="4" t="inlineStr">
        <is>
          <t xml:space="preserve">  model</t>
        </is>
      </c>
      <c r="B17" s="34">
        <f>Model!G24</f>
        <v/>
      </c>
      <c r="C17" s="34">
        <f>Model!H24</f>
        <v/>
      </c>
      <c r="D17" s="34">
        <f>Model!I24</f>
        <v/>
      </c>
      <c r="E17" s="34">
        <f>Model!J24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</row>
    <row r="20">
      <c r="A20" s="3" t="inlineStr">
        <is>
          <t>Net income (NOPAT) — consensus</t>
        </is>
      </c>
      <c r="B20" s="18" t="n">
        <v>12572.007073</v>
      </c>
      <c r="C20" s="18" t="n">
        <v>14215.3184945</v>
      </c>
      <c r="D20" s="18" t="n">
        <v>16485.6272965</v>
      </c>
      <c r="E20" s="18" t="n">
        <v>18756.720019</v>
      </c>
    </row>
    <row r="21">
      <c r="A21" s="4" t="inlineStr">
        <is>
          <t xml:space="preserve">  model</t>
        </is>
      </c>
      <c r="B21" s="34">
        <f>Model!G33</f>
        <v/>
      </c>
      <c r="C21" s="34">
        <f>Model!H33</f>
        <v/>
      </c>
      <c r="D21" s="34">
        <f>Model!I33</f>
        <v/>
      </c>
      <c r="E21" s="34">
        <f>Model!J33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</row>
    <row r="24">
      <c r="A24" s="3" t="inlineStr">
        <is>
          <t>EPS — consensus</t>
        </is>
      </c>
      <c r="B24" s="48" t="n">
        <v>13.20587</v>
      </c>
      <c r="C24" s="48" t="n">
        <v>14.86958</v>
      </c>
      <c r="D24" s="48" t="n">
        <v>17.58669</v>
      </c>
      <c r="E24" s="48" t="n">
        <v>19.62</v>
      </c>
    </row>
    <row r="25">
      <c r="A25" s="4" t="inlineStr">
        <is>
          <t xml:space="preserve">  model</t>
        </is>
      </c>
      <c r="B25" s="8">
        <f>Model!G33/Financials!AC17</f>
        <v/>
      </c>
      <c r="C25" s="8">
        <f>Model!H33/Financials!AC17</f>
        <v/>
      </c>
      <c r="D25" s="8">
        <f>Model!I33/Financials!AC17</f>
        <v/>
      </c>
      <c r="E25" s="8">
        <f>Model!J33/Financials!AC17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Salesforce,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2027</v>
      </c>
      <c r="D11" s="46" t="n">
        <v>2028</v>
      </c>
      <c r="E11" s="46" t="n">
        <v>2029</v>
      </c>
      <c r="F11" s="46" t="n">
        <v>2030</v>
      </c>
      <c r="G11" s="46" t="n">
        <v>2031</v>
      </c>
      <c r="H11" s="46" t="n">
        <v>2032</v>
      </c>
      <c r="I11" s="46" t="n">
        <v>2033</v>
      </c>
      <c r="J11" s="46" t="n">
        <v>2034</v>
      </c>
      <c r="K11" s="46" t="n">
        <v>2035</v>
      </c>
      <c r="L11" s="46" t="n">
        <v>2036</v>
      </c>
    </row>
    <row r="12">
      <c r="A12" s="4" t="inlineStr">
        <is>
          <t>FCFF ($M)</t>
        </is>
      </c>
      <c r="C12" s="34">
        <f>Model!G41</f>
        <v/>
      </c>
      <c r="D12" s="34">
        <f>Model!H41</f>
        <v/>
      </c>
      <c r="E12" s="34">
        <f>Model!I41</f>
        <v/>
      </c>
      <c r="F12" s="34">
        <f>Model!J41</f>
        <v/>
      </c>
      <c r="G12" s="34">
        <f>Model!K41</f>
        <v/>
      </c>
      <c r="H12" s="34">
        <f>Model!L41</f>
        <v/>
      </c>
      <c r="I12" s="34">
        <f>Model!M41</f>
        <v/>
      </c>
      <c r="J12" s="34">
        <f>Model!N41</f>
        <v/>
      </c>
      <c r="K12" s="34">
        <f>Model!O41</f>
        <v/>
      </c>
      <c r="L12" s="34">
        <f>Model!P41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Model!P16</f>
        <v/>
      </c>
    </row>
    <row r="21">
      <c r="A21" s="4" t="inlineStr">
        <is>
          <t>Terminal EBIT</t>
        </is>
      </c>
      <c r="B21" s="34">
        <f>Model!P29</f>
        <v/>
      </c>
    </row>
    <row r="22">
      <c r="A22" s="4" t="inlineStr">
        <is>
          <t>Terminal EBITDA (SBC-burdened)</t>
        </is>
      </c>
      <c r="B22" s="34">
        <f>Model!P29+Model!P34-Model!P35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Financials!AC48</f>
        <v/>
      </c>
    </row>
    <row r="33">
      <c r="A33" s="4" t="inlineStr">
        <is>
          <t>- Long-term debt</t>
        </is>
      </c>
      <c r="B33" s="34">
        <f>-Financials!AC53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0.07551981193177065</v>
      </c>
      <c r="C4" s="52" t="n">
        <v>0.08051981193177066</v>
      </c>
      <c r="D4" s="52" t="n">
        <v>0.08551981193177065</v>
      </c>
      <c r="E4" s="52" t="n">
        <v>0.09051981193177065</v>
      </c>
      <c r="F4" s="52" t="n">
        <v>0.09551981193177066</v>
      </c>
      <c r="G4" s="52" t="n">
        <v>0.1005198119317706</v>
      </c>
      <c r="H4" s="52" t="n">
        <v>0.1055198119317707</v>
      </c>
    </row>
    <row r="5">
      <c r="A5" s="53" t="n">
        <v>12</v>
      </c>
      <c r="B5" s="8" t="n">
        <v>244.1694352482385</v>
      </c>
      <c r="C5" s="8" t="n">
        <v>234.8702819122594</v>
      </c>
      <c r="D5" s="8" t="n">
        <v>226.0020024877249</v>
      </c>
      <c r="E5" s="8" t="n">
        <v>217.5421982449278</v>
      </c>
      <c r="F5" s="8" t="n">
        <v>209.4697439054773</v>
      </c>
      <c r="G5" s="8" t="n">
        <v>201.764709456718</v>
      </c>
      <c r="H5" s="8" t="n">
        <v>194.4082871081079</v>
      </c>
    </row>
    <row r="6">
      <c r="A6" s="53" t="n">
        <v>13</v>
      </c>
      <c r="B6" s="8" t="n">
        <v>257.3204362832811</v>
      </c>
      <c r="C6" s="8" t="n">
        <v>247.425250116552</v>
      </c>
      <c r="D6" s="8" t="n">
        <v>237.9905182404612</v>
      </c>
      <c r="E6" s="8" t="n">
        <v>228.9922476464613</v>
      </c>
      <c r="F6" s="8" t="n">
        <v>220.407811446265</v>
      </c>
      <c r="G6" s="8" t="n">
        <v>212.2158649113581</v>
      </c>
      <c r="H6" s="8" t="n">
        <v>204.3962670383428</v>
      </c>
    </row>
    <row r="7">
      <c r="A7" s="53" t="n">
        <v>14</v>
      </c>
      <c r="B7" s="8" t="n">
        <v>270.4714373183238</v>
      </c>
      <c r="C7" s="8" t="n">
        <v>259.9802183208445</v>
      </c>
      <c r="D7" s="8" t="n">
        <v>249.9790339931975</v>
      </c>
      <c r="E7" s="8" t="n">
        <v>240.4422970479949</v>
      </c>
      <c r="F7" s="8" t="n">
        <v>231.3458789870526</v>
      </c>
      <c r="G7" s="8" t="n">
        <v>222.6670203659983</v>
      </c>
      <c r="H7" s="8" t="n">
        <v>214.3842469685777</v>
      </c>
    </row>
    <row r="8">
      <c r="A8" s="53" t="n">
        <v>15</v>
      </c>
      <c r="B8" s="8" t="n">
        <v>283.6224383533664</v>
      </c>
      <c r="C8" s="8" t="n">
        <v>272.535186525137</v>
      </c>
      <c r="D8" s="8" t="n">
        <v>261.9675497459338</v>
      </c>
      <c r="E8" s="54" t="n">
        <v>251.8923464495284</v>
      </c>
      <c r="F8" s="8" t="n">
        <v>242.2839465278403</v>
      </c>
      <c r="G8" s="8" t="n">
        <v>233.1181758206384</v>
      </c>
      <c r="H8" s="8" t="n">
        <v>224.3722268988127</v>
      </c>
    </row>
    <row r="9">
      <c r="A9" s="53" t="n">
        <v>16</v>
      </c>
      <c r="B9" s="8" t="n">
        <v>296.7734393884091</v>
      </c>
      <c r="C9" s="8" t="n">
        <v>285.0901547294296</v>
      </c>
      <c r="D9" s="8" t="n">
        <v>273.9560654986701</v>
      </c>
      <c r="E9" s="8" t="n">
        <v>263.3423958510621</v>
      </c>
      <c r="F9" s="8" t="n">
        <v>253.2220140686279</v>
      </c>
      <c r="G9" s="8" t="n">
        <v>243.5693312752786</v>
      </c>
      <c r="H9" s="8" t="n">
        <v>234.3602068290476</v>
      </c>
    </row>
    <row r="10">
      <c r="A10" s="53" t="n">
        <v>17</v>
      </c>
      <c r="B10" s="8" t="n">
        <v>309.9244404234517</v>
      </c>
      <c r="C10" s="8" t="n">
        <v>297.6451229337221</v>
      </c>
      <c r="D10" s="8" t="n">
        <v>285.9445812514065</v>
      </c>
      <c r="E10" s="8" t="n">
        <v>274.7924452525956</v>
      </c>
      <c r="F10" s="8" t="n">
        <v>264.1600816094156</v>
      </c>
      <c r="G10" s="8" t="n">
        <v>254.0204867299187</v>
      </c>
      <c r="H10" s="8" t="n">
        <v>244.3481867592825</v>
      </c>
    </row>
    <row r="11">
      <c r="A11" s="53" t="n">
        <v>18</v>
      </c>
      <c r="B11" s="8" t="n">
        <v>323.0754414584944</v>
      </c>
      <c r="C11" s="8" t="n">
        <v>310.2000911380147</v>
      </c>
      <c r="D11" s="8" t="n">
        <v>297.9330970041428</v>
      </c>
      <c r="E11" s="8" t="n">
        <v>286.2424946541292</v>
      </c>
      <c r="F11" s="8" t="n">
        <v>275.0981491502033</v>
      </c>
      <c r="G11" s="8" t="n">
        <v>264.4716421845589</v>
      </c>
      <c r="H11" s="8" t="n">
        <v>254.3361666895174</v>
      </c>
    </row>
    <row r="13">
      <c r="A13" s="3" t="inlineStr">
        <is>
          <t>Current price</t>
        </is>
      </c>
      <c r="B13" s="55" t="n">
        <v>166.1100006103516</v>
      </c>
    </row>
    <row r="14">
      <c r="A14" s="3" t="inlineStr">
        <is>
          <t>Base WACC / multiple</t>
        </is>
      </c>
      <c r="B14" s="56" t="n">
        <v>0.09051981193177065</v>
      </c>
      <c r="C14" s="57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Model!F30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0.08744130042143287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0.1601074084274305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(Model!P16/Model!F16)^(1/10)-1</f>
        <v/>
      </c>
      <c r="D6" s="15" t="n">
        <v>0.01896939815339282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0.8818956762867788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Financials!AC48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Financials!AC53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2026-07-06T20:34:35Z</dcterms:created>
  <dcterms:modified xmlns:dcterms="http://purl.org/dc/terms/" xmlns:xsi="http://www.w3.org/2001/XMLSchema-instance" xsi:type="dcterms:W3CDTF">2026-07-06T20:34:35Z</dcterms:modified>
</cp:coreProperties>
</file>