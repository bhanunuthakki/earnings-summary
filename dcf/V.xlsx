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+0.0%;-0.0%"/>
    <numFmt numFmtId="170" formatCode="+0.0&quot;x&quot;;-0.0&quot;x&quot;"/>
    <numFmt numFmtId="171" formatCode="0.00&quot;x&quot;"/>
    <numFmt numFmtId="172" formatCode="+0.0%;(0.0%)"/>
    <numFmt numFmtId="173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9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8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8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169" fontId="4" fillId="5" borderId="0" pivotButton="0" quotePrefix="0" xfId="0"/>
    <xf numFmtId="166" fontId="3" fillId="0" borderId="0" pivotButton="0" quotePrefix="0" xfId="0"/>
    <xf numFmtId="167" fontId="3" fillId="0" borderId="0" pivotButton="0" quotePrefix="0" xfId="0"/>
    <xf numFmtId="170" fontId="4" fillId="5" borderId="0" pivotButton="0" quotePrefix="0" xfId="0"/>
    <xf numFmtId="164" fontId="1" fillId="0" borderId="0" pivotButton="0" quotePrefix="0" xfId="0"/>
    <xf numFmtId="165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8" fontId="7" fillId="0" borderId="0" pivotButton="0" quotePrefix="0" xfId="0"/>
    <xf numFmtId="3" fontId="7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71" fontId="3" fillId="0" borderId="0" pivotButton="0" quotePrefix="0" xfId="0"/>
    <xf numFmtId="0" fontId="1" fillId="0" borderId="0" applyAlignment="1" pivotButton="0" quotePrefix="0" xfId="0">
      <alignment horizontal="right"/>
    </xf>
    <xf numFmtId="172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6" fontId="1" fillId="0" borderId="0" applyAlignment="1" pivotButton="0" quotePrefix="0" xfId="0">
      <alignment horizontal="right"/>
    </xf>
    <xf numFmtId="167" fontId="1" fillId="0" borderId="0" pivotButton="0" quotePrefix="0" xfId="0"/>
    <xf numFmtId="164" fontId="0" fillId="0" borderId="0" pivotButton="0" quotePrefix="0" xfId="0"/>
    <xf numFmtId="164" fontId="7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173" fontId="3" fillId="0" borderId="0" pivotButton="0" quotePrefix="0" xfId="0"/>
    <xf numFmtId="164" fontId="9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8" fillId="0" borderId="0" pivotButton="0" quotePrefix="0" xfId="0"/>
    <xf numFmtId="164" fontId="4" fillId="5" borderId="0" pivotButton="0" quotePrefix="0" xfId="0"/>
    <xf numFmtId="169" fontId="4" fillId="5" borderId="0" pivotButton="0" quotePrefix="0" xfId="0"/>
    <xf numFmtId="166" fontId="3" fillId="0" borderId="0" pivotButton="0" quotePrefix="0" xfId="0"/>
    <xf numFmtId="167" fontId="3" fillId="0" borderId="0" pivotButton="0" quotePrefix="0" xfId="0"/>
    <xf numFmtId="170" fontId="4" fillId="5" borderId="0" pivotButton="0" quotePrefix="0" xfId="0"/>
    <xf numFmtId="164" fontId="1" fillId="0" borderId="0" pivotButton="0" quotePrefix="0" xfId="0"/>
    <xf numFmtId="165" fontId="3" fillId="0" borderId="0" pivotButton="0" quotePrefix="0" xfId="0"/>
    <xf numFmtId="168" fontId="7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166" fontId="1" fillId="0" borderId="0" pivotButton="0" quotePrefix="0" xfId="0"/>
    <xf numFmtId="171" fontId="3" fillId="0" borderId="0" pivotButton="0" quotePrefix="0" xfId="0"/>
    <xf numFmtId="172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4" fontId="3" fillId="0" borderId="0" pivotButton="0" quotePrefix="0" xfId="0"/>
    <xf numFmtId="166" fontId="1" fillId="0" borderId="0" applyAlignment="1" pivotButton="0" quotePrefix="0" xfId="0">
      <alignment horizontal="right"/>
    </xf>
    <xf numFmtId="167" fontId="1" fillId="0" borderId="0" pivotButton="0" quotePrefix="0" xfId="0"/>
    <xf numFmtId="164" fontId="0" fillId="0" borderId="0" pivotButton="0" quotePrefix="0" xfId="0"/>
    <xf numFmtId="164" fontId="7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173" fontId="3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11.5%</t>
      </text>
    </comment>
    <comment ref="C20" authorId="0" shapeId="0">
      <text>
        <t>Opus: 4.0%</t>
      </text>
    </comment>
    <comment ref="B21" authorId="0" shapeId="0">
      <text>
        <t>Opus: 9.0%</t>
      </text>
    </comment>
    <comment ref="C21" authorId="0" shapeId="0">
      <text>
        <t>Opus: 4.0%</t>
      </text>
    </comment>
    <comment ref="B22" authorId="0" shapeId="0">
      <text>
        <t>Opus: 11.0%</t>
      </text>
    </comment>
    <comment ref="C22" authorId="0" shapeId="0">
      <text>
        <t>Opus: 4.0%</t>
      </text>
    </comment>
    <comment ref="B23" authorId="0" shapeId="0">
      <text>
        <t>Opus: 14.0%</t>
      </text>
    </comment>
    <comment ref="C23" authorId="0" shapeId="0">
      <text>
        <t>Opus: 4.0%</t>
      </text>
    </comment>
    <comment ref="B24" authorId="0" shapeId="0">
      <text>
        <t>Opus: 12.0%</t>
      </text>
    </comment>
    <comment ref="C24" authorId="0" shapeId="0">
      <text>
        <t>Opus: 4.0%</t>
      </text>
    </comment>
    <comment ref="B29" authorId="0" shapeId="0">
      <text>
        <t>Opus: 64.0%</t>
      </text>
    </comment>
    <comment ref="B30" authorId="0" shapeId="0">
      <text>
        <t>Opus: 66.0%</t>
      </text>
    </comment>
    <comment ref="B31" authorId="0" shapeId="0">
      <text>
        <t>Opus: 19.0%</t>
      </text>
    </comment>
    <comment ref="B34" authorId="0" shapeId="0">
      <text>
        <t>Opus: —
set from Opus 4% of FY1E revenue; edits not tracked (unit differs from the JSON)</t>
      </text>
    </comment>
    <comment ref="B35" authorId="0" shapeId="0">
      <text>
        <t>Opus: 1.1x</t>
      </text>
    </comment>
    <comment ref="B38" authorId="0" shapeId="0">
      <text>
        <t>Opus: 4.3%</t>
      </text>
    </comment>
    <comment ref="B39" authorId="0" shapeId="0">
      <text>
        <t>Opus: 4.5%</t>
      </text>
    </comment>
    <comment ref="B40" authorId="0" shapeId="0">
      <text>
        <t>Opus: 0.784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</t>
      </text>
    </comment>
    <comment ref="B45" authorId="0" shapeId="0">
      <text>
        <t>Opus: 19.0x</t>
      </text>
    </comment>
    <comment ref="B46" authorId="0" shapeId="0">
      <text>
        <t>Opus: 4.0%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Visa Inc. (V)</t>
        </is>
      </c>
    </row>
    <row r="2">
      <c r="A2" s="2" t="inlineStr">
        <is>
          <t>DCF valuation — exit-multiple terminal · defaults anchored to consensus</t>
        </is>
      </c>
    </row>
    <row r="3"/>
    <row r="4">
      <c r="A4" s="3" t="inlineStr">
        <is>
          <t>Last updated</t>
        </is>
      </c>
      <c r="B4" s="4" t="inlineStr">
        <is>
          <t>2026-08-06</t>
        </is>
      </c>
    </row>
    <row r="5">
      <c r="A5" s="3" t="inlineStr">
        <is>
          <t>Data pulled (FMP)</t>
        </is>
      </c>
      <c r="B5" s="4" t="inlineStr">
        <is>
          <t>Q2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7"/>
    <row r="8">
      <c r="A8" s="5" t="inlineStr">
        <is>
          <t xml:space="preserve">  VALUATION SUMMARY</t>
        </is>
      </c>
      <c r="B8" s="6" t="n"/>
    </row>
    <row r="9"/>
    <row r="10">
      <c r="A10" s="3" t="inlineStr">
        <is>
          <t>Fair value / share</t>
        </is>
      </c>
      <c r="B10" s="58">
        <f>Valuation!B36</f>
        <v/>
      </c>
    </row>
    <row r="11">
      <c r="A11" s="4" t="inlineStr">
        <is>
          <t>Current price</t>
        </is>
      </c>
      <c r="B11" s="59">
        <f>Valuation!$B$2</f>
        <v/>
      </c>
    </row>
    <row r="12">
      <c r="A12" s="4" t="inlineStr">
        <is>
          <t>Upside / (downside)</t>
        </is>
      </c>
      <c r="B12" s="60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61">
        <f>'Monte Carlo'!B20</f>
        <v/>
      </c>
    </row>
    <row r="15">
      <c r="A15" s="5" t="inlineStr">
        <is>
          <t xml:space="preserve">  KEY ASSUMPTIONS</t>
        </is>
      </c>
      <c r="B15" s="6" t="n"/>
    </row>
    <row r="16"/>
    <row r="17">
      <c r="A17" s="4" t="inlineStr">
        <is>
          <t>WACC (from WACC tab)</t>
        </is>
      </c>
      <c r="B17" s="6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62">
        <f>Valuation!$B$8</f>
        <v/>
      </c>
    </row>
    <row r="21">
      <c r="A21" s="4" t="inlineStr">
        <is>
          <t>Terminal growth (g)</t>
        </is>
      </c>
      <c r="B21" s="61">
        <f>Valuation!$B$4</f>
        <v/>
      </c>
    </row>
    <row r="22">
      <c r="A22" s="4" t="inlineStr">
        <is>
          <t>Terminal weight</t>
        </is>
      </c>
      <c r="B22" s="6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4"/>
    <row r="25">
      <c r="A25" s="5" t="inlineStr">
        <is>
          <t xml:space="preserve">  THE STORY (Opus)</t>
        </is>
      </c>
      <c r="B25" s="6" t="n"/>
    </row>
    <row r="27">
      <c r="A27" s="14" t="inlineStr">
        <is>
          <t>Visa is a toll-taker on global electronic payments with a structurally advantaged duopoly network, and its growth is driven by the secular shift from cash to digital plus a cross-border premium that carries the highest-margin International Transaction revenue. Net revenue compounds in the low-teens near term (in line with FMP consensus to ~$45.5B in 2026), then fades toward a mature ~4% rate as digitization penetration matures. Operating margins normalize back to the mid-to-high 60s as the FY2025 dip reverses and operating leverage on a fixed-cost network reasserts.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Visa Inc. (V)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58">
        <f>Valuation!B36</f>
        <v/>
      </c>
    </row>
    <row r="6">
      <c r="A6" s="4" t="inlineStr">
        <is>
          <t>Current price</t>
        </is>
      </c>
      <c r="B6" s="59">
        <f>Dashboard!$B$48</f>
        <v/>
      </c>
    </row>
    <row r="7">
      <c r="A7" s="4" t="inlineStr">
        <is>
          <t>Upside / (downside)</t>
        </is>
      </c>
      <c r="B7" s="60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6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6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6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61">
        <f>IF(Model!F42&lt;=0,"n/a (neg. capital)",Model!G44-WACC!B15)</f>
        <v/>
      </c>
      <c r="C15" s="10">
        <f>IF(Model!F42&lt;=0,"n/a",IF(Model!G44-WACC!B15&lt;0,"!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6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6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Data Processing Revenues</t>
        </is>
      </c>
      <c r="B20" s="63" t="n">
        <v>0.115</v>
      </c>
      <c r="C20" s="63" t="n">
        <v>0.04</v>
      </c>
      <c r="D20" s="64" t="n">
        <v>0.115</v>
      </c>
      <c r="E20" s="2" t="inlineStr"/>
    </row>
    <row r="21">
      <c r="A21" s="4" t="inlineStr">
        <is>
          <t>Service</t>
        </is>
      </c>
      <c r="B21" s="63" t="n">
        <v>0.09</v>
      </c>
      <c r="C21" s="63" t="n">
        <v>0.04</v>
      </c>
      <c r="D21" s="64" t="n">
        <v>0.09</v>
      </c>
      <c r="E21" s="2" t="inlineStr"/>
    </row>
    <row r="22">
      <c r="A22" s="4" t="inlineStr">
        <is>
          <t>International Transaction Revenues</t>
        </is>
      </c>
      <c r="B22" s="63" t="n">
        <v>0.11</v>
      </c>
      <c r="C22" s="63" t="n">
        <v>0.04</v>
      </c>
      <c r="D22" s="64" t="n">
        <v>0.11</v>
      </c>
      <c r="E22" s="2" t="inlineStr"/>
    </row>
    <row r="23">
      <c r="A23" s="4" t="inlineStr">
        <is>
          <t>Service, Other</t>
        </is>
      </c>
      <c r="B23" s="63" t="n">
        <v>0.14</v>
      </c>
      <c r="C23" s="63" t="n">
        <v>0.04</v>
      </c>
      <c r="D23" s="64" t="n">
        <v>0.14</v>
      </c>
      <c r="E23" s="2" t="inlineStr"/>
    </row>
    <row r="24">
      <c r="A24" s="4" t="inlineStr">
        <is>
          <t>Client Incentives</t>
        </is>
      </c>
      <c r="B24" s="63" t="n">
        <v>0.12</v>
      </c>
      <c r="C24" s="63" t="n">
        <v>0.04</v>
      </c>
      <c r="D24" s="64" t="n">
        <v>0.12</v>
      </c>
      <c r="E24" s="2" t="inlineStr"/>
    </row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63" t="n">
        <v>0.64</v>
      </c>
      <c r="D29" s="64" t="n">
        <v>0.64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63" t="n">
        <v>0.66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63" t="n">
        <v>0.19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1639.473178968</v>
      </c>
      <c r="D34" s="18" t="n">
        <v>1639.473178968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65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63" t="n">
        <v>0.043</v>
      </c>
    </row>
    <row r="39">
      <c r="A39" s="4" t="inlineStr">
        <is>
          <t>Equity risk premium</t>
        </is>
      </c>
      <c r="B39" s="63" t="n">
        <v>0.045</v>
      </c>
    </row>
    <row r="40">
      <c r="A40" s="4" t="inlineStr">
        <is>
          <t>Beta (levered)</t>
        </is>
      </c>
      <c r="B40" s="66" t="n">
        <v>0.784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63" t="n">
        <v>0.045</v>
      </c>
    </row>
    <row r="42">
      <c r="A42" s="3" t="inlineStr">
        <is>
          <t>WACC (computed)</t>
        </is>
      </c>
      <c r="B42" s="67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</t>
        </is>
      </c>
    </row>
    <row r="45">
      <c r="A45" s="4" t="inlineStr">
        <is>
          <t>Exit multiple</t>
        </is>
      </c>
      <c r="B45" s="65" t="n">
        <v>19</v>
      </c>
    </row>
    <row r="46">
      <c r="A46" s="4" t="inlineStr">
        <is>
          <t>Terminal growth (g)</t>
        </is>
      </c>
      <c r="B46" s="63" t="n">
        <v>0.04</v>
      </c>
    </row>
    <row r="47">
      <c r="A47" s="4" t="inlineStr">
        <is>
          <t>Country risk premium</t>
        </is>
      </c>
      <c r="B47" s="63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68" t="n">
        <v>369.4012145996094</v>
      </c>
    </row>
    <row r="49">
      <c r="A49" s="4" t="inlineStr">
        <is>
          <t>Growth fade curvature</t>
        </is>
      </c>
      <c r="B49" s="66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69" t="n">
        <v>0.03</v>
      </c>
      <c r="D52" s="69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69" t="n">
        <v>0.01</v>
      </c>
      <c r="D53" s="69" t="n">
        <v>-0.01</v>
      </c>
    </row>
    <row r="54">
      <c r="A54" s="4" t="inlineStr">
        <is>
          <t>Operating margin, near-term</t>
        </is>
      </c>
      <c r="B54" s="70">
        <f>B29</f>
        <v/>
      </c>
      <c r="C54" s="69" t="n">
        <v>0.01</v>
      </c>
      <c r="D54" s="69" t="n">
        <v>-0.01</v>
      </c>
    </row>
    <row r="55">
      <c r="A55" s="4" t="inlineStr">
        <is>
          <t>Operating margin, terminal</t>
        </is>
      </c>
      <c r="B55" s="70">
        <f>B30</f>
        <v/>
      </c>
      <c r="C55" s="69" t="n">
        <v>0.02</v>
      </c>
      <c r="D55" s="69" t="n">
        <v>-0.02</v>
      </c>
    </row>
    <row r="56">
      <c r="A56" s="4" t="inlineStr">
        <is>
          <t>Exit multiple</t>
        </is>
      </c>
      <c r="B56" s="71">
        <f>B45</f>
        <v/>
      </c>
      <c r="C56" s="72" t="n">
        <v>2</v>
      </c>
      <c r="D56" s="72" t="n">
        <v>-2</v>
      </c>
    </row>
    <row r="57">
      <c r="A57" s="4" t="inlineStr">
        <is>
          <t>Terminal growth (g)</t>
        </is>
      </c>
      <c r="B57" s="70">
        <f>B46</f>
        <v/>
      </c>
      <c r="C57" s="69" t="n">
        <v>0.005</v>
      </c>
      <c r="D57" s="69" t="n">
        <v>-0.005</v>
      </c>
    </row>
    <row r="58">
      <c r="A58" s="3" t="inlineStr">
        <is>
          <t>Fair value / share — Base · Bull · Bear</t>
        </is>
      </c>
      <c r="B58" s="73" t="n">
        <v>349.9664448321424</v>
      </c>
      <c r="C58" s="73" t="n">
        <v>457.8956596885913</v>
      </c>
      <c r="D58" s="73" t="n">
        <v>265.9346102319391</v>
      </c>
    </row>
    <row r="59">
      <c r="A59" s="4" t="inlineStr">
        <is>
          <t>Upside vs current price</t>
        </is>
      </c>
      <c r="B59" s="74">
        <f>IFERROR(B58/$B$48-1,"")</f>
        <v/>
      </c>
      <c r="C59" s="74">
        <f>IFERROR(C58/$B$48-1,"")</f>
        <v/>
      </c>
      <c r="D59" s="74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0.2</v>
      </c>
      <c r="D62" s="30" t="n">
        <v>0.35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63" t="n">
        <v>0.022425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63" t="n">
        <v>0.013455</v>
      </c>
      <c r="E66" s="2" t="inlineStr">
        <is>
          <t>fades near-&gt;terminal; also burdens the exit-multiple EBITDA</t>
        </is>
      </c>
    </row>
  </sheetData>
  <conditionalFormatting sqref="B20:B24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V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Visa is a toll-taker on global electronic payments with a structurally advantaged duopoly network, and its growth is driven by the secular shift from cash to digital plus a cross-border premium that carries the highest-margin International Transaction revenue. Net revenue compounds in the low-teens near term (in line with FMP consensus to ~$45.5B in 2026), then fades toward a mature ~4% rate as digitization penetration matures. Operating margins normalize back to the mid-to-high 60s as the FY2025 dip reverses and operating leverage on a fixed-cost network reasserts.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Treated the FY2025 60% margin as a transitory trough (FY2023-24 ran 64-66%) and set near-term 65% fading up to 67% via operating leverage on a near-zero-incremental-cost network. Modeled Client Incentives as contra-revenue scaling with gross volume so net revenue tracks consensus. Used a Damodaran-style perpetuity at g=4% (~risk-free) with capex converging to ~1.05x D&amp;A given Visa's asset-light maintenance profile.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Data Processing Revenues — near-term growth</t>
        </is>
      </c>
      <c r="B20" t="inlineStr">
        <is>
          <t>B20</t>
        </is>
      </c>
      <c r="C20" s="61">
        <f>Dashboard!B20</f>
        <v/>
      </c>
      <c r="D20" t="inlineStr">
        <is>
          <t>Opus</t>
        </is>
      </c>
      <c r="E20" t="inlineStr">
        <is>
          <t>11.5%</t>
        </is>
      </c>
      <c r="F20" s="31" t="inlineStr"/>
    </row>
    <row r="21">
      <c r="A21" t="inlineStr">
        <is>
          <t>Data Processing Revenues — terminal growth</t>
        </is>
      </c>
      <c r="B21" t="inlineStr">
        <is>
          <t>C20</t>
        </is>
      </c>
      <c r="C21" s="61">
        <f>Dashboard!C20</f>
        <v/>
      </c>
      <c r="D21" t="inlineStr">
        <is>
          <t>Opus</t>
        </is>
      </c>
      <c r="E21" t="inlineStr">
        <is>
          <t>4.0%</t>
        </is>
      </c>
      <c r="F21" s="31" t="inlineStr"/>
    </row>
    <row r="22">
      <c r="A22" t="inlineStr">
        <is>
          <t>Service — near-term growth</t>
        </is>
      </c>
      <c r="B22" t="inlineStr">
        <is>
          <t>B21</t>
        </is>
      </c>
      <c r="C22" s="61">
        <f>Dashboard!B21</f>
        <v/>
      </c>
      <c r="D22" t="inlineStr">
        <is>
          <t>Opus</t>
        </is>
      </c>
      <c r="E22" t="inlineStr">
        <is>
          <t>9.0%</t>
        </is>
      </c>
      <c r="F22" s="31" t="inlineStr"/>
    </row>
    <row r="23">
      <c r="A23" t="inlineStr">
        <is>
          <t>Service — terminal growth</t>
        </is>
      </c>
      <c r="B23" t="inlineStr">
        <is>
          <t>C21</t>
        </is>
      </c>
      <c r="C23" s="61">
        <f>Dashboard!C21</f>
        <v/>
      </c>
      <c r="D23" t="inlineStr">
        <is>
          <t>Opus</t>
        </is>
      </c>
      <c r="E23" t="inlineStr">
        <is>
          <t>4.0%</t>
        </is>
      </c>
      <c r="F23" s="31" t="inlineStr"/>
    </row>
    <row r="24">
      <c r="A24" t="inlineStr">
        <is>
          <t>International Transaction Revenues — near-term growth</t>
        </is>
      </c>
      <c r="B24" t="inlineStr">
        <is>
          <t>B22</t>
        </is>
      </c>
      <c r="C24" s="61">
        <f>Dashboard!B22</f>
        <v/>
      </c>
      <c r="D24" t="inlineStr">
        <is>
          <t>Opus</t>
        </is>
      </c>
      <c r="E24" t="inlineStr">
        <is>
          <t>11.0%</t>
        </is>
      </c>
      <c r="F24" s="31" t="inlineStr"/>
    </row>
    <row r="25">
      <c r="A25" t="inlineStr">
        <is>
          <t>International Transaction Revenues — terminal growth</t>
        </is>
      </c>
      <c r="B25" t="inlineStr">
        <is>
          <t>C22</t>
        </is>
      </c>
      <c r="C25" s="61">
        <f>Dashboard!C22</f>
        <v/>
      </c>
      <c r="D25" t="inlineStr">
        <is>
          <t>Opus</t>
        </is>
      </c>
      <c r="E25" t="inlineStr">
        <is>
          <t>4.0%</t>
        </is>
      </c>
      <c r="F25" s="31" t="inlineStr"/>
    </row>
    <row r="26">
      <c r="A26" t="inlineStr">
        <is>
          <t>Service, Other — near-term growth</t>
        </is>
      </c>
      <c r="B26" t="inlineStr">
        <is>
          <t>B23</t>
        </is>
      </c>
      <c r="C26" s="61">
        <f>Dashboard!B23</f>
        <v/>
      </c>
      <c r="D26" t="inlineStr">
        <is>
          <t>Opus</t>
        </is>
      </c>
      <c r="E26" t="inlineStr">
        <is>
          <t>14.0%</t>
        </is>
      </c>
      <c r="F26" s="31" t="inlineStr"/>
    </row>
    <row r="27">
      <c r="A27" t="inlineStr">
        <is>
          <t>Service, Other — terminal growth</t>
        </is>
      </c>
      <c r="B27" t="inlineStr">
        <is>
          <t>C23</t>
        </is>
      </c>
      <c r="C27" s="61">
        <f>Dashboard!C23</f>
        <v/>
      </c>
      <c r="D27" t="inlineStr">
        <is>
          <t>Opus</t>
        </is>
      </c>
      <c r="E27" t="inlineStr">
        <is>
          <t>4.0%</t>
        </is>
      </c>
      <c r="F27" s="31" t="inlineStr"/>
    </row>
    <row r="28">
      <c r="A28" t="inlineStr">
        <is>
          <t>Client Incentives — near-term growth</t>
        </is>
      </c>
      <c r="B28" t="inlineStr">
        <is>
          <t>B24</t>
        </is>
      </c>
      <c r="C28" s="61">
        <f>Dashboard!B24</f>
        <v/>
      </c>
      <c r="D28" t="inlineStr">
        <is>
          <t>Opus</t>
        </is>
      </c>
      <c r="E28" t="inlineStr">
        <is>
          <t>12.0%</t>
        </is>
      </c>
      <c r="F28" s="31" t="inlineStr"/>
    </row>
    <row r="29">
      <c r="A29" t="inlineStr">
        <is>
          <t>Client Incentives — terminal growth</t>
        </is>
      </c>
      <c r="B29" t="inlineStr">
        <is>
          <t>C24</t>
        </is>
      </c>
      <c r="C29" s="61">
        <f>Dashboard!C24</f>
        <v/>
      </c>
      <c r="D29" t="inlineStr">
        <is>
          <t>Opus</t>
        </is>
      </c>
      <c r="E29" t="inlineStr">
        <is>
          <t>4.0%</t>
        </is>
      </c>
      <c r="F29" s="31" t="inlineStr"/>
    </row>
    <row r="30">
      <c r="A30" t="inlineStr">
        <is>
          <t>Near-term operating margin</t>
        </is>
      </c>
      <c r="B30" t="inlineStr">
        <is>
          <t>B29</t>
        </is>
      </c>
      <c r="C30" s="61">
        <f>Dashboard!B29</f>
        <v/>
      </c>
      <c r="D30" t="inlineStr">
        <is>
          <t>Opus</t>
        </is>
      </c>
      <c r="E30" t="inlineStr">
        <is>
          <t>64.0%</t>
        </is>
      </c>
      <c r="F30" s="31" t="inlineStr"/>
    </row>
    <row r="31">
      <c r="A31" t="inlineStr">
        <is>
          <t>Terminal operating margin</t>
        </is>
      </c>
      <c r="B31" t="inlineStr">
        <is>
          <t>B30</t>
        </is>
      </c>
      <c r="C31" s="61">
        <f>Dashboard!B30</f>
        <v/>
      </c>
      <c r="D31" t="inlineStr">
        <is>
          <t>Opus</t>
        </is>
      </c>
      <c r="E31" t="inlineStr">
        <is>
          <t>66.0%</t>
        </is>
      </c>
      <c r="F31" s="31" t="inlineStr"/>
    </row>
    <row r="32">
      <c r="A32" t="inlineStr">
        <is>
          <t>Tax rate</t>
        </is>
      </c>
      <c r="B32" t="inlineStr">
        <is>
          <t>B31</t>
        </is>
      </c>
      <c r="C32" s="61">
        <f>Dashboard!B31</f>
        <v/>
      </c>
      <c r="D32" t="inlineStr">
        <is>
          <t>Opus</t>
        </is>
      </c>
      <c r="E32" t="inlineStr">
        <is>
          <t>19.0%</t>
        </is>
      </c>
      <c r="F32" s="31" t="inlineStr"/>
    </row>
    <row r="33">
      <c r="A33" t="inlineStr">
        <is>
          <t>Terminal capex / D&amp;A</t>
        </is>
      </c>
      <c r="B33" t="inlineStr">
        <is>
          <t>B35</t>
        </is>
      </c>
      <c r="C33" s="62">
        <f>Dashboard!B35</f>
        <v/>
      </c>
      <c r="D33" t="inlineStr">
        <is>
          <t>Opus</t>
        </is>
      </c>
      <c r="E33" t="inlineStr">
        <is>
          <t>1.1x</t>
        </is>
      </c>
      <c r="F33" s="31" t="inlineStr"/>
    </row>
    <row r="34">
      <c r="A34" t="inlineStr">
        <is>
          <t>Risk-free rate (10Y)</t>
        </is>
      </c>
      <c r="B34" t="inlineStr">
        <is>
          <t>B38</t>
        </is>
      </c>
      <c r="C34" s="61">
        <f>Dashboard!B38</f>
        <v/>
      </c>
      <c r="D34" t="inlineStr">
        <is>
          <t>Opus</t>
        </is>
      </c>
      <c r="E34" t="inlineStr">
        <is>
          <t>4.3%</t>
        </is>
      </c>
      <c r="F34" s="31" t="inlineStr"/>
    </row>
    <row r="35">
      <c r="A35" t="inlineStr">
        <is>
          <t>Equity risk premium</t>
        </is>
      </c>
      <c r="B35" t="inlineStr">
        <is>
          <t>B39</t>
        </is>
      </c>
      <c r="C35" s="61">
        <f>Dashboard!B39</f>
        <v/>
      </c>
      <c r="D35" t="inlineStr">
        <is>
          <t>Opus</t>
        </is>
      </c>
      <c r="E35" t="inlineStr">
        <is>
          <t>4.5%</t>
        </is>
      </c>
      <c r="F35" s="31" t="inlineStr"/>
    </row>
    <row r="36">
      <c r="A36" t="inlineStr">
        <is>
          <t>Beta (levered)</t>
        </is>
      </c>
      <c r="B36" t="inlineStr">
        <is>
          <t>B40</t>
        </is>
      </c>
      <c r="C36" s="75">
        <f>Dashboard!B40</f>
        <v/>
      </c>
      <c r="D36" t="inlineStr">
        <is>
          <t>Opus</t>
        </is>
      </c>
      <c r="E36" t="inlineStr">
        <is>
          <t>0.784</t>
        </is>
      </c>
      <c r="F36" s="31" t="inlineStr"/>
    </row>
    <row r="37">
      <c r="A37" t="inlineStr">
        <is>
          <t>Pre-tax cost of debt</t>
        </is>
      </c>
      <c r="B37" t="inlineStr">
        <is>
          <t>B41</t>
        </is>
      </c>
      <c r="C37" s="61">
        <f>Dashboard!B41</f>
        <v/>
      </c>
      <c r="D37" t="inlineStr">
        <is>
          <t>Opus</t>
        </is>
      </c>
      <c r="E37" t="inlineStr">
        <is>
          <t>4.5%</t>
        </is>
      </c>
      <c r="F37" s="31" t="inlineStr"/>
    </row>
    <row r="38">
      <c r="A38" t="inlineStr">
        <is>
          <t>Terminal method</t>
        </is>
      </c>
      <c r="B38" t="inlineStr">
        <is>
          <t>B43</t>
        </is>
      </c>
      <c r="C38" s="12">
        <f>Dashboard!B43</f>
        <v/>
      </c>
      <c r="D38" t="inlineStr">
        <is>
          <t>Opus</t>
        </is>
      </c>
      <c r="E38" t="inlineStr">
        <is>
          <t>Exit multiple</t>
        </is>
      </c>
      <c r="F38" s="31" t="inlineStr"/>
    </row>
    <row r="39">
      <c r="A39" t="inlineStr">
        <is>
          <t>Exit basis</t>
        </is>
      </c>
      <c r="B39" t="inlineStr">
        <is>
          <t>B44</t>
        </is>
      </c>
      <c r="C39" s="12">
        <f>Dashboard!B44</f>
        <v/>
      </c>
      <c r="D39" t="inlineStr">
        <is>
          <t>Opus</t>
        </is>
      </c>
      <c r="E39" t="inlineStr">
        <is>
          <t>EV/EBIT</t>
        </is>
      </c>
      <c r="F39" s="31" t="inlineStr"/>
    </row>
    <row r="40">
      <c r="A40" t="inlineStr">
        <is>
          <t>Exit multiple</t>
        </is>
      </c>
      <c r="B40" t="inlineStr">
        <is>
          <t>B45</t>
        </is>
      </c>
      <c r="C40" s="62">
        <f>Dashboard!B45</f>
        <v/>
      </c>
      <c r="D40" t="inlineStr">
        <is>
          <t>Opus</t>
        </is>
      </c>
      <c r="E40" t="inlineStr">
        <is>
          <t>19.0x</t>
        </is>
      </c>
      <c r="F40" s="31" t="inlineStr"/>
    </row>
    <row r="41">
      <c r="A41" t="inlineStr">
        <is>
          <t>Terminal growth (g)</t>
        </is>
      </c>
      <c r="B41" t="inlineStr">
        <is>
          <t>B46</t>
        </is>
      </c>
      <c r="C41" s="61">
        <f>Dashboard!B46</f>
        <v/>
      </c>
      <c r="D41" t="inlineStr">
        <is>
          <t>Opus</t>
        </is>
      </c>
      <c r="E41" t="inlineStr">
        <is>
          <t>4.0%</t>
        </is>
      </c>
      <c r="F41" s="31" t="inlineStr"/>
    </row>
    <row r="42">
      <c r="A42" t="inlineStr">
        <is>
          <t>2026 capex ($M)</t>
        </is>
      </c>
      <c r="B42" t="inlineStr">
        <is>
          <t>B34</t>
        </is>
      </c>
      <c r="C42" s="33">
        <f>Dashboard!B34</f>
        <v/>
      </c>
      <c r="D42" t="inlineStr">
        <is>
          <t>Opus</t>
        </is>
      </c>
      <c r="E42" t="inlineStr">
        <is>
          <t>—</t>
        </is>
      </c>
      <c r="F42" s="31" t="inlineStr">
        <is>
          <t>set from Opus 4% of FY1E revenue; edits not tracked (unit differs from the JSON)</t>
        </is>
      </c>
    </row>
    <row r="43">
      <c r="A43" t="inlineStr">
        <is>
          <t>Bull Δ — segment growth, near-term</t>
        </is>
      </c>
      <c r="B43" t="inlineStr">
        <is>
          <t>C52</t>
        </is>
      </c>
      <c r="C43" s="76">
        <f>Dashboard!C52</f>
        <v/>
      </c>
      <c r="D43" t="inlineStr">
        <is>
          <t>seed default</t>
        </is>
      </c>
      <c r="E43" t="inlineStr">
        <is>
          <t>3.0%</t>
        </is>
      </c>
      <c r="F43" s="31" t="inlineStr"/>
    </row>
    <row r="44">
      <c r="A44" t="inlineStr">
        <is>
          <t>Bear Δ — segment growth, near-term</t>
        </is>
      </c>
      <c r="B44" t="inlineStr">
        <is>
          <t>D52</t>
        </is>
      </c>
      <c r="C44" s="76">
        <f>Dashboard!D52</f>
        <v/>
      </c>
      <c r="D44" t="inlineStr">
        <is>
          <t>seed default</t>
        </is>
      </c>
      <c r="E44" t="inlineStr">
        <is>
          <t>-3.0%</t>
        </is>
      </c>
      <c r="F44" s="31" t="inlineStr"/>
    </row>
    <row r="45">
      <c r="A45" t="inlineStr">
        <is>
          <t>Bull Δ — segment growth, terminal</t>
        </is>
      </c>
      <c r="B45" t="inlineStr">
        <is>
          <t>C53</t>
        </is>
      </c>
      <c r="C45" s="76">
        <f>Dashboard!C53</f>
        <v/>
      </c>
      <c r="D45" t="inlineStr">
        <is>
          <t>seed default</t>
        </is>
      </c>
      <c r="E45" t="inlineStr">
        <is>
          <t>1.0%</t>
        </is>
      </c>
      <c r="F45" s="31" t="inlineStr"/>
    </row>
    <row r="46">
      <c r="A46" t="inlineStr">
        <is>
          <t>Bear Δ — segment growth, terminal</t>
        </is>
      </c>
      <c r="B46" t="inlineStr">
        <is>
          <t>D53</t>
        </is>
      </c>
      <c r="C46" s="76">
        <f>Dashboard!D53</f>
        <v/>
      </c>
      <c r="D46" t="inlineStr">
        <is>
          <t>seed default</t>
        </is>
      </c>
      <c r="E46" t="inlineStr">
        <is>
          <t>-1.0%</t>
        </is>
      </c>
      <c r="F46" s="31" t="inlineStr"/>
    </row>
    <row r="47">
      <c r="A47" t="inlineStr">
        <is>
          <t>Bull Δ — operating margin, near-term</t>
        </is>
      </c>
      <c r="B47" t="inlineStr">
        <is>
          <t>C54</t>
        </is>
      </c>
      <c r="C47" s="76">
        <f>Dashboard!C54</f>
        <v/>
      </c>
      <c r="D47" t="inlineStr">
        <is>
          <t>seed default</t>
        </is>
      </c>
      <c r="E47" t="inlineStr">
        <is>
          <t>1.0%</t>
        </is>
      </c>
      <c r="F47" s="31" t="inlineStr"/>
    </row>
    <row r="48">
      <c r="A48" t="inlineStr">
        <is>
          <t>Bear Δ — operating margin, near-term</t>
        </is>
      </c>
      <c r="B48" t="inlineStr">
        <is>
          <t>D54</t>
        </is>
      </c>
      <c r="C48" s="76">
        <f>Dashboard!D54</f>
        <v/>
      </c>
      <c r="D48" t="inlineStr">
        <is>
          <t>seed default</t>
        </is>
      </c>
      <c r="E48" t="inlineStr">
        <is>
          <t>-1.0%</t>
        </is>
      </c>
      <c r="F48" s="31" t="inlineStr"/>
    </row>
    <row r="49">
      <c r="A49" t="inlineStr">
        <is>
          <t>Bull Δ — operating margin, terminal</t>
        </is>
      </c>
      <c r="B49" t="inlineStr">
        <is>
          <t>C55</t>
        </is>
      </c>
      <c r="C49" s="76">
        <f>Dashboard!C55</f>
        <v/>
      </c>
      <c r="D49" t="inlineStr">
        <is>
          <t>seed default</t>
        </is>
      </c>
      <c r="E49" t="inlineStr">
        <is>
          <t>2.0%</t>
        </is>
      </c>
      <c r="F49" s="31" t="inlineStr"/>
    </row>
    <row r="50">
      <c r="A50" t="inlineStr">
        <is>
          <t>Bear Δ — operating margin, terminal</t>
        </is>
      </c>
      <c r="B50" t="inlineStr">
        <is>
          <t>D55</t>
        </is>
      </c>
      <c r="C50" s="76">
        <f>Dashboard!D55</f>
        <v/>
      </c>
      <c r="D50" t="inlineStr">
        <is>
          <t>seed default</t>
        </is>
      </c>
      <c r="E50" t="inlineStr">
        <is>
          <t>-2.0%</t>
        </is>
      </c>
      <c r="F50" s="31" t="inlineStr"/>
    </row>
    <row r="51">
      <c r="A51" t="inlineStr">
        <is>
          <t>Bull Δ — exit multiple</t>
        </is>
      </c>
      <c r="B51" t="inlineStr">
        <is>
          <t>C56</t>
        </is>
      </c>
      <c r="C51" s="77">
        <f>Dashboard!C56</f>
        <v/>
      </c>
      <c r="D51" t="inlineStr">
        <is>
          <t>seed default</t>
        </is>
      </c>
      <c r="E51" t="inlineStr">
        <is>
          <t>2.0x</t>
        </is>
      </c>
      <c r="F51" s="31" t="inlineStr"/>
    </row>
    <row r="52">
      <c r="A52" t="inlineStr">
        <is>
          <t>Bear Δ — exit multiple</t>
        </is>
      </c>
      <c r="B52" t="inlineStr">
        <is>
          <t>D56</t>
        </is>
      </c>
      <c r="C52" s="77">
        <f>Dashboard!D56</f>
        <v/>
      </c>
      <c r="D52" t="inlineStr">
        <is>
          <t>seed default</t>
        </is>
      </c>
      <c r="E52" t="inlineStr">
        <is>
          <t>-2.0x</t>
        </is>
      </c>
      <c r="F52" s="31" t="inlineStr"/>
    </row>
    <row r="53">
      <c r="A53" t="inlineStr">
        <is>
          <t>Bull Δ — terminal growth (g)</t>
        </is>
      </c>
      <c r="B53" t="inlineStr">
        <is>
          <t>C57</t>
        </is>
      </c>
      <c r="C53" s="76">
        <f>Dashboard!C57</f>
        <v/>
      </c>
      <c r="D53" t="inlineStr">
        <is>
          <t>seed default</t>
        </is>
      </c>
      <c r="E53" t="inlineStr">
        <is>
          <t>0.5%</t>
        </is>
      </c>
      <c r="F53" s="31" t="inlineStr"/>
    </row>
    <row r="54">
      <c r="A54" t="inlineStr">
        <is>
          <t>Bear Δ — terminal growth (g)</t>
        </is>
      </c>
      <c r="B54" t="inlineStr">
        <is>
          <t>D57</t>
        </is>
      </c>
      <c r="C54" s="76">
        <f>Dashboard!D57</f>
        <v/>
      </c>
      <c r="D54" t="inlineStr">
        <is>
          <t>seed default</t>
        </is>
      </c>
      <c r="E54" t="inlineStr">
        <is>
          <t>-0.5%</t>
        </is>
      </c>
      <c r="F54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61">
        <f>Dashboard!$B$38</f>
        <v/>
      </c>
    </row>
    <row r="3">
      <c r="A3" s="4" t="inlineStr">
        <is>
          <t>Equity risk premium</t>
        </is>
      </c>
      <c r="B3" s="61">
        <f>Dashboard!$B$39</f>
        <v/>
      </c>
    </row>
    <row r="4">
      <c r="A4" s="4" t="inlineStr">
        <is>
          <t>Beta (levered)</t>
        </is>
      </c>
      <c r="B4" s="75">
        <f>Dashboard!$B$40</f>
        <v/>
      </c>
    </row>
    <row r="5">
      <c r="A5" s="4" t="inlineStr">
        <is>
          <t>Country risk premium</t>
        </is>
      </c>
      <c r="B5" s="61">
        <f>Dashboard!$B$47</f>
        <v/>
      </c>
    </row>
    <row r="6">
      <c r="A6" s="4" t="inlineStr">
        <is>
          <t>Cost of equity (CAPM)</t>
        </is>
      </c>
      <c r="B6" s="70">
        <f>B2+B4*B3+B5</f>
        <v/>
      </c>
    </row>
    <row r="7">
      <c r="A7" s="4" t="inlineStr">
        <is>
          <t>Pre-tax cost of debt</t>
        </is>
      </c>
      <c r="B7" s="61">
        <f>Dashboard!$B$41</f>
        <v/>
      </c>
    </row>
    <row r="8">
      <c r="A8" s="4" t="inlineStr">
        <is>
          <t>Tax rate</t>
        </is>
      </c>
      <c r="B8" s="61">
        <f>Dashboard!$B$31</f>
        <v/>
      </c>
    </row>
    <row r="9">
      <c r="A9" s="4" t="inlineStr">
        <is>
          <t>After-tax cost of debt</t>
        </is>
      </c>
      <c r="B9" s="70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Financials!AC47</f>
        <v/>
      </c>
    </row>
    <row r="12">
      <c r="A12" s="4" t="inlineStr">
        <is>
          <t>Equity weight</t>
        </is>
      </c>
      <c r="B12" s="70">
        <f>B10/(B10+B11)</f>
        <v/>
      </c>
    </row>
    <row r="13">
      <c r="A13" s="4" t="inlineStr">
        <is>
          <t>Debt weight</t>
        </is>
      </c>
      <c r="B13" s="70">
        <f>B11/(B10+B11)</f>
        <v/>
      </c>
    </row>
    <row r="15">
      <c r="A15" s="3" t="inlineStr">
        <is>
          <t>WACC</t>
        </is>
      </c>
      <c r="B15" s="7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Data Processing Revenues</t>
        </is>
      </c>
      <c r="B4" s="33">
        <f>SUM(Financials!H19:K19)</f>
        <v/>
      </c>
      <c r="C4" s="33">
        <f>SUM(Financials!L19:O19)</f>
        <v/>
      </c>
      <c r="D4" s="33">
        <f>SUM(Financials!P19:S19)</f>
        <v/>
      </c>
      <c r="E4" s="33">
        <f>SUM(Financials!T19:W19)</f>
        <v/>
      </c>
      <c r="F4" s="33">
        <f>SUM(Financials!X19:AA19)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70">
        <f>IFERROR(C4/B4-1,"")</f>
        <v/>
      </c>
      <c r="D5" s="70">
        <f>IFERROR(D4/C4-1,"")</f>
        <v/>
      </c>
      <c r="E5" s="70">
        <f>IFERROR(E4/D4-1,"")</f>
        <v/>
      </c>
      <c r="F5" s="70">
        <f>IFERROR(F4/E4-1,"")</f>
        <v/>
      </c>
      <c r="G5" s="61">
        <f>Dashboard!$C$20+(Dashboard!$B$20-Dashboard!$C$20)*((9-0)/9)^Dashboard!$B$49</f>
        <v/>
      </c>
      <c r="H5" s="61">
        <f>Dashboard!$C$20+(Dashboard!$B$20-Dashboard!$C$20)*((9-1)/9)^Dashboard!$B$49</f>
        <v/>
      </c>
      <c r="I5" s="61">
        <f>Dashboard!$C$20+(Dashboard!$B$20-Dashboard!$C$20)*((9-2)/9)^Dashboard!$B$49</f>
        <v/>
      </c>
      <c r="J5" s="61">
        <f>Dashboard!$C$20+(Dashboard!$B$20-Dashboard!$C$20)*((9-3)/9)^Dashboard!$B$49</f>
        <v/>
      </c>
      <c r="K5" s="61">
        <f>Dashboard!$C$20+(Dashboard!$B$20-Dashboard!$C$20)*((9-4)/9)^Dashboard!$B$49</f>
        <v/>
      </c>
      <c r="L5" s="61">
        <f>Dashboard!$C$20+(Dashboard!$B$20-Dashboard!$C$20)*((9-5)/9)^Dashboard!$B$49</f>
        <v/>
      </c>
      <c r="M5" s="61">
        <f>Dashboard!$C$20+(Dashboard!$B$20-Dashboard!$C$20)*((9-6)/9)^Dashboard!$B$49</f>
        <v/>
      </c>
      <c r="N5" s="61">
        <f>Dashboard!$C$20+(Dashboard!$B$20-Dashboard!$C$20)*((9-7)/9)^Dashboard!$B$49</f>
        <v/>
      </c>
      <c r="O5" s="61">
        <f>Dashboard!$C$20+(Dashboard!$B$20-Dashboard!$C$20)*((9-8)/9)^Dashboard!$B$49</f>
        <v/>
      </c>
      <c r="P5" s="61">
        <f>Dashboard!$C$20+(Dashboard!$B$20-Dashboard!$C$20)*((9-9)/9)^Dashboard!$B$49</f>
        <v/>
      </c>
    </row>
    <row r="6">
      <c r="A6" s="4" t="inlineStr">
        <is>
          <t>Service</t>
        </is>
      </c>
      <c r="B6" s="33">
        <f>SUM(Financials!H22:K22)</f>
        <v/>
      </c>
      <c r="C6" s="33">
        <f>SUM(Financials!L22:O22)</f>
        <v/>
      </c>
      <c r="D6" s="33">
        <f>SUM(Financials!P22:S22)</f>
        <v/>
      </c>
      <c r="E6" s="33">
        <f>SUM(Financials!T22:W22)</f>
        <v/>
      </c>
      <c r="F6" s="33">
        <f>SUM(Financials!X22:AA22)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70">
        <f>IFERROR(C6/B6-1,"")</f>
        <v/>
      </c>
      <c r="D7" s="70">
        <f>IFERROR(D6/C6-1,"")</f>
        <v/>
      </c>
      <c r="E7" s="70">
        <f>IFERROR(E6/D6-1,"")</f>
        <v/>
      </c>
      <c r="F7" s="70">
        <f>IFERROR(F6/E6-1,"")</f>
        <v/>
      </c>
      <c r="G7" s="61">
        <f>Dashboard!$C$21+(Dashboard!$B$21-Dashboard!$C$21)*((9-0)/9)^Dashboard!$B$49</f>
        <v/>
      </c>
      <c r="H7" s="61">
        <f>Dashboard!$C$21+(Dashboard!$B$21-Dashboard!$C$21)*((9-1)/9)^Dashboard!$B$49</f>
        <v/>
      </c>
      <c r="I7" s="61">
        <f>Dashboard!$C$21+(Dashboard!$B$21-Dashboard!$C$21)*((9-2)/9)^Dashboard!$B$49</f>
        <v/>
      </c>
      <c r="J7" s="61">
        <f>Dashboard!$C$21+(Dashboard!$B$21-Dashboard!$C$21)*((9-3)/9)^Dashboard!$B$49</f>
        <v/>
      </c>
      <c r="K7" s="61">
        <f>Dashboard!$C$21+(Dashboard!$B$21-Dashboard!$C$21)*((9-4)/9)^Dashboard!$B$49</f>
        <v/>
      </c>
      <c r="L7" s="61">
        <f>Dashboard!$C$21+(Dashboard!$B$21-Dashboard!$C$21)*((9-5)/9)^Dashboard!$B$49</f>
        <v/>
      </c>
      <c r="M7" s="61">
        <f>Dashboard!$C$21+(Dashboard!$B$21-Dashboard!$C$21)*((9-6)/9)^Dashboard!$B$49</f>
        <v/>
      </c>
      <c r="N7" s="61">
        <f>Dashboard!$C$21+(Dashboard!$B$21-Dashboard!$C$21)*((9-7)/9)^Dashboard!$B$49</f>
        <v/>
      </c>
      <c r="O7" s="61">
        <f>Dashboard!$C$21+(Dashboard!$B$21-Dashboard!$C$21)*((9-8)/9)^Dashboard!$B$49</f>
        <v/>
      </c>
      <c r="P7" s="61">
        <f>Dashboard!$C$21+(Dashboard!$B$21-Dashboard!$C$21)*((9-9)/9)^Dashboard!$B$49</f>
        <v/>
      </c>
    </row>
    <row r="8">
      <c r="A8" s="4" t="inlineStr">
        <is>
          <t>International Transaction Revenues</t>
        </is>
      </c>
      <c r="B8" s="33">
        <f>SUM(Financials!H25:K25)</f>
        <v/>
      </c>
      <c r="C8" s="33">
        <f>SUM(Financials!L25:O25)</f>
        <v/>
      </c>
      <c r="D8" s="33">
        <f>SUM(Financials!P25:S25)</f>
        <v/>
      </c>
      <c r="E8" s="33">
        <f>SUM(Financials!T25:W25)</f>
        <v/>
      </c>
      <c r="F8" s="33">
        <f>SUM(Financials!X25:AA25)</f>
        <v/>
      </c>
      <c r="G8" s="41">
        <f>F8*(1+G9)</f>
        <v/>
      </c>
      <c r="H8" s="41">
        <f>G8*(1+H9)</f>
        <v/>
      </c>
      <c r="I8" s="41">
        <f>H8*(1+I9)</f>
        <v/>
      </c>
      <c r="J8" s="41">
        <f>I8*(1+J9)</f>
        <v/>
      </c>
      <c r="K8" s="41">
        <f>J8*(1+K9)</f>
        <v/>
      </c>
      <c r="L8" s="41">
        <f>K8*(1+L9)</f>
        <v/>
      </c>
      <c r="M8" s="41">
        <f>L8*(1+M9)</f>
        <v/>
      </c>
      <c r="N8" s="41">
        <f>M8*(1+N9)</f>
        <v/>
      </c>
      <c r="O8" s="41">
        <f>N8*(1+O9)</f>
        <v/>
      </c>
      <c r="P8" s="41">
        <f>O8*(1+P9)</f>
        <v/>
      </c>
    </row>
    <row r="9">
      <c r="A9" s="4" t="inlineStr">
        <is>
          <t xml:space="preserve">    growth % (convex fade; curvature from Dashboard)</t>
        </is>
      </c>
      <c r="C9" s="70">
        <f>IFERROR(C8/B8-1,"")</f>
        <v/>
      </c>
      <c r="D9" s="70">
        <f>IFERROR(D8/C8-1,"")</f>
        <v/>
      </c>
      <c r="E9" s="70">
        <f>IFERROR(E8/D8-1,"")</f>
        <v/>
      </c>
      <c r="F9" s="70">
        <f>IFERROR(F8/E8-1,"")</f>
        <v/>
      </c>
      <c r="G9" s="61">
        <f>Dashboard!$C$22+(Dashboard!$B$22-Dashboard!$C$22)*((9-0)/9)^Dashboard!$B$49</f>
        <v/>
      </c>
      <c r="H9" s="61">
        <f>Dashboard!$C$22+(Dashboard!$B$22-Dashboard!$C$22)*((9-1)/9)^Dashboard!$B$49</f>
        <v/>
      </c>
      <c r="I9" s="61">
        <f>Dashboard!$C$22+(Dashboard!$B$22-Dashboard!$C$22)*((9-2)/9)^Dashboard!$B$49</f>
        <v/>
      </c>
      <c r="J9" s="61">
        <f>Dashboard!$C$22+(Dashboard!$B$22-Dashboard!$C$22)*((9-3)/9)^Dashboard!$B$49</f>
        <v/>
      </c>
      <c r="K9" s="61">
        <f>Dashboard!$C$22+(Dashboard!$B$22-Dashboard!$C$22)*((9-4)/9)^Dashboard!$B$49</f>
        <v/>
      </c>
      <c r="L9" s="61">
        <f>Dashboard!$C$22+(Dashboard!$B$22-Dashboard!$C$22)*((9-5)/9)^Dashboard!$B$49</f>
        <v/>
      </c>
      <c r="M9" s="61">
        <f>Dashboard!$C$22+(Dashboard!$B$22-Dashboard!$C$22)*((9-6)/9)^Dashboard!$B$49</f>
        <v/>
      </c>
      <c r="N9" s="61">
        <f>Dashboard!$C$22+(Dashboard!$B$22-Dashboard!$C$22)*((9-7)/9)^Dashboard!$B$49</f>
        <v/>
      </c>
      <c r="O9" s="61">
        <f>Dashboard!$C$22+(Dashboard!$B$22-Dashboard!$C$22)*((9-8)/9)^Dashboard!$B$49</f>
        <v/>
      </c>
      <c r="P9" s="61">
        <f>Dashboard!$C$22+(Dashboard!$B$22-Dashboard!$C$22)*((9-9)/9)^Dashboard!$B$49</f>
        <v/>
      </c>
    </row>
    <row r="10">
      <c r="A10" s="4" t="inlineStr">
        <is>
          <t>Service, Other</t>
        </is>
      </c>
      <c r="B10" s="33">
        <f>SUM(Financials!H28:K28)</f>
        <v/>
      </c>
      <c r="C10" s="33">
        <f>SUM(Financials!L28:O28)</f>
        <v/>
      </c>
      <c r="D10" s="33">
        <f>SUM(Financials!P28:S28)</f>
        <v/>
      </c>
      <c r="E10" s="33">
        <f>SUM(Financials!T28:W28)</f>
        <v/>
      </c>
      <c r="F10" s="33">
        <f>SUM(Financials!X28:AA28)</f>
        <v/>
      </c>
      <c r="G10" s="41">
        <f>F10*(1+G11)</f>
        <v/>
      </c>
      <c r="H10" s="41">
        <f>G10*(1+H11)</f>
        <v/>
      </c>
      <c r="I10" s="41">
        <f>H10*(1+I11)</f>
        <v/>
      </c>
      <c r="J10" s="41">
        <f>I10*(1+J11)</f>
        <v/>
      </c>
      <c r="K10" s="41">
        <f>J10*(1+K11)</f>
        <v/>
      </c>
      <c r="L10" s="41">
        <f>K10*(1+L11)</f>
        <v/>
      </c>
      <c r="M10" s="41">
        <f>L10*(1+M11)</f>
        <v/>
      </c>
      <c r="N10" s="41">
        <f>M10*(1+N11)</f>
        <v/>
      </c>
      <c r="O10" s="41">
        <f>N10*(1+O11)</f>
        <v/>
      </c>
      <c r="P10" s="41">
        <f>O10*(1+P11)</f>
        <v/>
      </c>
    </row>
    <row r="11">
      <c r="A11" s="4" t="inlineStr">
        <is>
          <t xml:space="preserve">    growth % (convex fade; curvature from Dashboard)</t>
        </is>
      </c>
      <c r="C11" s="70">
        <f>IFERROR(C10/B10-1,"")</f>
        <v/>
      </c>
      <c r="D11" s="70">
        <f>IFERROR(D10/C10-1,"")</f>
        <v/>
      </c>
      <c r="E11" s="70">
        <f>IFERROR(E10/D10-1,"")</f>
        <v/>
      </c>
      <c r="F11" s="70">
        <f>IFERROR(F10/E10-1,"")</f>
        <v/>
      </c>
      <c r="G11" s="61">
        <f>Dashboard!$C$23+(Dashboard!$B$23-Dashboard!$C$23)*((9-0)/9)^Dashboard!$B$49</f>
        <v/>
      </c>
      <c r="H11" s="61">
        <f>Dashboard!$C$23+(Dashboard!$B$23-Dashboard!$C$23)*((9-1)/9)^Dashboard!$B$49</f>
        <v/>
      </c>
      <c r="I11" s="61">
        <f>Dashboard!$C$23+(Dashboard!$B$23-Dashboard!$C$23)*((9-2)/9)^Dashboard!$B$49</f>
        <v/>
      </c>
      <c r="J11" s="61">
        <f>Dashboard!$C$23+(Dashboard!$B$23-Dashboard!$C$23)*((9-3)/9)^Dashboard!$B$49</f>
        <v/>
      </c>
      <c r="K11" s="61">
        <f>Dashboard!$C$23+(Dashboard!$B$23-Dashboard!$C$23)*((9-4)/9)^Dashboard!$B$49</f>
        <v/>
      </c>
      <c r="L11" s="61">
        <f>Dashboard!$C$23+(Dashboard!$B$23-Dashboard!$C$23)*((9-5)/9)^Dashboard!$B$49</f>
        <v/>
      </c>
      <c r="M11" s="61">
        <f>Dashboard!$C$23+(Dashboard!$B$23-Dashboard!$C$23)*((9-6)/9)^Dashboard!$B$49</f>
        <v/>
      </c>
      <c r="N11" s="61">
        <f>Dashboard!$C$23+(Dashboard!$B$23-Dashboard!$C$23)*((9-7)/9)^Dashboard!$B$49</f>
        <v/>
      </c>
      <c r="O11" s="61">
        <f>Dashboard!$C$23+(Dashboard!$B$23-Dashboard!$C$23)*((9-8)/9)^Dashboard!$B$49</f>
        <v/>
      </c>
      <c r="P11" s="61">
        <f>Dashboard!$C$23+(Dashboard!$B$23-Dashboard!$C$23)*((9-9)/9)^Dashboard!$B$49</f>
        <v/>
      </c>
    </row>
    <row r="12">
      <c r="A12" s="4" t="inlineStr">
        <is>
          <t>Client Incentives</t>
        </is>
      </c>
      <c r="B12" s="33">
        <f>SUM(Financials!H31:K31)</f>
        <v/>
      </c>
      <c r="C12" s="33">
        <f>SUM(Financials!L31:O31)</f>
        <v/>
      </c>
      <c r="D12" s="33">
        <f>SUM(Financials!P31:S31)</f>
        <v/>
      </c>
      <c r="E12" s="33">
        <f>SUM(Financials!T31:W31)</f>
        <v/>
      </c>
      <c r="F12" s="33">
        <f>SUM(Financials!X31:AA31)</f>
        <v/>
      </c>
      <c r="G12" s="41">
        <f>F12*(1+G13)</f>
        <v/>
      </c>
      <c r="H12" s="41">
        <f>G12*(1+H13)</f>
        <v/>
      </c>
      <c r="I12" s="41">
        <f>H12*(1+I13)</f>
        <v/>
      </c>
      <c r="J12" s="41">
        <f>I12*(1+J13)</f>
        <v/>
      </c>
      <c r="K12" s="41">
        <f>J12*(1+K13)</f>
        <v/>
      </c>
      <c r="L12" s="41">
        <f>K12*(1+L13)</f>
        <v/>
      </c>
      <c r="M12" s="41">
        <f>L12*(1+M13)</f>
        <v/>
      </c>
      <c r="N12" s="41">
        <f>M12*(1+N13)</f>
        <v/>
      </c>
      <c r="O12" s="41">
        <f>N12*(1+O13)</f>
        <v/>
      </c>
      <c r="P12" s="41">
        <f>O12*(1+P13)</f>
        <v/>
      </c>
    </row>
    <row r="13">
      <c r="A13" s="4" t="inlineStr">
        <is>
          <t xml:space="preserve">    growth % (convex fade; curvature from Dashboard)</t>
        </is>
      </c>
      <c r="C13" s="70">
        <f>IFERROR(C12/B12-1,"")</f>
        <v/>
      </c>
      <c r="D13" s="70">
        <f>IFERROR(D12/C12-1,"")</f>
        <v/>
      </c>
      <c r="E13" s="70">
        <f>IFERROR(E12/D12-1,"")</f>
        <v/>
      </c>
      <c r="F13" s="70">
        <f>IFERROR(F12/E12-1,"")</f>
        <v/>
      </c>
      <c r="G13" s="61">
        <f>Dashboard!$C$24+(Dashboard!$B$24-Dashboard!$C$24)*((9-0)/9)^Dashboard!$B$49</f>
        <v/>
      </c>
      <c r="H13" s="61">
        <f>Dashboard!$C$24+(Dashboard!$B$24-Dashboard!$C$24)*((9-1)/9)^Dashboard!$B$49</f>
        <v/>
      </c>
      <c r="I13" s="61">
        <f>Dashboard!$C$24+(Dashboard!$B$24-Dashboard!$C$24)*((9-2)/9)^Dashboard!$B$49</f>
        <v/>
      </c>
      <c r="J13" s="61">
        <f>Dashboard!$C$24+(Dashboard!$B$24-Dashboard!$C$24)*((9-3)/9)^Dashboard!$B$49</f>
        <v/>
      </c>
      <c r="K13" s="61">
        <f>Dashboard!$C$24+(Dashboard!$B$24-Dashboard!$C$24)*((9-4)/9)^Dashboard!$B$49</f>
        <v/>
      </c>
      <c r="L13" s="61">
        <f>Dashboard!$C$24+(Dashboard!$B$24-Dashboard!$C$24)*((9-5)/9)^Dashboard!$B$49</f>
        <v/>
      </c>
      <c r="M13" s="61">
        <f>Dashboard!$C$24+(Dashboard!$B$24-Dashboard!$C$24)*((9-6)/9)^Dashboard!$B$49</f>
        <v/>
      </c>
      <c r="N13" s="61">
        <f>Dashboard!$C$24+(Dashboard!$B$24-Dashboard!$C$24)*((9-7)/9)^Dashboard!$B$49</f>
        <v/>
      </c>
      <c r="O13" s="61">
        <f>Dashboard!$C$24+(Dashboard!$B$24-Dashboard!$C$24)*((9-8)/9)^Dashboard!$B$49</f>
        <v/>
      </c>
      <c r="P13" s="61">
        <f>Dashboard!$C$24+(Dashboard!$B$24-Dashboard!$C$24)*((9-9)/9)^Dashboard!$B$49</f>
        <v/>
      </c>
    </row>
    <row r="14">
      <c r="A14" s="3" t="inlineStr">
        <is>
          <t>Total revenue</t>
        </is>
      </c>
      <c r="B14" s="42">
        <f>B4+B6+B8+B10+B12</f>
        <v/>
      </c>
      <c r="C14" s="42">
        <f>C4+C6+C8+C10+C12</f>
        <v/>
      </c>
      <c r="D14" s="42">
        <f>D4+D6+D8+D10+D12</f>
        <v/>
      </c>
      <c r="E14" s="42">
        <f>E4+E6+E8+E10+E12</f>
        <v/>
      </c>
      <c r="F14" s="42">
        <f>F4+F6+F8+F10+F12</f>
        <v/>
      </c>
      <c r="G14" s="42">
        <f>G4+G6+G8+G10+G12</f>
        <v/>
      </c>
      <c r="H14" s="42">
        <f>H4+H6+H8+H10+H12</f>
        <v/>
      </c>
      <c r="I14" s="42">
        <f>I4+I6+I8+I10+I12</f>
        <v/>
      </c>
      <c r="J14" s="42">
        <f>J4+J6+J8+J10+J12</f>
        <v/>
      </c>
      <c r="K14" s="42">
        <f>K4+K6+K8+K10+K12</f>
        <v/>
      </c>
      <c r="L14" s="42">
        <f>L4+L6+L8+L10+L12</f>
        <v/>
      </c>
      <c r="M14" s="42">
        <f>M4+M6+M8+M10+M12</f>
        <v/>
      </c>
      <c r="N14" s="42">
        <f>N4+N6+N8+N10+N12</f>
        <v/>
      </c>
      <c r="O14" s="42">
        <f>O4+O6+O8+O10+O12</f>
        <v/>
      </c>
      <c r="P14" s="42">
        <f>P4+P6+P8+P10+P12</f>
        <v/>
      </c>
    </row>
    <row r="15">
      <c r="A15" s="4" t="inlineStr">
        <is>
          <t xml:space="preserve">    growth %</t>
        </is>
      </c>
      <c r="C15" s="70">
        <f>IFERROR(C14/B14-1,"")</f>
        <v/>
      </c>
      <c r="D15" s="70">
        <f>IFERROR(D14/C14-1,"")</f>
        <v/>
      </c>
      <c r="E15" s="70">
        <f>IFERROR(E14/D14-1,"")</f>
        <v/>
      </c>
      <c r="F15" s="70">
        <f>IFERROR(F14/E14-1,"")</f>
        <v/>
      </c>
      <c r="G15" s="70">
        <f>IFERROR(G14/F14-1,"")</f>
        <v/>
      </c>
      <c r="H15" s="70">
        <f>IFERROR(H14/G14-1,"")</f>
        <v/>
      </c>
      <c r="I15" s="70">
        <f>IFERROR(I14/H14-1,"")</f>
        <v/>
      </c>
      <c r="J15" s="70">
        <f>IFERROR(J14/I14-1,"")</f>
        <v/>
      </c>
      <c r="K15" s="70">
        <f>IFERROR(K14/J14-1,"")</f>
        <v/>
      </c>
      <c r="L15" s="70">
        <f>IFERROR(L14/K14-1,"")</f>
        <v/>
      </c>
      <c r="M15" s="70">
        <f>IFERROR(M14/L14-1,"")</f>
        <v/>
      </c>
      <c r="N15" s="70">
        <f>IFERROR(N14/M14-1,"")</f>
        <v/>
      </c>
      <c r="O15" s="70">
        <f>IFERROR(O14/N14-1,"")</f>
        <v/>
      </c>
      <c r="P15" s="70">
        <f>IFERROR(P14/O14-1,"")</f>
        <v/>
      </c>
    </row>
    <row r="17">
      <c r="A17" s="5" t="inlineStr">
        <is>
          <t xml:space="preserve">  COST STRUCTURE (yellow = % of revenue)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4" t="inlineStr">
        <is>
          <t>Cost of revenue</t>
        </is>
      </c>
      <c r="B18" s="33">
        <f>SUM(Financials!H5:K5)</f>
        <v/>
      </c>
      <c r="C18" s="33">
        <f>SUM(Financials!L5:O5)</f>
        <v/>
      </c>
      <c r="D18" s="33">
        <f>SUM(Financials!P5:S5)</f>
        <v/>
      </c>
      <c r="E18" s="33">
        <f>SUM(Financials!T5:W5)</f>
        <v/>
      </c>
      <c r="F18" s="33">
        <f>SUM(Financials!X5:AA5)</f>
        <v/>
      </c>
      <c r="G18" s="41">
        <f>G14*G19</f>
        <v/>
      </c>
      <c r="H18" s="41">
        <f>H14*H19</f>
        <v/>
      </c>
      <c r="I18" s="41">
        <f>I14*I19</f>
        <v/>
      </c>
      <c r="J18" s="41">
        <f>J14*J19</f>
        <v/>
      </c>
      <c r="K18" s="41">
        <f>K14*K19</f>
        <v/>
      </c>
      <c r="L18" s="41">
        <f>L14*L19</f>
        <v/>
      </c>
      <c r="M18" s="41">
        <f>M14*M19</f>
        <v/>
      </c>
      <c r="N18" s="41">
        <f>N14*N19</f>
        <v/>
      </c>
      <c r="O18" s="41">
        <f>O14*O19</f>
        <v/>
      </c>
      <c r="P18" s="41">
        <f>P14*P19</f>
        <v/>
      </c>
    </row>
    <row r="19">
      <c r="A19" s="4" t="inlineStr">
        <is>
          <t xml:space="preserve">    % of revenue</t>
        </is>
      </c>
      <c r="B19" s="70">
        <f>IFERROR(B18/B14,"")</f>
        <v/>
      </c>
      <c r="C19" s="70">
        <f>IFERROR(C18/C14,"")</f>
        <v/>
      </c>
      <c r="D19" s="70">
        <f>IFERROR(D18/D14,"")</f>
        <v/>
      </c>
      <c r="E19" s="70">
        <f>IFERROR(E18/E14,"")</f>
        <v/>
      </c>
      <c r="F19" s="70">
        <f>IFERROR(F18/F14,"")</f>
        <v/>
      </c>
      <c r="G19" s="63" t="n">
        <v>0.196375</v>
      </c>
      <c r="H19" s="63" t="n">
        <v>0.196375</v>
      </c>
      <c r="I19" s="63" t="n">
        <v>0.196375</v>
      </c>
      <c r="J19" s="63" t="n">
        <v>0.196375</v>
      </c>
      <c r="K19" s="63" t="n">
        <v>0.196375</v>
      </c>
      <c r="L19" s="63" t="n">
        <v>0.196375</v>
      </c>
      <c r="M19" s="63" t="n">
        <v>0.196375</v>
      </c>
      <c r="N19" s="63" t="n">
        <v>0.196375</v>
      </c>
      <c r="O19" s="63" t="n">
        <v>0.196375</v>
      </c>
      <c r="P19" s="63" t="n">
        <v>0.196375</v>
      </c>
    </row>
    <row r="20">
      <c r="A20" s="4" t="inlineStr">
        <is>
          <t>R&amp;D / Technology</t>
        </is>
      </c>
      <c r="B20" s="33">
        <f>SUM(Financials!H7:K7)</f>
        <v/>
      </c>
      <c r="C20" s="33">
        <f>SUM(Financials!L7:O7)</f>
        <v/>
      </c>
      <c r="D20" s="33">
        <f>SUM(Financials!P7:S7)</f>
        <v/>
      </c>
      <c r="E20" s="33">
        <f>SUM(Financials!T7:W7)</f>
        <v/>
      </c>
      <c r="F20" s="33">
        <f>SUM(Financials!X7:AA7)</f>
        <v/>
      </c>
      <c r="G20" s="41">
        <f>G14*G21</f>
        <v/>
      </c>
      <c r="H20" s="41">
        <f>H14*H21</f>
        <v/>
      </c>
      <c r="I20" s="41">
        <f>I14*I21</f>
        <v/>
      </c>
      <c r="J20" s="41">
        <f>J14*J21</f>
        <v/>
      </c>
      <c r="K20" s="41">
        <f>K14*K21</f>
        <v/>
      </c>
      <c r="L20" s="41">
        <f>L14*L21</f>
        <v/>
      </c>
      <c r="M20" s="41">
        <f>M14*M21</f>
        <v/>
      </c>
      <c r="N20" s="41">
        <f>N14*N21</f>
        <v/>
      </c>
      <c r="O20" s="41">
        <f>O14*O21</f>
        <v/>
      </c>
      <c r="P20" s="41">
        <f>P14*P21</f>
        <v/>
      </c>
    </row>
    <row r="21">
      <c r="A21" s="4" t="inlineStr">
        <is>
          <t xml:space="preserve">    % of revenue</t>
        </is>
      </c>
      <c r="B21" s="70">
        <f>IFERROR(B20/B14,"")</f>
        <v/>
      </c>
      <c r="C21" s="70">
        <f>IFERROR(C20/C14,"")</f>
        <v/>
      </c>
      <c r="D21" s="70">
        <f>IFERROR(D20/D14,"")</f>
        <v/>
      </c>
      <c r="E21" s="70">
        <f>IFERROR(E20/E14,"")</f>
        <v/>
      </c>
      <c r="F21" s="70">
        <f>IFERROR(F20/F14,"")</f>
        <v/>
      </c>
      <c r="G21" s="63" t="n">
        <v>0</v>
      </c>
      <c r="H21" s="63" t="n">
        <v>0</v>
      </c>
      <c r="I21" s="63" t="n">
        <v>0</v>
      </c>
      <c r="J21" s="63" t="n">
        <v>0</v>
      </c>
      <c r="K21" s="63" t="n">
        <v>0</v>
      </c>
      <c r="L21" s="63" t="n">
        <v>0</v>
      </c>
      <c r="M21" s="63" t="n">
        <v>0</v>
      </c>
      <c r="N21" s="63" t="n">
        <v>0</v>
      </c>
      <c r="O21" s="63" t="n">
        <v>0</v>
      </c>
      <c r="P21" s="63" t="n">
        <v>0</v>
      </c>
    </row>
    <row r="22">
      <c r="A22" s="4" t="inlineStr">
        <is>
          <t>SG&amp;A</t>
        </is>
      </c>
      <c r="B22" s="33">
        <f>SUM(Financials!H9:K9)</f>
        <v/>
      </c>
      <c r="C22" s="33">
        <f>SUM(Financials!L9:O9)</f>
        <v/>
      </c>
      <c r="D22" s="33">
        <f>SUM(Financials!P9:S9)</f>
        <v/>
      </c>
      <c r="E22" s="33">
        <f>SUM(Financials!T9:W9)</f>
        <v/>
      </c>
      <c r="F22" s="33">
        <f>SUM(Financials!X9:AA9)</f>
        <v/>
      </c>
      <c r="G22" s="41">
        <f>G14*G23</f>
        <v/>
      </c>
      <c r="H22" s="41">
        <f>H14*H23</f>
        <v/>
      </c>
      <c r="I22" s="41">
        <f>I14*I23</f>
        <v/>
      </c>
      <c r="J22" s="41">
        <f>J14*J23</f>
        <v/>
      </c>
      <c r="K22" s="41">
        <f>K14*K23</f>
        <v/>
      </c>
      <c r="L22" s="41">
        <f>L14*L23</f>
        <v/>
      </c>
      <c r="M22" s="41">
        <f>M14*M23</f>
        <v/>
      </c>
      <c r="N22" s="41">
        <f>N14*N23</f>
        <v/>
      </c>
      <c r="O22" s="41">
        <f>O14*O23</f>
        <v/>
      </c>
      <c r="P22" s="41">
        <f>P14*P23</f>
        <v/>
      </c>
    </row>
    <row r="23">
      <c r="A23" s="4" t="inlineStr">
        <is>
          <t xml:space="preserve">    % of revenue</t>
        </is>
      </c>
      <c r="B23" s="70">
        <f>IFERROR(B22/B14,"")</f>
        <v/>
      </c>
      <c r="C23" s="70">
        <f>IFERROR(C22/C14,"")</f>
        <v/>
      </c>
      <c r="D23" s="70">
        <f>IFERROR(D22/D14,"")</f>
        <v/>
      </c>
      <c r="E23" s="70">
        <f>IFERROR(E22/E14,"")</f>
        <v/>
      </c>
      <c r="F23" s="70">
        <f>IFERROR(F22/F14,"")</f>
        <v/>
      </c>
      <c r="G23" s="63" t="n">
        <v>0.109225</v>
      </c>
      <c r="H23" s="63" t="n">
        <v>0.109225</v>
      </c>
      <c r="I23" s="63" t="n">
        <v>0.109225</v>
      </c>
      <c r="J23" s="63" t="n">
        <v>0.109225</v>
      </c>
      <c r="K23" s="63" t="n">
        <v>0.109225</v>
      </c>
      <c r="L23" s="63" t="n">
        <v>0.109225</v>
      </c>
      <c r="M23" s="63" t="n">
        <v>0.109225</v>
      </c>
      <c r="N23" s="63" t="n">
        <v>0.109225</v>
      </c>
      <c r="O23" s="63" t="n">
        <v>0.109225</v>
      </c>
      <c r="P23" s="63" t="n">
        <v>0.109225</v>
      </c>
    </row>
    <row r="24">
      <c r="A24" s="4" t="inlineStr">
        <is>
          <t>Other opex (fulfilment, etc.)</t>
        </is>
      </c>
      <c r="B24" s="33">
        <f>B14-(B18+B20+B22)-SUM(Financials!H13:K13)</f>
        <v/>
      </c>
      <c r="C24" s="33">
        <f>C14-(C18+C20+C22)-SUM(Financials!L13:O13)</f>
        <v/>
      </c>
      <c r="D24" s="33">
        <f>D14-(D18+D20+D22)-SUM(Financials!P13:S13)</f>
        <v/>
      </c>
      <c r="E24" s="33">
        <f>E14-(E18+E20+E22)-SUM(Financials!T13:W13)</f>
        <v/>
      </c>
      <c r="F24" s="33">
        <f>F14-(F18+F20+F22)-SUM(Financials!X13:AA13)</f>
        <v/>
      </c>
      <c r="G24" s="33">
        <f>G14*(1-(Dashboard!$B$29+(Dashboard!$B$30-Dashboard!$B$29)*MIN(1,0/7)))-(G18+G20+G22)</f>
        <v/>
      </c>
      <c r="H24" s="33">
        <f>H14*(1-(Dashboard!$B$29+(Dashboard!$B$30-Dashboard!$B$29)*MIN(1,1/7)))-(H18+H20+H22)</f>
        <v/>
      </c>
      <c r="I24" s="33">
        <f>I14*(1-(Dashboard!$B$29+(Dashboard!$B$30-Dashboard!$B$29)*MIN(1,2/7)))-(I18+I20+I22)</f>
        <v/>
      </c>
      <c r="J24" s="33">
        <f>J14*(1-(Dashboard!$B$29+(Dashboard!$B$30-Dashboard!$B$29)*MIN(1,3/7)))-(J18+J20+J22)</f>
        <v/>
      </c>
      <c r="K24" s="33">
        <f>K14*(1-(Dashboard!$B$29+(Dashboard!$B$30-Dashboard!$B$29)*MIN(1,4/7)))-(K18+K20+K22)</f>
        <v/>
      </c>
      <c r="L24" s="33">
        <f>L14*(1-(Dashboard!$B$29+(Dashboard!$B$30-Dashboard!$B$29)*MIN(1,5/7)))-(L18+L20+L22)</f>
        <v/>
      </c>
      <c r="M24" s="33">
        <f>M14*(1-(Dashboard!$B$29+(Dashboard!$B$30-Dashboard!$B$29)*MIN(1,6/7)))-(M18+M20+M22)</f>
        <v/>
      </c>
      <c r="N24" s="33">
        <f>N14*(1-(Dashboard!$B$29+(Dashboard!$B$30-Dashboard!$B$29)*MIN(1,7/7)))-(N18+N20+N22)</f>
        <v/>
      </c>
      <c r="O24" s="33">
        <f>O14*(1-(Dashboard!$B$29+(Dashboard!$B$30-Dashboard!$B$29)*MIN(1,8/7)))-(O18+O20+O22)</f>
        <v/>
      </c>
      <c r="P24" s="33">
        <f>P14*(1-(Dashboard!$B$29+(Dashboard!$B$30-Dashboard!$B$29)*MIN(1,9/7)))-(P18+P20+P22)</f>
        <v/>
      </c>
    </row>
    <row r="25">
      <c r="A25" s="4" t="inlineStr">
        <is>
          <t xml:space="preserve">    % of revenue</t>
        </is>
      </c>
      <c r="B25" s="70">
        <f>IFERROR(B24/B14,"")</f>
        <v/>
      </c>
      <c r="C25" s="70">
        <f>IFERROR(C24/C14,"")</f>
        <v/>
      </c>
      <c r="D25" s="70">
        <f>IFERROR(D24/D14,"")</f>
        <v/>
      </c>
      <c r="E25" s="70">
        <f>IFERROR(E24/E14,"")</f>
        <v/>
      </c>
      <c r="F25" s="70">
        <f>IFERROR(F24/F14,"")</f>
        <v/>
      </c>
      <c r="G25" s="70">
        <f>IFERROR(G24/G14,"")</f>
        <v/>
      </c>
      <c r="H25" s="70">
        <f>IFERROR(H24/H14,"")</f>
        <v/>
      </c>
      <c r="I25" s="70">
        <f>IFERROR(I24/I14,"")</f>
        <v/>
      </c>
      <c r="J25" s="70">
        <f>IFERROR(J24/J14,"")</f>
        <v/>
      </c>
      <c r="K25" s="70">
        <f>IFERROR(K24/K14,"")</f>
        <v/>
      </c>
      <c r="L25" s="70">
        <f>IFERROR(L24/L14,"")</f>
        <v/>
      </c>
      <c r="M25" s="70">
        <f>IFERROR(M24/M14,"")</f>
        <v/>
      </c>
      <c r="N25" s="70">
        <f>IFERROR(N24/N14,"")</f>
        <v/>
      </c>
      <c r="O25" s="70">
        <f>IFERROR(O24/O14,"")</f>
        <v/>
      </c>
      <c r="P25" s="70">
        <f>IFERROR(P24/P14,"")</f>
        <v/>
      </c>
    </row>
    <row r="27">
      <c r="A27" s="3" t="inlineStr">
        <is>
          <t>Operating income (EBIT)</t>
        </is>
      </c>
      <c r="B27" s="42">
        <f>B14-(B18+B20+B22)-B24</f>
        <v/>
      </c>
      <c r="C27" s="42">
        <f>C14-(C18+C20+C22)-C24</f>
        <v/>
      </c>
      <c r="D27" s="42">
        <f>D14-(D18+D20+D22)-D24</f>
        <v/>
      </c>
      <c r="E27" s="42">
        <f>E14-(E18+E20+E22)-E24</f>
        <v/>
      </c>
      <c r="F27" s="42">
        <f>F14-(F18+F20+F22)-F24</f>
        <v/>
      </c>
      <c r="G27" s="42">
        <f>G14-(G18+G20+G22)-G24</f>
        <v/>
      </c>
      <c r="H27" s="42">
        <f>H14-(H18+H20+H22)-H24</f>
        <v/>
      </c>
      <c r="I27" s="42">
        <f>I14-(I18+I20+I22)-I24</f>
        <v/>
      </c>
      <c r="J27" s="42">
        <f>J14-(J18+J20+J22)-J24</f>
        <v/>
      </c>
      <c r="K27" s="42">
        <f>K14-(K18+K20+K22)-K24</f>
        <v/>
      </c>
      <c r="L27" s="42">
        <f>L14-(L18+L20+L22)-L24</f>
        <v/>
      </c>
      <c r="M27" s="42">
        <f>M14-(M18+M20+M22)-M24</f>
        <v/>
      </c>
      <c r="N27" s="42">
        <f>N14-(N18+N20+N22)-N24</f>
        <v/>
      </c>
      <c r="O27" s="42">
        <f>O14-(O18+O20+O22)-O24</f>
        <v/>
      </c>
      <c r="P27" s="42">
        <f>P14-(P18+P20+P22)-P24</f>
        <v/>
      </c>
    </row>
    <row r="28">
      <c r="A28" s="4" t="inlineStr">
        <is>
          <t xml:space="preserve">    operating margin</t>
        </is>
      </c>
      <c r="B28" s="70">
        <f>IFERROR(B27/B14,"")</f>
        <v/>
      </c>
      <c r="C28" s="70">
        <f>IFERROR(C27/C14,"")</f>
        <v/>
      </c>
      <c r="D28" s="70">
        <f>IFERROR(D27/D14,"")</f>
        <v/>
      </c>
      <c r="E28" s="70">
        <f>IFERROR(E27/E14,"")</f>
        <v/>
      </c>
      <c r="F28" s="70">
        <f>IFERROR(F27/F14,"")</f>
        <v/>
      </c>
      <c r="G28" s="70">
        <f>IFERROR(G27/G14,"")</f>
        <v/>
      </c>
      <c r="H28" s="70">
        <f>IFERROR(H27/H14,"")</f>
        <v/>
      </c>
      <c r="I28" s="70">
        <f>IFERROR(I27/I14,"")</f>
        <v/>
      </c>
      <c r="J28" s="70">
        <f>IFERROR(J27/J14,"")</f>
        <v/>
      </c>
      <c r="K28" s="70">
        <f>IFERROR(K27/K14,"")</f>
        <v/>
      </c>
      <c r="L28" s="70">
        <f>IFERROR(L27/L14,"")</f>
        <v/>
      </c>
      <c r="M28" s="70">
        <f>IFERROR(M27/M14,"")</f>
        <v/>
      </c>
      <c r="N28" s="70">
        <f>IFERROR(N27/N14,"")</f>
        <v/>
      </c>
      <c r="O28" s="70">
        <f>IFERROR(O27/O14,"")</f>
        <v/>
      </c>
      <c r="P28" s="70">
        <f>IFERROR(P27/P14,"")</f>
        <v/>
      </c>
    </row>
    <row r="30">
      <c r="A30" s="5" t="inlineStr">
        <is>
          <t xml:space="preserve">  FCF BRIDGE (NOPAT + D&amp;A + SBC - dNWC - Capex)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4" t="inlineStr">
        <is>
          <t>NOPAT = EBIT x (1 - tax)</t>
        </is>
      </c>
      <c r="B31" s="33">
        <f>B27*(1-Valuation!$B$5)</f>
        <v/>
      </c>
      <c r="C31" s="33">
        <f>C27*(1-Valuation!$B$5)</f>
        <v/>
      </c>
      <c r="D31" s="33">
        <f>D27*(1-Valuation!$B$5)</f>
        <v/>
      </c>
      <c r="E31" s="33">
        <f>E27*(1-Valuation!$B$5)</f>
        <v/>
      </c>
      <c r="F31" s="33">
        <f>F27*(1-Valuation!$B$5)</f>
        <v/>
      </c>
      <c r="G31" s="33">
        <f>G27*(1-Valuation!$B$5)</f>
        <v/>
      </c>
      <c r="H31" s="33">
        <f>H27*(1-Valuation!$B$5)</f>
        <v/>
      </c>
      <c r="I31" s="33">
        <f>I27*(1-Valuation!$B$5)</f>
        <v/>
      </c>
      <c r="J31" s="33">
        <f>J27*(1-Valuation!$B$5)</f>
        <v/>
      </c>
      <c r="K31" s="33">
        <f>K27*(1-Valuation!$B$5)</f>
        <v/>
      </c>
      <c r="L31" s="33">
        <f>L27*(1-Valuation!$B$5)</f>
        <v/>
      </c>
      <c r="M31" s="33">
        <f>M27*(1-Valuation!$B$5)</f>
        <v/>
      </c>
      <c r="N31" s="33">
        <f>N27*(1-Valuation!$B$5)</f>
        <v/>
      </c>
      <c r="O31" s="33">
        <f>O27*(1-Valuation!$B$5)</f>
        <v/>
      </c>
      <c r="P31" s="33">
        <f>P27*(1-Valuation!$B$5)</f>
        <v/>
      </c>
    </row>
    <row r="32">
      <c r="A32" s="4" t="inlineStr">
        <is>
          <t>+ D&amp;A</t>
        </is>
      </c>
      <c r="B32" s="33">
        <f>SUM(Financials!H50:K50)</f>
        <v/>
      </c>
      <c r="C32" s="33">
        <f>SUM(Financials!L50:O50)</f>
        <v/>
      </c>
      <c r="D32" s="33">
        <f>SUM(Financials!P50:S50)</f>
        <v/>
      </c>
      <c r="E32" s="33">
        <f>SUM(Financials!T50:W50)</f>
        <v/>
      </c>
      <c r="F32" s="33">
        <f>SUM(Financials!X50:AA50)</f>
        <v/>
      </c>
      <c r="G32" s="41">
        <f>G14*0.0305</f>
        <v/>
      </c>
      <c r="H32" s="41">
        <f>H14*0.0305</f>
        <v/>
      </c>
      <c r="I32" s="41">
        <f>I14*0.0305</f>
        <v/>
      </c>
      <c r="J32" s="41">
        <f>J14*0.0305</f>
        <v/>
      </c>
      <c r="K32" s="41">
        <f>K14*0.0305</f>
        <v/>
      </c>
      <c r="L32" s="41">
        <f>L14*0.0305</f>
        <v/>
      </c>
      <c r="M32" s="41">
        <f>M14*0.0305</f>
        <v/>
      </c>
      <c r="N32" s="41">
        <f>N14*0.0305</f>
        <v/>
      </c>
      <c r="O32" s="41">
        <f>O14*0.0305</f>
        <v/>
      </c>
      <c r="P32" s="41">
        <f>P14*0.0305</f>
        <v/>
      </c>
    </row>
    <row r="33">
      <c r="A33" s="4" t="inlineStr">
        <is>
          <t>+ SBC (non-cash)</t>
        </is>
      </c>
      <c r="B33" s="33">
        <f>SUM(Financials!H51:K51)</f>
        <v/>
      </c>
      <c r="C33" s="33">
        <f>SUM(Financials!L51:O51)</f>
        <v/>
      </c>
      <c r="D33" s="33">
        <f>SUM(Financials!P51:S51)</f>
        <v/>
      </c>
      <c r="E33" s="33">
        <f>SUM(Financials!T51:W51)</f>
        <v/>
      </c>
      <c r="F33" s="33">
        <f>SUM(Financials!X51:AA51)</f>
        <v/>
      </c>
      <c r="G33" s="33">
        <f>G14*(Dashboard!$B$65+(Dashboard!$B$66-Dashboard!$B$65)*0/9)</f>
        <v/>
      </c>
      <c r="H33" s="33">
        <f>H14*(Dashboard!$B$65+(Dashboard!$B$66-Dashboard!$B$65)*1/9)</f>
        <v/>
      </c>
      <c r="I33" s="33">
        <f>I14*(Dashboard!$B$65+(Dashboard!$B$66-Dashboard!$B$65)*2/9)</f>
        <v/>
      </c>
      <c r="J33" s="33">
        <f>J14*(Dashboard!$B$65+(Dashboard!$B$66-Dashboard!$B$65)*3/9)</f>
        <v/>
      </c>
      <c r="K33" s="33">
        <f>K14*(Dashboard!$B$65+(Dashboard!$B$66-Dashboard!$B$65)*4/9)</f>
        <v/>
      </c>
      <c r="L33" s="33">
        <f>L14*(Dashboard!$B$65+(Dashboard!$B$66-Dashboard!$B$65)*5/9)</f>
        <v/>
      </c>
      <c r="M33" s="33">
        <f>M14*(Dashboard!$B$65+(Dashboard!$B$66-Dashboard!$B$65)*6/9)</f>
        <v/>
      </c>
      <c r="N33" s="33">
        <f>N14*(Dashboard!$B$65+(Dashboard!$B$66-Dashboard!$B$65)*7/9)</f>
        <v/>
      </c>
      <c r="O33" s="33">
        <f>O14*(Dashboard!$B$65+(Dashboard!$B$66-Dashboard!$B$65)*8/9)</f>
        <v/>
      </c>
      <c r="P33" s="33">
        <f>P14*(Dashboard!$B$65+(Dashboard!$B$66-Dashboard!$B$65)*9/9)</f>
        <v/>
      </c>
    </row>
    <row r="34">
      <c r="A34" s="4" t="inlineStr">
        <is>
          <t>- dNWC</t>
        </is>
      </c>
      <c r="G34" s="41">
        <f>(G14-F14)*0.0050</f>
        <v/>
      </c>
      <c r="H34" s="41">
        <f>(H14-G14)*0.0050</f>
        <v/>
      </c>
      <c r="I34" s="41">
        <f>(I14-H14)*0.0050</f>
        <v/>
      </c>
      <c r="J34" s="41">
        <f>(J14-I14)*0.0050</f>
        <v/>
      </c>
      <c r="K34" s="41">
        <f>(K14-J14)*0.0050</f>
        <v/>
      </c>
      <c r="L34" s="41">
        <f>(L14-K14)*0.0050</f>
        <v/>
      </c>
      <c r="M34" s="41">
        <f>(M14-L14)*0.0050</f>
        <v/>
      </c>
      <c r="N34" s="41">
        <f>(N14-M14)*0.0050</f>
        <v/>
      </c>
      <c r="O34" s="41">
        <f>(O14-N14)*0.0050</f>
        <v/>
      </c>
      <c r="P34" s="41">
        <f>(P14-O14)*0.0050</f>
        <v/>
      </c>
    </row>
    <row r="35">
      <c r="A35" s="4" t="inlineStr">
        <is>
          <t>- Capex</t>
        </is>
      </c>
      <c r="B35" s="33">
        <f>-SUM(Financials!H54:K54)</f>
        <v/>
      </c>
      <c r="C35" s="33">
        <f>-SUM(Financials!L54:O54)</f>
        <v/>
      </c>
      <c r="D35" s="33">
        <f>-SUM(Financials!P54:S54)</f>
        <v/>
      </c>
      <c r="E35" s="33">
        <f>-SUM(Financials!T54:W54)</f>
        <v/>
      </c>
      <c r="F35" s="33">
        <f>-SUM(Financials!X54:AA54)</f>
        <v/>
      </c>
      <c r="G35" s="41">
        <f>G32*G36</f>
        <v/>
      </c>
      <c r="H35" s="41">
        <f>H32*H36</f>
        <v/>
      </c>
      <c r="I35" s="41">
        <f>I32*I36</f>
        <v/>
      </c>
      <c r="J35" s="41">
        <f>J32*J36</f>
        <v/>
      </c>
      <c r="K35" s="41">
        <f>K32*K36</f>
        <v/>
      </c>
      <c r="L35" s="41">
        <f>L32*L36</f>
        <v/>
      </c>
      <c r="M35" s="41">
        <f>M32*M36</f>
        <v/>
      </c>
      <c r="N35" s="41">
        <f>N32*N36</f>
        <v/>
      </c>
      <c r="O35" s="41">
        <f>O32*O36</f>
        <v/>
      </c>
      <c r="P35" s="41">
        <f>P32*P36</f>
        <v/>
      </c>
    </row>
    <row r="36">
      <c r="A36" s="4" t="inlineStr">
        <is>
          <t xml:space="preserve">    Capex / D&amp;A  (from Dashboard: $cap'26 -&gt; terminal)</t>
        </is>
      </c>
      <c r="B36" s="71">
        <f>IFERROR(B35/B32,"")</f>
        <v/>
      </c>
      <c r="C36" s="71">
        <f>IFERROR(C35/C32,"")</f>
        <v/>
      </c>
      <c r="D36" s="71">
        <f>IFERROR(D35/D32,"")</f>
        <v/>
      </c>
      <c r="E36" s="71">
        <f>IFERROR(E35/E32,"")</f>
        <v/>
      </c>
      <c r="F36" s="71">
        <f>IFERROR(F35/F32,"")</f>
        <v/>
      </c>
      <c r="G36" s="62">
        <f>(Dashboard!$B$34/G32)+(Dashboard!$B$35-(Dashboard!$B$34/G32))*0/9</f>
        <v/>
      </c>
      <c r="H36" s="62">
        <f>(Dashboard!$B$34/G32)+(Dashboard!$B$35-(Dashboard!$B$34/G32))*1/9</f>
        <v/>
      </c>
      <c r="I36" s="62">
        <f>(Dashboard!$B$34/G32)+(Dashboard!$B$35-(Dashboard!$B$34/G32))*2/9</f>
        <v/>
      </c>
      <c r="J36" s="62">
        <f>(Dashboard!$B$34/G32)+(Dashboard!$B$35-(Dashboard!$B$34/G32))*3/9</f>
        <v/>
      </c>
      <c r="K36" s="62">
        <f>(Dashboard!$B$34/G32)+(Dashboard!$B$35-(Dashboard!$B$34/G32))*4/9</f>
        <v/>
      </c>
      <c r="L36" s="62">
        <f>(Dashboard!$B$34/G32)+(Dashboard!$B$35-(Dashboard!$B$34/G32))*5/9</f>
        <v/>
      </c>
      <c r="M36" s="62">
        <f>(Dashboard!$B$34/G32)+(Dashboard!$B$35-(Dashboard!$B$34/G32))*6/9</f>
        <v/>
      </c>
      <c r="N36" s="62">
        <f>(Dashboard!$B$34/G32)+(Dashboard!$B$35-(Dashboard!$B$34/G32))*7/9</f>
        <v/>
      </c>
      <c r="O36" s="62">
        <f>(Dashboard!$B$34/G32)+(Dashboard!$B$35-(Dashboard!$B$34/G32))*8/9</f>
        <v/>
      </c>
      <c r="P36" s="62">
        <f>(Dashboard!$B$34/G32)+(Dashboard!$B$35-(Dashboard!$B$34/G32))*9/9</f>
        <v/>
      </c>
    </row>
    <row r="38">
      <c r="A38" s="3" t="inlineStr">
        <is>
          <t>FCFF (firm)</t>
        </is>
      </c>
      <c r="B38" s="42">
        <f>B31+B32+B33-B34-B35</f>
        <v/>
      </c>
      <c r="C38" s="42">
        <f>C31+C32+C33-C34-C35</f>
        <v/>
      </c>
      <c r="D38" s="42">
        <f>D31+D32+D33-D34-D35</f>
        <v/>
      </c>
      <c r="E38" s="42">
        <f>E31+E32+E33-E34-E35</f>
        <v/>
      </c>
      <c r="F38" s="42">
        <f>F31+F32+F33-F34-F35</f>
        <v/>
      </c>
      <c r="G38" s="42">
        <f>G31+G32+G33-G34-G35</f>
        <v/>
      </c>
      <c r="H38" s="42">
        <f>H31+H32+H33-H34-H35</f>
        <v/>
      </c>
      <c r="I38" s="42">
        <f>I31+I32+I33-I34-I35</f>
        <v/>
      </c>
      <c r="J38" s="42">
        <f>J31+J32+J33-J34-J35</f>
        <v/>
      </c>
      <c r="K38" s="42">
        <f>K31+K32+K33-K34-K35</f>
        <v/>
      </c>
      <c r="L38" s="42">
        <f>L31+L32+L33-L34-L35</f>
        <v/>
      </c>
      <c r="M38" s="42">
        <f>M31+M32+M33-M34-M35</f>
        <v/>
      </c>
      <c r="N38" s="42">
        <f>N31+N32+N33-N34-N35</f>
        <v/>
      </c>
      <c r="O38" s="42">
        <f>O31+O32+O33-O34-O35</f>
        <v/>
      </c>
      <c r="P38" s="42">
        <f>P31+P32+P33-P34-P35</f>
        <v/>
      </c>
    </row>
    <row r="39">
      <c r="A39" s="3" t="inlineStr">
        <is>
          <t>Valuation FCF (NOPAT + D&amp;A - dNWC - Capex - after-tax SBC)</t>
        </is>
      </c>
      <c r="B39" s="43">
        <f>B38-B33-B33*(1-Valuation!$B$5)</f>
        <v/>
      </c>
      <c r="C39" s="43">
        <f>C38-C33-C33*(1-Valuation!$B$5)</f>
        <v/>
      </c>
      <c r="D39" s="43">
        <f>D38-D33-D33*(1-Valuation!$B$5)</f>
        <v/>
      </c>
      <c r="E39" s="43">
        <f>E38-E33-E33*(1-Valuation!$B$5)</f>
        <v/>
      </c>
      <c r="F39" s="43">
        <f>F38-F33-F33*(1-Valuation!$B$5)</f>
        <v/>
      </c>
      <c r="G39" s="43">
        <f>G38-G33-G33*(1-Valuation!$B$5)</f>
        <v/>
      </c>
      <c r="H39" s="43">
        <f>H38-H33-H33*(1-Valuation!$B$5)</f>
        <v/>
      </c>
      <c r="I39" s="43">
        <f>I38-I33-I33*(1-Valuation!$B$5)</f>
        <v/>
      </c>
      <c r="J39" s="43">
        <f>J38-J33-J33*(1-Valuation!$B$5)</f>
        <v/>
      </c>
      <c r="K39" s="43">
        <f>K38-K33-K33*(1-Valuation!$B$5)</f>
        <v/>
      </c>
      <c r="L39" s="43">
        <f>L38-L33-L33*(1-Valuation!$B$5)</f>
        <v/>
      </c>
      <c r="M39" s="43">
        <f>M38-M33-M33*(1-Valuation!$B$5)</f>
        <v/>
      </c>
      <c r="N39" s="43">
        <f>N38-N33-N33*(1-Valuation!$B$5)</f>
        <v/>
      </c>
      <c r="O39" s="43">
        <f>O38-O33-O33*(1-Valuation!$B$5)</f>
        <v/>
      </c>
      <c r="P39" s="43">
        <f>P38-P33-P33*(1-Valuation!$B$5)</f>
        <v/>
      </c>
    </row>
    <row r="41">
      <c r="A41" s="5" t="inlineStr">
        <is>
          <t xml:space="preserve">  RETURNS ON CAPITAL &amp; EFFICIENCY  (is new revenue/capital earning its keep?)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4" t="inlineStr">
        <is>
          <t>Invested capital (debt + equity - cash)</t>
        </is>
      </c>
      <c r="B42" s="33">
        <f>Financials!K48+Financials!K47-Financials!K42</f>
        <v/>
      </c>
      <c r="C42" s="33">
        <f>Financials!O48+Financials!O47-Financials!O42</f>
        <v/>
      </c>
      <c r="D42" s="33">
        <f>Financials!S48+Financials!S47-Financials!S42</f>
        <v/>
      </c>
      <c r="E42" s="33">
        <f>Financials!W48+Financials!W47-Financials!W42</f>
        <v/>
      </c>
      <c r="F42" s="33">
        <f>Financials!AA48+Financials!AA47-Financials!AA42</f>
        <v/>
      </c>
      <c r="G42" s="41">
        <f>F42+G35-G32+G34</f>
        <v/>
      </c>
      <c r="H42" s="41">
        <f>G42+H35-H32+H34</f>
        <v/>
      </c>
      <c r="I42" s="41">
        <f>H42+I35-I32+I34</f>
        <v/>
      </c>
      <c r="J42" s="41">
        <f>I42+J35-J32+J34</f>
        <v/>
      </c>
      <c r="K42" s="41">
        <f>J42+K35-K32+K34</f>
        <v/>
      </c>
      <c r="L42" s="41">
        <f>K42+L35-L32+L34</f>
        <v/>
      </c>
      <c r="M42" s="41">
        <f>L42+M35-M32+M34</f>
        <v/>
      </c>
      <c r="N42" s="41">
        <f>M42+N35-N32+N34</f>
        <v/>
      </c>
      <c r="O42" s="41">
        <f>N42+O35-O32+O34</f>
        <v/>
      </c>
      <c r="P42" s="41">
        <f>O42+P35-P32+P34</f>
        <v/>
      </c>
    </row>
    <row r="43">
      <c r="A43" s="4" t="inlineStr">
        <is>
          <t>Book equity (year-end)</t>
        </is>
      </c>
      <c r="B43" s="33">
        <f>Financials!K48</f>
        <v/>
      </c>
      <c r="C43" s="33">
        <f>Financials!O48</f>
        <v/>
      </c>
      <c r="D43" s="33">
        <f>Financials!S48</f>
        <v/>
      </c>
      <c r="E43" s="33">
        <f>Financials!W48</f>
        <v/>
      </c>
      <c r="F43" s="33">
        <f>Financials!AA48</f>
        <v/>
      </c>
      <c r="G43" s="41">
        <f>F43+G31</f>
        <v/>
      </c>
      <c r="H43" s="41">
        <f>G43+H31</f>
        <v/>
      </c>
      <c r="I43" s="41">
        <f>H43+I31</f>
        <v/>
      </c>
      <c r="J43" s="41">
        <f>I43+J31</f>
        <v/>
      </c>
      <c r="K43" s="41">
        <f>J43+K31</f>
        <v/>
      </c>
      <c r="L43" s="41">
        <f>K43+L31</f>
        <v/>
      </c>
      <c r="M43" s="41">
        <f>L43+M31</f>
        <v/>
      </c>
      <c r="N43" s="41">
        <f>M43+N31</f>
        <v/>
      </c>
      <c r="O43" s="41">
        <f>N43+O31</f>
        <v/>
      </c>
      <c r="P43" s="41">
        <f>O43+P31</f>
        <v/>
      </c>
    </row>
    <row r="44">
      <c r="A44" s="3" t="inlineStr">
        <is>
          <t xml:space="preserve">  ROIC (NOPAT / beg. invested capital)</t>
        </is>
      </c>
      <c r="C44" s="70">
        <f>IFERROR(C31/B42,"")</f>
        <v/>
      </c>
      <c r="D44" s="70">
        <f>IFERROR(D31/C42,"")</f>
        <v/>
      </c>
      <c r="E44" s="70">
        <f>IFERROR(E31/D42,"")</f>
        <v/>
      </c>
      <c r="F44" s="70">
        <f>IFERROR(F31/E42,"")</f>
        <v/>
      </c>
      <c r="G44" s="70">
        <f>IFERROR(G31/F42,"")</f>
        <v/>
      </c>
      <c r="H44" s="70">
        <f>IFERROR(H31/G42,"")</f>
        <v/>
      </c>
      <c r="I44" s="70">
        <f>IFERROR(I31/H42,"")</f>
        <v/>
      </c>
      <c r="J44" s="70">
        <f>IFERROR(J31/I42,"")</f>
        <v/>
      </c>
      <c r="K44" s="70">
        <f>IFERROR(K31/J42,"")</f>
        <v/>
      </c>
      <c r="L44" s="70">
        <f>IFERROR(L31/K42,"")</f>
        <v/>
      </c>
      <c r="M44" s="70">
        <f>IFERROR(M31/L42,"")</f>
        <v/>
      </c>
      <c r="N44" s="70">
        <f>IFERROR(N31/M42,"")</f>
        <v/>
      </c>
      <c r="O44" s="70">
        <f>IFERROR(O31/N42,"")</f>
        <v/>
      </c>
      <c r="P44" s="70">
        <f>IFERROR(P31/O42,"")</f>
        <v/>
      </c>
    </row>
    <row r="45">
      <c r="A45" s="3" t="inlineStr">
        <is>
          <t xml:space="preserve">  ROE (earnings / beg. equity)</t>
        </is>
      </c>
      <c r="C45" s="61">
        <f>IFERROR(SUM(Financials!L15:O15)/B43,"")</f>
        <v/>
      </c>
      <c r="D45" s="61">
        <f>IFERROR(SUM(Financials!P15:S15)/C43,"")</f>
        <v/>
      </c>
      <c r="E45" s="61">
        <f>IFERROR(SUM(Financials!T15:W15)/D43,"")</f>
        <v/>
      </c>
      <c r="F45" s="61">
        <f>IFERROR(SUM(Financials!X15:AA15)/E43,"")</f>
        <v/>
      </c>
      <c r="G45" s="70">
        <f>IFERROR(G31/F43,"")</f>
        <v/>
      </c>
      <c r="H45" s="70">
        <f>IFERROR(H31/G43,"")</f>
        <v/>
      </c>
      <c r="I45" s="70">
        <f>IFERROR(I31/H43,"")</f>
        <v/>
      </c>
      <c r="J45" s="70">
        <f>IFERROR(J31/I43,"")</f>
        <v/>
      </c>
      <c r="K45" s="70">
        <f>IFERROR(K31/J43,"")</f>
        <v/>
      </c>
      <c r="L45" s="70">
        <f>IFERROR(L31/K43,"")</f>
        <v/>
      </c>
      <c r="M45" s="70">
        <f>IFERROR(M31/L43,"")</f>
        <v/>
      </c>
      <c r="N45" s="70">
        <f>IFERROR(N31/M43,"")</f>
        <v/>
      </c>
      <c r="O45" s="70">
        <f>IFERROR(O31/N43,"")</f>
        <v/>
      </c>
      <c r="P45" s="70">
        <f>IFERROR(P31/O43,"")</f>
        <v/>
      </c>
    </row>
    <row r="46">
      <c r="A46" s="4" t="inlineStr">
        <is>
          <t xml:space="preserve">  ROIC - WACC spread (value created)</t>
        </is>
      </c>
      <c r="C46" s="61">
        <f>IFERROR(C44-WACC!$B$15,"")</f>
        <v/>
      </c>
      <c r="D46" s="61">
        <f>IFERROR(D44-WACC!$B$15,"")</f>
        <v/>
      </c>
      <c r="E46" s="61">
        <f>IFERROR(E44-WACC!$B$15,"")</f>
        <v/>
      </c>
      <c r="F46" s="61">
        <f>IFERROR(F44-WACC!$B$15,"")</f>
        <v/>
      </c>
      <c r="G46" s="61">
        <f>IFERROR(G44-WACC!$B$15,"")</f>
        <v/>
      </c>
      <c r="H46" s="61">
        <f>IFERROR(H44-WACC!$B$15,"")</f>
        <v/>
      </c>
      <c r="I46" s="61">
        <f>IFERROR(I44-WACC!$B$15,"")</f>
        <v/>
      </c>
      <c r="J46" s="61">
        <f>IFERROR(J44-WACC!$B$15,"")</f>
        <v/>
      </c>
      <c r="K46" s="61">
        <f>IFERROR(K44-WACC!$B$15,"")</f>
        <v/>
      </c>
      <c r="L46" s="61">
        <f>IFERROR(L44-WACC!$B$15,"")</f>
        <v/>
      </c>
      <c r="M46" s="61">
        <f>IFERROR(M44-WACC!$B$15,"")</f>
        <v/>
      </c>
      <c r="N46" s="61">
        <f>IFERROR(N44-WACC!$B$15,"")</f>
        <v/>
      </c>
      <c r="O46" s="61">
        <f>IFERROR(O44-WACC!$B$15,"")</f>
        <v/>
      </c>
      <c r="P46" s="61">
        <f>IFERROR(P44-WACC!$B$15,"")</f>
        <v/>
      </c>
    </row>
    <row r="47">
      <c r="A47" s="4" t="inlineStr">
        <is>
          <t xml:space="preserve">  Incremental op margin (ΔEBIT / ΔRev)</t>
        </is>
      </c>
      <c r="C47" s="70">
        <f>IFERROR((C27-B27)/(C14-B14),"")</f>
        <v/>
      </c>
      <c r="D47" s="70">
        <f>IFERROR((D27-C27)/(D14-C14),"")</f>
        <v/>
      </c>
      <c r="E47" s="70">
        <f>IFERROR((E27-D27)/(E14-D14),"")</f>
        <v/>
      </c>
      <c r="F47" s="70">
        <f>IFERROR((F27-E27)/(F14-E14),"")</f>
        <v/>
      </c>
      <c r="G47" s="70">
        <f>IFERROR((G27-F27)/(G14-F14),"")</f>
        <v/>
      </c>
      <c r="H47" s="70">
        <f>IFERROR((H27-G27)/(H14-G14),"")</f>
        <v/>
      </c>
      <c r="I47" s="70">
        <f>IFERROR((I27-H27)/(I14-H14),"")</f>
        <v/>
      </c>
      <c r="J47" s="70">
        <f>IFERROR((J27-I27)/(J14-I14),"")</f>
        <v/>
      </c>
      <c r="K47" s="70">
        <f>IFERROR((K27-J27)/(K14-J14),"")</f>
        <v/>
      </c>
      <c r="L47" s="70">
        <f>IFERROR((L27-K27)/(L14-K14),"")</f>
        <v/>
      </c>
      <c r="M47" s="70">
        <f>IFERROR((M27-L27)/(M14-L14),"")</f>
        <v/>
      </c>
      <c r="N47" s="70">
        <f>IFERROR((N27-M27)/(N14-M14),"")</f>
        <v/>
      </c>
      <c r="O47" s="70">
        <f>IFERROR((O27-N27)/(O14-N14),"")</f>
        <v/>
      </c>
      <c r="P47" s="70">
        <f>IFERROR((P27-O27)/(P14-O14),"")</f>
        <v/>
      </c>
    </row>
    <row r="48">
      <c r="A48" s="3" t="inlineStr">
        <is>
          <t xml:space="preserve">  ROIIC (ΔNOPAT / ΔInvested capital)</t>
        </is>
      </c>
      <c r="C48" s="70">
        <f>IFERROR((C31-B31)/(C42-B42),"")</f>
        <v/>
      </c>
      <c r="D48" s="70">
        <f>IFERROR((D31-C31)/(D42-C42),"")</f>
        <v/>
      </c>
      <c r="E48" s="70">
        <f>IFERROR((E31-D31)/(E42-D42),"")</f>
        <v/>
      </c>
      <c r="F48" s="70">
        <f>IFERROR((F31-E31)/(F42-E42),"")</f>
        <v/>
      </c>
      <c r="G48" s="70">
        <f>IFERROR((G31-F31)/(G42-F42),"")</f>
        <v/>
      </c>
      <c r="H48" s="70">
        <f>IFERROR((H31-G31)/(H42-G42),"")</f>
        <v/>
      </c>
      <c r="I48" s="70">
        <f>IFERROR((I31-H31)/(I42-H42),"")</f>
        <v/>
      </c>
      <c r="J48" s="70">
        <f>IFERROR((J31-I31)/(J42-I42),"")</f>
        <v/>
      </c>
      <c r="K48" s="70">
        <f>IFERROR((K31-J31)/(K42-J42),"")</f>
        <v/>
      </c>
      <c r="L48" s="70">
        <f>IFERROR((L31-K31)/(L42-K42),"")</f>
        <v/>
      </c>
      <c r="M48" s="70">
        <f>IFERROR((M31-L31)/(M42-L42),"")</f>
        <v/>
      </c>
      <c r="N48" s="70">
        <f>IFERROR((N31-M31)/(N42-M42),"")</f>
        <v/>
      </c>
      <c r="O48" s="70">
        <f>IFERROR((O31-N31)/(O42-N42),"")</f>
        <v/>
      </c>
      <c r="P48" s="70">
        <f>IFERROR((P31-O31)/(P42-O42),"")</f>
        <v/>
      </c>
    </row>
    <row r="49">
      <c r="A49" s="4" t="inlineStr">
        <is>
          <t xml:space="preserve">  Sales-to-capital (ΔRev / ΔInvested capital)</t>
        </is>
      </c>
      <c r="C49" s="79">
        <f>IFERROR((C14-B14)/(C42-B42),"")</f>
        <v/>
      </c>
      <c r="D49" s="79">
        <f>IFERROR((D14-C14)/(D42-C42),"")</f>
        <v/>
      </c>
      <c r="E49" s="79">
        <f>IFERROR((E14-D14)/(E42-D42),"")</f>
        <v/>
      </c>
      <c r="F49" s="79">
        <f>IFERROR((F14-E14)/(F42-E42),"")</f>
        <v/>
      </c>
      <c r="G49" s="79">
        <f>IFERROR((G14-F14)/(G42-F42),"")</f>
        <v/>
      </c>
      <c r="H49" s="79">
        <f>IFERROR((H14-G14)/(H42-G42),"")</f>
        <v/>
      </c>
      <c r="I49" s="79">
        <f>IFERROR((I14-H14)/(I42-H42),"")</f>
        <v/>
      </c>
      <c r="J49" s="79">
        <f>IFERROR((J14-I14)/(J42-I42),"")</f>
        <v/>
      </c>
      <c r="K49" s="79">
        <f>IFERROR((K14-J14)/(K42-J42),"")</f>
        <v/>
      </c>
      <c r="L49" s="79">
        <f>IFERROR((L14-K14)/(L42-K42),"")</f>
        <v/>
      </c>
      <c r="M49" s="79">
        <f>IFERROR((M14-L14)/(M42-L42),"")</f>
        <v/>
      </c>
      <c r="N49" s="79">
        <f>IFERROR((N14-M14)/(N42-M42),"")</f>
        <v/>
      </c>
      <c r="O49" s="79">
        <f>IFERROR((O14-N14)/(O42-N42),"")</f>
        <v/>
      </c>
      <c r="P49" s="79">
        <f>IFERROR((P14-O14)/(P42-O42),"")</f>
        <v/>
      </c>
    </row>
    <row r="50">
      <c r="A50" s="4" t="inlineStr">
        <is>
          <t xml:space="preserve">  Reinvestment rate (ΔInvested capital / NOPAT)</t>
        </is>
      </c>
      <c r="C50" s="70">
        <f>IFERROR((C42-B42)/C31,"")</f>
        <v/>
      </c>
      <c r="D50" s="70">
        <f>IFERROR((D42-C42)/D31,"")</f>
        <v/>
      </c>
      <c r="E50" s="70">
        <f>IFERROR((E42-D42)/E31,"")</f>
        <v/>
      </c>
      <c r="F50" s="70">
        <f>IFERROR((F42-E42)/F31,"")</f>
        <v/>
      </c>
      <c r="G50" s="70">
        <f>IFERROR((G42-F42)/G31,"")</f>
        <v/>
      </c>
      <c r="H50" s="70">
        <f>IFERROR((H42-G42)/H31,"")</f>
        <v/>
      </c>
      <c r="I50" s="70">
        <f>IFERROR((I42-H42)/I31,"")</f>
        <v/>
      </c>
      <c r="J50" s="70">
        <f>IFERROR((J42-I42)/J31,"")</f>
        <v/>
      </c>
      <c r="K50" s="70">
        <f>IFERROR((K42-J42)/K31,"")</f>
        <v/>
      </c>
      <c r="L50" s="70">
        <f>IFERROR((L42-K42)/L31,"")</f>
        <v/>
      </c>
      <c r="M50" s="70">
        <f>IFERROR((M42-L42)/M31,"")</f>
        <v/>
      </c>
      <c r="N50" s="70">
        <f>IFERROR((N42-M42)/N31,"")</f>
        <v/>
      </c>
      <c r="O50" s="70">
        <f>IFERROR((O42-N42)/O31,"")</f>
        <v/>
      </c>
      <c r="P50" s="70">
        <f>IFERROR((P42-O42)/P31,"")</f>
        <v/>
      </c>
    </row>
    <row r="52">
      <c r="A52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Q3 2019</t>
        </is>
      </c>
      <c r="C1" s="45" t="inlineStr">
        <is>
          <t>Q4 2019</t>
        </is>
      </c>
      <c r="D1" s="45" t="inlineStr">
        <is>
          <t>Q1 2020</t>
        </is>
      </c>
      <c r="E1" s="45" t="inlineStr">
        <is>
          <t>Q2 2020</t>
        </is>
      </c>
      <c r="F1" s="45" t="inlineStr">
        <is>
          <t>Q3 2020</t>
        </is>
      </c>
      <c r="G1" s="45" t="inlineStr">
        <is>
          <t>Q4 2020</t>
        </is>
      </c>
      <c r="H1" s="45" t="inlineStr">
        <is>
          <t>Q1 2021</t>
        </is>
      </c>
      <c r="I1" s="45" t="inlineStr">
        <is>
          <t>Q2 2021</t>
        </is>
      </c>
      <c r="J1" s="45" t="inlineStr">
        <is>
          <t>Q3 2021</t>
        </is>
      </c>
      <c r="K1" s="45" t="inlineStr">
        <is>
          <t>Q4 2021</t>
        </is>
      </c>
      <c r="L1" s="45" t="inlineStr">
        <is>
          <t>Q1 2022</t>
        </is>
      </c>
      <c r="M1" s="45" t="inlineStr">
        <is>
          <t>Q2 2022</t>
        </is>
      </c>
      <c r="N1" s="45" t="inlineStr">
        <is>
          <t>Q3 2022</t>
        </is>
      </c>
      <c r="O1" s="45" t="inlineStr">
        <is>
          <t>Q4 2022</t>
        </is>
      </c>
      <c r="P1" s="45" t="inlineStr">
        <is>
          <t>Q1 2023</t>
        </is>
      </c>
      <c r="Q1" s="45" t="inlineStr">
        <is>
          <t>Q2 2023</t>
        </is>
      </c>
      <c r="R1" s="45" t="inlineStr">
        <is>
          <t>Q3 2023</t>
        </is>
      </c>
      <c r="S1" s="45" t="inlineStr">
        <is>
          <t>Q4 2023</t>
        </is>
      </c>
      <c r="T1" s="45" t="inlineStr">
        <is>
          <t>Q1 2024</t>
        </is>
      </c>
      <c r="U1" s="45" t="inlineStr">
        <is>
          <t>Q2 2024</t>
        </is>
      </c>
      <c r="V1" s="45" t="inlineStr">
        <is>
          <t>Q3 2024</t>
        </is>
      </c>
      <c r="W1" s="45" t="inlineStr">
        <is>
          <t>Q4 2024</t>
        </is>
      </c>
      <c r="X1" s="45" t="inlineStr">
        <is>
          <t>Q1 2025</t>
        </is>
      </c>
      <c r="Y1" s="45" t="inlineStr">
        <is>
          <t>Q2 2025</t>
        </is>
      </c>
      <c r="Z1" s="45" t="inlineStr">
        <is>
          <t>Q3 2025</t>
        </is>
      </c>
      <c r="AA1" s="45" t="inlineStr">
        <is>
          <t>Q4 2025</t>
        </is>
      </c>
      <c r="AB1" s="45" t="inlineStr">
        <is>
          <t>Q1 2026</t>
        </is>
      </c>
      <c r="AC1" s="45" t="inlineStr">
        <is>
          <t>Q2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5840</v>
      </c>
      <c r="C3" s="18" t="n">
        <v>6137</v>
      </c>
      <c r="D3" s="18" t="n">
        <v>6054</v>
      </c>
      <c r="E3" s="18" t="n">
        <v>5854</v>
      </c>
      <c r="F3" s="18" t="n">
        <v>4837</v>
      </c>
      <c r="G3" s="18" t="n">
        <v>5101</v>
      </c>
      <c r="H3" s="18" t="n">
        <v>5687</v>
      </c>
      <c r="I3" s="18" t="n">
        <v>5729</v>
      </c>
      <c r="J3" s="18" t="n">
        <v>6130</v>
      </c>
      <c r="K3" s="18" t="n">
        <v>6559</v>
      </c>
      <c r="L3" s="18" t="n">
        <v>7059</v>
      </c>
      <c r="M3" s="18" t="n">
        <v>7189</v>
      </c>
      <c r="N3" s="18" t="n">
        <v>7275</v>
      </c>
      <c r="O3" s="18" t="n">
        <v>7787</v>
      </c>
      <c r="P3" s="18" t="n">
        <v>7936</v>
      </c>
      <c r="Q3" s="18" t="n">
        <v>7985</v>
      </c>
      <c r="R3" s="18" t="n">
        <v>8123</v>
      </c>
      <c r="S3" s="18" t="n">
        <v>8609</v>
      </c>
      <c r="T3" s="18" t="n">
        <v>8634</v>
      </c>
      <c r="U3" s="18" t="n">
        <v>8775</v>
      </c>
      <c r="V3" s="18" t="n">
        <v>8900</v>
      </c>
      <c r="W3" s="18" t="n">
        <v>9617</v>
      </c>
      <c r="X3" s="18" t="n">
        <v>9510</v>
      </c>
      <c r="Y3" s="18" t="n">
        <v>9594</v>
      </c>
      <c r="Z3" s="18" t="n">
        <v>10172</v>
      </c>
      <c r="AA3" s="18" t="n">
        <v>10724</v>
      </c>
      <c r="AB3" s="18" t="n">
        <v>10901</v>
      </c>
      <c r="AC3" s="18" t="n">
        <v>11230</v>
      </c>
    </row>
    <row r="4">
      <c r="A4" s="4" t="inlineStr">
        <is>
          <t xml:space="preserve">    % YoY</t>
        </is>
      </c>
      <c r="F4" s="70">
        <f>IFERROR(F3/B3-1,"")</f>
        <v/>
      </c>
      <c r="G4" s="70">
        <f>IFERROR(G3/C3-1,"")</f>
        <v/>
      </c>
      <c r="H4" s="70">
        <f>IFERROR(H3/D3-1,"")</f>
        <v/>
      </c>
      <c r="I4" s="70">
        <f>IFERROR(I3/E3-1,"")</f>
        <v/>
      </c>
      <c r="J4" s="70">
        <f>IFERROR(J3/F3-1,"")</f>
        <v/>
      </c>
      <c r="K4" s="70">
        <f>IFERROR(K3/G3-1,"")</f>
        <v/>
      </c>
      <c r="L4" s="70">
        <f>IFERROR(L3/H3-1,"")</f>
        <v/>
      </c>
      <c r="M4" s="70">
        <f>IFERROR(M3/I3-1,"")</f>
        <v/>
      </c>
      <c r="N4" s="70">
        <f>IFERROR(N3/J3-1,"")</f>
        <v/>
      </c>
      <c r="O4" s="70">
        <f>IFERROR(O3/K3-1,"")</f>
        <v/>
      </c>
      <c r="P4" s="70">
        <f>IFERROR(P3/L3-1,"")</f>
        <v/>
      </c>
      <c r="Q4" s="70">
        <f>IFERROR(Q3/M3-1,"")</f>
        <v/>
      </c>
      <c r="R4" s="70">
        <f>IFERROR(R3/N3-1,"")</f>
        <v/>
      </c>
      <c r="S4" s="70">
        <f>IFERROR(S3/O3-1,"")</f>
        <v/>
      </c>
      <c r="T4" s="70">
        <f>IFERROR(T3/P3-1,"")</f>
        <v/>
      </c>
      <c r="U4" s="70">
        <f>IFERROR(U3/Q3-1,"")</f>
        <v/>
      </c>
      <c r="V4" s="70">
        <f>IFERROR(V3/R3-1,"")</f>
        <v/>
      </c>
      <c r="W4" s="70">
        <f>IFERROR(W3/S3-1,"")</f>
        <v/>
      </c>
      <c r="X4" s="70">
        <f>IFERROR(X3/T3-1,"")</f>
        <v/>
      </c>
      <c r="Y4" s="70">
        <f>IFERROR(Y3/U3-1,"")</f>
        <v/>
      </c>
      <c r="Z4" s="70">
        <f>IFERROR(Z3/V3-1,"")</f>
        <v/>
      </c>
      <c r="AA4" s="70">
        <f>IFERROR(AA3/W3-1,"")</f>
        <v/>
      </c>
      <c r="AB4" s="70">
        <f>IFERROR(AB3/X3-1,"")</f>
        <v/>
      </c>
      <c r="AC4" s="70">
        <f>IFERROR(AC3/Y3-1,"")</f>
        <v/>
      </c>
    </row>
    <row r="5">
      <c r="A5" s="4" t="inlineStr">
        <is>
          <t>Cost of Revenue</t>
        </is>
      </c>
      <c r="B5" s="18" t="n">
        <v>1056</v>
      </c>
      <c r="C5" s="18" t="n">
        <v>1064</v>
      </c>
      <c r="D5" s="18" t="n">
        <v>1163</v>
      </c>
      <c r="E5" s="18" t="n">
        <v>1123</v>
      </c>
      <c r="F5" s="18" t="n">
        <v>1113</v>
      </c>
      <c r="G5" s="18" t="n">
        <v>1113</v>
      </c>
      <c r="H5" s="18" t="n">
        <v>1154</v>
      </c>
      <c r="I5" s="18" t="n">
        <v>1293</v>
      </c>
      <c r="J5" s="18" t="n">
        <v>1284</v>
      </c>
      <c r="K5" s="18" t="n">
        <v>1239</v>
      </c>
      <c r="L5" s="18" t="n">
        <v>1315</v>
      </c>
      <c r="M5" s="18" t="n">
        <v>1416</v>
      </c>
      <c r="N5" s="18" t="n">
        <v>1461</v>
      </c>
      <c r="O5" s="18" t="n">
        <v>1541</v>
      </c>
      <c r="P5" s="18" t="n">
        <v>1515</v>
      </c>
      <c r="Q5" s="18" t="n">
        <v>1694</v>
      </c>
      <c r="R5" s="18" t="n">
        <v>1663</v>
      </c>
      <c r="S5" s="18" t="n">
        <v>1695</v>
      </c>
      <c r="T5" s="18" t="n">
        <v>1660</v>
      </c>
      <c r="U5" s="18" t="n">
        <v>1792</v>
      </c>
      <c r="V5" s="18" t="n">
        <v>1773</v>
      </c>
      <c r="W5" s="18" t="n">
        <v>1817</v>
      </c>
      <c r="X5" s="18" t="n">
        <v>2020</v>
      </c>
      <c r="Y5" s="18" t="n">
        <v>1881</v>
      </c>
      <c r="Z5" s="18" t="n">
        <v>1973</v>
      </c>
      <c r="AA5" s="18" t="n">
        <v>1981</v>
      </c>
      <c r="AB5" s="18" t="n">
        <v>1997</v>
      </c>
      <c r="AC5" s="18" t="n">
        <v>2101</v>
      </c>
    </row>
    <row r="6">
      <c r="A6" s="4" t="inlineStr">
        <is>
          <t xml:space="preserve">    % of revenue</t>
        </is>
      </c>
      <c r="B6" s="70">
        <f>IFERROR(B5/B3,"")</f>
        <v/>
      </c>
      <c r="C6" s="70">
        <f>IFERROR(C5/C3,"")</f>
        <v/>
      </c>
      <c r="D6" s="70">
        <f>IFERROR(D5/D3,"")</f>
        <v/>
      </c>
      <c r="E6" s="70">
        <f>IFERROR(E5/E3,"")</f>
        <v/>
      </c>
      <c r="F6" s="70">
        <f>IFERROR(F5/F3,"")</f>
        <v/>
      </c>
      <c r="G6" s="70">
        <f>IFERROR(G5/G3,"")</f>
        <v/>
      </c>
      <c r="H6" s="70">
        <f>IFERROR(H5/H3,"")</f>
        <v/>
      </c>
      <c r="I6" s="70">
        <f>IFERROR(I5/I3,"")</f>
        <v/>
      </c>
      <c r="J6" s="70">
        <f>IFERROR(J5/J3,"")</f>
        <v/>
      </c>
      <c r="K6" s="70">
        <f>IFERROR(K5/K3,"")</f>
        <v/>
      </c>
      <c r="L6" s="70">
        <f>IFERROR(L5/L3,"")</f>
        <v/>
      </c>
      <c r="M6" s="70">
        <f>IFERROR(M5/M3,"")</f>
        <v/>
      </c>
      <c r="N6" s="70">
        <f>IFERROR(N5/N3,"")</f>
        <v/>
      </c>
      <c r="O6" s="70">
        <f>IFERROR(O5/O3,"")</f>
        <v/>
      </c>
      <c r="P6" s="70">
        <f>IFERROR(P5/P3,"")</f>
        <v/>
      </c>
      <c r="Q6" s="70">
        <f>IFERROR(Q5/Q3,"")</f>
        <v/>
      </c>
      <c r="R6" s="70">
        <f>IFERROR(R5/R3,"")</f>
        <v/>
      </c>
      <c r="S6" s="70">
        <f>IFERROR(S5/S3,"")</f>
        <v/>
      </c>
      <c r="T6" s="70">
        <f>IFERROR(T5/T3,"")</f>
        <v/>
      </c>
      <c r="U6" s="70">
        <f>IFERROR(U5/U3,"")</f>
        <v/>
      </c>
      <c r="V6" s="70">
        <f>IFERROR(V5/V3,"")</f>
        <v/>
      </c>
      <c r="W6" s="70">
        <f>IFERROR(W5/W3,"")</f>
        <v/>
      </c>
      <c r="X6" s="70">
        <f>IFERROR(X5/X3,"")</f>
        <v/>
      </c>
      <c r="Y6" s="70">
        <f>IFERROR(Y5/Y3,"")</f>
        <v/>
      </c>
      <c r="Z6" s="70">
        <f>IFERROR(Z5/Z3,"")</f>
        <v/>
      </c>
      <c r="AA6" s="70">
        <f>IFERROR(AA5/AA3,"")</f>
        <v/>
      </c>
      <c r="AB6" s="70">
        <f>IFERROR(AB5/AB3,"")</f>
        <v/>
      </c>
      <c r="AC6" s="70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70">
        <f>IFERROR(B7/B3,"")</f>
        <v/>
      </c>
      <c r="C8" s="70">
        <f>IFERROR(C7/C3,"")</f>
        <v/>
      </c>
      <c r="D8" s="70">
        <f>IFERROR(D7/D3,"")</f>
        <v/>
      </c>
      <c r="E8" s="70">
        <f>IFERROR(E7/E3,"")</f>
        <v/>
      </c>
      <c r="F8" s="70">
        <f>IFERROR(F7/F3,"")</f>
        <v/>
      </c>
      <c r="G8" s="70">
        <f>IFERROR(G7/G3,"")</f>
        <v/>
      </c>
      <c r="H8" s="70">
        <f>IFERROR(H7/H3,"")</f>
        <v/>
      </c>
      <c r="I8" s="70">
        <f>IFERROR(I7/I3,"")</f>
        <v/>
      </c>
      <c r="J8" s="70">
        <f>IFERROR(J7/J3,"")</f>
        <v/>
      </c>
      <c r="K8" s="70">
        <f>IFERROR(K7/K3,"")</f>
        <v/>
      </c>
      <c r="L8" s="70">
        <f>IFERROR(L7/L3,"")</f>
        <v/>
      </c>
      <c r="M8" s="70">
        <f>IFERROR(M7/M3,"")</f>
        <v/>
      </c>
      <c r="N8" s="70">
        <f>IFERROR(N7/N3,"")</f>
        <v/>
      </c>
      <c r="O8" s="70">
        <f>IFERROR(O7/O3,"")</f>
        <v/>
      </c>
      <c r="P8" s="70">
        <f>IFERROR(P7/P3,"")</f>
        <v/>
      </c>
      <c r="Q8" s="70">
        <f>IFERROR(Q7/Q3,"")</f>
        <v/>
      </c>
      <c r="R8" s="70">
        <f>IFERROR(R7/R3,"")</f>
        <v/>
      </c>
      <c r="S8" s="70">
        <f>IFERROR(S7/S3,"")</f>
        <v/>
      </c>
      <c r="T8" s="70">
        <f>IFERROR(T7/T3,"")</f>
        <v/>
      </c>
      <c r="U8" s="70">
        <f>IFERROR(U7/U3,"")</f>
        <v/>
      </c>
      <c r="V8" s="70">
        <f>IFERROR(V7/V3,"")</f>
        <v/>
      </c>
      <c r="W8" s="70">
        <f>IFERROR(W7/W3,"")</f>
        <v/>
      </c>
      <c r="X8" s="70">
        <f>IFERROR(X7/X3,"")</f>
        <v/>
      </c>
      <c r="Y8" s="70">
        <f>IFERROR(Y7/Y3,"")</f>
        <v/>
      </c>
      <c r="Z8" s="70">
        <f>IFERROR(Z7/Z3,"")</f>
        <v/>
      </c>
      <c r="AA8" s="70">
        <f>IFERROR(AA7/AA3,"")</f>
        <v/>
      </c>
      <c r="AB8" s="70">
        <f>IFERROR(AB7/AB3,"")</f>
        <v/>
      </c>
      <c r="AC8" s="70">
        <f>IFERROR(AC7/AC3,"")</f>
        <v/>
      </c>
    </row>
    <row r="9">
      <c r="A9" s="4" t="inlineStr">
        <is>
          <t>SG&amp;A Expense</t>
        </is>
      </c>
      <c r="B9" s="18" t="n">
        <v>710</v>
      </c>
      <c r="C9" s="18" t="n">
        <v>796</v>
      </c>
      <c r="D9" s="18" t="n">
        <v>693</v>
      </c>
      <c r="E9" s="18" t="n">
        <v>607</v>
      </c>
      <c r="F9" s="18" t="n">
        <v>527</v>
      </c>
      <c r="G9" s="18" t="n">
        <v>648</v>
      </c>
      <c r="H9" s="18" t="n">
        <v>491</v>
      </c>
      <c r="I9" s="18" t="n">
        <v>651</v>
      </c>
      <c r="J9" s="18" t="n">
        <v>580</v>
      </c>
      <c r="K9" s="18" t="n">
        <v>802</v>
      </c>
      <c r="L9" s="18" t="n">
        <v>622</v>
      </c>
      <c r="M9" s="18" t="n">
        <v>764</v>
      </c>
      <c r="N9" s="18" t="n">
        <v>719</v>
      </c>
      <c r="O9" s="18" t="n">
        <v>930</v>
      </c>
      <c r="P9" s="18" t="n">
        <v>763</v>
      </c>
      <c r="Q9" s="18" t="n">
        <v>721</v>
      </c>
      <c r="R9" s="18" t="n">
        <v>744</v>
      </c>
      <c r="S9" s="18" t="n">
        <v>988</v>
      </c>
      <c r="T9" s="18" t="n">
        <v>764</v>
      </c>
      <c r="U9" s="18" t="n">
        <v>950</v>
      </c>
      <c r="V9" s="18" t="n">
        <v>912</v>
      </c>
      <c r="W9" s="18" t="n">
        <v>1167</v>
      </c>
      <c r="X9" s="18" t="n">
        <v>930</v>
      </c>
      <c r="Y9" s="18" t="n">
        <v>973</v>
      </c>
      <c r="Z9" s="18" t="n">
        <v>1090</v>
      </c>
      <c r="AA9" s="18" t="n">
        <v>1376</v>
      </c>
      <c r="AB9" s="18" t="n">
        <v>1133</v>
      </c>
      <c r="AC9" s="18" t="n">
        <v>1233</v>
      </c>
    </row>
    <row r="10">
      <c r="A10" s="4" t="inlineStr">
        <is>
          <t xml:space="preserve">    % of revenue</t>
        </is>
      </c>
      <c r="B10" s="70">
        <f>IFERROR(B9/B3,"")</f>
        <v/>
      </c>
      <c r="C10" s="70">
        <f>IFERROR(C9/C3,"")</f>
        <v/>
      </c>
      <c r="D10" s="70">
        <f>IFERROR(D9/D3,"")</f>
        <v/>
      </c>
      <c r="E10" s="70">
        <f>IFERROR(E9/E3,"")</f>
        <v/>
      </c>
      <c r="F10" s="70">
        <f>IFERROR(F9/F3,"")</f>
        <v/>
      </c>
      <c r="G10" s="70">
        <f>IFERROR(G9/G3,"")</f>
        <v/>
      </c>
      <c r="H10" s="70">
        <f>IFERROR(H9/H3,"")</f>
        <v/>
      </c>
      <c r="I10" s="70">
        <f>IFERROR(I9/I3,"")</f>
        <v/>
      </c>
      <c r="J10" s="70">
        <f>IFERROR(J9/J3,"")</f>
        <v/>
      </c>
      <c r="K10" s="70">
        <f>IFERROR(K9/K3,"")</f>
        <v/>
      </c>
      <c r="L10" s="70">
        <f>IFERROR(L9/L3,"")</f>
        <v/>
      </c>
      <c r="M10" s="70">
        <f>IFERROR(M9/M3,"")</f>
        <v/>
      </c>
      <c r="N10" s="70">
        <f>IFERROR(N9/N3,"")</f>
        <v/>
      </c>
      <c r="O10" s="70">
        <f>IFERROR(O9/O3,"")</f>
        <v/>
      </c>
      <c r="P10" s="70">
        <f>IFERROR(P9/P3,"")</f>
        <v/>
      </c>
      <c r="Q10" s="70">
        <f>IFERROR(Q9/Q3,"")</f>
        <v/>
      </c>
      <c r="R10" s="70">
        <f>IFERROR(R9/R3,"")</f>
        <v/>
      </c>
      <c r="S10" s="70">
        <f>IFERROR(S9/S3,"")</f>
        <v/>
      </c>
      <c r="T10" s="70">
        <f>IFERROR(T9/T3,"")</f>
        <v/>
      </c>
      <c r="U10" s="70">
        <f>IFERROR(U9/U3,"")</f>
        <v/>
      </c>
      <c r="V10" s="70">
        <f>IFERROR(V9/V3,"")</f>
        <v/>
      </c>
      <c r="W10" s="70">
        <f>IFERROR(W9/W3,"")</f>
        <v/>
      </c>
      <c r="X10" s="70">
        <f>IFERROR(X9/X3,"")</f>
        <v/>
      </c>
      <c r="Y10" s="70">
        <f>IFERROR(Y9/Y3,"")</f>
        <v/>
      </c>
      <c r="Z10" s="70">
        <f>IFERROR(Z9/Z3,"")</f>
        <v/>
      </c>
      <c r="AA10" s="70">
        <f>IFERROR(AA9/AA3,"")</f>
        <v/>
      </c>
      <c r="AB10" s="70">
        <f>IFERROR(AB9/AB3,"")</f>
        <v/>
      </c>
      <c r="AC10" s="70">
        <f>IFERROR(AC9/AC3,"")</f>
        <v/>
      </c>
    </row>
    <row r="11">
      <c r="A11" s="4" t="inlineStr">
        <is>
          <t>Gross Profit</t>
        </is>
      </c>
      <c r="B11" s="18" t="n">
        <v>4784</v>
      </c>
      <c r="C11" s="18" t="n">
        <v>5073</v>
      </c>
      <c r="D11" s="18" t="n">
        <v>4891</v>
      </c>
      <c r="E11" s="18" t="n">
        <v>4731</v>
      </c>
      <c r="F11" s="18" t="n">
        <v>3724</v>
      </c>
      <c r="G11" s="18" t="n">
        <v>3988</v>
      </c>
      <c r="H11" s="18" t="n">
        <v>4533</v>
      </c>
      <c r="I11" s="18" t="n">
        <v>4436</v>
      </c>
      <c r="J11" s="18" t="n">
        <v>4846</v>
      </c>
      <c r="K11" s="18" t="n">
        <v>5320</v>
      </c>
      <c r="L11" s="18" t="n">
        <v>5744</v>
      </c>
      <c r="M11" s="18" t="n">
        <v>5773</v>
      </c>
      <c r="N11" s="18" t="n">
        <v>5814</v>
      </c>
      <c r="O11" s="18" t="n">
        <v>6246</v>
      </c>
      <c r="P11" s="18" t="n">
        <v>6421</v>
      </c>
      <c r="Q11" s="18" t="n">
        <v>6291</v>
      </c>
      <c r="R11" s="18" t="n">
        <v>6460</v>
      </c>
      <c r="S11" s="18" t="n">
        <v>6914</v>
      </c>
      <c r="T11" s="18" t="n">
        <v>6974</v>
      </c>
      <c r="U11" s="18" t="n">
        <v>6983</v>
      </c>
      <c r="V11" s="18" t="n">
        <v>7127</v>
      </c>
      <c r="W11" s="18" t="n">
        <v>7800</v>
      </c>
      <c r="X11" s="18" t="n">
        <v>7490</v>
      </c>
      <c r="Y11" s="18" t="n">
        <v>7713</v>
      </c>
      <c r="Z11" s="18" t="n">
        <v>8199</v>
      </c>
      <c r="AA11" s="18" t="n">
        <v>8743</v>
      </c>
      <c r="AB11" s="18" t="n">
        <v>8904</v>
      </c>
      <c r="AC11" s="18" t="n">
        <v>9129</v>
      </c>
    </row>
    <row r="12">
      <c r="A12" s="4" t="inlineStr">
        <is>
          <t xml:space="preserve">    gross margin</t>
        </is>
      </c>
      <c r="B12" s="70">
        <f>IFERROR(B11/B3,"")</f>
        <v/>
      </c>
      <c r="C12" s="70">
        <f>IFERROR(C11/C3,"")</f>
        <v/>
      </c>
      <c r="D12" s="70">
        <f>IFERROR(D11/D3,"")</f>
        <v/>
      </c>
      <c r="E12" s="70">
        <f>IFERROR(E11/E3,"")</f>
        <v/>
      </c>
      <c r="F12" s="70">
        <f>IFERROR(F11/F3,"")</f>
        <v/>
      </c>
      <c r="G12" s="70">
        <f>IFERROR(G11/G3,"")</f>
        <v/>
      </c>
      <c r="H12" s="70">
        <f>IFERROR(H11/H3,"")</f>
        <v/>
      </c>
      <c r="I12" s="70">
        <f>IFERROR(I11/I3,"")</f>
        <v/>
      </c>
      <c r="J12" s="70">
        <f>IFERROR(J11/J3,"")</f>
        <v/>
      </c>
      <c r="K12" s="70">
        <f>IFERROR(K11/K3,"")</f>
        <v/>
      </c>
      <c r="L12" s="70">
        <f>IFERROR(L11/L3,"")</f>
        <v/>
      </c>
      <c r="M12" s="70">
        <f>IFERROR(M11/M3,"")</f>
        <v/>
      </c>
      <c r="N12" s="70">
        <f>IFERROR(N11/N3,"")</f>
        <v/>
      </c>
      <c r="O12" s="70">
        <f>IFERROR(O11/O3,"")</f>
        <v/>
      </c>
      <c r="P12" s="70">
        <f>IFERROR(P11/P3,"")</f>
        <v/>
      </c>
      <c r="Q12" s="70">
        <f>IFERROR(Q11/Q3,"")</f>
        <v/>
      </c>
      <c r="R12" s="70">
        <f>IFERROR(R11/R3,"")</f>
        <v/>
      </c>
      <c r="S12" s="70">
        <f>IFERROR(S11/S3,"")</f>
        <v/>
      </c>
      <c r="T12" s="70">
        <f>IFERROR(T11/T3,"")</f>
        <v/>
      </c>
      <c r="U12" s="70">
        <f>IFERROR(U11/U3,"")</f>
        <v/>
      </c>
      <c r="V12" s="70">
        <f>IFERROR(V11/V3,"")</f>
        <v/>
      </c>
      <c r="W12" s="70">
        <f>IFERROR(W11/W3,"")</f>
        <v/>
      </c>
      <c r="X12" s="70">
        <f>IFERROR(X11/X3,"")</f>
        <v/>
      </c>
      <c r="Y12" s="70">
        <f>IFERROR(Y11/Y3,"")</f>
        <v/>
      </c>
      <c r="Z12" s="70">
        <f>IFERROR(Z11/Z3,"")</f>
        <v/>
      </c>
      <c r="AA12" s="70">
        <f>IFERROR(AA11/AA3,"")</f>
        <v/>
      </c>
      <c r="AB12" s="70">
        <f>IFERROR(AB11/AB3,"")</f>
        <v/>
      </c>
      <c r="AC12" s="70">
        <f>IFERROR(AC11/AC3,"")</f>
        <v/>
      </c>
    </row>
    <row r="13">
      <c r="A13" s="4" t="inlineStr">
        <is>
          <t>Operating Income</t>
        </is>
      </c>
      <c r="B13" s="18" t="n">
        <v>3908</v>
      </c>
      <c r="C13" s="18" t="n">
        <v>3735</v>
      </c>
      <c r="D13" s="18" t="n">
        <v>4016</v>
      </c>
      <c r="E13" s="18" t="n">
        <v>3924</v>
      </c>
      <c r="F13" s="18" t="n">
        <v>2999</v>
      </c>
      <c r="G13" s="18" t="n">
        <v>3142</v>
      </c>
      <c r="H13" s="18" t="n">
        <v>3844</v>
      </c>
      <c r="I13" s="18" t="n">
        <v>3581</v>
      </c>
      <c r="J13" s="18" t="n">
        <v>4064</v>
      </c>
      <c r="K13" s="18" t="n">
        <v>4315</v>
      </c>
      <c r="L13" s="18" t="n">
        <v>4776</v>
      </c>
      <c r="M13" s="18" t="n">
        <v>4802</v>
      </c>
      <c r="N13" s="18" t="n">
        <v>4148</v>
      </c>
      <c r="O13" s="18" t="n">
        <v>5087</v>
      </c>
      <c r="P13" s="18" t="n">
        <v>5090</v>
      </c>
      <c r="Q13" s="18" t="n">
        <v>5336</v>
      </c>
      <c r="R13" s="18" t="n">
        <v>5024</v>
      </c>
      <c r="S13" s="18" t="n">
        <v>5550</v>
      </c>
      <c r="T13" s="18" t="n">
        <v>5954</v>
      </c>
      <c r="U13" s="18" t="n">
        <v>5354</v>
      </c>
      <c r="V13" s="18" t="n">
        <v>5938</v>
      </c>
      <c r="W13" s="18" t="n">
        <v>6349</v>
      </c>
      <c r="X13" s="18" t="n">
        <v>6234</v>
      </c>
      <c r="Y13" s="18" t="n">
        <v>5435</v>
      </c>
      <c r="Z13" s="18" t="n">
        <v>6177</v>
      </c>
      <c r="AA13" s="18" t="n">
        <v>6148</v>
      </c>
      <c r="AB13" s="18" t="n">
        <v>6737</v>
      </c>
      <c r="AC13" s="18" t="n">
        <v>7234</v>
      </c>
    </row>
    <row r="14">
      <c r="A14" s="4" t="inlineStr">
        <is>
          <t xml:space="preserve">    operating margin</t>
        </is>
      </c>
      <c r="B14" s="70">
        <f>IFERROR(B13/B3,"")</f>
        <v/>
      </c>
      <c r="C14" s="70">
        <f>IFERROR(C13/C3,"")</f>
        <v/>
      </c>
      <c r="D14" s="70">
        <f>IFERROR(D13/D3,"")</f>
        <v/>
      </c>
      <c r="E14" s="70">
        <f>IFERROR(E13/E3,"")</f>
        <v/>
      </c>
      <c r="F14" s="70">
        <f>IFERROR(F13/F3,"")</f>
        <v/>
      </c>
      <c r="G14" s="70">
        <f>IFERROR(G13/G3,"")</f>
        <v/>
      </c>
      <c r="H14" s="70">
        <f>IFERROR(H13/H3,"")</f>
        <v/>
      </c>
      <c r="I14" s="70">
        <f>IFERROR(I13/I3,"")</f>
        <v/>
      </c>
      <c r="J14" s="70">
        <f>IFERROR(J13/J3,"")</f>
        <v/>
      </c>
      <c r="K14" s="70">
        <f>IFERROR(K13/K3,"")</f>
        <v/>
      </c>
      <c r="L14" s="70">
        <f>IFERROR(L13/L3,"")</f>
        <v/>
      </c>
      <c r="M14" s="70">
        <f>IFERROR(M13/M3,"")</f>
        <v/>
      </c>
      <c r="N14" s="70">
        <f>IFERROR(N13/N3,"")</f>
        <v/>
      </c>
      <c r="O14" s="70">
        <f>IFERROR(O13/O3,"")</f>
        <v/>
      </c>
      <c r="P14" s="70">
        <f>IFERROR(P13/P3,"")</f>
        <v/>
      </c>
      <c r="Q14" s="70">
        <f>IFERROR(Q13/Q3,"")</f>
        <v/>
      </c>
      <c r="R14" s="70">
        <f>IFERROR(R13/R3,"")</f>
        <v/>
      </c>
      <c r="S14" s="70">
        <f>IFERROR(S13/S3,"")</f>
        <v/>
      </c>
      <c r="T14" s="70">
        <f>IFERROR(T13/T3,"")</f>
        <v/>
      </c>
      <c r="U14" s="70">
        <f>IFERROR(U13/U3,"")</f>
        <v/>
      </c>
      <c r="V14" s="70">
        <f>IFERROR(V13/V3,"")</f>
        <v/>
      </c>
      <c r="W14" s="70">
        <f>IFERROR(W13/W3,"")</f>
        <v/>
      </c>
      <c r="X14" s="70">
        <f>IFERROR(X13/X3,"")</f>
        <v/>
      </c>
      <c r="Y14" s="70">
        <f>IFERROR(Y13/Y3,"")</f>
        <v/>
      </c>
      <c r="Z14" s="70">
        <f>IFERROR(Z13/Z3,"")</f>
        <v/>
      </c>
      <c r="AA14" s="70">
        <f>IFERROR(AA13/AA3,"")</f>
        <v/>
      </c>
      <c r="AB14" s="70">
        <f>IFERROR(AB13/AB3,"")</f>
        <v/>
      </c>
      <c r="AC14" s="70">
        <f>IFERROR(AC13/AC3,"")</f>
        <v/>
      </c>
    </row>
    <row r="15">
      <c r="A15" s="4" t="inlineStr">
        <is>
          <t>Net Income</t>
        </is>
      </c>
      <c r="B15" s="18" t="n">
        <v>3101</v>
      </c>
      <c r="C15" s="18" t="n">
        <v>3025</v>
      </c>
      <c r="D15" s="18" t="n">
        <v>3272</v>
      </c>
      <c r="E15" s="18" t="n">
        <v>3084</v>
      </c>
      <c r="F15" s="18" t="n">
        <v>2373</v>
      </c>
      <c r="G15" s="18" t="n">
        <v>2137</v>
      </c>
      <c r="H15" s="18" t="n">
        <v>3126</v>
      </c>
      <c r="I15" s="18" t="n">
        <v>3026</v>
      </c>
      <c r="J15" s="18" t="n">
        <v>2575</v>
      </c>
      <c r="K15" s="18" t="n">
        <v>3584</v>
      </c>
      <c r="L15" s="18" t="n">
        <v>3959</v>
      </c>
      <c r="M15" s="18" t="n">
        <v>3647</v>
      </c>
      <c r="N15" s="18" t="n">
        <v>3411</v>
      </c>
      <c r="O15" s="18" t="n">
        <v>3940</v>
      </c>
      <c r="P15" s="18" t="n">
        <v>4179</v>
      </c>
      <c r="Q15" s="18" t="n">
        <v>4257</v>
      </c>
      <c r="R15" s="18" t="n">
        <v>4156</v>
      </c>
      <c r="S15" s="18" t="n">
        <v>4681</v>
      </c>
      <c r="T15" s="18" t="n">
        <v>4890</v>
      </c>
      <c r="U15" s="18" t="n">
        <v>4663</v>
      </c>
      <c r="V15" s="18" t="n">
        <v>4872</v>
      </c>
      <c r="W15" s="18" t="n">
        <v>5318</v>
      </c>
      <c r="X15" s="18" t="n">
        <v>5119</v>
      </c>
      <c r="Y15" s="18" t="n">
        <v>4577</v>
      </c>
      <c r="Z15" s="18" t="n">
        <v>5272</v>
      </c>
      <c r="AA15" s="18" t="n">
        <v>5090</v>
      </c>
      <c r="AB15" s="18" t="n">
        <v>5853</v>
      </c>
      <c r="AC15" s="18" t="n">
        <v>6021</v>
      </c>
    </row>
    <row r="16">
      <c r="A16" s="4" t="inlineStr">
        <is>
          <t xml:space="preserve">    net margin</t>
        </is>
      </c>
      <c r="B16" s="70">
        <f>IFERROR(B15/B3,"")</f>
        <v/>
      </c>
      <c r="C16" s="70">
        <f>IFERROR(C15/C3,"")</f>
        <v/>
      </c>
      <c r="D16" s="70">
        <f>IFERROR(D15/D3,"")</f>
        <v/>
      </c>
      <c r="E16" s="70">
        <f>IFERROR(E15/E3,"")</f>
        <v/>
      </c>
      <c r="F16" s="70">
        <f>IFERROR(F15/F3,"")</f>
        <v/>
      </c>
      <c r="G16" s="70">
        <f>IFERROR(G15/G3,"")</f>
        <v/>
      </c>
      <c r="H16" s="70">
        <f>IFERROR(H15/H3,"")</f>
        <v/>
      </c>
      <c r="I16" s="70">
        <f>IFERROR(I15/I3,"")</f>
        <v/>
      </c>
      <c r="J16" s="70">
        <f>IFERROR(J15/J3,"")</f>
        <v/>
      </c>
      <c r="K16" s="70">
        <f>IFERROR(K15/K3,"")</f>
        <v/>
      </c>
      <c r="L16" s="70">
        <f>IFERROR(L15/L3,"")</f>
        <v/>
      </c>
      <c r="M16" s="70">
        <f>IFERROR(M15/M3,"")</f>
        <v/>
      </c>
      <c r="N16" s="70">
        <f>IFERROR(N15/N3,"")</f>
        <v/>
      </c>
      <c r="O16" s="70">
        <f>IFERROR(O15/O3,"")</f>
        <v/>
      </c>
      <c r="P16" s="70">
        <f>IFERROR(P15/P3,"")</f>
        <v/>
      </c>
      <c r="Q16" s="70">
        <f>IFERROR(Q15/Q3,"")</f>
        <v/>
      </c>
      <c r="R16" s="70">
        <f>IFERROR(R15/R3,"")</f>
        <v/>
      </c>
      <c r="S16" s="70">
        <f>IFERROR(S15/S3,"")</f>
        <v/>
      </c>
      <c r="T16" s="70">
        <f>IFERROR(T15/T3,"")</f>
        <v/>
      </c>
      <c r="U16" s="70">
        <f>IFERROR(U15/U3,"")</f>
        <v/>
      </c>
      <c r="V16" s="70">
        <f>IFERROR(V15/V3,"")</f>
        <v/>
      </c>
      <c r="W16" s="70">
        <f>IFERROR(W15/W3,"")</f>
        <v/>
      </c>
      <c r="X16" s="70">
        <f>IFERROR(X15/X3,"")</f>
        <v/>
      </c>
      <c r="Y16" s="70">
        <f>IFERROR(Y15/Y3,"")</f>
        <v/>
      </c>
      <c r="Z16" s="70">
        <f>IFERROR(Z15/Z3,"")</f>
        <v/>
      </c>
      <c r="AA16" s="70">
        <f>IFERROR(AA15/AA3,"")</f>
        <v/>
      </c>
      <c r="AB16" s="70">
        <f>IFERROR(AB15/AB3,"")</f>
        <v/>
      </c>
      <c r="AC16" s="70">
        <f>IFERROR(AC15/AC3,"")</f>
        <v/>
      </c>
    </row>
    <row r="17">
      <c r="A17" s="4" t="inlineStr">
        <is>
          <t>Diluted Shares (M)</t>
        </is>
      </c>
      <c r="B17" s="18" t="n">
        <v>2265</v>
      </c>
      <c r="C17" s="18" t="n">
        <v>2253</v>
      </c>
      <c r="D17" s="18" t="n">
        <v>2240</v>
      </c>
      <c r="E17" s="18" t="n">
        <v>2228</v>
      </c>
      <c r="F17" s="18" t="n">
        <v>2214</v>
      </c>
      <c r="G17" s="18" t="n">
        <v>2208</v>
      </c>
      <c r="H17" s="18" t="n">
        <v>2200</v>
      </c>
      <c r="I17" s="18" t="n">
        <v>2193</v>
      </c>
      <c r="J17" s="18" t="n">
        <v>2184</v>
      </c>
      <c r="K17" s="18" t="n">
        <v>2175</v>
      </c>
      <c r="L17" s="18" t="n">
        <v>2159</v>
      </c>
      <c r="M17" s="18" t="n">
        <v>2142</v>
      </c>
      <c r="N17" s="18" t="n">
        <v>2129</v>
      </c>
      <c r="O17" s="18" t="n">
        <v>2116</v>
      </c>
      <c r="P17" s="18" t="n">
        <v>2102</v>
      </c>
      <c r="Q17" s="18" t="n">
        <v>2093</v>
      </c>
      <c r="R17" s="18" t="n">
        <v>2080</v>
      </c>
      <c r="S17" s="18" t="n">
        <v>2065</v>
      </c>
      <c r="T17" s="18" t="n">
        <v>2045</v>
      </c>
      <c r="U17" s="18" t="n">
        <v>2039</v>
      </c>
      <c r="V17" s="18" t="n">
        <v>2029</v>
      </c>
      <c r="W17" s="18" t="n">
        <v>2003</v>
      </c>
      <c r="X17" s="18" t="n">
        <v>1985</v>
      </c>
      <c r="Y17" s="18" t="n">
        <v>1974</v>
      </c>
      <c r="Z17" s="18" t="n">
        <v>1959</v>
      </c>
      <c r="AA17" s="18" t="n">
        <v>1945</v>
      </c>
      <c r="AB17" s="18" t="n">
        <v>1933</v>
      </c>
      <c r="AC17" s="18" t="n">
        <v>1933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Data Processing Revenues</t>
        </is>
      </c>
      <c r="B19" s="18" t="n">
        <v>2662</v>
      </c>
      <c r="C19" s="18" t="n">
        <v>2769</v>
      </c>
      <c r="D19" s="18" t="n">
        <v>2864</v>
      </c>
      <c r="E19" s="18" t="n">
        <v>2711</v>
      </c>
      <c r="F19" s="18" t="n">
        <v>2525</v>
      </c>
      <c r="G19" s="18" t="n">
        <v>2875</v>
      </c>
      <c r="H19" s="18" t="n">
        <v>3033</v>
      </c>
      <c r="I19" s="18" t="n">
        <v>2996</v>
      </c>
      <c r="J19" s="18" t="n">
        <v>3327</v>
      </c>
      <c r="K19" s="18" t="n">
        <v>3436</v>
      </c>
      <c r="L19" s="18" t="n">
        <v>3614</v>
      </c>
      <c r="M19" s="18" t="n">
        <v>3480</v>
      </c>
      <c r="N19" s="18" t="n">
        <v>3579</v>
      </c>
      <c r="O19" s="18" t="n">
        <v>3765</v>
      </c>
      <c r="P19" s="18" t="n">
        <v>3827</v>
      </c>
      <c r="Q19" s="18" t="n">
        <v>3819</v>
      </c>
      <c r="R19" s="18" t="n">
        <v>4105</v>
      </c>
      <c r="S19" s="18" t="n">
        <v>4256</v>
      </c>
      <c r="T19" s="18" t="n">
        <v>4356</v>
      </c>
      <c r="U19" s="18" t="n">
        <v>4259</v>
      </c>
      <c r="V19" s="18" t="n">
        <v>4489</v>
      </c>
      <c r="W19" s="18" t="n">
        <v>4610</v>
      </c>
      <c r="X19" s="18" t="n">
        <v>4745</v>
      </c>
      <c r="Y19" s="18" t="n">
        <v>4701</v>
      </c>
      <c r="Z19" s="18" t="n">
        <v>5153</v>
      </c>
      <c r="AA19" s="18" t="n">
        <v>5394</v>
      </c>
      <c r="AB19" s="18" t="n">
        <v>5544</v>
      </c>
      <c r="AC19" s="18" t="n">
        <v>5543</v>
      </c>
    </row>
    <row r="20">
      <c r="A20" s="4" t="inlineStr">
        <is>
          <t xml:space="preserve">    % YoY</t>
        </is>
      </c>
      <c r="F20" s="70">
        <f>IFERROR(F19/B19-1,"")</f>
        <v/>
      </c>
      <c r="G20" s="70">
        <f>IFERROR(G19/C19-1,"")</f>
        <v/>
      </c>
      <c r="H20" s="70">
        <f>IFERROR(H19/D19-1,"")</f>
        <v/>
      </c>
      <c r="I20" s="70">
        <f>IFERROR(I19/E19-1,"")</f>
        <v/>
      </c>
      <c r="J20" s="70">
        <f>IFERROR(J19/F19-1,"")</f>
        <v/>
      </c>
      <c r="K20" s="70">
        <f>IFERROR(K19/G19-1,"")</f>
        <v/>
      </c>
      <c r="L20" s="70">
        <f>IFERROR(L19/H19-1,"")</f>
        <v/>
      </c>
      <c r="M20" s="70">
        <f>IFERROR(M19/I19-1,"")</f>
        <v/>
      </c>
      <c r="N20" s="70">
        <f>IFERROR(N19/J19-1,"")</f>
        <v/>
      </c>
      <c r="O20" s="70">
        <f>IFERROR(O19/K19-1,"")</f>
        <v/>
      </c>
      <c r="P20" s="70">
        <f>IFERROR(P19/L19-1,"")</f>
        <v/>
      </c>
      <c r="Q20" s="70">
        <f>IFERROR(Q19/M19-1,"")</f>
        <v/>
      </c>
      <c r="R20" s="70">
        <f>IFERROR(R19/N19-1,"")</f>
        <v/>
      </c>
      <c r="S20" s="70">
        <f>IFERROR(S19/O19-1,"")</f>
        <v/>
      </c>
      <c r="T20" s="70">
        <f>IFERROR(T19/P19-1,"")</f>
        <v/>
      </c>
      <c r="U20" s="70">
        <f>IFERROR(U19/Q19-1,"")</f>
        <v/>
      </c>
      <c r="V20" s="70">
        <f>IFERROR(V19/R19-1,"")</f>
        <v/>
      </c>
      <c r="W20" s="70">
        <f>IFERROR(W19/S19-1,"")</f>
        <v/>
      </c>
      <c r="X20" s="70">
        <f>IFERROR(X19/T19-1,"")</f>
        <v/>
      </c>
      <c r="Y20" s="70">
        <f>IFERROR(Y19/U19-1,"")</f>
        <v/>
      </c>
      <c r="Z20" s="70">
        <f>IFERROR(Z19/V19-1,"")</f>
        <v/>
      </c>
      <c r="AA20" s="70">
        <f>IFERROR(AA19/W19-1,"")</f>
        <v/>
      </c>
      <c r="AB20" s="70">
        <f>IFERROR(AB19/X19-1,"")</f>
        <v/>
      </c>
      <c r="AC20" s="70">
        <f>IFERROR(AC19/Y19-1,"")</f>
        <v/>
      </c>
    </row>
    <row r="21">
      <c r="A21" s="4" t="inlineStr">
        <is>
          <t xml:space="preserve">    % of revenue</t>
        </is>
      </c>
      <c r="B21" s="70">
        <f>IFERROR(B19/B3,"")</f>
        <v/>
      </c>
      <c r="C21" s="70">
        <f>IFERROR(C19/C3,"")</f>
        <v/>
      </c>
      <c r="D21" s="70">
        <f>IFERROR(D19/D3,"")</f>
        <v/>
      </c>
      <c r="E21" s="70">
        <f>IFERROR(E19/E3,"")</f>
        <v/>
      </c>
      <c r="F21" s="70">
        <f>IFERROR(F19/F3,"")</f>
        <v/>
      </c>
      <c r="G21" s="70">
        <f>IFERROR(G19/G3,"")</f>
        <v/>
      </c>
      <c r="H21" s="70">
        <f>IFERROR(H19/H3,"")</f>
        <v/>
      </c>
      <c r="I21" s="70">
        <f>IFERROR(I19/I3,"")</f>
        <v/>
      </c>
      <c r="J21" s="70">
        <f>IFERROR(J19/J3,"")</f>
        <v/>
      </c>
      <c r="K21" s="70">
        <f>IFERROR(K19/K3,"")</f>
        <v/>
      </c>
      <c r="L21" s="70">
        <f>IFERROR(L19/L3,"")</f>
        <v/>
      </c>
      <c r="M21" s="70">
        <f>IFERROR(M19/M3,"")</f>
        <v/>
      </c>
      <c r="N21" s="70">
        <f>IFERROR(N19/N3,"")</f>
        <v/>
      </c>
      <c r="O21" s="70">
        <f>IFERROR(O19/O3,"")</f>
        <v/>
      </c>
      <c r="P21" s="70">
        <f>IFERROR(P19/P3,"")</f>
        <v/>
      </c>
      <c r="Q21" s="70">
        <f>IFERROR(Q19/Q3,"")</f>
        <v/>
      </c>
      <c r="R21" s="70">
        <f>IFERROR(R19/R3,"")</f>
        <v/>
      </c>
      <c r="S21" s="70">
        <f>IFERROR(S19/S3,"")</f>
        <v/>
      </c>
      <c r="T21" s="70">
        <f>IFERROR(T19/T3,"")</f>
        <v/>
      </c>
      <c r="U21" s="70">
        <f>IFERROR(U19/U3,"")</f>
        <v/>
      </c>
      <c r="V21" s="70">
        <f>IFERROR(V19/V3,"")</f>
        <v/>
      </c>
      <c r="W21" s="70">
        <f>IFERROR(W19/W3,"")</f>
        <v/>
      </c>
      <c r="X21" s="70">
        <f>IFERROR(X19/X3,"")</f>
        <v/>
      </c>
      <c r="Y21" s="70">
        <f>IFERROR(Y19/Y3,"")</f>
        <v/>
      </c>
      <c r="Z21" s="70">
        <f>IFERROR(Z19/Z3,"")</f>
        <v/>
      </c>
      <c r="AA21" s="70">
        <f>IFERROR(AA19/AA3,"")</f>
        <v/>
      </c>
      <c r="AB21" s="70">
        <f>IFERROR(AB19/AB3,"")</f>
        <v/>
      </c>
      <c r="AC21" s="70">
        <f>IFERROR(AC19/AC3,"")</f>
        <v/>
      </c>
    </row>
    <row r="22">
      <c r="A22" s="4" t="inlineStr">
        <is>
          <t>Service</t>
        </is>
      </c>
      <c r="B22" s="18" t="n">
        <v>2405</v>
      </c>
      <c r="C22" s="18" t="n">
        <v>2536</v>
      </c>
      <c r="D22" s="18" t="n">
        <v>2555</v>
      </c>
      <c r="E22" s="18" t="n">
        <v>2623</v>
      </c>
      <c r="F22" s="18" t="n">
        <v>2409</v>
      </c>
      <c r="G22" s="18" t="n">
        <v>2217</v>
      </c>
      <c r="H22" s="18" t="n">
        <v>2677</v>
      </c>
      <c r="I22" s="18" t="n">
        <v>2845</v>
      </c>
      <c r="J22" s="18" t="n">
        <v>2828</v>
      </c>
      <c r="K22" s="18" t="n">
        <v>3125</v>
      </c>
      <c r="L22" s="18" t="n">
        <v>3193</v>
      </c>
      <c r="M22" s="18" t="n">
        <v>3521</v>
      </c>
      <c r="N22" s="18" t="n">
        <v>3189</v>
      </c>
      <c r="O22" s="18" t="n">
        <v>3458</v>
      </c>
      <c r="P22" s="18" t="n">
        <v>3511</v>
      </c>
      <c r="Q22" s="18" t="n">
        <v>3771</v>
      </c>
      <c r="R22" s="18" t="n">
        <v>3668</v>
      </c>
      <c r="S22" s="18" t="n">
        <v>3876</v>
      </c>
      <c r="T22" s="18" t="n">
        <v>3915</v>
      </c>
      <c r="U22" s="18" t="n">
        <v>4033</v>
      </c>
      <c r="V22" s="18" t="n">
        <v>3967</v>
      </c>
      <c r="W22" s="18" t="n">
        <v>4199</v>
      </c>
      <c r="X22" s="18" t="n">
        <v>4208</v>
      </c>
      <c r="Y22" s="18" t="n">
        <v>4399</v>
      </c>
      <c r="Z22" s="18" t="n">
        <v>4330</v>
      </c>
      <c r="AA22" s="18" t="n">
        <v>4602</v>
      </c>
      <c r="AB22" s="18" t="n">
        <v>4760</v>
      </c>
      <c r="AC22" s="18" t="n">
        <v>4981</v>
      </c>
    </row>
    <row r="23">
      <c r="A23" s="4" t="inlineStr">
        <is>
          <t xml:space="preserve">    % YoY</t>
        </is>
      </c>
      <c r="F23" s="70">
        <f>IFERROR(F22/B22-1,"")</f>
        <v/>
      </c>
      <c r="G23" s="70">
        <f>IFERROR(G22/C22-1,"")</f>
        <v/>
      </c>
      <c r="H23" s="70">
        <f>IFERROR(H22/D22-1,"")</f>
        <v/>
      </c>
      <c r="I23" s="70">
        <f>IFERROR(I22/E22-1,"")</f>
        <v/>
      </c>
      <c r="J23" s="70">
        <f>IFERROR(J22/F22-1,"")</f>
        <v/>
      </c>
      <c r="K23" s="70">
        <f>IFERROR(K22/G22-1,"")</f>
        <v/>
      </c>
      <c r="L23" s="70">
        <f>IFERROR(L22/H22-1,"")</f>
        <v/>
      </c>
      <c r="M23" s="70">
        <f>IFERROR(M22/I22-1,"")</f>
        <v/>
      </c>
      <c r="N23" s="70">
        <f>IFERROR(N22/J22-1,"")</f>
        <v/>
      </c>
      <c r="O23" s="70">
        <f>IFERROR(O22/K22-1,"")</f>
        <v/>
      </c>
      <c r="P23" s="70">
        <f>IFERROR(P22/L22-1,"")</f>
        <v/>
      </c>
      <c r="Q23" s="70">
        <f>IFERROR(Q22/M22-1,"")</f>
        <v/>
      </c>
      <c r="R23" s="70">
        <f>IFERROR(R22/N22-1,"")</f>
        <v/>
      </c>
      <c r="S23" s="70">
        <f>IFERROR(S22/O22-1,"")</f>
        <v/>
      </c>
      <c r="T23" s="70">
        <f>IFERROR(T22/P22-1,"")</f>
        <v/>
      </c>
      <c r="U23" s="70">
        <f>IFERROR(U22/Q22-1,"")</f>
        <v/>
      </c>
      <c r="V23" s="70">
        <f>IFERROR(V22/R22-1,"")</f>
        <v/>
      </c>
      <c r="W23" s="70">
        <f>IFERROR(W22/S22-1,"")</f>
        <v/>
      </c>
      <c r="X23" s="70">
        <f>IFERROR(X22/T22-1,"")</f>
        <v/>
      </c>
      <c r="Y23" s="70">
        <f>IFERROR(Y22/U22-1,"")</f>
        <v/>
      </c>
      <c r="Z23" s="70">
        <f>IFERROR(Z22/V22-1,"")</f>
        <v/>
      </c>
      <c r="AA23" s="70">
        <f>IFERROR(AA22/W22-1,"")</f>
        <v/>
      </c>
      <c r="AB23" s="70">
        <f>IFERROR(AB22/X22-1,"")</f>
        <v/>
      </c>
      <c r="AC23" s="70">
        <f>IFERROR(AC22/Y22-1,"")</f>
        <v/>
      </c>
    </row>
    <row r="24">
      <c r="A24" s="4" t="inlineStr">
        <is>
          <t xml:space="preserve">    % of revenue</t>
        </is>
      </c>
      <c r="B24" s="70">
        <f>IFERROR(B22/B3,"")</f>
        <v/>
      </c>
      <c r="C24" s="70">
        <f>IFERROR(C22/C3,"")</f>
        <v/>
      </c>
      <c r="D24" s="70">
        <f>IFERROR(D22/D3,"")</f>
        <v/>
      </c>
      <c r="E24" s="70">
        <f>IFERROR(E22/E3,"")</f>
        <v/>
      </c>
      <c r="F24" s="70">
        <f>IFERROR(F22/F3,"")</f>
        <v/>
      </c>
      <c r="G24" s="70">
        <f>IFERROR(G22/G3,"")</f>
        <v/>
      </c>
      <c r="H24" s="70">
        <f>IFERROR(H22/H3,"")</f>
        <v/>
      </c>
      <c r="I24" s="70">
        <f>IFERROR(I22/I3,"")</f>
        <v/>
      </c>
      <c r="J24" s="70">
        <f>IFERROR(J22/J3,"")</f>
        <v/>
      </c>
      <c r="K24" s="70">
        <f>IFERROR(K22/K3,"")</f>
        <v/>
      </c>
      <c r="L24" s="70">
        <f>IFERROR(L22/L3,"")</f>
        <v/>
      </c>
      <c r="M24" s="70">
        <f>IFERROR(M22/M3,"")</f>
        <v/>
      </c>
      <c r="N24" s="70">
        <f>IFERROR(N22/N3,"")</f>
        <v/>
      </c>
      <c r="O24" s="70">
        <f>IFERROR(O22/O3,"")</f>
        <v/>
      </c>
      <c r="P24" s="70">
        <f>IFERROR(P22/P3,"")</f>
        <v/>
      </c>
      <c r="Q24" s="70">
        <f>IFERROR(Q22/Q3,"")</f>
        <v/>
      </c>
      <c r="R24" s="70">
        <f>IFERROR(R22/R3,"")</f>
        <v/>
      </c>
      <c r="S24" s="70">
        <f>IFERROR(S22/S3,"")</f>
        <v/>
      </c>
      <c r="T24" s="70">
        <f>IFERROR(T22/T3,"")</f>
        <v/>
      </c>
      <c r="U24" s="70">
        <f>IFERROR(U22/U3,"")</f>
        <v/>
      </c>
      <c r="V24" s="70">
        <f>IFERROR(V22/V3,"")</f>
        <v/>
      </c>
      <c r="W24" s="70">
        <f>IFERROR(W22/W3,"")</f>
        <v/>
      </c>
      <c r="X24" s="70">
        <f>IFERROR(X22/X3,"")</f>
        <v/>
      </c>
      <c r="Y24" s="70">
        <f>IFERROR(Y22/Y3,"")</f>
        <v/>
      </c>
      <c r="Z24" s="70">
        <f>IFERROR(Z22/Z3,"")</f>
        <v/>
      </c>
      <c r="AA24" s="70">
        <f>IFERROR(AA22/AA3,"")</f>
        <v/>
      </c>
      <c r="AB24" s="70">
        <f>IFERROR(AB22/AB3,"")</f>
        <v/>
      </c>
      <c r="AC24" s="70">
        <f>IFERROR(AC22/AC3,"")</f>
        <v/>
      </c>
    </row>
    <row r="25">
      <c r="A25" s="4" t="inlineStr">
        <is>
          <t>International Transaction Revenues</t>
        </is>
      </c>
      <c r="B25" s="18" t="n">
        <v>1977</v>
      </c>
      <c r="C25" s="18" t="n">
        <v>2180</v>
      </c>
      <c r="D25" s="18" t="n">
        <v>2018</v>
      </c>
      <c r="E25" s="18" t="n">
        <v>1833</v>
      </c>
      <c r="F25" s="18" t="n">
        <v>1102</v>
      </c>
      <c r="G25" s="18" t="n">
        <v>1346</v>
      </c>
      <c r="H25" s="18" t="n">
        <v>1451</v>
      </c>
      <c r="I25" s="18" t="n">
        <v>1488</v>
      </c>
      <c r="J25" s="18" t="n">
        <v>1696</v>
      </c>
      <c r="K25" s="18" t="n">
        <v>1895</v>
      </c>
      <c r="L25" s="18" t="n">
        <v>2174</v>
      </c>
      <c r="M25" s="18" t="n">
        <v>2208</v>
      </c>
      <c r="N25" s="18" t="n">
        <v>2560</v>
      </c>
      <c r="O25" s="18" t="n">
        <v>2873</v>
      </c>
      <c r="P25" s="18" t="n">
        <v>2797</v>
      </c>
      <c r="Q25" s="18" t="n">
        <v>2749</v>
      </c>
      <c r="R25" s="18" t="n">
        <v>2920</v>
      </c>
      <c r="S25" s="18" t="n">
        <v>3172</v>
      </c>
      <c r="T25" s="18" t="n">
        <v>3019</v>
      </c>
      <c r="U25" s="18" t="n">
        <v>2984</v>
      </c>
      <c r="V25" s="18" t="n">
        <v>3194</v>
      </c>
      <c r="W25" s="18" t="n">
        <v>3468</v>
      </c>
      <c r="X25" s="18" t="n">
        <v>3442</v>
      </c>
      <c r="Y25" s="18" t="n">
        <v>3291</v>
      </c>
      <c r="Z25" s="18" t="n">
        <v>3633</v>
      </c>
      <c r="AA25" s="18" t="n">
        <v>3800</v>
      </c>
      <c r="AB25" s="18" t="n">
        <v>3652</v>
      </c>
      <c r="AC25" s="18" t="n">
        <v>3631</v>
      </c>
    </row>
    <row r="26">
      <c r="A26" s="4" t="inlineStr">
        <is>
          <t xml:space="preserve">    % YoY</t>
        </is>
      </c>
      <c r="F26" s="70">
        <f>IFERROR(F25/B25-1,"")</f>
        <v/>
      </c>
      <c r="G26" s="70">
        <f>IFERROR(G25/C25-1,"")</f>
        <v/>
      </c>
      <c r="H26" s="70">
        <f>IFERROR(H25/D25-1,"")</f>
        <v/>
      </c>
      <c r="I26" s="70">
        <f>IFERROR(I25/E25-1,"")</f>
        <v/>
      </c>
      <c r="J26" s="70">
        <f>IFERROR(J25/F25-1,"")</f>
        <v/>
      </c>
      <c r="K26" s="70">
        <f>IFERROR(K25/G25-1,"")</f>
        <v/>
      </c>
      <c r="L26" s="70">
        <f>IFERROR(L25/H25-1,"")</f>
        <v/>
      </c>
      <c r="M26" s="70">
        <f>IFERROR(M25/I25-1,"")</f>
        <v/>
      </c>
      <c r="N26" s="70">
        <f>IFERROR(N25/J25-1,"")</f>
        <v/>
      </c>
      <c r="O26" s="70">
        <f>IFERROR(O25/K25-1,"")</f>
        <v/>
      </c>
      <c r="P26" s="70">
        <f>IFERROR(P25/L25-1,"")</f>
        <v/>
      </c>
      <c r="Q26" s="70">
        <f>IFERROR(Q25/M25-1,"")</f>
        <v/>
      </c>
      <c r="R26" s="70">
        <f>IFERROR(R25/N25-1,"")</f>
        <v/>
      </c>
      <c r="S26" s="70">
        <f>IFERROR(S25/O25-1,"")</f>
        <v/>
      </c>
      <c r="T26" s="70">
        <f>IFERROR(T25/P25-1,"")</f>
        <v/>
      </c>
      <c r="U26" s="70">
        <f>IFERROR(U25/Q25-1,"")</f>
        <v/>
      </c>
      <c r="V26" s="70">
        <f>IFERROR(V25/R25-1,"")</f>
        <v/>
      </c>
      <c r="W26" s="70">
        <f>IFERROR(W25/S25-1,"")</f>
        <v/>
      </c>
      <c r="X26" s="70">
        <f>IFERROR(X25/T25-1,"")</f>
        <v/>
      </c>
      <c r="Y26" s="70">
        <f>IFERROR(Y25/U25-1,"")</f>
        <v/>
      </c>
      <c r="Z26" s="70">
        <f>IFERROR(Z25/V25-1,"")</f>
        <v/>
      </c>
      <c r="AA26" s="70">
        <f>IFERROR(AA25/W25-1,"")</f>
        <v/>
      </c>
      <c r="AB26" s="70">
        <f>IFERROR(AB25/X25-1,"")</f>
        <v/>
      </c>
      <c r="AC26" s="70">
        <f>IFERROR(AC25/Y25-1,"")</f>
        <v/>
      </c>
    </row>
    <row r="27">
      <c r="A27" s="4" t="inlineStr">
        <is>
          <t xml:space="preserve">    % of revenue</t>
        </is>
      </c>
      <c r="B27" s="70">
        <f>IFERROR(B25/B3,"")</f>
        <v/>
      </c>
      <c r="C27" s="70">
        <f>IFERROR(C25/C3,"")</f>
        <v/>
      </c>
      <c r="D27" s="70">
        <f>IFERROR(D25/D3,"")</f>
        <v/>
      </c>
      <c r="E27" s="70">
        <f>IFERROR(E25/E3,"")</f>
        <v/>
      </c>
      <c r="F27" s="70">
        <f>IFERROR(F25/F3,"")</f>
        <v/>
      </c>
      <c r="G27" s="70">
        <f>IFERROR(G25/G3,"")</f>
        <v/>
      </c>
      <c r="H27" s="70">
        <f>IFERROR(H25/H3,"")</f>
        <v/>
      </c>
      <c r="I27" s="70">
        <f>IFERROR(I25/I3,"")</f>
        <v/>
      </c>
      <c r="J27" s="70">
        <f>IFERROR(J25/J3,"")</f>
        <v/>
      </c>
      <c r="K27" s="70">
        <f>IFERROR(K25/K3,"")</f>
        <v/>
      </c>
      <c r="L27" s="70">
        <f>IFERROR(L25/L3,"")</f>
        <v/>
      </c>
      <c r="M27" s="70">
        <f>IFERROR(M25/M3,"")</f>
        <v/>
      </c>
      <c r="N27" s="70">
        <f>IFERROR(N25/N3,"")</f>
        <v/>
      </c>
      <c r="O27" s="70">
        <f>IFERROR(O25/O3,"")</f>
        <v/>
      </c>
      <c r="P27" s="70">
        <f>IFERROR(P25/P3,"")</f>
        <v/>
      </c>
      <c r="Q27" s="70">
        <f>IFERROR(Q25/Q3,"")</f>
        <v/>
      </c>
      <c r="R27" s="70">
        <f>IFERROR(R25/R3,"")</f>
        <v/>
      </c>
      <c r="S27" s="70">
        <f>IFERROR(S25/S3,"")</f>
        <v/>
      </c>
      <c r="T27" s="70">
        <f>IFERROR(T25/T3,"")</f>
        <v/>
      </c>
      <c r="U27" s="70">
        <f>IFERROR(U25/U3,"")</f>
        <v/>
      </c>
      <c r="V27" s="70">
        <f>IFERROR(V25/V3,"")</f>
        <v/>
      </c>
      <c r="W27" s="70">
        <f>IFERROR(W25/W3,"")</f>
        <v/>
      </c>
      <c r="X27" s="70">
        <f>IFERROR(X25/X3,"")</f>
        <v/>
      </c>
      <c r="Y27" s="70">
        <f>IFERROR(Y25/Y3,"")</f>
        <v/>
      </c>
      <c r="Z27" s="70">
        <f>IFERROR(Z25/Z3,"")</f>
        <v/>
      </c>
      <c r="AA27" s="70">
        <f>IFERROR(AA25/AA3,"")</f>
        <v/>
      </c>
      <c r="AB27" s="70">
        <f>IFERROR(AB25/AB3,"")</f>
        <v/>
      </c>
      <c r="AC27" s="70">
        <f>IFERROR(AC25/AC3,"")</f>
        <v/>
      </c>
    </row>
    <row r="28">
      <c r="A28" s="4" t="inlineStr">
        <is>
          <t>Service, Other</t>
        </is>
      </c>
      <c r="B28" s="18" t="n">
        <v>342</v>
      </c>
      <c r="C28" s="18" t="n">
        <v>345</v>
      </c>
      <c r="D28" s="18" t="n">
        <v>365</v>
      </c>
      <c r="E28" s="18" t="n">
        <v>392</v>
      </c>
      <c r="F28" s="18" t="n">
        <v>314</v>
      </c>
      <c r="G28" s="18" t="n">
        <v>361</v>
      </c>
      <c r="H28" s="18" t="n">
        <v>384</v>
      </c>
      <c r="I28" s="18" t="n">
        <v>392</v>
      </c>
      <c r="J28" s="18" t="n">
        <v>409</v>
      </c>
      <c r="K28" s="18" t="n">
        <v>490</v>
      </c>
      <c r="L28" s="18" t="n">
        <v>449</v>
      </c>
      <c r="M28" s="18" t="n">
        <v>474</v>
      </c>
      <c r="N28" s="18" t="n">
        <v>517</v>
      </c>
      <c r="O28" s="18" t="n">
        <v>551</v>
      </c>
      <c r="P28" s="18" t="n">
        <v>587</v>
      </c>
      <c r="Q28" s="18" t="n">
        <v>551</v>
      </c>
      <c r="R28" s="18" t="n">
        <v>597</v>
      </c>
      <c r="S28" s="18" t="n">
        <v>744</v>
      </c>
      <c r="T28" s="18" t="n">
        <v>692</v>
      </c>
      <c r="U28" s="18" t="n">
        <v>756</v>
      </c>
      <c r="V28" s="18" t="n">
        <v>780</v>
      </c>
      <c r="W28" s="18" t="n">
        <v>969</v>
      </c>
      <c r="X28" s="18" t="n">
        <v>912</v>
      </c>
      <c r="Y28" s="18" t="n">
        <v>937</v>
      </c>
      <c r="Z28" s="18" t="n">
        <v>1028</v>
      </c>
      <c r="AA28" s="18" t="n">
        <v>1176</v>
      </c>
      <c r="AB28" s="18" t="n">
        <v>1214</v>
      </c>
      <c r="AC28" s="18" t="n">
        <v>1320</v>
      </c>
    </row>
    <row r="29">
      <c r="A29" s="4" t="inlineStr">
        <is>
          <t xml:space="preserve">    % YoY</t>
        </is>
      </c>
      <c r="F29" s="70">
        <f>IFERROR(F28/B28-1,"")</f>
        <v/>
      </c>
      <c r="G29" s="70">
        <f>IFERROR(G28/C28-1,"")</f>
        <v/>
      </c>
      <c r="H29" s="70">
        <f>IFERROR(H28/D28-1,"")</f>
        <v/>
      </c>
      <c r="I29" s="70">
        <f>IFERROR(I28/E28-1,"")</f>
        <v/>
      </c>
      <c r="J29" s="70">
        <f>IFERROR(J28/F28-1,"")</f>
        <v/>
      </c>
      <c r="K29" s="70">
        <f>IFERROR(K28/G28-1,"")</f>
        <v/>
      </c>
      <c r="L29" s="70">
        <f>IFERROR(L28/H28-1,"")</f>
        <v/>
      </c>
      <c r="M29" s="70">
        <f>IFERROR(M28/I28-1,"")</f>
        <v/>
      </c>
      <c r="N29" s="70">
        <f>IFERROR(N28/J28-1,"")</f>
        <v/>
      </c>
      <c r="O29" s="70">
        <f>IFERROR(O28/K28-1,"")</f>
        <v/>
      </c>
      <c r="P29" s="70">
        <f>IFERROR(P28/L28-1,"")</f>
        <v/>
      </c>
      <c r="Q29" s="70">
        <f>IFERROR(Q28/M28-1,"")</f>
        <v/>
      </c>
      <c r="R29" s="70">
        <f>IFERROR(R28/N28-1,"")</f>
        <v/>
      </c>
      <c r="S29" s="70">
        <f>IFERROR(S28/O28-1,"")</f>
        <v/>
      </c>
      <c r="T29" s="70">
        <f>IFERROR(T28/P28-1,"")</f>
        <v/>
      </c>
      <c r="U29" s="70">
        <f>IFERROR(U28/Q28-1,"")</f>
        <v/>
      </c>
      <c r="V29" s="70">
        <f>IFERROR(V28/R28-1,"")</f>
        <v/>
      </c>
      <c r="W29" s="70">
        <f>IFERROR(W28/S28-1,"")</f>
        <v/>
      </c>
      <c r="X29" s="70">
        <f>IFERROR(X28/T28-1,"")</f>
        <v/>
      </c>
      <c r="Y29" s="70">
        <f>IFERROR(Y28/U28-1,"")</f>
        <v/>
      </c>
      <c r="Z29" s="70">
        <f>IFERROR(Z28/V28-1,"")</f>
        <v/>
      </c>
      <c r="AA29" s="70">
        <f>IFERROR(AA28/W28-1,"")</f>
        <v/>
      </c>
      <c r="AB29" s="70">
        <f>IFERROR(AB28/X28-1,"")</f>
        <v/>
      </c>
      <c r="AC29" s="70">
        <f>IFERROR(AC28/Y28-1,"")</f>
        <v/>
      </c>
    </row>
    <row r="30">
      <c r="A30" s="4" t="inlineStr">
        <is>
          <t xml:space="preserve">    % of revenue</t>
        </is>
      </c>
      <c r="B30" s="70">
        <f>IFERROR(B28/B3,"")</f>
        <v/>
      </c>
      <c r="C30" s="70">
        <f>IFERROR(C28/C3,"")</f>
        <v/>
      </c>
      <c r="D30" s="70">
        <f>IFERROR(D28/D3,"")</f>
        <v/>
      </c>
      <c r="E30" s="70">
        <f>IFERROR(E28/E3,"")</f>
        <v/>
      </c>
      <c r="F30" s="70">
        <f>IFERROR(F28/F3,"")</f>
        <v/>
      </c>
      <c r="G30" s="70">
        <f>IFERROR(G28/G3,"")</f>
        <v/>
      </c>
      <c r="H30" s="70">
        <f>IFERROR(H28/H3,"")</f>
        <v/>
      </c>
      <c r="I30" s="70">
        <f>IFERROR(I28/I3,"")</f>
        <v/>
      </c>
      <c r="J30" s="70">
        <f>IFERROR(J28/J3,"")</f>
        <v/>
      </c>
      <c r="K30" s="70">
        <f>IFERROR(K28/K3,"")</f>
        <v/>
      </c>
      <c r="L30" s="70">
        <f>IFERROR(L28/L3,"")</f>
        <v/>
      </c>
      <c r="M30" s="70">
        <f>IFERROR(M28/M3,"")</f>
        <v/>
      </c>
      <c r="N30" s="70">
        <f>IFERROR(N28/N3,"")</f>
        <v/>
      </c>
      <c r="O30" s="70">
        <f>IFERROR(O28/O3,"")</f>
        <v/>
      </c>
      <c r="P30" s="70">
        <f>IFERROR(P28/P3,"")</f>
        <v/>
      </c>
      <c r="Q30" s="70">
        <f>IFERROR(Q28/Q3,"")</f>
        <v/>
      </c>
      <c r="R30" s="70">
        <f>IFERROR(R28/R3,"")</f>
        <v/>
      </c>
      <c r="S30" s="70">
        <f>IFERROR(S28/S3,"")</f>
        <v/>
      </c>
      <c r="T30" s="70">
        <f>IFERROR(T28/T3,"")</f>
        <v/>
      </c>
      <c r="U30" s="70">
        <f>IFERROR(U28/U3,"")</f>
        <v/>
      </c>
      <c r="V30" s="70">
        <f>IFERROR(V28/V3,"")</f>
        <v/>
      </c>
      <c r="W30" s="70">
        <f>IFERROR(W28/W3,"")</f>
        <v/>
      </c>
      <c r="X30" s="70">
        <f>IFERROR(X28/X3,"")</f>
        <v/>
      </c>
      <c r="Y30" s="70">
        <f>IFERROR(Y28/Y3,"")</f>
        <v/>
      </c>
      <c r="Z30" s="70">
        <f>IFERROR(Z28/Z3,"")</f>
        <v/>
      </c>
      <c r="AA30" s="70">
        <f>IFERROR(AA28/AA3,"")</f>
        <v/>
      </c>
      <c r="AB30" s="70">
        <f>IFERROR(AB28/AB3,"")</f>
        <v/>
      </c>
      <c r="AC30" s="70">
        <f>IFERROR(AC28/AC3,"")</f>
        <v/>
      </c>
    </row>
    <row r="31">
      <c r="A31" s="4" t="inlineStr">
        <is>
          <t>Client Incentives</t>
        </is>
      </c>
      <c r="B31" s="18" t="n">
        <v>-1546</v>
      </c>
      <c r="C31" s="18" t="n">
        <v>-1693</v>
      </c>
      <c r="D31" s="18" t="n">
        <v>-1748</v>
      </c>
      <c r="E31" s="18" t="n">
        <v>-1705</v>
      </c>
      <c r="F31" s="18" t="n">
        <v>-1513</v>
      </c>
      <c r="G31" s="18" t="n">
        <v>-1698</v>
      </c>
      <c r="H31" s="18" t="n">
        <v>-1858</v>
      </c>
      <c r="I31" s="18" t="n">
        <v>-1992</v>
      </c>
      <c r="J31" s="18" t="n">
        <v>-2130</v>
      </c>
      <c r="K31" s="18" t="n">
        <v>-2387</v>
      </c>
      <c r="L31" s="18" t="n">
        <v>-2371</v>
      </c>
      <c r="M31" s="18" t="n">
        <v>-2494</v>
      </c>
      <c r="N31" s="18" t="n">
        <v>-2570</v>
      </c>
      <c r="O31" s="18" t="n">
        <v>-2860</v>
      </c>
      <c r="P31" s="18" t="n">
        <v>-2786</v>
      </c>
      <c r="Q31" s="18" t="n">
        <v>-2905</v>
      </c>
      <c r="R31" s="18" t="n">
        <v>-3167</v>
      </c>
      <c r="S31" s="18" t="n">
        <v>-3439</v>
      </c>
      <c r="T31" s="18" t="n">
        <v>-3348</v>
      </c>
      <c r="U31" s="18" t="n">
        <v>-3257</v>
      </c>
      <c r="V31" s="18" t="n">
        <v>-3530</v>
      </c>
      <c r="W31" s="18" t="n">
        <v>-3629</v>
      </c>
      <c r="X31" s="18" t="n">
        <v>-3797</v>
      </c>
      <c r="Y31" s="18" t="n">
        <v>-3734</v>
      </c>
      <c r="Z31" s="18" t="n">
        <v>-3972</v>
      </c>
      <c r="AA31" s="18" t="n">
        <v>-4248</v>
      </c>
      <c r="AB31" s="18" t="n">
        <v>-4269</v>
      </c>
      <c r="AC31" s="18" t="n">
        <v>-4245</v>
      </c>
    </row>
    <row r="32">
      <c r="A32" s="4" t="inlineStr">
        <is>
          <t xml:space="preserve">    % YoY</t>
        </is>
      </c>
      <c r="F32" s="70">
        <f>IFERROR(F31/B31-1,"")</f>
        <v/>
      </c>
      <c r="G32" s="70">
        <f>IFERROR(G31/C31-1,"")</f>
        <v/>
      </c>
      <c r="H32" s="70">
        <f>IFERROR(H31/D31-1,"")</f>
        <v/>
      </c>
      <c r="I32" s="70">
        <f>IFERROR(I31/E31-1,"")</f>
        <v/>
      </c>
      <c r="J32" s="70">
        <f>IFERROR(J31/F31-1,"")</f>
        <v/>
      </c>
      <c r="K32" s="70">
        <f>IFERROR(K31/G31-1,"")</f>
        <v/>
      </c>
      <c r="L32" s="70">
        <f>IFERROR(L31/H31-1,"")</f>
        <v/>
      </c>
      <c r="M32" s="70">
        <f>IFERROR(M31/I31-1,"")</f>
        <v/>
      </c>
      <c r="N32" s="70">
        <f>IFERROR(N31/J31-1,"")</f>
        <v/>
      </c>
      <c r="O32" s="70">
        <f>IFERROR(O31/K31-1,"")</f>
        <v/>
      </c>
      <c r="P32" s="70">
        <f>IFERROR(P31/L31-1,"")</f>
        <v/>
      </c>
      <c r="Q32" s="70">
        <f>IFERROR(Q31/M31-1,"")</f>
        <v/>
      </c>
      <c r="R32" s="70">
        <f>IFERROR(R31/N31-1,"")</f>
        <v/>
      </c>
      <c r="S32" s="70">
        <f>IFERROR(S31/O31-1,"")</f>
        <v/>
      </c>
      <c r="T32" s="70">
        <f>IFERROR(T31/P31-1,"")</f>
        <v/>
      </c>
      <c r="U32" s="70">
        <f>IFERROR(U31/Q31-1,"")</f>
        <v/>
      </c>
      <c r="V32" s="70">
        <f>IFERROR(V31/R31-1,"")</f>
        <v/>
      </c>
      <c r="W32" s="70">
        <f>IFERROR(W31/S31-1,"")</f>
        <v/>
      </c>
      <c r="X32" s="70">
        <f>IFERROR(X31/T31-1,"")</f>
        <v/>
      </c>
      <c r="Y32" s="70">
        <f>IFERROR(Y31/U31-1,"")</f>
        <v/>
      </c>
      <c r="Z32" s="70">
        <f>IFERROR(Z31/V31-1,"")</f>
        <v/>
      </c>
      <c r="AA32" s="70">
        <f>IFERROR(AA31/W31-1,"")</f>
        <v/>
      </c>
      <c r="AB32" s="70">
        <f>IFERROR(AB31/X31-1,"")</f>
        <v/>
      </c>
      <c r="AC32" s="70">
        <f>IFERROR(AC31/Y31-1,"")</f>
        <v/>
      </c>
    </row>
    <row r="33">
      <c r="A33" s="4" t="inlineStr">
        <is>
          <t xml:space="preserve">    % of revenue</t>
        </is>
      </c>
      <c r="B33" s="70">
        <f>IFERROR(B31/B3,"")</f>
        <v/>
      </c>
      <c r="C33" s="70">
        <f>IFERROR(C31/C3,"")</f>
        <v/>
      </c>
      <c r="D33" s="70">
        <f>IFERROR(D31/D3,"")</f>
        <v/>
      </c>
      <c r="E33" s="70">
        <f>IFERROR(E31/E3,"")</f>
        <v/>
      </c>
      <c r="F33" s="70">
        <f>IFERROR(F31/F3,"")</f>
        <v/>
      </c>
      <c r="G33" s="70">
        <f>IFERROR(G31/G3,"")</f>
        <v/>
      </c>
      <c r="H33" s="70">
        <f>IFERROR(H31/H3,"")</f>
        <v/>
      </c>
      <c r="I33" s="70">
        <f>IFERROR(I31/I3,"")</f>
        <v/>
      </c>
      <c r="J33" s="70">
        <f>IFERROR(J31/J3,"")</f>
        <v/>
      </c>
      <c r="K33" s="70">
        <f>IFERROR(K31/K3,"")</f>
        <v/>
      </c>
      <c r="L33" s="70">
        <f>IFERROR(L31/L3,"")</f>
        <v/>
      </c>
      <c r="M33" s="70">
        <f>IFERROR(M31/M3,"")</f>
        <v/>
      </c>
      <c r="N33" s="70">
        <f>IFERROR(N31/N3,"")</f>
        <v/>
      </c>
      <c r="O33" s="70">
        <f>IFERROR(O31/O3,"")</f>
        <v/>
      </c>
      <c r="P33" s="70">
        <f>IFERROR(P31/P3,"")</f>
        <v/>
      </c>
      <c r="Q33" s="70">
        <f>IFERROR(Q31/Q3,"")</f>
        <v/>
      </c>
      <c r="R33" s="70">
        <f>IFERROR(R31/R3,"")</f>
        <v/>
      </c>
      <c r="S33" s="70">
        <f>IFERROR(S31/S3,"")</f>
        <v/>
      </c>
      <c r="T33" s="70">
        <f>IFERROR(T31/T3,"")</f>
        <v/>
      </c>
      <c r="U33" s="70">
        <f>IFERROR(U31/U3,"")</f>
        <v/>
      </c>
      <c r="V33" s="70">
        <f>IFERROR(V31/V3,"")</f>
        <v/>
      </c>
      <c r="W33" s="70">
        <f>IFERROR(W31/W3,"")</f>
        <v/>
      </c>
      <c r="X33" s="70">
        <f>IFERROR(X31/X3,"")</f>
        <v/>
      </c>
      <c r="Y33" s="70">
        <f>IFERROR(Y31/Y3,"")</f>
        <v/>
      </c>
      <c r="Z33" s="70">
        <f>IFERROR(Z31/Z3,"")</f>
        <v/>
      </c>
      <c r="AA33" s="70">
        <f>IFERROR(AA31/AA3,"")</f>
        <v/>
      </c>
      <c r="AB33" s="70">
        <f>IFERROR(AB31/AB3,"")</f>
        <v/>
      </c>
      <c r="AC33" s="70">
        <f>IFERROR(AC31/AC3,"")</f>
        <v/>
      </c>
    </row>
    <row r="34">
      <c r="A34" s="5" t="inlineStr">
        <is>
          <t xml:space="preserve">  REVENUE BY SEGMENT — GEOGRAPHY (% YoY, % of revenue)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4" t="inlineStr">
        <is>
          <t>Non-US</t>
        </is>
      </c>
      <c r="B35" s="18" t="n">
        <v>3253</v>
      </c>
      <c r="C35" s="18" t="n">
        <v>3431</v>
      </c>
      <c r="D35" s="18" t="n">
        <v>3337</v>
      </c>
      <c r="E35" s="18" t="n">
        <v>3204</v>
      </c>
      <c r="F35" s="18" t="n">
        <v>2457</v>
      </c>
      <c r="G35" s="18" t="n">
        <v>2723</v>
      </c>
      <c r="H35" s="18" t="n">
        <v>3020</v>
      </c>
      <c r="I35" s="18" t="n">
        <v>3046</v>
      </c>
      <c r="J35" s="18" t="n">
        <v>3324</v>
      </c>
      <c r="K35" s="18" t="n">
        <v>3555</v>
      </c>
      <c r="L35" s="18" t="n">
        <v>3881</v>
      </c>
      <c r="M35" s="18" t="n">
        <v>4110</v>
      </c>
      <c r="N35" s="18" t="n">
        <v>4105</v>
      </c>
      <c r="O35" s="18" t="n">
        <v>4363</v>
      </c>
      <c r="P35" s="18" t="n">
        <v>4369</v>
      </c>
      <c r="Q35" s="18" t="n">
        <v>4445</v>
      </c>
      <c r="R35" s="18" t="n">
        <v>4680</v>
      </c>
      <c r="S35" s="18" t="n">
        <v>5021</v>
      </c>
      <c r="T35" s="18" t="n">
        <v>4989</v>
      </c>
      <c r="U35" s="18" t="n">
        <v>5132</v>
      </c>
      <c r="V35" s="18" t="n">
        <v>5279</v>
      </c>
      <c r="W35" s="18" t="n">
        <v>5746</v>
      </c>
      <c r="X35" s="18" t="n">
        <v>5772</v>
      </c>
      <c r="Y35" s="18" t="n">
        <v>5783</v>
      </c>
      <c r="Z35" s="18" t="n">
        <v>6245</v>
      </c>
      <c r="AA35" s="18" t="n">
        <v>6567</v>
      </c>
      <c r="AB35" s="18" t="n">
        <v>6738</v>
      </c>
      <c r="AC35" s="18" t="n">
        <v>6911</v>
      </c>
    </row>
    <row r="36">
      <c r="A36" s="4" t="inlineStr">
        <is>
          <t xml:space="preserve">    % YoY</t>
        </is>
      </c>
      <c r="F36" s="70">
        <f>IFERROR(F35/B35-1,"")</f>
        <v/>
      </c>
      <c r="G36" s="70">
        <f>IFERROR(G35/C35-1,"")</f>
        <v/>
      </c>
      <c r="H36" s="70">
        <f>IFERROR(H35/D35-1,"")</f>
        <v/>
      </c>
      <c r="I36" s="70">
        <f>IFERROR(I35/E35-1,"")</f>
        <v/>
      </c>
      <c r="J36" s="70">
        <f>IFERROR(J35/F35-1,"")</f>
        <v/>
      </c>
      <c r="K36" s="70">
        <f>IFERROR(K35/G35-1,"")</f>
        <v/>
      </c>
      <c r="L36" s="70">
        <f>IFERROR(L35/H35-1,"")</f>
        <v/>
      </c>
      <c r="M36" s="70">
        <f>IFERROR(M35/I35-1,"")</f>
        <v/>
      </c>
      <c r="N36" s="70">
        <f>IFERROR(N35/J35-1,"")</f>
        <v/>
      </c>
      <c r="O36" s="70">
        <f>IFERROR(O35/K35-1,"")</f>
        <v/>
      </c>
      <c r="P36" s="70">
        <f>IFERROR(P35/L35-1,"")</f>
        <v/>
      </c>
      <c r="Q36" s="70">
        <f>IFERROR(Q35/M35-1,"")</f>
        <v/>
      </c>
      <c r="R36" s="70">
        <f>IFERROR(R35/N35-1,"")</f>
        <v/>
      </c>
      <c r="S36" s="70">
        <f>IFERROR(S35/O35-1,"")</f>
        <v/>
      </c>
      <c r="T36" s="70">
        <f>IFERROR(T35/P35-1,"")</f>
        <v/>
      </c>
      <c r="U36" s="70">
        <f>IFERROR(U35/Q35-1,"")</f>
        <v/>
      </c>
      <c r="V36" s="70">
        <f>IFERROR(V35/R35-1,"")</f>
        <v/>
      </c>
      <c r="W36" s="70">
        <f>IFERROR(W35/S35-1,"")</f>
        <v/>
      </c>
      <c r="X36" s="70">
        <f>IFERROR(X35/T35-1,"")</f>
        <v/>
      </c>
      <c r="Y36" s="70">
        <f>IFERROR(Y35/U35-1,"")</f>
        <v/>
      </c>
      <c r="Z36" s="70">
        <f>IFERROR(Z35/V35-1,"")</f>
        <v/>
      </c>
      <c r="AA36" s="70">
        <f>IFERROR(AA35/W35-1,"")</f>
        <v/>
      </c>
      <c r="AB36" s="70">
        <f>IFERROR(AB35/X35-1,"")</f>
        <v/>
      </c>
      <c r="AC36" s="70">
        <f>IFERROR(AC35/Y35-1,"")</f>
        <v/>
      </c>
    </row>
    <row r="37">
      <c r="A37" s="4" t="inlineStr">
        <is>
          <t xml:space="preserve">    % of revenue</t>
        </is>
      </c>
      <c r="B37" s="70">
        <f>IFERROR(B35/B3,"")</f>
        <v/>
      </c>
      <c r="C37" s="70">
        <f>IFERROR(C35/C3,"")</f>
        <v/>
      </c>
      <c r="D37" s="70">
        <f>IFERROR(D35/D3,"")</f>
        <v/>
      </c>
      <c r="E37" s="70">
        <f>IFERROR(E35/E3,"")</f>
        <v/>
      </c>
      <c r="F37" s="70">
        <f>IFERROR(F35/F3,"")</f>
        <v/>
      </c>
      <c r="G37" s="70">
        <f>IFERROR(G35/G3,"")</f>
        <v/>
      </c>
      <c r="H37" s="70">
        <f>IFERROR(H35/H3,"")</f>
        <v/>
      </c>
      <c r="I37" s="70">
        <f>IFERROR(I35/I3,"")</f>
        <v/>
      </c>
      <c r="J37" s="70">
        <f>IFERROR(J35/J3,"")</f>
        <v/>
      </c>
      <c r="K37" s="70">
        <f>IFERROR(K35/K3,"")</f>
        <v/>
      </c>
      <c r="L37" s="70">
        <f>IFERROR(L35/L3,"")</f>
        <v/>
      </c>
      <c r="M37" s="70">
        <f>IFERROR(M35/M3,"")</f>
        <v/>
      </c>
      <c r="N37" s="70">
        <f>IFERROR(N35/N3,"")</f>
        <v/>
      </c>
      <c r="O37" s="70">
        <f>IFERROR(O35/O3,"")</f>
        <v/>
      </c>
      <c r="P37" s="70">
        <f>IFERROR(P35/P3,"")</f>
        <v/>
      </c>
      <c r="Q37" s="70">
        <f>IFERROR(Q35/Q3,"")</f>
        <v/>
      </c>
      <c r="R37" s="70">
        <f>IFERROR(R35/R3,"")</f>
        <v/>
      </c>
      <c r="S37" s="70">
        <f>IFERROR(S35/S3,"")</f>
        <v/>
      </c>
      <c r="T37" s="70">
        <f>IFERROR(T35/T3,"")</f>
        <v/>
      </c>
      <c r="U37" s="70">
        <f>IFERROR(U35/U3,"")</f>
        <v/>
      </c>
      <c r="V37" s="70">
        <f>IFERROR(V35/V3,"")</f>
        <v/>
      </c>
      <c r="W37" s="70">
        <f>IFERROR(W35/W3,"")</f>
        <v/>
      </c>
      <c r="X37" s="70">
        <f>IFERROR(X35/X3,"")</f>
        <v/>
      </c>
      <c r="Y37" s="70">
        <f>IFERROR(Y35/Y3,"")</f>
        <v/>
      </c>
      <c r="Z37" s="70">
        <f>IFERROR(Z35/Z3,"")</f>
        <v/>
      </c>
      <c r="AA37" s="70">
        <f>IFERROR(AA35/AA3,"")</f>
        <v/>
      </c>
      <c r="AB37" s="70">
        <f>IFERROR(AB35/AB3,"")</f>
        <v/>
      </c>
      <c r="AC37" s="70">
        <f>IFERROR(AC35/AC3,"")</f>
        <v/>
      </c>
    </row>
    <row r="38">
      <c r="A38" s="4" t="inlineStr">
        <is>
          <t>UNITED STATES</t>
        </is>
      </c>
      <c r="B38" s="18" t="n">
        <v>2587</v>
      </c>
      <c r="C38" s="18" t="n">
        <v>2706</v>
      </c>
      <c r="D38" s="18" t="n">
        <v>2717</v>
      </c>
      <c r="E38" s="18" t="n">
        <v>2650</v>
      </c>
      <c r="F38" s="18" t="n">
        <v>2380</v>
      </c>
      <c r="G38" s="18" t="n">
        <v>2378</v>
      </c>
      <c r="H38" s="18" t="n">
        <v>2667</v>
      </c>
      <c r="I38" s="18" t="n">
        <v>2683</v>
      </c>
      <c r="J38" s="18" t="n">
        <v>2806</v>
      </c>
      <c r="K38" s="18" t="n">
        <v>3004</v>
      </c>
      <c r="L38" s="18" t="n">
        <v>3178</v>
      </c>
      <c r="M38" s="18" t="n">
        <v>3079</v>
      </c>
      <c r="N38" s="18" t="n">
        <v>3170</v>
      </c>
      <c r="O38" s="18" t="n">
        <v>3424</v>
      </c>
      <c r="P38" s="18" t="n">
        <v>3567</v>
      </c>
      <c r="Q38" s="18" t="n">
        <v>3540</v>
      </c>
      <c r="R38" s="18" t="n">
        <v>3443</v>
      </c>
      <c r="S38" s="18" t="n">
        <v>3588</v>
      </c>
      <c r="T38" s="18" t="n">
        <v>3645</v>
      </c>
      <c r="U38" s="18" t="n">
        <v>3643</v>
      </c>
      <c r="V38" s="18" t="n">
        <v>3621</v>
      </c>
      <c r="W38" s="18" t="n">
        <v>3871</v>
      </c>
      <c r="X38" s="18" t="n">
        <v>3738</v>
      </c>
      <c r="Y38" s="18" t="n">
        <v>3811</v>
      </c>
      <c r="Z38" s="18" t="n">
        <v>3927</v>
      </c>
      <c r="AA38" s="18" t="n">
        <v>4157</v>
      </c>
      <c r="AB38" s="18" t="n">
        <v>4163</v>
      </c>
      <c r="AC38" s="18" t="n">
        <v>4319</v>
      </c>
    </row>
    <row r="39">
      <c r="A39" s="4" t="inlineStr">
        <is>
          <t xml:space="preserve">    % YoY</t>
        </is>
      </c>
      <c r="F39" s="70">
        <f>IFERROR(F38/B38-1,"")</f>
        <v/>
      </c>
      <c r="G39" s="70">
        <f>IFERROR(G38/C38-1,"")</f>
        <v/>
      </c>
      <c r="H39" s="70">
        <f>IFERROR(H38/D38-1,"")</f>
        <v/>
      </c>
      <c r="I39" s="70">
        <f>IFERROR(I38/E38-1,"")</f>
        <v/>
      </c>
      <c r="J39" s="70">
        <f>IFERROR(J38/F38-1,"")</f>
        <v/>
      </c>
      <c r="K39" s="70">
        <f>IFERROR(K38/G38-1,"")</f>
        <v/>
      </c>
      <c r="L39" s="70">
        <f>IFERROR(L38/H38-1,"")</f>
        <v/>
      </c>
      <c r="M39" s="70">
        <f>IFERROR(M38/I38-1,"")</f>
        <v/>
      </c>
      <c r="N39" s="70">
        <f>IFERROR(N38/J38-1,"")</f>
        <v/>
      </c>
      <c r="O39" s="70">
        <f>IFERROR(O38/K38-1,"")</f>
        <v/>
      </c>
      <c r="P39" s="70">
        <f>IFERROR(P38/L38-1,"")</f>
        <v/>
      </c>
      <c r="Q39" s="70">
        <f>IFERROR(Q38/M38-1,"")</f>
        <v/>
      </c>
      <c r="R39" s="70">
        <f>IFERROR(R38/N38-1,"")</f>
        <v/>
      </c>
      <c r="S39" s="70">
        <f>IFERROR(S38/O38-1,"")</f>
        <v/>
      </c>
      <c r="T39" s="70">
        <f>IFERROR(T38/P38-1,"")</f>
        <v/>
      </c>
      <c r="U39" s="70">
        <f>IFERROR(U38/Q38-1,"")</f>
        <v/>
      </c>
      <c r="V39" s="70">
        <f>IFERROR(V38/R38-1,"")</f>
        <v/>
      </c>
      <c r="W39" s="70">
        <f>IFERROR(W38/S38-1,"")</f>
        <v/>
      </c>
      <c r="X39" s="70">
        <f>IFERROR(X38/T38-1,"")</f>
        <v/>
      </c>
      <c r="Y39" s="70">
        <f>IFERROR(Y38/U38-1,"")</f>
        <v/>
      </c>
      <c r="Z39" s="70">
        <f>IFERROR(Z38/V38-1,"")</f>
        <v/>
      </c>
      <c r="AA39" s="70">
        <f>IFERROR(AA38/W38-1,"")</f>
        <v/>
      </c>
      <c r="AB39" s="70">
        <f>IFERROR(AB38/X38-1,"")</f>
        <v/>
      </c>
      <c r="AC39" s="70">
        <f>IFERROR(AC38/Y38-1,"")</f>
        <v/>
      </c>
    </row>
    <row r="40">
      <c r="A40" s="4" t="inlineStr">
        <is>
          <t xml:space="preserve">    % of revenue</t>
        </is>
      </c>
      <c r="B40" s="70">
        <f>IFERROR(B38/B3,"")</f>
        <v/>
      </c>
      <c r="C40" s="70">
        <f>IFERROR(C38/C3,"")</f>
        <v/>
      </c>
      <c r="D40" s="70">
        <f>IFERROR(D38/D3,"")</f>
        <v/>
      </c>
      <c r="E40" s="70">
        <f>IFERROR(E38/E3,"")</f>
        <v/>
      </c>
      <c r="F40" s="70">
        <f>IFERROR(F38/F3,"")</f>
        <v/>
      </c>
      <c r="G40" s="70">
        <f>IFERROR(G38/G3,"")</f>
        <v/>
      </c>
      <c r="H40" s="70">
        <f>IFERROR(H38/H3,"")</f>
        <v/>
      </c>
      <c r="I40" s="70">
        <f>IFERROR(I38/I3,"")</f>
        <v/>
      </c>
      <c r="J40" s="70">
        <f>IFERROR(J38/J3,"")</f>
        <v/>
      </c>
      <c r="K40" s="70">
        <f>IFERROR(K38/K3,"")</f>
        <v/>
      </c>
      <c r="L40" s="70">
        <f>IFERROR(L38/L3,"")</f>
        <v/>
      </c>
      <c r="M40" s="70">
        <f>IFERROR(M38/M3,"")</f>
        <v/>
      </c>
      <c r="N40" s="70">
        <f>IFERROR(N38/N3,"")</f>
        <v/>
      </c>
      <c r="O40" s="70">
        <f>IFERROR(O38/O3,"")</f>
        <v/>
      </c>
      <c r="P40" s="70">
        <f>IFERROR(P38/P3,"")</f>
        <v/>
      </c>
      <c r="Q40" s="70">
        <f>IFERROR(Q38/Q3,"")</f>
        <v/>
      </c>
      <c r="R40" s="70">
        <f>IFERROR(R38/R3,"")</f>
        <v/>
      </c>
      <c r="S40" s="70">
        <f>IFERROR(S38/S3,"")</f>
        <v/>
      </c>
      <c r="T40" s="70">
        <f>IFERROR(T38/T3,"")</f>
        <v/>
      </c>
      <c r="U40" s="70">
        <f>IFERROR(U38/U3,"")</f>
        <v/>
      </c>
      <c r="V40" s="70">
        <f>IFERROR(V38/V3,"")</f>
        <v/>
      </c>
      <c r="W40" s="70">
        <f>IFERROR(W38/W3,"")</f>
        <v/>
      </c>
      <c r="X40" s="70">
        <f>IFERROR(X38/X3,"")</f>
        <v/>
      </c>
      <c r="Y40" s="70">
        <f>IFERROR(Y38/Y3,"")</f>
        <v/>
      </c>
      <c r="Z40" s="70">
        <f>IFERROR(Z38/Z3,"")</f>
        <v/>
      </c>
      <c r="AA40" s="70">
        <f>IFERROR(AA38/AA3,"")</f>
        <v/>
      </c>
      <c r="AB40" s="70">
        <f>IFERROR(AB38/AB3,"")</f>
        <v/>
      </c>
      <c r="AC40" s="70">
        <f>IFERROR(AC38/AC3,"")</f>
        <v/>
      </c>
    </row>
    <row r="41">
      <c r="A41" s="5" t="inlineStr">
        <is>
          <t xml:space="preserve">  BALANCE SHEET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4" t="inlineStr">
        <is>
          <t>Cash &amp; ST Investments</t>
        </is>
      </c>
      <c r="B42" s="18" t="n">
        <v>11177</v>
      </c>
      <c r="C42" s="18" t="n">
        <v>12074</v>
      </c>
      <c r="D42" s="18" t="n">
        <v>12670</v>
      </c>
      <c r="E42" s="18" t="n">
        <v>12151</v>
      </c>
      <c r="F42" s="18" t="n">
        <v>16637</v>
      </c>
      <c r="G42" s="18" t="n">
        <v>20041</v>
      </c>
      <c r="H42" s="18" t="n">
        <v>18041</v>
      </c>
      <c r="I42" s="18" t="n">
        <v>18552</v>
      </c>
      <c r="J42" s="18" t="n">
        <v>19240</v>
      </c>
      <c r="K42" s="18" t="n">
        <v>18512</v>
      </c>
      <c r="L42" s="18" t="n">
        <v>15921</v>
      </c>
      <c r="M42" s="18" t="n">
        <v>13529</v>
      </c>
      <c r="N42" s="18" t="n">
        <v>17356</v>
      </c>
      <c r="O42" s="18" t="n">
        <v>18522</v>
      </c>
      <c r="P42" s="18" t="n">
        <v>16119</v>
      </c>
      <c r="Q42" s="18" t="n">
        <v>16594</v>
      </c>
      <c r="R42" s="18" t="n">
        <v>18756</v>
      </c>
      <c r="S42" s="18" t="n">
        <v>20128</v>
      </c>
      <c r="T42" s="18" t="n">
        <v>18596</v>
      </c>
      <c r="U42" s="18" t="n">
        <v>17703</v>
      </c>
      <c r="V42" s="18" t="n">
        <v>16644</v>
      </c>
      <c r="W42" s="18" t="n">
        <v>15175</v>
      </c>
      <c r="X42" s="18" t="n">
        <v>14334</v>
      </c>
      <c r="Y42" s="18" t="n">
        <v>13751</v>
      </c>
      <c r="Z42" s="18" t="n">
        <v>19180</v>
      </c>
      <c r="AA42" s="18" t="n">
        <v>18997</v>
      </c>
      <c r="AB42" s="18" t="n">
        <v>16397</v>
      </c>
      <c r="AC42" s="18" t="n">
        <v>13913</v>
      </c>
    </row>
    <row r="43">
      <c r="A43" s="4" t="inlineStr">
        <is>
          <t>Total Current Assets</t>
        </is>
      </c>
      <c r="B43" s="18" t="n">
        <v>18305</v>
      </c>
      <c r="C43" s="18" t="n">
        <v>20970</v>
      </c>
      <c r="D43" s="18" t="n">
        <v>22319</v>
      </c>
      <c r="E43" s="18" t="n">
        <v>19907</v>
      </c>
      <c r="F43" s="18" t="n">
        <v>25011</v>
      </c>
      <c r="G43" s="18" t="n">
        <v>27645</v>
      </c>
      <c r="H43" s="18" t="n">
        <v>26280</v>
      </c>
      <c r="I43" s="18" t="n">
        <v>26901</v>
      </c>
      <c r="J43" s="18" t="n">
        <v>28042</v>
      </c>
      <c r="K43" s="18" t="n">
        <v>27607</v>
      </c>
      <c r="L43" s="18" t="n">
        <v>25906</v>
      </c>
      <c r="M43" s="18" t="n">
        <v>24091</v>
      </c>
      <c r="N43" s="18" t="n">
        <v>28971</v>
      </c>
      <c r="O43" s="18" t="n">
        <v>30205</v>
      </c>
      <c r="P43" s="18" t="n">
        <v>27859</v>
      </c>
      <c r="Q43" s="18" t="n">
        <v>28657</v>
      </c>
      <c r="R43" s="18" t="n">
        <v>31670</v>
      </c>
      <c r="S43" s="18" t="n">
        <v>33532</v>
      </c>
      <c r="T43" s="18" t="n">
        <v>32732</v>
      </c>
      <c r="U43" s="18" t="n">
        <v>32775</v>
      </c>
      <c r="V43" s="18" t="n">
        <v>31039</v>
      </c>
      <c r="W43" s="18" t="n">
        <v>34033</v>
      </c>
      <c r="X43" s="18" t="n">
        <v>32622</v>
      </c>
      <c r="Y43" s="18" t="n">
        <v>32934</v>
      </c>
      <c r="Z43" s="18" t="n">
        <v>38398</v>
      </c>
      <c r="AA43" s="18" t="n">
        <v>37766</v>
      </c>
      <c r="AB43" s="18" t="n">
        <v>34997</v>
      </c>
      <c r="AC43" s="18" t="n">
        <v>31625</v>
      </c>
    </row>
    <row r="44">
      <c r="A44" s="4" t="inlineStr">
        <is>
          <t>PP&amp;E (net)</t>
        </is>
      </c>
      <c r="B44" s="18" t="n">
        <v>2549</v>
      </c>
      <c r="C44" s="18" t="n">
        <v>2695</v>
      </c>
      <c r="D44" s="18" t="n">
        <v>2739</v>
      </c>
      <c r="E44" s="18" t="n">
        <v>2776</v>
      </c>
      <c r="F44" s="18" t="n">
        <v>2746</v>
      </c>
      <c r="G44" s="18" t="n">
        <v>2737</v>
      </c>
      <c r="H44" s="18" t="n">
        <v>2713</v>
      </c>
      <c r="I44" s="18" t="n">
        <v>2684</v>
      </c>
      <c r="J44" s="18" t="n">
        <v>2707</v>
      </c>
      <c r="K44" s="18" t="n">
        <v>2715</v>
      </c>
      <c r="L44" s="18" t="n">
        <v>2908</v>
      </c>
      <c r="M44" s="18" t="n">
        <v>3120</v>
      </c>
      <c r="N44" s="18" t="n">
        <v>3146</v>
      </c>
      <c r="O44" s="18" t="n">
        <v>3223</v>
      </c>
      <c r="P44" s="18" t="n">
        <v>3236</v>
      </c>
      <c r="Q44" s="18" t="n">
        <v>3359</v>
      </c>
      <c r="R44" s="18" t="n">
        <v>3370</v>
      </c>
      <c r="S44" s="18" t="n">
        <v>3425</v>
      </c>
      <c r="T44" s="18" t="n">
        <v>3472</v>
      </c>
      <c r="U44" s="18" t="n">
        <v>3630</v>
      </c>
      <c r="V44" s="18" t="n">
        <v>3766</v>
      </c>
      <c r="W44" s="18" t="n">
        <v>3824</v>
      </c>
      <c r="X44" s="18" t="n">
        <v>3974</v>
      </c>
      <c r="Y44" s="18" t="n">
        <v>4023</v>
      </c>
      <c r="Z44" s="18" t="n">
        <v>4143</v>
      </c>
      <c r="AA44" s="18" t="n">
        <v>4236</v>
      </c>
      <c r="AB44" s="18" t="n">
        <v>4276</v>
      </c>
      <c r="AC44" s="18" t="n">
        <v>4778</v>
      </c>
    </row>
    <row r="45">
      <c r="A45" s="4" t="inlineStr">
        <is>
          <t>Total Assets</t>
        </is>
      </c>
      <c r="B45" s="18" t="n">
        <v>70249</v>
      </c>
      <c r="C45" s="18" t="n">
        <v>72574</v>
      </c>
      <c r="D45" s="18" t="n">
        <v>74781</v>
      </c>
      <c r="E45" s="18" t="n">
        <v>72820</v>
      </c>
      <c r="F45" s="18" t="n">
        <v>77884</v>
      </c>
      <c r="G45" s="18" t="n">
        <v>80919</v>
      </c>
      <c r="H45" s="18" t="n">
        <v>80426</v>
      </c>
      <c r="I45" s="18" t="n">
        <v>80195</v>
      </c>
      <c r="J45" s="18" t="n">
        <v>82671</v>
      </c>
      <c r="K45" s="18" t="n">
        <v>82896</v>
      </c>
      <c r="L45" s="18" t="n">
        <v>81929</v>
      </c>
      <c r="M45" s="18" t="n">
        <v>81808</v>
      </c>
      <c r="N45" s="18" t="n">
        <v>85410</v>
      </c>
      <c r="O45" s="18" t="n">
        <v>85501</v>
      </c>
      <c r="P45" s="18" t="n">
        <v>85387</v>
      </c>
      <c r="Q45" s="18" t="n">
        <v>86755</v>
      </c>
      <c r="R45" s="18" t="n">
        <v>89234</v>
      </c>
      <c r="S45" s="18" t="n">
        <v>90499</v>
      </c>
      <c r="T45" s="18" t="n">
        <v>91409</v>
      </c>
      <c r="U45" s="18" t="n">
        <v>92399</v>
      </c>
      <c r="V45" s="18" t="n">
        <v>91040</v>
      </c>
      <c r="W45" s="18" t="n">
        <v>94511</v>
      </c>
      <c r="X45" s="18" t="n">
        <v>91888</v>
      </c>
      <c r="Y45" s="18" t="n">
        <v>92853</v>
      </c>
      <c r="Z45" s="18" t="n">
        <v>100024</v>
      </c>
      <c r="AA45" s="18" t="n">
        <v>99627</v>
      </c>
      <c r="AB45" s="18" t="n">
        <v>96814</v>
      </c>
      <c r="AC45" s="18" t="n">
        <v>95049</v>
      </c>
    </row>
    <row r="46">
      <c r="A46" s="4" t="inlineStr">
        <is>
          <t>Total Current Liabilities</t>
        </is>
      </c>
      <c r="B46" s="18" t="n">
        <v>10829</v>
      </c>
      <c r="C46" s="18" t="n">
        <v>13415</v>
      </c>
      <c r="D46" s="18" t="n">
        <v>17579</v>
      </c>
      <c r="E46" s="18" t="n">
        <v>15942</v>
      </c>
      <c r="F46" s="18" t="n">
        <v>16100</v>
      </c>
      <c r="G46" s="18" t="n">
        <v>14510</v>
      </c>
      <c r="H46" s="18" t="n">
        <v>12390</v>
      </c>
      <c r="I46" s="18" t="n">
        <v>12711</v>
      </c>
      <c r="J46" s="18" t="n">
        <v>14023</v>
      </c>
      <c r="K46" s="18" t="n">
        <v>15739</v>
      </c>
      <c r="L46" s="18" t="n">
        <v>18568</v>
      </c>
      <c r="M46" s="18" t="n">
        <v>18702</v>
      </c>
      <c r="N46" s="18" t="n">
        <v>20309</v>
      </c>
      <c r="O46" s="18" t="n">
        <v>20853</v>
      </c>
      <c r="P46" s="18" t="n">
        <v>19353</v>
      </c>
      <c r="Q46" s="18" t="n">
        <v>19097</v>
      </c>
      <c r="R46" s="18" t="n">
        <v>21230</v>
      </c>
      <c r="S46" s="18" t="n">
        <v>23098</v>
      </c>
      <c r="T46" s="18" t="n">
        <v>22634</v>
      </c>
      <c r="U46" s="18" t="n">
        <v>23443</v>
      </c>
      <c r="V46" s="18" t="n">
        <v>22612</v>
      </c>
      <c r="W46" s="18" t="n">
        <v>26517</v>
      </c>
      <c r="X46" s="18" t="n">
        <v>29091</v>
      </c>
      <c r="Y46" s="18" t="n">
        <v>30381</v>
      </c>
      <c r="Z46" s="18" t="n">
        <v>34427</v>
      </c>
      <c r="AA46" s="18" t="n">
        <v>35048</v>
      </c>
      <c r="AB46" s="18" t="n">
        <v>31491</v>
      </c>
      <c r="AC46" s="18" t="n">
        <v>29076</v>
      </c>
    </row>
    <row r="47">
      <c r="A47" s="4" t="inlineStr">
        <is>
          <t>Total Debt</t>
        </is>
      </c>
      <c r="B47" s="18" t="n">
        <v>16694</v>
      </c>
      <c r="C47" s="18" t="n">
        <v>16729</v>
      </c>
      <c r="D47" s="18" t="n">
        <v>16688</v>
      </c>
      <c r="E47" s="18" t="n">
        <v>17892</v>
      </c>
      <c r="F47" s="18" t="n">
        <v>20879</v>
      </c>
      <c r="G47" s="18" t="n">
        <v>24640</v>
      </c>
      <c r="H47" s="18" t="n">
        <v>21055</v>
      </c>
      <c r="I47" s="18" t="n">
        <v>20974</v>
      </c>
      <c r="J47" s="18" t="n">
        <v>20996</v>
      </c>
      <c r="K47" s="18" t="n">
        <v>20977</v>
      </c>
      <c r="L47" s="18" t="n">
        <v>20920</v>
      </c>
      <c r="M47" s="18" t="n">
        <v>21027</v>
      </c>
      <c r="N47" s="18" t="n">
        <v>23795</v>
      </c>
      <c r="O47" s="18" t="n">
        <v>22450</v>
      </c>
      <c r="P47" s="18" t="n">
        <v>20487</v>
      </c>
      <c r="Q47" s="18" t="n">
        <v>20606</v>
      </c>
      <c r="R47" s="18" t="n">
        <v>20560</v>
      </c>
      <c r="S47" s="18" t="n">
        <v>20463</v>
      </c>
      <c r="T47" s="18" t="n">
        <v>20703</v>
      </c>
      <c r="U47" s="18" t="n">
        <v>20603</v>
      </c>
      <c r="V47" s="18" t="n">
        <v>20602</v>
      </c>
      <c r="W47" s="18" t="n">
        <v>20836</v>
      </c>
      <c r="X47" s="18" t="n">
        <v>20609</v>
      </c>
      <c r="Y47" s="18" t="n">
        <v>20762</v>
      </c>
      <c r="Z47" s="18" t="n">
        <v>25138</v>
      </c>
      <c r="AA47" s="18" t="n">
        <v>25171</v>
      </c>
      <c r="AB47" s="18" t="n">
        <v>21177</v>
      </c>
      <c r="AC47" s="18" t="n">
        <v>23976</v>
      </c>
    </row>
    <row r="48">
      <c r="A48" s="4" t="inlineStr">
        <is>
          <t>Total Equity</t>
        </is>
      </c>
      <c r="B48" s="18" t="n">
        <v>34995</v>
      </c>
      <c r="C48" s="18" t="n">
        <v>34684</v>
      </c>
      <c r="D48" s="18" t="n">
        <v>35270</v>
      </c>
      <c r="E48" s="18" t="n">
        <v>34585</v>
      </c>
      <c r="F48" s="18" t="n">
        <v>35524</v>
      </c>
      <c r="G48" s="18" t="n">
        <v>36210</v>
      </c>
      <c r="H48" s="18" t="n">
        <v>37679</v>
      </c>
      <c r="I48" s="18" t="n">
        <v>37696</v>
      </c>
      <c r="J48" s="18" t="n">
        <v>37790</v>
      </c>
      <c r="K48" s="18" t="n">
        <v>37589</v>
      </c>
      <c r="L48" s="18" t="n">
        <v>36194</v>
      </c>
      <c r="M48" s="18" t="n">
        <v>35989</v>
      </c>
      <c r="N48" s="18" t="n">
        <v>35483</v>
      </c>
      <c r="O48" s="18" t="n">
        <v>35581</v>
      </c>
      <c r="P48" s="18" t="n">
        <v>36924</v>
      </c>
      <c r="Q48" s="18" t="n">
        <v>38565</v>
      </c>
      <c r="R48" s="18" t="n">
        <v>38981</v>
      </c>
      <c r="S48" s="18" t="n">
        <v>38733</v>
      </c>
      <c r="T48" s="18" t="n">
        <v>39733</v>
      </c>
      <c r="U48" s="18" t="n">
        <v>40485</v>
      </c>
      <c r="V48" s="18" t="n">
        <v>39729</v>
      </c>
      <c r="W48" s="18" t="n">
        <v>39137</v>
      </c>
      <c r="X48" s="18" t="n">
        <v>38296</v>
      </c>
      <c r="Y48" s="18" t="n">
        <v>38030</v>
      </c>
      <c r="Z48" s="18" t="n">
        <v>38664</v>
      </c>
      <c r="AA48" s="18" t="n">
        <v>37909</v>
      </c>
      <c r="AB48" s="18" t="n">
        <v>38777</v>
      </c>
      <c r="AC48" s="18" t="n">
        <v>35661</v>
      </c>
    </row>
    <row r="49">
      <c r="A49" s="5" t="inlineStr">
        <is>
          <t xml:space="preserve">  CASH FLOW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</row>
    <row r="50">
      <c r="A50" s="4" t="inlineStr">
        <is>
          <t>D&amp;A</t>
        </is>
      </c>
      <c r="B50" s="18" t="n">
        <v>165</v>
      </c>
      <c r="C50" s="18" t="n">
        <v>172</v>
      </c>
      <c r="D50" s="18" t="n">
        <v>182</v>
      </c>
      <c r="E50" s="18" t="n">
        <v>192</v>
      </c>
      <c r="F50" s="18" t="n">
        <v>197</v>
      </c>
      <c r="G50" s="18" t="n">
        <v>196</v>
      </c>
      <c r="H50" s="18" t="n">
        <v>197</v>
      </c>
      <c r="I50" s="18" t="n">
        <v>201</v>
      </c>
      <c r="J50" s="18" t="n">
        <v>204</v>
      </c>
      <c r="K50" s="18" t="n">
        <v>202</v>
      </c>
      <c r="L50" s="18" t="n">
        <v>198</v>
      </c>
      <c r="M50" s="18" t="n">
        <v>207</v>
      </c>
      <c r="N50" s="18" t="n">
        <v>230</v>
      </c>
      <c r="O50" s="18" t="n">
        <v>226</v>
      </c>
      <c r="P50" s="18" t="n">
        <v>227</v>
      </c>
      <c r="Q50" s="18" t="n">
        <v>234</v>
      </c>
      <c r="R50" s="18" t="n">
        <v>235</v>
      </c>
      <c r="S50" s="18" t="n">
        <v>247</v>
      </c>
      <c r="T50" s="18" t="n">
        <v>247</v>
      </c>
      <c r="U50" s="18" t="n">
        <v>249</v>
      </c>
      <c r="V50" s="18" t="n">
        <v>264</v>
      </c>
      <c r="W50" s="18" t="n">
        <v>274</v>
      </c>
      <c r="X50" s="18" t="n">
        <v>282</v>
      </c>
      <c r="Y50" s="18" t="n">
        <v>305</v>
      </c>
      <c r="Z50" s="18" t="n">
        <v>317</v>
      </c>
      <c r="AA50" s="18" t="n">
        <v>316</v>
      </c>
      <c r="AB50" s="18" t="n">
        <v>326</v>
      </c>
      <c r="AC50" s="18" t="n">
        <v>333</v>
      </c>
    </row>
    <row r="51">
      <c r="A51" s="4" t="inlineStr">
        <is>
          <t>Stock-based Compensation</t>
        </is>
      </c>
      <c r="B51" s="18" t="n">
        <v>110</v>
      </c>
      <c r="C51" s="18" t="n">
        <v>86</v>
      </c>
      <c r="D51" s="18" t="n">
        <v>116</v>
      </c>
      <c r="E51" s="18" t="n">
        <v>99</v>
      </c>
      <c r="F51" s="18" t="n">
        <v>107</v>
      </c>
      <c r="G51" s="18" t="n">
        <v>94</v>
      </c>
      <c r="H51" s="18" t="n">
        <v>122</v>
      </c>
      <c r="I51" s="18" t="n">
        <v>153</v>
      </c>
      <c r="J51" s="18" t="n">
        <v>159</v>
      </c>
      <c r="K51" s="18" t="n">
        <v>108</v>
      </c>
      <c r="L51" s="18" t="n">
        <v>128</v>
      </c>
      <c r="M51" s="18" t="n">
        <v>190</v>
      </c>
      <c r="N51" s="18" t="n">
        <v>152</v>
      </c>
      <c r="O51" s="18" t="n">
        <v>132</v>
      </c>
      <c r="P51" s="18" t="n">
        <v>177</v>
      </c>
      <c r="Q51" s="18" t="n">
        <v>214</v>
      </c>
      <c r="R51" s="18" t="n">
        <v>184</v>
      </c>
      <c r="S51" s="18" t="n">
        <v>174</v>
      </c>
      <c r="T51" s="18" t="n">
        <v>209</v>
      </c>
      <c r="U51" s="18" t="n">
        <v>242</v>
      </c>
      <c r="V51" s="18" t="n">
        <v>211</v>
      </c>
      <c r="W51" s="18" t="n">
        <v>188</v>
      </c>
      <c r="X51" s="18" t="n">
        <v>224</v>
      </c>
      <c r="Y51" s="18" t="n">
        <v>259</v>
      </c>
      <c r="Z51" s="18" t="n">
        <v>223</v>
      </c>
      <c r="AA51" s="18" t="n">
        <v>191</v>
      </c>
      <c r="AB51" s="18" t="n">
        <v>231</v>
      </c>
      <c r="AC51" s="18" t="n">
        <v>275</v>
      </c>
    </row>
    <row r="52">
      <c r="A52" s="4" t="inlineStr">
        <is>
          <t>Change in Working Capital</t>
        </is>
      </c>
      <c r="B52" s="18" t="n">
        <v>-1410</v>
      </c>
      <c r="C52" s="18" t="n">
        <v>-845</v>
      </c>
      <c r="D52" s="18" t="n">
        <v>-1342</v>
      </c>
      <c r="E52" s="18" t="n">
        <v>-3580</v>
      </c>
      <c r="F52" s="18" t="n">
        <v>-1035</v>
      </c>
      <c r="G52" s="18" t="n">
        <v>-2441</v>
      </c>
      <c r="H52" s="18" t="n">
        <v>-1810</v>
      </c>
      <c r="I52" s="18" t="n">
        <v>-1759</v>
      </c>
      <c r="J52" s="18" t="n">
        <v>-1168</v>
      </c>
      <c r="K52" s="18" t="n">
        <v>-1965</v>
      </c>
      <c r="L52" s="18" t="n">
        <v>-2139</v>
      </c>
      <c r="M52" s="18" t="n">
        <v>-3174</v>
      </c>
      <c r="N52" s="18" t="n">
        <v>-1108</v>
      </c>
      <c r="O52" s="18" t="n">
        <v>-1236</v>
      </c>
      <c r="P52" s="18" t="n">
        <v>-3138</v>
      </c>
      <c r="Q52" s="18" t="n">
        <v>-3824</v>
      </c>
      <c r="R52" s="18" t="n">
        <v>-1777</v>
      </c>
      <c r="S52" s="18" t="n">
        <v>-1283</v>
      </c>
      <c r="T52" s="18" t="n">
        <v>-5122</v>
      </c>
      <c r="U52" s="18" t="n">
        <v>-3787</v>
      </c>
      <c r="V52" s="18" t="n">
        <v>-3777</v>
      </c>
      <c r="W52" s="18" t="n">
        <v>-2746</v>
      </c>
      <c r="X52" s="18" t="n">
        <v>-4168</v>
      </c>
      <c r="Y52" s="18" t="n">
        <v>-4091</v>
      </c>
      <c r="Z52" s="18" t="n">
        <v>-3529</v>
      </c>
      <c r="AA52" s="18" t="n">
        <v>-3384</v>
      </c>
      <c r="AB52" s="18" t="n">
        <v>-3486</v>
      </c>
      <c r="AC52" s="18" t="n">
        <v>-8313</v>
      </c>
    </row>
    <row r="53">
      <c r="A53" s="4" t="inlineStr">
        <is>
          <t>Operating Cash Flow</t>
        </is>
      </c>
      <c r="B53" s="18" t="n">
        <v>3384</v>
      </c>
      <c r="C53" s="18" t="n">
        <v>4042</v>
      </c>
      <c r="D53" s="18" t="n">
        <v>3875</v>
      </c>
      <c r="E53" s="18" t="n">
        <v>1467</v>
      </c>
      <c r="F53" s="18" t="n">
        <v>3002</v>
      </c>
      <c r="G53" s="18" t="n">
        <v>2096</v>
      </c>
      <c r="H53" s="18" t="n">
        <v>3513</v>
      </c>
      <c r="I53" s="18" t="n">
        <v>3329</v>
      </c>
      <c r="J53" s="18" t="n">
        <v>4414</v>
      </c>
      <c r="K53" s="18" t="n">
        <v>3971</v>
      </c>
      <c r="L53" s="18" t="n">
        <v>4232</v>
      </c>
      <c r="M53" s="18" t="n">
        <v>3489</v>
      </c>
      <c r="N53" s="18" t="n">
        <v>5252</v>
      </c>
      <c r="O53" s="18" t="n">
        <v>5876</v>
      </c>
      <c r="P53" s="18" t="n">
        <v>4171</v>
      </c>
      <c r="Q53" s="18" t="n">
        <v>3860</v>
      </c>
      <c r="R53" s="18" t="n">
        <v>5797</v>
      </c>
      <c r="S53" s="18" t="n">
        <v>6927</v>
      </c>
      <c r="T53" s="18" t="n">
        <v>3614</v>
      </c>
      <c r="U53" s="18" t="n">
        <v>4538</v>
      </c>
      <c r="V53" s="18" t="n">
        <v>5134</v>
      </c>
      <c r="W53" s="18" t="n">
        <v>6664</v>
      </c>
      <c r="X53" s="18" t="n">
        <v>5396</v>
      </c>
      <c r="Y53" s="18" t="n">
        <v>4695</v>
      </c>
      <c r="Z53" s="18" t="n">
        <v>6730</v>
      </c>
      <c r="AA53" s="18" t="n">
        <v>6238</v>
      </c>
      <c r="AB53" s="18" t="n">
        <v>6780</v>
      </c>
      <c r="AC53" s="18" t="n">
        <v>3008</v>
      </c>
    </row>
    <row r="54">
      <c r="A54" s="4" t="inlineStr">
        <is>
          <t>Capex</t>
        </is>
      </c>
      <c r="B54" s="18" t="n">
        <v>-194</v>
      </c>
      <c r="C54" s="18" t="n">
        <v>-249</v>
      </c>
      <c r="D54" s="18" t="n">
        <v>-191</v>
      </c>
      <c r="E54" s="18" t="n">
        <v>-216</v>
      </c>
      <c r="F54" s="18" t="n">
        <v>-161</v>
      </c>
      <c r="G54" s="18" t="n">
        <v>-168</v>
      </c>
      <c r="H54" s="18" t="n">
        <v>-160</v>
      </c>
      <c r="I54" s="18" t="n">
        <v>-158</v>
      </c>
      <c r="J54" s="18" t="n">
        <v>-179</v>
      </c>
      <c r="K54" s="18" t="n">
        <v>-208</v>
      </c>
      <c r="L54" s="18" t="n">
        <v>-173</v>
      </c>
      <c r="M54" s="18" t="n">
        <v>-267</v>
      </c>
      <c r="N54" s="18" t="n">
        <v>-235</v>
      </c>
      <c r="O54" s="18" t="n">
        <v>-295</v>
      </c>
      <c r="P54" s="18" t="n">
        <v>-249</v>
      </c>
      <c r="Q54" s="18" t="n">
        <v>-210</v>
      </c>
      <c r="R54" s="18" t="n">
        <v>-295</v>
      </c>
      <c r="S54" s="18" t="n">
        <v>-305</v>
      </c>
      <c r="T54" s="18" t="n">
        <v>-267</v>
      </c>
      <c r="U54" s="18" t="n">
        <v>-281</v>
      </c>
      <c r="V54" s="18" t="n">
        <v>-400</v>
      </c>
      <c r="W54" s="18" t="n">
        <v>-309</v>
      </c>
      <c r="X54" s="18" t="n">
        <v>-345</v>
      </c>
      <c r="Y54" s="18" t="n">
        <v>-327</v>
      </c>
      <c r="Z54" s="18" t="n">
        <v>-421</v>
      </c>
      <c r="AA54" s="18" t="n">
        <v>-389</v>
      </c>
      <c r="AB54" s="18" t="n">
        <v>-378</v>
      </c>
      <c r="AC54" s="18" t="n">
        <v>-383</v>
      </c>
    </row>
    <row r="55">
      <c r="A55" s="4" t="inlineStr">
        <is>
          <t>Free Cash Flow</t>
        </is>
      </c>
      <c r="B55" s="18" t="n">
        <v>3190</v>
      </c>
      <c r="C55" s="18" t="n">
        <v>3793</v>
      </c>
      <c r="D55" s="18" t="n">
        <v>3684</v>
      </c>
      <c r="E55" s="18" t="n">
        <v>1251</v>
      </c>
      <c r="F55" s="18" t="n">
        <v>2841</v>
      </c>
      <c r="G55" s="18" t="n">
        <v>1928</v>
      </c>
      <c r="H55" s="18" t="n">
        <v>3353</v>
      </c>
      <c r="I55" s="18" t="n">
        <v>3171</v>
      </c>
      <c r="J55" s="18" t="n">
        <v>4235</v>
      </c>
      <c r="K55" s="18" t="n">
        <v>3763</v>
      </c>
      <c r="L55" s="18" t="n">
        <v>4059</v>
      </c>
      <c r="M55" s="18" t="n">
        <v>3222</v>
      </c>
      <c r="N55" s="18" t="n">
        <v>5017</v>
      </c>
      <c r="O55" s="18" t="n">
        <v>5581</v>
      </c>
      <c r="P55" s="18" t="n">
        <v>3922</v>
      </c>
      <c r="Q55" s="18" t="n">
        <v>3650</v>
      </c>
      <c r="R55" s="18" t="n">
        <v>5502</v>
      </c>
      <c r="S55" s="18" t="n">
        <v>6622</v>
      </c>
      <c r="T55" s="18" t="n">
        <v>3347</v>
      </c>
      <c r="U55" s="18" t="n">
        <v>4257</v>
      </c>
      <c r="V55" s="18" t="n">
        <v>4734</v>
      </c>
      <c r="W55" s="18" t="n">
        <v>6355</v>
      </c>
      <c r="X55" s="18" t="n">
        <v>5051</v>
      </c>
      <c r="Y55" s="18" t="n">
        <v>4368</v>
      </c>
      <c r="Z55" s="18" t="n">
        <v>6309</v>
      </c>
      <c r="AA55" s="18" t="n">
        <v>5849</v>
      </c>
      <c r="AB55" s="18" t="n">
        <v>6402</v>
      </c>
      <c r="AC55" s="18" t="n">
        <v>2625</v>
      </c>
    </row>
    <row r="57">
      <c r="A57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45540.921638</v>
      </c>
      <c r="C4" s="18" t="n">
        <v>50365.218301</v>
      </c>
      <c r="D4" s="18" t="n">
        <v>55528.017236</v>
      </c>
      <c r="E4" s="18" t="n">
        <v>61988.195757</v>
      </c>
      <c r="F4" s="18" t="n">
        <v>65566.25</v>
      </c>
    </row>
    <row r="5">
      <c r="A5" s="4" t="inlineStr">
        <is>
          <t xml:space="preserve">  model</t>
        </is>
      </c>
      <c r="B5" s="33">
        <f>Model!G14</f>
        <v/>
      </c>
      <c r="C5" s="33">
        <f>Model!H14</f>
        <v/>
      </c>
      <c r="D5" s="33">
        <f>Model!I14</f>
        <v/>
      </c>
      <c r="E5" s="33">
        <f>Model!J14</f>
        <v/>
      </c>
      <c r="F5" s="33">
        <f>Model!K14</f>
        <v/>
      </c>
    </row>
    <row r="6">
      <c r="A6" s="4" t="inlineStr">
        <is>
          <t xml:space="preserve">  vs consensus</t>
        </is>
      </c>
      <c r="B6" s="80">
        <f>IFERROR(B5/B4-1,"")</f>
        <v/>
      </c>
      <c r="C6" s="80">
        <f>IFERROR(C5/C4-1,"")</f>
        <v/>
      </c>
      <c r="D6" s="80">
        <f>IFERROR(D5/D4-1,"")</f>
        <v/>
      </c>
      <c r="E6" s="80">
        <f>IFERROR(E5/E4-1,"")</f>
        <v/>
      </c>
      <c r="F6" s="80">
        <f>IFERROR(F5/F4-1,"")</f>
        <v/>
      </c>
    </row>
    <row r="8">
      <c r="A8" s="3" t="inlineStr">
        <is>
          <t>EBITDA* — consensus</t>
        </is>
      </c>
      <c r="B8" s="18" t="n">
        <v>31357.383293</v>
      </c>
      <c r="C8" s="18" t="n">
        <v>34679.172009</v>
      </c>
      <c r="D8" s="18" t="n">
        <v>38234.037814</v>
      </c>
      <c r="E8" s="18" t="n">
        <v>42682.219509</v>
      </c>
      <c r="F8" s="18" t="n">
        <v>45145.903034</v>
      </c>
    </row>
    <row r="9">
      <c r="A9" s="4" t="inlineStr">
        <is>
          <t xml:space="preserve">  model</t>
        </is>
      </c>
      <c r="B9" s="33">
        <f>Model!G27+Model!G32</f>
        <v/>
      </c>
      <c r="C9" s="33">
        <f>Model!H27+Model!H32</f>
        <v/>
      </c>
      <c r="D9" s="33">
        <f>Model!I27+Model!I32</f>
        <v/>
      </c>
      <c r="E9" s="33">
        <f>Model!J27+Model!J32</f>
        <v/>
      </c>
      <c r="F9" s="33">
        <f>Model!K27+Model!K32</f>
        <v/>
      </c>
    </row>
    <row r="10">
      <c r="A10" s="4" t="inlineStr">
        <is>
          <t xml:space="preserve">  vs consensus</t>
        </is>
      </c>
      <c r="B10" s="80">
        <f>IFERROR(B9/B8-1,"")</f>
        <v/>
      </c>
      <c r="C10" s="80">
        <f>IFERROR(C9/C8-1,"")</f>
        <v/>
      </c>
      <c r="D10" s="80">
        <f>IFERROR(D9/D8-1,"")</f>
        <v/>
      </c>
      <c r="E10" s="80">
        <f>IFERROR(E9/E8-1,"")</f>
        <v/>
      </c>
      <c r="F10" s="80">
        <f>IFERROR(F9/F8-1,"")</f>
        <v/>
      </c>
    </row>
    <row r="12">
      <c r="A12" s="3" t="inlineStr">
        <is>
          <t>EBIT* — consensus</t>
        </is>
      </c>
      <c r="B12" s="18" t="n">
        <v>29983.044544</v>
      </c>
      <c r="C12" s="18" t="n">
        <v>33159.245125</v>
      </c>
      <c r="D12" s="18" t="n">
        <v>36558.307438</v>
      </c>
      <c r="E12" s="18" t="n">
        <v>40811.533183</v>
      </c>
      <c r="F12" s="18" t="n">
        <v>43167.237808</v>
      </c>
    </row>
    <row r="13">
      <c r="A13" s="4" t="inlineStr">
        <is>
          <t xml:space="preserve">  model</t>
        </is>
      </c>
      <c r="B13" s="33">
        <f>Model!G27</f>
        <v/>
      </c>
      <c r="C13" s="33">
        <f>Model!H27</f>
        <v/>
      </c>
      <c r="D13" s="33">
        <f>Model!I27</f>
        <v/>
      </c>
      <c r="E13" s="33">
        <f>Model!J27</f>
        <v/>
      </c>
      <c r="F13" s="33">
        <f>Model!K27</f>
        <v/>
      </c>
    </row>
    <row r="14">
      <c r="A14" s="4" t="inlineStr">
        <is>
          <t xml:space="preserve">  vs consensus</t>
        </is>
      </c>
      <c r="B14" s="80">
        <f>IFERROR(B13/B12-1,"")</f>
        <v/>
      </c>
      <c r="C14" s="80">
        <f>IFERROR(C13/C12-1,"")</f>
        <v/>
      </c>
      <c r="D14" s="80">
        <f>IFERROR(D13/D12-1,"")</f>
        <v/>
      </c>
      <c r="E14" s="80">
        <f>IFERROR(E13/E12-1,"")</f>
        <v/>
      </c>
      <c r="F14" s="80">
        <f>IFERROR(F13/F12-1,"")</f>
        <v/>
      </c>
    </row>
    <row r="16">
      <c r="A16" s="3" t="inlineStr">
        <is>
          <t>SG&amp;A — consensus</t>
        </is>
      </c>
      <c r="B16" s="18" t="n">
        <v>4750.375004</v>
      </c>
      <c r="C16" s="18" t="n">
        <v>5253.597544</v>
      </c>
      <c r="D16" s="18" t="n">
        <v>5792.129268</v>
      </c>
      <c r="E16" s="18" t="n">
        <v>6465.990698</v>
      </c>
      <c r="F16" s="18" t="n">
        <v>6839.217651</v>
      </c>
    </row>
    <row r="17">
      <c r="A17" s="4" t="inlineStr">
        <is>
          <t xml:space="preserve">  model</t>
        </is>
      </c>
      <c r="B17" s="33">
        <f>Model!G22</f>
        <v/>
      </c>
      <c r="C17" s="33">
        <f>Model!H22</f>
        <v/>
      </c>
      <c r="D17" s="33">
        <f>Model!I22</f>
        <v/>
      </c>
      <c r="E17" s="33">
        <f>Model!J22</f>
        <v/>
      </c>
      <c r="F17" s="33">
        <f>Model!K22</f>
        <v/>
      </c>
    </row>
    <row r="18">
      <c r="A18" s="4" t="inlineStr">
        <is>
          <t xml:space="preserve">  vs consensus</t>
        </is>
      </c>
      <c r="B18" s="80">
        <f>IFERROR(B17/B16-1,"")</f>
        <v/>
      </c>
      <c r="C18" s="80">
        <f>IFERROR(C17/C16-1,"")</f>
        <v/>
      </c>
      <c r="D18" s="80">
        <f>IFERROR(D17/D16-1,"")</f>
        <v/>
      </c>
      <c r="E18" s="80">
        <f>IFERROR(E17/E16-1,"")</f>
        <v/>
      </c>
      <c r="F18" s="80">
        <f>IFERROR(F17/F16-1,"")</f>
        <v/>
      </c>
    </row>
    <row r="20">
      <c r="A20" s="3" t="inlineStr">
        <is>
          <t>Net income (NOPAT) — consensus</t>
        </is>
      </c>
      <c r="B20" s="18" t="n">
        <v>25656.6833825</v>
      </c>
      <c r="C20" s="18" t="n">
        <v>29167.8414245</v>
      </c>
      <c r="D20" s="18" t="n">
        <v>33403.0281165</v>
      </c>
      <c r="E20" s="18" t="n">
        <v>38041.824779</v>
      </c>
      <c r="F20" s="18" t="n">
        <v>37236.040018</v>
      </c>
    </row>
    <row r="21">
      <c r="A21" s="4" t="inlineStr">
        <is>
          <t xml:space="preserve">  model</t>
        </is>
      </c>
      <c r="B21" s="33">
        <f>Model!G31</f>
        <v/>
      </c>
      <c r="C21" s="33">
        <f>Model!H31</f>
        <v/>
      </c>
      <c r="D21" s="33">
        <f>Model!I31</f>
        <v/>
      </c>
      <c r="E21" s="33">
        <f>Model!J31</f>
        <v/>
      </c>
      <c r="F21" s="33">
        <f>Model!K31</f>
        <v/>
      </c>
    </row>
    <row r="22">
      <c r="A22" s="4" t="inlineStr">
        <is>
          <t xml:space="preserve">  vs consensus</t>
        </is>
      </c>
      <c r="B22" s="80">
        <f>IFERROR(B21/B20-1,"")</f>
        <v/>
      </c>
      <c r="C22" s="80">
        <f>IFERROR(C21/C20-1,"")</f>
        <v/>
      </c>
      <c r="D22" s="80">
        <f>IFERROR(D21/D20-1,"")</f>
        <v/>
      </c>
      <c r="E22" s="80">
        <f>IFERROR(E21/E20-1,"")</f>
        <v/>
      </c>
      <c r="F22" s="80">
        <f>IFERROR(F21/F20-1,"")</f>
        <v/>
      </c>
    </row>
    <row r="24">
      <c r="A24" s="3" t="inlineStr">
        <is>
          <t>EPS — consensus</t>
        </is>
      </c>
      <c r="B24" s="81" t="n">
        <v>13.1456</v>
      </c>
      <c r="C24" s="81" t="n">
        <v>14.89144</v>
      </c>
      <c r="D24" s="81" t="n">
        <v>16.82887</v>
      </c>
      <c r="E24" s="81" t="n">
        <v>19.34986</v>
      </c>
      <c r="F24" s="81" t="n">
        <v>18.94</v>
      </c>
    </row>
    <row r="25">
      <c r="A25" s="4" t="inlineStr">
        <is>
          <t xml:space="preserve">  model</t>
        </is>
      </c>
      <c r="B25" s="59">
        <f>Model!G31/Financials!AC17</f>
        <v/>
      </c>
      <c r="C25" s="59">
        <f>Model!H31/Financials!AC17</f>
        <v/>
      </c>
      <c r="D25" s="59">
        <f>Model!I31/Financials!AC17</f>
        <v/>
      </c>
      <c r="E25" s="59">
        <f>Model!J31/Financials!AC17</f>
        <v/>
      </c>
      <c r="F25" s="59">
        <f>Model!K31/Financials!AC17</f>
        <v/>
      </c>
    </row>
    <row r="26">
      <c r="A26" s="4" t="inlineStr">
        <is>
          <t xml:space="preserve">  vs consensus</t>
        </is>
      </c>
      <c r="B26" s="80">
        <f>IFERROR(B25/B24-1,"")</f>
        <v/>
      </c>
      <c r="C26" s="80">
        <f>IFERROR(C25/C24-1,"")</f>
        <v/>
      </c>
      <c r="D26" s="80">
        <f>IFERROR(D25/D24-1,"")</f>
        <v/>
      </c>
      <c r="E26" s="80">
        <f>IFERROR(E25/E24-1,"")</f>
        <v/>
      </c>
      <c r="F26" s="80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Visa Inc. — DCF Valuation</t>
        </is>
      </c>
    </row>
    <row r="2">
      <c r="A2" s="4" t="inlineStr">
        <is>
          <t>Current price</t>
        </is>
      </c>
      <c r="B2" s="59">
        <f>Dashboard!$B$48</f>
        <v/>
      </c>
    </row>
    <row r="3">
      <c r="A3" s="4" t="inlineStr">
        <is>
          <t>WACC</t>
        </is>
      </c>
      <c r="B3" s="61">
        <f>WACC!B15</f>
        <v/>
      </c>
    </row>
    <row r="4">
      <c r="A4" s="4" t="inlineStr">
        <is>
          <t>Terminal growth (g)</t>
        </is>
      </c>
      <c r="B4" s="61">
        <f>Dashboard!$B$46</f>
        <v/>
      </c>
    </row>
    <row r="5">
      <c r="A5" s="4" t="inlineStr">
        <is>
          <t>Tax rate</t>
        </is>
      </c>
      <c r="B5" s="6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62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Model!G39</f>
        <v/>
      </c>
      <c r="D12" s="33">
        <f>Model!H39</f>
        <v/>
      </c>
      <c r="E12" s="33">
        <f>Model!I39</f>
        <v/>
      </c>
      <c r="F12" s="33">
        <f>Model!J39</f>
        <v/>
      </c>
      <c r="G12" s="33">
        <f>Model!K39</f>
        <v/>
      </c>
      <c r="H12" s="33">
        <f>Model!L39</f>
        <v/>
      </c>
      <c r="I12" s="33">
        <f>Model!M39</f>
        <v/>
      </c>
      <c r="J12" s="33">
        <f>Model!N39</f>
        <v/>
      </c>
      <c r="K12" s="33">
        <f>Model!O39</f>
        <v/>
      </c>
      <c r="L12" s="33">
        <f>Model!P39</f>
        <v/>
      </c>
    </row>
    <row r="13">
      <c r="A13" s="4" t="inlineStr">
        <is>
          <t>PV factor</t>
        </is>
      </c>
      <c r="C13" s="82">
        <f>1/(1+$B$3)^1</f>
        <v/>
      </c>
      <c r="D13" s="82">
        <f>1/(1+$B$3)^2</f>
        <v/>
      </c>
      <c r="E13" s="82">
        <f>1/(1+$B$3)^3</f>
        <v/>
      </c>
      <c r="F13" s="82">
        <f>1/(1+$B$3)^4</f>
        <v/>
      </c>
      <c r="G13" s="82">
        <f>1/(1+$B$3)^5</f>
        <v/>
      </c>
      <c r="H13" s="82">
        <f>1/(1+$B$3)^6</f>
        <v/>
      </c>
      <c r="I13" s="82">
        <f>1/(1+$B$3)^7</f>
        <v/>
      </c>
      <c r="J13" s="82">
        <f>1/(1+$B$3)^8</f>
        <v/>
      </c>
      <c r="K13" s="82">
        <f>1/(1+$B$3)^9</f>
        <v/>
      </c>
      <c r="L13" s="82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Model!P14</f>
        <v/>
      </c>
    </row>
    <row r="21">
      <c r="A21" s="4" t="inlineStr">
        <is>
          <t>Terminal EBIT</t>
        </is>
      </c>
      <c r="B21" s="33">
        <f>Model!P27</f>
        <v/>
      </c>
    </row>
    <row r="22">
      <c r="A22" s="4" t="inlineStr">
        <is>
          <t>Terminal EBITDA (SBC-burdened)</t>
        </is>
      </c>
      <c r="B22" s="33">
        <f>Model!P27+Model!P32-Model!P33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Financials!AC42</f>
        <v/>
      </c>
    </row>
    <row r="33">
      <c r="A33" s="4" t="inlineStr">
        <is>
          <t>- Long-term debt</t>
        </is>
      </c>
      <c r="B33" s="33">
        <f>-Financials!AC47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58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70">
        <f>B28/B31</f>
        <v/>
      </c>
    </row>
    <row r="40">
      <c r="A40" s="4" t="inlineStr">
        <is>
          <t>Implied perpetuity g (from exit multiple)</t>
        </is>
      </c>
      <c r="B40" s="70">
        <f>(B24*$B$3-B19)/(B24+B19)</f>
        <v/>
      </c>
    </row>
    <row r="41">
      <c r="A41" s="4" t="inlineStr">
        <is>
          <t>Implied exit EV/EBITDA (from perpetuity)</t>
        </is>
      </c>
      <c r="B41" s="71">
        <f>B26/B22</f>
        <v/>
      </c>
    </row>
    <row r="42">
      <c r="A42" s="4" t="inlineStr">
        <is>
          <t>Upside / (downside) to fair value</t>
        </is>
      </c>
      <c r="B42" s="74">
        <f>B36/$B$2-1</f>
        <v/>
      </c>
    </row>
    <row r="44">
      <c r="A44" s="4" t="inlineStr">
        <is>
          <t>Owner cashflow / share</t>
        </is>
      </c>
      <c r="B44" s="83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7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 x  \  WACC</t>
        </is>
      </c>
      <c r="B4" s="84" t="n">
        <v>0.0619210876883272</v>
      </c>
      <c r="C4" s="84" t="n">
        <v>0.0669210876883272</v>
      </c>
      <c r="D4" s="84" t="n">
        <v>0.0719210876883272</v>
      </c>
      <c r="E4" s="84" t="n">
        <v>0.0769210876883272</v>
      </c>
      <c r="F4" s="84" t="n">
        <v>0.0819210876883272</v>
      </c>
      <c r="G4" s="84" t="n">
        <v>0.08692108768832719</v>
      </c>
      <c r="H4" s="84" t="n">
        <v>0.0919210876883272</v>
      </c>
    </row>
    <row r="5">
      <c r="A5" s="85" t="n">
        <v>16</v>
      </c>
      <c r="B5" s="86" t="n">
        <v>351.079110322957</v>
      </c>
      <c r="C5" s="86" t="n">
        <v>337.0821200207488</v>
      </c>
      <c r="D5" s="86" t="n">
        <v>323.7476364756071</v>
      </c>
      <c r="E5" s="86" t="n">
        <v>311.0406418611925</v>
      </c>
      <c r="F5" s="86" t="n">
        <v>298.9281385921427</v>
      </c>
      <c r="G5" s="86" t="n">
        <v>287.3790235863921</v>
      </c>
      <c r="H5" s="86" t="n">
        <v>276.3639709054544</v>
      </c>
    </row>
    <row r="6">
      <c r="A6" s="85" t="n">
        <v>17</v>
      </c>
      <c r="B6" s="86" t="n">
        <v>366.0081779616941</v>
      </c>
      <c r="C6" s="86" t="n">
        <v>351.3261259762628</v>
      </c>
      <c r="D6" s="86" t="n">
        <v>337.3410018077425</v>
      </c>
      <c r="E6" s="86" t="n">
        <v>324.0159095181758</v>
      </c>
      <c r="F6" s="86" t="n">
        <v>311.3160839211409</v>
      </c>
      <c r="G6" s="86" t="n">
        <v>299.2087578729464</v>
      </c>
      <c r="H6" s="86" t="n">
        <v>287.6630384108231</v>
      </c>
    </row>
    <row r="7">
      <c r="A7" s="85" t="n">
        <v>18</v>
      </c>
      <c r="B7" s="59" t="n">
        <v>380.9372456004313</v>
      </c>
      <c r="C7" s="86" t="n">
        <v>365.5701319317768</v>
      </c>
      <c r="D7" s="86" t="n">
        <v>350.9343671398781</v>
      </c>
      <c r="E7" s="86" t="n">
        <v>336.9911771751591</v>
      </c>
      <c r="F7" s="86" t="n">
        <v>323.7040292501392</v>
      </c>
      <c r="G7" s="86" t="n">
        <v>311.0384921595007</v>
      </c>
      <c r="H7" s="86" t="n">
        <v>298.9621059161916</v>
      </c>
    </row>
    <row r="8">
      <c r="A8" s="85" t="n">
        <v>19</v>
      </c>
      <c r="B8" s="59" t="n">
        <v>395.8663132391684</v>
      </c>
      <c r="C8" s="59" t="n">
        <v>379.8141378872907</v>
      </c>
      <c r="D8" s="86" t="n">
        <v>364.5277324720136</v>
      </c>
      <c r="E8" s="91" t="n">
        <v>349.9664448321424</v>
      </c>
      <c r="F8" s="86" t="n">
        <v>336.0919745791375</v>
      </c>
      <c r="G8" s="86" t="n">
        <v>322.8682264460548</v>
      </c>
      <c r="H8" s="86" t="n">
        <v>310.2611734215602</v>
      </c>
    </row>
    <row r="9">
      <c r="A9" s="85" t="n">
        <v>20</v>
      </c>
      <c r="B9" s="59" t="n">
        <v>410.7953808779055</v>
      </c>
      <c r="C9" s="59" t="n">
        <v>394.0581438428047</v>
      </c>
      <c r="D9" s="59" t="n">
        <v>378.1210978041491</v>
      </c>
      <c r="E9" s="86" t="n">
        <v>362.9417124891257</v>
      </c>
      <c r="F9" s="86" t="n">
        <v>348.4799199081357</v>
      </c>
      <c r="G9" s="86" t="n">
        <v>334.6979607326091</v>
      </c>
      <c r="H9" s="86" t="n">
        <v>321.5602409269288</v>
      </c>
    </row>
    <row r="10">
      <c r="A10" s="85" t="n">
        <v>21</v>
      </c>
      <c r="B10" s="59" t="n">
        <v>425.7244485166426</v>
      </c>
      <c r="C10" s="59" t="n">
        <v>408.3021497983188</v>
      </c>
      <c r="D10" s="59" t="n">
        <v>391.7144631362846</v>
      </c>
      <c r="E10" s="59" t="n">
        <v>375.9169801461091</v>
      </c>
      <c r="F10" s="86" t="n">
        <v>360.867865237134</v>
      </c>
      <c r="G10" s="86" t="n">
        <v>346.5276950191634</v>
      </c>
      <c r="H10" s="86" t="n">
        <v>332.8593084322974</v>
      </c>
    </row>
    <row r="11">
      <c r="A11" s="85" t="n">
        <v>22</v>
      </c>
      <c r="B11" s="59" t="n">
        <v>440.6535161553797</v>
      </c>
      <c r="C11" s="59" t="n">
        <v>422.5461557538327</v>
      </c>
      <c r="D11" s="59" t="n">
        <v>405.3078284684202</v>
      </c>
      <c r="E11" s="59" t="n">
        <v>388.8922478030923</v>
      </c>
      <c r="F11" s="59" t="n">
        <v>373.2558105661323</v>
      </c>
      <c r="G11" s="86" t="n">
        <v>358.3574293057177</v>
      </c>
      <c r="H11" s="86" t="n">
        <v>344.1583759376659</v>
      </c>
    </row>
    <row r="13">
      <c r="A13" s="3" t="inlineStr">
        <is>
          <t>Current price</t>
        </is>
      </c>
      <c r="B13" s="86" t="n">
        <v>369.4012145996094</v>
      </c>
    </row>
    <row r="14">
      <c r="A14" s="3" t="inlineStr">
        <is>
          <t>Base WACC / multiple</t>
        </is>
      </c>
      <c r="B14" s="88" t="n">
        <v>0.0769210876883272</v>
      </c>
      <c r="C14" s="89" t="n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Model!F14</f>
        <v/>
      </c>
      <c r="K2" s="70">
        <f>MAX(-0.05,NORMINV(RAND(),$C$6,$D$6))</f>
        <v/>
      </c>
      <c r="L2" s="70">
        <f>MAX(0.02,NORMINV(RAND(),$C$7,$D$7))</f>
        <v/>
      </c>
      <c r="M2" s="70">
        <f>MIN(0.16,MAX(0.05,NORMINV(RAND(),$C$8,$D$8)))</f>
        <v/>
      </c>
      <c r="N2" s="71">
        <f>MIN(24,MAX(5,NORMINV(RAND(),$C$9,$D$9)))</f>
        <v/>
      </c>
      <c r="O2" s="83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Model!F28</f>
        <v/>
      </c>
      <c r="K3" s="70">
        <f>MAX(-0.05,NORMINV(RAND(),$C$6,$D$6))</f>
        <v/>
      </c>
      <c r="L3" s="70">
        <f>MAX(0.02,NORMINV(RAND(),$C$7,$D$7))</f>
        <v/>
      </c>
      <c r="M3" s="70">
        <f>MIN(0.16,MAX(0.05,NORMINV(RAND(),$C$8,$D$8)))</f>
        <v/>
      </c>
      <c r="N3" s="71">
        <f>MIN(24,MAX(5,NORMINV(RAND(),$C$9,$D$9)))</f>
        <v/>
      </c>
      <c r="O3" s="83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82" t="n">
        <v>0.0305</v>
      </c>
      <c r="K4" s="70">
        <f>MAX(-0.05,NORMINV(RAND(),$C$6,$D$6))</f>
        <v/>
      </c>
      <c r="L4" s="70">
        <f>MAX(0.02,NORMINV(RAND(),$C$7,$D$7))</f>
        <v/>
      </c>
      <c r="M4" s="70">
        <f>MIN(0.16,MAX(0.05,NORMINV(RAND(),$C$8,$D$8)))</f>
        <v/>
      </c>
      <c r="N4" s="71">
        <f>MIN(24,MAX(5,NORMINV(RAND(),$C$9,$D$9)))</f>
        <v/>
      </c>
      <c r="O4" s="83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82" t="n">
        <v>1.180327868852459</v>
      </c>
      <c r="K5" s="70">
        <f>MAX(-0.05,NORMINV(RAND(),$C$6,$D$6))</f>
        <v/>
      </c>
      <c r="L5" s="70">
        <f>MAX(0.02,NORMINV(RAND(),$C$7,$D$7))</f>
        <v/>
      </c>
      <c r="M5" s="70">
        <f>MIN(0.16,MAX(0.05,NORMINV(RAND(),$C$8,$D$8)))</f>
        <v/>
      </c>
      <c r="N5" s="71">
        <f>MIN(24,MAX(5,NORMINV(RAND(),$C$9,$D$9)))</f>
        <v/>
      </c>
      <c r="O5" s="83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61">
        <f>(Model!P14/Model!F14)^(1/10)-1</f>
        <v/>
      </c>
      <c r="D6" s="63" t="n">
        <v>0.02326501785259418</v>
      </c>
      <c r="H6" s="4" t="inlineStr">
        <is>
          <t>nwc (% incr revenue)</t>
        </is>
      </c>
      <c r="I6" s="82" t="n">
        <v>0.005</v>
      </c>
      <c r="K6" s="70">
        <f>MAX(-0.05,NORMINV(RAND(),$C$6,$D$6))</f>
        <v/>
      </c>
      <c r="L6" s="70">
        <f>MAX(0.02,NORMINV(RAND(),$C$7,$D$7))</f>
        <v/>
      </c>
      <c r="M6" s="70">
        <f>MIN(0.16,MAX(0.05,NORMINV(RAND(),$C$8,$D$8)))</f>
        <v/>
      </c>
      <c r="N6" s="71">
        <f>MIN(24,MAX(5,NORMINV(RAND(),$C$9,$D$9)))</f>
        <v/>
      </c>
      <c r="O6" s="83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61">
        <f>Dashboard!$B$30</f>
        <v/>
      </c>
      <c r="D7" s="63" t="n">
        <v>0.02073262399812837</v>
      </c>
      <c r="H7" s="4" t="inlineStr">
        <is>
          <t>tax</t>
        </is>
      </c>
      <c r="I7" s="12">
        <f>Valuation!$B$5</f>
        <v/>
      </c>
      <c r="K7" s="70">
        <f>MAX(-0.05,NORMINV(RAND(),$C$6,$D$6))</f>
        <v/>
      </c>
      <c r="L7" s="70">
        <f>MAX(0.02,NORMINV(RAND(),$C$7,$D$7))</f>
        <v/>
      </c>
      <c r="M7" s="70">
        <f>MIN(0.16,MAX(0.05,NORMINV(RAND(),$C$8,$D$8)))</f>
        <v/>
      </c>
      <c r="N7" s="71">
        <f>MIN(24,MAX(5,NORMINV(RAND(),$C$9,$D$9)))</f>
        <v/>
      </c>
      <c r="O7" s="83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61">
        <f>WACC!B15</f>
        <v/>
      </c>
      <c r="D8" s="63" t="n">
        <v>0.005</v>
      </c>
      <c r="H8" s="4" t="inlineStr">
        <is>
          <t>k (calibration)</t>
        </is>
      </c>
      <c r="I8" s="82" t="n">
        <v>0.9844103466775689</v>
      </c>
      <c r="K8" s="70">
        <f>MAX(-0.05,NORMINV(RAND(),$C$6,$D$6))</f>
        <v/>
      </c>
      <c r="L8" s="70">
        <f>MAX(0.02,NORMINV(RAND(),$C$7,$D$7))</f>
        <v/>
      </c>
      <c r="M8" s="70">
        <f>MIN(0.16,MAX(0.05,NORMINV(RAND(),$C$8,$D$8)))</f>
        <v/>
      </c>
      <c r="N8" s="71">
        <f>MIN(24,MAX(5,NORMINV(RAND(),$C$9,$D$9)))</f>
        <v/>
      </c>
      <c r="O8" s="83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62">
        <f>Dashboard!$B$45</f>
        <v/>
      </c>
      <c r="D9" s="65" t="n">
        <v>1.5</v>
      </c>
      <c r="H9" s="4" t="inlineStr">
        <is>
          <t>cash</t>
        </is>
      </c>
      <c r="I9" s="12">
        <f>Financials!AC42</f>
        <v/>
      </c>
      <c r="K9" s="70">
        <f>MAX(-0.05,NORMINV(RAND(),$C$6,$D$6))</f>
        <v/>
      </c>
      <c r="L9" s="70">
        <f>MAX(0.02,NORMINV(RAND(),$C$7,$D$7))</f>
        <v/>
      </c>
      <c r="M9" s="70">
        <f>MIN(0.16,MAX(0.05,NORMINV(RAND(),$C$8,$D$8)))</f>
        <v/>
      </c>
      <c r="N9" s="71">
        <f>MIN(24,MAX(5,NORMINV(RAND(),$C$9,$D$9)))</f>
        <v/>
      </c>
      <c r="O9" s="83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Financials!AC47</f>
        <v/>
      </c>
      <c r="K10" s="70">
        <f>MAX(-0.05,NORMINV(RAND(),$C$6,$D$6))</f>
        <v/>
      </c>
      <c r="L10" s="70">
        <f>MAX(0.02,NORMINV(RAND(),$C$7,$D$7))</f>
        <v/>
      </c>
      <c r="M10" s="70">
        <f>MIN(0.16,MAX(0.05,NORMINV(RAND(),$C$8,$D$8)))</f>
        <v/>
      </c>
      <c r="N10" s="71">
        <f>MIN(24,MAX(5,NORMINV(RAND(),$C$9,$D$9)))</f>
        <v/>
      </c>
      <c r="O10" s="83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70">
        <f>MAX(-0.05,NORMINV(RAND(),$C$6,$D$6))</f>
        <v/>
      </c>
      <c r="L11" s="70">
        <f>MAX(0.02,NORMINV(RAND(),$C$7,$D$7))</f>
        <v/>
      </c>
      <c r="M11" s="70">
        <f>MIN(0.16,MAX(0.05,NORMINV(RAND(),$C$8,$D$8)))</f>
        <v/>
      </c>
      <c r="N11" s="71">
        <f>MIN(24,MAX(5,NORMINV(RAND(),$C$9,$D$9)))</f>
        <v/>
      </c>
      <c r="O11" s="83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83">
        <f>AVERAGE($O$2:$O$1001)</f>
        <v/>
      </c>
      <c r="K12" s="70">
        <f>MAX(-0.05,NORMINV(RAND(),$C$6,$D$6))</f>
        <v/>
      </c>
      <c r="L12" s="70">
        <f>MAX(0.02,NORMINV(RAND(),$C$7,$D$7))</f>
        <v/>
      </c>
      <c r="M12" s="70">
        <f>MIN(0.16,MAX(0.05,NORMINV(RAND(),$C$8,$D$8)))</f>
        <v/>
      </c>
      <c r="N12" s="71">
        <f>MIN(24,MAX(5,NORMINV(RAND(),$C$9,$D$9)))</f>
        <v/>
      </c>
      <c r="O12" s="83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73">
        <f>MEDIAN($O$2:$O$1001)</f>
        <v/>
      </c>
      <c r="K13" s="70">
        <f>MAX(-0.05,NORMINV(RAND(),$C$6,$D$6))</f>
        <v/>
      </c>
      <c r="L13" s="70">
        <f>MAX(0.02,NORMINV(RAND(),$C$7,$D$7))</f>
        <v/>
      </c>
      <c r="M13" s="70">
        <f>MIN(0.16,MAX(0.05,NORMINV(RAND(),$C$8,$D$8)))</f>
        <v/>
      </c>
      <c r="N13" s="71">
        <f>MIN(24,MAX(5,NORMINV(RAND(),$C$9,$D$9)))</f>
        <v/>
      </c>
      <c r="O13" s="83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83">
        <f>STDEV($O$2:$O$1001)</f>
        <v/>
      </c>
      <c r="K14" s="70">
        <f>MAX(-0.05,NORMINV(RAND(),$C$6,$D$6))</f>
        <v/>
      </c>
      <c r="L14" s="70">
        <f>MAX(0.02,NORMINV(RAND(),$C$7,$D$7))</f>
        <v/>
      </c>
      <c r="M14" s="70">
        <f>MIN(0.16,MAX(0.05,NORMINV(RAND(),$C$8,$D$8)))</f>
        <v/>
      </c>
      <c r="N14" s="71">
        <f>MIN(24,MAX(5,NORMINV(RAND(),$C$9,$D$9)))</f>
        <v/>
      </c>
      <c r="O14" s="83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83">
        <f>MIN($O$2:$O$1001)</f>
        <v/>
      </c>
      <c r="K15" s="70">
        <f>MAX(-0.05,NORMINV(RAND(),$C$6,$D$6))</f>
        <v/>
      </c>
      <c r="L15" s="70">
        <f>MAX(0.02,NORMINV(RAND(),$C$7,$D$7))</f>
        <v/>
      </c>
      <c r="M15" s="70">
        <f>MIN(0.16,MAX(0.05,NORMINV(RAND(),$C$8,$D$8)))</f>
        <v/>
      </c>
      <c r="N15" s="71">
        <f>MIN(24,MAX(5,NORMINV(RAND(),$C$9,$D$9)))</f>
        <v/>
      </c>
      <c r="O15" s="83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83">
        <f>MAX($O$2:$O$1001)</f>
        <v/>
      </c>
      <c r="K16" s="70">
        <f>MAX(-0.05,NORMINV(RAND(),$C$6,$D$6))</f>
        <v/>
      </c>
      <c r="L16" s="70">
        <f>MAX(0.02,NORMINV(RAND(),$C$7,$D$7))</f>
        <v/>
      </c>
      <c r="M16" s="70">
        <f>MIN(0.16,MAX(0.05,NORMINV(RAND(),$C$8,$D$8)))</f>
        <v/>
      </c>
      <c r="N16" s="71">
        <f>MIN(24,MAX(5,NORMINV(RAND(),$C$9,$D$9)))</f>
        <v/>
      </c>
      <c r="O16" s="83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59">
        <f>Valuation!$B$2</f>
        <v/>
      </c>
      <c r="K17" s="70">
        <f>MAX(-0.05,NORMINV(RAND(),$C$6,$D$6))</f>
        <v/>
      </c>
      <c r="L17" s="70">
        <f>MAX(0.02,NORMINV(RAND(),$C$7,$D$7))</f>
        <v/>
      </c>
      <c r="M17" s="70">
        <f>MIN(0.16,MAX(0.05,NORMINV(RAND(),$C$8,$D$8)))</f>
        <v/>
      </c>
      <c r="N17" s="71">
        <f>MIN(24,MAX(5,NORMINV(RAND(),$C$9,$D$9)))</f>
        <v/>
      </c>
      <c r="O17" s="83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59">
        <f>Valuation!B36</f>
        <v/>
      </c>
      <c r="K18" s="70">
        <f>MAX(-0.05,NORMINV(RAND(),$C$6,$D$6))</f>
        <v/>
      </c>
      <c r="L18" s="70">
        <f>MAX(0.02,NORMINV(RAND(),$C$7,$D$7))</f>
        <v/>
      </c>
      <c r="M18" s="70">
        <f>MIN(0.16,MAX(0.05,NORMINV(RAND(),$C$8,$D$8)))</f>
        <v/>
      </c>
      <c r="N18" s="71">
        <f>MIN(24,MAX(5,NORMINV(RAND(),$C$9,$D$9)))</f>
        <v/>
      </c>
      <c r="O18" s="83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70">
        <f>MAX(-0.05,NORMINV(RAND(),$C$6,$D$6))</f>
        <v/>
      </c>
      <c r="L19" s="70">
        <f>MAX(0.02,NORMINV(RAND(),$C$7,$D$7))</f>
        <v/>
      </c>
      <c r="M19" s="70">
        <f>MIN(0.16,MAX(0.05,NORMINV(RAND(),$C$8,$D$8)))</f>
        <v/>
      </c>
      <c r="N19" s="71">
        <f>MIN(24,MAX(5,NORMINV(RAND(),$C$9,$D$9)))</f>
        <v/>
      </c>
      <c r="O19" s="83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67">
        <f>COUNTIF($O$2:$O$1001,"&gt;"&amp;Valuation!$B$2)/1000</f>
        <v/>
      </c>
      <c r="K20" s="70">
        <f>MAX(-0.05,NORMINV(RAND(),$C$6,$D$6))</f>
        <v/>
      </c>
      <c r="L20" s="70">
        <f>MAX(0.02,NORMINV(RAND(),$C$7,$D$7))</f>
        <v/>
      </c>
      <c r="M20" s="70">
        <f>MIN(0.16,MAX(0.05,NORMINV(RAND(),$C$8,$D$8)))</f>
        <v/>
      </c>
      <c r="N20" s="71">
        <f>MIN(24,MAX(5,NORMINV(RAND(),$C$9,$D$9)))</f>
        <v/>
      </c>
      <c r="O20" s="83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61">
        <f>COUNTIF($O$2:$O$1001,"&gt;"&amp;Valuation!$B$2*1.2)/1000</f>
        <v/>
      </c>
      <c r="K21" s="70">
        <f>MAX(-0.05,NORMINV(RAND(),$C$6,$D$6))</f>
        <v/>
      </c>
      <c r="L21" s="70">
        <f>MAX(0.02,NORMINV(RAND(),$C$7,$D$7))</f>
        <v/>
      </c>
      <c r="M21" s="70">
        <f>MIN(0.16,MAX(0.05,NORMINV(RAND(),$C$8,$D$8)))</f>
        <v/>
      </c>
      <c r="N21" s="71">
        <f>MIN(24,MAX(5,NORMINV(RAND(),$C$9,$D$9)))</f>
        <v/>
      </c>
      <c r="O21" s="83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70">
        <f>MAX(-0.05,NORMINV(RAND(),$C$6,$D$6))</f>
        <v/>
      </c>
      <c r="L22" s="70">
        <f>MAX(0.02,NORMINV(RAND(),$C$7,$D$7))</f>
        <v/>
      </c>
      <c r="M22" s="70">
        <f>MIN(0.16,MAX(0.05,NORMINV(RAND(),$C$8,$D$8)))</f>
        <v/>
      </c>
      <c r="N22" s="71">
        <f>MIN(24,MAX(5,NORMINV(RAND(),$C$9,$D$9)))</f>
        <v/>
      </c>
      <c r="O22" s="83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70">
        <f>MAX(-0.05,NORMINV(RAND(),$C$6,$D$6))</f>
        <v/>
      </c>
      <c r="L23" s="70">
        <f>MAX(0.02,NORMINV(RAND(),$C$7,$D$7))</f>
        <v/>
      </c>
      <c r="M23" s="70">
        <f>MIN(0.16,MAX(0.05,NORMINV(RAND(),$C$8,$D$8)))</f>
        <v/>
      </c>
      <c r="N23" s="71">
        <f>MIN(24,MAX(5,NORMINV(RAND(),$C$9,$D$9)))</f>
        <v/>
      </c>
      <c r="O23" s="83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83">
        <f>PERCENTILE($O$2:$O$1001,0.05)</f>
        <v/>
      </c>
      <c r="K24" s="70">
        <f>MAX(-0.05,NORMINV(RAND(),$C$6,$D$6))</f>
        <v/>
      </c>
      <c r="L24" s="70">
        <f>MAX(0.02,NORMINV(RAND(),$C$7,$D$7))</f>
        <v/>
      </c>
      <c r="M24" s="70">
        <f>MIN(0.16,MAX(0.05,NORMINV(RAND(),$C$8,$D$8)))</f>
        <v/>
      </c>
      <c r="N24" s="71">
        <f>MIN(24,MAX(5,NORMINV(RAND(),$C$9,$D$9)))</f>
        <v/>
      </c>
      <c r="O24" s="83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83">
        <f>PERCENTILE($O$2:$O$1001,0.1)</f>
        <v/>
      </c>
      <c r="K25" s="70">
        <f>MAX(-0.05,NORMINV(RAND(),$C$6,$D$6))</f>
        <v/>
      </c>
      <c r="L25" s="70">
        <f>MAX(0.02,NORMINV(RAND(),$C$7,$D$7))</f>
        <v/>
      </c>
      <c r="M25" s="70">
        <f>MIN(0.16,MAX(0.05,NORMINV(RAND(),$C$8,$D$8)))</f>
        <v/>
      </c>
      <c r="N25" s="71">
        <f>MIN(24,MAX(5,NORMINV(RAND(),$C$9,$D$9)))</f>
        <v/>
      </c>
      <c r="O25" s="83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83">
        <f>PERCENTILE($O$2:$O$1001,0.25)</f>
        <v/>
      </c>
      <c r="K26" s="70">
        <f>MAX(-0.05,NORMINV(RAND(),$C$6,$D$6))</f>
        <v/>
      </c>
      <c r="L26" s="70">
        <f>MAX(0.02,NORMINV(RAND(),$C$7,$D$7))</f>
        <v/>
      </c>
      <c r="M26" s="70">
        <f>MIN(0.16,MAX(0.05,NORMINV(RAND(),$C$8,$D$8)))</f>
        <v/>
      </c>
      <c r="N26" s="71">
        <f>MIN(24,MAX(5,NORMINV(RAND(),$C$9,$D$9)))</f>
        <v/>
      </c>
      <c r="O26" s="83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83">
        <f>PERCENTILE($O$2:$O$1001,0.5)</f>
        <v/>
      </c>
      <c r="K27" s="70">
        <f>MAX(-0.05,NORMINV(RAND(),$C$6,$D$6))</f>
        <v/>
      </c>
      <c r="L27" s="70">
        <f>MAX(0.02,NORMINV(RAND(),$C$7,$D$7))</f>
        <v/>
      </c>
      <c r="M27" s="70">
        <f>MIN(0.16,MAX(0.05,NORMINV(RAND(),$C$8,$D$8)))</f>
        <v/>
      </c>
      <c r="N27" s="71">
        <f>MIN(24,MAX(5,NORMINV(RAND(),$C$9,$D$9)))</f>
        <v/>
      </c>
      <c r="O27" s="83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83">
        <f>PERCENTILE($O$2:$O$1001,0.75)</f>
        <v/>
      </c>
      <c r="K28" s="70">
        <f>MAX(-0.05,NORMINV(RAND(),$C$6,$D$6))</f>
        <v/>
      </c>
      <c r="L28" s="70">
        <f>MAX(0.02,NORMINV(RAND(),$C$7,$D$7))</f>
        <v/>
      </c>
      <c r="M28" s="70">
        <f>MIN(0.16,MAX(0.05,NORMINV(RAND(),$C$8,$D$8)))</f>
        <v/>
      </c>
      <c r="N28" s="71">
        <f>MIN(24,MAX(5,NORMINV(RAND(),$C$9,$D$9)))</f>
        <v/>
      </c>
      <c r="O28" s="83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83">
        <f>PERCENTILE($O$2:$O$1001,0.9)</f>
        <v/>
      </c>
      <c r="K29" s="70">
        <f>MAX(-0.05,NORMINV(RAND(),$C$6,$D$6))</f>
        <v/>
      </c>
      <c r="L29" s="70">
        <f>MAX(0.02,NORMINV(RAND(),$C$7,$D$7))</f>
        <v/>
      </c>
      <c r="M29" s="70">
        <f>MIN(0.16,MAX(0.05,NORMINV(RAND(),$C$8,$D$8)))</f>
        <v/>
      </c>
      <c r="N29" s="71">
        <f>MIN(24,MAX(5,NORMINV(RAND(),$C$9,$D$9)))</f>
        <v/>
      </c>
      <c r="O29" s="83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83">
        <f>PERCENTILE($O$2:$O$1001,0.95)</f>
        <v/>
      </c>
      <c r="K30" s="70">
        <f>MAX(-0.05,NORMINV(RAND(),$C$6,$D$6))</f>
        <v/>
      </c>
      <c r="L30" s="70">
        <f>MAX(0.02,NORMINV(RAND(),$C$7,$D$7))</f>
        <v/>
      </c>
      <c r="M30" s="70">
        <f>MIN(0.16,MAX(0.05,NORMINV(RAND(),$C$8,$D$8)))</f>
        <v/>
      </c>
      <c r="N30" s="71">
        <f>MIN(24,MAX(5,NORMINV(RAND(),$C$9,$D$9)))</f>
        <v/>
      </c>
      <c r="O30" s="83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70">
        <f>MAX(-0.05,NORMINV(RAND(),$C$6,$D$6))</f>
        <v/>
      </c>
      <c r="L31" s="70">
        <f>MAX(0.02,NORMINV(RAND(),$C$7,$D$7))</f>
        <v/>
      </c>
      <c r="M31" s="70">
        <f>MIN(0.16,MAX(0.05,NORMINV(RAND(),$C$8,$D$8)))</f>
        <v/>
      </c>
      <c r="N31" s="71">
        <f>MIN(24,MAX(5,NORMINV(RAND(),$C$9,$D$9)))</f>
        <v/>
      </c>
      <c r="O31" s="83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70">
        <f>MAX(-0.05,NORMINV(RAND(),$C$6,$D$6))</f>
        <v/>
      </c>
      <c r="L32" s="70">
        <f>MAX(0.02,NORMINV(RAND(),$C$7,$D$7))</f>
        <v/>
      </c>
      <c r="M32" s="70">
        <f>MIN(0.16,MAX(0.05,NORMINV(RAND(),$C$8,$D$8)))</f>
        <v/>
      </c>
      <c r="N32" s="71">
        <f>MIN(24,MAX(5,NORMINV(RAND(),$C$9,$D$9)))</f>
        <v/>
      </c>
      <c r="O32" s="83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70">
        <f>MAX(-0.05,NORMINV(RAND(),$C$6,$D$6))</f>
        <v/>
      </c>
      <c r="L33" s="70">
        <f>MAX(0.02,NORMINV(RAND(),$C$7,$D$7))</f>
        <v/>
      </c>
      <c r="M33" s="70">
        <f>MIN(0.16,MAX(0.05,NORMINV(RAND(),$C$8,$D$8)))</f>
        <v/>
      </c>
      <c r="N33" s="71">
        <f>MIN(24,MAX(5,NORMINV(RAND(),$C$9,$D$9)))</f>
        <v/>
      </c>
      <c r="O33" s="83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90">
        <f>$B$15+0.5*($B$16-$B$15)/15</f>
        <v/>
      </c>
      <c r="B34" s="4">
        <f>COUNTIFS($O$2:$O$1001,"&gt;="&amp;($B$15+0*($B$16-$B$15)/15),$O$2:$O$1001,"&lt;"&amp;($B$15+1*($B$16-$B$15)/15))</f>
        <v/>
      </c>
      <c r="K34" s="70">
        <f>MAX(-0.05,NORMINV(RAND(),$C$6,$D$6))</f>
        <v/>
      </c>
      <c r="L34" s="70">
        <f>MAX(0.02,NORMINV(RAND(),$C$7,$D$7))</f>
        <v/>
      </c>
      <c r="M34" s="70">
        <f>MIN(0.16,MAX(0.05,NORMINV(RAND(),$C$8,$D$8)))</f>
        <v/>
      </c>
      <c r="N34" s="71">
        <f>MIN(24,MAX(5,NORMINV(RAND(),$C$9,$D$9)))</f>
        <v/>
      </c>
      <c r="O34" s="83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90">
        <f>$B$15+1.5*($B$16-$B$15)/15</f>
        <v/>
      </c>
      <c r="B35" s="4">
        <f>COUNTIFS($O$2:$O$1001,"&gt;="&amp;($B$15+1*($B$16-$B$15)/15),$O$2:$O$1001,"&lt;"&amp;($B$15+2*($B$16-$B$15)/15))</f>
        <v/>
      </c>
      <c r="K35" s="70">
        <f>MAX(-0.05,NORMINV(RAND(),$C$6,$D$6))</f>
        <v/>
      </c>
      <c r="L35" s="70">
        <f>MAX(0.02,NORMINV(RAND(),$C$7,$D$7))</f>
        <v/>
      </c>
      <c r="M35" s="70">
        <f>MIN(0.16,MAX(0.05,NORMINV(RAND(),$C$8,$D$8)))</f>
        <v/>
      </c>
      <c r="N35" s="71">
        <f>MIN(24,MAX(5,NORMINV(RAND(),$C$9,$D$9)))</f>
        <v/>
      </c>
      <c r="O35" s="83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90">
        <f>$B$15+2.5*($B$16-$B$15)/15</f>
        <v/>
      </c>
      <c r="B36" s="4">
        <f>COUNTIFS($O$2:$O$1001,"&gt;="&amp;($B$15+2*($B$16-$B$15)/15),$O$2:$O$1001,"&lt;"&amp;($B$15+3*($B$16-$B$15)/15))</f>
        <v/>
      </c>
      <c r="K36" s="70">
        <f>MAX(-0.05,NORMINV(RAND(),$C$6,$D$6))</f>
        <v/>
      </c>
      <c r="L36" s="70">
        <f>MAX(0.02,NORMINV(RAND(),$C$7,$D$7))</f>
        <v/>
      </c>
      <c r="M36" s="70">
        <f>MIN(0.16,MAX(0.05,NORMINV(RAND(),$C$8,$D$8)))</f>
        <v/>
      </c>
      <c r="N36" s="71">
        <f>MIN(24,MAX(5,NORMINV(RAND(),$C$9,$D$9)))</f>
        <v/>
      </c>
      <c r="O36" s="83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90">
        <f>$B$15+3.5*($B$16-$B$15)/15</f>
        <v/>
      </c>
      <c r="B37" s="4">
        <f>COUNTIFS($O$2:$O$1001,"&gt;="&amp;($B$15+3*($B$16-$B$15)/15),$O$2:$O$1001,"&lt;"&amp;($B$15+4*($B$16-$B$15)/15))</f>
        <v/>
      </c>
      <c r="K37" s="70">
        <f>MAX(-0.05,NORMINV(RAND(),$C$6,$D$6))</f>
        <v/>
      </c>
      <c r="L37" s="70">
        <f>MAX(0.02,NORMINV(RAND(),$C$7,$D$7))</f>
        <v/>
      </c>
      <c r="M37" s="70">
        <f>MIN(0.16,MAX(0.05,NORMINV(RAND(),$C$8,$D$8)))</f>
        <v/>
      </c>
      <c r="N37" s="71">
        <f>MIN(24,MAX(5,NORMINV(RAND(),$C$9,$D$9)))</f>
        <v/>
      </c>
      <c r="O37" s="83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90">
        <f>$B$15+4.5*($B$16-$B$15)/15</f>
        <v/>
      </c>
      <c r="B38" s="4">
        <f>COUNTIFS($O$2:$O$1001,"&gt;="&amp;($B$15+4*($B$16-$B$15)/15),$O$2:$O$1001,"&lt;"&amp;($B$15+5*($B$16-$B$15)/15))</f>
        <v/>
      </c>
      <c r="K38" s="70">
        <f>MAX(-0.05,NORMINV(RAND(),$C$6,$D$6))</f>
        <v/>
      </c>
      <c r="L38" s="70">
        <f>MAX(0.02,NORMINV(RAND(),$C$7,$D$7))</f>
        <v/>
      </c>
      <c r="M38" s="70">
        <f>MIN(0.16,MAX(0.05,NORMINV(RAND(),$C$8,$D$8)))</f>
        <v/>
      </c>
      <c r="N38" s="71">
        <f>MIN(24,MAX(5,NORMINV(RAND(),$C$9,$D$9)))</f>
        <v/>
      </c>
      <c r="O38" s="83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90">
        <f>$B$15+5.5*($B$16-$B$15)/15</f>
        <v/>
      </c>
      <c r="B39" s="4">
        <f>COUNTIFS($O$2:$O$1001,"&gt;="&amp;($B$15+5*($B$16-$B$15)/15),$O$2:$O$1001,"&lt;"&amp;($B$15+6*($B$16-$B$15)/15))</f>
        <v/>
      </c>
      <c r="K39" s="70">
        <f>MAX(-0.05,NORMINV(RAND(),$C$6,$D$6))</f>
        <v/>
      </c>
      <c r="L39" s="70">
        <f>MAX(0.02,NORMINV(RAND(),$C$7,$D$7))</f>
        <v/>
      </c>
      <c r="M39" s="70">
        <f>MIN(0.16,MAX(0.05,NORMINV(RAND(),$C$8,$D$8)))</f>
        <v/>
      </c>
      <c r="N39" s="71">
        <f>MIN(24,MAX(5,NORMINV(RAND(),$C$9,$D$9)))</f>
        <v/>
      </c>
      <c r="O39" s="83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90">
        <f>$B$15+6.5*($B$16-$B$15)/15</f>
        <v/>
      </c>
      <c r="B40" s="4">
        <f>COUNTIFS($O$2:$O$1001,"&gt;="&amp;($B$15+6*($B$16-$B$15)/15),$O$2:$O$1001,"&lt;"&amp;($B$15+7*($B$16-$B$15)/15))</f>
        <v/>
      </c>
      <c r="K40" s="70">
        <f>MAX(-0.05,NORMINV(RAND(),$C$6,$D$6))</f>
        <v/>
      </c>
      <c r="L40" s="70">
        <f>MAX(0.02,NORMINV(RAND(),$C$7,$D$7))</f>
        <v/>
      </c>
      <c r="M40" s="70">
        <f>MIN(0.16,MAX(0.05,NORMINV(RAND(),$C$8,$D$8)))</f>
        <v/>
      </c>
      <c r="N40" s="71">
        <f>MIN(24,MAX(5,NORMINV(RAND(),$C$9,$D$9)))</f>
        <v/>
      </c>
      <c r="O40" s="83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90">
        <f>$B$15+7.5*($B$16-$B$15)/15</f>
        <v/>
      </c>
      <c r="B41" s="4">
        <f>COUNTIFS($O$2:$O$1001,"&gt;="&amp;($B$15+7*($B$16-$B$15)/15),$O$2:$O$1001,"&lt;"&amp;($B$15+8*($B$16-$B$15)/15))</f>
        <v/>
      </c>
      <c r="K41" s="70">
        <f>MAX(-0.05,NORMINV(RAND(),$C$6,$D$6))</f>
        <v/>
      </c>
      <c r="L41" s="70">
        <f>MAX(0.02,NORMINV(RAND(),$C$7,$D$7))</f>
        <v/>
      </c>
      <c r="M41" s="70">
        <f>MIN(0.16,MAX(0.05,NORMINV(RAND(),$C$8,$D$8)))</f>
        <v/>
      </c>
      <c r="N41" s="71">
        <f>MIN(24,MAX(5,NORMINV(RAND(),$C$9,$D$9)))</f>
        <v/>
      </c>
      <c r="O41" s="83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90">
        <f>$B$15+8.5*($B$16-$B$15)/15</f>
        <v/>
      </c>
      <c r="B42" s="4">
        <f>COUNTIFS($O$2:$O$1001,"&gt;="&amp;($B$15+8*($B$16-$B$15)/15),$O$2:$O$1001,"&lt;"&amp;($B$15+9*($B$16-$B$15)/15))</f>
        <v/>
      </c>
      <c r="K42" s="70">
        <f>MAX(-0.05,NORMINV(RAND(),$C$6,$D$6))</f>
        <v/>
      </c>
      <c r="L42" s="70">
        <f>MAX(0.02,NORMINV(RAND(),$C$7,$D$7))</f>
        <v/>
      </c>
      <c r="M42" s="70">
        <f>MIN(0.16,MAX(0.05,NORMINV(RAND(),$C$8,$D$8)))</f>
        <v/>
      </c>
      <c r="N42" s="71">
        <f>MIN(24,MAX(5,NORMINV(RAND(),$C$9,$D$9)))</f>
        <v/>
      </c>
      <c r="O42" s="83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90">
        <f>$B$15+9.5*($B$16-$B$15)/15</f>
        <v/>
      </c>
      <c r="B43" s="4">
        <f>COUNTIFS($O$2:$O$1001,"&gt;="&amp;($B$15+9*($B$16-$B$15)/15),$O$2:$O$1001,"&lt;"&amp;($B$15+10*($B$16-$B$15)/15))</f>
        <v/>
      </c>
      <c r="K43" s="70">
        <f>MAX(-0.05,NORMINV(RAND(),$C$6,$D$6))</f>
        <v/>
      </c>
      <c r="L43" s="70">
        <f>MAX(0.02,NORMINV(RAND(),$C$7,$D$7))</f>
        <v/>
      </c>
      <c r="M43" s="70">
        <f>MIN(0.16,MAX(0.05,NORMINV(RAND(),$C$8,$D$8)))</f>
        <v/>
      </c>
      <c r="N43" s="71">
        <f>MIN(24,MAX(5,NORMINV(RAND(),$C$9,$D$9)))</f>
        <v/>
      </c>
      <c r="O43" s="83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90">
        <f>$B$15+10.5*($B$16-$B$15)/15</f>
        <v/>
      </c>
      <c r="B44" s="4">
        <f>COUNTIFS($O$2:$O$1001,"&gt;="&amp;($B$15+10*($B$16-$B$15)/15),$O$2:$O$1001,"&lt;"&amp;($B$15+11*($B$16-$B$15)/15))</f>
        <v/>
      </c>
      <c r="K44" s="70">
        <f>MAX(-0.05,NORMINV(RAND(),$C$6,$D$6))</f>
        <v/>
      </c>
      <c r="L44" s="70">
        <f>MAX(0.02,NORMINV(RAND(),$C$7,$D$7))</f>
        <v/>
      </c>
      <c r="M44" s="70">
        <f>MIN(0.16,MAX(0.05,NORMINV(RAND(),$C$8,$D$8)))</f>
        <v/>
      </c>
      <c r="N44" s="71">
        <f>MIN(24,MAX(5,NORMINV(RAND(),$C$9,$D$9)))</f>
        <v/>
      </c>
      <c r="O44" s="83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90">
        <f>$B$15+11.5*($B$16-$B$15)/15</f>
        <v/>
      </c>
      <c r="B45" s="4">
        <f>COUNTIFS($O$2:$O$1001,"&gt;="&amp;($B$15+11*($B$16-$B$15)/15),$O$2:$O$1001,"&lt;"&amp;($B$15+12*($B$16-$B$15)/15))</f>
        <v/>
      </c>
      <c r="K45" s="70">
        <f>MAX(-0.05,NORMINV(RAND(),$C$6,$D$6))</f>
        <v/>
      </c>
      <c r="L45" s="70">
        <f>MAX(0.02,NORMINV(RAND(),$C$7,$D$7))</f>
        <v/>
      </c>
      <c r="M45" s="70">
        <f>MIN(0.16,MAX(0.05,NORMINV(RAND(),$C$8,$D$8)))</f>
        <v/>
      </c>
      <c r="N45" s="71">
        <f>MIN(24,MAX(5,NORMINV(RAND(),$C$9,$D$9)))</f>
        <v/>
      </c>
      <c r="O45" s="83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90">
        <f>$B$15+12.5*($B$16-$B$15)/15</f>
        <v/>
      </c>
      <c r="B46" s="4">
        <f>COUNTIFS($O$2:$O$1001,"&gt;="&amp;($B$15+12*($B$16-$B$15)/15),$O$2:$O$1001,"&lt;"&amp;($B$15+13*($B$16-$B$15)/15))</f>
        <v/>
      </c>
      <c r="K46" s="70">
        <f>MAX(-0.05,NORMINV(RAND(),$C$6,$D$6))</f>
        <v/>
      </c>
      <c r="L46" s="70">
        <f>MAX(0.02,NORMINV(RAND(),$C$7,$D$7))</f>
        <v/>
      </c>
      <c r="M46" s="70">
        <f>MIN(0.16,MAX(0.05,NORMINV(RAND(),$C$8,$D$8)))</f>
        <v/>
      </c>
      <c r="N46" s="71">
        <f>MIN(24,MAX(5,NORMINV(RAND(),$C$9,$D$9)))</f>
        <v/>
      </c>
      <c r="O46" s="83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90">
        <f>$B$15+13.5*($B$16-$B$15)/15</f>
        <v/>
      </c>
      <c r="B47" s="4">
        <f>COUNTIFS($O$2:$O$1001,"&gt;="&amp;($B$15+13*($B$16-$B$15)/15),$O$2:$O$1001,"&lt;"&amp;($B$15+14*($B$16-$B$15)/15))</f>
        <v/>
      </c>
      <c r="K47" s="70">
        <f>MAX(-0.05,NORMINV(RAND(),$C$6,$D$6))</f>
        <v/>
      </c>
      <c r="L47" s="70">
        <f>MAX(0.02,NORMINV(RAND(),$C$7,$D$7))</f>
        <v/>
      </c>
      <c r="M47" s="70">
        <f>MIN(0.16,MAX(0.05,NORMINV(RAND(),$C$8,$D$8)))</f>
        <v/>
      </c>
      <c r="N47" s="71">
        <f>MIN(24,MAX(5,NORMINV(RAND(),$C$9,$D$9)))</f>
        <v/>
      </c>
      <c r="O47" s="83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90">
        <f>$B$15+14.5*($B$16-$B$15)/15</f>
        <v/>
      </c>
      <c r="B48" s="4">
        <f>COUNTIF($O$2:$O$1001,"&gt;="&amp;($B$15+14*($B$16-$B$15)/15))</f>
        <v/>
      </c>
      <c r="K48" s="70">
        <f>MAX(-0.05,NORMINV(RAND(),$C$6,$D$6))</f>
        <v/>
      </c>
      <c r="L48" s="70">
        <f>MAX(0.02,NORMINV(RAND(),$C$7,$D$7))</f>
        <v/>
      </c>
      <c r="M48" s="70">
        <f>MIN(0.16,MAX(0.05,NORMINV(RAND(),$C$8,$D$8)))</f>
        <v/>
      </c>
      <c r="N48" s="71">
        <f>MIN(24,MAX(5,NORMINV(RAND(),$C$9,$D$9)))</f>
        <v/>
      </c>
      <c r="O48" s="83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70">
        <f>MAX(-0.05,NORMINV(RAND(),$C$6,$D$6))</f>
        <v/>
      </c>
      <c r="L49" s="70">
        <f>MAX(0.02,NORMINV(RAND(),$C$7,$D$7))</f>
        <v/>
      </c>
      <c r="M49" s="70">
        <f>MIN(0.16,MAX(0.05,NORMINV(RAND(),$C$8,$D$8)))</f>
        <v/>
      </c>
      <c r="N49" s="71">
        <f>MIN(24,MAX(5,NORMINV(RAND(),$C$9,$D$9)))</f>
        <v/>
      </c>
      <c r="O49" s="83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70">
        <f>MAX(-0.05,NORMINV(RAND(),$C$6,$D$6))</f>
        <v/>
      </c>
      <c r="L50" s="70">
        <f>MAX(0.02,NORMINV(RAND(),$C$7,$D$7))</f>
        <v/>
      </c>
      <c r="M50" s="70">
        <f>MIN(0.16,MAX(0.05,NORMINV(RAND(),$C$8,$D$8)))</f>
        <v/>
      </c>
      <c r="N50" s="71">
        <f>MIN(24,MAX(5,NORMINV(RAND(),$C$9,$D$9)))</f>
        <v/>
      </c>
      <c r="O50" s="83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70">
        <f>MAX(-0.05,NORMINV(RAND(),$C$6,$D$6))</f>
        <v/>
      </c>
      <c r="L51" s="70">
        <f>MAX(0.02,NORMINV(RAND(),$C$7,$D$7))</f>
        <v/>
      </c>
      <c r="M51" s="70">
        <f>MIN(0.16,MAX(0.05,NORMINV(RAND(),$C$8,$D$8)))</f>
        <v/>
      </c>
      <c r="N51" s="71">
        <f>MIN(24,MAX(5,NORMINV(RAND(),$C$9,$D$9)))</f>
        <v/>
      </c>
      <c r="O51" s="83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70">
        <f>MAX(-0.05,NORMINV(RAND(),$C$6,$D$6))</f>
        <v/>
      </c>
      <c r="L52" s="70">
        <f>MAX(0.02,NORMINV(RAND(),$C$7,$D$7))</f>
        <v/>
      </c>
      <c r="M52" s="70">
        <f>MIN(0.16,MAX(0.05,NORMINV(RAND(),$C$8,$D$8)))</f>
        <v/>
      </c>
      <c r="N52" s="71">
        <f>MIN(24,MAX(5,NORMINV(RAND(),$C$9,$D$9)))</f>
        <v/>
      </c>
      <c r="O52" s="83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70">
        <f>MAX(-0.05,NORMINV(RAND(),$C$6,$D$6))</f>
        <v/>
      </c>
      <c r="L53" s="70">
        <f>MAX(0.02,NORMINV(RAND(),$C$7,$D$7))</f>
        <v/>
      </c>
      <c r="M53" s="70">
        <f>MIN(0.16,MAX(0.05,NORMINV(RAND(),$C$8,$D$8)))</f>
        <v/>
      </c>
      <c r="N53" s="71">
        <f>MIN(24,MAX(5,NORMINV(RAND(),$C$9,$D$9)))</f>
        <v/>
      </c>
      <c r="O53" s="83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70">
        <f>MAX(-0.05,NORMINV(RAND(),$C$6,$D$6))</f>
        <v/>
      </c>
      <c r="L54" s="70">
        <f>MAX(0.02,NORMINV(RAND(),$C$7,$D$7))</f>
        <v/>
      </c>
      <c r="M54" s="70">
        <f>MIN(0.16,MAX(0.05,NORMINV(RAND(),$C$8,$D$8)))</f>
        <v/>
      </c>
      <c r="N54" s="71">
        <f>MIN(24,MAX(5,NORMINV(RAND(),$C$9,$D$9)))</f>
        <v/>
      </c>
      <c r="O54" s="83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70">
        <f>MAX(-0.05,NORMINV(RAND(),$C$6,$D$6))</f>
        <v/>
      </c>
      <c r="L55" s="70">
        <f>MAX(0.02,NORMINV(RAND(),$C$7,$D$7))</f>
        <v/>
      </c>
      <c r="M55" s="70">
        <f>MIN(0.16,MAX(0.05,NORMINV(RAND(),$C$8,$D$8)))</f>
        <v/>
      </c>
      <c r="N55" s="71">
        <f>MIN(24,MAX(5,NORMINV(RAND(),$C$9,$D$9)))</f>
        <v/>
      </c>
      <c r="O55" s="83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70">
        <f>MAX(-0.05,NORMINV(RAND(),$C$6,$D$6))</f>
        <v/>
      </c>
      <c r="L56" s="70">
        <f>MAX(0.02,NORMINV(RAND(),$C$7,$D$7))</f>
        <v/>
      </c>
      <c r="M56" s="70">
        <f>MIN(0.16,MAX(0.05,NORMINV(RAND(),$C$8,$D$8)))</f>
        <v/>
      </c>
      <c r="N56" s="71">
        <f>MIN(24,MAX(5,NORMINV(RAND(),$C$9,$D$9)))</f>
        <v/>
      </c>
      <c r="O56" s="83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70">
        <f>MAX(-0.05,NORMINV(RAND(),$C$6,$D$6))</f>
        <v/>
      </c>
      <c r="L57" s="70">
        <f>MAX(0.02,NORMINV(RAND(),$C$7,$D$7))</f>
        <v/>
      </c>
      <c r="M57" s="70">
        <f>MIN(0.16,MAX(0.05,NORMINV(RAND(),$C$8,$D$8)))</f>
        <v/>
      </c>
      <c r="N57" s="71">
        <f>MIN(24,MAX(5,NORMINV(RAND(),$C$9,$D$9)))</f>
        <v/>
      </c>
      <c r="O57" s="83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70">
        <f>MAX(-0.05,NORMINV(RAND(),$C$6,$D$6))</f>
        <v/>
      </c>
      <c r="L58" s="70">
        <f>MAX(0.02,NORMINV(RAND(),$C$7,$D$7))</f>
        <v/>
      </c>
      <c r="M58" s="70">
        <f>MIN(0.16,MAX(0.05,NORMINV(RAND(),$C$8,$D$8)))</f>
        <v/>
      </c>
      <c r="N58" s="71">
        <f>MIN(24,MAX(5,NORMINV(RAND(),$C$9,$D$9)))</f>
        <v/>
      </c>
      <c r="O58" s="83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70">
        <f>MAX(-0.05,NORMINV(RAND(),$C$6,$D$6))</f>
        <v/>
      </c>
      <c r="L59" s="70">
        <f>MAX(0.02,NORMINV(RAND(),$C$7,$D$7))</f>
        <v/>
      </c>
      <c r="M59" s="70">
        <f>MIN(0.16,MAX(0.05,NORMINV(RAND(),$C$8,$D$8)))</f>
        <v/>
      </c>
      <c r="N59" s="71">
        <f>MIN(24,MAX(5,NORMINV(RAND(),$C$9,$D$9)))</f>
        <v/>
      </c>
      <c r="O59" s="83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70">
        <f>MAX(-0.05,NORMINV(RAND(),$C$6,$D$6))</f>
        <v/>
      </c>
      <c r="L60" s="70">
        <f>MAX(0.02,NORMINV(RAND(),$C$7,$D$7))</f>
        <v/>
      </c>
      <c r="M60" s="70">
        <f>MIN(0.16,MAX(0.05,NORMINV(RAND(),$C$8,$D$8)))</f>
        <v/>
      </c>
      <c r="N60" s="71">
        <f>MIN(24,MAX(5,NORMINV(RAND(),$C$9,$D$9)))</f>
        <v/>
      </c>
      <c r="O60" s="83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70">
        <f>MAX(-0.05,NORMINV(RAND(),$C$6,$D$6))</f>
        <v/>
      </c>
      <c r="L61" s="70">
        <f>MAX(0.02,NORMINV(RAND(),$C$7,$D$7))</f>
        <v/>
      </c>
      <c r="M61" s="70">
        <f>MIN(0.16,MAX(0.05,NORMINV(RAND(),$C$8,$D$8)))</f>
        <v/>
      </c>
      <c r="N61" s="71">
        <f>MIN(24,MAX(5,NORMINV(RAND(),$C$9,$D$9)))</f>
        <v/>
      </c>
      <c r="O61" s="83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70">
        <f>MAX(-0.05,NORMINV(RAND(),$C$6,$D$6))</f>
        <v/>
      </c>
      <c r="L62" s="70">
        <f>MAX(0.02,NORMINV(RAND(),$C$7,$D$7))</f>
        <v/>
      </c>
      <c r="M62" s="70">
        <f>MIN(0.16,MAX(0.05,NORMINV(RAND(),$C$8,$D$8)))</f>
        <v/>
      </c>
      <c r="N62" s="71">
        <f>MIN(24,MAX(5,NORMINV(RAND(),$C$9,$D$9)))</f>
        <v/>
      </c>
      <c r="O62" s="83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70">
        <f>MAX(-0.05,NORMINV(RAND(),$C$6,$D$6))</f>
        <v/>
      </c>
      <c r="L63" s="70">
        <f>MAX(0.02,NORMINV(RAND(),$C$7,$D$7))</f>
        <v/>
      </c>
      <c r="M63" s="70">
        <f>MIN(0.16,MAX(0.05,NORMINV(RAND(),$C$8,$D$8)))</f>
        <v/>
      </c>
      <c r="N63" s="71">
        <f>MIN(24,MAX(5,NORMINV(RAND(),$C$9,$D$9)))</f>
        <v/>
      </c>
      <c r="O63" s="83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70">
        <f>MAX(-0.05,NORMINV(RAND(),$C$6,$D$6))</f>
        <v/>
      </c>
      <c r="L64" s="70">
        <f>MAX(0.02,NORMINV(RAND(),$C$7,$D$7))</f>
        <v/>
      </c>
      <c r="M64" s="70">
        <f>MIN(0.16,MAX(0.05,NORMINV(RAND(),$C$8,$D$8)))</f>
        <v/>
      </c>
      <c r="N64" s="71">
        <f>MIN(24,MAX(5,NORMINV(RAND(),$C$9,$D$9)))</f>
        <v/>
      </c>
      <c r="O64" s="83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70">
        <f>MAX(-0.05,NORMINV(RAND(),$C$6,$D$6))</f>
        <v/>
      </c>
      <c r="L65" s="70">
        <f>MAX(0.02,NORMINV(RAND(),$C$7,$D$7))</f>
        <v/>
      </c>
      <c r="M65" s="70">
        <f>MIN(0.16,MAX(0.05,NORMINV(RAND(),$C$8,$D$8)))</f>
        <v/>
      </c>
      <c r="N65" s="71">
        <f>MIN(24,MAX(5,NORMINV(RAND(),$C$9,$D$9)))</f>
        <v/>
      </c>
      <c r="O65" s="83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70">
        <f>MAX(-0.05,NORMINV(RAND(),$C$6,$D$6))</f>
        <v/>
      </c>
      <c r="L66" s="70">
        <f>MAX(0.02,NORMINV(RAND(),$C$7,$D$7))</f>
        <v/>
      </c>
      <c r="M66" s="70">
        <f>MIN(0.16,MAX(0.05,NORMINV(RAND(),$C$8,$D$8)))</f>
        <v/>
      </c>
      <c r="N66" s="71">
        <f>MIN(24,MAX(5,NORMINV(RAND(),$C$9,$D$9)))</f>
        <v/>
      </c>
      <c r="O66" s="83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70">
        <f>MAX(-0.05,NORMINV(RAND(),$C$6,$D$6))</f>
        <v/>
      </c>
      <c r="L67" s="70">
        <f>MAX(0.02,NORMINV(RAND(),$C$7,$D$7))</f>
        <v/>
      </c>
      <c r="M67" s="70">
        <f>MIN(0.16,MAX(0.05,NORMINV(RAND(),$C$8,$D$8)))</f>
        <v/>
      </c>
      <c r="N67" s="71">
        <f>MIN(24,MAX(5,NORMINV(RAND(),$C$9,$D$9)))</f>
        <v/>
      </c>
      <c r="O67" s="83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70">
        <f>MAX(-0.05,NORMINV(RAND(),$C$6,$D$6))</f>
        <v/>
      </c>
      <c r="L68" s="70">
        <f>MAX(0.02,NORMINV(RAND(),$C$7,$D$7))</f>
        <v/>
      </c>
      <c r="M68" s="70">
        <f>MIN(0.16,MAX(0.05,NORMINV(RAND(),$C$8,$D$8)))</f>
        <v/>
      </c>
      <c r="N68" s="71">
        <f>MIN(24,MAX(5,NORMINV(RAND(),$C$9,$D$9)))</f>
        <v/>
      </c>
      <c r="O68" s="83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70">
        <f>MAX(-0.05,NORMINV(RAND(),$C$6,$D$6))</f>
        <v/>
      </c>
      <c r="L69" s="70">
        <f>MAX(0.02,NORMINV(RAND(),$C$7,$D$7))</f>
        <v/>
      </c>
      <c r="M69" s="70">
        <f>MIN(0.16,MAX(0.05,NORMINV(RAND(),$C$8,$D$8)))</f>
        <v/>
      </c>
      <c r="N69" s="71">
        <f>MIN(24,MAX(5,NORMINV(RAND(),$C$9,$D$9)))</f>
        <v/>
      </c>
      <c r="O69" s="83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70">
        <f>MAX(-0.05,NORMINV(RAND(),$C$6,$D$6))</f>
        <v/>
      </c>
      <c r="L70" s="70">
        <f>MAX(0.02,NORMINV(RAND(),$C$7,$D$7))</f>
        <v/>
      </c>
      <c r="M70" s="70">
        <f>MIN(0.16,MAX(0.05,NORMINV(RAND(),$C$8,$D$8)))</f>
        <v/>
      </c>
      <c r="N70" s="71">
        <f>MIN(24,MAX(5,NORMINV(RAND(),$C$9,$D$9)))</f>
        <v/>
      </c>
      <c r="O70" s="83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70">
        <f>MAX(-0.05,NORMINV(RAND(),$C$6,$D$6))</f>
        <v/>
      </c>
      <c r="L71" s="70">
        <f>MAX(0.02,NORMINV(RAND(),$C$7,$D$7))</f>
        <v/>
      </c>
      <c r="M71" s="70">
        <f>MIN(0.16,MAX(0.05,NORMINV(RAND(),$C$8,$D$8)))</f>
        <v/>
      </c>
      <c r="N71" s="71">
        <f>MIN(24,MAX(5,NORMINV(RAND(),$C$9,$D$9)))</f>
        <v/>
      </c>
      <c r="O71" s="83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70">
        <f>MAX(-0.05,NORMINV(RAND(),$C$6,$D$6))</f>
        <v/>
      </c>
      <c r="L72" s="70">
        <f>MAX(0.02,NORMINV(RAND(),$C$7,$D$7))</f>
        <v/>
      </c>
      <c r="M72" s="70">
        <f>MIN(0.16,MAX(0.05,NORMINV(RAND(),$C$8,$D$8)))</f>
        <v/>
      </c>
      <c r="N72" s="71">
        <f>MIN(24,MAX(5,NORMINV(RAND(),$C$9,$D$9)))</f>
        <v/>
      </c>
      <c r="O72" s="83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70">
        <f>MAX(-0.05,NORMINV(RAND(),$C$6,$D$6))</f>
        <v/>
      </c>
      <c r="L73" s="70">
        <f>MAX(0.02,NORMINV(RAND(),$C$7,$D$7))</f>
        <v/>
      </c>
      <c r="M73" s="70">
        <f>MIN(0.16,MAX(0.05,NORMINV(RAND(),$C$8,$D$8)))</f>
        <v/>
      </c>
      <c r="N73" s="71">
        <f>MIN(24,MAX(5,NORMINV(RAND(),$C$9,$D$9)))</f>
        <v/>
      </c>
      <c r="O73" s="83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70">
        <f>MAX(-0.05,NORMINV(RAND(),$C$6,$D$6))</f>
        <v/>
      </c>
      <c r="L74" s="70">
        <f>MAX(0.02,NORMINV(RAND(),$C$7,$D$7))</f>
        <v/>
      </c>
      <c r="M74" s="70">
        <f>MIN(0.16,MAX(0.05,NORMINV(RAND(),$C$8,$D$8)))</f>
        <v/>
      </c>
      <c r="N74" s="71">
        <f>MIN(24,MAX(5,NORMINV(RAND(),$C$9,$D$9)))</f>
        <v/>
      </c>
      <c r="O74" s="83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70">
        <f>MAX(-0.05,NORMINV(RAND(),$C$6,$D$6))</f>
        <v/>
      </c>
      <c r="L75" s="70">
        <f>MAX(0.02,NORMINV(RAND(),$C$7,$D$7))</f>
        <v/>
      </c>
      <c r="M75" s="70">
        <f>MIN(0.16,MAX(0.05,NORMINV(RAND(),$C$8,$D$8)))</f>
        <v/>
      </c>
      <c r="N75" s="71">
        <f>MIN(24,MAX(5,NORMINV(RAND(),$C$9,$D$9)))</f>
        <v/>
      </c>
      <c r="O75" s="83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70">
        <f>MAX(-0.05,NORMINV(RAND(),$C$6,$D$6))</f>
        <v/>
      </c>
      <c r="L76" s="70">
        <f>MAX(0.02,NORMINV(RAND(),$C$7,$D$7))</f>
        <v/>
      </c>
      <c r="M76" s="70">
        <f>MIN(0.16,MAX(0.05,NORMINV(RAND(),$C$8,$D$8)))</f>
        <v/>
      </c>
      <c r="N76" s="71">
        <f>MIN(24,MAX(5,NORMINV(RAND(),$C$9,$D$9)))</f>
        <v/>
      </c>
      <c r="O76" s="83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70">
        <f>MAX(-0.05,NORMINV(RAND(),$C$6,$D$6))</f>
        <v/>
      </c>
      <c r="L77" s="70">
        <f>MAX(0.02,NORMINV(RAND(),$C$7,$D$7))</f>
        <v/>
      </c>
      <c r="M77" s="70">
        <f>MIN(0.16,MAX(0.05,NORMINV(RAND(),$C$8,$D$8)))</f>
        <v/>
      </c>
      <c r="N77" s="71">
        <f>MIN(24,MAX(5,NORMINV(RAND(),$C$9,$D$9)))</f>
        <v/>
      </c>
      <c r="O77" s="83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70">
        <f>MAX(-0.05,NORMINV(RAND(),$C$6,$D$6))</f>
        <v/>
      </c>
      <c r="L78" s="70">
        <f>MAX(0.02,NORMINV(RAND(),$C$7,$D$7))</f>
        <v/>
      </c>
      <c r="M78" s="70">
        <f>MIN(0.16,MAX(0.05,NORMINV(RAND(),$C$8,$D$8)))</f>
        <v/>
      </c>
      <c r="N78" s="71">
        <f>MIN(24,MAX(5,NORMINV(RAND(),$C$9,$D$9)))</f>
        <v/>
      </c>
      <c r="O78" s="83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70">
        <f>MAX(-0.05,NORMINV(RAND(),$C$6,$D$6))</f>
        <v/>
      </c>
      <c r="L79" s="70">
        <f>MAX(0.02,NORMINV(RAND(),$C$7,$D$7))</f>
        <v/>
      </c>
      <c r="M79" s="70">
        <f>MIN(0.16,MAX(0.05,NORMINV(RAND(),$C$8,$D$8)))</f>
        <v/>
      </c>
      <c r="N79" s="71">
        <f>MIN(24,MAX(5,NORMINV(RAND(),$C$9,$D$9)))</f>
        <v/>
      </c>
      <c r="O79" s="83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70">
        <f>MAX(-0.05,NORMINV(RAND(),$C$6,$D$6))</f>
        <v/>
      </c>
      <c r="L80" s="70">
        <f>MAX(0.02,NORMINV(RAND(),$C$7,$D$7))</f>
        <v/>
      </c>
      <c r="M80" s="70">
        <f>MIN(0.16,MAX(0.05,NORMINV(RAND(),$C$8,$D$8)))</f>
        <v/>
      </c>
      <c r="N80" s="71">
        <f>MIN(24,MAX(5,NORMINV(RAND(),$C$9,$D$9)))</f>
        <v/>
      </c>
      <c r="O80" s="83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70">
        <f>MAX(-0.05,NORMINV(RAND(),$C$6,$D$6))</f>
        <v/>
      </c>
      <c r="L81" s="70">
        <f>MAX(0.02,NORMINV(RAND(),$C$7,$D$7))</f>
        <v/>
      </c>
      <c r="M81" s="70">
        <f>MIN(0.16,MAX(0.05,NORMINV(RAND(),$C$8,$D$8)))</f>
        <v/>
      </c>
      <c r="N81" s="71">
        <f>MIN(24,MAX(5,NORMINV(RAND(),$C$9,$D$9)))</f>
        <v/>
      </c>
      <c r="O81" s="83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70">
        <f>MAX(-0.05,NORMINV(RAND(),$C$6,$D$6))</f>
        <v/>
      </c>
      <c r="L82" s="70">
        <f>MAX(0.02,NORMINV(RAND(),$C$7,$D$7))</f>
        <v/>
      </c>
      <c r="M82" s="70">
        <f>MIN(0.16,MAX(0.05,NORMINV(RAND(),$C$8,$D$8)))</f>
        <v/>
      </c>
      <c r="N82" s="71">
        <f>MIN(24,MAX(5,NORMINV(RAND(),$C$9,$D$9)))</f>
        <v/>
      </c>
      <c r="O82" s="83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70">
        <f>MAX(-0.05,NORMINV(RAND(),$C$6,$D$6))</f>
        <v/>
      </c>
      <c r="L83" s="70">
        <f>MAX(0.02,NORMINV(RAND(),$C$7,$D$7))</f>
        <v/>
      </c>
      <c r="M83" s="70">
        <f>MIN(0.16,MAX(0.05,NORMINV(RAND(),$C$8,$D$8)))</f>
        <v/>
      </c>
      <c r="N83" s="71">
        <f>MIN(24,MAX(5,NORMINV(RAND(),$C$9,$D$9)))</f>
        <v/>
      </c>
      <c r="O83" s="83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70">
        <f>MAX(-0.05,NORMINV(RAND(),$C$6,$D$6))</f>
        <v/>
      </c>
      <c r="L84" s="70">
        <f>MAX(0.02,NORMINV(RAND(),$C$7,$D$7))</f>
        <v/>
      </c>
      <c r="M84" s="70">
        <f>MIN(0.16,MAX(0.05,NORMINV(RAND(),$C$8,$D$8)))</f>
        <v/>
      </c>
      <c r="N84" s="71">
        <f>MIN(24,MAX(5,NORMINV(RAND(),$C$9,$D$9)))</f>
        <v/>
      </c>
      <c r="O84" s="83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70">
        <f>MAX(-0.05,NORMINV(RAND(),$C$6,$D$6))</f>
        <v/>
      </c>
      <c r="L85" s="70">
        <f>MAX(0.02,NORMINV(RAND(),$C$7,$D$7))</f>
        <v/>
      </c>
      <c r="M85" s="70">
        <f>MIN(0.16,MAX(0.05,NORMINV(RAND(),$C$8,$D$8)))</f>
        <v/>
      </c>
      <c r="N85" s="71">
        <f>MIN(24,MAX(5,NORMINV(RAND(),$C$9,$D$9)))</f>
        <v/>
      </c>
      <c r="O85" s="83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70">
        <f>MAX(-0.05,NORMINV(RAND(),$C$6,$D$6))</f>
        <v/>
      </c>
      <c r="L86" s="70">
        <f>MAX(0.02,NORMINV(RAND(),$C$7,$D$7))</f>
        <v/>
      </c>
      <c r="M86" s="70">
        <f>MIN(0.16,MAX(0.05,NORMINV(RAND(),$C$8,$D$8)))</f>
        <v/>
      </c>
      <c r="N86" s="71">
        <f>MIN(24,MAX(5,NORMINV(RAND(),$C$9,$D$9)))</f>
        <v/>
      </c>
      <c r="O86" s="83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70">
        <f>MAX(-0.05,NORMINV(RAND(),$C$6,$D$6))</f>
        <v/>
      </c>
      <c r="L87" s="70">
        <f>MAX(0.02,NORMINV(RAND(),$C$7,$D$7))</f>
        <v/>
      </c>
      <c r="M87" s="70">
        <f>MIN(0.16,MAX(0.05,NORMINV(RAND(),$C$8,$D$8)))</f>
        <v/>
      </c>
      <c r="N87" s="71">
        <f>MIN(24,MAX(5,NORMINV(RAND(),$C$9,$D$9)))</f>
        <v/>
      </c>
      <c r="O87" s="83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70">
        <f>MAX(-0.05,NORMINV(RAND(),$C$6,$D$6))</f>
        <v/>
      </c>
      <c r="L88" s="70">
        <f>MAX(0.02,NORMINV(RAND(),$C$7,$D$7))</f>
        <v/>
      </c>
      <c r="M88" s="70">
        <f>MIN(0.16,MAX(0.05,NORMINV(RAND(),$C$8,$D$8)))</f>
        <v/>
      </c>
      <c r="N88" s="71">
        <f>MIN(24,MAX(5,NORMINV(RAND(),$C$9,$D$9)))</f>
        <v/>
      </c>
      <c r="O88" s="83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70">
        <f>MAX(-0.05,NORMINV(RAND(),$C$6,$D$6))</f>
        <v/>
      </c>
      <c r="L89" s="70">
        <f>MAX(0.02,NORMINV(RAND(),$C$7,$D$7))</f>
        <v/>
      </c>
      <c r="M89" s="70">
        <f>MIN(0.16,MAX(0.05,NORMINV(RAND(),$C$8,$D$8)))</f>
        <v/>
      </c>
      <c r="N89" s="71">
        <f>MIN(24,MAX(5,NORMINV(RAND(),$C$9,$D$9)))</f>
        <v/>
      </c>
      <c r="O89" s="83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70">
        <f>MAX(-0.05,NORMINV(RAND(),$C$6,$D$6))</f>
        <v/>
      </c>
      <c r="L90" s="70">
        <f>MAX(0.02,NORMINV(RAND(),$C$7,$D$7))</f>
        <v/>
      </c>
      <c r="M90" s="70">
        <f>MIN(0.16,MAX(0.05,NORMINV(RAND(),$C$8,$D$8)))</f>
        <v/>
      </c>
      <c r="N90" s="71">
        <f>MIN(24,MAX(5,NORMINV(RAND(),$C$9,$D$9)))</f>
        <v/>
      </c>
      <c r="O90" s="83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70">
        <f>MAX(-0.05,NORMINV(RAND(),$C$6,$D$6))</f>
        <v/>
      </c>
      <c r="L91" s="70">
        <f>MAX(0.02,NORMINV(RAND(),$C$7,$D$7))</f>
        <v/>
      </c>
      <c r="M91" s="70">
        <f>MIN(0.16,MAX(0.05,NORMINV(RAND(),$C$8,$D$8)))</f>
        <v/>
      </c>
      <c r="N91" s="71">
        <f>MIN(24,MAX(5,NORMINV(RAND(),$C$9,$D$9)))</f>
        <v/>
      </c>
      <c r="O91" s="83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70">
        <f>MAX(-0.05,NORMINV(RAND(),$C$6,$D$6))</f>
        <v/>
      </c>
      <c r="L92" s="70">
        <f>MAX(0.02,NORMINV(RAND(),$C$7,$D$7))</f>
        <v/>
      </c>
      <c r="M92" s="70">
        <f>MIN(0.16,MAX(0.05,NORMINV(RAND(),$C$8,$D$8)))</f>
        <v/>
      </c>
      <c r="N92" s="71">
        <f>MIN(24,MAX(5,NORMINV(RAND(),$C$9,$D$9)))</f>
        <v/>
      </c>
      <c r="O92" s="83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70">
        <f>MAX(-0.05,NORMINV(RAND(),$C$6,$D$6))</f>
        <v/>
      </c>
      <c r="L93" s="70">
        <f>MAX(0.02,NORMINV(RAND(),$C$7,$D$7))</f>
        <v/>
      </c>
      <c r="M93" s="70">
        <f>MIN(0.16,MAX(0.05,NORMINV(RAND(),$C$8,$D$8)))</f>
        <v/>
      </c>
      <c r="N93" s="71">
        <f>MIN(24,MAX(5,NORMINV(RAND(),$C$9,$D$9)))</f>
        <v/>
      </c>
      <c r="O93" s="83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70">
        <f>MAX(-0.05,NORMINV(RAND(),$C$6,$D$6))</f>
        <v/>
      </c>
      <c r="L94" s="70">
        <f>MAX(0.02,NORMINV(RAND(),$C$7,$D$7))</f>
        <v/>
      </c>
      <c r="M94" s="70">
        <f>MIN(0.16,MAX(0.05,NORMINV(RAND(),$C$8,$D$8)))</f>
        <v/>
      </c>
      <c r="N94" s="71">
        <f>MIN(24,MAX(5,NORMINV(RAND(),$C$9,$D$9)))</f>
        <v/>
      </c>
      <c r="O94" s="83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70">
        <f>MAX(-0.05,NORMINV(RAND(),$C$6,$D$6))</f>
        <v/>
      </c>
      <c r="L95" s="70">
        <f>MAX(0.02,NORMINV(RAND(),$C$7,$D$7))</f>
        <v/>
      </c>
      <c r="M95" s="70">
        <f>MIN(0.16,MAX(0.05,NORMINV(RAND(),$C$8,$D$8)))</f>
        <v/>
      </c>
      <c r="N95" s="71">
        <f>MIN(24,MAX(5,NORMINV(RAND(),$C$9,$D$9)))</f>
        <v/>
      </c>
      <c r="O95" s="83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70">
        <f>MAX(-0.05,NORMINV(RAND(),$C$6,$D$6))</f>
        <v/>
      </c>
      <c r="L96" s="70">
        <f>MAX(0.02,NORMINV(RAND(),$C$7,$D$7))</f>
        <v/>
      </c>
      <c r="M96" s="70">
        <f>MIN(0.16,MAX(0.05,NORMINV(RAND(),$C$8,$D$8)))</f>
        <v/>
      </c>
      <c r="N96" s="71">
        <f>MIN(24,MAX(5,NORMINV(RAND(),$C$9,$D$9)))</f>
        <v/>
      </c>
      <c r="O96" s="83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70">
        <f>MAX(-0.05,NORMINV(RAND(),$C$6,$D$6))</f>
        <v/>
      </c>
      <c r="L97" s="70">
        <f>MAX(0.02,NORMINV(RAND(),$C$7,$D$7))</f>
        <v/>
      </c>
      <c r="M97" s="70">
        <f>MIN(0.16,MAX(0.05,NORMINV(RAND(),$C$8,$D$8)))</f>
        <v/>
      </c>
      <c r="N97" s="71">
        <f>MIN(24,MAX(5,NORMINV(RAND(),$C$9,$D$9)))</f>
        <v/>
      </c>
      <c r="O97" s="83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70">
        <f>MAX(-0.05,NORMINV(RAND(),$C$6,$D$6))</f>
        <v/>
      </c>
      <c r="L98" s="70">
        <f>MAX(0.02,NORMINV(RAND(),$C$7,$D$7))</f>
        <v/>
      </c>
      <c r="M98" s="70">
        <f>MIN(0.16,MAX(0.05,NORMINV(RAND(),$C$8,$D$8)))</f>
        <v/>
      </c>
      <c r="N98" s="71">
        <f>MIN(24,MAX(5,NORMINV(RAND(),$C$9,$D$9)))</f>
        <v/>
      </c>
      <c r="O98" s="83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70">
        <f>MAX(-0.05,NORMINV(RAND(),$C$6,$D$6))</f>
        <v/>
      </c>
      <c r="L99" s="70">
        <f>MAX(0.02,NORMINV(RAND(),$C$7,$D$7))</f>
        <v/>
      </c>
      <c r="M99" s="70">
        <f>MIN(0.16,MAX(0.05,NORMINV(RAND(),$C$8,$D$8)))</f>
        <v/>
      </c>
      <c r="N99" s="71">
        <f>MIN(24,MAX(5,NORMINV(RAND(),$C$9,$D$9)))</f>
        <v/>
      </c>
      <c r="O99" s="83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70">
        <f>MAX(-0.05,NORMINV(RAND(),$C$6,$D$6))</f>
        <v/>
      </c>
      <c r="L100" s="70">
        <f>MAX(0.02,NORMINV(RAND(),$C$7,$D$7))</f>
        <v/>
      </c>
      <c r="M100" s="70">
        <f>MIN(0.16,MAX(0.05,NORMINV(RAND(),$C$8,$D$8)))</f>
        <v/>
      </c>
      <c r="N100" s="71">
        <f>MIN(24,MAX(5,NORMINV(RAND(),$C$9,$D$9)))</f>
        <v/>
      </c>
      <c r="O100" s="83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70">
        <f>MAX(-0.05,NORMINV(RAND(),$C$6,$D$6))</f>
        <v/>
      </c>
      <c r="L101" s="70">
        <f>MAX(0.02,NORMINV(RAND(),$C$7,$D$7))</f>
        <v/>
      </c>
      <c r="M101" s="70">
        <f>MIN(0.16,MAX(0.05,NORMINV(RAND(),$C$8,$D$8)))</f>
        <v/>
      </c>
      <c r="N101" s="71">
        <f>MIN(24,MAX(5,NORMINV(RAND(),$C$9,$D$9)))</f>
        <v/>
      </c>
      <c r="O101" s="83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70">
        <f>MAX(-0.05,NORMINV(RAND(),$C$6,$D$6))</f>
        <v/>
      </c>
      <c r="L102" s="70">
        <f>MAX(0.02,NORMINV(RAND(),$C$7,$D$7))</f>
        <v/>
      </c>
      <c r="M102" s="70">
        <f>MIN(0.16,MAX(0.05,NORMINV(RAND(),$C$8,$D$8)))</f>
        <v/>
      </c>
      <c r="N102" s="71">
        <f>MIN(24,MAX(5,NORMINV(RAND(),$C$9,$D$9)))</f>
        <v/>
      </c>
      <c r="O102" s="83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70">
        <f>MAX(-0.05,NORMINV(RAND(),$C$6,$D$6))</f>
        <v/>
      </c>
      <c r="L103" s="70">
        <f>MAX(0.02,NORMINV(RAND(),$C$7,$D$7))</f>
        <v/>
      </c>
      <c r="M103" s="70">
        <f>MIN(0.16,MAX(0.05,NORMINV(RAND(),$C$8,$D$8)))</f>
        <v/>
      </c>
      <c r="N103" s="71">
        <f>MIN(24,MAX(5,NORMINV(RAND(),$C$9,$D$9)))</f>
        <v/>
      </c>
      <c r="O103" s="83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70">
        <f>MAX(-0.05,NORMINV(RAND(),$C$6,$D$6))</f>
        <v/>
      </c>
      <c r="L104" s="70">
        <f>MAX(0.02,NORMINV(RAND(),$C$7,$D$7))</f>
        <v/>
      </c>
      <c r="M104" s="70">
        <f>MIN(0.16,MAX(0.05,NORMINV(RAND(),$C$8,$D$8)))</f>
        <v/>
      </c>
      <c r="N104" s="71">
        <f>MIN(24,MAX(5,NORMINV(RAND(),$C$9,$D$9)))</f>
        <v/>
      </c>
      <c r="O104" s="83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70">
        <f>MAX(-0.05,NORMINV(RAND(),$C$6,$D$6))</f>
        <v/>
      </c>
      <c r="L105" s="70">
        <f>MAX(0.02,NORMINV(RAND(),$C$7,$D$7))</f>
        <v/>
      </c>
      <c r="M105" s="70">
        <f>MIN(0.16,MAX(0.05,NORMINV(RAND(),$C$8,$D$8)))</f>
        <v/>
      </c>
      <c r="N105" s="71">
        <f>MIN(24,MAX(5,NORMINV(RAND(),$C$9,$D$9)))</f>
        <v/>
      </c>
      <c r="O105" s="83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70">
        <f>MAX(-0.05,NORMINV(RAND(),$C$6,$D$6))</f>
        <v/>
      </c>
      <c r="L106" s="70">
        <f>MAX(0.02,NORMINV(RAND(),$C$7,$D$7))</f>
        <v/>
      </c>
      <c r="M106" s="70">
        <f>MIN(0.16,MAX(0.05,NORMINV(RAND(),$C$8,$D$8)))</f>
        <v/>
      </c>
      <c r="N106" s="71">
        <f>MIN(24,MAX(5,NORMINV(RAND(),$C$9,$D$9)))</f>
        <v/>
      </c>
      <c r="O106" s="83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70">
        <f>MAX(-0.05,NORMINV(RAND(),$C$6,$D$6))</f>
        <v/>
      </c>
      <c r="L107" s="70">
        <f>MAX(0.02,NORMINV(RAND(),$C$7,$D$7))</f>
        <v/>
      </c>
      <c r="M107" s="70">
        <f>MIN(0.16,MAX(0.05,NORMINV(RAND(),$C$8,$D$8)))</f>
        <v/>
      </c>
      <c r="N107" s="71">
        <f>MIN(24,MAX(5,NORMINV(RAND(),$C$9,$D$9)))</f>
        <v/>
      </c>
      <c r="O107" s="83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70">
        <f>MAX(-0.05,NORMINV(RAND(),$C$6,$D$6))</f>
        <v/>
      </c>
      <c r="L108" s="70">
        <f>MAX(0.02,NORMINV(RAND(),$C$7,$D$7))</f>
        <v/>
      </c>
      <c r="M108" s="70">
        <f>MIN(0.16,MAX(0.05,NORMINV(RAND(),$C$8,$D$8)))</f>
        <v/>
      </c>
      <c r="N108" s="71">
        <f>MIN(24,MAX(5,NORMINV(RAND(),$C$9,$D$9)))</f>
        <v/>
      </c>
      <c r="O108" s="83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70">
        <f>MAX(-0.05,NORMINV(RAND(),$C$6,$D$6))</f>
        <v/>
      </c>
      <c r="L109" s="70">
        <f>MAX(0.02,NORMINV(RAND(),$C$7,$D$7))</f>
        <v/>
      </c>
      <c r="M109" s="70">
        <f>MIN(0.16,MAX(0.05,NORMINV(RAND(),$C$8,$D$8)))</f>
        <v/>
      </c>
      <c r="N109" s="71">
        <f>MIN(24,MAX(5,NORMINV(RAND(),$C$9,$D$9)))</f>
        <v/>
      </c>
      <c r="O109" s="83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70">
        <f>MAX(-0.05,NORMINV(RAND(),$C$6,$D$6))</f>
        <v/>
      </c>
      <c r="L110" s="70">
        <f>MAX(0.02,NORMINV(RAND(),$C$7,$D$7))</f>
        <v/>
      </c>
      <c r="M110" s="70">
        <f>MIN(0.16,MAX(0.05,NORMINV(RAND(),$C$8,$D$8)))</f>
        <v/>
      </c>
      <c r="N110" s="71">
        <f>MIN(24,MAX(5,NORMINV(RAND(),$C$9,$D$9)))</f>
        <v/>
      </c>
      <c r="O110" s="83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70">
        <f>MAX(-0.05,NORMINV(RAND(),$C$6,$D$6))</f>
        <v/>
      </c>
      <c r="L111" s="70">
        <f>MAX(0.02,NORMINV(RAND(),$C$7,$D$7))</f>
        <v/>
      </c>
      <c r="M111" s="70">
        <f>MIN(0.16,MAX(0.05,NORMINV(RAND(),$C$8,$D$8)))</f>
        <v/>
      </c>
      <c r="N111" s="71">
        <f>MIN(24,MAX(5,NORMINV(RAND(),$C$9,$D$9)))</f>
        <v/>
      </c>
      <c r="O111" s="83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70">
        <f>MAX(-0.05,NORMINV(RAND(),$C$6,$D$6))</f>
        <v/>
      </c>
      <c r="L112" s="70">
        <f>MAX(0.02,NORMINV(RAND(),$C$7,$D$7))</f>
        <v/>
      </c>
      <c r="M112" s="70">
        <f>MIN(0.16,MAX(0.05,NORMINV(RAND(),$C$8,$D$8)))</f>
        <v/>
      </c>
      <c r="N112" s="71">
        <f>MIN(24,MAX(5,NORMINV(RAND(),$C$9,$D$9)))</f>
        <v/>
      </c>
      <c r="O112" s="83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70">
        <f>MAX(-0.05,NORMINV(RAND(),$C$6,$D$6))</f>
        <v/>
      </c>
      <c r="L113" s="70">
        <f>MAX(0.02,NORMINV(RAND(),$C$7,$D$7))</f>
        <v/>
      </c>
      <c r="M113" s="70">
        <f>MIN(0.16,MAX(0.05,NORMINV(RAND(),$C$8,$D$8)))</f>
        <v/>
      </c>
      <c r="N113" s="71">
        <f>MIN(24,MAX(5,NORMINV(RAND(),$C$9,$D$9)))</f>
        <v/>
      </c>
      <c r="O113" s="83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70">
        <f>MAX(-0.05,NORMINV(RAND(),$C$6,$D$6))</f>
        <v/>
      </c>
      <c r="L114" s="70">
        <f>MAX(0.02,NORMINV(RAND(),$C$7,$D$7))</f>
        <v/>
      </c>
      <c r="M114" s="70">
        <f>MIN(0.16,MAX(0.05,NORMINV(RAND(),$C$8,$D$8)))</f>
        <v/>
      </c>
      <c r="N114" s="71">
        <f>MIN(24,MAX(5,NORMINV(RAND(),$C$9,$D$9)))</f>
        <v/>
      </c>
      <c r="O114" s="83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70">
        <f>MAX(-0.05,NORMINV(RAND(),$C$6,$D$6))</f>
        <v/>
      </c>
      <c r="L115" s="70">
        <f>MAX(0.02,NORMINV(RAND(),$C$7,$D$7))</f>
        <v/>
      </c>
      <c r="M115" s="70">
        <f>MIN(0.16,MAX(0.05,NORMINV(RAND(),$C$8,$D$8)))</f>
        <v/>
      </c>
      <c r="N115" s="71">
        <f>MIN(24,MAX(5,NORMINV(RAND(),$C$9,$D$9)))</f>
        <v/>
      </c>
      <c r="O115" s="83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70">
        <f>MAX(-0.05,NORMINV(RAND(),$C$6,$D$6))</f>
        <v/>
      </c>
      <c r="L116" s="70">
        <f>MAX(0.02,NORMINV(RAND(),$C$7,$D$7))</f>
        <v/>
      </c>
      <c r="M116" s="70">
        <f>MIN(0.16,MAX(0.05,NORMINV(RAND(),$C$8,$D$8)))</f>
        <v/>
      </c>
      <c r="N116" s="71">
        <f>MIN(24,MAX(5,NORMINV(RAND(),$C$9,$D$9)))</f>
        <v/>
      </c>
      <c r="O116" s="83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70">
        <f>MAX(-0.05,NORMINV(RAND(),$C$6,$D$6))</f>
        <v/>
      </c>
      <c r="L117" s="70">
        <f>MAX(0.02,NORMINV(RAND(),$C$7,$D$7))</f>
        <v/>
      </c>
      <c r="M117" s="70">
        <f>MIN(0.16,MAX(0.05,NORMINV(RAND(),$C$8,$D$8)))</f>
        <v/>
      </c>
      <c r="N117" s="71">
        <f>MIN(24,MAX(5,NORMINV(RAND(),$C$9,$D$9)))</f>
        <v/>
      </c>
      <c r="O117" s="83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70">
        <f>MAX(-0.05,NORMINV(RAND(),$C$6,$D$6))</f>
        <v/>
      </c>
      <c r="L118" s="70">
        <f>MAX(0.02,NORMINV(RAND(),$C$7,$D$7))</f>
        <v/>
      </c>
      <c r="M118" s="70">
        <f>MIN(0.16,MAX(0.05,NORMINV(RAND(),$C$8,$D$8)))</f>
        <v/>
      </c>
      <c r="N118" s="71">
        <f>MIN(24,MAX(5,NORMINV(RAND(),$C$9,$D$9)))</f>
        <v/>
      </c>
      <c r="O118" s="83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70">
        <f>MAX(-0.05,NORMINV(RAND(),$C$6,$D$6))</f>
        <v/>
      </c>
      <c r="L119" s="70">
        <f>MAX(0.02,NORMINV(RAND(),$C$7,$D$7))</f>
        <v/>
      </c>
      <c r="M119" s="70">
        <f>MIN(0.16,MAX(0.05,NORMINV(RAND(),$C$8,$D$8)))</f>
        <v/>
      </c>
      <c r="N119" s="71">
        <f>MIN(24,MAX(5,NORMINV(RAND(),$C$9,$D$9)))</f>
        <v/>
      </c>
      <c r="O119" s="83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70">
        <f>MAX(-0.05,NORMINV(RAND(),$C$6,$D$6))</f>
        <v/>
      </c>
      <c r="L120" s="70">
        <f>MAX(0.02,NORMINV(RAND(),$C$7,$D$7))</f>
        <v/>
      </c>
      <c r="M120" s="70">
        <f>MIN(0.16,MAX(0.05,NORMINV(RAND(),$C$8,$D$8)))</f>
        <v/>
      </c>
      <c r="N120" s="71">
        <f>MIN(24,MAX(5,NORMINV(RAND(),$C$9,$D$9)))</f>
        <v/>
      </c>
      <c r="O120" s="83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70">
        <f>MAX(-0.05,NORMINV(RAND(),$C$6,$D$6))</f>
        <v/>
      </c>
      <c r="L121" s="70">
        <f>MAX(0.02,NORMINV(RAND(),$C$7,$D$7))</f>
        <v/>
      </c>
      <c r="M121" s="70">
        <f>MIN(0.16,MAX(0.05,NORMINV(RAND(),$C$8,$D$8)))</f>
        <v/>
      </c>
      <c r="N121" s="71">
        <f>MIN(24,MAX(5,NORMINV(RAND(),$C$9,$D$9)))</f>
        <v/>
      </c>
      <c r="O121" s="83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70">
        <f>MAX(-0.05,NORMINV(RAND(),$C$6,$D$6))</f>
        <v/>
      </c>
      <c r="L122" s="70">
        <f>MAX(0.02,NORMINV(RAND(),$C$7,$D$7))</f>
        <v/>
      </c>
      <c r="M122" s="70">
        <f>MIN(0.16,MAX(0.05,NORMINV(RAND(),$C$8,$D$8)))</f>
        <v/>
      </c>
      <c r="N122" s="71">
        <f>MIN(24,MAX(5,NORMINV(RAND(),$C$9,$D$9)))</f>
        <v/>
      </c>
      <c r="O122" s="83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70">
        <f>MAX(-0.05,NORMINV(RAND(),$C$6,$D$6))</f>
        <v/>
      </c>
      <c r="L123" s="70">
        <f>MAX(0.02,NORMINV(RAND(),$C$7,$D$7))</f>
        <v/>
      </c>
      <c r="M123" s="70">
        <f>MIN(0.16,MAX(0.05,NORMINV(RAND(),$C$8,$D$8)))</f>
        <v/>
      </c>
      <c r="N123" s="71">
        <f>MIN(24,MAX(5,NORMINV(RAND(),$C$9,$D$9)))</f>
        <v/>
      </c>
      <c r="O123" s="83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70">
        <f>MAX(-0.05,NORMINV(RAND(),$C$6,$D$6))</f>
        <v/>
      </c>
      <c r="L124" s="70">
        <f>MAX(0.02,NORMINV(RAND(),$C$7,$D$7))</f>
        <v/>
      </c>
      <c r="M124" s="70">
        <f>MIN(0.16,MAX(0.05,NORMINV(RAND(),$C$8,$D$8)))</f>
        <v/>
      </c>
      <c r="N124" s="71">
        <f>MIN(24,MAX(5,NORMINV(RAND(),$C$9,$D$9)))</f>
        <v/>
      </c>
      <c r="O124" s="83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70">
        <f>MAX(-0.05,NORMINV(RAND(),$C$6,$D$6))</f>
        <v/>
      </c>
      <c r="L125" s="70">
        <f>MAX(0.02,NORMINV(RAND(),$C$7,$D$7))</f>
        <v/>
      </c>
      <c r="M125" s="70">
        <f>MIN(0.16,MAX(0.05,NORMINV(RAND(),$C$8,$D$8)))</f>
        <v/>
      </c>
      <c r="N125" s="71">
        <f>MIN(24,MAX(5,NORMINV(RAND(),$C$9,$D$9)))</f>
        <v/>
      </c>
      <c r="O125" s="83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70">
        <f>MAX(-0.05,NORMINV(RAND(),$C$6,$D$6))</f>
        <v/>
      </c>
      <c r="L126" s="70">
        <f>MAX(0.02,NORMINV(RAND(),$C$7,$D$7))</f>
        <v/>
      </c>
      <c r="M126" s="70">
        <f>MIN(0.16,MAX(0.05,NORMINV(RAND(),$C$8,$D$8)))</f>
        <v/>
      </c>
      <c r="N126" s="71">
        <f>MIN(24,MAX(5,NORMINV(RAND(),$C$9,$D$9)))</f>
        <v/>
      </c>
      <c r="O126" s="83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70">
        <f>MAX(-0.05,NORMINV(RAND(),$C$6,$D$6))</f>
        <v/>
      </c>
      <c r="L127" s="70">
        <f>MAX(0.02,NORMINV(RAND(),$C$7,$D$7))</f>
        <v/>
      </c>
      <c r="M127" s="70">
        <f>MIN(0.16,MAX(0.05,NORMINV(RAND(),$C$8,$D$8)))</f>
        <v/>
      </c>
      <c r="N127" s="71">
        <f>MIN(24,MAX(5,NORMINV(RAND(),$C$9,$D$9)))</f>
        <v/>
      </c>
      <c r="O127" s="83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70">
        <f>MAX(-0.05,NORMINV(RAND(),$C$6,$D$6))</f>
        <v/>
      </c>
      <c r="L128" s="70">
        <f>MAX(0.02,NORMINV(RAND(),$C$7,$D$7))</f>
        <v/>
      </c>
      <c r="M128" s="70">
        <f>MIN(0.16,MAX(0.05,NORMINV(RAND(),$C$8,$D$8)))</f>
        <v/>
      </c>
      <c r="N128" s="71">
        <f>MIN(24,MAX(5,NORMINV(RAND(),$C$9,$D$9)))</f>
        <v/>
      </c>
      <c r="O128" s="83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70">
        <f>MAX(-0.05,NORMINV(RAND(),$C$6,$D$6))</f>
        <v/>
      </c>
      <c r="L129" s="70">
        <f>MAX(0.02,NORMINV(RAND(),$C$7,$D$7))</f>
        <v/>
      </c>
      <c r="M129" s="70">
        <f>MIN(0.16,MAX(0.05,NORMINV(RAND(),$C$8,$D$8)))</f>
        <v/>
      </c>
      <c r="N129" s="71">
        <f>MIN(24,MAX(5,NORMINV(RAND(),$C$9,$D$9)))</f>
        <v/>
      </c>
      <c r="O129" s="83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70">
        <f>MAX(-0.05,NORMINV(RAND(),$C$6,$D$6))</f>
        <v/>
      </c>
      <c r="L130" s="70">
        <f>MAX(0.02,NORMINV(RAND(),$C$7,$D$7))</f>
        <v/>
      </c>
      <c r="M130" s="70">
        <f>MIN(0.16,MAX(0.05,NORMINV(RAND(),$C$8,$D$8)))</f>
        <v/>
      </c>
      <c r="N130" s="71">
        <f>MIN(24,MAX(5,NORMINV(RAND(),$C$9,$D$9)))</f>
        <v/>
      </c>
      <c r="O130" s="83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70">
        <f>MAX(-0.05,NORMINV(RAND(),$C$6,$D$6))</f>
        <v/>
      </c>
      <c r="L131" s="70">
        <f>MAX(0.02,NORMINV(RAND(),$C$7,$D$7))</f>
        <v/>
      </c>
      <c r="M131" s="70">
        <f>MIN(0.16,MAX(0.05,NORMINV(RAND(),$C$8,$D$8)))</f>
        <v/>
      </c>
      <c r="N131" s="71">
        <f>MIN(24,MAX(5,NORMINV(RAND(),$C$9,$D$9)))</f>
        <v/>
      </c>
      <c r="O131" s="83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70">
        <f>MAX(-0.05,NORMINV(RAND(),$C$6,$D$6))</f>
        <v/>
      </c>
      <c r="L132" s="70">
        <f>MAX(0.02,NORMINV(RAND(),$C$7,$D$7))</f>
        <v/>
      </c>
      <c r="M132" s="70">
        <f>MIN(0.16,MAX(0.05,NORMINV(RAND(),$C$8,$D$8)))</f>
        <v/>
      </c>
      <c r="N132" s="71">
        <f>MIN(24,MAX(5,NORMINV(RAND(),$C$9,$D$9)))</f>
        <v/>
      </c>
      <c r="O132" s="83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70">
        <f>MAX(-0.05,NORMINV(RAND(),$C$6,$D$6))</f>
        <v/>
      </c>
      <c r="L133" s="70">
        <f>MAX(0.02,NORMINV(RAND(),$C$7,$D$7))</f>
        <v/>
      </c>
      <c r="M133" s="70">
        <f>MIN(0.16,MAX(0.05,NORMINV(RAND(),$C$8,$D$8)))</f>
        <v/>
      </c>
      <c r="N133" s="71">
        <f>MIN(24,MAX(5,NORMINV(RAND(),$C$9,$D$9)))</f>
        <v/>
      </c>
      <c r="O133" s="83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70">
        <f>MAX(-0.05,NORMINV(RAND(),$C$6,$D$6))</f>
        <v/>
      </c>
      <c r="L134" s="70">
        <f>MAX(0.02,NORMINV(RAND(),$C$7,$D$7))</f>
        <v/>
      </c>
      <c r="M134" s="70">
        <f>MIN(0.16,MAX(0.05,NORMINV(RAND(),$C$8,$D$8)))</f>
        <v/>
      </c>
      <c r="N134" s="71">
        <f>MIN(24,MAX(5,NORMINV(RAND(),$C$9,$D$9)))</f>
        <v/>
      </c>
      <c r="O134" s="83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70">
        <f>MAX(-0.05,NORMINV(RAND(),$C$6,$D$6))</f>
        <v/>
      </c>
      <c r="L135" s="70">
        <f>MAX(0.02,NORMINV(RAND(),$C$7,$D$7))</f>
        <v/>
      </c>
      <c r="M135" s="70">
        <f>MIN(0.16,MAX(0.05,NORMINV(RAND(),$C$8,$D$8)))</f>
        <v/>
      </c>
      <c r="N135" s="71">
        <f>MIN(24,MAX(5,NORMINV(RAND(),$C$9,$D$9)))</f>
        <v/>
      </c>
      <c r="O135" s="83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70">
        <f>MAX(-0.05,NORMINV(RAND(),$C$6,$D$6))</f>
        <v/>
      </c>
      <c r="L136" s="70">
        <f>MAX(0.02,NORMINV(RAND(),$C$7,$D$7))</f>
        <v/>
      </c>
      <c r="M136" s="70">
        <f>MIN(0.16,MAX(0.05,NORMINV(RAND(),$C$8,$D$8)))</f>
        <v/>
      </c>
      <c r="N136" s="71">
        <f>MIN(24,MAX(5,NORMINV(RAND(),$C$9,$D$9)))</f>
        <v/>
      </c>
      <c r="O136" s="83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70">
        <f>MAX(-0.05,NORMINV(RAND(),$C$6,$D$6))</f>
        <v/>
      </c>
      <c r="L137" s="70">
        <f>MAX(0.02,NORMINV(RAND(),$C$7,$D$7))</f>
        <v/>
      </c>
      <c r="M137" s="70">
        <f>MIN(0.16,MAX(0.05,NORMINV(RAND(),$C$8,$D$8)))</f>
        <v/>
      </c>
      <c r="N137" s="71">
        <f>MIN(24,MAX(5,NORMINV(RAND(),$C$9,$D$9)))</f>
        <v/>
      </c>
      <c r="O137" s="83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70">
        <f>MAX(-0.05,NORMINV(RAND(),$C$6,$D$6))</f>
        <v/>
      </c>
      <c r="L138" s="70">
        <f>MAX(0.02,NORMINV(RAND(),$C$7,$D$7))</f>
        <v/>
      </c>
      <c r="M138" s="70">
        <f>MIN(0.16,MAX(0.05,NORMINV(RAND(),$C$8,$D$8)))</f>
        <v/>
      </c>
      <c r="N138" s="71">
        <f>MIN(24,MAX(5,NORMINV(RAND(),$C$9,$D$9)))</f>
        <v/>
      </c>
      <c r="O138" s="83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70">
        <f>MAX(-0.05,NORMINV(RAND(),$C$6,$D$6))</f>
        <v/>
      </c>
      <c r="L139" s="70">
        <f>MAX(0.02,NORMINV(RAND(),$C$7,$D$7))</f>
        <v/>
      </c>
      <c r="M139" s="70">
        <f>MIN(0.16,MAX(0.05,NORMINV(RAND(),$C$8,$D$8)))</f>
        <v/>
      </c>
      <c r="N139" s="71">
        <f>MIN(24,MAX(5,NORMINV(RAND(),$C$9,$D$9)))</f>
        <v/>
      </c>
      <c r="O139" s="83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70">
        <f>MAX(-0.05,NORMINV(RAND(),$C$6,$D$6))</f>
        <v/>
      </c>
      <c r="L140" s="70">
        <f>MAX(0.02,NORMINV(RAND(),$C$7,$D$7))</f>
        <v/>
      </c>
      <c r="M140" s="70">
        <f>MIN(0.16,MAX(0.05,NORMINV(RAND(),$C$8,$D$8)))</f>
        <v/>
      </c>
      <c r="N140" s="71">
        <f>MIN(24,MAX(5,NORMINV(RAND(),$C$9,$D$9)))</f>
        <v/>
      </c>
      <c r="O140" s="83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70">
        <f>MAX(-0.05,NORMINV(RAND(),$C$6,$D$6))</f>
        <v/>
      </c>
      <c r="L141" s="70">
        <f>MAX(0.02,NORMINV(RAND(),$C$7,$D$7))</f>
        <v/>
      </c>
      <c r="M141" s="70">
        <f>MIN(0.16,MAX(0.05,NORMINV(RAND(),$C$8,$D$8)))</f>
        <v/>
      </c>
      <c r="N141" s="71">
        <f>MIN(24,MAX(5,NORMINV(RAND(),$C$9,$D$9)))</f>
        <v/>
      </c>
      <c r="O141" s="83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70">
        <f>MAX(-0.05,NORMINV(RAND(),$C$6,$D$6))</f>
        <v/>
      </c>
      <c r="L142" s="70">
        <f>MAX(0.02,NORMINV(RAND(),$C$7,$D$7))</f>
        <v/>
      </c>
      <c r="M142" s="70">
        <f>MIN(0.16,MAX(0.05,NORMINV(RAND(),$C$8,$D$8)))</f>
        <v/>
      </c>
      <c r="N142" s="71">
        <f>MIN(24,MAX(5,NORMINV(RAND(),$C$9,$D$9)))</f>
        <v/>
      </c>
      <c r="O142" s="83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70">
        <f>MAX(-0.05,NORMINV(RAND(),$C$6,$D$6))</f>
        <v/>
      </c>
      <c r="L143" s="70">
        <f>MAX(0.02,NORMINV(RAND(),$C$7,$D$7))</f>
        <v/>
      </c>
      <c r="M143" s="70">
        <f>MIN(0.16,MAX(0.05,NORMINV(RAND(),$C$8,$D$8)))</f>
        <v/>
      </c>
      <c r="N143" s="71">
        <f>MIN(24,MAX(5,NORMINV(RAND(),$C$9,$D$9)))</f>
        <v/>
      </c>
      <c r="O143" s="83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70">
        <f>MAX(-0.05,NORMINV(RAND(),$C$6,$D$6))</f>
        <v/>
      </c>
      <c r="L144" s="70">
        <f>MAX(0.02,NORMINV(RAND(),$C$7,$D$7))</f>
        <v/>
      </c>
      <c r="M144" s="70">
        <f>MIN(0.16,MAX(0.05,NORMINV(RAND(),$C$8,$D$8)))</f>
        <v/>
      </c>
      <c r="N144" s="71">
        <f>MIN(24,MAX(5,NORMINV(RAND(),$C$9,$D$9)))</f>
        <v/>
      </c>
      <c r="O144" s="83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70">
        <f>MAX(-0.05,NORMINV(RAND(),$C$6,$D$6))</f>
        <v/>
      </c>
      <c r="L145" s="70">
        <f>MAX(0.02,NORMINV(RAND(),$C$7,$D$7))</f>
        <v/>
      </c>
      <c r="M145" s="70">
        <f>MIN(0.16,MAX(0.05,NORMINV(RAND(),$C$8,$D$8)))</f>
        <v/>
      </c>
      <c r="N145" s="71">
        <f>MIN(24,MAX(5,NORMINV(RAND(),$C$9,$D$9)))</f>
        <v/>
      </c>
      <c r="O145" s="83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70">
        <f>MAX(-0.05,NORMINV(RAND(),$C$6,$D$6))</f>
        <v/>
      </c>
      <c r="L146" s="70">
        <f>MAX(0.02,NORMINV(RAND(),$C$7,$D$7))</f>
        <v/>
      </c>
      <c r="M146" s="70">
        <f>MIN(0.16,MAX(0.05,NORMINV(RAND(),$C$8,$D$8)))</f>
        <v/>
      </c>
      <c r="N146" s="71">
        <f>MIN(24,MAX(5,NORMINV(RAND(),$C$9,$D$9)))</f>
        <v/>
      </c>
      <c r="O146" s="83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70">
        <f>MAX(-0.05,NORMINV(RAND(),$C$6,$D$6))</f>
        <v/>
      </c>
      <c r="L147" s="70">
        <f>MAX(0.02,NORMINV(RAND(),$C$7,$D$7))</f>
        <v/>
      </c>
      <c r="M147" s="70">
        <f>MIN(0.16,MAX(0.05,NORMINV(RAND(),$C$8,$D$8)))</f>
        <v/>
      </c>
      <c r="N147" s="71">
        <f>MIN(24,MAX(5,NORMINV(RAND(),$C$9,$D$9)))</f>
        <v/>
      </c>
      <c r="O147" s="83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70">
        <f>MAX(-0.05,NORMINV(RAND(),$C$6,$D$6))</f>
        <v/>
      </c>
      <c r="L148" s="70">
        <f>MAX(0.02,NORMINV(RAND(),$C$7,$D$7))</f>
        <v/>
      </c>
      <c r="M148" s="70">
        <f>MIN(0.16,MAX(0.05,NORMINV(RAND(),$C$8,$D$8)))</f>
        <v/>
      </c>
      <c r="N148" s="71">
        <f>MIN(24,MAX(5,NORMINV(RAND(),$C$9,$D$9)))</f>
        <v/>
      </c>
      <c r="O148" s="83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70">
        <f>MAX(-0.05,NORMINV(RAND(),$C$6,$D$6))</f>
        <v/>
      </c>
      <c r="L149" s="70">
        <f>MAX(0.02,NORMINV(RAND(),$C$7,$D$7))</f>
        <v/>
      </c>
      <c r="M149" s="70">
        <f>MIN(0.16,MAX(0.05,NORMINV(RAND(),$C$8,$D$8)))</f>
        <v/>
      </c>
      <c r="N149" s="71">
        <f>MIN(24,MAX(5,NORMINV(RAND(),$C$9,$D$9)))</f>
        <v/>
      </c>
      <c r="O149" s="83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70">
        <f>MAX(-0.05,NORMINV(RAND(),$C$6,$D$6))</f>
        <v/>
      </c>
      <c r="L150" s="70">
        <f>MAX(0.02,NORMINV(RAND(),$C$7,$D$7))</f>
        <v/>
      </c>
      <c r="M150" s="70">
        <f>MIN(0.16,MAX(0.05,NORMINV(RAND(),$C$8,$D$8)))</f>
        <v/>
      </c>
      <c r="N150" s="71">
        <f>MIN(24,MAX(5,NORMINV(RAND(),$C$9,$D$9)))</f>
        <v/>
      </c>
      <c r="O150" s="83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70">
        <f>MAX(-0.05,NORMINV(RAND(),$C$6,$D$6))</f>
        <v/>
      </c>
      <c r="L151" s="70">
        <f>MAX(0.02,NORMINV(RAND(),$C$7,$D$7))</f>
        <v/>
      </c>
      <c r="M151" s="70">
        <f>MIN(0.16,MAX(0.05,NORMINV(RAND(),$C$8,$D$8)))</f>
        <v/>
      </c>
      <c r="N151" s="71">
        <f>MIN(24,MAX(5,NORMINV(RAND(),$C$9,$D$9)))</f>
        <v/>
      </c>
      <c r="O151" s="83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70">
        <f>MAX(-0.05,NORMINV(RAND(),$C$6,$D$6))</f>
        <v/>
      </c>
      <c r="L152" s="70">
        <f>MAX(0.02,NORMINV(RAND(),$C$7,$D$7))</f>
        <v/>
      </c>
      <c r="M152" s="70">
        <f>MIN(0.16,MAX(0.05,NORMINV(RAND(),$C$8,$D$8)))</f>
        <v/>
      </c>
      <c r="N152" s="71">
        <f>MIN(24,MAX(5,NORMINV(RAND(),$C$9,$D$9)))</f>
        <v/>
      </c>
      <c r="O152" s="83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70">
        <f>MAX(-0.05,NORMINV(RAND(),$C$6,$D$6))</f>
        <v/>
      </c>
      <c r="L153" s="70">
        <f>MAX(0.02,NORMINV(RAND(),$C$7,$D$7))</f>
        <v/>
      </c>
      <c r="M153" s="70">
        <f>MIN(0.16,MAX(0.05,NORMINV(RAND(),$C$8,$D$8)))</f>
        <v/>
      </c>
      <c r="N153" s="71">
        <f>MIN(24,MAX(5,NORMINV(RAND(),$C$9,$D$9)))</f>
        <v/>
      </c>
      <c r="O153" s="83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70">
        <f>MAX(-0.05,NORMINV(RAND(),$C$6,$D$6))</f>
        <v/>
      </c>
      <c r="L154" s="70">
        <f>MAX(0.02,NORMINV(RAND(),$C$7,$D$7))</f>
        <v/>
      </c>
      <c r="M154" s="70">
        <f>MIN(0.16,MAX(0.05,NORMINV(RAND(),$C$8,$D$8)))</f>
        <v/>
      </c>
      <c r="N154" s="71">
        <f>MIN(24,MAX(5,NORMINV(RAND(),$C$9,$D$9)))</f>
        <v/>
      </c>
      <c r="O154" s="83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70">
        <f>MAX(-0.05,NORMINV(RAND(),$C$6,$D$6))</f>
        <v/>
      </c>
      <c r="L155" s="70">
        <f>MAX(0.02,NORMINV(RAND(),$C$7,$D$7))</f>
        <v/>
      </c>
      <c r="M155" s="70">
        <f>MIN(0.16,MAX(0.05,NORMINV(RAND(),$C$8,$D$8)))</f>
        <v/>
      </c>
      <c r="N155" s="71">
        <f>MIN(24,MAX(5,NORMINV(RAND(),$C$9,$D$9)))</f>
        <v/>
      </c>
      <c r="O155" s="83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70">
        <f>MAX(-0.05,NORMINV(RAND(),$C$6,$D$6))</f>
        <v/>
      </c>
      <c r="L156" s="70">
        <f>MAX(0.02,NORMINV(RAND(),$C$7,$D$7))</f>
        <v/>
      </c>
      <c r="M156" s="70">
        <f>MIN(0.16,MAX(0.05,NORMINV(RAND(),$C$8,$D$8)))</f>
        <v/>
      </c>
      <c r="N156" s="71">
        <f>MIN(24,MAX(5,NORMINV(RAND(),$C$9,$D$9)))</f>
        <v/>
      </c>
      <c r="O156" s="83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70">
        <f>MAX(-0.05,NORMINV(RAND(),$C$6,$D$6))</f>
        <v/>
      </c>
      <c r="L157" s="70">
        <f>MAX(0.02,NORMINV(RAND(),$C$7,$D$7))</f>
        <v/>
      </c>
      <c r="M157" s="70">
        <f>MIN(0.16,MAX(0.05,NORMINV(RAND(),$C$8,$D$8)))</f>
        <v/>
      </c>
      <c r="N157" s="71">
        <f>MIN(24,MAX(5,NORMINV(RAND(),$C$9,$D$9)))</f>
        <v/>
      </c>
      <c r="O157" s="83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70">
        <f>MAX(-0.05,NORMINV(RAND(),$C$6,$D$6))</f>
        <v/>
      </c>
      <c r="L158" s="70">
        <f>MAX(0.02,NORMINV(RAND(),$C$7,$D$7))</f>
        <v/>
      </c>
      <c r="M158" s="70">
        <f>MIN(0.16,MAX(0.05,NORMINV(RAND(),$C$8,$D$8)))</f>
        <v/>
      </c>
      <c r="N158" s="71">
        <f>MIN(24,MAX(5,NORMINV(RAND(),$C$9,$D$9)))</f>
        <v/>
      </c>
      <c r="O158" s="83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70">
        <f>MAX(-0.05,NORMINV(RAND(),$C$6,$D$6))</f>
        <v/>
      </c>
      <c r="L159" s="70">
        <f>MAX(0.02,NORMINV(RAND(),$C$7,$D$7))</f>
        <v/>
      </c>
      <c r="M159" s="70">
        <f>MIN(0.16,MAX(0.05,NORMINV(RAND(),$C$8,$D$8)))</f>
        <v/>
      </c>
      <c r="N159" s="71">
        <f>MIN(24,MAX(5,NORMINV(RAND(),$C$9,$D$9)))</f>
        <v/>
      </c>
      <c r="O159" s="83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70">
        <f>MAX(-0.05,NORMINV(RAND(),$C$6,$D$6))</f>
        <v/>
      </c>
      <c r="L160" s="70">
        <f>MAX(0.02,NORMINV(RAND(),$C$7,$D$7))</f>
        <v/>
      </c>
      <c r="M160" s="70">
        <f>MIN(0.16,MAX(0.05,NORMINV(RAND(),$C$8,$D$8)))</f>
        <v/>
      </c>
      <c r="N160" s="71">
        <f>MIN(24,MAX(5,NORMINV(RAND(),$C$9,$D$9)))</f>
        <v/>
      </c>
      <c r="O160" s="83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70">
        <f>MAX(-0.05,NORMINV(RAND(),$C$6,$D$6))</f>
        <v/>
      </c>
      <c r="L161" s="70">
        <f>MAX(0.02,NORMINV(RAND(),$C$7,$D$7))</f>
        <v/>
      </c>
      <c r="M161" s="70">
        <f>MIN(0.16,MAX(0.05,NORMINV(RAND(),$C$8,$D$8)))</f>
        <v/>
      </c>
      <c r="N161" s="71">
        <f>MIN(24,MAX(5,NORMINV(RAND(),$C$9,$D$9)))</f>
        <v/>
      </c>
      <c r="O161" s="83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70">
        <f>MAX(-0.05,NORMINV(RAND(),$C$6,$D$6))</f>
        <v/>
      </c>
      <c r="L162" s="70">
        <f>MAX(0.02,NORMINV(RAND(),$C$7,$D$7))</f>
        <v/>
      </c>
      <c r="M162" s="70">
        <f>MIN(0.16,MAX(0.05,NORMINV(RAND(),$C$8,$D$8)))</f>
        <v/>
      </c>
      <c r="N162" s="71">
        <f>MIN(24,MAX(5,NORMINV(RAND(),$C$9,$D$9)))</f>
        <v/>
      </c>
      <c r="O162" s="83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70">
        <f>MAX(-0.05,NORMINV(RAND(),$C$6,$D$6))</f>
        <v/>
      </c>
      <c r="L163" s="70">
        <f>MAX(0.02,NORMINV(RAND(),$C$7,$D$7))</f>
        <v/>
      </c>
      <c r="M163" s="70">
        <f>MIN(0.16,MAX(0.05,NORMINV(RAND(),$C$8,$D$8)))</f>
        <v/>
      </c>
      <c r="N163" s="71">
        <f>MIN(24,MAX(5,NORMINV(RAND(),$C$9,$D$9)))</f>
        <v/>
      </c>
      <c r="O163" s="83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70">
        <f>MAX(-0.05,NORMINV(RAND(),$C$6,$D$6))</f>
        <v/>
      </c>
      <c r="L164" s="70">
        <f>MAX(0.02,NORMINV(RAND(),$C$7,$D$7))</f>
        <v/>
      </c>
      <c r="M164" s="70">
        <f>MIN(0.16,MAX(0.05,NORMINV(RAND(),$C$8,$D$8)))</f>
        <v/>
      </c>
      <c r="N164" s="71">
        <f>MIN(24,MAX(5,NORMINV(RAND(),$C$9,$D$9)))</f>
        <v/>
      </c>
      <c r="O164" s="83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70">
        <f>MAX(-0.05,NORMINV(RAND(),$C$6,$D$6))</f>
        <v/>
      </c>
      <c r="L165" s="70">
        <f>MAX(0.02,NORMINV(RAND(),$C$7,$D$7))</f>
        <v/>
      </c>
      <c r="M165" s="70">
        <f>MIN(0.16,MAX(0.05,NORMINV(RAND(),$C$8,$D$8)))</f>
        <v/>
      </c>
      <c r="N165" s="71">
        <f>MIN(24,MAX(5,NORMINV(RAND(),$C$9,$D$9)))</f>
        <v/>
      </c>
      <c r="O165" s="83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70">
        <f>MAX(-0.05,NORMINV(RAND(),$C$6,$D$6))</f>
        <v/>
      </c>
      <c r="L166" s="70">
        <f>MAX(0.02,NORMINV(RAND(),$C$7,$D$7))</f>
        <v/>
      </c>
      <c r="M166" s="70">
        <f>MIN(0.16,MAX(0.05,NORMINV(RAND(),$C$8,$D$8)))</f>
        <v/>
      </c>
      <c r="N166" s="71">
        <f>MIN(24,MAX(5,NORMINV(RAND(),$C$9,$D$9)))</f>
        <v/>
      </c>
      <c r="O166" s="83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70">
        <f>MAX(-0.05,NORMINV(RAND(),$C$6,$D$6))</f>
        <v/>
      </c>
      <c r="L167" s="70">
        <f>MAX(0.02,NORMINV(RAND(),$C$7,$D$7))</f>
        <v/>
      </c>
      <c r="M167" s="70">
        <f>MIN(0.16,MAX(0.05,NORMINV(RAND(),$C$8,$D$8)))</f>
        <v/>
      </c>
      <c r="N167" s="71">
        <f>MIN(24,MAX(5,NORMINV(RAND(),$C$9,$D$9)))</f>
        <v/>
      </c>
      <c r="O167" s="83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70">
        <f>MAX(-0.05,NORMINV(RAND(),$C$6,$D$6))</f>
        <v/>
      </c>
      <c r="L168" s="70">
        <f>MAX(0.02,NORMINV(RAND(),$C$7,$D$7))</f>
        <v/>
      </c>
      <c r="M168" s="70">
        <f>MIN(0.16,MAX(0.05,NORMINV(RAND(),$C$8,$D$8)))</f>
        <v/>
      </c>
      <c r="N168" s="71">
        <f>MIN(24,MAX(5,NORMINV(RAND(),$C$9,$D$9)))</f>
        <v/>
      </c>
      <c r="O168" s="83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70">
        <f>MAX(-0.05,NORMINV(RAND(),$C$6,$D$6))</f>
        <v/>
      </c>
      <c r="L169" s="70">
        <f>MAX(0.02,NORMINV(RAND(),$C$7,$D$7))</f>
        <v/>
      </c>
      <c r="M169" s="70">
        <f>MIN(0.16,MAX(0.05,NORMINV(RAND(),$C$8,$D$8)))</f>
        <v/>
      </c>
      <c r="N169" s="71">
        <f>MIN(24,MAX(5,NORMINV(RAND(),$C$9,$D$9)))</f>
        <v/>
      </c>
      <c r="O169" s="83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70">
        <f>MAX(-0.05,NORMINV(RAND(),$C$6,$D$6))</f>
        <v/>
      </c>
      <c r="L170" s="70">
        <f>MAX(0.02,NORMINV(RAND(),$C$7,$D$7))</f>
        <v/>
      </c>
      <c r="M170" s="70">
        <f>MIN(0.16,MAX(0.05,NORMINV(RAND(),$C$8,$D$8)))</f>
        <v/>
      </c>
      <c r="N170" s="71">
        <f>MIN(24,MAX(5,NORMINV(RAND(),$C$9,$D$9)))</f>
        <v/>
      </c>
      <c r="O170" s="83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70">
        <f>MAX(-0.05,NORMINV(RAND(),$C$6,$D$6))</f>
        <v/>
      </c>
      <c r="L171" s="70">
        <f>MAX(0.02,NORMINV(RAND(),$C$7,$D$7))</f>
        <v/>
      </c>
      <c r="M171" s="70">
        <f>MIN(0.16,MAX(0.05,NORMINV(RAND(),$C$8,$D$8)))</f>
        <v/>
      </c>
      <c r="N171" s="71">
        <f>MIN(24,MAX(5,NORMINV(RAND(),$C$9,$D$9)))</f>
        <v/>
      </c>
      <c r="O171" s="83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70">
        <f>MAX(-0.05,NORMINV(RAND(),$C$6,$D$6))</f>
        <v/>
      </c>
      <c r="L172" s="70">
        <f>MAX(0.02,NORMINV(RAND(),$C$7,$D$7))</f>
        <v/>
      </c>
      <c r="M172" s="70">
        <f>MIN(0.16,MAX(0.05,NORMINV(RAND(),$C$8,$D$8)))</f>
        <v/>
      </c>
      <c r="N172" s="71">
        <f>MIN(24,MAX(5,NORMINV(RAND(),$C$9,$D$9)))</f>
        <v/>
      </c>
      <c r="O172" s="83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70">
        <f>MAX(-0.05,NORMINV(RAND(),$C$6,$D$6))</f>
        <v/>
      </c>
      <c r="L173" s="70">
        <f>MAX(0.02,NORMINV(RAND(),$C$7,$D$7))</f>
        <v/>
      </c>
      <c r="M173" s="70">
        <f>MIN(0.16,MAX(0.05,NORMINV(RAND(),$C$8,$D$8)))</f>
        <v/>
      </c>
      <c r="N173" s="71">
        <f>MIN(24,MAX(5,NORMINV(RAND(),$C$9,$D$9)))</f>
        <v/>
      </c>
      <c r="O173" s="83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70">
        <f>MAX(-0.05,NORMINV(RAND(),$C$6,$D$6))</f>
        <v/>
      </c>
      <c r="L174" s="70">
        <f>MAX(0.02,NORMINV(RAND(),$C$7,$D$7))</f>
        <v/>
      </c>
      <c r="M174" s="70">
        <f>MIN(0.16,MAX(0.05,NORMINV(RAND(),$C$8,$D$8)))</f>
        <v/>
      </c>
      <c r="N174" s="71">
        <f>MIN(24,MAX(5,NORMINV(RAND(),$C$9,$D$9)))</f>
        <v/>
      </c>
      <c r="O174" s="83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70">
        <f>MAX(-0.05,NORMINV(RAND(),$C$6,$D$6))</f>
        <v/>
      </c>
      <c r="L175" s="70">
        <f>MAX(0.02,NORMINV(RAND(),$C$7,$D$7))</f>
        <v/>
      </c>
      <c r="M175" s="70">
        <f>MIN(0.16,MAX(0.05,NORMINV(RAND(),$C$8,$D$8)))</f>
        <v/>
      </c>
      <c r="N175" s="71">
        <f>MIN(24,MAX(5,NORMINV(RAND(),$C$9,$D$9)))</f>
        <v/>
      </c>
      <c r="O175" s="83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70">
        <f>MAX(-0.05,NORMINV(RAND(),$C$6,$D$6))</f>
        <v/>
      </c>
      <c r="L176" s="70">
        <f>MAX(0.02,NORMINV(RAND(),$C$7,$D$7))</f>
        <v/>
      </c>
      <c r="M176" s="70">
        <f>MIN(0.16,MAX(0.05,NORMINV(RAND(),$C$8,$D$8)))</f>
        <v/>
      </c>
      <c r="N176" s="71">
        <f>MIN(24,MAX(5,NORMINV(RAND(),$C$9,$D$9)))</f>
        <v/>
      </c>
      <c r="O176" s="83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70">
        <f>MAX(-0.05,NORMINV(RAND(),$C$6,$D$6))</f>
        <v/>
      </c>
      <c r="L177" s="70">
        <f>MAX(0.02,NORMINV(RAND(),$C$7,$D$7))</f>
        <v/>
      </c>
      <c r="M177" s="70">
        <f>MIN(0.16,MAX(0.05,NORMINV(RAND(),$C$8,$D$8)))</f>
        <v/>
      </c>
      <c r="N177" s="71">
        <f>MIN(24,MAX(5,NORMINV(RAND(),$C$9,$D$9)))</f>
        <v/>
      </c>
      <c r="O177" s="83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70">
        <f>MAX(-0.05,NORMINV(RAND(),$C$6,$D$6))</f>
        <v/>
      </c>
      <c r="L178" s="70">
        <f>MAX(0.02,NORMINV(RAND(),$C$7,$D$7))</f>
        <v/>
      </c>
      <c r="M178" s="70">
        <f>MIN(0.16,MAX(0.05,NORMINV(RAND(),$C$8,$D$8)))</f>
        <v/>
      </c>
      <c r="N178" s="71">
        <f>MIN(24,MAX(5,NORMINV(RAND(),$C$9,$D$9)))</f>
        <v/>
      </c>
      <c r="O178" s="83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70">
        <f>MAX(-0.05,NORMINV(RAND(),$C$6,$D$6))</f>
        <v/>
      </c>
      <c r="L179" s="70">
        <f>MAX(0.02,NORMINV(RAND(),$C$7,$D$7))</f>
        <v/>
      </c>
      <c r="M179" s="70">
        <f>MIN(0.16,MAX(0.05,NORMINV(RAND(),$C$8,$D$8)))</f>
        <v/>
      </c>
      <c r="N179" s="71">
        <f>MIN(24,MAX(5,NORMINV(RAND(),$C$9,$D$9)))</f>
        <v/>
      </c>
      <c r="O179" s="83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70">
        <f>MAX(-0.05,NORMINV(RAND(),$C$6,$D$6))</f>
        <v/>
      </c>
      <c r="L180" s="70">
        <f>MAX(0.02,NORMINV(RAND(),$C$7,$D$7))</f>
        <v/>
      </c>
      <c r="M180" s="70">
        <f>MIN(0.16,MAX(0.05,NORMINV(RAND(),$C$8,$D$8)))</f>
        <v/>
      </c>
      <c r="N180" s="71">
        <f>MIN(24,MAX(5,NORMINV(RAND(),$C$9,$D$9)))</f>
        <v/>
      </c>
      <c r="O180" s="83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70">
        <f>MAX(-0.05,NORMINV(RAND(),$C$6,$D$6))</f>
        <v/>
      </c>
      <c r="L181" s="70">
        <f>MAX(0.02,NORMINV(RAND(),$C$7,$D$7))</f>
        <v/>
      </c>
      <c r="M181" s="70">
        <f>MIN(0.16,MAX(0.05,NORMINV(RAND(),$C$8,$D$8)))</f>
        <v/>
      </c>
      <c r="N181" s="71">
        <f>MIN(24,MAX(5,NORMINV(RAND(),$C$9,$D$9)))</f>
        <v/>
      </c>
      <c r="O181" s="83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70">
        <f>MAX(-0.05,NORMINV(RAND(),$C$6,$D$6))</f>
        <v/>
      </c>
      <c r="L182" s="70">
        <f>MAX(0.02,NORMINV(RAND(),$C$7,$D$7))</f>
        <v/>
      </c>
      <c r="M182" s="70">
        <f>MIN(0.16,MAX(0.05,NORMINV(RAND(),$C$8,$D$8)))</f>
        <v/>
      </c>
      <c r="N182" s="71">
        <f>MIN(24,MAX(5,NORMINV(RAND(),$C$9,$D$9)))</f>
        <v/>
      </c>
      <c r="O182" s="83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70">
        <f>MAX(-0.05,NORMINV(RAND(),$C$6,$D$6))</f>
        <v/>
      </c>
      <c r="L183" s="70">
        <f>MAX(0.02,NORMINV(RAND(),$C$7,$D$7))</f>
        <v/>
      </c>
      <c r="M183" s="70">
        <f>MIN(0.16,MAX(0.05,NORMINV(RAND(),$C$8,$D$8)))</f>
        <v/>
      </c>
      <c r="N183" s="71">
        <f>MIN(24,MAX(5,NORMINV(RAND(),$C$9,$D$9)))</f>
        <v/>
      </c>
      <c r="O183" s="83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70">
        <f>MAX(-0.05,NORMINV(RAND(),$C$6,$D$6))</f>
        <v/>
      </c>
      <c r="L184" s="70">
        <f>MAX(0.02,NORMINV(RAND(),$C$7,$D$7))</f>
        <v/>
      </c>
      <c r="M184" s="70">
        <f>MIN(0.16,MAX(0.05,NORMINV(RAND(),$C$8,$D$8)))</f>
        <v/>
      </c>
      <c r="N184" s="71">
        <f>MIN(24,MAX(5,NORMINV(RAND(),$C$9,$D$9)))</f>
        <v/>
      </c>
      <c r="O184" s="83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70">
        <f>MAX(-0.05,NORMINV(RAND(),$C$6,$D$6))</f>
        <v/>
      </c>
      <c r="L185" s="70">
        <f>MAX(0.02,NORMINV(RAND(),$C$7,$D$7))</f>
        <v/>
      </c>
      <c r="M185" s="70">
        <f>MIN(0.16,MAX(0.05,NORMINV(RAND(),$C$8,$D$8)))</f>
        <v/>
      </c>
      <c r="N185" s="71">
        <f>MIN(24,MAX(5,NORMINV(RAND(),$C$9,$D$9)))</f>
        <v/>
      </c>
      <c r="O185" s="83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70">
        <f>MAX(-0.05,NORMINV(RAND(),$C$6,$D$6))</f>
        <v/>
      </c>
      <c r="L186" s="70">
        <f>MAX(0.02,NORMINV(RAND(),$C$7,$D$7))</f>
        <v/>
      </c>
      <c r="M186" s="70">
        <f>MIN(0.16,MAX(0.05,NORMINV(RAND(),$C$8,$D$8)))</f>
        <v/>
      </c>
      <c r="N186" s="71">
        <f>MIN(24,MAX(5,NORMINV(RAND(),$C$9,$D$9)))</f>
        <v/>
      </c>
      <c r="O186" s="83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70">
        <f>MAX(-0.05,NORMINV(RAND(),$C$6,$D$6))</f>
        <v/>
      </c>
      <c r="L187" s="70">
        <f>MAX(0.02,NORMINV(RAND(),$C$7,$D$7))</f>
        <v/>
      </c>
      <c r="M187" s="70">
        <f>MIN(0.16,MAX(0.05,NORMINV(RAND(),$C$8,$D$8)))</f>
        <v/>
      </c>
      <c r="N187" s="71">
        <f>MIN(24,MAX(5,NORMINV(RAND(),$C$9,$D$9)))</f>
        <v/>
      </c>
      <c r="O187" s="83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70">
        <f>MAX(-0.05,NORMINV(RAND(),$C$6,$D$6))</f>
        <v/>
      </c>
      <c r="L188" s="70">
        <f>MAX(0.02,NORMINV(RAND(),$C$7,$D$7))</f>
        <v/>
      </c>
      <c r="M188" s="70">
        <f>MIN(0.16,MAX(0.05,NORMINV(RAND(),$C$8,$D$8)))</f>
        <v/>
      </c>
      <c r="N188" s="71">
        <f>MIN(24,MAX(5,NORMINV(RAND(),$C$9,$D$9)))</f>
        <v/>
      </c>
      <c r="O188" s="83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70">
        <f>MAX(-0.05,NORMINV(RAND(),$C$6,$D$6))</f>
        <v/>
      </c>
      <c r="L189" s="70">
        <f>MAX(0.02,NORMINV(RAND(),$C$7,$D$7))</f>
        <v/>
      </c>
      <c r="M189" s="70">
        <f>MIN(0.16,MAX(0.05,NORMINV(RAND(),$C$8,$D$8)))</f>
        <v/>
      </c>
      <c r="N189" s="71">
        <f>MIN(24,MAX(5,NORMINV(RAND(),$C$9,$D$9)))</f>
        <v/>
      </c>
      <c r="O189" s="83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70">
        <f>MAX(-0.05,NORMINV(RAND(),$C$6,$D$6))</f>
        <v/>
      </c>
      <c r="L190" s="70">
        <f>MAX(0.02,NORMINV(RAND(),$C$7,$D$7))</f>
        <v/>
      </c>
      <c r="M190" s="70">
        <f>MIN(0.16,MAX(0.05,NORMINV(RAND(),$C$8,$D$8)))</f>
        <v/>
      </c>
      <c r="N190" s="71">
        <f>MIN(24,MAX(5,NORMINV(RAND(),$C$9,$D$9)))</f>
        <v/>
      </c>
      <c r="O190" s="83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70">
        <f>MAX(-0.05,NORMINV(RAND(),$C$6,$D$6))</f>
        <v/>
      </c>
      <c r="L191" s="70">
        <f>MAX(0.02,NORMINV(RAND(),$C$7,$D$7))</f>
        <v/>
      </c>
      <c r="M191" s="70">
        <f>MIN(0.16,MAX(0.05,NORMINV(RAND(),$C$8,$D$8)))</f>
        <v/>
      </c>
      <c r="N191" s="71">
        <f>MIN(24,MAX(5,NORMINV(RAND(),$C$9,$D$9)))</f>
        <v/>
      </c>
      <c r="O191" s="83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70">
        <f>MAX(-0.05,NORMINV(RAND(),$C$6,$D$6))</f>
        <v/>
      </c>
      <c r="L192" s="70">
        <f>MAX(0.02,NORMINV(RAND(),$C$7,$D$7))</f>
        <v/>
      </c>
      <c r="M192" s="70">
        <f>MIN(0.16,MAX(0.05,NORMINV(RAND(),$C$8,$D$8)))</f>
        <v/>
      </c>
      <c r="N192" s="71">
        <f>MIN(24,MAX(5,NORMINV(RAND(),$C$9,$D$9)))</f>
        <v/>
      </c>
      <c r="O192" s="83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70">
        <f>MAX(-0.05,NORMINV(RAND(),$C$6,$D$6))</f>
        <v/>
      </c>
      <c r="L193" s="70">
        <f>MAX(0.02,NORMINV(RAND(),$C$7,$D$7))</f>
        <v/>
      </c>
      <c r="M193" s="70">
        <f>MIN(0.16,MAX(0.05,NORMINV(RAND(),$C$8,$D$8)))</f>
        <v/>
      </c>
      <c r="N193" s="71">
        <f>MIN(24,MAX(5,NORMINV(RAND(),$C$9,$D$9)))</f>
        <v/>
      </c>
      <c r="O193" s="83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70">
        <f>MAX(-0.05,NORMINV(RAND(),$C$6,$D$6))</f>
        <v/>
      </c>
      <c r="L194" s="70">
        <f>MAX(0.02,NORMINV(RAND(),$C$7,$D$7))</f>
        <v/>
      </c>
      <c r="M194" s="70">
        <f>MIN(0.16,MAX(0.05,NORMINV(RAND(),$C$8,$D$8)))</f>
        <v/>
      </c>
      <c r="N194" s="71">
        <f>MIN(24,MAX(5,NORMINV(RAND(),$C$9,$D$9)))</f>
        <v/>
      </c>
      <c r="O194" s="83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70">
        <f>MAX(-0.05,NORMINV(RAND(),$C$6,$D$6))</f>
        <v/>
      </c>
      <c r="L195" s="70">
        <f>MAX(0.02,NORMINV(RAND(),$C$7,$D$7))</f>
        <v/>
      </c>
      <c r="M195" s="70">
        <f>MIN(0.16,MAX(0.05,NORMINV(RAND(),$C$8,$D$8)))</f>
        <v/>
      </c>
      <c r="N195" s="71">
        <f>MIN(24,MAX(5,NORMINV(RAND(),$C$9,$D$9)))</f>
        <v/>
      </c>
      <c r="O195" s="83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70">
        <f>MAX(-0.05,NORMINV(RAND(),$C$6,$D$6))</f>
        <v/>
      </c>
      <c r="L196" s="70">
        <f>MAX(0.02,NORMINV(RAND(),$C$7,$D$7))</f>
        <v/>
      </c>
      <c r="M196" s="70">
        <f>MIN(0.16,MAX(0.05,NORMINV(RAND(),$C$8,$D$8)))</f>
        <v/>
      </c>
      <c r="N196" s="71">
        <f>MIN(24,MAX(5,NORMINV(RAND(),$C$9,$D$9)))</f>
        <v/>
      </c>
      <c r="O196" s="83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70">
        <f>MAX(-0.05,NORMINV(RAND(),$C$6,$D$6))</f>
        <v/>
      </c>
      <c r="L197" s="70">
        <f>MAX(0.02,NORMINV(RAND(),$C$7,$D$7))</f>
        <v/>
      </c>
      <c r="M197" s="70">
        <f>MIN(0.16,MAX(0.05,NORMINV(RAND(),$C$8,$D$8)))</f>
        <v/>
      </c>
      <c r="N197" s="71">
        <f>MIN(24,MAX(5,NORMINV(RAND(),$C$9,$D$9)))</f>
        <v/>
      </c>
      <c r="O197" s="83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70">
        <f>MAX(-0.05,NORMINV(RAND(),$C$6,$D$6))</f>
        <v/>
      </c>
      <c r="L198" s="70">
        <f>MAX(0.02,NORMINV(RAND(),$C$7,$D$7))</f>
        <v/>
      </c>
      <c r="M198" s="70">
        <f>MIN(0.16,MAX(0.05,NORMINV(RAND(),$C$8,$D$8)))</f>
        <v/>
      </c>
      <c r="N198" s="71">
        <f>MIN(24,MAX(5,NORMINV(RAND(),$C$9,$D$9)))</f>
        <v/>
      </c>
      <c r="O198" s="83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70">
        <f>MAX(-0.05,NORMINV(RAND(),$C$6,$D$6))</f>
        <v/>
      </c>
      <c r="L199" s="70">
        <f>MAX(0.02,NORMINV(RAND(),$C$7,$D$7))</f>
        <v/>
      </c>
      <c r="M199" s="70">
        <f>MIN(0.16,MAX(0.05,NORMINV(RAND(),$C$8,$D$8)))</f>
        <v/>
      </c>
      <c r="N199" s="71">
        <f>MIN(24,MAX(5,NORMINV(RAND(),$C$9,$D$9)))</f>
        <v/>
      </c>
      <c r="O199" s="83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70">
        <f>MAX(-0.05,NORMINV(RAND(),$C$6,$D$6))</f>
        <v/>
      </c>
      <c r="L200" s="70">
        <f>MAX(0.02,NORMINV(RAND(),$C$7,$D$7))</f>
        <v/>
      </c>
      <c r="M200" s="70">
        <f>MIN(0.16,MAX(0.05,NORMINV(RAND(),$C$8,$D$8)))</f>
        <v/>
      </c>
      <c r="N200" s="71">
        <f>MIN(24,MAX(5,NORMINV(RAND(),$C$9,$D$9)))</f>
        <v/>
      </c>
      <c r="O200" s="83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70">
        <f>MAX(-0.05,NORMINV(RAND(),$C$6,$D$6))</f>
        <v/>
      </c>
      <c r="L201" s="70">
        <f>MAX(0.02,NORMINV(RAND(),$C$7,$D$7))</f>
        <v/>
      </c>
      <c r="M201" s="70">
        <f>MIN(0.16,MAX(0.05,NORMINV(RAND(),$C$8,$D$8)))</f>
        <v/>
      </c>
      <c r="N201" s="71">
        <f>MIN(24,MAX(5,NORMINV(RAND(),$C$9,$D$9)))</f>
        <v/>
      </c>
      <c r="O201" s="83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70">
        <f>MAX(-0.05,NORMINV(RAND(),$C$6,$D$6))</f>
        <v/>
      </c>
      <c r="L202" s="70">
        <f>MAX(0.02,NORMINV(RAND(),$C$7,$D$7))</f>
        <v/>
      </c>
      <c r="M202" s="70">
        <f>MIN(0.16,MAX(0.05,NORMINV(RAND(),$C$8,$D$8)))</f>
        <v/>
      </c>
      <c r="N202" s="71">
        <f>MIN(24,MAX(5,NORMINV(RAND(),$C$9,$D$9)))</f>
        <v/>
      </c>
      <c r="O202" s="83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70">
        <f>MAX(-0.05,NORMINV(RAND(),$C$6,$D$6))</f>
        <v/>
      </c>
      <c r="L203" s="70">
        <f>MAX(0.02,NORMINV(RAND(),$C$7,$D$7))</f>
        <v/>
      </c>
      <c r="M203" s="70">
        <f>MIN(0.16,MAX(0.05,NORMINV(RAND(),$C$8,$D$8)))</f>
        <v/>
      </c>
      <c r="N203" s="71">
        <f>MIN(24,MAX(5,NORMINV(RAND(),$C$9,$D$9)))</f>
        <v/>
      </c>
      <c r="O203" s="83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70">
        <f>MAX(-0.05,NORMINV(RAND(),$C$6,$D$6))</f>
        <v/>
      </c>
      <c r="L204" s="70">
        <f>MAX(0.02,NORMINV(RAND(),$C$7,$D$7))</f>
        <v/>
      </c>
      <c r="M204" s="70">
        <f>MIN(0.16,MAX(0.05,NORMINV(RAND(),$C$8,$D$8)))</f>
        <v/>
      </c>
      <c r="N204" s="71">
        <f>MIN(24,MAX(5,NORMINV(RAND(),$C$9,$D$9)))</f>
        <v/>
      </c>
      <c r="O204" s="83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70">
        <f>MAX(-0.05,NORMINV(RAND(),$C$6,$D$6))</f>
        <v/>
      </c>
      <c r="L205" s="70">
        <f>MAX(0.02,NORMINV(RAND(),$C$7,$D$7))</f>
        <v/>
      </c>
      <c r="M205" s="70">
        <f>MIN(0.16,MAX(0.05,NORMINV(RAND(),$C$8,$D$8)))</f>
        <v/>
      </c>
      <c r="N205" s="71">
        <f>MIN(24,MAX(5,NORMINV(RAND(),$C$9,$D$9)))</f>
        <v/>
      </c>
      <c r="O205" s="83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70">
        <f>MAX(-0.05,NORMINV(RAND(),$C$6,$D$6))</f>
        <v/>
      </c>
      <c r="L206" s="70">
        <f>MAX(0.02,NORMINV(RAND(),$C$7,$D$7))</f>
        <v/>
      </c>
      <c r="M206" s="70">
        <f>MIN(0.16,MAX(0.05,NORMINV(RAND(),$C$8,$D$8)))</f>
        <v/>
      </c>
      <c r="N206" s="71">
        <f>MIN(24,MAX(5,NORMINV(RAND(),$C$9,$D$9)))</f>
        <v/>
      </c>
      <c r="O206" s="83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70">
        <f>MAX(-0.05,NORMINV(RAND(),$C$6,$D$6))</f>
        <v/>
      </c>
      <c r="L207" s="70">
        <f>MAX(0.02,NORMINV(RAND(),$C$7,$D$7))</f>
        <v/>
      </c>
      <c r="M207" s="70">
        <f>MIN(0.16,MAX(0.05,NORMINV(RAND(),$C$8,$D$8)))</f>
        <v/>
      </c>
      <c r="N207" s="71">
        <f>MIN(24,MAX(5,NORMINV(RAND(),$C$9,$D$9)))</f>
        <v/>
      </c>
      <c r="O207" s="83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70">
        <f>MAX(-0.05,NORMINV(RAND(),$C$6,$D$6))</f>
        <v/>
      </c>
      <c r="L208" s="70">
        <f>MAX(0.02,NORMINV(RAND(),$C$7,$D$7))</f>
        <v/>
      </c>
      <c r="M208" s="70">
        <f>MIN(0.16,MAX(0.05,NORMINV(RAND(),$C$8,$D$8)))</f>
        <v/>
      </c>
      <c r="N208" s="71">
        <f>MIN(24,MAX(5,NORMINV(RAND(),$C$9,$D$9)))</f>
        <v/>
      </c>
      <c r="O208" s="83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70">
        <f>MAX(-0.05,NORMINV(RAND(),$C$6,$D$6))</f>
        <v/>
      </c>
      <c r="L209" s="70">
        <f>MAX(0.02,NORMINV(RAND(),$C$7,$D$7))</f>
        <v/>
      </c>
      <c r="M209" s="70">
        <f>MIN(0.16,MAX(0.05,NORMINV(RAND(),$C$8,$D$8)))</f>
        <v/>
      </c>
      <c r="N209" s="71">
        <f>MIN(24,MAX(5,NORMINV(RAND(),$C$9,$D$9)))</f>
        <v/>
      </c>
      <c r="O209" s="83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70">
        <f>MAX(-0.05,NORMINV(RAND(),$C$6,$D$6))</f>
        <v/>
      </c>
      <c r="L210" s="70">
        <f>MAX(0.02,NORMINV(RAND(),$C$7,$D$7))</f>
        <v/>
      </c>
      <c r="M210" s="70">
        <f>MIN(0.16,MAX(0.05,NORMINV(RAND(),$C$8,$D$8)))</f>
        <v/>
      </c>
      <c r="N210" s="71">
        <f>MIN(24,MAX(5,NORMINV(RAND(),$C$9,$D$9)))</f>
        <v/>
      </c>
      <c r="O210" s="83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70">
        <f>MAX(-0.05,NORMINV(RAND(),$C$6,$D$6))</f>
        <v/>
      </c>
      <c r="L211" s="70">
        <f>MAX(0.02,NORMINV(RAND(),$C$7,$D$7))</f>
        <v/>
      </c>
      <c r="M211" s="70">
        <f>MIN(0.16,MAX(0.05,NORMINV(RAND(),$C$8,$D$8)))</f>
        <v/>
      </c>
      <c r="N211" s="71">
        <f>MIN(24,MAX(5,NORMINV(RAND(),$C$9,$D$9)))</f>
        <v/>
      </c>
      <c r="O211" s="83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70">
        <f>MAX(-0.05,NORMINV(RAND(),$C$6,$D$6))</f>
        <v/>
      </c>
      <c r="L212" s="70">
        <f>MAX(0.02,NORMINV(RAND(),$C$7,$D$7))</f>
        <v/>
      </c>
      <c r="M212" s="70">
        <f>MIN(0.16,MAX(0.05,NORMINV(RAND(),$C$8,$D$8)))</f>
        <v/>
      </c>
      <c r="N212" s="71">
        <f>MIN(24,MAX(5,NORMINV(RAND(),$C$9,$D$9)))</f>
        <v/>
      </c>
      <c r="O212" s="83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70">
        <f>MAX(-0.05,NORMINV(RAND(),$C$6,$D$6))</f>
        <v/>
      </c>
      <c r="L213" s="70">
        <f>MAX(0.02,NORMINV(RAND(),$C$7,$D$7))</f>
        <v/>
      </c>
      <c r="M213" s="70">
        <f>MIN(0.16,MAX(0.05,NORMINV(RAND(),$C$8,$D$8)))</f>
        <v/>
      </c>
      <c r="N213" s="71">
        <f>MIN(24,MAX(5,NORMINV(RAND(),$C$9,$D$9)))</f>
        <v/>
      </c>
      <c r="O213" s="83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70">
        <f>MAX(-0.05,NORMINV(RAND(),$C$6,$D$6))</f>
        <v/>
      </c>
      <c r="L214" s="70">
        <f>MAX(0.02,NORMINV(RAND(),$C$7,$D$7))</f>
        <v/>
      </c>
      <c r="M214" s="70">
        <f>MIN(0.16,MAX(0.05,NORMINV(RAND(),$C$8,$D$8)))</f>
        <v/>
      </c>
      <c r="N214" s="71">
        <f>MIN(24,MAX(5,NORMINV(RAND(),$C$9,$D$9)))</f>
        <v/>
      </c>
      <c r="O214" s="83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70">
        <f>MAX(-0.05,NORMINV(RAND(),$C$6,$D$6))</f>
        <v/>
      </c>
      <c r="L215" s="70">
        <f>MAX(0.02,NORMINV(RAND(),$C$7,$D$7))</f>
        <v/>
      </c>
      <c r="M215" s="70">
        <f>MIN(0.16,MAX(0.05,NORMINV(RAND(),$C$8,$D$8)))</f>
        <v/>
      </c>
      <c r="N215" s="71">
        <f>MIN(24,MAX(5,NORMINV(RAND(),$C$9,$D$9)))</f>
        <v/>
      </c>
      <c r="O215" s="83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70">
        <f>MAX(-0.05,NORMINV(RAND(),$C$6,$D$6))</f>
        <v/>
      </c>
      <c r="L216" s="70">
        <f>MAX(0.02,NORMINV(RAND(),$C$7,$D$7))</f>
        <v/>
      </c>
      <c r="M216" s="70">
        <f>MIN(0.16,MAX(0.05,NORMINV(RAND(),$C$8,$D$8)))</f>
        <v/>
      </c>
      <c r="N216" s="71">
        <f>MIN(24,MAX(5,NORMINV(RAND(),$C$9,$D$9)))</f>
        <v/>
      </c>
      <c r="O216" s="83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70">
        <f>MAX(-0.05,NORMINV(RAND(),$C$6,$D$6))</f>
        <v/>
      </c>
      <c r="L217" s="70">
        <f>MAX(0.02,NORMINV(RAND(),$C$7,$D$7))</f>
        <v/>
      </c>
      <c r="M217" s="70">
        <f>MIN(0.16,MAX(0.05,NORMINV(RAND(),$C$8,$D$8)))</f>
        <v/>
      </c>
      <c r="N217" s="71">
        <f>MIN(24,MAX(5,NORMINV(RAND(),$C$9,$D$9)))</f>
        <v/>
      </c>
      <c r="O217" s="83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70">
        <f>MAX(-0.05,NORMINV(RAND(),$C$6,$D$6))</f>
        <v/>
      </c>
      <c r="L218" s="70">
        <f>MAX(0.02,NORMINV(RAND(),$C$7,$D$7))</f>
        <v/>
      </c>
      <c r="M218" s="70">
        <f>MIN(0.16,MAX(0.05,NORMINV(RAND(),$C$8,$D$8)))</f>
        <v/>
      </c>
      <c r="N218" s="71">
        <f>MIN(24,MAX(5,NORMINV(RAND(),$C$9,$D$9)))</f>
        <v/>
      </c>
      <c r="O218" s="83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70">
        <f>MAX(-0.05,NORMINV(RAND(),$C$6,$D$6))</f>
        <v/>
      </c>
      <c r="L219" s="70">
        <f>MAX(0.02,NORMINV(RAND(),$C$7,$D$7))</f>
        <v/>
      </c>
      <c r="M219" s="70">
        <f>MIN(0.16,MAX(0.05,NORMINV(RAND(),$C$8,$D$8)))</f>
        <v/>
      </c>
      <c r="N219" s="71">
        <f>MIN(24,MAX(5,NORMINV(RAND(),$C$9,$D$9)))</f>
        <v/>
      </c>
      <c r="O219" s="83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70">
        <f>MAX(-0.05,NORMINV(RAND(),$C$6,$D$6))</f>
        <v/>
      </c>
      <c r="L220" s="70">
        <f>MAX(0.02,NORMINV(RAND(),$C$7,$D$7))</f>
        <v/>
      </c>
      <c r="M220" s="70">
        <f>MIN(0.16,MAX(0.05,NORMINV(RAND(),$C$8,$D$8)))</f>
        <v/>
      </c>
      <c r="N220" s="71">
        <f>MIN(24,MAX(5,NORMINV(RAND(),$C$9,$D$9)))</f>
        <v/>
      </c>
      <c r="O220" s="83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70">
        <f>MAX(-0.05,NORMINV(RAND(),$C$6,$D$6))</f>
        <v/>
      </c>
      <c r="L221" s="70">
        <f>MAX(0.02,NORMINV(RAND(),$C$7,$D$7))</f>
        <v/>
      </c>
      <c r="M221" s="70">
        <f>MIN(0.16,MAX(0.05,NORMINV(RAND(),$C$8,$D$8)))</f>
        <v/>
      </c>
      <c r="N221" s="71">
        <f>MIN(24,MAX(5,NORMINV(RAND(),$C$9,$D$9)))</f>
        <v/>
      </c>
      <c r="O221" s="83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70">
        <f>MAX(-0.05,NORMINV(RAND(),$C$6,$D$6))</f>
        <v/>
      </c>
      <c r="L222" s="70">
        <f>MAX(0.02,NORMINV(RAND(),$C$7,$D$7))</f>
        <v/>
      </c>
      <c r="M222" s="70">
        <f>MIN(0.16,MAX(0.05,NORMINV(RAND(),$C$8,$D$8)))</f>
        <v/>
      </c>
      <c r="N222" s="71">
        <f>MIN(24,MAX(5,NORMINV(RAND(),$C$9,$D$9)))</f>
        <v/>
      </c>
      <c r="O222" s="83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70">
        <f>MAX(-0.05,NORMINV(RAND(),$C$6,$D$6))</f>
        <v/>
      </c>
      <c r="L223" s="70">
        <f>MAX(0.02,NORMINV(RAND(),$C$7,$D$7))</f>
        <v/>
      </c>
      <c r="M223" s="70">
        <f>MIN(0.16,MAX(0.05,NORMINV(RAND(),$C$8,$D$8)))</f>
        <v/>
      </c>
      <c r="N223" s="71">
        <f>MIN(24,MAX(5,NORMINV(RAND(),$C$9,$D$9)))</f>
        <v/>
      </c>
      <c r="O223" s="83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70">
        <f>MAX(-0.05,NORMINV(RAND(),$C$6,$D$6))</f>
        <v/>
      </c>
      <c r="L224" s="70">
        <f>MAX(0.02,NORMINV(RAND(),$C$7,$D$7))</f>
        <v/>
      </c>
      <c r="M224" s="70">
        <f>MIN(0.16,MAX(0.05,NORMINV(RAND(),$C$8,$D$8)))</f>
        <v/>
      </c>
      <c r="N224" s="71">
        <f>MIN(24,MAX(5,NORMINV(RAND(),$C$9,$D$9)))</f>
        <v/>
      </c>
      <c r="O224" s="83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70">
        <f>MAX(-0.05,NORMINV(RAND(),$C$6,$D$6))</f>
        <v/>
      </c>
      <c r="L225" s="70">
        <f>MAX(0.02,NORMINV(RAND(),$C$7,$D$7))</f>
        <v/>
      </c>
      <c r="M225" s="70">
        <f>MIN(0.16,MAX(0.05,NORMINV(RAND(),$C$8,$D$8)))</f>
        <v/>
      </c>
      <c r="N225" s="71">
        <f>MIN(24,MAX(5,NORMINV(RAND(),$C$9,$D$9)))</f>
        <v/>
      </c>
      <c r="O225" s="83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70">
        <f>MAX(-0.05,NORMINV(RAND(),$C$6,$D$6))</f>
        <v/>
      </c>
      <c r="L226" s="70">
        <f>MAX(0.02,NORMINV(RAND(),$C$7,$D$7))</f>
        <v/>
      </c>
      <c r="M226" s="70">
        <f>MIN(0.16,MAX(0.05,NORMINV(RAND(),$C$8,$D$8)))</f>
        <v/>
      </c>
      <c r="N226" s="71">
        <f>MIN(24,MAX(5,NORMINV(RAND(),$C$9,$D$9)))</f>
        <v/>
      </c>
      <c r="O226" s="83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70">
        <f>MAX(-0.05,NORMINV(RAND(),$C$6,$D$6))</f>
        <v/>
      </c>
      <c r="L227" s="70">
        <f>MAX(0.02,NORMINV(RAND(),$C$7,$D$7))</f>
        <v/>
      </c>
      <c r="M227" s="70">
        <f>MIN(0.16,MAX(0.05,NORMINV(RAND(),$C$8,$D$8)))</f>
        <v/>
      </c>
      <c r="N227" s="71">
        <f>MIN(24,MAX(5,NORMINV(RAND(),$C$9,$D$9)))</f>
        <v/>
      </c>
      <c r="O227" s="83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70">
        <f>MAX(-0.05,NORMINV(RAND(),$C$6,$D$6))</f>
        <v/>
      </c>
      <c r="L228" s="70">
        <f>MAX(0.02,NORMINV(RAND(),$C$7,$D$7))</f>
        <v/>
      </c>
      <c r="M228" s="70">
        <f>MIN(0.16,MAX(0.05,NORMINV(RAND(),$C$8,$D$8)))</f>
        <v/>
      </c>
      <c r="N228" s="71">
        <f>MIN(24,MAX(5,NORMINV(RAND(),$C$9,$D$9)))</f>
        <v/>
      </c>
      <c r="O228" s="83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70">
        <f>MAX(-0.05,NORMINV(RAND(),$C$6,$D$6))</f>
        <v/>
      </c>
      <c r="L229" s="70">
        <f>MAX(0.02,NORMINV(RAND(),$C$7,$D$7))</f>
        <v/>
      </c>
      <c r="M229" s="70">
        <f>MIN(0.16,MAX(0.05,NORMINV(RAND(),$C$8,$D$8)))</f>
        <v/>
      </c>
      <c r="N229" s="71">
        <f>MIN(24,MAX(5,NORMINV(RAND(),$C$9,$D$9)))</f>
        <v/>
      </c>
      <c r="O229" s="83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70">
        <f>MAX(-0.05,NORMINV(RAND(),$C$6,$D$6))</f>
        <v/>
      </c>
      <c r="L230" s="70">
        <f>MAX(0.02,NORMINV(RAND(),$C$7,$D$7))</f>
        <v/>
      </c>
      <c r="M230" s="70">
        <f>MIN(0.16,MAX(0.05,NORMINV(RAND(),$C$8,$D$8)))</f>
        <v/>
      </c>
      <c r="N230" s="71">
        <f>MIN(24,MAX(5,NORMINV(RAND(),$C$9,$D$9)))</f>
        <v/>
      </c>
      <c r="O230" s="83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70">
        <f>MAX(-0.05,NORMINV(RAND(),$C$6,$D$6))</f>
        <v/>
      </c>
      <c r="L231" s="70">
        <f>MAX(0.02,NORMINV(RAND(),$C$7,$D$7))</f>
        <v/>
      </c>
      <c r="M231" s="70">
        <f>MIN(0.16,MAX(0.05,NORMINV(RAND(),$C$8,$D$8)))</f>
        <v/>
      </c>
      <c r="N231" s="71">
        <f>MIN(24,MAX(5,NORMINV(RAND(),$C$9,$D$9)))</f>
        <v/>
      </c>
      <c r="O231" s="83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70">
        <f>MAX(-0.05,NORMINV(RAND(),$C$6,$D$6))</f>
        <v/>
      </c>
      <c r="L232" s="70">
        <f>MAX(0.02,NORMINV(RAND(),$C$7,$D$7))</f>
        <v/>
      </c>
      <c r="M232" s="70">
        <f>MIN(0.16,MAX(0.05,NORMINV(RAND(),$C$8,$D$8)))</f>
        <v/>
      </c>
      <c r="N232" s="71">
        <f>MIN(24,MAX(5,NORMINV(RAND(),$C$9,$D$9)))</f>
        <v/>
      </c>
      <c r="O232" s="83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70">
        <f>MAX(-0.05,NORMINV(RAND(),$C$6,$D$6))</f>
        <v/>
      </c>
      <c r="L233" s="70">
        <f>MAX(0.02,NORMINV(RAND(),$C$7,$D$7))</f>
        <v/>
      </c>
      <c r="M233" s="70">
        <f>MIN(0.16,MAX(0.05,NORMINV(RAND(),$C$8,$D$8)))</f>
        <v/>
      </c>
      <c r="N233" s="71">
        <f>MIN(24,MAX(5,NORMINV(RAND(),$C$9,$D$9)))</f>
        <v/>
      </c>
      <c r="O233" s="83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70">
        <f>MAX(-0.05,NORMINV(RAND(),$C$6,$D$6))</f>
        <v/>
      </c>
      <c r="L234" s="70">
        <f>MAX(0.02,NORMINV(RAND(),$C$7,$D$7))</f>
        <v/>
      </c>
      <c r="M234" s="70">
        <f>MIN(0.16,MAX(0.05,NORMINV(RAND(),$C$8,$D$8)))</f>
        <v/>
      </c>
      <c r="N234" s="71">
        <f>MIN(24,MAX(5,NORMINV(RAND(),$C$9,$D$9)))</f>
        <v/>
      </c>
      <c r="O234" s="83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70">
        <f>MAX(-0.05,NORMINV(RAND(),$C$6,$D$6))</f>
        <v/>
      </c>
      <c r="L235" s="70">
        <f>MAX(0.02,NORMINV(RAND(),$C$7,$D$7))</f>
        <v/>
      </c>
      <c r="M235" s="70">
        <f>MIN(0.16,MAX(0.05,NORMINV(RAND(),$C$8,$D$8)))</f>
        <v/>
      </c>
      <c r="N235" s="71">
        <f>MIN(24,MAX(5,NORMINV(RAND(),$C$9,$D$9)))</f>
        <v/>
      </c>
      <c r="O235" s="83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70">
        <f>MAX(-0.05,NORMINV(RAND(),$C$6,$D$6))</f>
        <v/>
      </c>
      <c r="L236" s="70">
        <f>MAX(0.02,NORMINV(RAND(),$C$7,$D$7))</f>
        <v/>
      </c>
      <c r="M236" s="70">
        <f>MIN(0.16,MAX(0.05,NORMINV(RAND(),$C$8,$D$8)))</f>
        <v/>
      </c>
      <c r="N236" s="71">
        <f>MIN(24,MAX(5,NORMINV(RAND(),$C$9,$D$9)))</f>
        <v/>
      </c>
      <c r="O236" s="83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70">
        <f>MAX(-0.05,NORMINV(RAND(),$C$6,$D$6))</f>
        <v/>
      </c>
      <c r="L237" s="70">
        <f>MAX(0.02,NORMINV(RAND(),$C$7,$D$7))</f>
        <v/>
      </c>
      <c r="M237" s="70">
        <f>MIN(0.16,MAX(0.05,NORMINV(RAND(),$C$8,$D$8)))</f>
        <v/>
      </c>
      <c r="N237" s="71">
        <f>MIN(24,MAX(5,NORMINV(RAND(),$C$9,$D$9)))</f>
        <v/>
      </c>
      <c r="O237" s="83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70">
        <f>MAX(-0.05,NORMINV(RAND(),$C$6,$D$6))</f>
        <v/>
      </c>
      <c r="L238" s="70">
        <f>MAX(0.02,NORMINV(RAND(),$C$7,$D$7))</f>
        <v/>
      </c>
      <c r="M238" s="70">
        <f>MIN(0.16,MAX(0.05,NORMINV(RAND(),$C$8,$D$8)))</f>
        <v/>
      </c>
      <c r="N238" s="71">
        <f>MIN(24,MAX(5,NORMINV(RAND(),$C$9,$D$9)))</f>
        <v/>
      </c>
      <c r="O238" s="83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70">
        <f>MAX(-0.05,NORMINV(RAND(),$C$6,$D$6))</f>
        <v/>
      </c>
      <c r="L239" s="70">
        <f>MAX(0.02,NORMINV(RAND(),$C$7,$D$7))</f>
        <v/>
      </c>
      <c r="M239" s="70">
        <f>MIN(0.16,MAX(0.05,NORMINV(RAND(),$C$8,$D$8)))</f>
        <v/>
      </c>
      <c r="N239" s="71">
        <f>MIN(24,MAX(5,NORMINV(RAND(),$C$9,$D$9)))</f>
        <v/>
      </c>
      <c r="O239" s="83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70">
        <f>MAX(-0.05,NORMINV(RAND(),$C$6,$D$6))</f>
        <v/>
      </c>
      <c r="L240" s="70">
        <f>MAX(0.02,NORMINV(RAND(),$C$7,$D$7))</f>
        <v/>
      </c>
      <c r="M240" s="70">
        <f>MIN(0.16,MAX(0.05,NORMINV(RAND(),$C$8,$D$8)))</f>
        <v/>
      </c>
      <c r="N240" s="71">
        <f>MIN(24,MAX(5,NORMINV(RAND(),$C$9,$D$9)))</f>
        <v/>
      </c>
      <c r="O240" s="83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70">
        <f>MAX(-0.05,NORMINV(RAND(),$C$6,$D$6))</f>
        <v/>
      </c>
      <c r="L241" s="70">
        <f>MAX(0.02,NORMINV(RAND(),$C$7,$D$7))</f>
        <v/>
      </c>
      <c r="M241" s="70">
        <f>MIN(0.16,MAX(0.05,NORMINV(RAND(),$C$8,$D$8)))</f>
        <v/>
      </c>
      <c r="N241" s="71">
        <f>MIN(24,MAX(5,NORMINV(RAND(),$C$9,$D$9)))</f>
        <v/>
      </c>
      <c r="O241" s="83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70">
        <f>MAX(-0.05,NORMINV(RAND(),$C$6,$D$6))</f>
        <v/>
      </c>
      <c r="L242" s="70">
        <f>MAX(0.02,NORMINV(RAND(),$C$7,$D$7))</f>
        <v/>
      </c>
      <c r="M242" s="70">
        <f>MIN(0.16,MAX(0.05,NORMINV(RAND(),$C$8,$D$8)))</f>
        <v/>
      </c>
      <c r="N242" s="71">
        <f>MIN(24,MAX(5,NORMINV(RAND(),$C$9,$D$9)))</f>
        <v/>
      </c>
      <c r="O242" s="83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70">
        <f>MAX(-0.05,NORMINV(RAND(),$C$6,$D$6))</f>
        <v/>
      </c>
      <c r="L243" s="70">
        <f>MAX(0.02,NORMINV(RAND(),$C$7,$D$7))</f>
        <v/>
      </c>
      <c r="M243" s="70">
        <f>MIN(0.16,MAX(0.05,NORMINV(RAND(),$C$8,$D$8)))</f>
        <v/>
      </c>
      <c r="N243" s="71">
        <f>MIN(24,MAX(5,NORMINV(RAND(),$C$9,$D$9)))</f>
        <v/>
      </c>
      <c r="O243" s="83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70">
        <f>MAX(-0.05,NORMINV(RAND(),$C$6,$D$6))</f>
        <v/>
      </c>
      <c r="L244" s="70">
        <f>MAX(0.02,NORMINV(RAND(),$C$7,$D$7))</f>
        <v/>
      </c>
      <c r="M244" s="70">
        <f>MIN(0.16,MAX(0.05,NORMINV(RAND(),$C$8,$D$8)))</f>
        <v/>
      </c>
      <c r="N244" s="71">
        <f>MIN(24,MAX(5,NORMINV(RAND(),$C$9,$D$9)))</f>
        <v/>
      </c>
      <c r="O244" s="83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70">
        <f>MAX(-0.05,NORMINV(RAND(),$C$6,$D$6))</f>
        <v/>
      </c>
      <c r="L245" s="70">
        <f>MAX(0.02,NORMINV(RAND(),$C$7,$D$7))</f>
        <v/>
      </c>
      <c r="M245" s="70">
        <f>MIN(0.16,MAX(0.05,NORMINV(RAND(),$C$8,$D$8)))</f>
        <v/>
      </c>
      <c r="N245" s="71">
        <f>MIN(24,MAX(5,NORMINV(RAND(),$C$9,$D$9)))</f>
        <v/>
      </c>
      <c r="O245" s="83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70">
        <f>MAX(-0.05,NORMINV(RAND(),$C$6,$D$6))</f>
        <v/>
      </c>
      <c r="L246" s="70">
        <f>MAX(0.02,NORMINV(RAND(),$C$7,$D$7))</f>
        <v/>
      </c>
      <c r="M246" s="70">
        <f>MIN(0.16,MAX(0.05,NORMINV(RAND(),$C$8,$D$8)))</f>
        <v/>
      </c>
      <c r="N246" s="71">
        <f>MIN(24,MAX(5,NORMINV(RAND(),$C$9,$D$9)))</f>
        <v/>
      </c>
      <c r="O246" s="83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70">
        <f>MAX(-0.05,NORMINV(RAND(),$C$6,$D$6))</f>
        <v/>
      </c>
      <c r="L247" s="70">
        <f>MAX(0.02,NORMINV(RAND(),$C$7,$D$7))</f>
        <v/>
      </c>
      <c r="M247" s="70">
        <f>MIN(0.16,MAX(0.05,NORMINV(RAND(),$C$8,$D$8)))</f>
        <v/>
      </c>
      <c r="N247" s="71">
        <f>MIN(24,MAX(5,NORMINV(RAND(),$C$9,$D$9)))</f>
        <v/>
      </c>
      <c r="O247" s="83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70">
        <f>MAX(-0.05,NORMINV(RAND(),$C$6,$D$6))</f>
        <v/>
      </c>
      <c r="L248" s="70">
        <f>MAX(0.02,NORMINV(RAND(),$C$7,$D$7))</f>
        <v/>
      </c>
      <c r="M248" s="70">
        <f>MIN(0.16,MAX(0.05,NORMINV(RAND(),$C$8,$D$8)))</f>
        <v/>
      </c>
      <c r="N248" s="71">
        <f>MIN(24,MAX(5,NORMINV(RAND(),$C$9,$D$9)))</f>
        <v/>
      </c>
      <c r="O248" s="83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70">
        <f>MAX(-0.05,NORMINV(RAND(),$C$6,$D$6))</f>
        <v/>
      </c>
      <c r="L249" s="70">
        <f>MAX(0.02,NORMINV(RAND(),$C$7,$D$7))</f>
        <v/>
      </c>
      <c r="M249" s="70">
        <f>MIN(0.16,MAX(0.05,NORMINV(RAND(),$C$8,$D$8)))</f>
        <v/>
      </c>
      <c r="N249" s="71">
        <f>MIN(24,MAX(5,NORMINV(RAND(),$C$9,$D$9)))</f>
        <v/>
      </c>
      <c r="O249" s="83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70">
        <f>MAX(-0.05,NORMINV(RAND(),$C$6,$D$6))</f>
        <v/>
      </c>
      <c r="L250" s="70">
        <f>MAX(0.02,NORMINV(RAND(),$C$7,$D$7))</f>
        <v/>
      </c>
      <c r="M250" s="70">
        <f>MIN(0.16,MAX(0.05,NORMINV(RAND(),$C$8,$D$8)))</f>
        <v/>
      </c>
      <c r="N250" s="71">
        <f>MIN(24,MAX(5,NORMINV(RAND(),$C$9,$D$9)))</f>
        <v/>
      </c>
      <c r="O250" s="83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70">
        <f>MAX(-0.05,NORMINV(RAND(),$C$6,$D$6))</f>
        <v/>
      </c>
      <c r="L251" s="70">
        <f>MAX(0.02,NORMINV(RAND(),$C$7,$D$7))</f>
        <v/>
      </c>
      <c r="M251" s="70">
        <f>MIN(0.16,MAX(0.05,NORMINV(RAND(),$C$8,$D$8)))</f>
        <v/>
      </c>
      <c r="N251" s="71">
        <f>MIN(24,MAX(5,NORMINV(RAND(),$C$9,$D$9)))</f>
        <v/>
      </c>
      <c r="O251" s="83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70">
        <f>MAX(-0.05,NORMINV(RAND(),$C$6,$D$6))</f>
        <v/>
      </c>
      <c r="L252" s="70">
        <f>MAX(0.02,NORMINV(RAND(),$C$7,$D$7))</f>
        <v/>
      </c>
      <c r="M252" s="70">
        <f>MIN(0.16,MAX(0.05,NORMINV(RAND(),$C$8,$D$8)))</f>
        <v/>
      </c>
      <c r="N252" s="71">
        <f>MIN(24,MAX(5,NORMINV(RAND(),$C$9,$D$9)))</f>
        <v/>
      </c>
      <c r="O252" s="83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70">
        <f>MAX(-0.05,NORMINV(RAND(),$C$6,$D$6))</f>
        <v/>
      </c>
      <c r="L253" s="70">
        <f>MAX(0.02,NORMINV(RAND(),$C$7,$D$7))</f>
        <v/>
      </c>
      <c r="M253" s="70">
        <f>MIN(0.16,MAX(0.05,NORMINV(RAND(),$C$8,$D$8)))</f>
        <v/>
      </c>
      <c r="N253" s="71">
        <f>MIN(24,MAX(5,NORMINV(RAND(),$C$9,$D$9)))</f>
        <v/>
      </c>
      <c r="O253" s="83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70">
        <f>MAX(-0.05,NORMINV(RAND(),$C$6,$D$6))</f>
        <v/>
      </c>
      <c r="L254" s="70">
        <f>MAX(0.02,NORMINV(RAND(),$C$7,$D$7))</f>
        <v/>
      </c>
      <c r="M254" s="70">
        <f>MIN(0.16,MAX(0.05,NORMINV(RAND(),$C$8,$D$8)))</f>
        <v/>
      </c>
      <c r="N254" s="71">
        <f>MIN(24,MAX(5,NORMINV(RAND(),$C$9,$D$9)))</f>
        <v/>
      </c>
      <c r="O254" s="83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70">
        <f>MAX(-0.05,NORMINV(RAND(),$C$6,$D$6))</f>
        <v/>
      </c>
      <c r="L255" s="70">
        <f>MAX(0.02,NORMINV(RAND(),$C$7,$D$7))</f>
        <v/>
      </c>
      <c r="M255" s="70">
        <f>MIN(0.16,MAX(0.05,NORMINV(RAND(),$C$8,$D$8)))</f>
        <v/>
      </c>
      <c r="N255" s="71">
        <f>MIN(24,MAX(5,NORMINV(RAND(),$C$9,$D$9)))</f>
        <v/>
      </c>
      <c r="O255" s="83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70">
        <f>MAX(-0.05,NORMINV(RAND(),$C$6,$D$6))</f>
        <v/>
      </c>
      <c r="L256" s="70">
        <f>MAX(0.02,NORMINV(RAND(),$C$7,$D$7))</f>
        <v/>
      </c>
      <c r="M256" s="70">
        <f>MIN(0.16,MAX(0.05,NORMINV(RAND(),$C$8,$D$8)))</f>
        <v/>
      </c>
      <c r="N256" s="71">
        <f>MIN(24,MAX(5,NORMINV(RAND(),$C$9,$D$9)))</f>
        <v/>
      </c>
      <c r="O256" s="83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70">
        <f>MAX(-0.05,NORMINV(RAND(),$C$6,$D$6))</f>
        <v/>
      </c>
      <c r="L257" s="70">
        <f>MAX(0.02,NORMINV(RAND(),$C$7,$D$7))</f>
        <v/>
      </c>
      <c r="M257" s="70">
        <f>MIN(0.16,MAX(0.05,NORMINV(RAND(),$C$8,$D$8)))</f>
        <v/>
      </c>
      <c r="N257" s="71">
        <f>MIN(24,MAX(5,NORMINV(RAND(),$C$9,$D$9)))</f>
        <v/>
      </c>
      <c r="O257" s="83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70">
        <f>MAX(-0.05,NORMINV(RAND(),$C$6,$D$6))</f>
        <v/>
      </c>
      <c r="L258" s="70">
        <f>MAX(0.02,NORMINV(RAND(),$C$7,$D$7))</f>
        <v/>
      </c>
      <c r="M258" s="70">
        <f>MIN(0.16,MAX(0.05,NORMINV(RAND(),$C$8,$D$8)))</f>
        <v/>
      </c>
      <c r="N258" s="71">
        <f>MIN(24,MAX(5,NORMINV(RAND(),$C$9,$D$9)))</f>
        <v/>
      </c>
      <c r="O258" s="83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70">
        <f>MAX(-0.05,NORMINV(RAND(),$C$6,$D$6))</f>
        <v/>
      </c>
      <c r="L259" s="70">
        <f>MAX(0.02,NORMINV(RAND(),$C$7,$D$7))</f>
        <v/>
      </c>
      <c r="M259" s="70">
        <f>MIN(0.16,MAX(0.05,NORMINV(RAND(),$C$8,$D$8)))</f>
        <v/>
      </c>
      <c r="N259" s="71">
        <f>MIN(24,MAX(5,NORMINV(RAND(),$C$9,$D$9)))</f>
        <v/>
      </c>
      <c r="O259" s="83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70">
        <f>MAX(-0.05,NORMINV(RAND(),$C$6,$D$6))</f>
        <v/>
      </c>
      <c r="L260" s="70">
        <f>MAX(0.02,NORMINV(RAND(),$C$7,$D$7))</f>
        <v/>
      </c>
      <c r="M260" s="70">
        <f>MIN(0.16,MAX(0.05,NORMINV(RAND(),$C$8,$D$8)))</f>
        <v/>
      </c>
      <c r="N260" s="71">
        <f>MIN(24,MAX(5,NORMINV(RAND(),$C$9,$D$9)))</f>
        <v/>
      </c>
      <c r="O260" s="83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70">
        <f>MAX(-0.05,NORMINV(RAND(),$C$6,$D$6))</f>
        <v/>
      </c>
      <c r="L261" s="70">
        <f>MAX(0.02,NORMINV(RAND(),$C$7,$D$7))</f>
        <v/>
      </c>
      <c r="M261" s="70">
        <f>MIN(0.16,MAX(0.05,NORMINV(RAND(),$C$8,$D$8)))</f>
        <v/>
      </c>
      <c r="N261" s="71">
        <f>MIN(24,MAX(5,NORMINV(RAND(),$C$9,$D$9)))</f>
        <v/>
      </c>
      <c r="O261" s="83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70">
        <f>MAX(-0.05,NORMINV(RAND(),$C$6,$D$6))</f>
        <v/>
      </c>
      <c r="L262" s="70">
        <f>MAX(0.02,NORMINV(RAND(),$C$7,$D$7))</f>
        <v/>
      </c>
      <c r="M262" s="70">
        <f>MIN(0.16,MAX(0.05,NORMINV(RAND(),$C$8,$D$8)))</f>
        <v/>
      </c>
      <c r="N262" s="71">
        <f>MIN(24,MAX(5,NORMINV(RAND(),$C$9,$D$9)))</f>
        <v/>
      </c>
      <c r="O262" s="83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70">
        <f>MAX(-0.05,NORMINV(RAND(),$C$6,$D$6))</f>
        <v/>
      </c>
      <c r="L263" s="70">
        <f>MAX(0.02,NORMINV(RAND(),$C$7,$D$7))</f>
        <v/>
      </c>
      <c r="M263" s="70">
        <f>MIN(0.16,MAX(0.05,NORMINV(RAND(),$C$8,$D$8)))</f>
        <v/>
      </c>
      <c r="N263" s="71">
        <f>MIN(24,MAX(5,NORMINV(RAND(),$C$9,$D$9)))</f>
        <v/>
      </c>
      <c r="O263" s="83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70">
        <f>MAX(-0.05,NORMINV(RAND(),$C$6,$D$6))</f>
        <v/>
      </c>
      <c r="L264" s="70">
        <f>MAX(0.02,NORMINV(RAND(),$C$7,$D$7))</f>
        <v/>
      </c>
      <c r="M264" s="70">
        <f>MIN(0.16,MAX(0.05,NORMINV(RAND(),$C$8,$D$8)))</f>
        <v/>
      </c>
      <c r="N264" s="71">
        <f>MIN(24,MAX(5,NORMINV(RAND(),$C$9,$D$9)))</f>
        <v/>
      </c>
      <c r="O264" s="83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70">
        <f>MAX(-0.05,NORMINV(RAND(),$C$6,$D$6))</f>
        <v/>
      </c>
      <c r="L265" s="70">
        <f>MAX(0.02,NORMINV(RAND(),$C$7,$D$7))</f>
        <v/>
      </c>
      <c r="M265" s="70">
        <f>MIN(0.16,MAX(0.05,NORMINV(RAND(),$C$8,$D$8)))</f>
        <v/>
      </c>
      <c r="N265" s="71">
        <f>MIN(24,MAX(5,NORMINV(RAND(),$C$9,$D$9)))</f>
        <v/>
      </c>
      <c r="O265" s="83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70">
        <f>MAX(-0.05,NORMINV(RAND(),$C$6,$D$6))</f>
        <v/>
      </c>
      <c r="L266" s="70">
        <f>MAX(0.02,NORMINV(RAND(),$C$7,$D$7))</f>
        <v/>
      </c>
      <c r="M266" s="70">
        <f>MIN(0.16,MAX(0.05,NORMINV(RAND(),$C$8,$D$8)))</f>
        <v/>
      </c>
      <c r="N266" s="71">
        <f>MIN(24,MAX(5,NORMINV(RAND(),$C$9,$D$9)))</f>
        <v/>
      </c>
      <c r="O266" s="83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70">
        <f>MAX(-0.05,NORMINV(RAND(),$C$6,$D$6))</f>
        <v/>
      </c>
      <c r="L267" s="70">
        <f>MAX(0.02,NORMINV(RAND(),$C$7,$D$7))</f>
        <v/>
      </c>
      <c r="M267" s="70">
        <f>MIN(0.16,MAX(0.05,NORMINV(RAND(),$C$8,$D$8)))</f>
        <v/>
      </c>
      <c r="N267" s="71">
        <f>MIN(24,MAX(5,NORMINV(RAND(),$C$9,$D$9)))</f>
        <v/>
      </c>
      <c r="O267" s="83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70">
        <f>MAX(-0.05,NORMINV(RAND(),$C$6,$D$6))</f>
        <v/>
      </c>
      <c r="L268" s="70">
        <f>MAX(0.02,NORMINV(RAND(),$C$7,$D$7))</f>
        <v/>
      </c>
      <c r="M268" s="70">
        <f>MIN(0.16,MAX(0.05,NORMINV(RAND(),$C$8,$D$8)))</f>
        <v/>
      </c>
      <c r="N268" s="71">
        <f>MIN(24,MAX(5,NORMINV(RAND(),$C$9,$D$9)))</f>
        <v/>
      </c>
      <c r="O268" s="83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70">
        <f>MAX(-0.05,NORMINV(RAND(),$C$6,$D$6))</f>
        <v/>
      </c>
      <c r="L269" s="70">
        <f>MAX(0.02,NORMINV(RAND(),$C$7,$D$7))</f>
        <v/>
      </c>
      <c r="M269" s="70">
        <f>MIN(0.16,MAX(0.05,NORMINV(RAND(),$C$8,$D$8)))</f>
        <v/>
      </c>
      <c r="N269" s="71">
        <f>MIN(24,MAX(5,NORMINV(RAND(),$C$9,$D$9)))</f>
        <v/>
      </c>
      <c r="O269" s="83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70">
        <f>MAX(-0.05,NORMINV(RAND(),$C$6,$D$6))</f>
        <v/>
      </c>
      <c r="L270" s="70">
        <f>MAX(0.02,NORMINV(RAND(),$C$7,$D$7))</f>
        <v/>
      </c>
      <c r="M270" s="70">
        <f>MIN(0.16,MAX(0.05,NORMINV(RAND(),$C$8,$D$8)))</f>
        <v/>
      </c>
      <c r="N270" s="71">
        <f>MIN(24,MAX(5,NORMINV(RAND(),$C$9,$D$9)))</f>
        <v/>
      </c>
      <c r="O270" s="83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70">
        <f>MAX(-0.05,NORMINV(RAND(),$C$6,$D$6))</f>
        <v/>
      </c>
      <c r="L271" s="70">
        <f>MAX(0.02,NORMINV(RAND(),$C$7,$D$7))</f>
        <v/>
      </c>
      <c r="M271" s="70">
        <f>MIN(0.16,MAX(0.05,NORMINV(RAND(),$C$8,$D$8)))</f>
        <v/>
      </c>
      <c r="N271" s="71">
        <f>MIN(24,MAX(5,NORMINV(RAND(),$C$9,$D$9)))</f>
        <v/>
      </c>
      <c r="O271" s="83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70">
        <f>MAX(-0.05,NORMINV(RAND(),$C$6,$D$6))</f>
        <v/>
      </c>
      <c r="L272" s="70">
        <f>MAX(0.02,NORMINV(RAND(),$C$7,$D$7))</f>
        <v/>
      </c>
      <c r="M272" s="70">
        <f>MIN(0.16,MAX(0.05,NORMINV(RAND(),$C$8,$D$8)))</f>
        <v/>
      </c>
      <c r="N272" s="71">
        <f>MIN(24,MAX(5,NORMINV(RAND(),$C$9,$D$9)))</f>
        <v/>
      </c>
      <c r="O272" s="83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70">
        <f>MAX(-0.05,NORMINV(RAND(),$C$6,$D$6))</f>
        <v/>
      </c>
      <c r="L273" s="70">
        <f>MAX(0.02,NORMINV(RAND(),$C$7,$D$7))</f>
        <v/>
      </c>
      <c r="M273" s="70">
        <f>MIN(0.16,MAX(0.05,NORMINV(RAND(),$C$8,$D$8)))</f>
        <v/>
      </c>
      <c r="N273" s="71">
        <f>MIN(24,MAX(5,NORMINV(RAND(),$C$9,$D$9)))</f>
        <v/>
      </c>
      <c r="O273" s="83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70">
        <f>MAX(-0.05,NORMINV(RAND(),$C$6,$D$6))</f>
        <v/>
      </c>
      <c r="L274" s="70">
        <f>MAX(0.02,NORMINV(RAND(),$C$7,$D$7))</f>
        <v/>
      </c>
      <c r="M274" s="70">
        <f>MIN(0.16,MAX(0.05,NORMINV(RAND(),$C$8,$D$8)))</f>
        <v/>
      </c>
      <c r="N274" s="71">
        <f>MIN(24,MAX(5,NORMINV(RAND(),$C$9,$D$9)))</f>
        <v/>
      </c>
      <c r="O274" s="83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70">
        <f>MAX(-0.05,NORMINV(RAND(),$C$6,$D$6))</f>
        <v/>
      </c>
      <c r="L275" s="70">
        <f>MAX(0.02,NORMINV(RAND(),$C$7,$D$7))</f>
        <v/>
      </c>
      <c r="M275" s="70">
        <f>MIN(0.16,MAX(0.05,NORMINV(RAND(),$C$8,$D$8)))</f>
        <v/>
      </c>
      <c r="N275" s="71">
        <f>MIN(24,MAX(5,NORMINV(RAND(),$C$9,$D$9)))</f>
        <v/>
      </c>
      <c r="O275" s="83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70">
        <f>MAX(-0.05,NORMINV(RAND(),$C$6,$D$6))</f>
        <v/>
      </c>
      <c r="L276" s="70">
        <f>MAX(0.02,NORMINV(RAND(),$C$7,$D$7))</f>
        <v/>
      </c>
      <c r="M276" s="70">
        <f>MIN(0.16,MAX(0.05,NORMINV(RAND(),$C$8,$D$8)))</f>
        <v/>
      </c>
      <c r="N276" s="71">
        <f>MIN(24,MAX(5,NORMINV(RAND(),$C$9,$D$9)))</f>
        <v/>
      </c>
      <c r="O276" s="83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70">
        <f>MAX(-0.05,NORMINV(RAND(),$C$6,$D$6))</f>
        <v/>
      </c>
      <c r="L277" s="70">
        <f>MAX(0.02,NORMINV(RAND(),$C$7,$D$7))</f>
        <v/>
      </c>
      <c r="M277" s="70">
        <f>MIN(0.16,MAX(0.05,NORMINV(RAND(),$C$8,$D$8)))</f>
        <v/>
      </c>
      <c r="N277" s="71">
        <f>MIN(24,MAX(5,NORMINV(RAND(),$C$9,$D$9)))</f>
        <v/>
      </c>
      <c r="O277" s="83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70">
        <f>MAX(-0.05,NORMINV(RAND(),$C$6,$D$6))</f>
        <v/>
      </c>
      <c r="L278" s="70">
        <f>MAX(0.02,NORMINV(RAND(),$C$7,$D$7))</f>
        <v/>
      </c>
      <c r="M278" s="70">
        <f>MIN(0.16,MAX(0.05,NORMINV(RAND(),$C$8,$D$8)))</f>
        <v/>
      </c>
      <c r="N278" s="71">
        <f>MIN(24,MAX(5,NORMINV(RAND(),$C$9,$D$9)))</f>
        <v/>
      </c>
      <c r="O278" s="83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70">
        <f>MAX(-0.05,NORMINV(RAND(),$C$6,$D$6))</f>
        <v/>
      </c>
      <c r="L279" s="70">
        <f>MAX(0.02,NORMINV(RAND(),$C$7,$D$7))</f>
        <v/>
      </c>
      <c r="M279" s="70">
        <f>MIN(0.16,MAX(0.05,NORMINV(RAND(),$C$8,$D$8)))</f>
        <v/>
      </c>
      <c r="N279" s="71">
        <f>MIN(24,MAX(5,NORMINV(RAND(),$C$9,$D$9)))</f>
        <v/>
      </c>
      <c r="O279" s="83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70">
        <f>MAX(-0.05,NORMINV(RAND(),$C$6,$D$6))</f>
        <v/>
      </c>
      <c r="L280" s="70">
        <f>MAX(0.02,NORMINV(RAND(),$C$7,$D$7))</f>
        <v/>
      </c>
      <c r="M280" s="70">
        <f>MIN(0.16,MAX(0.05,NORMINV(RAND(),$C$8,$D$8)))</f>
        <v/>
      </c>
      <c r="N280" s="71">
        <f>MIN(24,MAX(5,NORMINV(RAND(),$C$9,$D$9)))</f>
        <v/>
      </c>
      <c r="O280" s="83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70">
        <f>MAX(-0.05,NORMINV(RAND(),$C$6,$D$6))</f>
        <v/>
      </c>
      <c r="L281" s="70">
        <f>MAX(0.02,NORMINV(RAND(),$C$7,$D$7))</f>
        <v/>
      </c>
      <c r="M281" s="70">
        <f>MIN(0.16,MAX(0.05,NORMINV(RAND(),$C$8,$D$8)))</f>
        <v/>
      </c>
      <c r="N281" s="71">
        <f>MIN(24,MAX(5,NORMINV(RAND(),$C$9,$D$9)))</f>
        <v/>
      </c>
      <c r="O281" s="83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70">
        <f>MAX(-0.05,NORMINV(RAND(),$C$6,$D$6))</f>
        <v/>
      </c>
      <c r="L282" s="70">
        <f>MAX(0.02,NORMINV(RAND(),$C$7,$D$7))</f>
        <v/>
      </c>
      <c r="M282" s="70">
        <f>MIN(0.16,MAX(0.05,NORMINV(RAND(),$C$8,$D$8)))</f>
        <v/>
      </c>
      <c r="N282" s="71">
        <f>MIN(24,MAX(5,NORMINV(RAND(),$C$9,$D$9)))</f>
        <v/>
      </c>
      <c r="O282" s="83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70">
        <f>MAX(-0.05,NORMINV(RAND(),$C$6,$D$6))</f>
        <v/>
      </c>
      <c r="L283" s="70">
        <f>MAX(0.02,NORMINV(RAND(),$C$7,$D$7))</f>
        <v/>
      </c>
      <c r="M283" s="70">
        <f>MIN(0.16,MAX(0.05,NORMINV(RAND(),$C$8,$D$8)))</f>
        <v/>
      </c>
      <c r="N283" s="71">
        <f>MIN(24,MAX(5,NORMINV(RAND(),$C$9,$D$9)))</f>
        <v/>
      </c>
      <c r="O283" s="83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70">
        <f>MAX(-0.05,NORMINV(RAND(),$C$6,$D$6))</f>
        <v/>
      </c>
      <c r="L284" s="70">
        <f>MAX(0.02,NORMINV(RAND(),$C$7,$D$7))</f>
        <v/>
      </c>
      <c r="M284" s="70">
        <f>MIN(0.16,MAX(0.05,NORMINV(RAND(),$C$8,$D$8)))</f>
        <v/>
      </c>
      <c r="N284" s="71">
        <f>MIN(24,MAX(5,NORMINV(RAND(),$C$9,$D$9)))</f>
        <v/>
      </c>
      <c r="O284" s="83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70">
        <f>MAX(-0.05,NORMINV(RAND(),$C$6,$D$6))</f>
        <v/>
      </c>
      <c r="L285" s="70">
        <f>MAX(0.02,NORMINV(RAND(),$C$7,$D$7))</f>
        <v/>
      </c>
      <c r="M285" s="70">
        <f>MIN(0.16,MAX(0.05,NORMINV(RAND(),$C$8,$D$8)))</f>
        <v/>
      </c>
      <c r="N285" s="71">
        <f>MIN(24,MAX(5,NORMINV(RAND(),$C$9,$D$9)))</f>
        <v/>
      </c>
      <c r="O285" s="83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70">
        <f>MAX(-0.05,NORMINV(RAND(),$C$6,$D$6))</f>
        <v/>
      </c>
      <c r="L286" s="70">
        <f>MAX(0.02,NORMINV(RAND(),$C$7,$D$7))</f>
        <v/>
      </c>
      <c r="M286" s="70">
        <f>MIN(0.16,MAX(0.05,NORMINV(RAND(),$C$8,$D$8)))</f>
        <v/>
      </c>
      <c r="N286" s="71">
        <f>MIN(24,MAX(5,NORMINV(RAND(),$C$9,$D$9)))</f>
        <v/>
      </c>
      <c r="O286" s="83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70">
        <f>MAX(-0.05,NORMINV(RAND(),$C$6,$D$6))</f>
        <v/>
      </c>
      <c r="L287" s="70">
        <f>MAX(0.02,NORMINV(RAND(),$C$7,$D$7))</f>
        <v/>
      </c>
      <c r="M287" s="70">
        <f>MIN(0.16,MAX(0.05,NORMINV(RAND(),$C$8,$D$8)))</f>
        <v/>
      </c>
      <c r="N287" s="71">
        <f>MIN(24,MAX(5,NORMINV(RAND(),$C$9,$D$9)))</f>
        <v/>
      </c>
      <c r="O287" s="83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70">
        <f>MAX(-0.05,NORMINV(RAND(),$C$6,$D$6))</f>
        <v/>
      </c>
      <c r="L288" s="70">
        <f>MAX(0.02,NORMINV(RAND(),$C$7,$D$7))</f>
        <v/>
      </c>
      <c r="M288" s="70">
        <f>MIN(0.16,MAX(0.05,NORMINV(RAND(),$C$8,$D$8)))</f>
        <v/>
      </c>
      <c r="N288" s="71">
        <f>MIN(24,MAX(5,NORMINV(RAND(),$C$9,$D$9)))</f>
        <v/>
      </c>
      <c r="O288" s="83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70">
        <f>MAX(-0.05,NORMINV(RAND(),$C$6,$D$6))</f>
        <v/>
      </c>
      <c r="L289" s="70">
        <f>MAX(0.02,NORMINV(RAND(),$C$7,$D$7))</f>
        <v/>
      </c>
      <c r="M289" s="70">
        <f>MIN(0.16,MAX(0.05,NORMINV(RAND(),$C$8,$D$8)))</f>
        <v/>
      </c>
      <c r="N289" s="71">
        <f>MIN(24,MAX(5,NORMINV(RAND(),$C$9,$D$9)))</f>
        <v/>
      </c>
      <c r="O289" s="83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70">
        <f>MAX(-0.05,NORMINV(RAND(),$C$6,$D$6))</f>
        <v/>
      </c>
      <c r="L290" s="70">
        <f>MAX(0.02,NORMINV(RAND(),$C$7,$D$7))</f>
        <v/>
      </c>
      <c r="M290" s="70">
        <f>MIN(0.16,MAX(0.05,NORMINV(RAND(),$C$8,$D$8)))</f>
        <v/>
      </c>
      <c r="N290" s="71">
        <f>MIN(24,MAX(5,NORMINV(RAND(),$C$9,$D$9)))</f>
        <v/>
      </c>
      <c r="O290" s="83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70">
        <f>MAX(-0.05,NORMINV(RAND(),$C$6,$D$6))</f>
        <v/>
      </c>
      <c r="L291" s="70">
        <f>MAX(0.02,NORMINV(RAND(),$C$7,$D$7))</f>
        <v/>
      </c>
      <c r="M291" s="70">
        <f>MIN(0.16,MAX(0.05,NORMINV(RAND(),$C$8,$D$8)))</f>
        <v/>
      </c>
      <c r="N291" s="71">
        <f>MIN(24,MAX(5,NORMINV(RAND(),$C$9,$D$9)))</f>
        <v/>
      </c>
      <c r="O291" s="83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70">
        <f>MAX(-0.05,NORMINV(RAND(),$C$6,$D$6))</f>
        <v/>
      </c>
      <c r="L292" s="70">
        <f>MAX(0.02,NORMINV(RAND(),$C$7,$D$7))</f>
        <v/>
      </c>
      <c r="M292" s="70">
        <f>MIN(0.16,MAX(0.05,NORMINV(RAND(),$C$8,$D$8)))</f>
        <v/>
      </c>
      <c r="N292" s="71">
        <f>MIN(24,MAX(5,NORMINV(RAND(),$C$9,$D$9)))</f>
        <v/>
      </c>
      <c r="O292" s="83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70">
        <f>MAX(-0.05,NORMINV(RAND(),$C$6,$D$6))</f>
        <v/>
      </c>
      <c r="L293" s="70">
        <f>MAX(0.02,NORMINV(RAND(),$C$7,$D$7))</f>
        <v/>
      </c>
      <c r="M293" s="70">
        <f>MIN(0.16,MAX(0.05,NORMINV(RAND(),$C$8,$D$8)))</f>
        <v/>
      </c>
      <c r="N293" s="71">
        <f>MIN(24,MAX(5,NORMINV(RAND(),$C$9,$D$9)))</f>
        <v/>
      </c>
      <c r="O293" s="83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70">
        <f>MAX(-0.05,NORMINV(RAND(),$C$6,$D$6))</f>
        <v/>
      </c>
      <c r="L294" s="70">
        <f>MAX(0.02,NORMINV(RAND(),$C$7,$D$7))</f>
        <v/>
      </c>
      <c r="M294" s="70">
        <f>MIN(0.16,MAX(0.05,NORMINV(RAND(),$C$8,$D$8)))</f>
        <v/>
      </c>
      <c r="N294" s="71">
        <f>MIN(24,MAX(5,NORMINV(RAND(),$C$9,$D$9)))</f>
        <v/>
      </c>
      <c r="O294" s="83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70">
        <f>MAX(-0.05,NORMINV(RAND(),$C$6,$D$6))</f>
        <v/>
      </c>
      <c r="L295" s="70">
        <f>MAX(0.02,NORMINV(RAND(),$C$7,$D$7))</f>
        <v/>
      </c>
      <c r="M295" s="70">
        <f>MIN(0.16,MAX(0.05,NORMINV(RAND(),$C$8,$D$8)))</f>
        <v/>
      </c>
      <c r="N295" s="71">
        <f>MIN(24,MAX(5,NORMINV(RAND(),$C$9,$D$9)))</f>
        <v/>
      </c>
      <c r="O295" s="83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70">
        <f>MAX(-0.05,NORMINV(RAND(),$C$6,$D$6))</f>
        <v/>
      </c>
      <c r="L296" s="70">
        <f>MAX(0.02,NORMINV(RAND(),$C$7,$D$7))</f>
        <v/>
      </c>
      <c r="M296" s="70">
        <f>MIN(0.16,MAX(0.05,NORMINV(RAND(),$C$8,$D$8)))</f>
        <v/>
      </c>
      <c r="N296" s="71">
        <f>MIN(24,MAX(5,NORMINV(RAND(),$C$9,$D$9)))</f>
        <v/>
      </c>
      <c r="O296" s="83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70">
        <f>MAX(-0.05,NORMINV(RAND(),$C$6,$D$6))</f>
        <v/>
      </c>
      <c r="L297" s="70">
        <f>MAX(0.02,NORMINV(RAND(),$C$7,$D$7))</f>
        <v/>
      </c>
      <c r="M297" s="70">
        <f>MIN(0.16,MAX(0.05,NORMINV(RAND(),$C$8,$D$8)))</f>
        <v/>
      </c>
      <c r="N297" s="71">
        <f>MIN(24,MAX(5,NORMINV(RAND(),$C$9,$D$9)))</f>
        <v/>
      </c>
      <c r="O297" s="83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70">
        <f>MAX(-0.05,NORMINV(RAND(),$C$6,$D$6))</f>
        <v/>
      </c>
      <c r="L298" s="70">
        <f>MAX(0.02,NORMINV(RAND(),$C$7,$D$7))</f>
        <v/>
      </c>
      <c r="M298" s="70">
        <f>MIN(0.16,MAX(0.05,NORMINV(RAND(),$C$8,$D$8)))</f>
        <v/>
      </c>
      <c r="N298" s="71">
        <f>MIN(24,MAX(5,NORMINV(RAND(),$C$9,$D$9)))</f>
        <v/>
      </c>
      <c r="O298" s="83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70">
        <f>MAX(-0.05,NORMINV(RAND(),$C$6,$D$6))</f>
        <v/>
      </c>
      <c r="L299" s="70">
        <f>MAX(0.02,NORMINV(RAND(),$C$7,$D$7))</f>
        <v/>
      </c>
      <c r="M299" s="70">
        <f>MIN(0.16,MAX(0.05,NORMINV(RAND(),$C$8,$D$8)))</f>
        <v/>
      </c>
      <c r="N299" s="71">
        <f>MIN(24,MAX(5,NORMINV(RAND(),$C$9,$D$9)))</f>
        <v/>
      </c>
      <c r="O299" s="83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70">
        <f>MAX(-0.05,NORMINV(RAND(),$C$6,$D$6))</f>
        <v/>
      </c>
      <c r="L300" s="70">
        <f>MAX(0.02,NORMINV(RAND(),$C$7,$D$7))</f>
        <v/>
      </c>
      <c r="M300" s="70">
        <f>MIN(0.16,MAX(0.05,NORMINV(RAND(),$C$8,$D$8)))</f>
        <v/>
      </c>
      <c r="N300" s="71">
        <f>MIN(24,MAX(5,NORMINV(RAND(),$C$9,$D$9)))</f>
        <v/>
      </c>
      <c r="O300" s="83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70">
        <f>MAX(-0.05,NORMINV(RAND(),$C$6,$D$6))</f>
        <v/>
      </c>
      <c r="L301" s="70">
        <f>MAX(0.02,NORMINV(RAND(),$C$7,$D$7))</f>
        <v/>
      </c>
      <c r="M301" s="70">
        <f>MIN(0.16,MAX(0.05,NORMINV(RAND(),$C$8,$D$8)))</f>
        <v/>
      </c>
      <c r="N301" s="71">
        <f>MIN(24,MAX(5,NORMINV(RAND(),$C$9,$D$9)))</f>
        <v/>
      </c>
      <c r="O301" s="83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70">
        <f>MAX(-0.05,NORMINV(RAND(),$C$6,$D$6))</f>
        <v/>
      </c>
      <c r="L302" s="70">
        <f>MAX(0.02,NORMINV(RAND(),$C$7,$D$7))</f>
        <v/>
      </c>
      <c r="M302" s="70">
        <f>MIN(0.16,MAX(0.05,NORMINV(RAND(),$C$8,$D$8)))</f>
        <v/>
      </c>
      <c r="N302" s="71">
        <f>MIN(24,MAX(5,NORMINV(RAND(),$C$9,$D$9)))</f>
        <v/>
      </c>
      <c r="O302" s="83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70">
        <f>MAX(-0.05,NORMINV(RAND(),$C$6,$D$6))</f>
        <v/>
      </c>
      <c r="L303" s="70">
        <f>MAX(0.02,NORMINV(RAND(),$C$7,$D$7))</f>
        <v/>
      </c>
      <c r="M303" s="70">
        <f>MIN(0.16,MAX(0.05,NORMINV(RAND(),$C$8,$D$8)))</f>
        <v/>
      </c>
      <c r="N303" s="71">
        <f>MIN(24,MAX(5,NORMINV(RAND(),$C$9,$D$9)))</f>
        <v/>
      </c>
      <c r="O303" s="83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70">
        <f>MAX(-0.05,NORMINV(RAND(),$C$6,$D$6))</f>
        <v/>
      </c>
      <c r="L304" s="70">
        <f>MAX(0.02,NORMINV(RAND(),$C$7,$D$7))</f>
        <v/>
      </c>
      <c r="M304" s="70">
        <f>MIN(0.16,MAX(0.05,NORMINV(RAND(),$C$8,$D$8)))</f>
        <v/>
      </c>
      <c r="N304" s="71">
        <f>MIN(24,MAX(5,NORMINV(RAND(),$C$9,$D$9)))</f>
        <v/>
      </c>
      <c r="O304" s="83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70">
        <f>MAX(-0.05,NORMINV(RAND(),$C$6,$D$6))</f>
        <v/>
      </c>
      <c r="L305" s="70">
        <f>MAX(0.02,NORMINV(RAND(),$C$7,$D$7))</f>
        <v/>
      </c>
      <c r="M305" s="70">
        <f>MIN(0.16,MAX(0.05,NORMINV(RAND(),$C$8,$D$8)))</f>
        <v/>
      </c>
      <c r="N305" s="71">
        <f>MIN(24,MAX(5,NORMINV(RAND(),$C$9,$D$9)))</f>
        <v/>
      </c>
      <c r="O305" s="83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70">
        <f>MAX(-0.05,NORMINV(RAND(),$C$6,$D$6))</f>
        <v/>
      </c>
      <c r="L306" s="70">
        <f>MAX(0.02,NORMINV(RAND(),$C$7,$D$7))</f>
        <v/>
      </c>
      <c r="M306" s="70">
        <f>MIN(0.16,MAX(0.05,NORMINV(RAND(),$C$8,$D$8)))</f>
        <v/>
      </c>
      <c r="N306" s="71">
        <f>MIN(24,MAX(5,NORMINV(RAND(),$C$9,$D$9)))</f>
        <v/>
      </c>
      <c r="O306" s="83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70">
        <f>MAX(-0.05,NORMINV(RAND(),$C$6,$D$6))</f>
        <v/>
      </c>
      <c r="L307" s="70">
        <f>MAX(0.02,NORMINV(RAND(),$C$7,$D$7))</f>
        <v/>
      </c>
      <c r="M307" s="70">
        <f>MIN(0.16,MAX(0.05,NORMINV(RAND(),$C$8,$D$8)))</f>
        <v/>
      </c>
      <c r="N307" s="71">
        <f>MIN(24,MAX(5,NORMINV(RAND(),$C$9,$D$9)))</f>
        <v/>
      </c>
      <c r="O307" s="83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70">
        <f>MAX(-0.05,NORMINV(RAND(),$C$6,$D$6))</f>
        <v/>
      </c>
      <c r="L308" s="70">
        <f>MAX(0.02,NORMINV(RAND(),$C$7,$D$7))</f>
        <v/>
      </c>
      <c r="M308" s="70">
        <f>MIN(0.16,MAX(0.05,NORMINV(RAND(),$C$8,$D$8)))</f>
        <v/>
      </c>
      <c r="N308" s="71">
        <f>MIN(24,MAX(5,NORMINV(RAND(),$C$9,$D$9)))</f>
        <v/>
      </c>
      <c r="O308" s="83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70">
        <f>MAX(-0.05,NORMINV(RAND(),$C$6,$D$6))</f>
        <v/>
      </c>
      <c r="L309" s="70">
        <f>MAX(0.02,NORMINV(RAND(),$C$7,$D$7))</f>
        <v/>
      </c>
      <c r="M309" s="70">
        <f>MIN(0.16,MAX(0.05,NORMINV(RAND(),$C$8,$D$8)))</f>
        <v/>
      </c>
      <c r="N309" s="71">
        <f>MIN(24,MAX(5,NORMINV(RAND(),$C$9,$D$9)))</f>
        <v/>
      </c>
      <c r="O309" s="83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70">
        <f>MAX(-0.05,NORMINV(RAND(),$C$6,$D$6))</f>
        <v/>
      </c>
      <c r="L310" s="70">
        <f>MAX(0.02,NORMINV(RAND(),$C$7,$D$7))</f>
        <v/>
      </c>
      <c r="M310" s="70">
        <f>MIN(0.16,MAX(0.05,NORMINV(RAND(),$C$8,$D$8)))</f>
        <v/>
      </c>
      <c r="N310" s="71">
        <f>MIN(24,MAX(5,NORMINV(RAND(),$C$9,$D$9)))</f>
        <v/>
      </c>
      <c r="O310" s="83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70">
        <f>MAX(-0.05,NORMINV(RAND(),$C$6,$D$6))</f>
        <v/>
      </c>
      <c r="L311" s="70">
        <f>MAX(0.02,NORMINV(RAND(),$C$7,$D$7))</f>
        <v/>
      </c>
      <c r="M311" s="70">
        <f>MIN(0.16,MAX(0.05,NORMINV(RAND(),$C$8,$D$8)))</f>
        <v/>
      </c>
      <c r="N311" s="71">
        <f>MIN(24,MAX(5,NORMINV(RAND(),$C$9,$D$9)))</f>
        <v/>
      </c>
      <c r="O311" s="83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70">
        <f>MAX(-0.05,NORMINV(RAND(),$C$6,$D$6))</f>
        <v/>
      </c>
      <c r="L312" s="70">
        <f>MAX(0.02,NORMINV(RAND(),$C$7,$D$7))</f>
        <v/>
      </c>
      <c r="M312" s="70">
        <f>MIN(0.16,MAX(0.05,NORMINV(RAND(),$C$8,$D$8)))</f>
        <v/>
      </c>
      <c r="N312" s="71">
        <f>MIN(24,MAX(5,NORMINV(RAND(),$C$9,$D$9)))</f>
        <v/>
      </c>
      <c r="O312" s="83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70">
        <f>MAX(-0.05,NORMINV(RAND(),$C$6,$D$6))</f>
        <v/>
      </c>
      <c r="L313" s="70">
        <f>MAX(0.02,NORMINV(RAND(),$C$7,$D$7))</f>
        <v/>
      </c>
      <c r="M313" s="70">
        <f>MIN(0.16,MAX(0.05,NORMINV(RAND(),$C$8,$D$8)))</f>
        <v/>
      </c>
      <c r="N313" s="71">
        <f>MIN(24,MAX(5,NORMINV(RAND(),$C$9,$D$9)))</f>
        <v/>
      </c>
      <c r="O313" s="83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70">
        <f>MAX(-0.05,NORMINV(RAND(),$C$6,$D$6))</f>
        <v/>
      </c>
      <c r="L314" s="70">
        <f>MAX(0.02,NORMINV(RAND(),$C$7,$D$7))</f>
        <v/>
      </c>
      <c r="M314" s="70">
        <f>MIN(0.16,MAX(0.05,NORMINV(RAND(),$C$8,$D$8)))</f>
        <v/>
      </c>
      <c r="N314" s="71">
        <f>MIN(24,MAX(5,NORMINV(RAND(),$C$9,$D$9)))</f>
        <v/>
      </c>
      <c r="O314" s="83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70">
        <f>MAX(-0.05,NORMINV(RAND(),$C$6,$D$6))</f>
        <v/>
      </c>
      <c r="L315" s="70">
        <f>MAX(0.02,NORMINV(RAND(),$C$7,$D$7))</f>
        <v/>
      </c>
      <c r="M315" s="70">
        <f>MIN(0.16,MAX(0.05,NORMINV(RAND(),$C$8,$D$8)))</f>
        <v/>
      </c>
      <c r="N315" s="71">
        <f>MIN(24,MAX(5,NORMINV(RAND(),$C$9,$D$9)))</f>
        <v/>
      </c>
      <c r="O315" s="83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70">
        <f>MAX(-0.05,NORMINV(RAND(),$C$6,$D$6))</f>
        <v/>
      </c>
      <c r="L316" s="70">
        <f>MAX(0.02,NORMINV(RAND(),$C$7,$D$7))</f>
        <v/>
      </c>
      <c r="M316" s="70">
        <f>MIN(0.16,MAX(0.05,NORMINV(RAND(),$C$8,$D$8)))</f>
        <v/>
      </c>
      <c r="N316" s="71">
        <f>MIN(24,MAX(5,NORMINV(RAND(),$C$9,$D$9)))</f>
        <v/>
      </c>
      <c r="O316" s="83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70">
        <f>MAX(-0.05,NORMINV(RAND(),$C$6,$D$6))</f>
        <v/>
      </c>
      <c r="L317" s="70">
        <f>MAX(0.02,NORMINV(RAND(),$C$7,$D$7))</f>
        <v/>
      </c>
      <c r="M317" s="70">
        <f>MIN(0.16,MAX(0.05,NORMINV(RAND(),$C$8,$D$8)))</f>
        <v/>
      </c>
      <c r="N317" s="71">
        <f>MIN(24,MAX(5,NORMINV(RAND(),$C$9,$D$9)))</f>
        <v/>
      </c>
      <c r="O317" s="83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70">
        <f>MAX(-0.05,NORMINV(RAND(),$C$6,$D$6))</f>
        <v/>
      </c>
      <c r="L318" s="70">
        <f>MAX(0.02,NORMINV(RAND(),$C$7,$D$7))</f>
        <v/>
      </c>
      <c r="M318" s="70">
        <f>MIN(0.16,MAX(0.05,NORMINV(RAND(),$C$8,$D$8)))</f>
        <v/>
      </c>
      <c r="N318" s="71">
        <f>MIN(24,MAX(5,NORMINV(RAND(),$C$9,$D$9)))</f>
        <v/>
      </c>
      <c r="O318" s="83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70">
        <f>MAX(-0.05,NORMINV(RAND(),$C$6,$D$6))</f>
        <v/>
      </c>
      <c r="L319" s="70">
        <f>MAX(0.02,NORMINV(RAND(),$C$7,$D$7))</f>
        <v/>
      </c>
      <c r="M319" s="70">
        <f>MIN(0.16,MAX(0.05,NORMINV(RAND(),$C$8,$D$8)))</f>
        <v/>
      </c>
      <c r="N319" s="71">
        <f>MIN(24,MAX(5,NORMINV(RAND(),$C$9,$D$9)))</f>
        <v/>
      </c>
      <c r="O319" s="83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70">
        <f>MAX(-0.05,NORMINV(RAND(),$C$6,$D$6))</f>
        <v/>
      </c>
      <c r="L320" s="70">
        <f>MAX(0.02,NORMINV(RAND(),$C$7,$D$7))</f>
        <v/>
      </c>
      <c r="M320" s="70">
        <f>MIN(0.16,MAX(0.05,NORMINV(RAND(),$C$8,$D$8)))</f>
        <v/>
      </c>
      <c r="N320" s="71">
        <f>MIN(24,MAX(5,NORMINV(RAND(),$C$9,$D$9)))</f>
        <v/>
      </c>
      <c r="O320" s="83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70">
        <f>MAX(-0.05,NORMINV(RAND(),$C$6,$D$6))</f>
        <v/>
      </c>
      <c r="L321" s="70">
        <f>MAX(0.02,NORMINV(RAND(),$C$7,$D$7))</f>
        <v/>
      </c>
      <c r="M321" s="70">
        <f>MIN(0.16,MAX(0.05,NORMINV(RAND(),$C$8,$D$8)))</f>
        <v/>
      </c>
      <c r="N321" s="71">
        <f>MIN(24,MAX(5,NORMINV(RAND(),$C$9,$D$9)))</f>
        <v/>
      </c>
      <c r="O321" s="83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70">
        <f>MAX(-0.05,NORMINV(RAND(),$C$6,$D$6))</f>
        <v/>
      </c>
      <c r="L322" s="70">
        <f>MAX(0.02,NORMINV(RAND(),$C$7,$D$7))</f>
        <v/>
      </c>
      <c r="M322" s="70">
        <f>MIN(0.16,MAX(0.05,NORMINV(RAND(),$C$8,$D$8)))</f>
        <v/>
      </c>
      <c r="N322" s="71">
        <f>MIN(24,MAX(5,NORMINV(RAND(),$C$9,$D$9)))</f>
        <v/>
      </c>
      <c r="O322" s="83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70">
        <f>MAX(-0.05,NORMINV(RAND(),$C$6,$D$6))</f>
        <v/>
      </c>
      <c r="L323" s="70">
        <f>MAX(0.02,NORMINV(RAND(),$C$7,$D$7))</f>
        <v/>
      </c>
      <c r="M323" s="70">
        <f>MIN(0.16,MAX(0.05,NORMINV(RAND(),$C$8,$D$8)))</f>
        <v/>
      </c>
      <c r="N323" s="71">
        <f>MIN(24,MAX(5,NORMINV(RAND(),$C$9,$D$9)))</f>
        <v/>
      </c>
      <c r="O323" s="83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70">
        <f>MAX(-0.05,NORMINV(RAND(),$C$6,$D$6))</f>
        <v/>
      </c>
      <c r="L324" s="70">
        <f>MAX(0.02,NORMINV(RAND(),$C$7,$D$7))</f>
        <v/>
      </c>
      <c r="M324" s="70">
        <f>MIN(0.16,MAX(0.05,NORMINV(RAND(),$C$8,$D$8)))</f>
        <v/>
      </c>
      <c r="N324" s="71">
        <f>MIN(24,MAX(5,NORMINV(RAND(),$C$9,$D$9)))</f>
        <v/>
      </c>
      <c r="O324" s="83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70">
        <f>MAX(-0.05,NORMINV(RAND(),$C$6,$D$6))</f>
        <v/>
      </c>
      <c r="L325" s="70">
        <f>MAX(0.02,NORMINV(RAND(),$C$7,$D$7))</f>
        <v/>
      </c>
      <c r="M325" s="70">
        <f>MIN(0.16,MAX(0.05,NORMINV(RAND(),$C$8,$D$8)))</f>
        <v/>
      </c>
      <c r="N325" s="71">
        <f>MIN(24,MAX(5,NORMINV(RAND(),$C$9,$D$9)))</f>
        <v/>
      </c>
      <c r="O325" s="83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70">
        <f>MAX(-0.05,NORMINV(RAND(),$C$6,$D$6))</f>
        <v/>
      </c>
      <c r="L326" s="70">
        <f>MAX(0.02,NORMINV(RAND(),$C$7,$D$7))</f>
        <v/>
      </c>
      <c r="M326" s="70">
        <f>MIN(0.16,MAX(0.05,NORMINV(RAND(),$C$8,$D$8)))</f>
        <v/>
      </c>
      <c r="N326" s="71">
        <f>MIN(24,MAX(5,NORMINV(RAND(),$C$9,$D$9)))</f>
        <v/>
      </c>
      <c r="O326" s="83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70">
        <f>MAX(-0.05,NORMINV(RAND(),$C$6,$D$6))</f>
        <v/>
      </c>
      <c r="L327" s="70">
        <f>MAX(0.02,NORMINV(RAND(),$C$7,$D$7))</f>
        <v/>
      </c>
      <c r="M327" s="70">
        <f>MIN(0.16,MAX(0.05,NORMINV(RAND(),$C$8,$D$8)))</f>
        <v/>
      </c>
      <c r="N327" s="71">
        <f>MIN(24,MAX(5,NORMINV(RAND(),$C$9,$D$9)))</f>
        <v/>
      </c>
      <c r="O327" s="83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70">
        <f>MAX(-0.05,NORMINV(RAND(),$C$6,$D$6))</f>
        <v/>
      </c>
      <c r="L328" s="70">
        <f>MAX(0.02,NORMINV(RAND(),$C$7,$D$7))</f>
        <v/>
      </c>
      <c r="M328" s="70">
        <f>MIN(0.16,MAX(0.05,NORMINV(RAND(),$C$8,$D$8)))</f>
        <v/>
      </c>
      <c r="N328" s="71">
        <f>MIN(24,MAX(5,NORMINV(RAND(),$C$9,$D$9)))</f>
        <v/>
      </c>
      <c r="O328" s="83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70">
        <f>MAX(-0.05,NORMINV(RAND(),$C$6,$D$6))</f>
        <v/>
      </c>
      <c r="L329" s="70">
        <f>MAX(0.02,NORMINV(RAND(),$C$7,$D$7))</f>
        <v/>
      </c>
      <c r="M329" s="70">
        <f>MIN(0.16,MAX(0.05,NORMINV(RAND(),$C$8,$D$8)))</f>
        <v/>
      </c>
      <c r="N329" s="71">
        <f>MIN(24,MAX(5,NORMINV(RAND(),$C$9,$D$9)))</f>
        <v/>
      </c>
      <c r="O329" s="83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70">
        <f>MAX(-0.05,NORMINV(RAND(),$C$6,$D$6))</f>
        <v/>
      </c>
      <c r="L330" s="70">
        <f>MAX(0.02,NORMINV(RAND(),$C$7,$D$7))</f>
        <v/>
      </c>
      <c r="M330" s="70">
        <f>MIN(0.16,MAX(0.05,NORMINV(RAND(),$C$8,$D$8)))</f>
        <v/>
      </c>
      <c r="N330" s="71">
        <f>MIN(24,MAX(5,NORMINV(RAND(),$C$9,$D$9)))</f>
        <v/>
      </c>
      <c r="O330" s="83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70">
        <f>MAX(-0.05,NORMINV(RAND(),$C$6,$D$6))</f>
        <v/>
      </c>
      <c r="L331" s="70">
        <f>MAX(0.02,NORMINV(RAND(),$C$7,$D$7))</f>
        <v/>
      </c>
      <c r="M331" s="70">
        <f>MIN(0.16,MAX(0.05,NORMINV(RAND(),$C$8,$D$8)))</f>
        <v/>
      </c>
      <c r="N331" s="71">
        <f>MIN(24,MAX(5,NORMINV(RAND(),$C$9,$D$9)))</f>
        <v/>
      </c>
      <c r="O331" s="83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70">
        <f>MAX(-0.05,NORMINV(RAND(),$C$6,$D$6))</f>
        <v/>
      </c>
      <c r="L332" s="70">
        <f>MAX(0.02,NORMINV(RAND(),$C$7,$D$7))</f>
        <v/>
      </c>
      <c r="M332" s="70">
        <f>MIN(0.16,MAX(0.05,NORMINV(RAND(),$C$8,$D$8)))</f>
        <v/>
      </c>
      <c r="N332" s="71">
        <f>MIN(24,MAX(5,NORMINV(RAND(),$C$9,$D$9)))</f>
        <v/>
      </c>
      <c r="O332" s="83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70">
        <f>MAX(-0.05,NORMINV(RAND(),$C$6,$D$6))</f>
        <v/>
      </c>
      <c r="L333" s="70">
        <f>MAX(0.02,NORMINV(RAND(),$C$7,$D$7))</f>
        <v/>
      </c>
      <c r="M333" s="70">
        <f>MIN(0.16,MAX(0.05,NORMINV(RAND(),$C$8,$D$8)))</f>
        <v/>
      </c>
      <c r="N333" s="71">
        <f>MIN(24,MAX(5,NORMINV(RAND(),$C$9,$D$9)))</f>
        <v/>
      </c>
      <c r="O333" s="83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70">
        <f>MAX(-0.05,NORMINV(RAND(),$C$6,$D$6))</f>
        <v/>
      </c>
      <c r="L334" s="70">
        <f>MAX(0.02,NORMINV(RAND(),$C$7,$D$7))</f>
        <v/>
      </c>
      <c r="M334" s="70">
        <f>MIN(0.16,MAX(0.05,NORMINV(RAND(),$C$8,$D$8)))</f>
        <v/>
      </c>
      <c r="N334" s="71">
        <f>MIN(24,MAX(5,NORMINV(RAND(),$C$9,$D$9)))</f>
        <v/>
      </c>
      <c r="O334" s="83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70">
        <f>MAX(-0.05,NORMINV(RAND(),$C$6,$D$6))</f>
        <v/>
      </c>
      <c r="L335" s="70">
        <f>MAX(0.02,NORMINV(RAND(),$C$7,$D$7))</f>
        <v/>
      </c>
      <c r="M335" s="70">
        <f>MIN(0.16,MAX(0.05,NORMINV(RAND(),$C$8,$D$8)))</f>
        <v/>
      </c>
      <c r="N335" s="71">
        <f>MIN(24,MAX(5,NORMINV(RAND(),$C$9,$D$9)))</f>
        <v/>
      </c>
      <c r="O335" s="83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70">
        <f>MAX(-0.05,NORMINV(RAND(),$C$6,$D$6))</f>
        <v/>
      </c>
      <c r="L336" s="70">
        <f>MAX(0.02,NORMINV(RAND(),$C$7,$D$7))</f>
        <v/>
      </c>
      <c r="M336" s="70">
        <f>MIN(0.16,MAX(0.05,NORMINV(RAND(),$C$8,$D$8)))</f>
        <v/>
      </c>
      <c r="N336" s="71">
        <f>MIN(24,MAX(5,NORMINV(RAND(),$C$9,$D$9)))</f>
        <v/>
      </c>
      <c r="O336" s="83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70">
        <f>MAX(-0.05,NORMINV(RAND(),$C$6,$D$6))</f>
        <v/>
      </c>
      <c r="L337" s="70">
        <f>MAX(0.02,NORMINV(RAND(),$C$7,$D$7))</f>
        <v/>
      </c>
      <c r="M337" s="70">
        <f>MIN(0.16,MAX(0.05,NORMINV(RAND(),$C$8,$D$8)))</f>
        <v/>
      </c>
      <c r="N337" s="71">
        <f>MIN(24,MAX(5,NORMINV(RAND(),$C$9,$D$9)))</f>
        <v/>
      </c>
      <c r="O337" s="83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70">
        <f>MAX(-0.05,NORMINV(RAND(),$C$6,$D$6))</f>
        <v/>
      </c>
      <c r="L338" s="70">
        <f>MAX(0.02,NORMINV(RAND(),$C$7,$D$7))</f>
        <v/>
      </c>
      <c r="M338" s="70">
        <f>MIN(0.16,MAX(0.05,NORMINV(RAND(),$C$8,$D$8)))</f>
        <v/>
      </c>
      <c r="N338" s="71">
        <f>MIN(24,MAX(5,NORMINV(RAND(),$C$9,$D$9)))</f>
        <v/>
      </c>
      <c r="O338" s="83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70">
        <f>MAX(-0.05,NORMINV(RAND(),$C$6,$D$6))</f>
        <v/>
      </c>
      <c r="L339" s="70">
        <f>MAX(0.02,NORMINV(RAND(),$C$7,$D$7))</f>
        <v/>
      </c>
      <c r="M339" s="70">
        <f>MIN(0.16,MAX(0.05,NORMINV(RAND(),$C$8,$D$8)))</f>
        <v/>
      </c>
      <c r="N339" s="71">
        <f>MIN(24,MAX(5,NORMINV(RAND(),$C$9,$D$9)))</f>
        <v/>
      </c>
      <c r="O339" s="83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70">
        <f>MAX(-0.05,NORMINV(RAND(),$C$6,$D$6))</f>
        <v/>
      </c>
      <c r="L340" s="70">
        <f>MAX(0.02,NORMINV(RAND(),$C$7,$D$7))</f>
        <v/>
      </c>
      <c r="M340" s="70">
        <f>MIN(0.16,MAX(0.05,NORMINV(RAND(),$C$8,$D$8)))</f>
        <v/>
      </c>
      <c r="N340" s="71">
        <f>MIN(24,MAX(5,NORMINV(RAND(),$C$9,$D$9)))</f>
        <v/>
      </c>
      <c r="O340" s="83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70">
        <f>MAX(-0.05,NORMINV(RAND(),$C$6,$D$6))</f>
        <v/>
      </c>
      <c r="L341" s="70">
        <f>MAX(0.02,NORMINV(RAND(),$C$7,$D$7))</f>
        <v/>
      </c>
      <c r="M341" s="70">
        <f>MIN(0.16,MAX(0.05,NORMINV(RAND(),$C$8,$D$8)))</f>
        <v/>
      </c>
      <c r="N341" s="71">
        <f>MIN(24,MAX(5,NORMINV(RAND(),$C$9,$D$9)))</f>
        <v/>
      </c>
      <c r="O341" s="83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70">
        <f>MAX(-0.05,NORMINV(RAND(),$C$6,$D$6))</f>
        <v/>
      </c>
      <c r="L342" s="70">
        <f>MAX(0.02,NORMINV(RAND(),$C$7,$D$7))</f>
        <v/>
      </c>
      <c r="M342" s="70">
        <f>MIN(0.16,MAX(0.05,NORMINV(RAND(),$C$8,$D$8)))</f>
        <v/>
      </c>
      <c r="N342" s="71">
        <f>MIN(24,MAX(5,NORMINV(RAND(),$C$9,$D$9)))</f>
        <v/>
      </c>
      <c r="O342" s="83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70">
        <f>MAX(-0.05,NORMINV(RAND(),$C$6,$D$6))</f>
        <v/>
      </c>
      <c r="L343" s="70">
        <f>MAX(0.02,NORMINV(RAND(),$C$7,$D$7))</f>
        <v/>
      </c>
      <c r="M343" s="70">
        <f>MIN(0.16,MAX(0.05,NORMINV(RAND(),$C$8,$D$8)))</f>
        <v/>
      </c>
      <c r="N343" s="71">
        <f>MIN(24,MAX(5,NORMINV(RAND(),$C$9,$D$9)))</f>
        <v/>
      </c>
      <c r="O343" s="83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70">
        <f>MAX(-0.05,NORMINV(RAND(),$C$6,$D$6))</f>
        <v/>
      </c>
      <c r="L344" s="70">
        <f>MAX(0.02,NORMINV(RAND(),$C$7,$D$7))</f>
        <v/>
      </c>
      <c r="M344" s="70">
        <f>MIN(0.16,MAX(0.05,NORMINV(RAND(),$C$8,$D$8)))</f>
        <v/>
      </c>
      <c r="N344" s="71">
        <f>MIN(24,MAX(5,NORMINV(RAND(),$C$9,$D$9)))</f>
        <v/>
      </c>
      <c r="O344" s="83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70">
        <f>MAX(-0.05,NORMINV(RAND(),$C$6,$D$6))</f>
        <v/>
      </c>
      <c r="L345" s="70">
        <f>MAX(0.02,NORMINV(RAND(),$C$7,$D$7))</f>
        <v/>
      </c>
      <c r="M345" s="70">
        <f>MIN(0.16,MAX(0.05,NORMINV(RAND(),$C$8,$D$8)))</f>
        <v/>
      </c>
      <c r="N345" s="71">
        <f>MIN(24,MAX(5,NORMINV(RAND(),$C$9,$D$9)))</f>
        <v/>
      </c>
      <c r="O345" s="83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70">
        <f>MAX(-0.05,NORMINV(RAND(),$C$6,$D$6))</f>
        <v/>
      </c>
      <c r="L346" s="70">
        <f>MAX(0.02,NORMINV(RAND(),$C$7,$D$7))</f>
        <v/>
      </c>
      <c r="M346" s="70">
        <f>MIN(0.16,MAX(0.05,NORMINV(RAND(),$C$8,$D$8)))</f>
        <v/>
      </c>
      <c r="N346" s="71">
        <f>MIN(24,MAX(5,NORMINV(RAND(),$C$9,$D$9)))</f>
        <v/>
      </c>
      <c r="O346" s="83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70">
        <f>MAX(-0.05,NORMINV(RAND(),$C$6,$D$6))</f>
        <v/>
      </c>
      <c r="L347" s="70">
        <f>MAX(0.02,NORMINV(RAND(),$C$7,$D$7))</f>
        <v/>
      </c>
      <c r="M347" s="70">
        <f>MIN(0.16,MAX(0.05,NORMINV(RAND(),$C$8,$D$8)))</f>
        <v/>
      </c>
      <c r="N347" s="71">
        <f>MIN(24,MAX(5,NORMINV(RAND(),$C$9,$D$9)))</f>
        <v/>
      </c>
      <c r="O347" s="83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70">
        <f>MAX(-0.05,NORMINV(RAND(),$C$6,$D$6))</f>
        <v/>
      </c>
      <c r="L348" s="70">
        <f>MAX(0.02,NORMINV(RAND(),$C$7,$D$7))</f>
        <v/>
      </c>
      <c r="M348" s="70">
        <f>MIN(0.16,MAX(0.05,NORMINV(RAND(),$C$8,$D$8)))</f>
        <v/>
      </c>
      <c r="N348" s="71">
        <f>MIN(24,MAX(5,NORMINV(RAND(),$C$9,$D$9)))</f>
        <v/>
      </c>
      <c r="O348" s="83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70">
        <f>MAX(-0.05,NORMINV(RAND(),$C$6,$D$6))</f>
        <v/>
      </c>
      <c r="L349" s="70">
        <f>MAX(0.02,NORMINV(RAND(),$C$7,$D$7))</f>
        <v/>
      </c>
      <c r="M349" s="70">
        <f>MIN(0.16,MAX(0.05,NORMINV(RAND(),$C$8,$D$8)))</f>
        <v/>
      </c>
      <c r="N349" s="71">
        <f>MIN(24,MAX(5,NORMINV(RAND(),$C$9,$D$9)))</f>
        <v/>
      </c>
      <c r="O349" s="83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70">
        <f>MAX(-0.05,NORMINV(RAND(),$C$6,$D$6))</f>
        <v/>
      </c>
      <c r="L350" s="70">
        <f>MAX(0.02,NORMINV(RAND(),$C$7,$D$7))</f>
        <v/>
      </c>
      <c r="M350" s="70">
        <f>MIN(0.16,MAX(0.05,NORMINV(RAND(),$C$8,$D$8)))</f>
        <v/>
      </c>
      <c r="N350" s="71">
        <f>MIN(24,MAX(5,NORMINV(RAND(),$C$9,$D$9)))</f>
        <v/>
      </c>
      <c r="O350" s="83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70">
        <f>MAX(-0.05,NORMINV(RAND(),$C$6,$D$6))</f>
        <v/>
      </c>
      <c r="L351" s="70">
        <f>MAX(0.02,NORMINV(RAND(),$C$7,$D$7))</f>
        <v/>
      </c>
      <c r="M351" s="70">
        <f>MIN(0.16,MAX(0.05,NORMINV(RAND(),$C$8,$D$8)))</f>
        <v/>
      </c>
      <c r="N351" s="71">
        <f>MIN(24,MAX(5,NORMINV(RAND(),$C$9,$D$9)))</f>
        <v/>
      </c>
      <c r="O351" s="83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70">
        <f>MAX(-0.05,NORMINV(RAND(),$C$6,$D$6))</f>
        <v/>
      </c>
      <c r="L352" s="70">
        <f>MAX(0.02,NORMINV(RAND(),$C$7,$D$7))</f>
        <v/>
      </c>
      <c r="M352" s="70">
        <f>MIN(0.16,MAX(0.05,NORMINV(RAND(),$C$8,$D$8)))</f>
        <v/>
      </c>
      <c r="N352" s="71">
        <f>MIN(24,MAX(5,NORMINV(RAND(),$C$9,$D$9)))</f>
        <v/>
      </c>
      <c r="O352" s="83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70">
        <f>MAX(-0.05,NORMINV(RAND(),$C$6,$D$6))</f>
        <v/>
      </c>
      <c r="L353" s="70">
        <f>MAX(0.02,NORMINV(RAND(),$C$7,$D$7))</f>
        <v/>
      </c>
      <c r="M353" s="70">
        <f>MIN(0.16,MAX(0.05,NORMINV(RAND(),$C$8,$D$8)))</f>
        <v/>
      </c>
      <c r="N353" s="71">
        <f>MIN(24,MAX(5,NORMINV(RAND(),$C$9,$D$9)))</f>
        <v/>
      </c>
      <c r="O353" s="83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70">
        <f>MAX(-0.05,NORMINV(RAND(),$C$6,$D$6))</f>
        <v/>
      </c>
      <c r="L354" s="70">
        <f>MAX(0.02,NORMINV(RAND(),$C$7,$D$7))</f>
        <v/>
      </c>
      <c r="M354" s="70">
        <f>MIN(0.16,MAX(0.05,NORMINV(RAND(),$C$8,$D$8)))</f>
        <v/>
      </c>
      <c r="N354" s="71">
        <f>MIN(24,MAX(5,NORMINV(RAND(),$C$9,$D$9)))</f>
        <v/>
      </c>
      <c r="O354" s="83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70">
        <f>MAX(-0.05,NORMINV(RAND(),$C$6,$D$6))</f>
        <v/>
      </c>
      <c r="L355" s="70">
        <f>MAX(0.02,NORMINV(RAND(),$C$7,$D$7))</f>
        <v/>
      </c>
      <c r="M355" s="70">
        <f>MIN(0.16,MAX(0.05,NORMINV(RAND(),$C$8,$D$8)))</f>
        <v/>
      </c>
      <c r="N355" s="71">
        <f>MIN(24,MAX(5,NORMINV(RAND(),$C$9,$D$9)))</f>
        <v/>
      </c>
      <c r="O355" s="83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70">
        <f>MAX(-0.05,NORMINV(RAND(),$C$6,$D$6))</f>
        <v/>
      </c>
      <c r="L356" s="70">
        <f>MAX(0.02,NORMINV(RAND(),$C$7,$D$7))</f>
        <v/>
      </c>
      <c r="M356" s="70">
        <f>MIN(0.16,MAX(0.05,NORMINV(RAND(),$C$8,$D$8)))</f>
        <v/>
      </c>
      <c r="N356" s="71">
        <f>MIN(24,MAX(5,NORMINV(RAND(),$C$9,$D$9)))</f>
        <v/>
      </c>
      <c r="O356" s="83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70">
        <f>MAX(-0.05,NORMINV(RAND(),$C$6,$D$6))</f>
        <v/>
      </c>
      <c r="L357" s="70">
        <f>MAX(0.02,NORMINV(RAND(),$C$7,$D$7))</f>
        <v/>
      </c>
      <c r="M357" s="70">
        <f>MIN(0.16,MAX(0.05,NORMINV(RAND(),$C$8,$D$8)))</f>
        <v/>
      </c>
      <c r="N357" s="71">
        <f>MIN(24,MAX(5,NORMINV(RAND(),$C$9,$D$9)))</f>
        <v/>
      </c>
      <c r="O357" s="83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70">
        <f>MAX(-0.05,NORMINV(RAND(),$C$6,$D$6))</f>
        <v/>
      </c>
      <c r="L358" s="70">
        <f>MAX(0.02,NORMINV(RAND(),$C$7,$D$7))</f>
        <v/>
      </c>
      <c r="M358" s="70">
        <f>MIN(0.16,MAX(0.05,NORMINV(RAND(),$C$8,$D$8)))</f>
        <v/>
      </c>
      <c r="N358" s="71">
        <f>MIN(24,MAX(5,NORMINV(RAND(),$C$9,$D$9)))</f>
        <v/>
      </c>
      <c r="O358" s="83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70">
        <f>MAX(-0.05,NORMINV(RAND(),$C$6,$D$6))</f>
        <v/>
      </c>
      <c r="L359" s="70">
        <f>MAX(0.02,NORMINV(RAND(),$C$7,$D$7))</f>
        <v/>
      </c>
      <c r="M359" s="70">
        <f>MIN(0.16,MAX(0.05,NORMINV(RAND(),$C$8,$D$8)))</f>
        <v/>
      </c>
      <c r="N359" s="71">
        <f>MIN(24,MAX(5,NORMINV(RAND(),$C$9,$D$9)))</f>
        <v/>
      </c>
      <c r="O359" s="83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70">
        <f>MAX(-0.05,NORMINV(RAND(),$C$6,$D$6))</f>
        <v/>
      </c>
      <c r="L360" s="70">
        <f>MAX(0.02,NORMINV(RAND(),$C$7,$D$7))</f>
        <v/>
      </c>
      <c r="M360" s="70">
        <f>MIN(0.16,MAX(0.05,NORMINV(RAND(),$C$8,$D$8)))</f>
        <v/>
      </c>
      <c r="N360" s="71">
        <f>MIN(24,MAX(5,NORMINV(RAND(),$C$9,$D$9)))</f>
        <v/>
      </c>
      <c r="O360" s="83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70">
        <f>MAX(-0.05,NORMINV(RAND(),$C$6,$D$6))</f>
        <v/>
      </c>
      <c r="L361" s="70">
        <f>MAX(0.02,NORMINV(RAND(),$C$7,$D$7))</f>
        <v/>
      </c>
      <c r="M361" s="70">
        <f>MIN(0.16,MAX(0.05,NORMINV(RAND(),$C$8,$D$8)))</f>
        <v/>
      </c>
      <c r="N361" s="71">
        <f>MIN(24,MAX(5,NORMINV(RAND(),$C$9,$D$9)))</f>
        <v/>
      </c>
      <c r="O361" s="83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70">
        <f>MAX(-0.05,NORMINV(RAND(),$C$6,$D$6))</f>
        <v/>
      </c>
      <c r="L362" s="70">
        <f>MAX(0.02,NORMINV(RAND(),$C$7,$D$7))</f>
        <v/>
      </c>
      <c r="M362" s="70">
        <f>MIN(0.16,MAX(0.05,NORMINV(RAND(),$C$8,$D$8)))</f>
        <v/>
      </c>
      <c r="N362" s="71">
        <f>MIN(24,MAX(5,NORMINV(RAND(),$C$9,$D$9)))</f>
        <v/>
      </c>
      <c r="O362" s="83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70">
        <f>MAX(-0.05,NORMINV(RAND(),$C$6,$D$6))</f>
        <v/>
      </c>
      <c r="L363" s="70">
        <f>MAX(0.02,NORMINV(RAND(),$C$7,$D$7))</f>
        <v/>
      </c>
      <c r="M363" s="70">
        <f>MIN(0.16,MAX(0.05,NORMINV(RAND(),$C$8,$D$8)))</f>
        <v/>
      </c>
      <c r="N363" s="71">
        <f>MIN(24,MAX(5,NORMINV(RAND(),$C$9,$D$9)))</f>
        <v/>
      </c>
      <c r="O363" s="83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70">
        <f>MAX(-0.05,NORMINV(RAND(),$C$6,$D$6))</f>
        <v/>
      </c>
      <c r="L364" s="70">
        <f>MAX(0.02,NORMINV(RAND(),$C$7,$D$7))</f>
        <v/>
      </c>
      <c r="M364" s="70">
        <f>MIN(0.16,MAX(0.05,NORMINV(RAND(),$C$8,$D$8)))</f>
        <v/>
      </c>
      <c r="N364" s="71">
        <f>MIN(24,MAX(5,NORMINV(RAND(),$C$9,$D$9)))</f>
        <v/>
      </c>
      <c r="O364" s="83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70">
        <f>MAX(-0.05,NORMINV(RAND(),$C$6,$D$6))</f>
        <v/>
      </c>
      <c r="L365" s="70">
        <f>MAX(0.02,NORMINV(RAND(),$C$7,$D$7))</f>
        <v/>
      </c>
      <c r="M365" s="70">
        <f>MIN(0.16,MAX(0.05,NORMINV(RAND(),$C$8,$D$8)))</f>
        <v/>
      </c>
      <c r="N365" s="71">
        <f>MIN(24,MAX(5,NORMINV(RAND(),$C$9,$D$9)))</f>
        <v/>
      </c>
      <c r="O365" s="83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70">
        <f>MAX(-0.05,NORMINV(RAND(),$C$6,$D$6))</f>
        <v/>
      </c>
      <c r="L366" s="70">
        <f>MAX(0.02,NORMINV(RAND(),$C$7,$D$7))</f>
        <v/>
      </c>
      <c r="M366" s="70">
        <f>MIN(0.16,MAX(0.05,NORMINV(RAND(),$C$8,$D$8)))</f>
        <v/>
      </c>
      <c r="N366" s="71">
        <f>MIN(24,MAX(5,NORMINV(RAND(),$C$9,$D$9)))</f>
        <v/>
      </c>
      <c r="O366" s="83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70">
        <f>MAX(-0.05,NORMINV(RAND(),$C$6,$D$6))</f>
        <v/>
      </c>
      <c r="L367" s="70">
        <f>MAX(0.02,NORMINV(RAND(),$C$7,$D$7))</f>
        <v/>
      </c>
      <c r="M367" s="70">
        <f>MIN(0.16,MAX(0.05,NORMINV(RAND(),$C$8,$D$8)))</f>
        <v/>
      </c>
      <c r="N367" s="71">
        <f>MIN(24,MAX(5,NORMINV(RAND(),$C$9,$D$9)))</f>
        <v/>
      </c>
      <c r="O367" s="83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70">
        <f>MAX(-0.05,NORMINV(RAND(),$C$6,$D$6))</f>
        <v/>
      </c>
      <c r="L368" s="70">
        <f>MAX(0.02,NORMINV(RAND(),$C$7,$D$7))</f>
        <v/>
      </c>
      <c r="M368" s="70">
        <f>MIN(0.16,MAX(0.05,NORMINV(RAND(),$C$8,$D$8)))</f>
        <v/>
      </c>
      <c r="N368" s="71">
        <f>MIN(24,MAX(5,NORMINV(RAND(),$C$9,$D$9)))</f>
        <v/>
      </c>
      <c r="O368" s="83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70">
        <f>MAX(-0.05,NORMINV(RAND(),$C$6,$D$6))</f>
        <v/>
      </c>
      <c r="L369" s="70">
        <f>MAX(0.02,NORMINV(RAND(),$C$7,$D$7))</f>
        <v/>
      </c>
      <c r="M369" s="70">
        <f>MIN(0.16,MAX(0.05,NORMINV(RAND(),$C$8,$D$8)))</f>
        <v/>
      </c>
      <c r="N369" s="71">
        <f>MIN(24,MAX(5,NORMINV(RAND(),$C$9,$D$9)))</f>
        <v/>
      </c>
      <c r="O369" s="83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70">
        <f>MAX(-0.05,NORMINV(RAND(),$C$6,$D$6))</f>
        <v/>
      </c>
      <c r="L370" s="70">
        <f>MAX(0.02,NORMINV(RAND(),$C$7,$D$7))</f>
        <v/>
      </c>
      <c r="M370" s="70">
        <f>MIN(0.16,MAX(0.05,NORMINV(RAND(),$C$8,$D$8)))</f>
        <v/>
      </c>
      <c r="N370" s="71">
        <f>MIN(24,MAX(5,NORMINV(RAND(),$C$9,$D$9)))</f>
        <v/>
      </c>
      <c r="O370" s="83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70">
        <f>MAX(-0.05,NORMINV(RAND(),$C$6,$D$6))</f>
        <v/>
      </c>
      <c r="L371" s="70">
        <f>MAX(0.02,NORMINV(RAND(),$C$7,$D$7))</f>
        <v/>
      </c>
      <c r="M371" s="70">
        <f>MIN(0.16,MAX(0.05,NORMINV(RAND(),$C$8,$D$8)))</f>
        <v/>
      </c>
      <c r="N371" s="71">
        <f>MIN(24,MAX(5,NORMINV(RAND(),$C$9,$D$9)))</f>
        <v/>
      </c>
      <c r="O371" s="83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70">
        <f>MAX(-0.05,NORMINV(RAND(),$C$6,$D$6))</f>
        <v/>
      </c>
      <c r="L372" s="70">
        <f>MAX(0.02,NORMINV(RAND(),$C$7,$D$7))</f>
        <v/>
      </c>
      <c r="M372" s="70">
        <f>MIN(0.16,MAX(0.05,NORMINV(RAND(),$C$8,$D$8)))</f>
        <v/>
      </c>
      <c r="N372" s="71">
        <f>MIN(24,MAX(5,NORMINV(RAND(),$C$9,$D$9)))</f>
        <v/>
      </c>
      <c r="O372" s="83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70">
        <f>MAX(-0.05,NORMINV(RAND(),$C$6,$D$6))</f>
        <v/>
      </c>
      <c r="L373" s="70">
        <f>MAX(0.02,NORMINV(RAND(),$C$7,$D$7))</f>
        <v/>
      </c>
      <c r="M373" s="70">
        <f>MIN(0.16,MAX(0.05,NORMINV(RAND(),$C$8,$D$8)))</f>
        <v/>
      </c>
      <c r="N373" s="71">
        <f>MIN(24,MAX(5,NORMINV(RAND(),$C$9,$D$9)))</f>
        <v/>
      </c>
      <c r="O373" s="83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70">
        <f>MAX(-0.05,NORMINV(RAND(),$C$6,$D$6))</f>
        <v/>
      </c>
      <c r="L374" s="70">
        <f>MAX(0.02,NORMINV(RAND(),$C$7,$D$7))</f>
        <v/>
      </c>
      <c r="M374" s="70">
        <f>MIN(0.16,MAX(0.05,NORMINV(RAND(),$C$8,$D$8)))</f>
        <v/>
      </c>
      <c r="N374" s="71">
        <f>MIN(24,MAX(5,NORMINV(RAND(),$C$9,$D$9)))</f>
        <v/>
      </c>
      <c r="O374" s="83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70">
        <f>MAX(-0.05,NORMINV(RAND(),$C$6,$D$6))</f>
        <v/>
      </c>
      <c r="L375" s="70">
        <f>MAX(0.02,NORMINV(RAND(),$C$7,$D$7))</f>
        <v/>
      </c>
      <c r="M375" s="70">
        <f>MIN(0.16,MAX(0.05,NORMINV(RAND(),$C$8,$D$8)))</f>
        <v/>
      </c>
      <c r="N375" s="71">
        <f>MIN(24,MAX(5,NORMINV(RAND(),$C$9,$D$9)))</f>
        <v/>
      </c>
      <c r="O375" s="83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70">
        <f>MAX(-0.05,NORMINV(RAND(),$C$6,$D$6))</f>
        <v/>
      </c>
      <c r="L376" s="70">
        <f>MAX(0.02,NORMINV(RAND(),$C$7,$D$7))</f>
        <v/>
      </c>
      <c r="M376" s="70">
        <f>MIN(0.16,MAX(0.05,NORMINV(RAND(),$C$8,$D$8)))</f>
        <v/>
      </c>
      <c r="N376" s="71">
        <f>MIN(24,MAX(5,NORMINV(RAND(),$C$9,$D$9)))</f>
        <v/>
      </c>
      <c r="O376" s="83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70">
        <f>MAX(-0.05,NORMINV(RAND(),$C$6,$D$6))</f>
        <v/>
      </c>
      <c r="L377" s="70">
        <f>MAX(0.02,NORMINV(RAND(),$C$7,$D$7))</f>
        <v/>
      </c>
      <c r="M377" s="70">
        <f>MIN(0.16,MAX(0.05,NORMINV(RAND(),$C$8,$D$8)))</f>
        <v/>
      </c>
      <c r="N377" s="71">
        <f>MIN(24,MAX(5,NORMINV(RAND(),$C$9,$D$9)))</f>
        <v/>
      </c>
      <c r="O377" s="83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70">
        <f>MAX(-0.05,NORMINV(RAND(),$C$6,$D$6))</f>
        <v/>
      </c>
      <c r="L378" s="70">
        <f>MAX(0.02,NORMINV(RAND(),$C$7,$D$7))</f>
        <v/>
      </c>
      <c r="M378" s="70">
        <f>MIN(0.16,MAX(0.05,NORMINV(RAND(),$C$8,$D$8)))</f>
        <v/>
      </c>
      <c r="N378" s="71">
        <f>MIN(24,MAX(5,NORMINV(RAND(),$C$9,$D$9)))</f>
        <v/>
      </c>
      <c r="O378" s="83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70">
        <f>MAX(-0.05,NORMINV(RAND(),$C$6,$D$6))</f>
        <v/>
      </c>
      <c r="L379" s="70">
        <f>MAX(0.02,NORMINV(RAND(),$C$7,$D$7))</f>
        <v/>
      </c>
      <c r="M379" s="70">
        <f>MIN(0.16,MAX(0.05,NORMINV(RAND(),$C$8,$D$8)))</f>
        <v/>
      </c>
      <c r="N379" s="71">
        <f>MIN(24,MAX(5,NORMINV(RAND(),$C$9,$D$9)))</f>
        <v/>
      </c>
      <c r="O379" s="83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70">
        <f>MAX(-0.05,NORMINV(RAND(),$C$6,$D$6))</f>
        <v/>
      </c>
      <c r="L380" s="70">
        <f>MAX(0.02,NORMINV(RAND(),$C$7,$D$7))</f>
        <v/>
      </c>
      <c r="M380" s="70">
        <f>MIN(0.16,MAX(0.05,NORMINV(RAND(),$C$8,$D$8)))</f>
        <v/>
      </c>
      <c r="N380" s="71">
        <f>MIN(24,MAX(5,NORMINV(RAND(),$C$9,$D$9)))</f>
        <v/>
      </c>
      <c r="O380" s="83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70">
        <f>MAX(-0.05,NORMINV(RAND(),$C$6,$D$6))</f>
        <v/>
      </c>
      <c r="L381" s="70">
        <f>MAX(0.02,NORMINV(RAND(),$C$7,$D$7))</f>
        <v/>
      </c>
      <c r="M381" s="70">
        <f>MIN(0.16,MAX(0.05,NORMINV(RAND(),$C$8,$D$8)))</f>
        <v/>
      </c>
      <c r="N381" s="71">
        <f>MIN(24,MAX(5,NORMINV(RAND(),$C$9,$D$9)))</f>
        <v/>
      </c>
      <c r="O381" s="83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70">
        <f>MAX(-0.05,NORMINV(RAND(),$C$6,$D$6))</f>
        <v/>
      </c>
      <c r="L382" s="70">
        <f>MAX(0.02,NORMINV(RAND(),$C$7,$D$7))</f>
        <v/>
      </c>
      <c r="M382" s="70">
        <f>MIN(0.16,MAX(0.05,NORMINV(RAND(),$C$8,$D$8)))</f>
        <v/>
      </c>
      <c r="N382" s="71">
        <f>MIN(24,MAX(5,NORMINV(RAND(),$C$9,$D$9)))</f>
        <v/>
      </c>
      <c r="O382" s="83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70">
        <f>MAX(-0.05,NORMINV(RAND(),$C$6,$D$6))</f>
        <v/>
      </c>
      <c r="L383" s="70">
        <f>MAX(0.02,NORMINV(RAND(),$C$7,$D$7))</f>
        <v/>
      </c>
      <c r="M383" s="70">
        <f>MIN(0.16,MAX(0.05,NORMINV(RAND(),$C$8,$D$8)))</f>
        <v/>
      </c>
      <c r="N383" s="71">
        <f>MIN(24,MAX(5,NORMINV(RAND(),$C$9,$D$9)))</f>
        <v/>
      </c>
      <c r="O383" s="83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70">
        <f>MAX(-0.05,NORMINV(RAND(),$C$6,$D$6))</f>
        <v/>
      </c>
      <c r="L384" s="70">
        <f>MAX(0.02,NORMINV(RAND(),$C$7,$D$7))</f>
        <v/>
      </c>
      <c r="M384" s="70">
        <f>MIN(0.16,MAX(0.05,NORMINV(RAND(),$C$8,$D$8)))</f>
        <v/>
      </c>
      <c r="N384" s="71">
        <f>MIN(24,MAX(5,NORMINV(RAND(),$C$9,$D$9)))</f>
        <v/>
      </c>
      <c r="O384" s="83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70">
        <f>MAX(-0.05,NORMINV(RAND(),$C$6,$D$6))</f>
        <v/>
      </c>
      <c r="L385" s="70">
        <f>MAX(0.02,NORMINV(RAND(),$C$7,$D$7))</f>
        <v/>
      </c>
      <c r="M385" s="70">
        <f>MIN(0.16,MAX(0.05,NORMINV(RAND(),$C$8,$D$8)))</f>
        <v/>
      </c>
      <c r="N385" s="71">
        <f>MIN(24,MAX(5,NORMINV(RAND(),$C$9,$D$9)))</f>
        <v/>
      </c>
      <c r="O385" s="83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70">
        <f>MAX(-0.05,NORMINV(RAND(),$C$6,$D$6))</f>
        <v/>
      </c>
      <c r="L386" s="70">
        <f>MAX(0.02,NORMINV(RAND(),$C$7,$D$7))</f>
        <v/>
      </c>
      <c r="M386" s="70">
        <f>MIN(0.16,MAX(0.05,NORMINV(RAND(),$C$8,$D$8)))</f>
        <v/>
      </c>
      <c r="N386" s="71">
        <f>MIN(24,MAX(5,NORMINV(RAND(),$C$9,$D$9)))</f>
        <v/>
      </c>
      <c r="O386" s="83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70">
        <f>MAX(-0.05,NORMINV(RAND(),$C$6,$D$6))</f>
        <v/>
      </c>
      <c r="L387" s="70">
        <f>MAX(0.02,NORMINV(RAND(),$C$7,$D$7))</f>
        <v/>
      </c>
      <c r="M387" s="70">
        <f>MIN(0.16,MAX(0.05,NORMINV(RAND(),$C$8,$D$8)))</f>
        <v/>
      </c>
      <c r="N387" s="71">
        <f>MIN(24,MAX(5,NORMINV(RAND(),$C$9,$D$9)))</f>
        <v/>
      </c>
      <c r="O387" s="83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70">
        <f>MAX(-0.05,NORMINV(RAND(),$C$6,$D$6))</f>
        <v/>
      </c>
      <c r="L388" s="70">
        <f>MAX(0.02,NORMINV(RAND(),$C$7,$D$7))</f>
        <v/>
      </c>
      <c r="M388" s="70">
        <f>MIN(0.16,MAX(0.05,NORMINV(RAND(),$C$8,$D$8)))</f>
        <v/>
      </c>
      <c r="N388" s="71">
        <f>MIN(24,MAX(5,NORMINV(RAND(),$C$9,$D$9)))</f>
        <v/>
      </c>
      <c r="O388" s="83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70">
        <f>MAX(-0.05,NORMINV(RAND(),$C$6,$D$6))</f>
        <v/>
      </c>
      <c r="L389" s="70">
        <f>MAX(0.02,NORMINV(RAND(),$C$7,$D$7))</f>
        <v/>
      </c>
      <c r="M389" s="70">
        <f>MIN(0.16,MAX(0.05,NORMINV(RAND(),$C$8,$D$8)))</f>
        <v/>
      </c>
      <c r="N389" s="71">
        <f>MIN(24,MAX(5,NORMINV(RAND(),$C$9,$D$9)))</f>
        <v/>
      </c>
      <c r="O389" s="83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70">
        <f>MAX(-0.05,NORMINV(RAND(),$C$6,$D$6))</f>
        <v/>
      </c>
      <c r="L390" s="70">
        <f>MAX(0.02,NORMINV(RAND(),$C$7,$D$7))</f>
        <v/>
      </c>
      <c r="M390" s="70">
        <f>MIN(0.16,MAX(0.05,NORMINV(RAND(),$C$8,$D$8)))</f>
        <v/>
      </c>
      <c r="N390" s="71">
        <f>MIN(24,MAX(5,NORMINV(RAND(),$C$9,$D$9)))</f>
        <v/>
      </c>
      <c r="O390" s="83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70">
        <f>MAX(-0.05,NORMINV(RAND(),$C$6,$D$6))</f>
        <v/>
      </c>
      <c r="L391" s="70">
        <f>MAX(0.02,NORMINV(RAND(),$C$7,$D$7))</f>
        <v/>
      </c>
      <c r="M391" s="70">
        <f>MIN(0.16,MAX(0.05,NORMINV(RAND(),$C$8,$D$8)))</f>
        <v/>
      </c>
      <c r="N391" s="71">
        <f>MIN(24,MAX(5,NORMINV(RAND(),$C$9,$D$9)))</f>
        <v/>
      </c>
      <c r="O391" s="83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70">
        <f>MAX(-0.05,NORMINV(RAND(),$C$6,$D$6))</f>
        <v/>
      </c>
      <c r="L392" s="70">
        <f>MAX(0.02,NORMINV(RAND(),$C$7,$D$7))</f>
        <v/>
      </c>
      <c r="M392" s="70">
        <f>MIN(0.16,MAX(0.05,NORMINV(RAND(),$C$8,$D$8)))</f>
        <v/>
      </c>
      <c r="N392" s="71">
        <f>MIN(24,MAX(5,NORMINV(RAND(),$C$9,$D$9)))</f>
        <v/>
      </c>
      <c r="O392" s="83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70">
        <f>MAX(-0.05,NORMINV(RAND(),$C$6,$D$6))</f>
        <v/>
      </c>
      <c r="L393" s="70">
        <f>MAX(0.02,NORMINV(RAND(),$C$7,$D$7))</f>
        <v/>
      </c>
      <c r="M393" s="70">
        <f>MIN(0.16,MAX(0.05,NORMINV(RAND(),$C$8,$D$8)))</f>
        <v/>
      </c>
      <c r="N393" s="71">
        <f>MIN(24,MAX(5,NORMINV(RAND(),$C$9,$D$9)))</f>
        <v/>
      </c>
      <c r="O393" s="83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70">
        <f>MAX(-0.05,NORMINV(RAND(),$C$6,$D$6))</f>
        <v/>
      </c>
      <c r="L394" s="70">
        <f>MAX(0.02,NORMINV(RAND(),$C$7,$D$7))</f>
        <v/>
      </c>
      <c r="M394" s="70">
        <f>MIN(0.16,MAX(0.05,NORMINV(RAND(),$C$8,$D$8)))</f>
        <v/>
      </c>
      <c r="N394" s="71">
        <f>MIN(24,MAX(5,NORMINV(RAND(),$C$9,$D$9)))</f>
        <v/>
      </c>
      <c r="O394" s="83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70">
        <f>MAX(-0.05,NORMINV(RAND(),$C$6,$D$6))</f>
        <v/>
      </c>
      <c r="L395" s="70">
        <f>MAX(0.02,NORMINV(RAND(),$C$7,$D$7))</f>
        <v/>
      </c>
      <c r="M395" s="70">
        <f>MIN(0.16,MAX(0.05,NORMINV(RAND(),$C$8,$D$8)))</f>
        <v/>
      </c>
      <c r="N395" s="71">
        <f>MIN(24,MAX(5,NORMINV(RAND(),$C$9,$D$9)))</f>
        <v/>
      </c>
      <c r="O395" s="83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70">
        <f>MAX(-0.05,NORMINV(RAND(),$C$6,$D$6))</f>
        <v/>
      </c>
      <c r="L396" s="70">
        <f>MAX(0.02,NORMINV(RAND(),$C$7,$D$7))</f>
        <v/>
      </c>
      <c r="M396" s="70">
        <f>MIN(0.16,MAX(0.05,NORMINV(RAND(),$C$8,$D$8)))</f>
        <v/>
      </c>
      <c r="N396" s="71">
        <f>MIN(24,MAX(5,NORMINV(RAND(),$C$9,$D$9)))</f>
        <v/>
      </c>
      <c r="O396" s="83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70">
        <f>MAX(-0.05,NORMINV(RAND(),$C$6,$D$6))</f>
        <v/>
      </c>
      <c r="L397" s="70">
        <f>MAX(0.02,NORMINV(RAND(),$C$7,$D$7))</f>
        <v/>
      </c>
      <c r="M397" s="70">
        <f>MIN(0.16,MAX(0.05,NORMINV(RAND(),$C$8,$D$8)))</f>
        <v/>
      </c>
      <c r="N397" s="71">
        <f>MIN(24,MAX(5,NORMINV(RAND(),$C$9,$D$9)))</f>
        <v/>
      </c>
      <c r="O397" s="83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70">
        <f>MAX(-0.05,NORMINV(RAND(),$C$6,$D$6))</f>
        <v/>
      </c>
      <c r="L398" s="70">
        <f>MAX(0.02,NORMINV(RAND(),$C$7,$D$7))</f>
        <v/>
      </c>
      <c r="M398" s="70">
        <f>MIN(0.16,MAX(0.05,NORMINV(RAND(),$C$8,$D$8)))</f>
        <v/>
      </c>
      <c r="N398" s="71">
        <f>MIN(24,MAX(5,NORMINV(RAND(),$C$9,$D$9)))</f>
        <v/>
      </c>
      <c r="O398" s="83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70">
        <f>MAX(-0.05,NORMINV(RAND(),$C$6,$D$6))</f>
        <v/>
      </c>
      <c r="L399" s="70">
        <f>MAX(0.02,NORMINV(RAND(),$C$7,$D$7))</f>
        <v/>
      </c>
      <c r="M399" s="70">
        <f>MIN(0.16,MAX(0.05,NORMINV(RAND(),$C$8,$D$8)))</f>
        <v/>
      </c>
      <c r="N399" s="71">
        <f>MIN(24,MAX(5,NORMINV(RAND(),$C$9,$D$9)))</f>
        <v/>
      </c>
      <c r="O399" s="83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70">
        <f>MAX(-0.05,NORMINV(RAND(),$C$6,$D$6))</f>
        <v/>
      </c>
      <c r="L400" s="70">
        <f>MAX(0.02,NORMINV(RAND(),$C$7,$D$7))</f>
        <v/>
      </c>
      <c r="M400" s="70">
        <f>MIN(0.16,MAX(0.05,NORMINV(RAND(),$C$8,$D$8)))</f>
        <v/>
      </c>
      <c r="N400" s="71">
        <f>MIN(24,MAX(5,NORMINV(RAND(),$C$9,$D$9)))</f>
        <v/>
      </c>
      <c r="O400" s="83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70">
        <f>MAX(-0.05,NORMINV(RAND(),$C$6,$D$6))</f>
        <v/>
      </c>
      <c r="L401" s="70">
        <f>MAX(0.02,NORMINV(RAND(),$C$7,$D$7))</f>
        <v/>
      </c>
      <c r="M401" s="70">
        <f>MIN(0.16,MAX(0.05,NORMINV(RAND(),$C$8,$D$8)))</f>
        <v/>
      </c>
      <c r="N401" s="71">
        <f>MIN(24,MAX(5,NORMINV(RAND(),$C$9,$D$9)))</f>
        <v/>
      </c>
      <c r="O401" s="83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70">
        <f>MAX(-0.05,NORMINV(RAND(),$C$6,$D$6))</f>
        <v/>
      </c>
      <c r="L402" s="70">
        <f>MAX(0.02,NORMINV(RAND(),$C$7,$D$7))</f>
        <v/>
      </c>
      <c r="M402" s="70">
        <f>MIN(0.16,MAX(0.05,NORMINV(RAND(),$C$8,$D$8)))</f>
        <v/>
      </c>
      <c r="N402" s="71">
        <f>MIN(24,MAX(5,NORMINV(RAND(),$C$9,$D$9)))</f>
        <v/>
      </c>
      <c r="O402" s="83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70">
        <f>MAX(-0.05,NORMINV(RAND(),$C$6,$D$6))</f>
        <v/>
      </c>
      <c r="L403" s="70">
        <f>MAX(0.02,NORMINV(RAND(),$C$7,$D$7))</f>
        <v/>
      </c>
      <c r="M403" s="70">
        <f>MIN(0.16,MAX(0.05,NORMINV(RAND(),$C$8,$D$8)))</f>
        <v/>
      </c>
      <c r="N403" s="71">
        <f>MIN(24,MAX(5,NORMINV(RAND(),$C$9,$D$9)))</f>
        <v/>
      </c>
      <c r="O403" s="83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70">
        <f>MAX(-0.05,NORMINV(RAND(),$C$6,$D$6))</f>
        <v/>
      </c>
      <c r="L404" s="70">
        <f>MAX(0.02,NORMINV(RAND(),$C$7,$D$7))</f>
        <v/>
      </c>
      <c r="M404" s="70">
        <f>MIN(0.16,MAX(0.05,NORMINV(RAND(),$C$8,$D$8)))</f>
        <v/>
      </c>
      <c r="N404" s="71">
        <f>MIN(24,MAX(5,NORMINV(RAND(),$C$9,$D$9)))</f>
        <v/>
      </c>
      <c r="O404" s="83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70">
        <f>MAX(-0.05,NORMINV(RAND(),$C$6,$D$6))</f>
        <v/>
      </c>
      <c r="L405" s="70">
        <f>MAX(0.02,NORMINV(RAND(),$C$7,$D$7))</f>
        <v/>
      </c>
      <c r="M405" s="70">
        <f>MIN(0.16,MAX(0.05,NORMINV(RAND(),$C$8,$D$8)))</f>
        <v/>
      </c>
      <c r="N405" s="71">
        <f>MIN(24,MAX(5,NORMINV(RAND(),$C$9,$D$9)))</f>
        <v/>
      </c>
      <c r="O405" s="83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70">
        <f>MAX(-0.05,NORMINV(RAND(),$C$6,$D$6))</f>
        <v/>
      </c>
      <c r="L406" s="70">
        <f>MAX(0.02,NORMINV(RAND(),$C$7,$D$7))</f>
        <v/>
      </c>
      <c r="M406" s="70">
        <f>MIN(0.16,MAX(0.05,NORMINV(RAND(),$C$8,$D$8)))</f>
        <v/>
      </c>
      <c r="N406" s="71">
        <f>MIN(24,MAX(5,NORMINV(RAND(),$C$9,$D$9)))</f>
        <v/>
      </c>
      <c r="O406" s="83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70">
        <f>MAX(-0.05,NORMINV(RAND(),$C$6,$D$6))</f>
        <v/>
      </c>
      <c r="L407" s="70">
        <f>MAX(0.02,NORMINV(RAND(),$C$7,$D$7))</f>
        <v/>
      </c>
      <c r="M407" s="70">
        <f>MIN(0.16,MAX(0.05,NORMINV(RAND(),$C$8,$D$8)))</f>
        <v/>
      </c>
      <c r="N407" s="71">
        <f>MIN(24,MAX(5,NORMINV(RAND(),$C$9,$D$9)))</f>
        <v/>
      </c>
      <c r="O407" s="83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70">
        <f>MAX(-0.05,NORMINV(RAND(),$C$6,$D$6))</f>
        <v/>
      </c>
      <c r="L408" s="70">
        <f>MAX(0.02,NORMINV(RAND(),$C$7,$D$7))</f>
        <v/>
      </c>
      <c r="M408" s="70">
        <f>MIN(0.16,MAX(0.05,NORMINV(RAND(),$C$8,$D$8)))</f>
        <v/>
      </c>
      <c r="N408" s="71">
        <f>MIN(24,MAX(5,NORMINV(RAND(),$C$9,$D$9)))</f>
        <v/>
      </c>
      <c r="O408" s="83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70">
        <f>MAX(-0.05,NORMINV(RAND(),$C$6,$D$6))</f>
        <v/>
      </c>
      <c r="L409" s="70">
        <f>MAX(0.02,NORMINV(RAND(),$C$7,$D$7))</f>
        <v/>
      </c>
      <c r="M409" s="70">
        <f>MIN(0.16,MAX(0.05,NORMINV(RAND(),$C$8,$D$8)))</f>
        <v/>
      </c>
      <c r="N409" s="71">
        <f>MIN(24,MAX(5,NORMINV(RAND(),$C$9,$D$9)))</f>
        <v/>
      </c>
      <c r="O409" s="83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70">
        <f>MAX(-0.05,NORMINV(RAND(),$C$6,$D$6))</f>
        <v/>
      </c>
      <c r="L410" s="70">
        <f>MAX(0.02,NORMINV(RAND(),$C$7,$D$7))</f>
        <v/>
      </c>
      <c r="M410" s="70">
        <f>MIN(0.16,MAX(0.05,NORMINV(RAND(),$C$8,$D$8)))</f>
        <v/>
      </c>
      <c r="N410" s="71">
        <f>MIN(24,MAX(5,NORMINV(RAND(),$C$9,$D$9)))</f>
        <v/>
      </c>
      <c r="O410" s="83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70">
        <f>MAX(-0.05,NORMINV(RAND(),$C$6,$D$6))</f>
        <v/>
      </c>
      <c r="L411" s="70">
        <f>MAX(0.02,NORMINV(RAND(),$C$7,$D$7))</f>
        <v/>
      </c>
      <c r="M411" s="70">
        <f>MIN(0.16,MAX(0.05,NORMINV(RAND(),$C$8,$D$8)))</f>
        <v/>
      </c>
      <c r="N411" s="71">
        <f>MIN(24,MAX(5,NORMINV(RAND(),$C$9,$D$9)))</f>
        <v/>
      </c>
      <c r="O411" s="83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70">
        <f>MAX(-0.05,NORMINV(RAND(),$C$6,$D$6))</f>
        <v/>
      </c>
      <c r="L412" s="70">
        <f>MAX(0.02,NORMINV(RAND(),$C$7,$D$7))</f>
        <v/>
      </c>
      <c r="M412" s="70">
        <f>MIN(0.16,MAX(0.05,NORMINV(RAND(),$C$8,$D$8)))</f>
        <v/>
      </c>
      <c r="N412" s="71">
        <f>MIN(24,MAX(5,NORMINV(RAND(),$C$9,$D$9)))</f>
        <v/>
      </c>
      <c r="O412" s="83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70">
        <f>MAX(-0.05,NORMINV(RAND(),$C$6,$D$6))</f>
        <v/>
      </c>
      <c r="L413" s="70">
        <f>MAX(0.02,NORMINV(RAND(),$C$7,$D$7))</f>
        <v/>
      </c>
      <c r="M413" s="70">
        <f>MIN(0.16,MAX(0.05,NORMINV(RAND(),$C$8,$D$8)))</f>
        <v/>
      </c>
      <c r="N413" s="71">
        <f>MIN(24,MAX(5,NORMINV(RAND(),$C$9,$D$9)))</f>
        <v/>
      </c>
      <c r="O413" s="83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70">
        <f>MAX(-0.05,NORMINV(RAND(),$C$6,$D$6))</f>
        <v/>
      </c>
      <c r="L414" s="70">
        <f>MAX(0.02,NORMINV(RAND(),$C$7,$D$7))</f>
        <v/>
      </c>
      <c r="M414" s="70">
        <f>MIN(0.16,MAX(0.05,NORMINV(RAND(),$C$8,$D$8)))</f>
        <v/>
      </c>
      <c r="N414" s="71">
        <f>MIN(24,MAX(5,NORMINV(RAND(),$C$9,$D$9)))</f>
        <v/>
      </c>
      <c r="O414" s="83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70">
        <f>MAX(-0.05,NORMINV(RAND(),$C$6,$D$6))</f>
        <v/>
      </c>
      <c r="L415" s="70">
        <f>MAX(0.02,NORMINV(RAND(),$C$7,$D$7))</f>
        <v/>
      </c>
      <c r="M415" s="70">
        <f>MIN(0.16,MAX(0.05,NORMINV(RAND(),$C$8,$D$8)))</f>
        <v/>
      </c>
      <c r="N415" s="71">
        <f>MIN(24,MAX(5,NORMINV(RAND(),$C$9,$D$9)))</f>
        <v/>
      </c>
      <c r="O415" s="83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70">
        <f>MAX(-0.05,NORMINV(RAND(),$C$6,$D$6))</f>
        <v/>
      </c>
      <c r="L416" s="70">
        <f>MAX(0.02,NORMINV(RAND(),$C$7,$D$7))</f>
        <v/>
      </c>
      <c r="M416" s="70">
        <f>MIN(0.16,MAX(0.05,NORMINV(RAND(),$C$8,$D$8)))</f>
        <v/>
      </c>
      <c r="N416" s="71">
        <f>MIN(24,MAX(5,NORMINV(RAND(),$C$9,$D$9)))</f>
        <v/>
      </c>
      <c r="O416" s="83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70">
        <f>MAX(-0.05,NORMINV(RAND(),$C$6,$D$6))</f>
        <v/>
      </c>
      <c r="L417" s="70">
        <f>MAX(0.02,NORMINV(RAND(),$C$7,$D$7))</f>
        <v/>
      </c>
      <c r="M417" s="70">
        <f>MIN(0.16,MAX(0.05,NORMINV(RAND(),$C$8,$D$8)))</f>
        <v/>
      </c>
      <c r="N417" s="71">
        <f>MIN(24,MAX(5,NORMINV(RAND(),$C$9,$D$9)))</f>
        <v/>
      </c>
      <c r="O417" s="83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70">
        <f>MAX(-0.05,NORMINV(RAND(),$C$6,$D$6))</f>
        <v/>
      </c>
      <c r="L418" s="70">
        <f>MAX(0.02,NORMINV(RAND(),$C$7,$D$7))</f>
        <v/>
      </c>
      <c r="M418" s="70">
        <f>MIN(0.16,MAX(0.05,NORMINV(RAND(),$C$8,$D$8)))</f>
        <v/>
      </c>
      <c r="N418" s="71">
        <f>MIN(24,MAX(5,NORMINV(RAND(),$C$9,$D$9)))</f>
        <v/>
      </c>
      <c r="O418" s="83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70">
        <f>MAX(-0.05,NORMINV(RAND(),$C$6,$D$6))</f>
        <v/>
      </c>
      <c r="L419" s="70">
        <f>MAX(0.02,NORMINV(RAND(),$C$7,$D$7))</f>
        <v/>
      </c>
      <c r="M419" s="70">
        <f>MIN(0.16,MAX(0.05,NORMINV(RAND(),$C$8,$D$8)))</f>
        <v/>
      </c>
      <c r="N419" s="71">
        <f>MIN(24,MAX(5,NORMINV(RAND(),$C$9,$D$9)))</f>
        <v/>
      </c>
      <c r="O419" s="83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70">
        <f>MAX(-0.05,NORMINV(RAND(),$C$6,$D$6))</f>
        <v/>
      </c>
      <c r="L420" s="70">
        <f>MAX(0.02,NORMINV(RAND(),$C$7,$D$7))</f>
        <v/>
      </c>
      <c r="M420" s="70">
        <f>MIN(0.16,MAX(0.05,NORMINV(RAND(),$C$8,$D$8)))</f>
        <v/>
      </c>
      <c r="N420" s="71">
        <f>MIN(24,MAX(5,NORMINV(RAND(),$C$9,$D$9)))</f>
        <v/>
      </c>
      <c r="O420" s="83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70">
        <f>MAX(-0.05,NORMINV(RAND(),$C$6,$D$6))</f>
        <v/>
      </c>
      <c r="L421" s="70">
        <f>MAX(0.02,NORMINV(RAND(),$C$7,$D$7))</f>
        <v/>
      </c>
      <c r="M421" s="70">
        <f>MIN(0.16,MAX(0.05,NORMINV(RAND(),$C$8,$D$8)))</f>
        <v/>
      </c>
      <c r="N421" s="71">
        <f>MIN(24,MAX(5,NORMINV(RAND(),$C$9,$D$9)))</f>
        <v/>
      </c>
      <c r="O421" s="83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70">
        <f>MAX(-0.05,NORMINV(RAND(),$C$6,$D$6))</f>
        <v/>
      </c>
      <c r="L422" s="70">
        <f>MAX(0.02,NORMINV(RAND(),$C$7,$D$7))</f>
        <v/>
      </c>
      <c r="M422" s="70">
        <f>MIN(0.16,MAX(0.05,NORMINV(RAND(),$C$8,$D$8)))</f>
        <v/>
      </c>
      <c r="N422" s="71">
        <f>MIN(24,MAX(5,NORMINV(RAND(),$C$9,$D$9)))</f>
        <v/>
      </c>
      <c r="O422" s="83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70">
        <f>MAX(-0.05,NORMINV(RAND(),$C$6,$D$6))</f>
        <v/>
      </c>
      <c r="L423" s="70">
        <f>MAX(0.02,NORMINV(RAND(),$C$7,$D$7))</f>
        <v/>
      </c>
      <c r="M423" s="70">
        <f>MIN(0.16,MAX(0.05,NORMINV(RAND(),$C$8,$D$8)))</f>
        <v/>
      </c>
      <c r="N423" s="71">
        <f>MIN(24,MAX(5,NORMINV(RAND(),$C$9,$D$9)))</f>
        <v/>
      </c>
      <c r="O423" s="83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70">
        <f>MAX(-0.05,NORMINV(RAND(),$C$6,$D$6))</f>
        <v/>
      </c>
      <c r="L424" s="70">
        <f>MAX(0.02,NORMINV(RAND(),$C$7,$D$7))</f>
        <v/>
      </c>
      <c r="M424" s="70">
        <f>MIN(0.16,MAX(0.05,NORMINV(RAND(),$C$8,$D$8)))</f>
        <v/>
      </c>
      <c r="N424" s="71">
        <f>MIN(24,MAX(5,NORMINV(RAND(),$C$9,$D$9)))</f>
        <v/>
      </c>
      <c r="O424" s="83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70">
        <f>MAX(-0.05,NORMINV(RAND(),$C$6,$D$6))</f>
        <v/>
      </c>
      <c r="L425" s="70">
        <f>MAX(0.02,NORMINV(RAND(),$C$7,$D$7))</f>
        <v/>
      </c>
      <c r="M425" s="70">
        <f>MIN(0.16,MAX(0.05,NORMINV(RAND(),$C$8,$D$8)))</f>
        <v/>
      </c>
      <c r="N425" s="71">
        <f>MIN(24,MAX(5,NORMINV(RAND(),$C$9,$D$9)))</f>
        <v/>
      </c>
      <c r="O425" s="83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70">
        <f>MAX(-0.05,NORMINV(RAND(),$C$6,$D$6))</f>
        <v/>
      </c>
      <c r="L426" s="70">
        <f>MAX(0.02,NORMINV(RAND(),$C$7,$D$7))</f>
        <v/>
      </c>
      <c r="M426" s="70">
        <f>MIN(0.16,MAX(0.05,NORMINV(RAND(),$C$8,$D$8)))</f>
        <v/>
      </c>
      <c r="N426" s="71">
        <f>MIN(24,MAX(5,NORMINV(RAND(),$C$9,$D$9)))</f>
        <v/>
      </c>
      <c r="O426" s="83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70">
        <f>MAX(-0.05,NORMINV(RAND(),$C$6,$D$6))</f>
        <v/>
      </c>
      <c r="L427" s="70">
        <f>MAX(0.02,NORMINV(RAND(),$C$7,$D$7))</f>
        <v/>
      </c>
      <c r="M427" s="70">
        <f>MIN(0.16,MAX(0.05,NORMINV(RAND(),$C$8,$D$8)))</f>
        <v/>
      </c>
      <c r="N427" s="71">
        <f>MIN(24,MAX(5,NORMINV(RAND(),$C$9,$D$9)))</f>
        <v/>
      </c>
      <c r="O427" s="83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70">
        <f>MAX(-0.05,NORMINV(RAND(),$C$6,$D$6))</f>
        <v/>
      </c>
      <c r="L428" s="70">
        <f>MAX(0.02,NORMINV(RAND(),$C$7,$D$7))</f>
        <v/>
      </c>
      <c r="M428" s="70">
        <f>MIN(0.16,MAX(0.05,NORMINV(RAND(),$C$8,$D$8)))</f>
        <v/>
      </c>
      <c r="N428" s="71">
        <f>MIN(24,MAX(5,NORMINV(RAND(),$C$9,$D$9)))</f>
        <v/>
      </c>
      <c r="O428" s="83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70">
        <f>MAX(-0.05,NORMINV(RAND(),$C$6,$D$6))</f>
        <v/>
      </c>
      <c r="L429" s="70">
        <f>MAX(0.02,NORMINV(RAND(),$C$7,$D$7))</f>
        <v/>
      </c>
      <c r="M429" s="70">
        <f>MIN(0.16,MAX(0.05,NORMINV(RAND(),$C$8,$D$8)))</f>
        <v/>
      </c>
      <c r="N429" s="71">
        <f>MIN(24,MAX(5,NORMINV(RAND(),$C$9,$D$9)))</f>
        <v/>
      </c>
      <c r="O429" s="83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70">
        <f>MAX(-0.05,NORMINV(RAND(),$C$6,$D$6))</f>
        <v/>
      </c>
      <c r="L430" s="70">
        <f>MAX(0.02,NORMINV(RAND(),$C$7,$D$7))</f>
        <v/>
      </c>
      <c r="M430" s="70">
        <f>MIN(0.16,MAX(0.05,NORMINV(RAND(),$C$8,$D$8)))</f>
        <v/>
      </c>
      <c r="N430" s="71">
        <f>MIN(24,MAX(5,NORMINV(RAND(),$C$9,$D$9)))</f>
        <v/>
      </c>
      <c r="O430" s="83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70">
        <f>MAX(-0.05,NORMINV(RAND(),$C$6,$D$6))</f>
        <v/>
      </c>
      <c r="L431" s="70">
        <f>MAX(0.02,NORMINV(RAND(),$C$7,$D$7))</f>
        <v/>
      </c>
      <c r="M431" s="70">
        <f>MIN(0.16,MAX(0.05,NORMINV(RAND(),$C$8,$D$8)))</f>
        <v/>
      </c>
      <c r="N431" s="71">
        <f>MIN(24,MAX(5,NORMINV(RAND(),$C$9,$D$9)))</f>
        <v/>
      </c>
      <c r="O431" s="83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70">
        <f>MAX(-0.05,NORMINV(RAND(),$C$6,$D$6))</f>
        <v/>
      </c>
      <c r="L432" s="70">
        <f>MAX(0.02,NORMINV(RAND(),$C$7,$D$7))</f>
        <v/>
      </c>
      <c r="M432" s="70">
        <f>MIN(0.16,MAX(0.05,NORMINV(RAND(),$C$8,$D$8)))</f>
        <v/>
      </c>
      <c r="N432" s="71">
        <f>MIN(24,MAX(5,NORMINV(RAND(),$C$9,$D$9)))</f>
        <v/>
      </c>
      <c r="O432" s="83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70">
        <f>MAX(-0.05,NORMINV(RAND(),$C$6,$D$6))</f>
        <v/>
      </c>
      <c r="L433" s="70">
        <f>MAX(0.02,NORMINV(RAND(),$C$7,$D$7))</f>
        <v/>
      </c>
      <c r="M433" s="70">
        <f>MIN(0.16,MAX(0.05,NORMINV(RAND(),$C$8,$D$8)))</f>
        <v/>
      </c>
      <c r="N433" s="71">
        <f>MIN(24,MAX(5,NORMINV(RAND(),$C$9,$D$9)))</f>
        <v/>
      </c>
      <c r="O433" s="83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70">
        <f>MAX(-0.05,NORMINV(RAND(),$C$6,$D$6))</f>
        <v/>
      </c>
      <c r="L434" s="70">
        <f>MAX(0.02,NORMINV(RAND(),$C$7,$D$7))</f>
        <v/>
      </c>
      <c r="M434" s="70">
        <f>MIN(0.16,MAX(0.05,NORMINV(RAND(),$C$8,$D$8)))</f>
        <v/>
      </c>
      <c r="N434" s="71">
        <f>MIN(24,MAX(5,NORMINV(RAND(),$C$9,$D$9)))</f>
        <v/>
      </c>
      <c r="O434" s="83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70">
        <f>MAX(-0.05,NORMINV(RAND(),$C$6,$D$6))</f>
        <v/>
      </c>
      <c r="L435" s="70">
        <f>MAX(0.02,NORMINV(RAND(),$C$7,$D$7))</f>
        <v/>
      </c>
      <c r="M435" s="70">
        <f>MIN(0.16,MAX(0.05,NORMINV(RAND(),$C$8,$D$8)))</f>
        <v/>
      </c>
      <c r="N435" s="71">
        <f>MIN(24,MAX(5,NORMINV(RAND(),$C$9,$D$9)))</f>
        <v/>
      </c>
      <c r="O435" s="83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70">
        <f>MAX(-0.05,NORMINV(RAND(),$C$6,$D$6))</f>
        <v/>
      </c>
      <c r="L436" s="70">
        <f>MAX(0.02,NORMINV(RAND(),$C$7,$D$7))</f>
        <v/>
      </c>
      <c r="M436" s="70">
        <f>MIN(0.16,MAX(0.05,NORMINV(RAND(),$C$8,$D$8)))</f>
        <v/>
      </c>
      <c r="N436" s="71">
        <f>MIN(24,MAX(5,NORMINV(RAND(),$C$9,$D$9)))</f>
        <v/>
      </c>
      <c r="O436" s="83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70">
        <f>MAX(-0.05,NORMINV(RAND(),$C$6,$D$6))</f>
        <v/>
      </c>
      <c r="L437" s="70">
        <f>MAX(0.02,NORMINV(RAND(),$C$7,$D$7))</f>
        <v/>
      </c>
      <c r="M437" s="70">
        <f>MIN(0.16,MAX(0.05,NORMINV(RAND(),$C$8,$D$8)))</f>
        <v/>
      </c>
      <c r="N437" s="71">
        <f>MIN(24,MAX(5,NORMINV(RAND(),$C$9,$D$9)))</f>
        <v/>
      </c>
      <c r="O437" s="83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70">
        <f>MAX(-0.05,NORMINV(RAND(),$C$6,$D$6))</f>
        <v/>
      </c>
      <c r="L438" s="70">
        <f>MAX(0.02,NORMINV(RAND(),$C$7,$D$7))</f>
        <v/>
      </c>
      <c r="M438" s="70">
        <f>MIN(0.16,MAX(0.05,NORMINV(RAND(),$C$8,$D$8)))</f>
        <v/>
      </c>
      <c r="N438" s="71">
        <f>MIN(24,MAX(5,NORMINV(RAND(),$C$9,$D$9)))</f>
        <v/>
      </c>
      <c r="O438" s="83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70">
        <f>MAX(-0.05,NORMINV(RAND(),$C$6,$D$6))</f>
        <v/>
      </c>
      <c r="L439" s="70">
        <f>MAX(0.02,NORMINV(RAND(),$C$7,$D$7))</f>
        <v/>
      </c>
      <c r="M439" s="70">
        <f>MIN(0.16,MAX(0.05,NORMINV(RAND(),$C$8,$D$8)))</f>
        <v/>
      </c>
      <c r="N439" s="71">
        <f>MIN(24,MAX(5,NORMINV(RAND(),$C$9,$D$9)))</f>
        <v/>
      </c>
      <c r="O439" s="83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70">
        <f>MAX(-0.05,NORMINV(RAND(),$C$6,$D$6))</f>
        <v/>
      </c>
      <c r="L440" s="70">
        <f>MAX(0.02,NORMINV(RAND(),$C$7,$D$7))</f>
        <v/>
      </c>
      <c r="M440" s="70">
        <f>MIN(0.16,MAX(0.05,NORMINV(RAND(),$C$8,$D$8)))</f>
        <v/>
      </c>
      <c r="N440" s="71">
        <f>MIN(24,MAX(5,NORMINV(RAND(),$C$9,$D$9)))</f>
        <v/>
      </c>
      <c r="O440" s="83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70">
        <f>MAX(-0.05,NORMINV(RAND(),$C$6,$D$6))</f>
        <v/>
      </c>
      <c r="L441" s="70">
        <f>MAX(0.02,NORMINV(RAND(),$C$7,$D$7))</f>
        <v/>
      </c>
      <c r="M441" s="70">
        <f>MIN(0.16,MAX(0.05,NORMINV(RAND(),$C$8,$D$8)))</f>
        <v/>
      </c>
      <c r="N441" s="71">
        <f>MIN(24,MAX(5,NORMINV(RAND(),$C$9,$D$9)))</f>
        <v/>
      </c>
      <c r="O441" s="83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70">
        <f>MAX(-0.05,NORMINV(RAND(),$C$6,$D$6))</f>
        <v/>
      </c>
      <c r="L442" s="70">
        <f>MAX(0.02,NORMINV(RAND(),$C$7,$D$7))</f>
        <v/>
      </c>
      <c r="M442" s="70">
        <f>MIN(0.16,MAX(0.05,NORMINV(RAND(),$C$8,$D$8)))</f>
        <v/>
      </c>
      <c r="N442" s="71">
        <f>MIN(24,MAX(5,NORMINV(RAND(),$C$9,$D$9)))</f>
        <v/>
      </c>
      <c r="O442" s="83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70">
        <f>MAX(-0.05,NORMINV(RAND(),$C$6,$D$6))</f>
        <v/>
      </c>
      <c r="L443" s="70">
        <f>MAX(0.02,NORMINV(RAND(),$C$7,$D$7))</f>
        <v/>
      </c>
      <c r="M443" s="70">
        <f>MIN(0.16,MAX(0.05,NORMINV(RAND(),$C$8,$D$8)))</f>
        <v/>
      </c>
      <c r="N443" s="71">
        <f>MIN(24,MAX(5,NORMINV(RAND(),$C$9,$D$9)))</f>
        <v/>
      </c>
      <c r="O443" s="83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70">
        <f>MAX(-0.05,NORMINV(RAND(),$C$6,$D$6))</f>
        <v/>
      </c>
      <c r="L444" s="70">
        <f>MAX(0.02,NORMINV(RAND(),$C$7,$D$7))</f>
        <v/>
      </c>
      <c r="M444" s="70">
        <f>MIN(0.16,MAX(0.05,NORMINV(RAND(),$C$8,$D$8)))</f>
        <v/>
      </c>
      <c r="N444" s="71">
        <f>MIN(24,MAX(5,NORMINV(RAND(),$C$9,$D$9)))</f>
        <v/>
      </c>
      <c r="O444" s="83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70">
        <f>MAX(-0.05,NORMINV(RAND(),$C$6,$D$6))</f>
        <v/>
      </c>
      <c r="L445" s="70">
        <f>MAX(0.02,NORMINV(RAND(),$C$7,$D$7))</f>
        <v/>
      </c>
      <c r="M445" s="70">
        <f>MIN(0.16,MAX(0.05,NORMINV(RAND(),$C$8,$D$8)))</f>
        <v/>
      </c>
      <c r="N445" s="71">
        <f>MIN(24,MAX(5,NORMINV(RAND(),$C$9,$D$9)))</f>
        <v/>
      </c>
      <c r="O445" s="83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70">
        <f>MAX(-0.05,NORMINV(RAND(),$C$6,$D$6))</f>
        <v/>
      </c>
      <c r="L446" s="70">
        <f>MAX(0.02,NORMINV(RAND(),$C$7,$D$7))</f>
        <v/>
      </c>
      <c r="M446" s="70">
        <f>MIN(0.16,MAX(0.05,NORMINV(RAND(),$C$8,$D$8)))</f>
        <v/>
      </c>
      <c r="N446" s="71">
        <f>MIN(24,MAX(5,NORMINV(RAND(),$C$9,$D$9)))</f>
        <v/>
      </c>
      <c r="O446" s="83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70">
        <f>MAX(-0.05,NORMINV(RAND(),$C$6,$D$6))</f>
        <v/>
      </c>
      <c r="L447" s="70">
        <f>MAX(0.02,NORMINV(RAND(),$C$7,$D$7))</f>
        <v/>
      </c>
      <c r="M447" s="70">
        <f>MIN(0.16,MAX(0.05,NORMINV(RAND(),$C$8,$D$8)))</f>
        <v/>
      </c>
      <c r="N447" s="71">
        <f>MIN(24,MAX(5,NORMINV(RAND(),$C$9,$D$9)))</f>
        <v/>
      </c>
      <c r="O447" s="83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70">
        <f>MAX(-0.05,NORMINV(RAND(),$C$6,$D$6))</f>
        <v/>
      </c>
      <c r="L448" s="70">
        <f>MAX(0.02,NORMINV(RAND(),$C$7,$D$7))</f>
        <v/>
      </c>
      <c r="M448" s="70">
        <f>MIN(0.16,MAX(0.05,NORMINV(RAND(),$C$8,$D$8)))</f>
        <v/>
      </c>
      <c r="N448" s="71">
        <f>MIN(24,MAX(5,NORMINV(RAND(),$C$9,$D$9)))</f>
        <v/>
      </c>
      <c r="O448" s="83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70">
        <f>MAX(-0.05,NORMINV(RAND(),$C$6,$D$6))</f>
        <v/>
      </c>
      <c r="L449" s="70">
        <f>MAX(0.02,NORMINV(RAND(),$C$7,$D$7))</f>
        <v/>
      </c>
      <c r="M449" s="70">
        <f>MIN(0.16,MAX(0.05,NORMINV(RAND(),$C$8,$D$8)))</f>
        <v/>
      </c>
      <c r="N449" s="71">
        <f>MIN(24,MAX(5,NORMINV(RAND(),$C$9,$D$9)))</f>
        <v/>
      </c>
      <c r="O449" s="83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70">
        <f>MAX(-0.05,NORMINV(RAND(),$C$6,$D$6))</f>
        <v/>
      </c>
      <c r="L450" s="70">
        <f>MAX(0.02,NORMINV(RAND(),$C$7,$D$7))</f>
        <v/>
      </c>
      <c r="M450" s="70">
        <f>MIN(0.16,MAX(0.05,NORMINV(RAND(),$C$8,$D$8)))</f>
        <v/>
      </c>
      <c r="N450" s="71">
        <f>MIN(24,MAX(5,NORMINV(RAND(),$C$9,$D$9)))</f>
        <v/>
      </c>
      <c r="O450" s="83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70">
        <f>MAX(-0.05,NORMINV(RAND(),$C$6,$D$6))</f>
        <v/>
      </c>
      <c r="L451" s="70">
        <f>MAX(0.02,NORMINV(RAND(),$C$7,$D$7))</f>
        <v/>
      </c>
      <c r="M451" s="70">
        <f>MIN(0.16,MAX(0.05,NORMINV(RAND(),$C$8,$D$8)))</f>
        <v/>
      </c>
      <c r="N451" s="71">
        <f>MIN(24,MAX(5,NORMINV(RAND(),$C$9,$D$9)))</f>
        <v/>
      </c>
      <c r="O451" s="83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70">
        <f>MAX(-0.05,NORMINV(RAND(),$C$6,$D$6))</f>
        <v/>
      </c>
      <c r="L452" s="70">
        <f>MAX(0.02,NORMINV(RAND(),$C$7,$D$7))</f>
        <v/>
      </c>
      <c r="M452" s="70">
        <f>MIN(0.16,MAX(0.05,NORMINV(RAND(),$C$8,$D$8)))</f>
        <v/>
      </c>
      <c r="N452" s="71">
        <f>MIN(24,MAX(5,NORMINV(RAND(),$C$9,$D$9)))</f>
        <v/>
      </c>
      <c r="O452" s="83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70">
        <f>MAX(-0.05,NORMINV(RAND(),$C$6,$D$6))</f>
        <v/>
      </c>
      <c r="L453" s="70">
        <f>MAX(0.02,NORMINV(RAND(),$C$7,$D$7))</f>
        <v/>
      </c>
      <c r="M453" s="70">
        <f>MIN(0.16,MAX(0.05,NORMINV(RAND(),$C$8,$D$8)))</f>
        <v/>
      </c>
      <c r="N453" s="71">
        <f>MIN(24,MAX(5,NORMINV(RAND(),$C$9,$D$9)))</f>
        <v/>
      </c>
      <c r="O453" s="83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70">
        <f>MAX(-0.05,NORMINV(RAND(),$C$6,$D$6))</f>
        <v/>
      </c>
      <c r="L454" s="70">
        <f>MAX(0.02,NORMINV(RAND(),$C$7,$D$7))</f>
        <v/>
      </c>
      <c r="M454" s="70">
        <f>MIN(0.16,MAX(0.05,NORMINV(RAND(),$C$8,$D$8)))</f>
        <v/>
      </c>
      <c r="N454" s="71">
        <f>MIN(24,MAX(5,NORMINV(RAND(),$C$9,$D$9)))</f>
        <v/>
      </c>
      <c r="O454" s="83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70">
        <f>MAX(-0.05,NORMINV(RAND(),$C$6,$D$6))</f>
        <v/>
      </c>
      <c r="L455" s="70">
        <f>MAX(0.02,NORMINV(RAND(),$C$7,$D$7))</f>
        <v/>
      </c>
      <c r="M455" s="70">
        <f>MIN(0.16,MAX(0.05,NORMINV(RAND(),$C$8,$D$8)))</f>
        <v/>
      </c>
      <c r="N455" s="71">
        <f>MIN(24,MAX(5,NORMINV(RAND(),$C$9,$D$9)))</f>
        <v/>
      </c>
      <c r="O455" s="83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70">
        <f>MAX(-0.05,NORMINV(RAND(),$C$6,$D$6))</f>
        <v/>
      </c>
      <c r="L456" s="70">
        <f>MAX(0.02,NORMINV(RAND(),$C$7,$D$7))</f>
        <v/>
      </c>
      <c r="M456" s="70">
        <f>MIN(0.16,MAX(0.05,NORMINV(RAND(),$C$8,$D$8)))</f>
        <v/>
      </c>
      <c r="N456" s="71">
        <f>MIN(24,MAX(5,NORMINV(RAND(),$C$9,$D$9)))</f>
        <v/>
      </c>
      <c r="O456" s="83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70">
        <f>MAX(-0.05,NORMINV(RAND(),$C$6,$D$6))</f>
        <v/>
      </c>
      <c r="L457" s="70">
        <f>MAX(0.02,NORMINV(RAND(),$C$7,$D$7))</f>
        <v/>
      </c>
      <c r="M457" s="70">
        <f>MIN(0.16,MAX(0.05,NORMINV(RAND(),$C$8,$D$8)))</f>
        <v/>
      </c>
      <c r="N457" s="71">
        <f>MIN(24,MAX(5,NORMINV(RAND(),$C$9,$D$9)))</f>
        <v/>
      </c>
      <c r="O457" s="83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70">
        <f>MAX(-0.05,NORMINV(RAND(),$C$6,$D$6))</f>
        <v/>
      </c>
      <c r="L458" s="70">
        <f>MAX(0.02,NORMINV(RAND(),$C$7,$D$7))</f>
        <v/>
      </c>
      <c r="M458" s="70">
        <f>MIN(0.16,MAX(0.05,NORMINV(RAND(),$C$8,$D$8)))</f>
        <v/>
      </c>
      <c r="N458" s="71">
        <f>MIN(24,MAX(5,NORMINV(RAND(),$C$9,$D$9)))</f>
        <v/>
      </c>
      <c r="O458" s="83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70">
        <f>MAX(-0.05,NORMINV(RAND(),$C$6,$D$6))</f>
        <v/>
      </c>
      <c r="L459" s="70">
        <f>MAX(0.02,NORMINV(RAND(),$C$7,$D$7))</f>
        <v/>
      </c>
      <c r="M459" s="70">
        <f>MIN(0.16,MAX(0.05,NORMINV(RAND(),$C$8,$D$8)))</f>
        <v/>
      </c>
      <c r="N459" s="71">
        <f>MIN(24,MAX(5,NORMINV(RAND(),$C$9,$D$9)))</f>
        <v/>
      </c>
      <c r="O459" s="83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70">
        <f>MAX(-0.05,NORMINV(RAND(),$C$6,$D$6))</f>
        <v/>
      </c>
      <c r="L460" s="70">
        <f>MAX(0.02,NORMINV(RAND(),$C$7,$D$7))</f>
        <v/>
      </c>
      <c r="M460" s="70">
        <f>MIN(0.16,MAX(0.05,NORMINV(RAND(),$C$8,$D$8)))</f>
        <v/>
      </c>
      <c r="N460" s="71">
        <f>MIN(24,MAX(5,NORMINV(RAND(),$C$9,$D$9)))</f>
        <v/>
      </c>
      <c r="O460" s="83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70">
        <f>MAX(-0.05,NORMINV(RAND(),$C$6,$D$6))</f>
        <v/>
      </c>
      <c r="L461" s="70">
        <f>MAX(0.02,NORMINV(RAND(),$C$7,$D$7))</f>
        <v/>
      </c>
      <c r="M461" s="70">
        <f>MIN(0.16,MAX(0.05,NORMINV(RAND(),$C$8,$D$8)))</f>
        <v/>
      </c>
      <c r="N461" s="71">
        <f>MIN(24,MAX(5,NORMINV(RAND(),$C$9,$D$9)))</f>
        <v/>
      </c>
      <c r="O461" s="83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70">
        <f>MAX(-0.05,NORMINV(RAND(),$C$6,$D$6))</f>
        <v/>
      </c>
      <c r="L462" s="70">
        <f>MAX(0.02,NORMINV(RAND(),$C$7,$D$7))</f>
        <v/>
      </c>
      <c r="M462" s="70">
        <f>MIN(0.16,MAX(0.05,NORMINV(RAND(),$C$8,$D$8)))</f>
        <v/>
      </c>
      <c r="N462" s="71">
        <f>MIN(24,MAX(5,NORMINV(RAND(),$C$9,$D$9)))</f>
        <v/>
      </c>
      <c r="O462" s="83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70">
        <f>MAX(-0.05,NORMINV(RAND(),$C$6,$D$6))</f>
        <v/>
      </c>
      <c r="L463" s="70">
        <f>MAX(0.02,NORMINV(RAND(),$C$7,$D$7))</f>
        <v/>
      </c>
      <c r="M463" s="70">
        <f>MIN(0.16,MAX(0.05,NORMINV(RAND(),$C$8,$D$8)))</f>
        <v/>
      </c>
      <c r="N463" s="71">
        <f>MIN(24,MAX(5,NORMINV(RAND(),$C$9,$D$9)))</f>
        <v/>
      </c>
      <c r="O463" s="83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70">
        <f>MAX(-0.05,NORMINV(RAND(),$C$6,$D$6))</f>
        <v/>
      </c>
      <c r="L464" s="70">
        <f>MAX(0.02,NORMINV(RAND(),$C$7,$D$7))</f>
        <v/>
      </c>
      <c r="M464" s="70">
        <f>MIN(0.16,MAX(0.05,NORMINV(RAND(),$C$8,$D$8)))</f>
        <v/>
      </c>
      <c r="N464" s="71">
        <f>MIN(24,MAX(5,NORMINV(RAND(),$C$9,$D$9)))</f>
        <v/>
      </c>
      <c r="O464" s="83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70">
        <f>MAX(-0.05,NORMINV(RAND(),$C$6,$D$6))</f>
        <v/>
      </c>
      <c r="L465" s="70">
        <f>MAX(0.02,NORMINV(RAND(),$C$7,$D$7))</f>
        <v/>
      </c>
      <c r="M465" s="70">
        <f>MIN(0.16,MAX(0.05,NORMINV(RAND(),$C$8,$D$8)))</f>
        <v/>
      </c>
      <c r="N465" s="71">
        <f>MIN(24,MAX(5,NORMINV(RAND(),$C$9,$D$9)))</f>
        <v/>
      </c>
      <c r="O465" s="83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70">
        <f>MAX(-0.05,NORMINV(RAND(),$C$6,$D$6))</f>
        <v/>
      </c>
      <c r="L466" s="70">
        <f>MAX(0.02,NORMINV(RAND(),$C$7,$D$7))</f>
        <v/>
      </c>
      <c r="M466" s="70">
        <f>MIN(0.16,MAX(0.05,NORMINV(RAND(),$C$8,$D$8)))</f>
        <v/>
      </c>
      <c r="N466" s="71">
        <f>MIN(24,MAX(5,NORMINV(RAND(),$C$9,$D$9)))</f>
        <v/>
      </c>
      <c r="O466" s="83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70">
        <f>MAX(-0.05,NORMINV(RAND(),$C$6,$D$6))</f>
        <v/>
      </c>
      <c r="L467" s="70">
        <f>MAX(0.02,NORMINV(RAND(),$C$7,$D$7))</f>
        <v/>
      </c>
      <c r="M467" s="70">
        <f>MIN(0.16,MAX(0.05,NORMINV(RAND(),$C$8,$D$8)))</f>
        <v/>
      </c>
      <c r="N467" s="71">
        <f>MIN(24,MAX(5,NORMINV(RAND(),$C$9,$D$9)))</f>
        <v/>
      </c>
      <c r="O467" s="83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70">
        <f>MAX(-0.05,NORMINV(RAND(),$C$6,$D$6))</f>
        <v/>
      </c>
      <c r="L468" s="70">
        <f>MAX(0.02,NORMINV(RAND(),$C$7,$D$7))</f>
        <v/>
      </c>
      <c r="M468" s="70">
        <f>MIN(0.16,MAX(0.05,NORMINV(RAND(),$C$8,$D$8)))</f>
        <v/>
      </c>
      <c r="N468" s="71">
        <f>MIN(24,MAX(5,NORMINV(RAND(),$C$9,$D$9)))</f>
        <v/>
      </c>
      <c r="O468" s="83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70">
        <f>MAX(-0.05,NORMINV(RAND(),$C$6,$D$6))</f>
        <v/>
      </c>
      <c r="L469" s="70">
        <f>MAX(0.02,NORMINV(RAND(),$C$7,$D$7))</f>
        <v/>
      </c>
      <c r="M469" s="70">
        <f>MIN(0.16,MAX(0.05,NORMINV(RAND(),$C$8,$D$8)))</f>
        <v/>
      </c>
      <c r="N469" s="71">
        <f>MIN(24,MAX(5,NORMINV(RAND(),$C$9,$D$9)))</f>
        <v/>
      </c>
      <c r="O469" s="83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70">
        <f>MAX(-0.05,NORMINV(RAND(),$C$6,$D$6))</f>
        <v/>
      </c>
      <c r="L470" s="70">
        <f>MAX(0.02,NORMINV(RAND(),$C$7,$D$7))</f>
        <v/>
      </c>
      <c r="M470" s="70">
        <f>MIN(0.16,MAX(0.05,NORMINV(RAND(),$C$8,$D$8)))</f>
        <v/>
      </c>
      <c r="N470" s="71">
        <f>MIN(24,MAX(5,NORMINV(RAND(),$C$9,$D$9)))</f>
        <v/>
      </c>
      <c r="O470" s="83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70">
        <f>MAX(-0.05,NORMINV(RAND(),$C$6,$D$6))</f>
        <v/>
      </c>
      <c r="L471" s="70">
        <f>MAX(0.02,NORMINV(RAND(),$C$7,$D$7))</f>
        <v/>
      </c>
      <c r="M471" s="70">
        <f>MIN(0.16,MAX(0.05,NORMINV(RAND(),$C$8,$D$8)))</f>
        <v/>
      </c>
      <c r="N471" s="71">
        <f>MIN(24,MAX(5,NORMINV(RAND(),$C$9,$D$9)))</f>
        <v/>
      </c>
      <c r="O471" s="83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70">
        <f>MAX(-0.05,NORMINV(RAND(),$C$6,$D$6))</f>
        <v/>
      </c>
      <c r="L472" s="70">
        <f>MAX(0.02,NORMINV(RAND(),$C$7,$D$7))</f>
        <v/>
      </c>
      <c r="M472" s="70">
        <f>MIN(0.16,MAX(0.05,NORMINV(RAND(),$C$8,$D$8)))</f>
        <v/>
      </c>
      <c r="N472" s="71">
        <f>MIN(24,MAX(5,NORMINV(RAND(),$C$9,$D$9)))</f>
        <v/>
      </c>
      <c r="O472" s="83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70">
        <f>MAX(-0.05,NORMINV(RAND(),$C$6,$D$6))</f>
        <v/>
      </c>
      <c r="L473" s="70">
        <f>MAX(0.02,NORMINV(RAND(),$C$7,$D$7))</f>
        <v/>
      </c>
      <c r="M473" s="70">
        <f>MIN(0.16,MAX(0.05,NORMINV(RAND(),$C$8,$D$8)))</f>
        <v/>
      </c>
      <c r="N473" s="71">
        <f>MIN(24,MAX(5,NORMINV(RAND(),$C$9,$D$9)))</f>
        <v/>
      </c>
      <c r="O473" s="83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70">
        <f>MAX(-0.05,NORMINV(RAND(),$C$6,$D$6))</f>
        <v/>
      </c>
      <c r="L474" s="70">
        <f>MAX(0.02,NORMINV(RAND(),$C$7,$D$7))</f>
        <v/>
      </c>
      <c r="M474" s="70">
        <f>MIN(0.16,MAX(0.05,NORMINV(RAND(),$C$8,$D$8)))</f>
        <v/>
      </c>
      <c r="N474" s="71">
        <f>MIN(24,MAX(5,NORMINV(RAND(),$C$9,$D$9)))</f>
        <v/>
      </c>
      <c r="O474" s="83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70">
        <f>MAX(-0.05,NORMINV(RAND(),$C$6,$D$6))</f>
        <v/>
      </c>
      <c r="L475" s="70">
        <f>MAX(0.02,NORMINV(RAND(),$C$7,$D$7))</f>
        <v/>
      </c>
      <c r="M475" s="70">
        <f>MIN(0.16,MAX(0.05,NORMINV(RAND(),$C$8,$D$8)))</f>
        <v/>
      </c>
      <c r="N475" s="71">
        <f>MIN(24,MAX(5,NORMINV(RAND(),$C$9,$D$9)))</f>
        <v/>
      </c>
      <c r="O475" s="83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70">
        <f>MAX(-0.05,NORMINV(RAND(),$C$6,$D$6))</f>
        <v/>
      </c>
      <c r="L476" s="70">
        <f>MAX(0.02,NORMINV(RAND(),$C$7,$D$7))</f>
        <v/>
      </c>
      <c r="M476" s="70">
        <f>MIN(0.16,MAX(0.05,NORMINV(RAND(),$C$8,$D$8)))</f>
        <v/>
      </c>
      <c r="N476" s="71">
        <f>MIN(24,MAX(5,NORMINV(RAND(),$C$9,$D$9)))</f>
        <v/>
      </c>
      <c r="O476" s="83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70">
        <f>MAX(-0.05,NORMINV(RAND(),$C$6,$D$6))</f>
        <v/>
      </c>
      <c r="L477" s="70">
        <f>MAX(0.02,NORMINV(RAND(),$C$7,$D$7))</f>
        <v/>
      </c>
      <c r="M477" s="70">
        <f>MIN(0.16,MAX(0.05,NORMINV(RAND(),$C$8,$D$8)))</f>
        <v/>
      </c>
      <c r="N477" s="71">
        <f>MIN(24,MAX(5,NORMINV(RAND(),$C$9,$D$9)))</f>
        <v/>
      </c>
      <c r="O477" s="83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70">
        <f>MAX(-0.05,NORMINV(RAND(),$C$6,$D$6))</f>
        <v/>
      </c>
      <c r="L478" s="70">
        <f>MAX(0.02,NORMINV(RAND(),$C$7,$D$7))</f>
        <v/>
      </c>
      <c r="M478" s="70">
        <f>MIN(0.16,MAX(0.05,NORMINV(RAND(),$C$8,$D$8)))</f>
        <v/>
      </c>
      <c r="N478" s="71">
        <f>MIN(24,MAX(5,NORMINV(RAND(),$C$9,$D$9)))</f>
        <v/>
      </c>
      <c r="O478" s="83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70">
        <f>MAX(-0.05,NORMINV(RAND(),$C$6,$D$6))</f>
        <v/>
      </c>
      <c r="L479" s="70">
        <f>MAX(0.02,NORMINV(RAND(),$C$7,$D$7))</f>
        <v/>
      </c>
      <c r="M479" s="70">
        <f>MIN(0.16,MAX(0.05,NORMINV(RAND(),$C$8,$D$8)))</f>
        <v/>
      </c>
      <c r="N479" s="71">
        <f>MIN(24,MAX(5,NORMINV(RAND(),$C$9,$D$9)))</f>
        <v/>
      </c>
      <c r="O479" s="83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70">
        <f>MAX(-0.05,NORMINV(RAND(),$C$6,$D$6))</f>
        <v/>
      </c>
      <c r="L480" s="70">
        <f>MAX(0.02,NORMINV(RAND(),$C$7,$D$7))</f>
        <v/>
      </c>
      <c r="M480" s="70">
        <f>MIN(0.16,MAX(0.05,NORMINV(RAND(),$C$8,$D$8)))</f>
        <v/>
      </c>
      <c r="N480" s="71">
        <f>MIN(24,MAX(5,NORMINV(RAND(),$C$9,$D$9)))</f>
        <v/>
      </c>
      <c r="O480" s="83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70">
        <f>MAX(-0.05,NORMINV(RAND(),$C$6,$D$6))</f>
        <v/>
      </c>
      <c r="L481" s="70">
        <f>MAX(0.02,NORMINV(RAND(),$C$7,$D$7))</f>
        <v/>
      </c>
      <c r="M481" s="70">
        <f>MIN(0.16,MAX(0.05,NORMINV(RAND(),$C$8,$D$8)))</f>
        <v/>
      </c>
      <c r="N481" s="71">
        <f>MIN(24,MAX(5,NORMINV(RAND(),$C$9,$D$9)))</f>
        <v/>
      </c>
      <c r="O481" s="83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70">
        <f>MAX(-0.05,NORMINV(RAND(),$C$6,$D$6))</f>
        <v/>
      </c>
      <c r="L482" s="70">
        <f>MAX(0.02,NORMINV(RAND(),$C$7,$D$7))</f>
        <v/>
      </c>
      <c r="M482" s="70">
        <f>MIN(0.16,MAX(0.05,NORMINV(RAND(),$C$8,$D$8)))</f>
        <v/>
      </c>
      <c r="N482" s="71">
        <f>MIN(24,MAX(5,NORMINV(RAND(),$C$9,$D$9)))</f>
        <v/>
      </c>
      <c r="O482" s="83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70">
        <f>MAX(-0.05,NORMINV(RAND(),$C$6,$D$6))</f>
        <v/>
      </c>
      <c r="L483" s="70">
        <f>MAX(0.02,NORMINV(RAND(),$C$7,$D$7))</f>
        <v/>
      </c>
      <c r="M483" s="70">
        <f>MIN(0.16,MAX(0.05,NORMINV(RAND(),$C$8,$D$8)))</f>
        <v/>
      </c>
      <c r="N483" s="71">
        <f>MIN(24,MAX(5,NORMINV(RAND(),$C$9,$D$9)))</f>
        <v/>
      </c>
      <c r="O483" s="83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70">
        <f>MAX(-0.05,NORMINV(RAND(),$C$6,$D$6))</f>
        <v/>
      </c>
      <c r="L484" s="70">
        <f>MAX(0.02,NORMINV(RAND(),$C$7,$D$7))</f>
        <v/>
      </c>
      <c r="M484" s="70">
        <f>MIN(0.16,MAX(0.05,NORMINV(RAND(),$C$8,$D$8)))</f>
        <v/>
      </c>
      <c r="N484" s="71">
        <f>MIN(24,MAX(5,NORMINV(RAND(),$C$9,$D$9)))</f>
        <v/>
      </c>
      <c r="O484" s="83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70">
        <f>MAX(-0.05,NORMINV(RAND(),$C$6,$D$6))</f>
        <v/>
      </c>
      <c r="L485" s="70">
        <f>MAX(0.02,NORMINV(RAND(),$C$7,$D$7))</f>
        <v/>
      </c>
      <c r="M485" s="70">
        <f>MIN(0.16,MAX(0.05,NORMINV(RAND(),$C$8,$D$8)))</f>
        <v/>
      </c>
      <c r="N485" s="71">
        <f>MIN(24,MAX(5,NORMINV(RAND(),$C$9,$D$9)))</f>
        <v/>
      </c>
      <c r="O485" s="83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70">
        <f>MAX(-0.05,NORMINV(RAND(),$C$6,$D$6))</f>
        <v/>
      </c>
      <c r="L486" s="70">
        <f>MAX(0.02,NORMINV(RAND(),$C$7,$D$7))</f>
        <v/>
      </c>
      <c r="M486" s="70">
        <f>MIN(0.16,MAX(0.05,NORMINV(RAND(),$C$8,$D$8)))</f>
        <v/>
      </c>
      <c r="N486" s="71">
        <f>MIN(24,MAX(5,NORMINV(RAND(),$C$9,$D$9)))</f>
        <v/>
      </c>
      <c r="O486" s="83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70">
        <f>MAX(-0.05,NORMINV(RAND(),$C$6,$D$6))</f>
        <v/>
      </c>
      <c r="L487" s="70">
        <f>MAX(0.02,NORMINV(RAND(),$C$7,$D$7))</f>
        <v/>
      </c>
      <c r="M487" s="70">
        <f>MIN(0.16,MAX(0.05,NORMINV(RAND(),$C$8,$D$8)))</f>
        <v/>
      </c>
      <c r="N487" s="71">
        <f>MIN(24,MAX(5,NORMINV(RAND(),$C$9,$D$9)))</f>
        <v/>
      </c>
      <c r="O487" s="83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70">
        <f>MAX(-0.05,NORMINV(RAND(),$C$6,$D$6))</f>
        <v/>
      </c>
      <c r="L488" s="70">
        <f>MAX(0.02,NORMINV(RAND(),$C$7,$D$7))</f>
        <v/>
      </c>
      <c r="M488" s="70">
        <f>MIN(0.16,MAX(0.05,NORMINV(RAND(),$C$8,$D$8)))</f>
        <v/>
      </c>
      <c r="N488" s="71">
        <f>MIN(24,MAX(5,NORMINV(RAND(),$C$9,$D$9)))</f>
        <v/>
      </c>
      <c r="O488" s="83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70">
        <f>MAX(-0.05,NORMINV(RAND(),$C$6,$D$6))</f>
        <v/>
      </c>
      <c r="L489" s="70">
        <f>MAX(0.02,NORMINV(RAND(),$C$7,$D$7))</f>
        <v/>
      </c>
      <c r="M489" s="70">
        <f>MIN(0.16,MAX(0.05,NORMINV(RAND(),$C$8,$D$8)))</f>
        <v/>
      </c>
      <c r="N489" s="71">
        <f>MIN(24,MAX(5,NORMINV(RAND(),$C$9,$D$9)))</f>
        <v/>
      </c>
      <c r="O489" s="83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70">
        <f>MAX(-0.05,NORMINV(RAND(),$C$6,$D$6))</f>
        <v/>
      </c>
      <c r="L490" s="70">
        <f>MAX(0.02,NORMINV(RAND(),$C$7,$D$7))</f>
        <v/>
      </c>
      <c r="M490" s="70">
        <f>MIN(0.16,MAX(0.05,NORMINV(RAND(),$C$8,$D$8)))</f>
        <v/>
      </c>
      <c r="N490" s="71">
        <f>MIN(24,MAX(5,NORMINV(RAND(),$C$9,$D$9)))</f>
        <v/>
      </c>
      <c r="O490" s="83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70">
        <f>MAX(-0.05,NORMINV(RAND(),$C$6,$D$6))</f>
        <v/>
      </c>
      <c r="L491" s="70">
        <f>MAX(0.02,NORMINV(RAND(),$C$7,$D$7))</f>
        <v/>
      </c>
      <c r="M491" s="70">
        <f>MIN(0.16,MAX(0.05,NORMINV(RAND(),$C$8,$D$8)))</f>
        <v/>
      </c>
      <c r="N491" s="71">
        <f>MIN(24,MAX(5,NORMINV(RAND(),$C$9,$D$9)))</f>
        <v/>
      </c>
      <c r="O491" s="83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70">
        <f>MAX(-0.05,NORMINV(RAND(),$C$6,$D$6))</f>
        <v/>
      </c>
      <c r="L492" s="70">
        <f>MAX(0.02,NORMINV(RAND(),$C$7,$D$7))</f>
        <v/>
      </c>
      <c r="M492" s="70">
        <f>MIN(0.16,MAX(0.05,NORMINV(RAND(),$C$8,$D$8)))</f>
        <v/>
      </c>
      <c r="N492" s="71">
        <f>MIN(24,MAX(5,NORMINV(RAND(),$C$9,$D$9)))</f>
        <v/>
      </c>
      <c r="O492" s="83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70">
        <f>MAX(-0.05,NORMINV(RAND(),$C$6,$D$6))</f>
        <v/>
      </c>
      <c r="L493" s="70">
        <f>MAX(0.02,NORMINV(RAND(),$C$7,$D$7))</f>
        <v/>
      </c>
      <c r="M493" s="70">
        <f>MIN(0.16,MAX(0.05,NORMINV(RAND(),$C$8,$D$8)))</f>
        <v/>
      </c>
      <c r="N493" s="71">
        <f>MIN(24,MAX(5,NORMINV(RAND(),$C$9,$D$9)))</f>
        <v/>
      </c>
      <c r="O493" s="83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70">
        <f>MAX(-0.05,NORMINV(RAND(),$C$6,$D$6))</f>
        <v/>
      </c>
      <c r="L494" s="70">
        <f>MAX(0.02,NORMINV(RAND(),$C$7,$D$7))</f>
        <v/>
      </c>
      <c r="M494" s="70">
        <f>MIN(0.16,MAX(0.05,NORMINV(RAND(),$C$8,$D$8)))</f>
        <v/>
      </c>
      <c r="N494" s="71">
        <f>MIN(24,MAX(5,NORMINV(RAND(),$C$9,$D$9)))</f>
        <v/>
      </c>
      <c r="O494" s="83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70">
        <f>MAX(-0.05,NORMINV(RAND(),$C$6,$D$6))</f>
        <v/>
      </c>
      <c r="L495" s="70">
        <f>MAX(0.02,NORMINV(RAND(),$C$7,$D$7))</f>
        <v/>
      </c>
      <c r="M495" s="70">
        <f>MIN(0.16,MAX(0.05,NORMINV(RAND(),$C$8,$D$8)))</f>
        <v/>
      </c>
      <c r="N495" s="71">
        <f>MIN(24,MAX(5,NORMINV(RAND(),$C$9,$D$9)))</f>
        <v/>
      </c>
      <c r="O495" s="83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70">
        <f>MAX(-0.05,NORMINV(RAND(),$C$6,$D$6))</f>
        <v/>
      </c>
      <c r="L496" s="70">
        <f>MAX(0.02,NORMINV(RAND(),$C$7,$D$7))</f>
        <v/>
      </c>
      <c r="M496" s="70">
        <f>MIN(0.16,MAX(0.05,NORMINV(RAND(),$C$8,$D$8)))</f>
        <v/>
      </c>
      <c r="N496" s="71">
        <f>MIN(24,MAX(5,NORMINV(RAND(),$C$9,$D$9)))</f>
        <v/>
      </c>
      <c r="O496" s="83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70">
        <f>MAX(-0.05,NORMINV(RAND(),$C$6,$D$6))</f>
        <v/>
      </c>
      <c r="L497" s="70">
        <f>MAX(0.02,NORMINV(RAND(),$C$7,$D$7))</f>
        <v/>
      </c>
      <c r="M497" s="70">
        <f>MIN(0.16,MAX(0.05,NORMINV(RAND(),$C$8,$D$8)))</f>
        <v/>
      </c>
      <c r="N497" s="71">
        <f>MIN(24,MAX(5,NORMINV(RAND(),$C$9,$D$9)))</f>
        <v/>
      </c>
      <c r="O497" s="83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70">
        <f>MAX(-0.05,NORMINV(RAND(),$C$6,$D$6))</f>
        <v/>
      </c>
      <c r="L498" s="70">
        <f>MAX(0.02,NORMINV(RAND(),$C$7,$D$7))</f>
        <v/>
      </c>
      <c r="M498" s="70">
        <f>MIN(0.16,MAX(0.05,NORMINV(RAND(),$C$8,$D$8)))</f>
        <v/>
      </c>
      <c r="N498" s="71">
        <f>MIN(24,MAX(5,NORMINV(RAND(),$C$9,$D$9)))</f>
        <v/>
      </c>
      <c r="O498" s="83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70">
        <f>MAX(-0.05,NORMINV(RAND(),$C$6,$D$6))</f>
        <v/>
      </c>
      <c r="L499" s="70">
        <f>MAX(0.02,NORMINV(RAND(),$C$7,$D$7))</f>
        <v/>
      </c>
      <c r="M499" s="70">
        <f>MIN(0.16,MAX(0.05,NORMINV(RAND(),$C$8,$D$8)))</f>
        <v/>
      </c>
      <c r="N499" s="71">
        <f>MIN(24,MAX(5,NORMINV(RAND(),$C$9,$D$9)))</f>
        <v/>
      </c>
      <c r="O499" s="83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70">
        <f>MAX(-0.05,NORMINV(RAND(),$C$6,$D$6))</f>
        <v/>
      </c>
      <c r="L500" s="70">
        <f>MAX(0.02,NORMINV(RAND(),$C$7,$D$7))</f>
        <v/>
      </c>
      <c r="M500" s="70">
        <f>MIN(0.16,MAX(0.05,NORMINV(RAND(),$C$8,$D$8)))</f>
        <v/>
      </c>
      <c r="N500" s="71">
        <f>MIN(24,MAX(5,NORMINV(RAND(),$C$9,$D$9)))</f>
        <v/>
      </c>
      <c r="O500" s="83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70">
        <f>MAX(-0.05,NORMINV(RAND(),$C$6,$D$6))</f>
        <v/>
      </c>
      <c r="L501" s="70">
        <f>MAX(0.02,NORMINV(RAND(),$C$7,$D$7))</f>
        <v/>
      </c>
      <c r="M501" s="70">
        <f>MIN(0.16,MAX(0.05,NORMINV(RAND(),$C$8,$D$8)))</f>
        <v/>
      </c>
      <c r="N501" s="71">
        <f>MIN(24,MAX(5,NORMINV(RAND(),$C$9,$D$9)))</f>
        <v/>
      </c>
      <c r="O501" s="83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70">
        <f>MAX(-0.05,NORMINV(RAND(),$C$6,$D$6))</f>
        <v/>
      </c>
      <c r="L502" s="70">
        <f>MAX(0.02,NORMINV(RAND(),$C$7,$D$7))</f>
        <v/>
      </c>
      <c r="M502" s="70">
        <f>MIN(0.16,MAX(0.05,NORMINV(RAND(),$C$8,$D$8)))</f>
        <v/>
      </c>
      <c r="N502" s="71">
        <f>MIN(24,MAX(5,NORMINV(RAND(),$C$9,$D$9)))</f>
        <v/>
      </c>
      <c r="O502" s="83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70">
        <f>MAX(-0.05,NORMINV(RAND(),$C$6,$D$6))</f>
        <v/>
      </c>
      <c r="L503" s="70">
        <f>MAX(0.02,NORMINV(RAND(),$C$7,$D$7))</f>
        <v/>
      </c>
      <c r="M503" s="70">
        <f>MIN(0.16,MAX(0.05,NORMINV(RAND(),$C$8,$D$8)))</f>
        <v/>
      </c>
      <c r="N503" s="71">
        <f>MIN(24,MAX(5,NORMINV(RAND(),$C$9,$D$9)))</f>
        <v/>
      </c>
      <c r="O503" s="83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70">
        <f>MAX(-0.05,NORMINV(RAND(),$C$6,$D$6))</f>
        <v/>
      </c>
      <c r="L504" s="70">
        <f>MAX(0.02,NORMINV(RAND(),$C$7,$D$7))</f>
        <v/>
      </c>
      <c r="M504" s="70">
        <f>MIN(0.16,MAX(0.05,NORMINV(RAND(),$C$8,$D$8)))</f>
        <v/>
      </c>
      <c r="N504" s="71">
        <f>MIN(24,MAX(5,NORMINV(RAND(),$C$9,$D$9)))</f>
        <v/>
      </c>
      <c r="O504" s="83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70">
        <f>MAX(-0.05,NORMINV(RAND(),$C$6,$D$6))</f>
        <v/>
      </c>
      <c r="L505" s="70">
        <f>MAX(0.02,NORMINV(RAND(),$C$7,$D$7))</f>
        <v/>
      </c>
      <c r="M505" s="70">
        <f>MIN(0.16,MAX(0.05,NORMINV(RAND(),$C$8,$D$8)))</f>
        <v/>
      </c>
      <c r="N505" s="71">
        <f>MIN(24,MAX(5,NORMINV(RAND(),$C$9,$D$9)))</f>
        <v/>
      </c>
      <c r="O505" s="83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70">
        <f>MAX(-0.05,NORMINV(RAND(),$C$6,$D$6))</f>
        <v/>
      </c>
      <c r="L506" s="70">
        <f>MAX(0.02,NORMINV(RAND(),$C$7,$D$7))</f>
        <v/>
      </c>
      <c r="M506" s="70">
        <f>MIN(0.16,MAX(0.05,NORMINV(RAND(),$C$8,$D$8)))</f>
        <v/>
      </c>
      <c r="N506" s="71">
        <f>MIN(24,MAX(5,NORMINV(RAND(),$C$9,$D$9)))</f>
        <v/>
      </c>
      <c r="O506" s="83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70">
        <f>MAX(-0.05,NORMINV(RAND(),$C$6,$D$6))</f>
        <v/>
      </c>
      <c r="L507" s="70">
        <f>MAX(0.02,NORMINV(RAND(),$C$7,$D$7))</f>
        <v/>
      </c>
      <c r="M507" s="70">
        <f>MIN(0.16,MAX(0.05,NORMINV(RAND(),$C$8,$D$8)))</f>
        <v/>
      </c>
      <c r="N507" s="71">
        <f>MIN(24,MAX(5,NORMINV(RAND(),$C$9,$D$9)))</f>
        <v/>
      </c>
      <c r="O507" s="83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70">
        <f>MAX(-0.05,NORMINV(RAND(),$C$6,$D$6))</f>
        <v/>
      </c>
      <c r="L508" s="70">
        <f>MAX(0.02,NORMINV(RAND(),$C$7,$D$7))</f>
        <v/>
      </c>
      <c r="M508" s="70">
        <f>MIN(0.16,MAX(0.05,NORMINV(RAND(),$C$8,$D$8)))</f>
        <v/>
      </c>
      <c r="N508" s="71">
        <f>MIN(24,MAX(5,NORMINV(RAND(),$C$9,$D$9)))</f>
        <v/>
      </c>
      <c r="O508" s="83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70">
        <f>MAX(-0.05,NORMINV(RAND(),$C$6,$D$6))</f>
        <v/>
      </c>
      <c r="L509" s="70">
        <f>MAX(0.02,NORMINV(RAND(),$C$7,$D$7))</f>
        <v/>
      </c>
      <c r="M509" s="70">
        <f>MIN(0.16,MAX(0.05,NORMINV(RAND(),$C$8,$D$8)))</f>
        <v/>
      </c>
      <c r="N509" s="71">
        <f>MIN(24,MAX(5,NORMINV(RAND(),$C$9,$D$9)))</f>
        <v/>
      </c>
      <c r="O509" s="83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70">
        <f>MAX(-0.05,NORMINV(RAND(),$C$6,$D$6))</f>
        <v/>
      </c>
      <c r="L510" s="70">
        <f>MAX(0.02,NORMINV(RAND(),$C$7,$D$7))</f>
        <v/>
      </c>
      <c r="M510" s="70">
        <f>MIN(0.16,MAX(0.05,NORMINV(RAND(),$C$8,$D$8)))</f>
        <v/>
      </c>
      <c r="N510" s="71">
        <f>MIN(24,MAX(5,NORMINV(RAND(),$C$9,$D$9)))</f>
        <v/>
      </c>
      <c r="O510" s="83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70">
        <f>MAX(-0.05,NORMINV(RAND(),$C$6,$D$6))</f>
        <v/>
      </c>
      <c r="L511" s="70">
        <f>MAX(0.02,NORMINV(RAND(),$C$7,$D$7))</f>
        <v/>
      </c>
      <c r="M511" s="70">
        <f>MIN(0.16,MAX(0.05,NORMINV(RAND(),$C$8,$D$8)))</f>
        <v/>
      </c>
      <c r="N511" s="71">
        <f>MIN(24,MAX(5,NORMINV(RAND(),$C$9,$D$9)))</f>
        <v/>
      </c>
      <c r="O511" s="83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70">
        <f>MAX(-0.05,NORMINV(RAND(),$C$6,$D$6))</f>
        <v/>
      </c>
      <c r="L512" s="70">
        <f>MAX(0.02,NORMINV(RAND(),$C$7,$D$7))</f>
        <v/>
      </c>
      <c r="M512" s="70">
        <f>MIN(0.16,MAX(0.05,NORMINV(RAND(),$C$8,$D$8)))</f>
        <v/>
      </c>
      <c r="N512" s="71">
        <f>MIN(24,MAX(5,NORMINV(RAND(),$C$9,$D$9)))</f>
        <v/>
      </c>
      <c r="O512" s="83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70">
        <f>MAX(-0.05,NORMINV(RAND(),$C$6,$D$6))</f>
        <v/>
      </c>
      <c r="L513" s="70">
        <f>MAX(0.02,NORMINV(RAND(),$C$7,$D$7))</f>
        <v/>
      </c>
      <c r="M513" s="70">
        <f>MIN(0.16,MAX(0.05,NORMINV(RAND(),$C$8,$D$8)))</f>
        <v/>
      </c>
      <c r="N513" s="71">
        <f>MIN(24,MAX(5,NORMINV(RAND(),$C$9,$D$9)))</f>
        <v/>
      </c>
      <c r="O513" s="83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70">
        <f>MAX(-0.05,NORMINV(RAND(),$C$6,$D$6))</f>
        <v/>
      </c>
      <c r="L514" s="70">
        <f>MAX(0.02,NORMINV(RAND(),$C$7,$D$7))</f>
        <v/>
      </c>
      <c r="M514" s="70">
        <f>MIN(0.16,MAX(0.05,NORMINV(RAND(),$C$8,$D$8)))</f>
        <v/>
      </c>
      <c r="N514" s="71">
        <f>MIN(24,MAX(5,NORMINV(RAND(),$C$9,$D$9)))</f>
        <v/>
      </c>
      <c r="O514" s="83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70">
        <f>MAX(-0.05,NORMINV(RAND(),$C$6,$D$6))</f>
        <v/>
      </c>
      <c r="L515" s="70">
        <f>MAX(0.02,NORMINV(RAND(),$C$7,$D$7))</f>
        <v/>
      </c>
      <c r="M515" s="70">
        <f>MIN(0.16,MAX(0.05,NORMINV(RAND(),$C$8,$D$8)))</f>
        <v/>
      </c>
      <c r="N515" s="71">
        <f>MIN(24,MAX(5,NORMINV(RAND(),$C$9,$D$9)))</f>
        <v/>
      </c>
      <c r="O515" s="83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70">
        <f>MAX(-0.05,NORMINV(RAND(),$C$6,$D$6))</f>
        <v/>
      </c>
      <c r="L516" s="70">
        <f>MAX(0.02,NORMINV(RAND(),$C$7,$D$7))</f>
        <v/>
      </c>
      <c r="M516" s="70">
        <f>MIN(0.16,MAX(0.05,NORMINV(RAND(),$C$8,$D$8)))</f>
        <v/>
      </c>
      <c r="N516" s="71">
        <f>MIN(24,MAX(5,NORMINV(RAND(),$C$9,$D$9)))</f>
        <v/>
      </c>
      <c r="O516" s="83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70">
        <f>MAX(-0.05,NORMINV(RAND(),$C$6,$D$6))</f>
        <v/>
      </c>
      <c r="L517" s="70">
        <f>MAX(0.02,NORMINV(RAND(),$C$7,$D$7))</f>
        <v/>
      </c>
      <c r="M517" s="70">
        <f>MIN(0.16,MAX(0.05,NORMINV(RAND(),$C$8,$D$8)))</f>
        <v/>
      </c>
      <c r="N517" s="71">
        <f>MIN(24,MAX(5,NORMINV(RAND(),$C$9,$D$9)))</f>
        <v/>
      </c>
      <c r="O517" s="83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70">
        <f>MAX(-0.05,NORMINV(RAND(),$C$6,$D$6))</f>
        <v/>
      </c>
      <c r="L518" s="70">
        <f>MAX(0.02,NORMINV(RAND(),$C$7,$D$7))</f>
        <v/>
      </c>
      <c r="M518" s="70">
        <f>MIN(0.16,MAX(0.05,NORMINV(RAND(),$C$8,$D$8)))</f>
        <v/>
      </c>
      <c r="N518" s="71">
        <f>MIN(24,MAX(5,NORMINV(RAND(),$C$9,$D$9)))</f>
        <v/>
      </c>
      <c r="O518" s="83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70">
        <f>MAX(-0.05,NORMINV(RAND(),$C$6,$D$6))</f>
        <v/>
      </c>
      <c r="L519" s="70">
        <f>MAX(0.02,NORMINV(RAND(),$C$7,$D$7))</f>
        <v/>
      </c>
      <c r="M519" s="70">
        <f>MIN(0.16,MAX(0.05,NORMINV(RAND(),$C$8,$D$8)))</f>
        <v/>
      </c>
      <c r="N519" s="71">
        <f>MIN(24,MAX(5,NORMINV(RAND(),$C$9,$D$9)))</f>
        <v/>
      </c>
      <c r="O519" s="83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70">
        <f>MAX(-0.05,NORMINV(RAND(),$C$6,$D$6))</f>
        <v/>
      </c>
      <c r="L520" s="70">
        <f>MAX(0.02,NORMINV(RAND(),$C$7,$D$7))</f>
        <v/>
      </c>
      <c r="M520" s="70">
        <f>MIN(0.16,MAX(0.05,NORMINV(RAND(),$C$8,$D$8)))</f>
        <v/>
      </c>
      <c r="N520" s="71">
        <f>MIN(24,MAX(5,NORMINV(RAND(),$C$9,$D$9)))</f>
        <v/>
      </c>
      <c r="O520" s="83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70">
        <f>MAX(-0.05,NORMINV(RAND(),$C$6,$D$6))</f>
        <v/>
      </c>
      <c r="L521" s="70">
        <f>MAX(0.02,NORMINV(RAND(),$C$7,$D$7))</f>
        <v/>
      </c>
      <c r="M521" s="70">
        <f>MIN(0.16,MAX(0.05,NORMINV(RAND(),$C$8,$D$8)))</f>
        <v/>
      </c>
      <c r="N521" s="71">
        <f>MIN(24,MAX(5,NORMINV(RAND(),$C$9,$D$9)))</f>
        <v/>
      </c>
      <c r="O521" s="83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70">
        <f>MAX(-0.05,NORMINV(RAND(),$C$6,$D$6))</f>
        <v/>
      </c>
      <c r="L522" s="70">
        <f>MAX(0.02,NORMINV(RAND(),$C$7,$D$7))</f>
        <v/>
      </c>
      <c r="M522" s="70">
        <f>MIN(0.16,MAX(0.05,NORMINV(RAND(),$C$8,$D$8)))</f>
        <v/>
      </c>
      <c r="N522" s="71">
        <f>MIN(24,MAX(5,NORMINV(RAND(),$C$9,$D$9)))</f>
        <v/>
      </c>
      <c r="O522" s="83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70">
        <f>MAX(-0.05,NORMINV(RAND(),$C$6,$D$6))</f>
        <v/>
      </c>
      <c r="L523" s="70">
        <f>MAX(0.02,NORMINV(RAND(),$C$7,$D$7))</f>
        <v/>
      </c>
      <c r="M523" s="70">
        <f>MIN(0.16,MAX(0.05,NORMINV(RAND(),$C$8,$D$8)))</f>
        <v/>
      </c>
      <c r="N523" s="71">
        <f>MIN(24,MAX(5,NORMINV(RAND(),$C$9,$D$9)))</f>
        <v/>
      </c>
      <c r="O523" s="83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70">
        <f>MAX(-0.05,NORMINV(RAND(),$C$6,$D$6))</f>
        <v/>
      </c>
      <c r="L524" s="70">
        <f>MAX(0.02,NORMINV(RAND(),$C$7,$D$7))</f>
        <v/>
      </c>
      <c r="M524" s="70">
        <f>MIN(0.16,MAX(0.05,NORMINV(RAND(),$C$8,$D$8)))</f>
        <v/>
      </c>
      <c r="N524" s="71">
        <f>MIN(24,MAX(5,NORMINV(RAND(),$C$9,$D$9)))</f>
        <v/>
      </c>
      <c r="O524" s="83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70">
        <f>MAX(-0.05,NORMINV(RAND(),$C$6,$D$6))</f>
        <v/>
      </c>
      <c r="L525" s="70">
        <f>MAX(0.02,NORMINV(RAND(),$C$7,$D$7))</f>
        <v/>
      </c>
      <c r="M525" s="70">
        <f>MIN(0.16,MAX(0.05,NORMINV(RAND(),$C$8,$D$8)))</f>
        <v/>
      </c>
      <c r="N525" s="71">
        <f>MIN(24,MAX(5,NORMINV(RAND(),$C$9,$D$9)))</f>
        <v/>
      </c>
      <c r="O525" s="83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70">
        <f>MAX(-0.05,NORMINV(RAND(),$C$6,$D$6))</f>
        <v/>
      </c>
      <c r="L526" s="70">
        <f>MAX(0.02,NORMINV(RAND(),$C$7,$D$7))</f>
        <v/>
      </c>
      <c r="M526" s="70">
        <f>MIN(0.16,MAX(0.05,NORMINV(RAND(),$C$8,$D$8)))</f>
        <v/>
      </c>
      <c r="N526" s="71">
        <f>MIN(24,MAX(5,NORMINV(RAND(),$C$9,$D$9)))</f>
        <v/>
      </c>
      <c r="O526" s="83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70">
        <f>MAX(-0.05,NORMINV(RAND(),$C$6,$D$6))</f>
        <v/>
      </c>
      <c r="L527" s="70">
        <f>MAX(0.02,NORMINV(RAND(),$C$7,$D$7))</f>
        <v/>
      </c>
      <c r="M527" s="70">
        <f>MIN(0.16,MAX(0.05,NORMINV(RAND(),$C$8,$D$8)))</f>
        <v/>
      </c>
      <c r="N527" s="71">
        <f>MIN(24,MAX(5,NORMINV(RAND(),$C$9,$D$9)))</f>
        <v/>
      </c>
      <c r="O527" s="83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70">
        <f>MAX(-0.05,NORMINV(RAND(),$C$6,$D$6))</f>
        <v/>
      </c>
      <c r="L528" s="70">
        <f>MAX(0.02,NORMINV(RAND(),$C$7,$D$7))</f>
        <v/>
      </c>
      <c r="M528" s="70">
        <f>MIN(0.16,MAX(0.05,NORMINV(RAND(),$C$8,$D$8)))</f>
        <v/>
      </c>
      <c r="N528" s="71">
        <f>MIN(24,MAX(5,NORMINV(RAND(),$C$9,$D$9)))</f>
        <v/>
      </c>
      <c r="O528" s="83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70">
        <f>MAX(-0.05,NORMINV(RAND(),$C$6,$D$6))</f>
        <v/>
      </c>
      <c r="L529" s="70">
        <f>MAX(0.02,NORMINV(RAND(),$C$7,$D$7))</f>
        <v/>
      </c>
      <c r="M529" s="70">
        <f>MIN(0.16,MAX(0.05,NORMINV(RAND(),$C$8,$D$8)))</f>
        <v/>
      </c>
      <c r="N529" s="71">
        <f>MIN(24,MAX(5,NORMINV(RAND(),$C$9,$D$9)))</f>
        <v/>
      </c>
      <c r="O529" s="83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70">
        <f>MAX(-0.05,NORMINV(RAND(),$C$6,$D$6))</f>
        <v/>
      </c>
      <c r="L530" s="70">
        <f>MAX(0.02,NORMINV(RAND(),$C$7,$D$7))</f>
        <v/>
      </c>
      <c r="M530" s="70">
        <f>MIN(0.16,MAX(0.05,NORMINV(RAND(),$C$8,$D$8)))</f>
        <v/>
      </c>
      <c r="N530" s="71">
        <f>MIN(24,MAX(5,NORMINV(RAND(),$C$9,$D$9)))</f>
        <v/>
      </c>
      <c r="O530" s="83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70">
        <f>MAX(-0.05,NORMINV(RAND(),$C$6,$D$6))</f>
        <v/>
      </c>
      <c r="L531" s="70">
        <f>MAX(0.02,NORMINV(RAND(),$C$7,$D$7))</f>
        <v/>
      </c>
      <c r="M531" s="70">
        <f>MIN(0.16,MAX(0.05,NORMINV(RAND(),$C$8,$D$8)))</f>
        <v/>
      </c>
      <c r="N531" s="71">
        <f>MIN(24,MAX(5,NORMINV(RAND(),$C$9,$D$9)))</f>
        <v/>
      </c>
      <c r="O531" s="83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70">
        <f>MAX(-0.05,NORMINV(RAND(),$C$6,$D$6))</f>
        <v/>
      </c>
      <c r="L532" s="70">
        <f>MAX(0.02,NORMINV(RAND(),$C$7,$D$7))</f>
        <v/>
      </c>
      <c r="M532" s="70">
        <f>MIN(0.16,MAX(0.05,NORMINV(RAND(),$C$8,$D$8)))</f>
        <v/>
      </c>
      <c r="N532" s="71">
        <f>MIN(24,MAX(5,NORMINV(RAND(),$C$9,$D$9)))</f>
        <v/>
      </c>
      <c r="O532" s="83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70">
        <f>MAX(-0.05,NORMINV(RAND(),$C$6,$D$6))</f>
        <v/>
      </c>
      <c r="L533" s="70">
        <f>MAX(0.02,NORMINV(RAND(),$C$7,$D$7))</f>
        <v/>
      </c>
      <c r="M533" s="70">
        <f>MIN(0.16,MAX(0.05,NORMINV(RAND(),$C$8,$D$8)))</f>
        <v/>
      </c>
      <c r="N533" s="71">
        <f>MIN(24,MAX(5,NORMINV(RAND(),$C$9,$D$9)))</f>
        <v/>
      </c>
      <c r="O533" s="83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70">
        <f>MAX(-0.05,NORMINV(RAND(),$C$6,$D$6))</f>
        <v/>
      </c>
      <c r="L534" s="70">
        <f>MAX(0.02,NORMINV(RAND(),$C$7,$D$7))</f>
        <v/>
      </c>
      <c r="M534" s="70">
        <f>MIN(0.16,MAX(0.05,NORMINV(RAND(),$C$8,$D$8)))</f>
        <v/>
      </c>
      <c r="N534" s="71">
        <f>MIN(24,MAX(5,NORMINV(RAND(),$C$9,$D$9)))</f>
        <v/>
      </c>
      <c r="O534" s="83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70">
        <f>MAX(-0.05,NORMINV(RAND(),$C$6,$D$6))</f>
        <v/>
      </c>
      <c r="L535" s="70">
        <f>MAX(0.02,NORMINV(RAND(),$C$7,$D$7))</f>
        <v/>
      </c>
      <c r="M535" s="70">
        <f>MIN(0.16,MAX(0.05,NORMINV(RAND(),$C$8,$D$8)))</f>
        <v/>
      </c>
      <c r="N535" s="71">
        <f>MIN(24,MAX(5,NORMINV(RAND(),$C$9,$D$9)))</f>
        <v/>
      </c>
      <c r="O535" s="83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70">
        <f>MAX(-0.05,NORMINV(RAND(),$C$6,$D$6))</f>
        <v/>
      </c>
      <c r="L536" s="70">
        <f>MAX(0.02,NORMINV(RAND(),$C$7,$D$7))</f>
        <v/>
      </c>
      <c r="M536" s="70">
        <f>MIN(0.16,MAX(0.05,NORMINV(RAND(),$C$8,$D$8)))</f>
        <v/>
      </c>
      <c r="N536" s="71">
        <f>MIN(24,MAX(5,NORMINV(RAND(),$C$9,$D$9)))</f>
        <v/>
      </c>
      <c r="O536" s="83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70">
        <f>MAX(-0.05,NORMINV(RAND(),$C$6,$D$6))</f>
        <v/>
      </c>
      <c r="L537" s="70">
        <f>MAX(0.02,NORMINV(RAND(),$C$7,$D$7))</f>
        <v/>
      </c>
      <c r="M537" s="70">
        <f>MIN(0.16,MAX(0.05,NORMINV(RAND(),$C$8,$D$8)))</f>
        <v/>
      </c>
      <c r="N537" s="71">
        <f>MIN(24,MAX(5,NORMINV(RAND(),$C$9,$D$9)))</f>
        <v/>
      </c>
      <c r="O537" s="83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70">
        <f>MAX(-0.05,NORMINV(RAND(),$C$6,$D$6))</f>
        <v/>
      </c>
      <c r="L538" s="70">
        <f>MAX(0.02,NORMINV(RAND(),$C$7,$D$7))</f>
        <v/>
      </c>
      <c r="M538" s="70">
        <f>MIN(0.16,MAX(0.05,NORMINV(RAND(),$C$8,$D$8)))</f>
        <v/>
      </c>
      <c r="N538" s="71">
        <f>MIN(24,MAX(5,NORMINV(RAND(),$C$9,$D$9)))</f>
        <v/>
      </c>
      <c r="O538" s="83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70">
        <f>MAX(-0.05,NORMINV(RAND(),$C$6,$D$6))</f>
        <v/>
      </c>
      <c r="L539" s="70">
        <f>MAX(0.02,NORMINV(RAND(),$C$7,$D$7))</f>
        <v/>
      </c>
      <c r="M539" s="70">
        <f>MIN(0.16,MAX(0.05,NORMINV(RAND(),$C$8,$D$8)))</f>
        <v/>
      </c>
      <c r="N539" s="71">
        <f>MIN(24,MAX(5,NORMINV(RAND(),$C$9,$D$9)))</f>
        <v/>
      </c>
      <c r="O539" s="83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70">
        <f>MAX(-0.05,NORMINV(RAND(),$C$6,$D$6))</f>
        <v/>
      </c>
      <c r="L540" s="70">
        <f>MAX(0.02,NORMINV(RAND(),$C$7,$D$7))</f>
        <v/>
      </c>
      <c r="M540" s="70">
        <f>MIN(0.16,MAX(0.05,NORMINV(RAND(),$C$8,$D$8)))</f>
        <v/>
      </c>
      <c r="N540" s="71">
        <f>MIN(24,MAX(5,NORMINV(RAND(),$C$9,$D$9)))</f>
        <v/>
      </c>
      <c r="O540" s="83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70">
        <f>MAX(-0.05,NORMINV(RAND(),$C$6,$D$6))</f>
        <v/>
      </c>
      <c r="L541" s="70">
        <f>MAX(0.02,NORMINV(RAND(),$C$7,$D$7))</f>
        <v/>
      </c>
      <c r="M541" s="70">
        <f>MIN(0.16,MAX(0.05,NORMINV(RAND(),$C$8,$D$8)))</f>
        <v/>
      </c>
      <c r="N541" s="71">
        <f>MIN(24,MAX(5,NORMINV(RAND(),$C$9,$D$9)))</f>
        <v/>
      </c>
      <c r="O541" s="83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70">
        <f>MAX(-0.05,NORMINV(RAND(),$C$6,$D$6))</f>
        <v/>
      </c>
      <c r="L542" s="70">
        <f>MAX(0.02,NORMINV(RAND(),$C$7,$D$7))</f>
        <v/>
      </c>
      <c r="M542" s="70">
        <f>MIN(0.16,MAX(0.05,NORMINV(RAND(),$C$8,$D$8)))</f>
        <v/>
      </c>
      <c r="N542" s="71">
        <f>MIN(24,MAX(5,NORMINV(RAND(),$C$9,$D$9)))</f>
        <v/>
      </c>
      <c r="O542" s="83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70">
        <f>MAX(-0.05,NORMINV(RAND(),$C$6,$D$6))</f>
        <v/>
      </c>
      <c r="L543" s="70">
        <f>MAX(0.02,NORMINV(RAND(),$C$7,$D$7))</f>
        <v/>
      </c>
      <c r="M543" s="70">
        <f>MIN(0.16,MAX(0.05,NORMINV(RAND(),$C$8,$D$8)))</f>
        <v/>
      </c>
      <c r="N543" s="71">
        <f>MIN(24,MAX(5,NORMINV(RAND(),$C$9,$D$9)))</f>
        <v/>
      </c>
      <c r="O543" s="83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70">
        <f>MAX(-0.05,NORMINV(RAND(),$C$6,$D$6))</f>
        <v/>
      </c>
      <c r="L544" s="70">
        <f>MAX(0.02,NORMINV(RAND(),$C$7,$D$7))</f>
        <v/>
      </c>
      <c r="M544" s="70">
        <f>MIN(0.16,MAX(0.05,NORMINV(RAND(),$C$8,$D$8)))</f>
        <v/>
      </c>
      <c r="N544" s="71">
        <f>MIN(24,MAX(5,NORMINV(RAND(),$C$9,$D$9)))</f>
        <v/>
      </c>
      <c r="O544" s="83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70">
        <f>MAX(-0.05,NORMINV(RAND(),$C$6,$D$6))</f>
        <v/>
      </c>
      <c r="L545" s="70">
        <f>MAX(0.02,NORMINV(RAND(),$C$7,$D$7))</f>
        <v/>
      </c>
      <c r="M545" s="70">
        <f>MIN(0.16,MAX(0.05,NORMINV(RAND(),$C$8,$D$8)))</f>
        <v/>
      </c>
      <c r="N545" s="71">
        <f>MIN(24,MAX(5,NORMINV(RAND(),$C$9,$D$9)))</f>
        <v/>
      </c>
      <c r="O545" s="83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70">
        <f>MAX(-0.05,NORMINV(RAND(),$C$6,$D$6))</f>
        <v/>
      </c>
      <c r="L546" s="70">
        <f>MAX(0.02,NORMINV(RAND(),$C$7,$D$7))</f>
        <v/>
      </c>
      <c r="M546" s="70">
        <f>MIN(0.16,MAX(0.05,NORMINV(RAND(),$C$8,$D$8)))</f>
        <v/>
      </c>
      <c r="N546" s="71">
        <f>MIN(24,MAX(5,NORMINV(RAND(),$C$9,$D$9)))</f>
        <v/>
      </c>
      <c r="O546" s="83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70">
        <f>MAX(-0.05,NORMINV(RAND(),$C$6,$D$6))</f>
        <v/>
      </c>
      <c r="L547" s="70">
        <f>MAX(0.02,NORMINV(RAND(),$C$7,$D$7))</f>
        <v/>
      </c>
      <c r="M547" s="70">
        <f>MIN(0.16,MAX(0.05,NORMINV(RAND(),$C$8,$D$8)))</f>
        <v/>
      </c>
      <c r="N547" s="71">
        <f>MIN(24,MAX(5,NORMINV(RAND(),$C$9,$D$9)))</f>
        <v/>
      </c>
      <c r="O547" s="83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70">
        <f>MAX(-0.05,NORMINV(RAND(),$C$6,$D$6))</f>
        <v/>
      </c>
      <c r="L548" s="70">
        <f>MAX(0.02,NORMINV(RAND(),$C$7,$D$7))</f>
        <v/>
      </c>
      <c r="M548" s="70">
        <f>MIN(0.16,MAX(0.05,NORMINV(RAND(),$C$8,$D$8)))</f>
        <v/>
      </c>
      <c r="N548" s="71">
        <f>MIN(24,MAX(5,NORMINV(RAND(),$C$9,$D$9)))</f>
        <v/>
      </c>
      <c r="O548" s="83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70">
        <f>MAX(-0.05,NORMINV(RAND(),$C$6,$D$6))</f>
        <v/>
      </c>
      <c r="L549" s="70">
        <f>MAX(0.02,NORMINV(RAND(),$C$7,$D$7))</f>
        <v/>
      </c>
      <c r="M549" s="70">
        <f>MIN(0.16,MAX(0.05,NORMINV(RAND(),$C$8,$D$8)))</f>
        <v/>
      </c>
      <c r="N549" s="71">
        <f>MIN(24,MAX(5,NORMINV(RAND(),$C$9,$D$9)))</f>
        <v/>
      </c>
      <c r="O549" s="83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70">
        <f>MAX(-0.05,NORMINV(RAND(),$C$6,$D$6))</f>
        <v/>
      </c>
      <c r="L550" s="70">
        <f>MAX(0.02,NORMINV(RAND(),$C$7,$D$7))</f>
        <v/>
      </c>
      <c r="M550" s="70">
        <f>MIN(0.16,MAX(0.05,NORMINV(RAND(),$C$8,$D$8)))</f>
        <v/>
      </c>
      <c r="N550" s="71">
        <f>MIN(24,MAX(5,NORMINV(RAND(),$C$9,$D$9)))</f>
        <v/>
      </c>
      <c r="O550" s="83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70">
        <f>MAX(-0.05,NORMINV(RAND(),$C$6,$D$6))</f>
        <v/>
      </c>
      <c r="L551" s="70">
        <f>MAX(0.02,NORMINV(RAND(),$C$7,$D$7))</f>
        <v/>
      </c>
      <c r="M551" s="70">
        <f>MIN(0.16,MAX(0.05,NORMINV(RAND(),$C$8,$D$8)))</f>
        <v/>
      </c>
      <c r="N551" s="71">
        <f>MIN(24,MAX(5,NORMINV(RAND(),$C$9,$D$9)))</f>
        <v/>
      </c>
      <c r="O551" s="83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70">
        <f>MAX(-0.05,NORMINV(RAND(),$C$6,$D$6))</f>
        <v/>
      </c>
      <c r="L552" s="70">
        <f>MAX(0.02,NORMINV(RAND(),$C$7,$D$7))</f>
        <v/>
      </c>
      <c r="M552" s="70">
        <f>MIN(0.16,MAX(0.05,NORMINV(RAND(),$C$8,$D$8)))</f>
        <v/>
      </c>
      <c r="N552" s="71">
        <f>MIN(24,MAX(5,NORMINV(RAND(),$C$9,$D$9)))</f>
        <v/>
      </c>
      <c r="O552" s="83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70">
        <f>MAX(-0.05,NORMINV(RAND(),$C$6,$D$6))</f>
        <v/>
      </c>
      <c r="L553" s="70">
        <f>MAX(0.02,NORMINV(RAND(),$C$7,$D$7))</f>
        <v/>
      </c>
      <c r="M553" s="70">
        <f>MIN(0.16,MAX(0.05,NORMINV(RAND(),$C$8,$D$8)))</f>
        <v/>
      </c>
      <c r="N553" s="71">
        <f>MIN(24,MAX(5,NORMINV(RAND(),$C$9,$D$9)))</f>
        <v/>
      </c>
      <c r="O553" s="83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70">
        <f>MAX(-0.05,NORMINV(RAND(),$C$6,$D$6))</f>
        <v/>
      </c>
      <c r="L554" s="70">
        <f>MAX(0.02,NORMINV(RAND(),$C$7,$D$7))</f>
        <v/>
      </c>
      <c r="M554" s="70">
        <f>MIN(0.16,MAX(0.05,NORMINV(RAND(),$C$8,$D$8)))</f>
        <v/>
      </c>
      <c r="N554" s="71">
        <f>MIN(24,MAX(5,NORMINV(RAND(),$C$9,$D$9)))</f>
        <v/>
      </c>
      <c r="O554" s="83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70">
        <f>MAX(-0.05,NORMINV(RAND(),$C$6,$D$6))</f>
        <v/>
      </c>
      <c r="L555" s="70">
        <f>MAX(0.02,NORMINV(RAND(),$C$7,$D$7))</f>
        <v/>
      </c>
      <c r="M555" s="70">
        <f>MIN(0.16,MAX(0.05,NORMINV(RAND(),$C$8,$D$8)))</f>
        <v/>
      </c>
      <c r="N555" s="71">
        <f>MIN(24,MAX(5,NORMINV(RAND(),$C$9,$D$9)))</f>
        <v/>
      </c>
      <c r="O555" s="83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70">
        <f>MAX(-0.05,NORMINV(RAND(),$C$6,$D$6))</f>
        <v/>
      </c>
      <c r="L556" s="70">
        <f>MAX(0.02,NORMINV(RAND(),$C$7,$D$7))</f>
        <v/>
      </c>
      <c r="M556" s="70">
        <f>MIN(0.16,MAX(0.05,NORMINV(RAND(),$C$8,$D$8)))</f>
        <v/>
      </c>
      <c r="N556" s="71">
        <f>MIN(24,MAX(5,NORMINV(RAND(),$C$9,$D$9)))</f>
        <v/>
      </c>
      <c r="O556" s="83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70">
        <f>MAX(-0.05,NORMINV(RAND(),$C$6,$D$6))</f>
        <v/>
      </c>
      <c r="L557" s="70">
        <f>MAX(0.02,NORMINV(RAND(),$C$7,$D$7))</f>
        <v/>
      </c>
      <c r="M557" s="70">
        <f>MIN(0.16,MAX(0.05,NORMINV(RAND(),$C$8,$D$8)))</f>
        <v/>
      </c>
      <c r="N557" s="71">
        <f>MIN(24,MAX(5,NORMINV(RAND(),$C$9,$D$9)))</f>
        <v/>
      </c>
      <c r="O557" s="83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70">
        <f>MAX(-0.05,NORMINV(RAND(),$C$6,$D$6))</f>
        <v/>
      </c>
      <c r="L558" s="70">
        <f>MAX(0.02,NORMINV(RAND(),$C$7,$D$7))</f>
        <v/>
      </c>
      <c r="M558" s="70">
        <f>MIN(0.16,MAX(0.05,NORMINV(RAND(),$C$8,$D$8)))</f>
        <v/>
      </c>
      <c r="N558" s="71">
        <f>MIN(24,MAX(5,NORMINV(RAND(),$C$9,$D$9)))</f>
        <v/>
      </c>
      <c r="O558" s="83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70">
        <f>MAX(-0.05,NORMINV(RAND(),$C$6,$D$6))</f>
        <v/>
      </c>
      <c r="L559" s="70">
        <f>MAX(0.02,NORMINV(RAND(),$C$7,$D$7))</f>
        <v/>
      </c>
      <c r="M559" s="70">
        <f>MIN(0.16,MAX(0.05,NORMINV(RAND(),$C$8,$D$8)))</f>
        <v/>
      </c>
      <c r="N559" s="71">
        <f>MIN(24,MAX(5,NORMINV(RAND(),$C$9,$D$9)))</f>
        <v/>
      </c>
      <c r="O559" s="83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70">
        <f>MAX(-0.05,NORMINV(RAND(),$C$6,$D$6))</f>
        <v/>
      </c>
      <c r="L560" s="70">
        <f>MAX(0.02,NORMINV(RAND(),$C$7,$D$7))</f>
        <v/>
      </c>
      <c r="M560" s="70">
        <f>MIN(0.16,MAX(0.05,NORMINV(RAND(),$C$8,$D$8)))</f>
        <v/>
      </c>
      <c r="N560" s="71">
        <f>MIN(24,MAX(5,NORMINV(RAND(),$C$9,$D$9)))</f>
        <v/>
      </c>
      <c r="O560" s="83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70">
        <f>MAX(-0.05,NORMINV(RAND(),$C$6,$D$6))</f>
        <v/>
      </c>
      <c r="L561" s="70">
        <f>MAX(0.02,NORMINV(RAND(),$C$7,$D$7))</f>
        <v/>
      </c>
      <c r="M561" s="70">
        <f>MIN(0.16,MAX(0.05,NORMINV(RAND(),$C$8,$D$8)))</f>
        <v/>
      </c>
      <c r="N561" s="71">
        <f>MIN(24,MAX(5,NORMINV(RAND(),$C$9,$D$9)))</f>
        <v/>
      </c>
      <c r="O561" s="83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70">
        <f>MAX(-0.05,NORMINV(RAND(),$C$6,$D$6))</f>
        <v/>
      </c>
      <c r="L562" s="70">
        <f>MAX(0.02,NORMINV(RAND(),$C$7,$D$7))</f>
        <v/>
      </c>
      <c r="M562" s="70">
        <f>MIN(0.16,MAX(0.05,NORMINV(RAND(),$C$8,$D$8)))</f>
        <v/>
      </c>
      <c r="N562" s="71">
        <f>MIN(24,MAX(5,NORMINV(RAND(),$C$9,$D$9)))</f>
        <v/>
      </c>
      <c r="O562" s="83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70">
        <f>MAX(-0.05,NORMINV(RAND(),$C$6,$D$6))</f>
        <v/>
      </c>
      <c r="L563" s="70">
        <f>MAX(0.02,NORMINV(RAND(),$C$7,$D$7))</f>
        <v/>
      </c>
      <c r="M563" s="70">
        <f>MIN(0.16,MAX(0.05,NORMINV(RAND(),$C$8,$D$8)))</f>
        <v/>
      </c>
      <c r="N563" s="71">
        <f>MIN(24,MAX(5,NORMINV(RAND(),$C$9,$D$9)))</f>
        <v/>
      </c>
      <c r="O563" s="83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70">
        <f>MAX(-0.05,NORMINV(RAND(),$C$6,$D$6))</f>
        <v/>
      </c>
      <c r="L564" s="70">
        <f>MAX(0.02,NORMINV(RAND(),$C$7,$D$7))</f>
        <v/>
      </c>
      <c r="M564" s="70">
        <f>MIN(0.16,MAX(0.05,NORMINV(RAND(),$C$8,$D$8)))</f>
        <v/>
      </c>
      <c r="N564" s="71">
        <f>MIN(24,MAX(5,NORMINV(RAND(),$C$9,$D$9)))</f>
        <v/>
      </c>
      <c r="O564" s="83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70">
        <f>MAX(-0.05,NORMINV(RAND(),$C$6,$D$6))</f>
        <v/>
      </c>
      <c r="L565" s="70">
        <f>MAX(0.02,NORMINV(RAND(),$C$7,$D$7))</f>
        <v/>
      </c>
      <c r="M565" s="70">
        <f>MIN(0.16,MAX(0.05,NORMINV(RAND(),$C$8,$D$8)))</f>
        <v/>
      </c>
      <c r="N565" s="71">
        <f>MIN(24,MAX(5,NORMINV(RAND(),$C$9,$D$9)))</f>
        <v/>
      </c>
      <c r="O565" s="83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70">
        <f>MAX(-0.05,NORMINV(RAND(),$C$6,$D$6))</f>
        <v/>
      </c>
      <c r="L566" s="70">
        <f>MAX(0.02,NORMINV(RAND(),$C$7,$D$7))</f>
        <v/>
      </c>
      <c r="M566" s="70">
        <f>MIN(0.16,MAX(0.05,NORMINV(RAND(),$C$8,$D$8)))</f>
        <v/>
      </c>
      <c r="N566" s="71">
        <f>MIN(24,MAX(5,NORMINV(RAND(),$C$9,$D$9)))</f>
        <v/>
      </c>
      <c r="O566" s="83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70">
        <f>MAX(-0.05,NORMINV(RAND(),$C$6,$D$6))</f>
        <v/>
      </c>
      <c r="L567" s="70">
        <f>MAX(0.02,NORMINV(RAND(),$C$7,$D$7))</f>
        <v/>
      </c>
      <c r="M567" s="70">
        <f>MIN(0.16,MAX(0.05,NORMINV(RAND(),$C$8,$D$8)))</f>
        <v/>
      </c>
      <c r="N567" s="71">
        <f>MIN(24,MAX(5,NORMINV(RAND(),$C$9,$D$9)))</f>
        <v/>
      </c>
      <c r="O567" s="83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70">
        <f>MAX(-0.05,NORMINV(RAND(),$C$6,$D$6))</f>
        <v/>
      </c>
      <c r="L568" s="70">
        <f>MAX(0.02,NORMINV(RAND(),$C$7,$D$7))</f>
        <v/>
      </c>
      <c r="M568" s="70">
        <f>MIN(0.16,MAX(0.05,NORMINV(RAND(),$C$8,$D$8)))</f>
        <v/>
      </c>
      <c r="N568" s="71">
        <f>MIN(24,MAX(5,NORMINV(RAND(),$C$9,$D$9)))</f>
        <v/>
      </c>
      <c r="O568" s="83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70">
        <f>MAX(-0.05,NORMINV(RAND(),$C$6,$D$6))</f>
        <v/>
      </c>
      <c r="L569" s="70">
        <f>MAX(0.02,NORMINV(RAND(),$C$7,$D$7))</f>
        <v/>
      </c>
      <c r="M569" s="70">
        <f>MIN(0.16,MAX(0.05,NORMINV(RAND(),$C$8,$D$8)))</f>
        <v/>
      </c>
      <c r="N569" s="71">
        <f>MIN(24,MAX(5,NORMINV(RAND(),$C$9,$D$9)))</f>
        <v/>
      </c>
      <c r="O569" s="83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70">
        <f>MAX(-0.05,NORMINV(RAND(),$C$6,$D$6))</f>
        <v/>
      </c>
      <c r="L570" s="70">
        <f>MAX(0.02,NORMINV(RAND(),$C$7,$D$7))</f>
        <v/>
      </c>
      <c r="M570" s="70">
        <f>MIN(0.16,MAX(0.05,NORMINV(RAND(),$C$8,$D$8)))</f>
        <v/>
      </c>
      <c r="N570" s="71">
        <f>MIN(24,MAX(5,NORMINV(RAND(),$C$9,$D$9)))</f>
        <v/>
      </c>
      <c r="O570" s="83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70">
        <f>MAX(-0.05,NORMINV(RAND(),$C$6,$D$6))</f>
        <v/>
      </c>
      <c r="L571" s="70">
        <f>MAX(0.02,NORMINV(RAND(),$C$7,$D$7))</f>
        <v/>
      </c>
      <c r="M571" s="70">
        <f>MIN(0.16,MAX(0.05,NORMINV(RAND(),$C$8,$D$8)))</f>
        <v/>
      </c>
      <c r="N571" s="71">
        <f>MIN(24,MAX(5,NORMINV(RAND(),$C$9,$D$9)))</f>
        <v/>
      </c>
      <c r="O571" s="83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70">
        <f>MAX(-0.05,NORMINV(RAND(),$C$6,$D$6))</f>
        <v/>
      </c>
      <c r="L572" s="70">
        <f>MAX(0.02,NORMINV(RAND(),$C$7,$D$7))</f>
        <v/>
      </c>
      <c r="M572" s="70">
        <f>MIN(0.16,MAX(0.05,NORMINV(RAND(),$C$8,$D$8)))</f>
        <v/>
      </c>
      <c r="N572" s="71">
        <f>MIN(24,MAX(5,NORMINV(RAND(),$C$9,$D$9)))</f>
        <v/>
      </c>
      <c r="O572" s="83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70">
        <f>MAX(-0.05,NORMINV(RAND(),$C$6,$D$6))</f>
        <v/>
      </c>
      <c r="L573" s="70">
        <f>MAX(0.02,NORMINV(RAND(),$C$7,$D$7))</f>
        <v/>
      </c>
      <c r="M573" s="70">
        <f>MIN(0.16,MAX(0.05,NORMINV(RAND(),$C$8,$D$8)))</f>
        <v/>
      </c>
      <c r="N573" s="71">
        <f>MIN(24,MAX(5,NORMINV(RAND(),$C$9,$D$9)))</f>
        <v/>
      </c>
      <c r="O573" s="83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70">
        <f>MAX(-0.05,NORMINV(RAND(),$C$6,$D$6))</f>
        <v/>
      </c>
      <c r="L574" s="70">
        <f>MAX(0.02,NORMINV(RAND(),$C$7,$D$7))</f>
        <v/>
      </c>
      <c r="M574" s="70">
        <f>MIN(0.16,MAX(0.05,NORMINV(RAND(),$C$8,$D$8)))</f>
        <v/>
      </c>
      <c r="N574" s="71">
        <f>MIN(24,MAX(5,NORMINV(RAND(),$C$9,$D$9)))</f>
        <v/>
      </c>
      <c r="O574" s="83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70">
        <f>MAX(-0.05,NORMINV(RAND(),$C$6,$D$6))</f>
        <v/>
      </c>
      <c r="L575" s="70">
        <f>MAX(0.02,NORMINV(RAND(),$C$7,$D$7))</f>
        <v/>
      </c>
      <c r="M575" s="70">
        <f>MIN(0.16,MAX(0.05,NORMINV(RAND(),$C$8,$D$8)))</f>
        <v/>
      </c>
      <c r="N575" s="71">
        <f>MIN(24,MAX(5,NORMINV(RAND(),$C$9,$D$9)))</f>
        <v/>
      </c>
      <c r="O575" s="83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70">
        <f>MAX(-0.05,NORMINV(RAND(),$C$6,$D$6))</f>
        <v/>
      </c>
      <c r="L576" s="70">
        <f>MAX(0.02,NORMINV(RAND(),$C$7,$D$7))</f>
        <v/>
      </c>
      <c r="M576" s="70">
        <f>MIN(0.16,MAX(0.05,NORMINV(RAND(),$C$8,$D$8)))</f>
        <v/>
      </c>
      <c r="N576" s="71">
        <f>MIN(24,MAX(5,NORMINV(RAND(),$C$9,$D$9)))</f>
        <v/>
      </c>
      <c r="O576" s="83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70">
        <f>MAX(-0.05,NORMINV(RAND(),$C$6,$D$6))</f>
        <v/>
      </c>
      <c r="L577" s="70">
        <f>MAX(0.02,NORMINV(RAND(),$C$7,$D$7))</f>
        <v/>
      </c>
      <c r="M577" s="70">
        <f>MIN(0.16,MAX(0.05,NORMINV(RAND(),$C$8,$D$8)))</f>
        <v/>
      </c>
      <c r="N577" s="71">
        <f>MIN(24,MAX(5,NORMINV(RAND(),$C$9,$D$9)))</f>
        <v/>
      </c>
      <c r="O577" s="83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70">
        <f>MAX(-0.05,NORMINV(RAND(),$C$6,$D$6))</f>
        <v/>
      </c>
      <c r="L578" s="70">
        <f>MAX(0.02,NORMINV(RAND(),$C$7,$D$7))</f>
        <v/>
      </c>
      <c r="M578" s="70">
        <f>MIN(0.16,MAX(0.05,NORMINV(RAND(),$C$8,$D$8)))</f>
        <v/>
      </c>
      <c r="N578" s="71">
        <f>MIN(24,MAX(5,NORMINV(RAND(),$C$9,$D$9)))</f>
        <v/>
      </c>
      <c r="O578" s="83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70">
        <f>MAX(-0.05,NORMINV(RAND(),$C$6,$D$6))</f>
        <v/>
      </c>
      <c r="L579" s="70">
        <f>MAX(0.02,NORMINV(RAND(),$C$7,$D$7))</f>
        <v/>
      </c>
      <c r="M579" s="70">
        <f>MIN(0.16,MAX(0.05,NORMINV(RAND(),$C$8,$D$8)))</f>
        <v/>
      </c>
      <c r="N579" s="71">
        <f>MIN(24,MAX(5,NORMINV(RAND(),$C$9,$D$9)))</f>
        <v/>
      </c>
      <c r="O579" s="83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70">
        <f>MAX(-0.05,NORMINV(RAND(),$C$6,$D$6))</f>
        <v/>
      </c>
      <c r="L580" s="70">
        <f>MAX(0.02,NORMINV(RAND(),$C$7,$D$7))</f>
        <v/>
      </c>
      <c r="M580" s="70">
        <f>MIN(0.16,MAX(0.05,NORMINV(RAND(),$C$8,$D$8)))</f>
        <v/>
      </c>
      <c r="N580" s="71">
        <f>MIN(24,MAX(5,NORMINV(RAND(),$C$9,$D$9)))</f>
        <v/>
      </c>
      <c r="O580" s="83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70">
        <f>MAX(-0.05,NORMINV(RAND(),$C$6,$D$6))</f>
        <v/>
      </c>
      <c r="L581" s="70">
        <f>MAX(0.02,NORMINV(RAND(),$C$7,$D$7))</f>
        <v/>
      </c>
      <c r="M581" s="70">
        <f>MIN(0.16,MAX(0.05,NORMINV(RAND(),$C$8,$D$8)))</f>
        <v/>
      </c>
      <c r="N581" s="71">
        <f>MIN(24,MAX(5,NORMINV(RAND(),$C$9,$D$9)))</f>
        <v/>
      </c>
      <c r="O581" s="83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70">
        <f>MAX(-0.05,NORMINV(RAND(),$C$6,$D$6))</f>
        <v/>
      </c>
      <c r="L582" s="70">
        <f>MAX(0.02,NORMINV(RAND(),$C$7,$D$7))</f>
        <v/>
      </c>
      <c r="M582" s="70">
        <f>MIN(0.16,MAX(0.05,NORMINV(RAND(),$C$8,$D$8)))</f>
        <v/>
      </c>
      <c r="N582" s="71">
        <f>MIN(24,MAX(5,NORMINV(RAND(),$C$9,$D$9)))</f>
        <v/>
      </c>
      <c r="O582" s="83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70">
        <f>MAX(-0.05,NORMINV(RAND(),$C$6,$D$6))</f>
        <v/>
      </c>
      <c r="L583" s="70">
        <f>MAX(0.02,NORMINV(RAND(),$C$7,$D$7))</f>
        <v/>
      </c>
      <c r="M583" s="70">
        <f>MIN(0.16,MAX(0.05,NORMINV(RAND(),$C$8,$D$8)))</f>
        <v/>
      </c>
      <c r="N583" s="71">
        <f>MIN(24,MAX(5,NORMINV(RAND(),$C$9,$D$9)))</f>
        <v/>
      </c>
      <c r="O583" s="83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70">
        <f>MAX(-0.05,NORMINV(RAND(),$C$6,$D$6))</f>
        <v/>
      </c>
      <c r="L584" s="70">
        <f>MAX(0.02,NORMINV(RAND(),$C$7,$D$7))</f>
        <v/>
      </c>
      <c r="M584" s="70">
        <f>MIN(0.16,MAX(0.05,NORMINV(RAND(),$C$8,$D$8)))</f>
        <v/>
      </c>
      <c r="N584" s="71">
        <f>MIN(24,MAX(5,NORMINV(RAND(),$C$9,$D$9)))</f>
        <v/>
      </c>
      <c r="O584" s="83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70">
        <f>MAX(-0.05,NORMINV(RAND(),$C$6,$D$6))</f>
        <v/>
      </c>
      <c r="L585" s="70">
        <f>MAX(0.02,NORMINV(RAND(),$C$7,$D$7))</f>
        <v/>
      </c>
      <c r="M585" s="70">
        <f>MIN(0.16,MAX(0.05,NORMINV(RAND(),$C$8,$D$8)))</f>
        <v/>
      </c>
      <c r="N585" s="71">
        <f>MIN(24,MAX(5,NORMINV(RAND(),$C$9,$D$9)))</f>
        <v/>
      </c>
      <c r="O585" s="83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70">
        <f>MAX(-0.05,NORMINV(RAND(),$C$6,$D$6))</f>
        <v/>
      </c>
      <c r="L586" s="70">
        <f>MAX(0.02,NORMINV(RAND(),$C$7,$D$7))</f>
        <v/>
      </c>
      <c r="M586" s="70">
        <f>MIN(0.16,MAX(0.05,NORMINV(RAND(),$C$8,$D$8)))</f>
        <v/>
      </c>
      <c r="N586" s="71">
        <f>MIN(24,MAX(5,NORMINV(RAND(),$C$9,$D$9)))</f>
        <v/>
      </c>
      <c r="O586" s="83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70">
        <f>MAX(-0.05,NORMINV(RAND(),$C$6,$D$6))</f>
        <v/>
      </c>
      <c r="L587" s="70">
        <f>MAX(0.02,NORMINV(RAND(),$C$7,$D$7))</f>
        <v/>
      </c>
      <c r="M587" s="70">
        <f>MIN(0.16,MAX(0.05,NORMINV(RAND(),$C$8,$D$8)))</f>
        <v/>
      </c>
      <c r="N587" s="71">
        <f>MIN(24,MAX(5,NORMINV(RAND(),$C$9,$D$9)))</f>
        <v/>
      </c>
      <c r="O587" s="83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70">
        <f>MAX(-0.05,NORMINV(RAND(),$C$6,$D$6))</f>
        <v/>
      </c>
      <c r="L588" s="70">
        <f>MAX(0.02,NORMINV(RAND(),$C$7,$D$7))</f>
        <v/>
      </c>
      <c r="M588" s="70">
        <f>MIN(0.16,MAX(0.05,NORMINV(RAND(),$C$8,$D$8)))</f>
        <v/>
      </c>
      <c r="N588" s="71">
        <f>MIN(24,MAX(5,NORMINV(RAND(),$C$9,$D$9)))</f>
        <v/>
      </c>
      <c r="O588" s="83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70">
        <f>MAX(-0.05,NORMINV(RAND(),$C$6,$D$6))</f>
        <v/>
      </c>
      <c r="L589" s="70">
        <f>MAX(0.02,NORMINV(RAND(),$C$7,$D$7))</f>
        <v/>
      </c>
      <c r="M589" s="70">
        <f>MIN(0.16,MAX(0.05,NORMINV(RAND(),$C$8,$D$8)))</f>
        <v/>
      </c>
      <c r="N589" s="71">
        <f>MIN(24,MAX(5,NORMINV(RAND(),$C$9,$D$9)))</f>
        <v/>
      </c>
      <c r="O589" s="83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70">
        <f>MAX(-0.05,NORMINV(RAND(),$C$6,$D$6))</f>
        <v/>
      </c>
      <c r="L590" s="70">
        <f>MAX(0.02,NORMINV(RAND(),$C$7,$D$7))</f>
        <v/>
      </c>
      <c r="M590" s="70">
        <f>MIN(0.16,MAX(0.05,NORMINV(RAND(),$C$8,$D$8)))</f>
        <v/>
      </c>
      <c r="N590" s="71">
        <f>MIN(24,MAX(5,NORMINV(RAND(),$C$9,$D$9)))</f>
        <v/>
      </c>
      <c r="O590" s="83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70">
        <f>MAX(-0.05,NORMINV(RAND(),$C$6,$D$6))</f>
        <v/>
      </c>
      <c r="L591" s="70">
        <f>MAX(0.02,NORMINV(RAND(),$C$7,$D$7))</f>
        <v/>
      </c>
      <c r="M591" s="70">
        <f>MIN(0.16,MAX(0.05,NORMINV(RAND(),$C$8,$D$8)))</f>
        <v/>
      </c>
      <c r="N591" s="71">
        <f>MIN(24,MAX(5,NORMINV(RAND(),$C$9,$D$9)))</f>
        <v/>
      </c>
      <c r="O591" s="83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70">
        <f>MAX(-0.05,NORMINV(RAND(),$C$6,$D$6))</f>
        <v/>
      </c>
      <c r="L592" s="70">
        <f>MAX(0.02,NORMINV(RAND(),$C$7,$D$7))</f>
        <v/>
      </c>
      <c r="M592" s="70">
        <f>MIN(0.16,MAX(0.05,NORMINV(RAND(),$C$8,$D$8)))</f>
        <v/>
      </c>
      <c r="N592" s="71">
        <f>MIN(24,MAX(5,NORMINV(RAND(),$C$9,$D$9)))</f>
        <v/>
      </c>
      <c r="O592" s="83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70">
        <f>MAX(-0.05,NORMINV(RAND(),$C$6,$D$6))</f>
        <v/>
      </c>
      <c r="L593" s="70">
        <f>MAX(0.02,NORMINV(RAND(),$C$7,$D$7))</f>
        <v/>
      </c>
      <c r="M593" s="70">
        <f>MIN(0.16,MAX(0.05,NORMINV(RAND(),$C$8,$D$8)))</f>
        <v/>
      </c>
      <c r="N593" s="71">
        <f>MIN(24,MAX(5,NORMINV(RAND(),$C$9,$D$9)))</f>
        <v/>
      </c>
      <c r="O593" s="83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70">
        <f>MAX(-0.05,NORMINV(RAND(),$C$6,$D$6))</f>
        <v/>
      </c>
      <c r="L594" s="70">
        <f>MAX(0.02,NORMINV(RAND(),$C$7,$D$7))</f>
        <v/>
      </c>
      <c r="M594" s="70">
        <f>MIN(0.16,MAX(0.05,NORMINV(RAND(),$C$8,$D$8)))</f>
        <v/>
      </c>
      <c r="N594" s="71">
        <f>MIN(24,MAX(5,NORMINV(RAND(),$C$9,$D$9)))</f>
        <v/>
      </c>
      <c r="O594" s="83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70">
        <f>MAX(-0.05,NORMINV(RAND(),$C$6,$D$6))</f>
        <v/>
      </c>
      <c r="L595" s="70">
        <f>MAX(0.02,NORMINV(RAND(),$C$7,$D$7))</f>
        <v/>
      </c>
      <c r="M595" s="70">
        <f>MIN(0.16,MAX(0.05,NORMINV(RAND(),$C$8,$D$8)))</f>
        <v/>
      </c>
      <c r="N595" s="71">
        <f>MIN(24,MAX(5,NORMINV(RAND(),$C$9,$D$9)))</f>
        <v/>
      </c>
      <c r="O595" s="83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70">
        <f>MAX(-0.05,NORMINV(RAND(),$C$6,$D$6))</f>
        <v/>
      </c>
      <c r="L596" s="70">
        <f>MAX(0.02,NORMINV(RAND(),$C$7,$D$7))</f>
        <v/>
      </c>
      <c r="M596" s="70">
        <f>MIN(0.16,MAX(0.05,NORMINV(RAND(),$C$8,$D$8)))</f>
        <v/>
      </c>
      <c r="N596" s="71">
        <f>MIN(24,MAX(5,NORMINV(RAND(),$C$9,$D$9)))</f>
        <v/>
      </c>
      <c r="O596" s="83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70">
        <f>MAX(-0.05,NORMINV(RAND(),$C$6,$D$6))</f>
        <v/>
      </c>
      <c r="L597" s="70">
        <f>MAX(0.02,NORMINV(RAND(),$C$7,$D$7))</f>
        <v/>
      </c>
      <c r="M597" s="70">
        <f>MIN(0.16,MAX(0.05,NORMINV(RAND(),$C$8,$D$8)))</f>
        <v/>
      </c>
      <c r="N597" s="71">
        <f>MIN(24,MAX(5,NORMINV(RAND(),$C$9,$D$9)))</f>
        <v/>
      </c>
      <c r="O597" s="83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70">
        <f>MAX(-0.05,NORMINV(RAND(),$C$6,$D$6))</f>
        <v/>
      </c>
      <c r="L598" s="70">
        <f>MAX(0.02,NORMINV(RAND(),$C$7,$D$7))</f>
        <v/>
      </c>
      <c r="M598" s="70">
        <f>MIN(0.16,MAX(0.05,NORMINV(RAND(),$C$8,$D$8)))</f>
        <v/>
      </c>
      <c r="N598" s="71">
        <f>MIN(24,MAX(5,NORMINV(RAND(),$C$9,$D$9)))</f>
        <v/>
      </c>
      <c r="O598" s="83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70">
        <f>MAX(-0.05,NORMINV(RAND(),$C$6,$D$6))</f>
        <v/>
      </c>
      <c r="L599" s="70">
        <f>MAX(0.02,NORMINV(RAND(),$C$7,$D$7))</f>
        <v/>
      </c>
      <c r="M599" s="70">
        <f>MIN(0.16,MAX(0.05,NORMINV(RAND(),$C$8,$D$8)))</f>
        <v/>
      </c>
      <c r="N599" s="71">
        <f>MIN(24,MAX(5,NORMINV(RAND(),$C$9,$D$9)))</f>
        <v/>
      </c>
      <c r="O599" s="83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70">
        <f>MAX(-0.05,NORMINV(RAND(),$C$6,$D$6))</f>
        <v/>
      </c>
      <c r="L600" s="70">
        <f>MAX(0.02,NORMINV(RAND(),$C$7,$D$7))</f>
        <v/>
      </c>
      <c r="M600" s="70">
        <f>MIN(0.16,MAX(0.05,NORMINV(RAND(),$C$8,$D$8)))</f>
        <v/>
      </c>
      <c r="N600" s="71">
        <f>MIN(24,MAX(5,NORMINV(RAND(),$C$9,$D$9)))</f>
        <v/>
      </c>
      <c r="O600" s="83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70">
        <f>MAX(-0.05,NORMINV(RAND(),$C$6,$D$6))</f>
        <v/>
      </c>
      <c r="L601" s="70">
        <f>MAX(0.02,NORMINV(RAND(),$C$7,$D$7))</f>
        <v/>
      </c>
      <c r="M601" s="70">
        <f>MIN(0.16,MAX(0.05,NORMINV(RAND(),$C$8,$D$8)))</f>
        <v/>
      </c>
      <c r="N601" s="71">
        <f>MIN(24,MAX(5,NORMINV(RAND(),$C$9,$D$9)))</f>
        <v/>
      </c>
      <c r="O601" s="83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70">
        <f>MAX(-0.05,NORMINV(RAND(),$C$6,$D$6))</f>
        <v/>
      </c>
      <c r="L602" s="70">
        <f>MAX(0.02,NORMINV(RAND(),$C$7,$D$7))</f>
        <v/>
      </c>
      <c r="M602" s="70">
        <f>MIN(0.16,MAX(0.05,NORMINV(RAND(),$C$8,$D$8)))</f>
        <v/>
      </c>
      <c r="N602" s="71">
        <f>MIN(24,MAX(5,NORMINV(RAND(),$C$9,$D$9)))</f>
        <v/>
      </c>
      <c r="O602" s="83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70">
        <f>MAX(-0.05,NORMINV(RAND(),$C$6,$D$6))</f>
        <v/>
      </c>
      <c r="L603" s="70">
        <f>MAX(0.02,NORMINV(RAND(),$C$7,$D$7))</f>
        <v/>
      </c>
      <c r="M603" s="70">
        <f>MIN(0.16,MAX(0.05,NORMINV(RAND(),$C$8,$D$8)))</f>
        <v/>
      </c>
      <c r="N603" s="71">
        <f>MIN(24,MAX(5,NORMINV(RAND(),$C$9,$D$9)))</f>
        <v/>
      </c>
      <c r="O603" s="83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70">
        <f>MAX(-0.05,NORMINV(RAND(),$C$6,$D$6))</f>
        <v/>
      </c>
      <c r="L604" s="70">
        <f>MAX(0.02,NORMINV(RAND(),$C$7,$D$7))</f>
        <v/>
      </c>
      <c r="M604" s="70">
        <f>MIN(0.16,MAX(0.05,NORMINV(RAND(),$C$8,$D$8)))</f>
        <v/>
      </c>
      <c r="N604" s="71">
        <f>MIN(24,MAX(5,NORMINV(RAND(),$C$9,$D$9)))</f>
        <v/>
      </c>
      <c r="O604" s="83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70">
        <f>MAX(-0.05,NORMINV(RAND(),$C$6,$D$6))</f>
        <v/>
      </c>
      <c r="L605" s="70">
        <f>MAX(0.02,NORMINV(RAND(),$C$7,$D$7))</f>
        <v/>
      </c>
      <c r="M605" s="70">
        <f>MIN(0.16,MAX(0.05,NORMINV(RAND(),$C$8,$D$8)))</f>
        <v/>
      </c>
      <c r="N605" s="71">
        <f>MIN(24,MAX(5,NORMINV(RAND(),$C$9,$D$9)))</f>
        <v/>
      </c>
      <c r="O605" s="83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70">
        <f>MAX(-0.05,NORMINV(RAND(),$C$6,$D$6))</f>
        <v/>
      </c>
      <c r="L606" s="70">
        <f>MAX(0.02,NORMINV(RAND(),$C$7,$D$7))</f>
        <v/>
      </c>
      <c r="M606" s="70">
        <f>MIN(0.16,MAX(0.05,NORMINV(RAND(),$C$8,$D$8)))</f>
        <v/>
      </c>
      <c r="N606" s="71">
        <f>MIN(24,MAX(5,NORMINV(RAND(),$C$9,$D$9)))</f>
        <v/>
      </c>
      <c r="O606" s="83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70">
        <f>MAX(-0.05,NORMINV(RAND(),$C$6,$D$6))</f>
        <v/>
      </c>
      <c r="L607" s="70">
        <f>MAX(0.02,NORMINV(RAND(),$C$7,$D$7))</f>
        <v/>
      </c>
      <c r="M607" s="70">
        <f>MIN(0.16,MAX(0.05,NORMINV(RAND(),$C$8,$D$8)))</f>
        <v/>
      </c>
      <c r="N607" s="71">
        <f>MIN(24,MAX(5,NORMINV(RAND(),$C$9,$D$9)))</f>
        <v/>
      </c>
      <c r="O607" s="83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70">
        <f>MAX(-0.05,NORMINV(RAND(),$C$6,$D$6))</f>
        <v/>
      </c>
      <c r="L608" s="70">
        <f>MAX(0.02,NORMINV(RAND(),$C$7,$D$7))</f>
        <v/>
      </c>
      <c r="M608" s="70">
        <f>MIN(0.16,MAX(0.05,NORMINV(RAND(),$C$8,$D$8)))</f>
        <v/>
      </c>
      <c r="N608" s="71">
        <f>MIN(24,MAX(5,NORMINV(RAND(),$C$9,$D$9)))</f>
        <v/>
      </c>
      <c r="O608" s="83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70">
        <f>MAX(-0.05,NORMINV(RAND(),$C$6,$D$6))</f>
        <v/>
      </c>
      <c r="L609" s="70">
        <f>MAX(0.02,NORMINV(RAND(),$C$7,$D$7))</f>
        <v/>
      </c>
      <c r="M609" s="70">
        <f>MIN(0.16,MAX(0.05,NORMINV(RAND(),$C$8,$D$8)))</f>
        <v/>
      </c>
      <c r="N609" s="71">
        <f>MIN(24,MAX(5,NORMINV(RAND(),$C$9,$D$9)))</f>
        <v/>
      </c>
      <c r="O609" s="83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70">
        <f>MAX(-0.05,NORMINV(RAND(),$C$6,$D$6))</f>
        <v/>
      </c>
      <c r="L610" s="70">
        <f>MAX(0.02,NORMINV(RAND(),$C$7,$D$7))</f>
        <v/>
      </c>
      <c r="M610" s="70">
        <f>MIN(0.16,MAX(0.05,NORMINV(RAND(),$C$8,$D$8)))</f>
        <v/>
      </c>
      <c r="N610" s="71">
        <f>MIN(24,MAX(5,NORMINV(RAND(),$C$9,$D$9)))</f>
        <v/>
      </c>
      <c r="O610" s="83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70">
        <f>MAX(-0.05,NORMINV(RAND(),$C$6,$D$6))</f>
        <v/>
      </c>
      <c r="L611" s="70">
        <f>MAX(0.02,NORMINV(RAND(),$C$7,$D$7))</f>
        <v/>
      </c>
      <c r="M611" s="70">
        <f>MIN(0.16,MAX(0.05,NORMINV(RAND(),$C$8,$D$8)))</f>
        <v/>
      </c>
      <c r="N611" s="71">
        <f>MIN(24,MAX(5,NORMINV(RAND(),$C$9,$D$9)))</f>
        <v/>
      </c>
      <c r="O611" s="83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70">
        <f>MAX(-0.05,NORMINV(RAND(),$C$6,$D$6))</f>
        <v/>
      </c>
      <c r="L612" s="70">
        <f>MAX(0.02,NORMINV(RAND(),$C$7,$D$7))</f>
        <v/>
      </c>
      <c r="M612" s="70">
        <f>MIN(0.16,MAX(0.05,NORMINV(RAND(),$C$8,$D$8)))</f>
        <v/>
      </c>
      <c r="N612" s="71">
        <f>MIN(24,MAX(5,NORMINV(RAND(),$C$9,$D$9)))</f>
        <v/>
      </c>
      <c r="O612" s="83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70">
        <f>MAX(-0.05,NORMINV(RAND(),$C$6,$D$6))</f>
        <v/>
      </c>
      <c r="L613" s="70">
        <f>MAX(0.02,NORMINV(RAND(),$C$7,$D$7))</f>
        <v/>
      </c>
      <c r="M613" s="70">
        <f>MIN(0.16,MAX(0.05,NORMINV(RAND(),$C$8,$D$8)))</f>
        <v/>
      </c>
      <c r="N613" s="71">
        <f>MIN(24,MAX(5,NORMINV(RAND(),$C$9,$D$9)))</f>
        <v/>
      </c>
      <c r="O613" s="83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70">
        <f>MAX(-0.05,NORMINV(RAND(),$C$6,$D$6))</f>
        <v/>
      </c>
      <c r="L614" s="70">
        <f>MAX(0.02,NORMINV(RAND(),$C$7,$D$7))</f>
        <v/>
      </c>
      <c r="M614" s="70">
        <f>MIN(0.16,MAX(0.05,NORMINV(RAND(),$C$8,$D$8)))</f>
        <v/>
      </c>
      <c r="N614" s="71">
        <f>MIN(24,MAX(5,NORMINV(RAND(),$C$9,$D$9)))</f>
        <v/>
      </c>
      <c r="O614" s="83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70">
        <f>MAX(-0.05,NORMINV(RAND(),$C$6,$D$6))</f>
        <v/>
      </c>
      <c r="L615" s="70">
        <f>MAX(0.02,NORMINV(RAND(),$C$7,$D$7))</f>
        <v/>
      </c>
      <c r="M615" s="70">
        <f>MIN(0.16,MAX(0.05,NORMINV(RAND(),$C$8,$D$8)))</f>
        <v/>
      </c>
      <c r="N615" s="71">
        <f>MIN(24,MAX(5,NORMINV(RAND(),$C$9,$D$9)))</f>
        <v/>
      </c>
      <c r="O615" s="83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70">
        <f>MAX(-0.05,NORMINV(RAND(),$C$6,$D$6))</f>
        <v/>
      </c>
      <c r="L616" s="70">
        <f>MAX(0.02,NORMINV(RAND(),$C$7,$D$7))</f>
        <v/>
      </c>
      <c r="M616" s="70">
        <f>MIN(0.16,MAX(0.05,NORMINV(RAND(),$C$8,$D$8)))</f>
        <v/>
      </c>
      <c r="N616" s="71">
        <f>MIN(24,MAX(5,NORMINV(RAND(),$C$9,$D$9)))</f>
        <v/>
      </c>
      <c r="O616" s="83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70">
        <f>MAX(-0.05,NORMINV(RAND(),$C$6,$D$6))</f>
        <v/>
      </c>
      <c r="L617" s="70">
        <f>MAX(0.02,NORMINV(RAND(),$C$7,$D$7))</f>
        <v/>
      </c>
      <c r="M617" s="70">
        <f>MIN(0.16,MAX(0.05,NORMINV(RAND(),$C$8,$D$8)))</f>
        <v/>
      </c>
      <c r="N617" s="71">
        <f>MIN(24,MAX(5,NORMINV(RAND(),$C$9,$D$9)))</f>
        <v/>
      </c>
      <c r="O617" s="83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70">
        <f>MAX(-0.05,NORMINV(RAND(),$C$6,$D$6))</f>
        <v/>
      </c>
      <c r="L618" s="70">
        <f>MAX(0.02,NORMINV(RAND(),$C$7,$D$7))</f>
        <v/>
      </c>
      <c r="M618" s="70">
        <f>MIN(0.16,MAX(0.05,NORMINV(RAND(),$C$8,$D$8)))</f>
        <v/>
      </c>
      <c r="N618" s="71">
        <f>MIN(24,MAX(5,NORMINV(RAND(),$C$9,$D$9)))</f>
        <v/>
      </c>
      <c r="O618" s="83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70">
        <f>MAX(-0.05,NORMINV(RAND(),$C$6,$D$6))</f>
        <v/>
      </c>
      <c r="L619" s="70">
        <f>MAX(0.02,NORMINV(RAND(),$C$7,$D$7))</f>
        <v/>
      </c>
      <c r="M619" s="70">
        <f>MIN(0.16,MAX(0.05,NORMINV(RAND(),$C$8,$D$8)))</f>
        <v/>
      </c>
      <c r="N619" s="71">
        <f>MIN(24,MAX(5,NORMINV(RAND(),$C$9,$D$9)))</f>
        <v/>
      </c>
      <c r="O619" s="83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70">
        <f>MAX(-0.05,NORMINV(RAND(),$C$6,$D$6))</f>
        <v/>
      </c>
      <c r="L620" s="70">
        <f>MAX(0.02,NORMINV(RAND(),$C$7,$D$7))</f>
        <v/>
      </c>
      <c r="M620" s="70">
        <f>MIN(0.16,MAX(0.05,NORMINV(RAND(),$C$8,$D$8)))</f>
        <v/>
      </c>
      <c r="N620" s="71">
        <f>MIN(24,MAX(5,NORMINV(RAND(),$C$9,$D$9)))</f>
        <v/>
      </c>
      <c r="O620" s="83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70">
        <f>MAX(-0.05,NORMINV(RAND(),$C$6,$D$6))</f>
        <v/>
      </c>
      <c r="L621" s="70">
        <f>MAX(0.02,NORMINV(RAND(),$C$7,$D$7))</f>
        <v/>
      </c>
      <c r="M621" s="70">
        <f>MIN(0.16,MAX(0.05,NORMINV(RAND(),$C$8,$D$8)))</f>
        <v/>
      </c>
      <c r="N621" s="71">
        <f>MIN(24,MAX(5,NORMINV(RAND(),$C$9,$D$9)))</f>
        <v/>
      </c>
      <c r="O621" s="83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70">
        <f>MAX(-0.05,NORMINV(RAND(),$C$6,$D$6))</f>
        <v/>
      </c>
      <c r="L622" s="70">
        <f>MAX(0.02,NORMINV(RAND(),$C$7,$D$7))</f>
        <v/>
      </c>
      <c r="M622" s="70">
        <f>MIN(0.16,MAX(0.05,NORMINV(RAND(),$C$8,$D$8)))</f>
        <v/>
      </c>
      <c r="N622" s="71">
        <f>MIN(24,MAX(5,NORMINV(RAND(),$C$9,$D$9)))</f>
        <v/>
      </c>
      <c r="O622" s="83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70">
        <f>MAX(-0.05,NORMINV(RAND(),$C$6,$D$6))</f>
        <v/>
      </c>
      <c r="L623" s="70">
        <f>MAX(0.02,NORMINV(RAND(),$C$7,$D$7))</f>
        <v/>
      </c>
      <c r="M623" s="70">
        <f>MIN(0.16,MAX(0.05,NORMINV(RAND(),$C$8,$D$8)))</f>
        <v/>
      </c>
      <c r="N623" s="71">
        <f>MIN(24,MAX(5,NORMINV(RAND(),$C$9,$D$9)))</f>
        <v/>
      </c>
      <c r="O623" s="83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70">
        <f>MAX(-0.05,NORMINV(RAND(),$C$6,$D$6))</f>
        <v/>
      </c>
      <c r="L624" s="70">
        <f>MAX(0.02,NORMINV(RAND(),$C$7,$D$7))</f>
        <v/>
      </c>
      <c r="M624" s="70">
        <f>MIN(0.16,MAX(0.05,NORMINV(RAND(),$C$8,$D$8)))</f>
        <v/>
      </c>
      <c r="N624" s="71">
        <f>MIN(24,MAX(5,NORMINV(RAND(),$C$9,$D$9)))</f>
        <v/>
      </c>
      <c r="O624" s="83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70">
        <f>MAX(-0.05,NORMINV(RAND(),$C$6,$D$6))</f>
        <v/>
      </c>
      <c r="L625" s="70">
        <f>MAX(0.02,NORMINV(RAND(),$C$7,$D$7))</f>
        <v/>
      </c>
      <c r="M625" s="70">
        <f>MIN(0.16,MAX(0.05,NORMINV(RAND(),$C$8,$D$8)))</f>
        <v/>
      </c>
      <c r="N625" s="71">
        <f>MIN(24,MAX(5,NORMINV(RAND(),$C$9,$D$9)))</f>
        <v/>
      </c>
      <c r="O625" s="83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70">
        <f>MAX(-0.05,NORMINV(RAND(),$C$6,$D$6))</f>
        <v/>
      </c>
      <c r="L626" s="70">
        <f>MAX(0.02,NORMINV(RAND(),$C$7,$D$7))</f>
        <v/>
      </c>
      <c r="M626" s="70">
        <f>MIN(0.16,MAX(0.05,NORMINV(RAND(),$C$8,$D$8)))</f>
        <v/>
      </c>
      <c r="N626" s="71">
        <f>MIN(24,MAX(5,NORMINV(RAND(),$C$9,$D$9)))</f>
        <v/>
      </c>
      <c r="O626" s="83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70">
        <f>MAX(-0.05,NORMINV(RAND(),$C$6,$D$6))</f>
        <v/>
      </c>
      <c r="L627" s="70">
        <f>MAX(0.02,NORMINV(RAND(),$C$7,$D$7))</f>
        <v/>
      </c>
      <c r="M627" s="70">
        <f>MIN(0.16,MAX(0.05,NORMINV(RAND(),$C$8,$D$8)))</f>
        <v/>
      </c>
      <c r="N627" s="71">
        <f>MIN(24,MAX(5,NORMINV(RAND(),$C$9,$D$9)))</f>
        <v/>
      </c>
      <c r="O627" s="83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70">
        <f>MAX(-0.05,NORMINV(RAND(),$C$6,$D$6))</f>
        <v/>
      </c>
      <c r="L628" s="70">
        <f>MAX(0.02,NORMINV(RAND(),$C$7,$D$7))</f>
        <v/>
      </c>
      <c r="M628" s="70">
        <f>MIN(0.16,MAX(0.05,NORMINV(RAND(),$C$8,$D$8)))</f>
        <v/>
      </c>
      <c r="N628" s="71">
        <f>MIN(24,MAX(5,NORMINV(RAND(),$C$9,$D$9)))</f>
        <v/>
      </c>
      <c r="O628" s="83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70">
        <f>MAX(-0.05,NORMINV(RAND(),$C$6,$D$6))</f>
        <v/>
      </c>
      <c r="L629" s="70">
        <f>MAX(0.02,NORMINV(RAND(),$C$7,$D$7))</f>
        <v/>
      </c>
      <c r="M629" s="70">
        <f>MIN(0.16,MAX(0.05,NORMINV(RAND(),$C$8,$D$8)))</f>
        <v/>
      </c>
      <c r="N629" s="71">
        <f>MIN(24,MAX(5,NORMINV(RAND(),$C$9,$D$9)))</f>
        <v/>
      </c>
      <c r="O629" s="83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70">
        <f>MAX(-0.05,NORMINV(RAND(),$C$6,$D$6))</f>
        <v/>
      </c>
      <c r="L630" s="70">
        <f>MAX(0.02,NORMINV(RAND(),$C$7,$D$7))</f>
        <v/>
      </c>
      <c r="M630" s="70">
        <f>MIN(0.16,MAX(0.05,NORMINV(RAND(),$C$8,$D$8)))</f>
        <v/>
      </c>
      <c r="N630" s="71">
        <f>MIN(24,MAX(5,NORMINV(RAND(),$C$9,$D$9)))</f>
        <v/>
      </c>
      <c r="O630" s="83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70">
        <f>MAX(-0.05,NORMINV(RAND(),$C$6,$D$6))</f>
        <v/>
      </c>
      <c r="L631" s="70">
        <f>MAX(0.02,NORMINV(RAND(),$C$7,$D$7))</f>
        <v/>
      </c>
      <c r="M631" s="70">
        <f>MIN(0.16,MAX(0.05,NORMINV(RAND(),$C$8,$D$8)))</f>
        <v/>
      </c>
      <c r="N631" s="71">
        <f>MIN(24,MAX(5,NORMINV(RAND(),$C$9,$D$9)))</f>
        <v/>
      </c>
      <c r="O631" s="83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70">
        <f>MAX(-0.05,NORMINV(RAND(),$C$6,$D$6))</f>
        <v/>
      </c>
      <c r="L632" s="70">
        <f>MAX(0.02,NORMINV(RAND(),$C$7,$D$7))</f>
        <v/>
      </c>
      <c r="M632" s="70">
        <f>MIN(0.16,MAX(0.05,NORMINV(RAND(),$C$8,$D$8)))</f>
        <v/>
      </c>
      <c r="N632" s="71">
        <f>MIN(24,MAX(5,NORMINV(RAND(),$C$9,$D$9)))</f>
        <v/>
      </c>
      <c r="O632" s="83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70">
        <f>MAX(-0.05,NORMINV(RAND(),$C$6,$D$6))</f>
        <v/>
      </c>
      <c r="L633" s="70">
        <f>MAX(0.02,NORMINV(RAND(),$C$7,$D$7))</f>
        <v/>
      </c>
      <c r="M633" s="70">
        <f>MIN(0.16,MAX(0.05,NORMINV(RAND(),$C$8,$D$8)))</f>
        <v/>
      </c>
      <c r="N633" s="71">
        <f>MIN(24,MAX(5,NORMINV(RAND(),$C$9,$D$9)))</f>
        <v/>
      </c>
      <c r="O633" s="83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70">
        <f>MAX(-0.05,NORMINV(RAND(),$C$6,$D$6))</f>
        <v/>
      </c>
      <c r="L634" s="70">
        <f>MAX(0.02,NORMINV(RAND(),$C$7,$D$7))</f>
        <v/>
      </c>
      <c r="M634" s="70">
        <f>MIN(0.16,MAX(0.05,NORMINV(RAND(),$C$8,$D$8)))</f>
        <v/>
      </c>
      <c r="N634" s="71">
        <f>MIN(24,MAX(5,NORMINV(RAND(),$C$9,$D$9)))</f>
        <v/>
      </c>
      <c r="O634" s="83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70">
        <f>MAX(-0.05,NORMINV(RAND(),$C$6,$D$6))</f>
        <v/>
      </c>
      <c r="L635" s="70">
        <f>MAX(0.02,NORMINV(RAND(),$C$7,$D$7))</f>
        <v/>
      </c>
      <c r="M635" s="70">
        <f>MIN(0.16,MAX(0.05,NORMINV(RAND(),$C$8,$D$8)))</f>
        <v/>
      </c>
      <c r="N635" s="71">
        <f>MIN(24,MAX(5,NORMINV(RAND(),$C$9,$D$9)))</f>
        <v/>
      </c>
      <c r="O635" s="83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70">
        <f>MAX(-0.05,NORMINV(RAND(),$C$6,$D$6))</f>
        <v/>
      </c>
      <c r="L636" s="70">
        <f>MAX(0.02,NORMINV(RAND(),$C$7,$D$7))</f>
        <v/>
      </c>
      <c r="M636" s="70">
        <f>MIN(0.16,MAX(0.05,NORMINV(RAND(),$C$8,$D$8)))</f>
        <v/>
      </c>
      <c r="N636" s="71">
        <f>MIN(24,MAX(5,NORMINV(RAND(),$C$9,$D$9)))</f>
        <v/>
      </c>
      <c r="O636" s="83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70">
        <f>MAX(-0.05,NORMINV(RAND(),$C$6,$D$6))</f>
        <v/>
      </c>
      <c r="L637" s="70">
        <f>MAX(0.02,NORMINV(RAND(),$C$7,$D$7))</f>
        <v/>
      </c>
      <c r="M637" s="70">
        <f>MIN(0.16,MAX(0.05,NORMINV(RAND(),$C$8,$D$8)))</f>
        <v/>
      </c>
      <c r="N637" s="71">
        <f>MIN(24,MAX(5,NORMINV(RAND(),$C$9,$D$9)))</f>
        <v/>
      </c>
      <c r="O637" s="83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70">
        <f>MAX(-0.05,NORMINV(RAND(),$C$6,$D$6))</f>
        <v/>
      </c>
      <c r="L638" s="70">
        <f>MAX(0.02,NORMINV(RAND(),$C$7,$D$7))</f>
        <v/>
      </c>
      <c r="M638" s="70">
        <f>MIN(0.16,MAX(0.05,NORMINV(RAND(),$C$8,$D$8)))</f>
        <v/>
      </c>
      <c r="N638" s="71">
        <f>MIN(24,MAX(5,NORMINV(RAND(),$C$9,$D$9)))</f>
        <v/>
      </c>
      <c r="O638" s="83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70">
        <f>MAX(-0.05,NORMINV(RAND(),$C$6,$D$6))</f>
        <v/>
      </c>
      <c r="L639" s="70">
        <f>MAX(0.02,NORMINV(RAND(),$C$7,$D$7))</f>
        <v/>
      </c>
      <c r="M639" s="70">
        <f>MIN(0.16,MAX(0.05,NORMINV(RAND(),$C$8,$D$8)))</f>
        <v/>
      </c>
      <c r="N639" s="71">
        <f>MIN(24,MAX(5,NORMINV(RAND(),$C$9,$D$9)))</f>
        <v/>
      </c>
      <c r="O639" s="83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70">
        <f>MAX(-0.05,NORMINV(RAND(),$C$6,$D$6))</f>
        <v/>
      </c>
      <c r="L640" s="70">
        <f>MAX(0.02,NORMINV(RAND(),$C$7,$D$7))</f>
        <v/>
      </c>
      <c r="M640" s="70">
        <f>MIN(0.16,MAX(0.05,NORMINV(RAND(),$C$8,$D$8)))</f>
        <v/>
      </c>
      <c r="N640" s="71">
        <f>MIN(24,MAX(5,NORMINV(RAND(),$C$9,$D$9)))</f>
        <v/>
      </c>
      <c r="O640" s="83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70">
        <f>MAX(-0.05,NORMINV(RAND(),$C$6,$D$6))</f>
        <v/>
      </c>
      <c r="L641" s="70">
        <f>MAX(0.02,NORMINV(RAND(),$C$7,$D$7))</f>
        <v/>
      </c>
      <c r="M641" s="70">
        <f>MIN(0.16,MAX(0.05,NORMINV(RAND(),$C$8,$D$8)))</f>
        <v/>
      </c>
      <c r="N641" s="71">
        <f>MIN(24,MAX(5,NORMINV(RAND(),$C$9,$D$9)))</f>
        <v/>
      </c>
      <c r="O641" s="83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70">
        <f>MAX(-0.05,NORMINV(RAND(),$C$6,$D$6))</f>
        <v/>
      </c>
      <c r="L642" s="70">
        <f>MAX(0.02,NORMINV(RAND(),$C$7,$D$7))</f>
        <v/>
      </c>
      <c r="M642" s="70">
        <f>MIN(0.16,MAX(0.05,NORMINV(RAND(),$C$8,$D$8)))</f>
        <v/>
      </c>
      <c r="N642" s="71">
        <f>MIN(24,MAX(5,NORMINV(RAND(),$C$9,$D$9)))</f>
        <v/>
      </c>
      <c r="O642" s="83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70">
        <f>MAX(-0.05,NORMINV(RAND(),$C$6,$D$6))</f>
        <v/>
      </c>
      <c r="L643" s="70">
        <f>MAX(0.02,NORMINV(RAND(),$C$7,$D$7))</f>
        <v/>
      </c>
      <c r="M643" s="70">
        <f>MIN(0.16,MAX(0.05,NORMINV(RAND(),$C$8,$D$8)))</f>
        <v/>
      </c>
      <c r="N643" s="71">
        <f>MIN(24,MAX(5,NORMINV(RAND(),$C$9,$D$9)))</f>
        <v/>
      </c>
      <c r="O643" s="83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70">
        <f>MAX(-0.05,NORMINV(RAND(),$C$6,$D$6))</f>
        <v/>
      </c>
      <c r="L644" s="70">
        <f>MAX(0.02,NORMINV(RAND(),$C$7,$D$7))</f>
        <v/>
      </c>
      <c r="M644" s="70">
        <f>MIN(0.16,MAX(0.05,NORMINV(RAND(),$C$8,$D$8)))</f>
        <v/>
      </c>
      <c r="N644" s="71">
        <f>MIN(24,MAX(5,NORMINV(RAND(),$C$9,$D$9)))</f>
        <v/>
      </c>
      <c r="O644" s="83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70">
        <f>MAX(-0.05,NORMINV(RAND(),$C$6,$D$6))</f>
        <v/>
      </c>
      <c r="L645" s="70">
        <f>MAX(0.02,NORMINV(RAND(),$C$7,$D$7))</f>
        <v/>
      </c>
      <c r="M645" s="70">
        <f>MIN(0.16,MAX(0.05,NORMINV(RAND(),$C$8,$D$8)))</f>
        <v/>
      </c>
      <c r="N645" s="71">
        <f>MIN(24,MAX(5,NORMINV(RAND(),$C$9,$D$9)))</f>
        <v/>
      </c>
      <c r="O645" s="83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70">
        <f>MAX(-0.05,NORMINV(RAND(),$C$6,$D$6))</f>
        <v/>
      </c>
      <c r="L646" s="70">
        <f>MAX(0.02,NORMINV(RAND(),$C$7,$D$7))</f>
        <v/>
      </c>
      <c r="M646" s="70">
        <f>MIN(0.16,MAX(0.05,NORMINV(RAND(),$C$8,$D$8)))</f>
        <v/>
      </c>
      <c r="N646" s="71">
        <f>MIN(24,MAX(5,NORMINV(RAND(),$C$9,$D$9)))</f>
        <v/>
      </c>
      <c r="O646" s="83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70">
        <f>MAX(-0.05,NORMINV(RAND(),$C$6,$D$6))</f>
        <v/>
      </c>
      <c r="L647" s="70">
        <f>MAX(0.02,NORMINV(RAND(),$C$7,$D$7))</f>
        <v/>
      </c>
      <c r="M647" s="70">
        <f>MIN(0.16,MAX(0.05,NORMINV(RAND(),$C$8,$D$8)))</f>
        <v/>
      </c>
      <c r="N647" s="71">
        <f>MIN(24,MAX(5,NORMINV(RAND(),$C$9,$D$9)))</f>
        <v/>
      </c>
      <c r="O647" s="83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70">
        <f>MAX(-0.05,NORMINV(RAND(),$C$6,$D$6))</f>
        <v/>
      </c>
      <c r="L648" s="70">
        <f>MAX(0.02,NORMINV(RAND(),$C$7,$D$7))</f>
        <v/>
      </c>
      <c r="M648" s="70">
        <f>MIN(0.16,MAX(0.05,NORMINV(RAND(),$C$8,$D$8)))</f>
        <v/>
      </c>
      <c r="N648" s="71">
        <f>MIN(24,MAX(5,NORMINV(RAND(),$C$9,$D$9)))</f>
        <v/>
      </c>
      <c r="O648" s="83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70">
        <f>MAX(-0.05,NORMINV(RAND(),$C$6,$D$6))</f>
        <v/>
      </c>
      <c r="L649" s="70">
        <f>MAX(0.02,NORMINV(RAND(),$C$7,$D$7))</f>
        <v/>
      </c>
      <c r="M649" s="70">
        <f>MIN(0.16,MAX(0.05,NORMINV(RAND(),$C$8,$D$8)))</f>
        <v/>
      </c>
      <c r="N649" s="71">
        <f>MIN(24,MAX(5,NORMINV(RAND(),$C$9,$D$9)))</f>
        <v/>
      </c>
      <c r="O649" s="83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70">
        <f>MAX(-0.05,NORMINV(RAND(),$C$6,$D$6))</f>
        <v/>
      </c>
      <c r="L650" s="70">
        <f>MAX(0.02,NORMINV(RAND(),$C$7,$D$7))</f>
        <v/>
      </c>
      <c r="M650" s="70">
        <f>MIN(0.16,MAX(0.05,NORMINV(RAND(),$C$8,$D$8)))</f>
        <v/>
      </c>
      <c r="N650" s="71">
        <f>MIN(24,MAX(5,NORMINV(RAND(),$C$9,$D$9)))</f>
        <v/>
      </c>
      <c r="O650" s="83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70">
        <f>MAX(-0.05,NORMINV(RAND(),$C$6,$D$6))</f>
        <v/>
      </c>
      <c r="L651" s="70">
        <f>MAX(0.02,NORMINV(RAND(),$C$7,$D$7))</f>
        <v/>
      </c>
      <c r="M651" s="70">
        <f>MIN(0.16,MAX(0.05,NORMINV(RAND(),$C$8,$D$8)))</f>
        <v/>
      </c>
      <c r="N651" s="71">
        <f>MIN(24,MAX(5,NORMINV(RAND(),$C$9,$D$9)))</f>
        <v/>
      </c>
      <c r="O651" s="83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70">
        <f>MAX(-0.05,NORMINV(RAND(),$C$6,$D$6))</f>
        <v/>
      </c>
      <c r="L652" s="70">
        <f>MAX(0.02,NORMINV(RAND(),$C$7,$D$7))</f>
        <v/>
      </c>
      <c r="M652" s="70">
        <f>MIN(0.16,MAX(0.05,NORMINV(RAND(),$C$8,$D$8)))</f>
        <v/>
      </c>
      <c r="N652" s="71">
        <f>MIN(24,MAX(5,NORMINV(RAND(),$C$9,$D$9)))</f>
        <v/>
      </c>
      <c r="O652" s="83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70">
        <f>MAX(-0.05,NORMINV(RAND(),$C$6,$D$6))</f>
        <v/>
      </c>
      <c r="L653" s="70">
        <f>MAX(0.02,NORMINV(RAND(),$C$7,$D$7))</f>
        <v/>
      </c>
      <c r="M653" s="70">
        <f>MIN(0.16,MAX(0.05,NORMINV(RAND(),$C$8,$D$8)))</f>
        <v/>
      </c>
      <c r="N653" s="71">
        <f>MIN(24,MAX(5,NORMINV(RAND(),$C$9,$D$9)))</f>
        <v/>
      </c>
      <c r="O653" s="83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70">
        <f>MAX(-0.05,NORMINV(RAND(),$C$6,$D$6))</f>
        <v/>
      </c>
      <c r="L654" s="70">
        <f>MAX(0.02,NORMINV(RAND(),$C$7,$D$7))</f>
        <v/>
      </c>
      <c r="M654" s="70">
        <f>MIN(0.16,MAX(0.05,NORMINV(RAND(),$C$8,$D$8)))</f>
        <v/>
      </c>
      <c r="N654" s="71">
        <f>MIN(24,MAX(5,NORMINV(RAND(),$C$9,$D$9)))</f>
        <v/>
      </c>
      <c r="O654" s="83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70">
        <f>MAX(-0.05,NORMINV(RAND(),$C$6,$D$6))</f>
        <v/>
      </c>
      <c r="L655" s="70">
        <f>MAX(0.02,NORMINV(RAND(),$C$7,$D$7))</f>
        <v/>
      </c>
      <c r="M655" s="70">
        <f>MIN(0.16,MAX(0.05,NORMINV(RAND(),$C$8,$D$8)))</f>
        <v/>
      </c>
      <c r="N655" s="71">
        <f>MIN(24,MAX(5,NORMINV(RAND(),$C$9,$D$9)))</f>
        <v/>
      </c>
      <c r="O655" s="83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70">
        <f>MAX(-0.05,NORMINV(RAND(),$C$6,$D$6))</f>
        <v/>
      </c>
      <c r="L656" s="70">
        <f>MAX(0.02,NORMINV(RAND(),$C$7,$D$7))</f>
        <v/>
      </c>
      <c r="M656" s="70">
        <f>MIN(0.16,MAX(0.05,NORMINV(RAND(),$C$8,$D$8)))</f>
        <v/>
      </c>
      <c r="N656" s="71">
        <f>MIN(24,MAX(5,NORMINV(RAND(),$C$9,$D$9)))</f>
        <v/>
      </c>
      <c r="O656" s="83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70">
        <f>MAX(-0.05,NORMINV(RAND(),$C$6,$D$6))</f>
        <v/>
      </c>
      <c r="L657" s="70">
        <f>MAX(0.02,NORMINV(RAND(),$C$7,$D$7))</f>
        <v/>
      </c>
      <c r="M657" s="70">
        <f>MIN(0.16,MAX(0.05,NORMINV(RAND(),$C$8,$D$8)))</f>
        <v/>
      </c>
      <c r="N657" s="71">
        <f>MIN(24,MAX(5,NORMINV(RAND(),$C$9,$D$9)))</f>
        <v/>
      </c>
      <c r="O657" s="83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70">
        <f>MAX(-0.05,NORMINV(RAND(),$C$6,$D$6))</f>
        <v/>
      </c>
      <c r="L658" s="70">
        <f>MAX(0.02,NORMINV(RAND(),$C$7,$D$7))</f>
        <v/>
      </c>
      <c r="M658" s="70">
        <f>MIN(0.16,MAX(0.05,NORMINV(RAND(),$C$8,$D$8)))</f>
        <v/>
      </c>
      <c r="N658" s="71">
        <f>MIN(24,MAX(5,NORMINV(RAND(),$C$9,$D$9)))</f>
        <v/>
      </c>
      <c r="O658" s="83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70">
        <f>MAX(-0.05,NORMINV(RAND(),$C$6,$D$6))</f>
        <v/>
      </c>
      <c r="L659" s="70">
        <f>MAX(0.02,NORMINV(RAND(),$C$7,$D$7))</f>
        <v/>
      </c>
      <c r="M659" s="70">
        <f>MIN(0.16,MAX(0.05,NORMINV(RAND(),$C$8,$D$8)))</f>
        <v/>
      </c>
      <c r="N659" s="71">
        <f>MIN(24,MAX(5,NORMINV(RAND(),$C$9,$D$9)))</f>
        <v/>
      </c>
      <c r="O659" s="83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70">
        <f>MAX(-0.05,NORMINV(RAND(),$C$6,$D$6))</f>
        <v/>
      </c>
      <c r="L660" s="70">
        <f>MAX(0.02,NORMINV(RAND(),$C$7,$D$7))</f>
        <v/>
      </c>
      <c r="M660" s="70">
        <f>MIN(0.16,MAX(0.05,NORMINV(RAND(),$C$8,$D$8)))</f>
        <v/>
      </c>
      <c r="N660" s="71">
        <f>MIN(24,MAX(5,NORMINV(RAND(),$C$9,$D$9)))</f>
        <v/>
      </c>
      <c r="O660" s="83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70">
        <f>MAX(-0.05,NORMINV(RAND(),$C$6,$D$6))</f>
        <v/>
      </c>
      <c r="L661" s="70">
        <f>MAX(0.02,NORMINV(RAND(),$C$7,$D$7))</f>
        <v/>
      </c>
      <c r="M661" s="70">
        <f>MIN(0.16,MAX(0.05,NORMINV(RAND(),$C$8,$D$8)))</f>
        <v/>
      </c>
      <c r="N661" s="71">
        <f>MIN(24,MAX(5,NORMINV(RAND(),$C$9,$D$9)))</f>
        <v/>
      </c>
      <c r="O661" s="83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70">
        <f>MAX(-0.05,NORMINV(RAND(),$C$6,$D$6))</f>
        <v/>
      </c>
      <c r="L662" s="70">
        <f>MAX(0.02,NORMINV(RAND(),$C$7,$D$7))</f>
        <v/>
      </c>
      <c r="M662" s="70">
        <f>MIN(0.16,MAX(0.05,NORMINV(RAND(),$C$8,$D$8)))</f>
        <v/>
      </c>
      <c r="N662" s="71">
        <f>MIN(24,MAX(5,NORMINV(RAND(),$C$9,$D$9)))</f>
        <v/>
      </c>
      <c r="O662" s="83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70">
        <f>MAX(-0.05,NORMINV(RAND(),$C$6,$D$6))</f>
        <v/>
      </c>
      <c r="L663" s="70">
        <f>MAX(0.02,NORMINV(RAND(),$C$7,$D$7))</f>
        <v/>
      </c>
      <c r="M663" s="70">
        <f>MIN(0.16,MAX(0.05,NORMINV(RAND(),$C$8,$D$8)))</f>
        <v/>
      </c>
      <c r="N663" s="71">
        <f>MIN(24,MAX(5,NORMINV(RAND(),$C$9,$D$9)))</f>
        <v/>
      </c>
      <c r="O663" s="83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70">
        <f>MAX(-0.05,NORMINV(RAND(),$C$6,$D$6))</f>
        <v/>
      </c>
      <c r="L664" s="70">
        <f>MAX(0.02,NORMINV(RAND(),$C$7,$D$7))</f>
        <v/>
      </c>
      <c r="M664" s="70">
        <f>MIN(0.16,MAX(0.05,NORMINV(RAND(),$C$8,$D$8)))</f>
        <v/>
      </c>
      <c r="N664" s="71">
        <f>MIN(24,MAX(5,NORMINV(RAND(),$C$9,$D$9)))</f>
        <v/>
      </c>
      <c r="O664" s="83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70">
        <f>MAX(-0.05,NORMINV(RAND(),$C$6,$D$6))</f>
        <v/>
      </c>
      <c r="L665" s="70">
        <f>MAX(0.02,NORMINV(RAND(),$C$7,$D$7))</f>
        <v/>
      </c>
      <c r="M665" s="70">
        <f>MIN(0.16,MAX(0.05,NORMINV(RAND(),$C$8,$D$8)))</f>
        <v/>
      </c>
      <c r="N665" s="71">
        <f>MIN(24,MAX(5,NORMINV(RAND(),$C$9,$D$9)))</f>
        <v/>
      </c>
      <c r="O665" s="83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70">
        <f>MAX(-0.05,NORMINV(RAND(),$C$6,$D$6))</f>
        <v/>
      </c>
      <c r="L666" s="70">
        <f>MAX(0.02,NORMINV(RAND(),$C$7,$D$7))</f>
        <v/>
      </c>
      <c r="M666" s="70">
        <f>MIN(0.16,MAX(0.05,NORMINV(RAND(),$C$8,$D$8)))</f>
        <v/>
      </c>
      <c r="N666" s="71">
        <f>MIN(24,MAX(5,NORMINV(RAND(),$C$9,$D$9)))</f>
        <v/>
      </c>
      <c r="O666" s="83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70">
        <f>MAX(-0.05,NORMINV(RAND(),$C$6,$D$6))</f>
        <v/>
      </c>
      <c r="L667" s="70">
        <f>MAX(0.02,NORMINV(RAND(),$C$7,$D$7))</f>
        <v/>
      </c>
      <c r="M667" s="70">
        <f>MIN(0.16,MAX(0.05,NORMINV(RAND(),$C$8,$D$8)))</f>
        <v/>
      </c>
      <c r="N667" s="71">
        <f>MIN(24,MAX(5,NORMINV(RAND(),$C$9,$D$9)))</f>
        <v/>
      </c>
      <c r="O667" s="83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70">
        <f>MAX(-0.05,NORMINV(RAND(),$C$6,$D$6))</f>
        <v/>
      </c>
      <c r="L668" s="70">
        <f>MAX(0.02,NORMINV(RAND(),$C$7,$D$7))</f>
        <v/>
      </c>
      <c r="M668" s="70">
        <f>MIN(0.16,MAX(0.05,NORMINV(RAND(),$C$8,$D$8)))</f>
        <v/>
      </c>
      <c r="N668" s="71">
        <f>MIN(24,MAX(5,NORMINV(RAND(),$C$9,$D$9)))</f>
        <v/>
      </c>
      <c r="O668" s="83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70">
        <f>MAX(-0.05,NORMINV(RAND(),$C$6,$D$6))</f>
        <v/>
      </c>
      <c r="L669" s="70">
        <f>MAX(0.02,NORMINV(RAND(),$C$7,$D$7))</f>
        <v/>
      </c>
      <c r="M669" s="70">
        <f>MIN(0.16,MAX(0.05,NORMINV(RAND(),$C$8,$D$8)))</f>
        <v/>
      </c>
      <c r="N669" s="71">
        <f>MIN(24,MAX(5,NORMINV(RAND(),$C$9,$D$9)))</f>
        <v/>
      </c>
      <c r="O669" s="83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70">
        <f>MAX(-0.05,NORMINV(RAND(),$C$6,$D$6))</f>
        <v/>
      </c>
      <c r="L670" s="70">
        <f>MAX(0.02,NORMINV(RAND(),$C$7,$D$7))</f>
        <v/>
      </c>
      <c r="M670" s="70">
        <f>MIN(0.16,MAX(0.05,NORMINV(RAND(),$C$8,$D$8)))</f>
        <v/>
      </c>
      <c r="N670" s="71">
        <f>MIN(24,MAX(5,NORMINV(RAND(),$C$9,$D$9)))</f>
        <v/>
      </c>
      <c r="O670" s="83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70">
        <f>MAX(-0.05,NORMINV(RAND(),$C$6,$D$6))</f>
        <v/>
      </c>
      <c r="L671" s="70">
        <f>MAX(0.02,NORMINV(RAND(),$C$7,$D$7))</f>
        <v/>
      </c>
      <c r="M671" s="70">
        <f>MIN(0.16,MAX(0.05,NORMINV(RAND(),$C$8,$D$8)))</f>
        <v/>
      </c>
      <c r="N671" s="71">
        <f>MIN(24,MAX(5,NORMINV(RAND(),$C$9,$D$9)))</f>
        <v/>
      </c>
      <c r="O671" s="83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70">
        <f>MAX(-0.05,NORMINV(RAND(),$C$6,$D$6))</f>
        <v/>
      </c>
      <c r="L672" s="70">
        <f>MAX(0.02,NORMINV(RAND(),$C$7,$D$7))</f>
        <v/>
      </c>
      <c r="M672" s="70">
        <f>MIN(0.16,MAX(0.05,NORMINV(RAND(),$C$8,$D$8)))</f>
        <v/>
      </c>
      <c r="N672" s="71">
        <f>MIN(24,MAX(5,NORMINV(RAND(),$C$9,$D$9)))</f>
        <v/>
      </c>
      <c r="O672" s="83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70">
        <f>MAX(-0.05,NORMINV(RAND(),$C$6,$D$6))</f>
        <v/>
      </c>
      <c r="L673" s="70">
        <f>MAX(0.02,NORMINV(RAND(),$C$7,$D$7))</f>
        <v/>
      </c>
      <c r="M673" s="70">
        <f>MIN(0.16,MAX(0.05,NORMINV(RAND(),$C$8,$D$8)))</f>
        <v/>
      </c>
      <c r="N673" s="71">
        <f>MIN(24,MAX(5,NORMINV(RAND(),$C$9,$D$9)))</f>
        <v/>
      </c>
      <c r="O673" s="83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70">
        <f>MAX(-0.05,NORMINV(RAND(),$C$6,$D$6))</f>
        <v/>
      </c>
      <c r="L674" s="70">
        <f>MAX(0.02,NORMINV(RAND(),$C$7,$D$7))</f>
        <v/>
      </c>
      <c r="M674" s="70">
        <f>MIN(0.16,MAX(0.05,NORMINV(RAND(),$C$8,$D$8)))</f>
        <v/>
      </c>
      <c r="N674" s="71">
        <f>MIN(24,MAX(5,NORMINV(RAND(),$C$9,$D$9)))</f>
        <v/>
      </c>
      <c r="O674" s="83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70">
        <f>MAX(-0.05,NORMINV(RAND(),$C$6,$D$6))</f>
        <v/>
      </c>
      <c r="L675" s="70">
        <f>MAX(0.02,NORMINV(RAND(),$C$7,$D$7))</f>
        <v/>
      </c>
      <c r="M675" s="70">
        <f>MIN(0.16,MAX(0.05,NORMINV(RAND(),$C$8,$D$8)))</f>
        <v/>
      </c>
      <c r="N675" s="71">
        <f>MIN(24,MAX(5,NORMINV(RAND(),$C$9,$D$9)))</f>
        <v/>
      </c>
      <c r="O675" s="83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70">
        <f>MAX(-0.05,NORMINV(RAND(),$C$6,$D$6))</f>
        <v/>
      </c>
      <c r="L676" s="70">
        <f>MAX(0.02,NORMINV(RAND(),$C$7,$D$7))</f>
        <v/>
      </c>
      <c r="M676" s="70">
        <f>MIN(0.16,MAX(0.05,NORMINV(RAND(),$C$8,$D$8)))</f>
        <v/>
      </c>
      <c r="N676" s="71">
        <f>MIN(24,MAX(5,NORMINV(RAND(),$C$9,$D$9)))</f>
        <v/>
      </c>
      <c r="O676" s="83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70">
        <f>MAX(-0.05,NORMINV(RAND(),$C$6,$D$6))</f>
        <v/>
      </c>
      <c r="L677" s="70">
        <f>MAX(0.02,NORMINV(RAND(),$C$7,$D$7))</f>
        <v/>
      </c>
      <c r="M677" s="70">
        <f>MIN(0.16,MAX(0.05,NORMINV(RAND(),$C$8,$D$8)))</f>
        <v/>
      </c>
      <c r="N677" s="71">
        <f>MIN(24,MAX(5,NORMINV(RAND(),$C$9,$D$9)))</f>
        <v/>
      </c>
      <c r="O677" s="83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70">
        <f>MAX(-0.05,NORMINV(RAND(),$C$6,$D$6))</f>
        <v/>
      </c>
      <c r="L678" s="70">
        <f>MAX(0.02,NORMINV(RAND(),$C$7,$D$7))</f>
        <v/>
      </c>
      <c r="M678" s="70">
        <f>MIN(0.16,MAX(0.05,NORMINV(RAND(),$C$8,$D$8)))</f>
        <v/>
      </c>
      <c r="N678" s="71">
        <f>MIN(24,MAX(5,NORMINV(RAND(),$C$9,$D$9)))</f>
        <v/>
      </c>
      <c r="O678" s="83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70">
        <f>MAX(-0.05,NORMINV(RAND(),$C$6,$D$6))</f>
        <v/>
      </c>
      <c r="L679" s="70">
        <f>MAX(0.02,NORMINV(RAND(),$C$7,$D$7))</f>
        <v/>
      </c>
      <c r="M679" s="70">
        <f>MIN(0.16,MAX(0.05,NORMINV(RAND(),$C$8,$D$8)))</f>
        <v/>
      </c>
      <c r="N679" s="71">
        <f>MIN(24,MAX(5,NORMINV(RAND(),$C$9,$D$9)))</f>
        <v/>
      </c>
      <c r="O679" s="83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70">
        <f>MAX(-0.05,NORMINV(RAND(),$C$6,$D$6))</f>
        <v/>
      </c>
      <c r="L680" s="70">
        <f>MAX(0.02,NORMINV(RAND(),$C$7,$D$7))</f>
        <v/>
      </c>
      <c r="M680" s="70">
        <f>MIN(0.16,MAX(0.05,NORMINV(RAND(),$C$8,$D$8)))</f>
        <v/>
      </c>
      <c r="N680" s="71">
        <f>MIN(24,MAX(5,NORMINV(RAND(),$C$9,$D$9)))</f>
        <v/>
      </c>
      <c r="O680" s="83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70">
        <f>MAX(-0.05,NORMINV(RAND(),$C$6,$D$6))</f>
        <v/>
      </c>
      <c r="L681" s="70">
        <f>MAX(0.02,NORMINV(RAND(),$C$7,$D$7))</f>
        <v/>
      </c>
      <c r="M681" s="70">
        <f>MIN(0.16,MAX(0.05,NORMINV(RAND(),$C$8,$D$8)))</f>
        <v/>
      </c>
      <c r="N681" s="71">
        <f>MIN(24,MAX(5,NORMINV(RAND(),$C$9,$D$9)))</f>
        <v/>
      </c>
      <c r="O681" s="83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70">
        <f>MAX(-0.05,NORMINV(RAND(),$C$6,$D$6))</f>
        <v/>
      </c>
      <c r="L682" s="70">
        <f>MAX(0.02,NORMINV(RAND(),$C$7,$D$7))</f>
        <v/>
      </c>
      <c r="M682" s="70">
        <f>MIN(0.16,MAX(0.05,NORMINV(RAND(),$C$8,$D$8)))</f>
        <v/>
      </c>
      <c r="N682" s="71">
        <f>MIN(24,MAX(5,NORMINV(RAND(),$C$9,$D$9)))</f>
        <v/>
      </c>
      <c r="O682" s="83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70">
        <f>MAX(-0.05,NORMINV(RAND(),$C$6,$D$6))</f>
        <v/>
      </c>
      <c r="L683" s="70">
        <f>MAX(0.02,NORMINV(RAND(),$C$7,$D$7))</f>
        <v/>
      </c>
      <c r="M683" s="70">
        <f>MIN(0.16,MAX(0.05,NORMINV(RAND(),$C$8,$D$8)))</f>
        <v/>
      </c>
      <c r="N683" s="71">
        <f>MIN(24,MAX(5,NORMINV(RAND(),$C$9,$D$9)))</f>
        <v/>
      </c>
      <c r="O683" s="83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70">
        <f>MAX(-0.05,NORMINV(RAND(),$C$6,$D$6))</f>
        <v/>
      </c>
      <c r="L684" s="70">
        <f>MAX(0.02,NORMINV(RAND(),$C$7,$D$7))</f>
        <v/>
      </c>
      <c r="M684" s="70">
        <f>MIN(0.16,MAX(0.05,NORMINV(RAND(),$C$8,$D$8)))</f>
        <v/>
      </c>
      <c r="N684" s="71">
        <f>MIN(24,MAX(5,NORMINV(RAND(),$C$9,$D$9)))</f>
        <v/>
      </c>
      <c r="O684" s="83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70">
        <f>MAX(-0.05,NORMINV(RAND(),$C$6,$D$6))</f>
        <v/>
      </c>
      <c r="L685" s="70">
        <f>MAX(0.02,NORMINV(RAND(),$C$7,$D$7))</f>
        <v/>
      </c>
      <c r="M685" s="70">
        <f>MIN(0.16,MAX(0.05,NORMINV(RAND(),$C$8,$D$8)))</f>
        <v/>
      </c>
      <c r="N685" s="71">
        <f>MIN(24,MAX(5,NORMINV(RAND(),$C$9,$D$9)))</f>
        <v/>
      </c>
      <c r="O685" s="83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70">
        <f>MAX(-0.05,NORMINV(RAND(),$C$6,$D$6))</f>
        <v/>
      </c>
      <c r="L686" s="70">
        <f>MAX(0.02,NORMINV(RAND(),$C$7,$D$7))</f>
        <v/>
      </c>
      <c r="M686" s="70">
        <f>MIN(0.16,MAX(0.05,NORMINV(RAND(),$C$8,$D$8)))</f>
        <v/>
      </c>
      <c r="N686" s="71">
        <f>MIN(24,MAX(5,NORMINV(RAND(),$C$9,$D$9)))</f>
        <v/>
      </c>
      <c r="O686" s="83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70">
        <f>MAX(-0.05,NORMINV(RAND(),$C$6,$D$6))</f>
        <v/>
      </c>
      <c r="L687" s="70">
        <f>MAX(0.02,NORMINV(RAND(),$C$7,$D$7))</f>
        <v/>
      </c>
      <c r="M687" s="70">
        <f>MIN(0.16,MAX(0.05,NORMINV(RAND(),$C$8,$D$8)))</f>
        <v/>
      </c>
      <c r="N687" s="71">
        <f>MIN(24,MAX(5,NORMINV(RAND(),$C$9,$D$9)))</f>
        <v/>
      </c>
      <c r="O687" s="83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70">
        <f>MAX(-0.05,NORMINV(RAND(),$C$6,$D$6))</f>
        <v/>
      </c>
      <c r="L688" s="70">
        <f>MAX(0.02,NORMINV(RAND(),$C$7,$D$7))</f>
        <v/>
      </c>
      <c r="M688" s="70">
        <f>MIN(0.16,MAX(0.05,NORMINV(RAND(),$C$8,$D$8)))</f>
        <v/>
      </c>
      <c r="N688" s="71">
        <f>MIN(24,MAX(5,NORMINV(RAND(),$C$9,$D$9)))</f>
        <v/>
      </c>
      <c r="O688" s="83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70">
        <f>MAX(-0.05,NORMINV(RAND(),$C$6,$D$6))</f>
        <v/>
      </c>
      <c r="L689" s="70">
        <f>MAX(0.02,NORMINV(RAND(),$C$7,$D$7))</f>
        <v/>
      </c>
      <c r="M689" s="70">
        <f>MIN(0.16,MAX(0.05,NORMINV(RAND(),$C$8,$D$8)))</f>
        <v/>
      </c>
      <c r="N689" s="71">
        <f>MIN(24,MAX(5,NORMINV(RAND(),$C$9,$D$9)))</f>
        <v/>
      </c>
      <c r="O689" s="83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70">
        <f>MAX(-0.05,NORMINV(RAND(),$C$6,$D$6))</f>
        <v/>
      </c>
      <c r="L690" s="70">
        <f>MAX(0.02,NORMINV(RAND(),$C$7,$D$7))</f>
        <v/>
      </c>
      <c r="M690" s="70">
        <f>MIN(0.16,MAX(0.05,NORMINV(RAND(),$C$8,$D$8)))</f>
        <v/>
      </c>
      <c r="N690" s="71">
        <f>MIN(24,MAX(5,NORMINV(RAND(),$C$9,$D$9)))</f>
        <v/>
      </c>
      <c r="O690" s="83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70">
        <f>MAX(-0.05,NORMINV(RAND(),$C$6,$D$6))</f>
        <v/>
      </c>
      <c r="L691" s="70">
        <f>MAX(0.02,NORMINV(RAND(),$C$7,$D$7))</f>
        <v/>
      </c>
      <c r="M691" s="70">
        <f>MIN(0.16,MAX(0.05,NORMINV(RAND(),$C$8,$D$8)))</f>
        <v/>
      </c>
      <c r="N691" s="71">
        <f>MIN(24,MAX(5,NORMINV(RAND(),$C$9,$D$9)))</f>
        <v/>
      </c>
      <c r="O691" s="83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70">
        <f>MAX(-0.05,NORMINV(RAND(),$C$6,$D$6))</f>
        <v/>
      </c>
      <c r="L692" s="70">
        <f>MAX(0.02,NORMINV(RAND(),$C$7,$D$7))</f>
        <v/>
      </c>
      <c r="M692" s="70">
        <f>MIN(0.16,MAX(0.05,NORMINV(RAND(),$C$8,$D$8)))</f>
        <v/>
      </c>
      <c r="N692" s="71">
        <f>MIN(24,MAX(5,NORMINV(RAND(),$C$9,$D$9)))</f>
        <v/>
      </c>
      <c r="O692" s="83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70">
        <f>MAX(-0.05,NORMINV(RAND(),$C$6,$D$6))</f>
        <v/>
      </c>
      <c r="L693" s="70">
        <f>MAX(0.02,NORMINV(RAND(),$C$7,$D$7))</f>
        <v/>
      </c>
      <c r="M693" s="70">
        <f>MIN(0.16,MAX(0.05,NORMINV(RAND(),$C$8,$D$8)))</f>
        <v/>
      </c>
      <c r="N693" s="71">
        <f>MIN(24,MAX(5,NORMINV(RAND(),$C$9,$D$9)))</f>
        <v/>
      </c>
      <c r="O693" s="83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70">
        <f>MAX(-0.05,NORMINV(RAND(),$C$6,$D$6))</f>
        <v/>
      </c>
      <c r="L694" s="70">
        <f>MAX(0.02,NORMINV(RAND(),$C$7,$D$7))</f>
        <v/>
      </c>
      <c r="M694" s="70">
        <f>MIN(0.16,MAX(0.05,NORMINV(RAND(),$C$8,$D$8)))</f>
        <v/>
      </c>
      <c r="N694" s="71">
        <f>MIN(24,MAX(5,NORMINV(RAND(),$C$9,$D$9)))</f>
        <v/>
      </c>
      <c r="O694" s="83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70">
        <f>MAX(-0.05,NORMINV(RAND(),$C$6,$D$6))</f>
        <v/>
      </c>
      <c r="L695" s="70">
        <f>MAX(0.02,NORMINV(RAND(),$C$7,$D$7))</f>
        <v/>
      </c>
      <c r="M695" s="70">
        <f>MIN(0.16,MAX(0.05,NORMINV(RAND(),$C$8,$D$8)))</f>
        <v/>
      </c>
      <c r="N695" s="71">
        <f>MIN(24,MAX(5,NORMINV(RAND(),$C$9,$D$9)))</f>
        <v/>
      </c>
      <c r="O695" s="83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70">
        <f>MAX(-0.05,NORMINV(RAND(),$C$6,$D$6))</f>
        <v/>
      </c>
      <c r="L696" s="70">
        <f>MAX(0.02,NORMINV(RAND(),$C$7,$D$7))</f>
        <v/>
      </c>
      <c r="M696" s="70">
        <f>MIN(0.16,MAX(0.05,NORMINV(RAND(),$C$8,$D$8)))</f>
        <v/>
      </c>
      <c r="N696" s="71">
        <f>MIN(24,MAX(5,NORMINV(RAND(),$C$9,$D$9)))</f>
        <v/>
      </c>
      <c r="O696" s="83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70">
        <f>MAX(-0.05,NORMINV(RAND(),$C$6,$D$6))</f>
        <v/>
      </c>
      <c r="L697" s="70">
        <f>MAX(0.02,NORMINV(RAND(),$C$7,$D$7))</f>
        <v/>
      </c>
      <c r="M697" s="70">
        <f>MIN(0.16,MAX(0.05,NORMINV(RAND(),$C$8,$D$8)))</f>
        <v/>
      </c>
      <c r="N697" s="71">
        <f>MIN(24,MAX(5,NORMINV(RAND(),$C$9,$D$9)))</f>
        <v/>
      </c>
      <c r="O697" s="83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70">
        <f>MAX(-0.05,NORMINV(RAND(),$C$6,$D$6))</f>
        <v/>
      </c>
      <c r="L698" s="70">
        <f>MAX(0.02,NORMINV(RAND(),$C$7,$D$7))</f>
        <v/>
      </c>
      <c r="M698" s="70">
        <f>MIN(0.16,MAX(0.05,NORMINV(RAND(),$C$8,$D$8)))</f>
        <v/>
      </c>
      <c r="N698" s="71">
        <f>MIN(24,MAX(5,NORMINV(RAND(),$C$9,$D$9)))</f>
        <v/>
      </c>
      <c r="O698" s="83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70">
        <f>MAX(-0.05,NORMINV(RAND(),$C$6,$D$6))</f>
        <v/>
      </c>
      <c r="L699" s="70">
        <f>MAX(0.02,NORMINV(RAND(),$C$7,$D$7))</f>
        <v/>
      </c>
      <c r="M699" s="70">
        <f>MIN(0.16,MAX(0.05,NORMINV(RAND(),$C$8,$D$8)))</f>
        <v/>
      </c>
      <c r="N699" s="71">
        <f>MIN(24,MAX(5,NORMINV(RAND(),$C$9,$D$9)))</f>
        <v/>
      </c>
      <c r="O699" s="83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70">
        <f>MAX(-0.05,NORMINV(RAND(),$C$6,$D$6))</f>
        <v/>
      </c>
      <c r="L700" s="70">
        <f>MAX(0.02,NORMINV(RAND(),$C$7,$D$7))</f>
        <v/>
      </c>
      <c r="M700" s="70">
        <f>MIN(0.16,MAX(0.05,NORMINV(RAND(),$C$8,$D$8)))</f>
        <v/>
      </c>
      <c r="N700" s="71">
        <f>MIN(24,MAX(5,NORMINV(RAND(),$C$9,$D$9)))</f>
        <v/>
      </c>
      <c r="O700" s="83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70">
        <f>MAX(-0.05,NORMINV(RAND(),$C$6,$D$6))</f>
        <v/>
      </c>
      <c r="L701" s="70">
        <f>MAX(0.02,NORMINV(RAND(),$C$7,$D$7))</f>
        <v/>
      </c>
      <c r="M701" s="70">
        <f>MIN(0.16,MAX(0.05,NORMINV(RAND(),$C$8,$D$8)))</f>
        <v/>
      </c>
      <c r="N701" s="71">
        <f>MIN(24,MAX(5,NORMINV(RAND(),$C$9,$D$9)))</f>
        <v/>
      </c>
      <c r="O701" s="83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70">
        <f>MAX(-0.05,NORMINV(RAND(),$C$6,$D$6))</f>
        <v/>
      </c>
      <c r="L702" s="70">
        <f>MAX(0.02,NORMINV(RAND(),$C$7,$D$7))</f>
        <v/>
      </c>
      <c r="M702" s="70">
        <f>MIN(0.16,MAX(0.05,NORMINV(RAND(),$C$8,$D$8)))</f>
        <v/>
      </c>
      <c r="N702" s="71">
        <f>MIN(24,MAX(5,NORMINV(RAND(),$C$9,$D$9)))</f>
        <v/>
      </c>
      <c r="O702" s="83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70">
        <f>MAX(-0.05,NORMINV(RAND(),$C$6,$D$6))</f>
        <v/>
      </c>
      <c r="L703" s="70">
        <f>MAX(0.02,NORMINV(RAND(),$C$7,$D$7))</f>
        <v/>
      </c>
      <c r="M703" s="70">
        <f>MIN(0.16,MAX(0.05,NORMINV(RAND(),$C$8,$D$8)))</f>
        <v/>
      </c>
      <c r="N703" s="71">
        <f>MIN(24,MAX(5,NORMINV(RAND(),$C$9,$D$9)))</f>
        <v/>
      </c>
      <c r="O703" s="83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70">
        <f>MAX(-0.05,NORMINV(RAND(),$C$6,$D$6))</f>
        <v/>
      </c>
      <c r="L704" s="70">
        <f>MAX(0.02,NORMINV(RAND(),$C$7,$D$7))</f>
        <v/>
      </c>
      <c r="M704" s="70">
        <f>MIN(0.16,MAX(0.05,NORMINV(RAND(),$C$8,$D$8)))</f>
        <v/>
      </c>
      <c r="N704" s="71">
        <f>MIN(24,MAX(5,NORMINV(RAND(),$C$9,$D$9)))</f>
        <v/>
      </c>
      <c r="O704" s="83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70">
        <f>MAX(-0.05,NORMINV(RAND(),$C$6,$D$6))</f>
        <v/>
      </c>
      <c r="L705" s="70">
        <f>MAX(0.02,NORMINV(RAND(),$C$7,$D$7))</f>
        <v/>
      </c>
      <c r="M705" s="70">
        <f>MIN(0.16,MAX(0.05,NORMINV(RAND(),$C$8,$D$8)))</f>
        <v/>
      </c>
      <c r="N705" s="71">
        <f>MIN(24,MAX(5,NORMINV(RAND(),$C$9,$D$9)))</f>
        <v/>
      </c>
      <c r="O705" s="83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70">
        <f>MAX(-0.05,NORMINV(RAND(),$C$6,$D$6))</f>
        <v/>
      </c>
      <c r="L706" s="70">
        <f>MAX(0.02,NORMINV(RAND(),$C$7,$D$7))</f>
        <v/>
      </c>
      <c r="M706" s="70">
        <f>MIN(0.16,MAX(0.05,NORMINV(RAND(),$C$8,$D$8)))</f>
        <v/>
      </c>
      <c r="N706" s="71">
        <f>MIN(24,MAX(5,NORMINV(RAND(),$C$9,$D$9)))</f>
        <v/>
      </c>
      <c r="O706" s="83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70">
        <f>MAX(-0.05,NORMINV(RAND(),$C$6,$D$6))</f>
        <v/>
      </c>
      <c r="L707" s="70">
        <f>MAX(0.02,NORMINV(RAND(),$C$7,$D$7))</f>
        <v/>
      </c>
      <c r="M707" s="70">
        <f>MIN(0.16,MAX(0.05,NORMINV(RAND(),$C$8,$D$8)))</f>
        <v/>
      </c>
      <c r="N707" s="71">
        <f>MIN(24,MAX(5,NORMINV(RAND(),$C$9,$D$9)))</f>
        <v/>
      </c>
      <c r="O707" s="83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70">
        <f>MAX(-0.05,NORMINV(RAND(),$C$6,$D$6))</f>
        <v/>
      </c>
      <c r="L708" s="70">
        <f>MAX(0.02,NORMINV(RAND(),$C$7,$D$7))</f>
        <v/>
      </c>
      <c r="M708" s="70">
        <f>MIN(0.16,MAX(0.05,NORMINV(RAND(),$C$8,$D$8)))</f>
        <v/>
      </c>
      <c r="N708" s="71">
        <f>MIN(24,MAX(5,NORMINV(RAND(),$C$9,$D$9)))</f>
        <v/>
      </c>
      <c r="O708" s="83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70">
        <f>MAX(-0.05,NORMINV(RAND(),$C$6,$D$6))</f>
        <v/>
      </c>
      <c r="L709" s="70">
        <f>MAX(0.02,NORMINV(RAND(),$C$7,$D$7))</f>
        <v/>
      </c>
      <c r="M709" s="70">
        <f>MIN(0.16,MAX(0.05,NORMINV(RAND(),$C$8,$D$8)))</f>
        <v/>
      </c>
      <c r="N709" s="71">
        <f>MIN(24,MAX(5,NORMINV(RAND(),$C$9,$D$9)))</f>
        <v/>
      </c>
      <c r="O709" s="83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70">
        <f>MAX(-0.05,NORMINV(RAND(),$C$6,$D$6))</f>
        <v/>
      </c>
      <c r="L710" s="70">
        <f>MAX(0.02,NORMINV(RAND(),$C$7,$D$7))</f>
        <v/>
      </c>
      <c r="M710" s="70">
        <f>MIN(0.16,MAX(0.05,NORMINV(RAND(),$C$8,$D$8)))</f>
        <v/>
      </c>
      <c r="N710" s="71">
        <f>MIN(24,MAX(5,NORMINV(RAND(),$C$9,$D$9)))</f>
        <v/>
      </c>
      <c r="O710" s="83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70">
        <f>MAX(-0.05,NORMINV(RAND(),$C$6,$D$6))</f>
        <v/>
      </c>
      <c r="L711" s="70">
        <f>MAX(0.02,NORMINV(RAND(),$C$7,$D$7))</f>
        <v/>
      </c>
      <c r="M711" s="70">
        <f>MIN(0.16,MAX(0.05,NORMINV(RAND(),$C$8,$D$8)))</f>
        <v/>
      </c>
      <c r="N711" s="71">
        <f>MIN(24,MAX(5,NORMINV(RAND(),$C$9,$D$9)))</f>
        <v/>
      </c>
      <c r="O711" s="83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70">
        <f>MAX(-0.05,NORMINV(RAND(),$C$6,$D$6))</f>
        <v/>
      </c>
      <c r="L712" s="70">
        <f>MAX(0.02,NORMINV(RAND(),$C$7,$D$7))</f>
        <v/>
      </c>
      <c r="M712" s="70">
        <f>MIN(0.16,MAX(0.05,NORMINV(RAND(),$C$8,$D$8)))</f>
        <v/>
      </c>
      <c r="N712" s="71">
        <f>MIN(24,MAX(5,NORMINV(RAND(),$C$9,$D$9)))</f>
        <v/>
      </c>
      <c r="O712" s="83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70">
        <f>MAX(-0.05,NORMINV(RAND(),$C$6,$D$6))</f>
        <v/>
      </c>
      <c r="L713" s="70">
        <f>MAX(0.02,NORMINV(RAND(),$C$7,$D$7))</f>
        <v/>
      </c>
      <c r="M713" s="70">
        <f>MIN(0.16,MAX(0.05,NORMINV(RAND(),$C$8,$D$8)))</f>
        <v/>
      </c>
      <c r="N713" s="71">
        <f>MIN(24,MAX(5,NORMINV(RAND(),$C$9,$D$9)))</f>
        <v/>
      </c>
      <c r="O713" s="83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70">
        <f>MAX(-0.05,NORMINV(RAND(),$C$6,$D$6))</f>
        <v/>
      </c>
      <c r="L714" s="70">
        <f>MAX(0.02,NORMINV(RAND(),$C$7,$D$7))</f>
        <v/>
      </c>
      <c r="M714" s="70">
        <f>MIN(0.16,MAX(0.05,NORMINV(RAND(),$C$8,$D$8)))</f>
        <v/>
      </c>
      <c r="N714" s="71">
        <f>MIN(24,MAX(5,NORMINV(RAND(),$C$9,$D$9)))</f>
        <v/>
      </c>
      <c r="O714" s="83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70">
        <f>MAX(-0.05,NORMINV(RAND(),$C$6,$D$6))</f>
        <v/>
      </c>
      <c r="L715" s="70">
        <f>MAX(0.02,NORMINV(RAND(),$C$7,$D$7))</f>
        <v/>
      </c>
      <c r="M715" s="70">
        <f>MIN(0.16,MAX(0.05,NORMINV(RAND(),$C$8,$D$8)))</f>
        <v/>
      </c>
      <c r="N715" s="71">
        <f>MIN(24,MAX(5,NORMINV(RAND(),$C$9,$D$9)))</f>
        <v/>
      </c>
      <c r="O715" s="83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70">
        <f>MAX(-0.05,NORMINV(RAND(),$C$6,$D$6))</f>
        <v/>
      </c>
      <c r="L716" s="70">
        <f>MAX(0.02,NORMINV(RAND(),$C$7,$D$7))</f>
        <v/>
      </c>
      <c r="M716" s="70">
        <f>MIN(0.16,MAX(0.05,NORMINV(RAND(),$C$8,$D$8)))</f>
        <v/>
      </c>
      <c r="N716" s="71">
        <f>MIN(24,MAX(5,NORMINV(RAND(),$C$9,$D$9)))</f>
        <v/>
      </c>
      <c r="O716" s="83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70">
        <f>MAX(-0.05,NORMINV(RAND(),$C$6,$D$6))</f>
        <v/>
      </c>
      <c r="L717" s="70">
        <f>MAX(0.02,NORMINV(RAND(),$C$7,$D$7))</f>
        <v/>
      </c>
      <c r="M717" s="70">
        <f>MIN(0.16,MAX(0.05,NORMINV(RAND(),$C$8,$D$8)))</f>
        <v/>
      </c>
      <c r="N717" s="71">
        <f>MIN(24,MAX(5,NORMINV(RAND(),$C$9,$D$9)))</f>
        <v/>
      </c>
      <c r="O717" s="83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70">
        <f>MAX(-0.05,NORMINV(RAND(),$C$6,$D$6))</f>
        <v/>
      </c>
      <c r="L718" s="70">
        <f>MAX(0.02,NORMINV(RAND(),$C$7,$D$7))</f>
        <v/>
      </c>
      <c r="M718" s="70">
        <f>MIN(0.16,MAX(0.05,NORMINV(RAND(),$C$8,$D$8)))</f>
        <v/>
      </c>
      <c r="N718" s="71">
        <f>MIN(24,MAX(5,NORMINV(RAND(),$C$9,$D$9)))</f>
        <v/>
      </c>
      <c r="O718" s="83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70">
        <f>MAX(-0.05,NORMINV(RAND(),$C$6,$D$6))</f>
        <v/>
      </c>
      <c r="L719" s="70">
        <f>MAX(0.02,NORMINV(RAND(),$C$7,$D$7))</f>
        <v/>
      </c>
      <c r="M719" s="70">
        <f>MIN(0.16,MAX(0.05,NORMINV(RAND(),$C$8,$D$8)))</f>
        <v/>
      </c>
      <c r="N719" s="71">
        <f>MIN(24,MAX(5,NORMINV(RAND(),$C$9,$D$9)))</f>
        <v/>
      </c>
      <c r="O719" s="83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70">
        <f>MAX(-0.05,NORMINV(RAND(),$C$6,$D$6))</f>
        <v/>
      </c>
      <c r="L720" s="70">
        <f>MAX(0.02,NORMINV(RAND(),$C$7,$D$7))</f>
        <v/>
      </c>
      <c r="M720" s="70">
        <f>MIN(0.16,MAX(0.05,NORMINV(RAND(),$C$8,$D$8)))</f>
        <v/>
      </c>
      <c r="N720" s="71">
        <f>MIN(24,MAX(5,NORMINV(RAND(),$C$9,$D$9)))</f>
        <v/>
      </c>
      <c r="O720" s="83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70">
        <f>MAX(-0.05,NORMINV(RAND(),$C$6,$D$6))</f>
        <v/>
      </c>
      <c r="L721" s="70">
        <f>MAX(0.02,NORMINV(RAND(),$C$7,$D$7))</f>
        <v/>
      </c>
      <c r="M721" s="70">
        <f>MIN(0.16,MAX(0.05,NORMINV(RAND(),$C$8,$D$8)))</f>
        <v/>
      </c>
      <c r="N721" s="71">
        <f>MIN(24,MAX(5,NORMINV(RAND(),$C$9,$D$9)))</f>
        <v/>
      </c>
      <c r="O721" s="83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70">
        <f>MAX(-0.05,NORMINV(RAND(),$C$6,$D$6))</f>
        <v/>
      </c>
      <c r="L722" s="70">
        <f>MAX(0.02,NORMINV(RAND(),$C$7,$D$7))</f>
        <v/>
      </c>
      <c r="M722" s="70">
        <f>MIN(0.16,MAX(0.05,NORMINV(RAND(),$C$8,$D$8)))</f>
        <v/>
      </c>
      <c r="N722" s="71">
        <f>MIN(24,MAX(5,NORMINV(RAND(),$C$9,$D$9)))</f>
        <v/>
      </c>
      <c r="O722" s="83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70">
        <f>MAX(-0.05,NORMINV(RAND(),$C$6,$D$6))</f>
        <v/>
      </c>
      <c r="L723" s="70">
        <f>MAX(0.02,NORMINV(RAND(),$C$7,$D$7))</f>
        <v/>
      </c>
      <c r="M723" s="70">
        <f>MIN(0.16,MAX(0.05,NORMINV(RAND(),$C$8,$D$8)))</f>
        <v/>
      </c>
      <c r="N723" s="71">
        <f>MIN(24,MAX(5,NORMINV(RAND(),$C$9,$D$9)))</f>
        <v/>
      </c>
      <c r="O723" s="83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70">
        <f>MAX(-0.05,NORMINV(RAND(),$C$6,$D$6))</f>
        <v/>
      </c>
      <c r="L724" s="70">
        <f>MAX(0.02,NORMINV(RAND(),$C$7,$D$7))</f>
        <v/>
      </c>
      <c r="M724" s="70">
        <f>MIN(0.16,MAX(0.05,NORMINV(RAND(),$C$8,$D$8)))</f>
        <v/>
      </c>
      <c r="N724" s="71">
        <f>MIN(24,MAX(5,NORMINV(RAND(),$C$9,$D$9)))</f>
        <v/>
      </c>
      <c r="O724" s="83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70">
        <f>MAX(-0.05,NORMINV(RAND(),$C$6,$D$6))</f>
        <v/>
      </c>
      <c r="L725" s="70">
        <f>MAX(0.02,NORMINV(RAND(),$C$7,$D$7))</f>
        <v/>
      </c>
      <c r="M725" s="70">
        <f>MIN(0.16,MAX(0.05,NORMINV(RAND(),$C$8,$D$8)))</f>
        <v/>
      </c>
      <c r="N725" s="71">
        <f>MIN(24,MAX(5,NORMINV(RAND(),$C$9,$D$9)))</f>
        <v/>
      </c>
      <c r="O725" s="83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70">
        <f>MAX(-0.05,NORMINV(RAND(),$C$6,$D$6))</f>
        <v/>
      </c>
      <c r="L726" s="70">
        <f>MAX(0.02,NORMINV(RAND(),$C$7,$D$7))</f>
        <v/>
      </c>
      <c r="M726" s="70">
        <f>MIN(0.16,MAX(0.05,NORMINV(RAND(),$C$8,$D$8)))</f>
        <v/>
      </c>
      <c r="N726" s="71">
        <f>MIN(24,MAX(5,NORMINV(RAND(),$C$9,$D$9)))</f>
        <v/>
      </c>
      <c r="O726" s="83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70">
        <f>MAX(-0.05,NORMINV(RAND(),$C$6,$D$6))</f>
        <v/>
      </c>
      <c r="L727" s="70">
        <f>MAX(0.02,NORMINV(RAND(),$C$7,$D$7))</f>
        <v/>
      </c>
      <c r="M727" s="70">
        <f>MIN(0.16,MAX(0.05,NORMINV(RAND(),$C$8,$D$8)))</f>
        <v/>
      </c>
      <c r="N727" s="71">
        <f>MIN(24,MAX(5,NORMINV(RAND(),$C$9,$D$9)))</f>
        <v/>
      </c>
      <c r="O727" s="83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70">
        <f>MAX(-0.05,NORMINV(RAND(),$C$6,$D$6))</f>
        <v/>
      </c>
      <c r="L728" s="70">
        <f>MAX(0.02,NORMINV(RAND(),$C$7,$D$7))</f>
        <v/>
      </c>
      <c r="M728" s="70">
        <f>MIN(0.16,MAX(0.05,NORMINV(RAND(),$C$8,$D$8)))</f>
        <v/>
      </c>
      <c r="N728" s="71">
        <f>MIN(24,MAX(5,NORMINV(RAND(),$C$9,$D$9)))</f>
        <v/>
      </c>
      <c r="O728" s="83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70">
        <f>MAX(-0.05,NORMINV(RAND(),$C$6,$D$6))</f>
        <v/>
      </c>
      <c r="L729" s="70">
        <f>MAX(0.02,NORMINV(RAND(),$C$7,$D$7))</f>
        <v/>
      </c>
      <c r="M729" s="70">
        <f>MIN(0.16,MAX(0.05,NORMINV(RAND(),$C$8,$D$8)))</f>
        <v/>
      </c>
      <c r="N729" s="71">
        <f>MIN(24,MAX(5,NORMINV(RAND(),$C$9,$D$9)))</f>
        <v/>
      </c>
      <c r="O729" s="83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70">
        <f>MAX(-0.05,NORMINV(RAND(),$C$6,$D$6))</f>
        <v/>
      </c>
      <c r="L730" s="70">
        <f>MAX(0.02,NORMINV(RAND(),$C$7,$D$7))</f>
        <v/>
      </c>
      <c r="M730" s="70">
        <f>MIN(0.16,MAX(0.05,NORMINV(RAND(),$C$8,$D$8)))</f>
        <v/>
      </c>
      <c r="N730" s="71">
        <f>MIN(24,MAX(5,NORMINV(RAND(),$C$9,$D$9)))</f>
        <v/>
      </c>
      <c r="O730" s="83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70">
        <f>MAX(-0.05,NORMINV(RAND(),$C$6,$D$6))</f>
        <v/>
      </c>
      <c r="L731" s="70">
        <f>MAX(0.02,NORMINV(RAND(),$C$7,$D$7))</f>
        <v/>
      </c>
      <c r="M731" s="70">
        <f>MIN(0.16,MAX(0.05,NORMINV(RAND(),$C$8,$D$8)))</f>
        <v/>
      </c>
      <c r="N731" s="71">
        <f>MIN(24,MAX(5,NORMINV(RAND(),$C$9,$D$9)))</f>
        <v/>
      </c>
      <c r="O731" s="83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70">
        <f>MAX(-0.05,NORMINV(RAND(),$C$6,$D$6))</f>
        <v/>
      </c>
      <c r="L732" s="70">
        <f>MAX(0.02,NORMINV(RAND(),$C$7,$D$7))</f>
        <v/>
      </c>
      <c r="M732" s="70">
        <f>MIN(0.16,MAX(0.05,NORMINV(RAND(),$C$8,$D$8)))</f>
        <v/>
      </c>
      <c r="N732" s="71">
        <f>MIN(24,MAX(5,NORMINV(RAND(),$C$9,$D$9)))</f>
        <v/>
      </c>
      <c r="O732" s="83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70">
        <f>MAX(-0.05,NORMINV(RAND(),$C$6,$D$6))</f>
        <v/>
      </c>
      <c r="L733" s="70">
        <f>MAX(0.02,NORMINV(RAND(),$C$7,$D$7))</f>
        <v/>
      </c>
      <c r="M733" s="70">
        <f>MIN(0.16,MAX(0.05,NORMINV(RAND(),$C$8,$D$8)))</f>
        <v/>
      </c>
      <c r="N733" s="71">
        <f>MIN(24,MAX(5,NORMINV(RAND(),$C$9,$D$9)))</f>
        <v/>
      </c>
      <c r="O733" s="83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70">
        <f>MAX(-0.05,NORMINV(RAND(),$C$6,$D$6))</f>
        <v/>
      </c>
      <c r="L734" s="70">
        <f>MAX(0.02,NORMINV(RAND(),$C$7,$D$7))</f>
        <v/>
      </c>
      <c r="M734" s="70">
        <f>MIN(0.16,MAX(0.05,NORMINV(RAND(),$C$8,$D$8)))</f>
        <v/>
      </c>
      <c r="N734" s="71">
        <f>MIN(24,MAX(5,NORMINV(RAND(),$C$9,$D$9)))</f>
        <v/>
      </c>
      <c r="O734" s="83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70">
        <f>MAX(-0.05,NORMINV(RAND(),$C$6,$D$6))</f>
        <v/>
      </c>
      <c r="L735" s="70">
        <f>MAX(0.02,NORMINV(RAND(),$C$7,$D$7))</f>
        <v/>
      </c>
      <c r="M735" s="70">
        <f>MIN(0.16,MAX(0.05,NORMINV(RAND(),$C$8,$D$8)))</f>
        <v/>
      </c>
      <c r="N735" s="71">
        <f>MIN(24,MAX(5,NORMINV(RAND(),$C$9,$D$9)))</f>
        <v/>
      </c>
      <c r="O735" s="83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70">
        <f>MAX(-0.05,NORMINV(RAND(),$C$6,$D$6))</f>
        <v/>
      </c>
      <c r="L736" s="70">
        <f>MAX(0.02,NORMINV(RAND(),$C$7,$D$7))</f>
        <v/>
      </c>
      <c r="M736" s="70">
        <f>MIN(0.16,MAX(0.05,NORMINV(RAND(),$C$8,$D$8)))</f>
        <v/>
      </c>
      <c r="N736" s="71">
        <f>MIN(24,MAX(5,NORMINV(RAND(),$C$9,$D$9)))</f>
        <v/>
      </c>
      <c r="O736" s="83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70">
        <f>MAX(-0.05,NORMINV(RAND(),$C$6,$D$6))</f>
        <v/>
      </c>
      <c r="L737" s="70">
        <f>MAX(0.02,NORMINV(RAND(),$C$7,$D$7))</f>
        <v/>
      </c>
      <c r="M737" s="70">
        <f>MIN(0.16,MAX(0.05,NORMINV(RAND(),$C$8,$D$8)))</f>
        <v/>
      </c>
      <c r="N737" s="71">
        <f>MIN(24,MAX(5,NORMINV(RAND(),$C$9,$D$9)))</f>
        <v/>
      </c>
      <c r="O737" s="83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70">
        <f>MAX(-0.05,NORMINV(RAND(),$C$6,$D$6))</f>
        <v/>
      </c>
      <c r="L738" s="70">
        <f>MAX(0.02,NORMINV(RAND(),$C$7,$D$7))</f>
        <v/>
      </c>
      <c r="M738" s="70">
        <f>MIN(0.16,MAX(0.05,NORMINV(RAND(),$C$8,$D$8)))</f>
        <v/>
      </c>
      <c r="N738" s="71">
        <f>MIN(24,MAX(5,NORMINV(RAND(),$C$9,$D$9)))</f>
        <v/>
      </c>
      <c r="O738" s="83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70">
        <f>MAX(-0.05,NORMINV(RAND(),$C$6,$D$6))</f>
        <v/>
      </c>
      <c r="L739" s="70">
        <f>MAX(0.02,NORMINV(RAND(),$C$7,$D$7))</f>
        <v/>
      </c>
      <c r="M739" s="70">
        <f>MIN(0.16,MAX(0.05,NORMINV(RAND(),$C$8,$D$8)))</f>
        <v/>
      </c>
      <c r="N739" s="71">
        <f>MIN(24,MAX(5,NORMINV(RAND(),$C$9,$D$9)))</f>
        <v/>
      </c>
      <c r="O739" s="83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70">
        <f>MAX(-0.05,NORMINV(RAND(),$C$6,$D$6))</f>
        <v/>
      </c>
      <c r="L740" s="70">
        <f>MAX(0.02,NORMINV(RAND(),$C$7,$D$7))</f>
        <v/>
      </c>
      <c r="M740" s="70">
        <f>MIN(0.16,MAX(0.05,NORMINV(RAND(),$C$8,$D$8)))</f>
        <v/>
      </c>
      <c r="N740" s="71">
        <f>MIN(24,MAX(5,NORMINV(RAND(),$C$9,$D$9)))</f>
        <v/>
      </c>
      <c r="O740" s="83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70">
        <f>MAX(-0.05,NORMINV(RAND(),$C$6,$D$6))</f>
        <v/>
      </c>
      <c r="L741" s="70">
        <f>MAX(0.02,NORMINV(RAND(),$C$7,$D$7))</f>
        <v/>
      </c>
      <c r="M741" s="70">
        <f>MIN(0.16,MAX(0.05,NORMINV(RAND(),$C$8,$D$8)))</f>
        <v/>
      </c>
      <c r="N741" s="71">
        <f>MIN(24,MAX(5,NORMINV(RAND(),$C$9,$D$9)))</f>
        <v/>
      </c>
      <c r="O741" s="83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70">
        <f>MAX(-0.05,NORMINV(RAND(),$C$6,$D$6))</f>
        <v/>
      </c>
      <c r="L742" s="70">
        <f>MAX(0.02,NORMINV(RAND(),$C$7,$D$7))</f>
        <v/>
      </c>
      <c r="M742" s="70">
        <f>MIN(0.16,MAX(0.05,NORMINV(RAND(),$C$8,$D$8)))</f>
        <v/>
      </c>
      <c r="N742" s="71">
        <f>MIN(24,MAX(5,NORMINV(RAND(),$C$9,$D$9)))</f>
        <v/>
      </c>
      <c r="O742" s="83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70">
        <f>MAX(-0.05,NORMINV(RAND(),$C$6,$D$6))</f>
        <v/>
      </c>
      <c r="L743" s="70">
        <f>MAX(0.02,NORMINV(RAND(),$C$7,$D$7))</f>
        <v/>
      </c>
      <c r="M743" s="70">
        <f>MIN(0.16,MAX(0.05,NORMINV(RAND(),$C$8,$D$8)))</f>
        <v/>
      </c>
      <c r="N743" s="71">
        <f>MIN(24,MAX(5,NORMINV(RAND(),$C$9,$D$9)))</f>
        <v/>
      </c>
      <c r="O743" s="83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70">
        <f>MAX(-0.05,NORMINV(RAND(),$C$6,$D$6))</f>
        <v/>
      </c>
      <c r="L744" s="70">
        <f>MAX(0.02,NORMINV(RAND(),$C$7,$D$7))</f>
        <v/>
      </c>
      <c r="M744" s="70">
        <f>MIN(0.16,MAX(0.05,NORMINV(RAND(),$C$8,$D$8)))</f>
        <v/>
      </c>
      <c r="N744" s="71">
        <f>MIN(24,MAX(5,NORMINV(RAND(),$C$9,$D$9)))</f>
        <v/>
      </c>
      <c r="O744" s="83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70">
        <f>MAX(-0.05,NORMINV(RAND(),$C$6,$D$6))</f>
        <v/>
      </c>
      <c r="L745" s="70">
        <f>MAX(0.02,NORMINV(RAND(),$C$7,$D$7))</f>
        <v/>
      </c>
      <c r="M745" s="70">
        <f>MIN(0.16,MAX(0.05,NORMINV(RAND(),$C$8,$D$8)))</f>
        <v/>
      </c>
      <c r="N745" s="71">
        <f>MIN(24,MAX(5,NORMINV(RAND(),$C$9,$D$9)))</f>
        <v/>
      </c>
      <c r="O745" s="83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70">
        <f>MAX(-0.05,NORMINV(RAND(),$C$6,$D$6))</f>
        <v/>
      </c>
      <c r="L746" s="70">
        <f>MAX(0.02,NORMINV(RAND(),$C$7,$D$7))</f>
        <v/>
      </c>
      <c r="M746" s="70">
        <f>MIN(0.16,MAX(0.05,NORMINV(RAND(),$C$8,$D$8)))</f>
        <v/>
      </c>
      <c r="N746" s="71">
        <f>MIN(24,MAX(5,NORMINV(RAND(),$C$9,$D$9)))</f>
        <v/>
      </c>
      <c r="O746" s="83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70">
        <f>MAX(-0.05,NORMINV(RAND(),$C$6,$D$6))</f>
        <v/>
      </c>
      <c r="L747" s="70">
        <f>MAX(0.02,NORMINV(RAND(),$C$7,$D$7))</f>
        <v/>
      </c>
      <c r="M747" s="70">
        <f>MIN(0.16,MAX(0.05,NORMINV(RAND(),$C$8,$D$8)))</f>
        <v/>
      </c>
      <c r="N747" s="71">
        <f>MIN(24,MAX(5,NORMINV(RAND(),$C$9,$D$9)))</f>
        <v/>
      </c>
      <c r="O747" s="83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70">
        <f>MAX(-0.05,NORMINV(RAND(),$C$6,$D$6))</f>
        <v/>
      </c>
      <c r="L748" s="70">
        <f>MAX(0.02,NORMINV(RAND(),$C$7,$D$7))</f>
        <v/>
      </c>
      <c r="M748" s="70">
        <f>MIN(0.16,MAX(0.05,NORMINV(RAND(),$C$8,$D$8)))</f>
        <v/>
      </c>
      <c r="N748" s="71">
        <f>MIN(24,MAX(5,NORMINV(RAND(),$C$9,$D$9)))</f>
        <v/>
      </c>
      <c r="O748" s="83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70">
        <f>MAX(-0.05,NORMINV(RAND(),$C$6,$D$6))</f>
        <v/>
      </c>
      <c r="L749" s="70">
        <f>MAX(0.02,NORMINV(RAND(),$C$7,$D$7))</f>
        <v/>
      </c>
      <c r="M749" s="70">
        <f>MIN(0.16,MAX(0.05,NORMINV(RAND(),$C$8,$D$8)))</f>
        <v/>
      </c>
      <c r="N749" s="71">
        <f>MIN(24,MAX(5,NORMINV(RAND(),$C$9,$D$9)))</f>
        <v/>
      </c>
      <c r="O749" s="83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70">
        <f>MAX(-0.05,NORMINV(RAND(),$C$6,$D$6))</f>
        <v/>
      </c>
      <c r="L750" s="70">
        <f>MAX(0.02,NORMINV(RAND(),$C$7,$D$7))</f>
        <v/>
      </c>
      <c r="M750" s="70">
        <f>MIN(0.16,MAX(0.05,NORMINV(RAND(),$C$8,$D$8)))</f>
        <v/>
      </c>
      <c r="N750" s="71">
        <f>MIN(24,MAX(5,NORMINV(RAND(),$C$9,$D$9)))</f>
        <v/>
      </c>
      <c r="O750" s="83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70">
        <f>MAX(-0.05,NORMINV(RAND(),$C$6,$D$6))</f>
        <v/>
      </c>
      <c r="L751" s="70">
        <f>MAX(0.02,NORMINV(RAND(),$C$7,$D$7))</f>
        <v/>
      </c>
      <c r="M751" s="70">
        <f>MIN(0.16,MAX(0.05,NORMINV(RAND(),$C$8,$D$8)))</f>
        <v/>
      </c>
      <c r="N751" s="71">
        <f>MIN(24,MAX(5,NORMINV(RAND(),$C$9,$D$9)))</f>
        <v/>
      </c>
      <c r="O751" s="83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70">
        <f>MAX(-0.05,NORMINV(RAND(),$C$6,$D$6))</f>
        <v/>
      </c>
      <c r="L752" s="70">
        <f>MAX(0.02,NORMINV(RAND(),$C$7,$D$7))</f>
        <v/>
      </c>
      <c r="M752" s="70">
        <f>MIN(0.16,MAX(0.05,NORMINV(RAND(),$C$8,$D$8)))</f>
        <v/>
      </c>
      <c r="N752" s="71">
        <f>MIN(24,MAX(5,NORMINV(RAND(),$C$9,$D$9)))</f>
        <v/>
      </c>
      <c r="O752" s="83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70">
        <f>MAX(-0.05,NORMINV(RAND(),$C$6,$D$6))</f>
        <v/>
      </c>
      <c r="L753" s="70">
        <f>MAX(0.02,NORMINV(RAND(),$C$7,$D$7))</f>
        <v/>
      </c>
      <c r="M753" s="70">
        <f>MIN(0.16,MAX(0.05,NORMINV(RAND(),$C$8,$D$8)))</f>
        <v/>
      </c>
      <c r="N753" s="71">
        <f>MIN(24,MAX(5,NORMINV(RAND(),$C$9,$D$9)))</f>
        <v/>
      </c>
      <c r="O753" s="83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70">
        <f>MAX(-0.05,NORMINV(RAND(),$C$6,$D$6))</f>
        <v/>
      </c>
      <c r="L754" s="70">
        <f>MAX(0.02,NORMINV(RAND(),$C$7,$D$7))</f>
        <v/>
      </c>
      <c r="M754" s="70">
        <f>MIN(0.16,MAX(0.05,NORMINV(RAND(),$C$8,$D$8)))</f>
        <v/>
      </c>
      <c r="N754" s="71">
        <f>MIN(24,MAX(5,NORMINV(RAND(),$C$9,$D$9)))</f>
        <v/>
      </c>
      <c r="O754" s="83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70">
        <f>MAX(-0.05,NORMINV(RAND(),$C$6,$D$6))</f>
        <v/>
      </c>
      <c r="L755" s="70">
        <f>MAX(0.02,NORMINV(RAND(),$C$7,$D$7))</f>
        <v/>
      </c>
      <c r="M755" s="70">
        <f>MIN(0.16,MAX(0.05,NORMINV(RAND(),$C$8,$D$8)))</f>
        <v/>
      </c>
      <c r="N755" s="71">
        <f>MIN(24,MAX(5,NORMINV(RAND(),$C$9,$D$9)))</f>
        <v/>
      </c>
      <c r="O755" s="83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70">
        <f>MAX(-0.05,NORMINV(RAND(),$C$6,$D$6))</f>
        <v/>
      </c>
      <c r="L756" s="70">
        <f>MAX(0.02,NORMINV(RAND(),$C$7,$D$7))</f>
        <v/>
      </c>
      <c r="M756" s="70">
        <f>MIN(0.16,MAX(0.05,NORMINV(RAND(),$C$8,$D$8)))</f>
        <v/>
      </c>
      <c r="N756" s="71">
        <f>MIN(24,MAX(5,NORMINV(RAND(),$C$9,$D$9)))</f>
        <v/>
      </c>
      <c r="O756" s="83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70">
        <f>MAX(-0.05,NORMINV(RAND(),$C$6,$D$6))</f>
        <v/>
      </c>
      <c r="L757" s="70">
        <f>MAX(0.02,NORMINV(RAND(),$C$7,$D$7))</f>
        <v/>
      </c>
      <c r="M757" s="70">
        <f>MIN(0.16,MAX(0.05,NORMINV(RAND(),$C$8,$D$8)))</f>
        <v/>
      </c>
      <c r="N757" s="71">
        <f>MIN(24,MAX(5,NORMINV(RAND(),$C$9,$D$9)))</f>
        <v/>
      </c>
      <c r="O757" s="83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70">
        <f>MAX(-0.05,NORMINV(RAND(),$C$6,$D$6))</f>
        <v/>
      </c>
      <c r="L758" s="70">
        <f>MAX(0.02,NORMINV(RAND(),$C$7,$D$7))</f>
        <v/>
      </c>
      <c r="M758" s="70">
        <f>MIN(0.16,MAX(0.05,NORMINV(RAND(),$C$8,$D$8)))</f>
        <v/>
      </c>
      <c r="N758" s="71">
        <f>MIN(24,MAX(5,NORMINV(RAND(),$C$9,$D$9)))</f>
        <v/>
      </c>
      <c r="O758" s="83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70">
        <f>MAX(-0.05,NORMINV(RAND(),$C$6,$D$6))</f>
        <v/>
      </c>
      <c r="L759" s="70">
        <f>MAX(0.02,NORMINV(RAND(),$C$7,$D$7))</f>
        <v/>
      </c>
      <c r="M759" s="70">
        <f>MIN(0.16,MAX(0.05,NORMINV(RAND(),$C$8,$D$8)))</f>
        <v/>
      </c>
      <c r="N759" s="71">
        <f>MIN(24,MAX(5,NORMINV(RAND(),$C$9,$D$9)))</f>
        <v/>
      </c>
      <c r="O759" s="83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70">
        <f>MAX(-0.05,NORMINV(RAND(),$C$6,$D$6))</f>
        <v/>
      </c>
      <c r="L760" s="70">
        <f>MAX(0.02,NORMINV(RAND(),$C$7,$D$7))</f>
        <v/>
      </c>
      <c r="M760" s="70">
        <f>MIN(0.16,MAX(0.05,NORMINV(RAND(),$C$8,$D$8)))</f>
        <v/>
      </c>
      <c r="N760" s="71">
        <f>MIN(24,MAX(5,NORMINV(RAND(),$C$9,$D$9)))</f>
        <v/>
      </c>
      <c r="O760" s="83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70">
        <f>MAX(-0.05,NORMINV(RAND(),$C$6,$D$6))</f>
        <v/>
      </c>
      <c r="L761" s="70">
        <f>MAX(0.02,NORMINV(RAND(),$C$7,$D$7))</f>
        <v/>
      </c>
      <c r="M761" s="70">
        <f>MIN(0.16,MAX(0.05,NORMINV(RAND(),$C$8,$D$8)))</f>
        <v/>
      </c>
      <c r="N761" s="71">
        <f>MIN(24,MAX(5,NORMINV(RAND(),$C$9,$D$9)))</f>
        <v/>
      </c>
      <c r="O761" s="83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70">
        <f>MAX(-0.05,NORMINV(RAND(),$C$6,$D$6))</f>
        <v/>
      </c>
      <c r="L762" s="70">
        <f>MAX(0.02,NORMINV(RAND(),$C$7,$D$7))</f>
        <v/>
      </c>
      <c r="M762" s="70">
        <f>MIN(0.16,MAX(0.05,NORMINV(RAND(),$C$8,$D$8)))</f>
        <v/>
      </c>
      <c r="N762" s="71">
        <f>MIN(24,MAX(5,NORMINV(RAND(),$C$9,$D$9)))</f>
        <v/>
      </c>
      <c r="O762" s="83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70">
        <f>MAX(-0.05,NORMINV(RAND(),$C$6,$D$6))</f>
        <v/>
      </c>
      <c r="L763" s="70">
        <f>MAX(0.02,NORMINV(RAND(),$C$7,$D$7))</f>
        <v/>
      </c>
      <c r="M763" s="70">
        <f>MIN(0.16,MAX(0.05,NORMINV(RAND(),$C$8,$D$8)))</f>
        <v/>
      </c>
      <c r="N763" s="71">
        <f>MIN(24,MAX(5,NORMINV(RAND(),$C$9,$D$9)))</f>
        <v/>
      </c>
      <c r="O763" s="83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70">
        <f>MAX(-0.05,NORMINV(RAND(),$C$6,$D$6))</f>
        <v/>
      </c>
      <c r="L764" s="70">
        <f>MAX(0.02,NORMINV(RAND(),$C$7,$D$7))</f>
        <v/>
      </c>
      <c r="M764" s="70">
        <f>MIN(0.16,MAX(0.05,NORMINV(RAND(),$C$8,$D$8)))</f>
        <v/>
      </c>
      <c r="N764" s="71">
        <f>MIN(24,MAX(5,NORMINV(RAND(),$C$9,$D$9)))</f>
        <v/>
      </c>
      <c r="O764" s="83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70">
        <f>MAX(-0.05,NORMINV(RAND(),$C$6,$D$6))</f>
        <v/>
      </c>
      <c r="L765" s="70">
        <f>MAX(0.02,NORMINV(RAND(),$C$7,$D$7))</f>
        <v/>
      </c>
      <c r="M765" s="70">
        <f>MIN(0.16,MAX(0.05,NORMINV(RAND(),$C$8,$D$8)))</f>
        <v/>
      </c>
      <c r="N765" s="71">
        <f>MIN(24,MAX(5,NORMINV(RAND(),$C$9,$D$9)))</f>
        <v/>
      </c>
      <c r="O765" s="83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70">
        <f>MAX(-0.05,NORMINV(RAND(),$C$6,$D$6))</f>
        <v/>
      </c>
      <c r="L766" s="70">
        <f>MAX(0.02,NORMINV(RAND(),$C$7,$D$7))</f>
        <v/>
      </c>
      <c r="M766" s="70">
        <f>MIN(0.16,MAX(0.05,NORMINV(RAND(),$C$8,$D$8)))</f>
        <v/>
      </c>
      <c r="N766" s="71">
        <f>MIN(24,MAX(5,NORMINV(RAND(),$C$9,$D$9)))</f>
        <v/>
      </c>
      <c r="O766" s="83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70">
        <f>MAX(-0.05,NORMINV(RAND(),$C$6,$D$6))</f>
        <v/>
      </c>
      <c r="L767" s="70">
        <f>MAX(0.02,NORMINV(RAND(),$C$7,$D$7))</f>
        <v/>
      </c>
      <c r="M767" s="70">
        <f>MIN(0.16,MAX(0.05,NORMINV(RAND(),$C$8,$D$8)))</f>
        <v/>
      </c>
      <c r="N767" s="71">
        <f>MIN(24,MAX(5,NORMINV(RAND(),$C$9,$D$9)))</f>
        <v/>
      </c>
      <c r="O767" s="83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70">
        <f>MAX(-0.05,NORMINV(RAND(),$C$6,$D$6))</f>
        <v/>
      </c>
      <c r="L768" s="70">
        <f>MAX(0.02,NORMINV(RAND(),$C$7,$D$7))</f>
        <v/>
      </c>
      <c r="M768" s="70">
        <f>MIN(0.16,MAX(0.05,NORMINV(RAND(),$C$8,$D$8)))</f>
        <v/>
      </c>
      <c r="N768" s="71">
        <f>MIN(24,MAX(5,NORMINV(RAND(),$C$9,$D$9)))</f>
        <v/>
      </c>
      <c r="O768" s="83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70">
        <f>MAX(-0.05,NORMINV(RAND(),$C$6,$D$6))</f>
        <v/>
      </c>
      <c r="L769" s="70">
        <f>MAX(0.02,NORMINV(RAND(),$C$7,$D$7))</f>
        <v/>
      </c>
      <c r="M769" s="70">
        <f>MIN(0.16,MAX(0.05,NORMINV(RAND(),$C$8,$D$8)))</f>
        <v/>
      </c>
      <c r="N769" s="71">
        <f>MIN(24,MAX(5,NORMINV(RAND(),$C$9,$D$9)))</f>
        <v/>
      </c>
      <c r="O769" s="83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70">
        <f>MAX(-0.05,NORMINV(RAND(),$C$6,$D$6))</f>
        <v/>
      </c>
      <c r="L770" s="70">
        <f>MAX(0.02,NORMINV(RAND(),$C$7,$D$7))</f>
        <v/>
      </c>
      <c r="M770" s="70">
        <f>MIN(0.16,MAX(0.05,NORMINV(RAND(),$C$8,$D$8)))</f>
        <v/>
      </c>
      <c r="N770" s="71">
        <f>MIN(24,MAX(5,NORMINV(RAND(),$C$9,$D$9)))</f>
        <v/>
      </c>
      <c r="O770" s="83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70">
        <f>MAX(-0.05,NORMINV(RAND(),$C$6,$D$6))</f>
        <v/>
      </c>
      <c r="L771" s="70">
        <f>MAX(0.02,NORMINV(RAND(),$C$7,$D$7))</f>
        <v/>
      </c>
      <c r="M771" s="70">
        <f>MIN(0.16,MAX(0.05,NORMINV(RAND(),$C$8,$D$8)))</f>
        <v/>
      </c>
      <c r="N771" s="71">
        <f>MIN(24,MAX(5,NORMINV(RAND(),$C$9,$D$9)))</f>
        <v/>
      </c>
      <c r="O771" s="83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70">
        <f>MAX(-0.05,NORMINV(RAND(),$C$6,$D$6))</f>
        <v/>
      </c>
      <c r="L772" s="70">
        <f>MAX(0.02,NORMINV(RAND(),$C$7,$D$7))</f>
        <v/>
      </c>
      <c r="M772" s="70">
        <f>MIN(0.16,MAX(0.05,NORMINV(RAND(),$C$8,$D$8)))</f>
        <v/>
      </c>
      <c r="N772" s="71">
        <f>MIN(24,MAX(5,NORMINV(RAND(),$C$9,$D$9)))</f>
        <v/>
      </c>
      <c r="O772" s="83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70">
        <f>MAX(-0.05,NORMINV(RAND(),$C$6,$D$6))</f>
        <v/>
      </c>
      <c r="L773" s="70">
        <f>MAX(0.02,NORMINV(RAND(),$C$7,$D$7))</f>
        <v/>
      </c>
      <c r="M773" s="70">
        <f>MIN(0.16,MAX(0.05,NORMINV(RAND(),$C$8,$D$8)))</f>
        <v/>
      </c>
      <c r="N773" s="71">
        <f>MIN(24,MAX(5,NORMINV(RAND(),$C$9,$D$9)))</f>
        <v/>
      </c>
      <c r="O773" s="83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70">
        <f>MAX(-0.05,NORMINV(RAND(),$C$6,$D$6))</f>
        <v/>
      </c>
      <c r="L774" s="70">
        <f>MAX(0.02,NORMINV(RAND(),$C$7,$D$7))</f>
        <v/>
      </c>
      <c r="M774" s="70">
        <f>MIN(0.16,MAX(0.05,NORMINV(RAND(),$C$8,$D$8)))</f>
        <v/>
      </c>
      <c r="N774" s="71">
        <f>MIN(24,MAX(5,NORMINV(RAND(),$C$9,$D$9)))</f>
        <v/>
      </c>
      <c r="O774" s="83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70">
        <f>MAX(-0.05,NORMINV(RAND(),$C$6,$D$6))</f>
        <v/>
      </c>
      <c r="L775" s="70">
        <f>MAX(0.02,NORMINV(RAND(),$C$7,$D$7))</f>
        <v/>
      </c>
      <c r="M775" s="70">
        <f>MIN(0.16,MAX(0.05,NORMINV(RAND(),$C$8,$D$8)))</f>
        <v/>
      </c>
      <c r="N775" s="71">
        <f>MIN(24,MAX(5,NORMINV(RAND(),$C$9,$D$9)))</f>
        <v/>
      </c>
      <c r="O775" s="83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70">
        <f>MAX(-0.05,NORMINV(RAND(),$C$6,$D$6))</f>
        <v/>
      </c>
      <c r="L776" s="70">
        <f>MAX(0.02,NORMINV(RAND(),$C$7,$D$7))</f>
        <v/>
      </c>
      <c r="M776" s="70">
        <f>MIN(0.16,MAX(0.05,NORMINV(RAND(),$C$8,$D$8)))</f>
        <v/>
      </c>
      <c r="N776" s="71">
        <f>MIN(24,MAX(5,NORMINV(RAND(),$C$9,$D$9)))</f>
        <v/>
      </c>
      <c r="O776" s="83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70">
        <f>MAX(-0.05,NORMINV(RAND(),$C$6,$D$6))</f>
        <v/>
      </c>
      <c r="L777" s="70">
        <f>MAX(0.02,NORMINV(RAND(),$C$7,$D$7))</f>
        <v/>
      </c>
      <c r="M777" s="70">
        <f>MIN(0.16,MAX(0.05,NORMINV(RAND(),$C$8,$D$8)))</f>
        <v/>
      </c>
      <c r="N777" s="71">
        <f>MIN(24,MAX(5,NORMINV(RAND(),$C$9,$D$9)))</f>
        <v/>
      </c>
      <c r="O777" s="83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70">
        <f>MAX(-0.05,NORMINV(RAND(),$C$6,$D$6))</f>
        <v/>
      </c>
      <c r="L778" s="70">
        <f>MAX(0.02,NORMINV(RAND(),$C$7,$D$7))</f>
        <v/>
      </c>
      <c r="M778" s="70">
        <f>MIN(0.16,MAX(0.05,NORMINV(RAND(),$C$8,$D$8)))</f>
        <v/>
      </c>
      <c r="N778" s="71">
        <f>MIN(24,MAX(5,NORMINV(RAND(),$C$9,$D$9)))</f>
        <v/>
      </c>
      <c r="O778" s="83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70">
        <f>MAX(-0.05,NORMINV(RAND(),$C$6,$D$6))</f>
        <v/>
      </c>
      <c r="L779" s="70">
        <f>MAX(0.02,NORMINV(RAND(),$C$7,$D$7))</f>
        <v/>
      </c>
      <c r="M779" s="70">
        <f>MIN(0.16,MAX(0.05,NORMINV(RAND(),$C$8,$D$8)))</f>
        <v/>
      </c>
      <c r="N779" s="71">
        <f>MIN(24,MAX(5,NORMINV(RAND(),$C$9,$D$9)))</f>
        <v/>
      </c>
      <c r="O779" s="83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70">
        <f>MAX(-0.05,NORMINV(RAND(),$C$6,$D$6))</f>
        <v/>
      </c>
      <c r="L780" s="70">
        <f>MAX(0.02,NORMINV(RAND(),$C$7,$D$7))</f>
        <v/>
      </c>
      <c r="M780" s="70">
        <f>MIN(0.16,MAX(0.05,NORMINV(RAND(),$C$8,$D$8)))</f>
        <v/>
      </c>
      <c r="N780" s="71">
        <f>MIN(24,MAX(5,NORMINV(RAND(),$C$9,$D$9)))</f>
        <v/>
      </c>
      <c r="O780" s="83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70">
        <f>MAX(-0.05,NORMINV(RAND(),$C$6,$D$6))</f>
        <v/>
      </c>
      <c r="L781" s="70">
        <f>MAX(0.02,NORMINV(RAND(),$C$7,$D$7))</f>
        <v/>
      </c>
      <c r="M781" s="70">
        <f>MIN(0.16,MAX(0.05,NORMINV(RAND(),$C$8,$D$8)))</f>
        <v/>
      </c>
      <c r="N781" s="71">
        <f>MIN(24,MAX(5,NORMINV(RAND(),$C$9,$D$9)))</f>
        <v/>
      </c>
      <c r="O781" s="83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70">
        <f>MAX(-0.05,NORMINV(RAND(),$C$6,$D$6))</f>
        <v/>
      </c>
      <c r="L782" s="70">
        <f>MAX(0.02,NORMINV(RAND(),$C$7,$D$7))</f>
        <v/>
      </c>
      <c r="M782" s="70">
        <f>MIN(0.16,MAX(0.05,NORMINV(RAND(),$C$8,$D$8)))</f>
        <v/>
      </c>
      <c r="N782" s="71">
        <f>MIN(24,MAX(5,NORMINV(RAND(),$C$9,$D$9)))</f>
        <v/>
      </c>
      <c r="O782" s="83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70">
        <f>MAX(-0.05,NORMINV(RAND(),$C$6,$D$6))</f>
        <v/>
      </c>
      <c r="L783" s="70">
        <f>MAX(0.02,NORMINV(RAND(),$C$7,$D$7))</f>
        <v/>
      </c>
      <c r="M783" s="70">
        <f>MIN(0.16,MAX(0.05,NORMINV(RAND(),$C$8,$D$8)))</f>
        <v/>
      </c>
      <c r="N783" s="71">
        <f>MIN(24,MAX(5,NORMINV(RAND(),$C$9,$D$9)))</f>
        <v/>
      </c>
      <c r="O783" s="83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70">
        <f>MAX(-0.05,NORMINV(RAND(),$C$6,$D$6))</f>
        <v/>
      </c>
      <c r="L784" s="70">
        <f>MAX(0.02,NORMINV(RAND(),$C$7,$D$7))</f>
        <v/>
      </c>
      <c r="M784" s="70">
        <f>MIN(0.16,MAX(0.05,NORMINV(RAND(),$C$8,$D$8)))</f>
        <v/>
      </c>
      <c r="N784" s="71">
        <f>MIN(24,MAX(5,NORMINV(RAND(),$C$9,$D$9)))</f>
        <v/>
      </c>
      <c r="O784" s="83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70">
        <f>MAX(-0.05,NORMINV(RAND(),$C$6,$D$6))</f>
        <v/>
      </c>
      <c r="L785" s="70">
        <f>MAX(0.02,NORMINV(RAND(),$C$7,$D$7))</f>
        <v/>
      </c>
      <c r="M785" s="70">
        <f>MIN(0.16,MAX(0.05,NORMINV(RAND(),$C$8,$D$8)))</f>
        <v/>
      </c>
      <c r="N785" s="71">
        <f>MIN(24,MAX(5,NORMINV(RAND(),$C$9,$D$9)))</f>
        <v/>
      </c>
      <c r="O785" s="83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70">
        <f>MAX(-0.05,NORMINV(RAND(),$C$6,$D$6))</f>
        <v/>
      </c>
      <c r="L786" s="70">
        <f>MAX(0.02,NORMINV(RAND(),$C$7,$D$7))</f>
        <v/>
      </c>
      <c r="M786" s="70">
        <f>MIN(0.16,MAX(0.05,NORMINV(RAND(),$C$8,$D$8)))</f>
        <v/>
      </c>
      <c r="N786" s="71">
        <f>MIN(24,MAX(5,NORMINV(RAND(),$C$9,$D$9)))</f>
        <v/>
      </c>
      <c r="O786" s="83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70">
        <f>MAX(-0.05,NORMINV(RAND(),$C$6,$D$6))</f>
        <v/>
      </c>
      <c r="L787" s="70">
        <f>MAX(0.02,NORMINV(RAND(),$C$7,$D$7))</f>
        <v/>
      </c>
      <c r="M787" s="70">
        <f>MIN(0.16,MAX(0.05,NORMINV(RAND(),$C$8,$D$8)))</f>
        <v/>
      </c>
      <c r="N787" s="71">
        <f>MIN(24,MAX(5,NORMINV(RAND(),$C$9,$D$9)))</f>
        <v/>
      </c>
      <c r="O787" s="83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70">
        <f>MAX(-0.05,NORMINV(RAND(),$C$6,$D$6))</f>
        <v/>
      </c>
      <c r="L788" s="70">
        <f>MAX(0.02,NORMINV(RAND(),$C$7,$D$7))</f>
        <v/>
      </c>
      <c r="M788" s="70">
        <f>MIN(0.16,MAX(0.05,NORMINV(RAND(),$C$8,$D$8)))</f>
        <v/>
      </c>
      <c r="N788" s="71">
        <f>MIN(24,MAX(5,NORMINV(RAND(),$C$9,$D$9)))</f>
        <v/>
      </c>
      <c r="O788" s="83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70">
        <f>MAX(-0.05,NORMINV(RAND(),$C$6,$D$6))</f>
        <v/>
      </c>
      <c r="L789" s="70">
        <f>MAX(0.02,NORMINV(RAND(),$C$7,$D$7))</f>
        <v/>
      </c>
      <c r="M789" s="70">
        <f>MIN(0.16,MAX(0.05,NORMINV(RAND(),$C$8,$D$8)))</f>
        <v/>
      </c>
      <c r="N789" s="71">
        <f>MIN(24,MAX(5,NORMINV(RAND(),$C$9,$D$9)))</f>
        <v/>
      </c>
      <c r="O789" s="83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70">
        <f>MAX(-0.05,NORMINV(RAND(),$C$6,$D$6))</f>
        <v/>
      </c>
      <c r="L790" s="70">
        <f>MAX(0.02,NORMINV(RAND(),$C$7,$D$7))</f>
        <v/>
      </c>
      <c r="M790" s="70">
        <f>MIN(0.16,MAX(0.05,NORMINV(RAND(),$C$8,$D$8)))</f>
        <v/>
      </c>
      <c r="N790" s="71">
        <f>MIN(24,MAX(5,NORMINV(RAND(),$C$9,$D$9)))</f>
        <v/>
      </c>
      <c r="O790" s="83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70">
        <f>MAX(-0.05,NORMINV(RAND(),$C$6,$D$6))</f>
        <v/>
      </c>
      <c r="L791" s="70">
        <f>MAX(0.02,NORMINV(RAND(),$C$7,$D$7))</f>
        <v/>
      </c>
      <c r="M791" s="70">
        <f>MIN(0.16,MAX(0.05,NORMINV(RAND(),$C$8,$D$8)))</f>
        <v/>
      </c>
      <c r="N791" s="71">
        <f>MIN(24,MAX(5,NORMINV(RAND(),$C$9,$D$9)))</f>
        <v/>
      </c>
      <c r="O791" s="83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70">
        <f>MAX(-0.05,NORMINV(RAND(),$C$6,$D$6))</f>
        <v/>
      </c>
      <c r="L792" s="70">
        <f>MAX(0.02,NORMINV(RAND(),$C$7,$D$7))</f>
        <v/>
      </c>
      <c r="M792" s="70">
        <f>MIN(0.16,MAX(0.05,NORMINV(RAND(),$C$8,$D$8)))</f>
        <v/>
      </c>
      <c r="N792" s="71">
        <f>MIN(24,MAX(5,NORMINV(RAND(),$C$9,$D$9)))</f>
        <v/>
      </c>
      <c r="O792" s="83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70">
        <f>MAX(-0.05,NORMINV(RAND(),$C$6,$D$6))</f>
        <v/>
      </c>
      <c r="L793" s="70">
        <f>MAX(0.02,NORMINV(RAND(),$C$7,$D$7))</f>
        <v/>
      </c>
      <c r="M793" s="70">
        <f>MIN(0.16,MAX(0.05,NORMINV(RAND(),$C$8,$D$8)))</f>
        <v/>
      </c>
      <c r="N793" s="71">
        <f>MIN(24,MAX(5,NORMINV(RAND(),$C$9,$D$9)))</f>
        <v/>
      </c>
      <c r="O793" s="83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70">
        <f>MAX(-0.05,NORMINV(RAND(),$C$6,$D$6))</f>
        <v/>
      </c>
      <c r="L794" s="70">
        <f>MAX(0.02,NORMINV(RAND(),$C$7,$D$7))</f>
        <v/>
      </c>
      <c r="M794" s="70">
        <f>MIN(0.16,MAX(0.05,NORMINV(RAND(),$C$8,$D$8)))</f>
        <v/>
      </c>
      <c r="N794" s="71">
        <f>MIN(24,MAX(5,NORMINV(RAND(),$C$9,$D$9)))</f>
        <v/>
      </c>
      <c r="O794" s="83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70">
        <f>MAX(-0.05,NORMINV(RAND(),$C$6,$D$6))</f>
        <v/>
      </c>
      <c r="L795" s="70">
        <f>MAX(0.02,NORMINV(RAND(),$C$7,$D$7))</f>
        <v/>
      </c>
      <c r="M795" s="70">
        <f>MIN(0.16,MAX(0.05,NORMINV(RAND(),$C$8,$D$8)))</f>
        <v/>
      </c>
      <c r="N795" s="71">
        <f>MIN(24,MAX(5,NORMINV(RAND(),$C$9,$D$9)))</f>
        <v/>
      </c>
      <c r="O795" s="83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70">
        <f>MAX(-0.05,NORMINV(RAND(),$C$6,$D$6))</f>
        <v/>
      </c>
      <c r="L796" s="70">
        <f>MAX(0.02,NORMINV(RAND(),$C$7,$D$7))</f>
        <v/>
      </c>
      <c r="M796" s="70">
        <f>MIN(0.16,MAX(0.05,NORMINV(RAND(),$C$8,$D$8)))</f>
        <v/>
      </c>
      <c r="N796" s="71">
        <f>MIN(24,MAX(5,NORMINV(RAND(),$C$9,$D$9)))</f>
        <v/>
      </c>
      <c r="O796" s="83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70">
        <f>MAX(-0.05,NORMINV(RAND(),$C$6,$D$6))</f>
        <v/>
      </c>
      <c r="L797" s="70">
        <f>MAX(0.02,NORMINV(RAND(),$C$7,$D$7))</f>
        <v/>
      </c>
      <c r="M797" s="70">
        <f>MIN(0.16,MAX(0.05,NORMINV(RAND(),$C$8,$D$8)))</f>
        <v/>
      </c>
      <c r="N797" s="71">
        <f>MIN(24,MAX(5,NORMINV(RAND(),$C$9,$D$9)))</f>
        <v/>
      </c>
      <c r="O797" s="83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70">
        <f>MAX(-0.05,NORMINV(RAND(),$C$6,$D$6))</f>
        <v/>
      </c>
      <c r="L798" s="70">
        <f>MAX(0.02,NORMINV(RAND(),$C$7,$D$7))</f>
        <v/>
      </c>
      <c r="M798" s="70">
        <f>MIN(0.16,MAX(0.05,NORMINV(RAND(),$C$8,$D$8)))</f>
        <v/>
      </c>
      <c r="N798" s="71">
        <f>MIN(24,MAX(5,NORMINV(RAND(),$C$9,$D$9)))</f>
        <v/>
      </c>
      <c r="O798" s="83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70">
        <f>MAX(-0.05,NORMINV(RAND(),$C$6,$D$6))</f>
        <v/>
      </c>
      <c r="L799" s="70">
        <f>MAX(0.02,NORMINV(RAND(),$C$7,$D$7))</f>
        <v/>
      </c>
      <c r="M799" s="70">
        <f>MIN(0.16,MAX(0.05,NORMINV(RAND(),$C$8,$D$8)))</f>
        <v/>
      </c>
      <c r="N799" s="71">
        <f>MIN(24,MAX(5,NORMINV(RAND(),$C$9,$D$9)))</f>
        <v/>
      </c>
      <c r="O799" s="83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70">
        <f>MAX(-0.05,NORMINV(RAND(),$C$6,$D$6))</f>
        <v/>
      </c>
      <c r="L800" s="70">
        <f>MAX(0.02,NORMINV(RAND(),$C$7,$D$7))</f>
        <v/>
      </c>
      <c r="M800" s="70">
        <f>MIN(0.16,MAX(0.05,NORMINV(RAND(),$C$8,$D$8)))</f>
        <v/>
      </c>
      <c r="N800" s="71">
        <f>MIN(24,MAX(5,NORMINV(RAND(),$C$9,$D$9)))</f>
        <v/>
      </c>
      <c r="O800" s="83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70">
        <f>MAX(-0.05,NORMINV(RAND(),$C$6,$D$6))</f>
        <v/>
      </c>
      <c r="L801" s="70">
        <f>MAX(0.02,NORMINV(RAND(),$C$7,$D$7))</f>
        <v/>
      </c>
      <c r="M801" s="70">
        <f>MIN(0.16,MAX(0.05,NORMINV(RAND(),$C$8,$D$8)))</f>
        <v/>
      </c>
      <c r="N801" s="71">
        <f>MIN(24,MAX(5,NORMINV(RAND(),$C$9,$D$9)))</f>
        <v/>
      </c>
      <c r="O801" s="83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70">
        <f>MAX(-0.05,NORMINV(RAND(),$C$6,$D$6))</f>
        <v/>
      </c>
      <c r="L802" s="70">
        <f>MAX(0.02,NORMINV(RAND(),$C$7,$D$7))</f>
        <v/>
      </c>
      <c r="M802" s="70">
        <f>MIN(0.16,MAX(0.05,NORMINV(RAND(),$C$8,$D$8)))</f>
        <v/>
      </c>
      <c r="N802" s="71">
        <f>MIN(24,MAX(5,NORMINV(RAND(),$C$9,$D$9)))</f>
        <v/>
      </c>
      <c r="O802" s="83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70">
        <f>MAX(-0.05,NORMINV(RAND(),$C$6,$D$6))</f>
        <v/>
      </c>
      <c r="L803" s="70">
        <f>MAX(0.02,NORMINV(RAND(),$C$7,$D$7))</f>
        <v/>
      </c>
      <c r="M803" s="70">
        <f>MIN(0.16,MAX(0.05,NORMINV(RAND(),$C$8,$D$8)))</f>
        <v/>
      </c>
      <c r="N803" s="71">
        <f>MIN(24,MAX(5,NORMINV(RAND(),$C$9,$D$9)))</f>
        <v/>
      </c>
      <c r="O803" s="83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70">
        <f>MAX(-0.05,NORMINV(RAND(),$C$6,$D$6))</f>
        <v/>
      </c>
      <c r="L804" s="70">
        <f>MAX(0.02,NORMINV(RAND(),$C$7,$D$7))</f>
        <v/>
      </c>
      <c r="M804" s="70">
        <f>MIN(0.16,MAX(0.05,NORMINV(RAND(),$C$8,$D$8)))</f>
        <v/>
      </c>
      <c r="N804" s="71">
        <f>MIN(24,MAX(5,NORMINV(RAND(),$C$9,$D$9)))</f>
        <v/>
      </c>
      <c r="O804" s="83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70">
        <f>MAX(-0.05,NORMINV(RAND(),$C$6,$D$6))</f>
        <v/>
      </c>
      <c r="L805" s="70">
        <f>MAX(0.02,NORMINV(RAND(),$C$7,$D$7))</f>
        <v/>
      </c>
      <c r="M805" s="70">
        <f>MIN(0.16,MAX(0.05,NORMINV(RAND(),$C$8,$D$8)))</f>
        <v/>
      </c>
      <c r="N805" s="71">
        <f>MIN(24,MAX(5,NORMINV(RAND(),$C$9,$D$9)))</f>
        <v/>
      </c>
      <c r="O805" s="83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70">
        <f>MAX(-0.05,NORMINV(RAND(),$C$6,$D$6))</f>
        <v/>
      </c>
      <c r="L806" s="70">
        <f>MAX(0.02,NORMINV(RAND(),$C$7,$D$7))</f>
        <v/>
      </c>
      <c r="M806" s="70">
        <f>MIN(0.16,MAX(0.05,NORMINV(RAND(),$C$8,$D$8)))</f>
        <v/>
      </c>
      <c r="N806" s="71">
        <f>MIN(24,MAX(5,NORMINV(RAND(),$C$9,$D$9)))</f>
        <v/>
      </c>
      <c r="O806" s="83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70">
        <f>MAX(-0.05,NORMINV(RAND(),$C$6,$D$6))</f>
        <v/>
      </c>
      <c r="L807" s="70">
        <f>MAX(0.02,NORMINV(RAND(),$C$7,$D$7))</f>
        <v/>
      </c>
      <c r="M807" s="70">
        <f>MIN(0.16,MAX(0.05,NORMINV(RAND(),$C$8,$D$8)))</f>
        <v/>
      </c>
      <c r="N807" s="71">
        <f>MIN(24,MAX(5,NORMINV(RAND(),$C$9,$D$9)))</f>
        <v/>
      </c>
      <c r="O807" s="83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70">
        <f>MAX(-0.05,NORMINV(RAND(),$C$6,$D$6))</f>
        <v/>
      </c>
      <c r="L808" s="70">
        <f>MAX(0.02,NORMINV(RAND(),$C$7,$D$7))</f>
        <v/>
      </c>
      <c r="M808" s="70">
        <f>MIN(0.16,MAX(0.05,NORMINV(RAND(),$C$8,$D$8)))</f>
        <v/>
      </c>
      <c r="N808" s="71">
        <f>MIN(24,MAX(5,NORMINV(RAND(),$C$9,$D$9)))</f>
        <v/>
      </c>
      <c r="O808" s="83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70">
        <f>MAX(-0.05,NORMINV(RAND(),$C$6,$D$6))</f>
        <v/>
      </c>
      <c r="L809" s="70">
        <f>MAX(0.02,NORMINV(RAND(),$C$7,$D$7))</f>
        <v/>
      </c>
      <c r="M809" s="70">
        <f>MIN(0.16,MAX(0.05,NORMINV(RAND(),$C$8,$D$8)))</f>
        <v/>
      </c>
      <c r="N809" s="71">
        <f>MIN(24,MAX(5,NORMINV(RAND(),$C$9,$D$9)))</f>
        <v/>
      </c>
      <c r="O809" s="83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70">
        <f>MAX(-0.05,NORMINV(RAND(),$C$6,$D$6))</f>
        <v/>
      </c>
      <c r="L810" s="70">
        <f>MAX(0.02,NORMINV(RAND(),$C$7,$D$7))</f>
        <v/>
      </c>
      <c r="M810" s="70">
        <f>MIN(0.16,MAX(0.05,NORMINV(RAND(),$C$8,$D$8)))</f>
        <v/>
      </c>
      <c r="N810" s="71">
        <f>MIN(24,MAX(5,NORMINV(RAND(),$C$9,$D$9)))</f>
        <v/>
      </c>
      <c r="O810" s="83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70">
        <f>MAX(-0.05,NORMINV(RAND(),$C$6,$D$6))</f>
        <v/>
      </c>
      <c r="L811" s="70">
        <f>MAX(0.02,NORMINV(RAND(),$C$7,$D$7))</f>
        <v/>
      </c>
      <c r="M811" s="70">
        <f>MIN(0.16,MAX(0.05,NORMINV(RAND(),$C$8,$D$8)))</f>
        <v/>
      </c>
      <c r="N811" s="71">
        <f>MIN(24,MAX(5,NORMINV(RAND(),$C$9,$D$9)))</f>
        <v/>
      </c>
      <c r="O811" s="83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70">
        <f>MAX(-0.05,NORMINV(RAND(),$C$6,$D$6))</f>
        <v/>
      </c>
      <c r="L812" s="70">
        <f>MAX(0.02,NORMINV(RAND(),$C$7,$D$7))</f>
        <v/>
      </c>
      <c r="M812" s="70">
        <f>MIN(0.16,MAX(0.05,NORMINV(RAND(),$C$8,$D$8)))</f>
        <v/>
      </c>
      <c r="N812" s="71">
        <f>MIN(24,MAX(5,NORMINV(RAND(),$C$9,$D$9)))</f>
        <v/>
      </c>
      <c r="O812" s="83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70">
        <f>MAX(-0.05,NORMINV(RAND(),$C$6,$D$6))</f>
        <v/>
      </c>
      <c r="L813" s="70">
        <f>MAX(0.02,NORMINV(RAND(),$C$7,$D$7))</f>
        <v/>
      </c>
      <c r="M813" s="70">
        <f>MIN(0.16,MAX(0.05,NORMINV(RAND(),$C$8,$D$8)))</f>
        <v/>
      </c>
      <c r="N813" s="71">
        <f>MIN(24,MAX(5,NORMINV(RAND(),$C$9,$D$9)))</f>
        <v/>
      </c>
      <c r="O813" s="83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70">
        <f>MAX(-0.05,NORMINV(RAND(),$C$6,$D$6))</f>
        <v/>
      </c>
      <c r="L814" s="70">
        <f>MAX(0.02,NORMINV(RAND(),$C$7,$D$7))</f>
        <v/>
      </c>
      <c r="M814" s="70">
        <f>MIN(0.16,MAX(0.05,NORMINV(RAND(),$C$8,$D$8)))</f>
        <v/>
      </c>
      <c r="N814" s="71">
        <f>MIN(24,MAX(5,NORMINV(RAND(),$C$9,$D$9)))</f>
        <v/>
      </c>
      <c r="O814" s="83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70">
        <f>MAX(-0.05,NORMINV(RAND(),$C$6,$D$6))</f>
        <v/>
      </c>
      <c r="L815" s="70">
        <f>MAX(0.02,NORMINV(RAND(),$C$7,$D$7))</f>
        <v/>
      </c>
      <c r="M815" s="70">
        <f>MIN(0.16,MAX(0.05,NORMINV(RAND(),$C$8,$D$8)))</f>
        <v/>
      </c>
      <c r="N815" s="71">
        <f>MIN(24,MAX(5,NORMINV(RAND(),$C$9,$D$9)))</f>
        <v/>
      </c>
      <c r="O815" s="83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70">
        <f>MAX(-0.05,NORMINV(RAND(),$C$6,$D$6))</f>
        <v/>
      </c>
      <c r="L816" s="70">
        <f>MAX(0.02,NORMINV(RAND(),$C$7,$D$7))</f>
        <v/>
      </c>
      <c r="M816" s="70">
        <f>MIN(0.16,MAX(0.05,NORMINV(RAND(),$C$8,$D$8)))</f>
        <v/>
      </c>
      <c r="N816" s="71">
        <f>MIN(24,MAX(5,NORMINV(RAND(),$C$9,$D$9)))</f>
        <v/>
      </c>
      <c r="O816" s="83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70">
        <f>MAX(-0.05,NORMINV(RAND(),$C$6,$D$6))</f>
        <v/>
      </c>
      <c r="L817" s="70">
        <f>MAX(0.02,NORMINV(RAND(),$C$7,$D$7))</f>
        <v/>
      </c>
      <c r="M817" s="70">
        <f>MIN(0.16,MAX(0.05,NORMINV(RAND(),$C$8,$D$8)))</f>
        <v/>
      </c>
      <c r="N817" s="71">
        <f>MIN(24,MAX(5,NORMINV(RAND(),$C$9,$D$9)))</f>
        <v/>
      </c>
      <c r="O817" s="83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70">
        <f>MAX(-0.05,NORMINV(RAND(),$C$6,$D$6))</f>
        <v/>
      </c>
      <c r="L818" s="70">
        <f>MAX(0.02,NORMINV(RAND(),$C$7,$D$7))</f>
        <v/>
      </c>
      <c r="M818" s="70">
        <f>MIN(0.16,MAX(0.05,NORMINV(RAND(),$C$8,$D$8)))</f>
        <v/>
      </c>
      <c r="N818" s="71">
        <f>MIN(24,MAX(5,NORMINV(RAND(),$C$9,$D$9)))</f>
        <v/>
      </c>
      <c r="O818" s="83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70">
        <f>MAX(-0.05,NORMINV(RAND(),$C$6,$D$6))</f>
        <v/>
      </c>
      <c r="L819" s="70">
        <f>MAX(0.02,NORMINV(RAND(),$C$7,$D$7))</f>
        <v/>
      </c>
      <c r="M819" s="70">
        <f>MIN(0.16,MAX(0.05,NORMINV(RAND(),$C$8,$D$8)))</f>
        <v/>
      </c>
      <c r="N819" s="71">
        <f>MIN(24,MAX(5,NORMINV(RAND(),$C$9,$D$9)))</f>
        <v/>
      </c>
      <c r="O819" s="83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70">
        <f>MAX(-0.05,NORMINV(RAND(),$C$6,$D$6))</f>
        <v/>
      </c>
      <c r="L820" s="70">
        <f>MAX(0.02,NORMINV(RAND(),$C$7,$D$7))</f>
        <v/>
      </c>
      <c r="M820" s="70">
        <f>MIN(0.16,MAX(0.05,NORMINV(RAND(),$C$8,$D$8)))</f>
        <v/>
      </c>
      <c r="N820" s="71">
        <f>MIN(24,MAX(5,NORMINV(RAND(),$C$9,$D$9)))</f>
        <v/>
      </c>
      <c r="O820" s="83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70">
        <f>MAX(-0.05,NORMINV(RAND(),$C$6,$D$6))</f>
        <v/>
      </c>
      <c r="L821" s="70">
        <f>MAX(0.02,NORMINV(RAND(),$C$7,$D$7))</f>
        <v/>
      </c>
      <c r="M821" s="70">
        <f>MIN(0.16,MAX(0.05,NORMINV(RAND(),$C$8,$D$8)))</f>
        <v/>
      </c>
      <c r="N821" s="71">
        <f>MIN(24,MAX(5,NORMINV(RAND(),$C$9,$D$9)))</f>
        <v/>
      </c>
      <c r="O821" s="83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70">
        <f>MAX(-0.05,NORMINV(RAND(),$C$6,$D$6))</f>
        <v/>
      </c>
      <c r="L822" s="70">
        <f>MAX(0.02,NORMINV(RAND(),$C$7,$D$7))</f>
        <v/>
      </c>
      <c r="M822" s="70">
        <f>MIN(0.16,MAX(0.05,NORMINV(RAND(),$C$8,$D$8)))</f>
        <v/>
      </c>
      <c r="N822" s="71">
        <f>MIN(24,MAX(5,NORMINV(RAND(),$C$9,$D$9)))</f>
        <v/>
      </c>
      <c r="O822" s="83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70">
        <f>MAX(-0.05,NORMINV(RAND(),$C$6,$D$6))</f>
        <v/>
      </c>
      <c r="L823" s="70">
        <f>MAX(0.02,NORMINV(RAND(),$C$7,$D$7))</f>
        <v/>
      </c>
      <c r="M823" s="70">
        <f>MIN(0.16,MAX(0.05,NORMINV(RAND(),$C$8,$D$8)))</f>
        <v/>
      </c>
      <c r="N823" s="71">
        <f>MIN(24,MAX(5,NORMINV(RAND(),$C$9,$D$9)))</f>
        <v/>
      </c>
      <c r="O823" s="83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70">
        <f>MAX(-0.05,NORMINV(RAND(),$C$6,$D$6))</f>
        <v/>
      </c>
      <c r="L824" s="70">
        <f>MAX(0.02,NORMINV(RAND(),$C$7,$D$7))</f>
        <v/>
      </c>
      <c r="M824" s="70">
        <f>MIN(0.16,MAX(0.05,NORMINV(RAND(),$C$8,$D$8)))</f>
        <v/>
      </c>
      <c r="N824" s="71">
        <f>MIN(24,MAX(5,NORMINV(RAND(),$C$9,$D$9)))</f>
        <v/>
      </c>
      <c r="O824" s="83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70">
        <f>MAX(-0.05,NORMINV(RAND(),$C$6,$D$6))</f>
        <v/>
      </c>
      <c r="L825" s="70">
        <f>MAX(0.02,NORMINV(RAND(),$C$7,$D$7))</f>
        <v/>
      </c>
      <c r="M825" s="70">
        <f>MIN(0.16,MAX(0.05,NORMINV(RAND(),$C$8,$D$8)))</f>
        <v/>
      </c>
      <c r="N825" s="71">
        <f>MIN(24,MAX(5,NORMINV(RAND(),$C$9,$D$9)))</f>
        <v/>
      </c>
      <c r="O825" s="83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70">
        <f>MAX(-0.05,NORMINV(RAND(),$C$6,$D$6))</f>
        <v/>
      </c>
      <c r="L826" s="70">
        <f>MAX(0.02,NORMINV(RAND(),$C$7,$D$7))</f>
        <v/>
      </c>
      <c r="M826" s="70">
        <f>MIN(0.16,MAX(0.05,NORMINV(RAND(),$C$8,$D$8)))</f>
        <v/>
      </c>
      <c r="N826" s="71">
        <f>MIN(24,MAX(5,NORMINV(RAND(),$C$9,$D$9)))</f>
        <v/>
      </c>
      <c r="O826" s="83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70">
        <f>MAX(-0.05,NORMINV(RAND(),$C$6,$D$6))</f>
        <v/>
      </c>
      <c r="L827" s="70">
        <f>MAX(0.02,NORMINV(RAND(),$C$7,$D$7))</f>
        <v/>
      </c>
      <c r="M827" s="70">
        <f>MIN(0.16,MAX(0.05,NORMINV(RAND(),$C$8,$D$8)))</f>
        <v/>
      </c>
      <c r="N827" s="71">
        <f>MIN(24,MAX(5,NORMINV(RAND(),$C$9,$D$9)))</f>
        <v/>
      </c>
      <c r="O827" s="83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70">
        <f>MAX(-0.05,NORMINV(RAND(),$C$6,$D$6))</f>
        <v/>
      </c>
      <c r="L828" s="70">
        <f>MAX(0.02,NORMINV(RAND(),$C$7,$D$7))</f>
        <v/>
      </c>
      <c r="M828" s="70">
        <f>MIN(0.16,MAX(0.05,NORMINV(RAND(),$C$8,$D$8)))</f>
        <v/>
      </c>
      <c r="N828" s="71">
        <f>MIN(24,MAX(5,NORMINV(RAND(),$C$9,$D$9)))</f>
        <v/>
      </c>
      <c r="O828" s="83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70">
        <f>MAX(-0.05,NORMINV(RAND(),$C$6,$D$6))</f>
        <v/>
      </c>
      <c r="L829" s="70">
        <f>MAX(0.02,NORMINV(RAND(),$C$7,$D$7))</f>
        <v/>
      </c>
      <c r="M829" s="70">
        <f>MIN(0.16,MAX(0.05,NORMINV(RAND(),$C$8,$D$8)))</f>
        <v/>
      </c>
      <c r="N829" s="71">
        <f>MIN(24,MAX(5,NORMINV(RAND(),$C$9,$D$9)))</f>
        <v/>
      </c>
      <c r="O829" s="83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70">
        <f>MAX(-0.05,NORMINV(RAND(),$C$6,$D$6))</f>
        <v/>
      </c>
      <c r="L830" s="70">
        <f>MAX(0.02,NORMINV(RAND(),$C$7,$D$7))</f>
        <v/>
      </c>
      <c r="M830" s="70">
        <f>MIN(0.16,MAX(0.05,NORMINV(RAND(),$C$8,$D$8)))</f>
        <v/>
      </c>
      <c r="N830" s="71">
        <f>MIN(24,MAX(5,NORMINV(RAND(),$C$9,$D$9)))</f>
        <v/>
      </c>
      <c r="O830" s="83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70">
        <f>MAX(-0.05,NORMINV(RAND(),$C$6,$D$6))</f>
        <v/>
      </c>
      <c r="L831" s="70">
        <f>MAX(0.02,NORMINV(RAND(),$C$7,$D$7))</f>
        <v/>
      </c>
      <c r="M831" s="70">
        <f>MIN(0.16,MAX(0.05,NORMINV(RAND(),$C$8,$D$8)))</f>
        <v/>
      </c>
      <c r="N831" s="71">
        <f>MIN(24,MAX(5,NORMINV(RAND(),$C$9,$D$9)))</f>
        <v/>
      </c>
      <c r="O831" s="83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70">
        <f>MAX(-0.05,NORMINV(RAND(),$C$6,$D$6))</f>
        <v/>
      </c>
      <c r="L832" s="70">
        <f>MAX(0.02,NORMINV(RAND(),$C$7,$D$7))</f>
        <v/>
      </c>
      <c r="M832" s="70">
        <f>MIN(0.16,MAX(0.05,NORMINV(RAND(),$C$8,$D$8)))</f>
        <v/>
      </c>
      <c r="N832" s="71">
        <f>MIN(24,MAX(5,NORMINV(RAND(),$C$9,$D$9)))</f>
        <v/>
      </c>
      <c r="O832" s="83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70">
        <f>MAX(-0.05,NORMINV(RAND(),$C$6,$D$6))</f>
        <v/>
      </c>
      <c r="L833" s="70">
        <f>MAX(0.02,NORMINV(RAND(),$C$7,$D$7))</f>
        <v/>
      </c>
      <c r="M833" s="70">
        <f>MIN(0.16,MAX(0.05,NORMINV(RAND(),$C$8,$D$8)))</f>
        <v/>
      </c>
      <c r="N833" s="71">
        <f>MIN(24,MAX(5,NORMINV(RAND(),$C$9,$D$9)))</f>
        <v/>
      </c>
      <c r="O833" s="83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70">
        <f>MAX(-0.05,NORMINV(RAND(),$C$6,$D$6))</f>
        <v/>
      </c>
      <c r="L834" s="70">
        <f>MAX(0.02,NORMINV(RAND(),$C$7,$D$7))</f>
        <v/>
      </c>
      <c r="M834" s="70">
        <f>MIN(0.16,MAX(0.05,NORMINV(RAND(),$C$8,$D$8)))</f>
        <v/>
      </c>
      <c r="N834" s="71">
        <f>MIN(24,MAX(5,NORMINV(RAND(),$C$9,$D$9)))</f>
        <v/>
      </c>
      <c r="O834" s="83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70">
        <f>MAX(-0.05,NORMINV(RAND(),$C$6,$D$6))</f>
        <v/>
      </c>
      <c r="L835" s="70">
        <f>MAX(0.02,NORMINV(RAND(),$C$7,$D$7))</f>
        <v/>
      </c>
      <c r="M835" s="70">
        <f>MIN(0.16,MAX(0.05,NORMINV(RAND(),$C$8,$D$8)))</f>
        <v/>
      </c>
      <c r="N835" s="71">
        <f>MIN(24,MAX(5,NORMINV(RAND(),$C$9,$D$9)))</f>
        <v/>
      </c>
      <c r="O835" s="83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70">
        <f>MAX(-0.05,NORMINV(RAND(),$C$6,$D$6))</f>
        <v/>
      </c>
      <c r="L836" s="70">
        <f>MAX(0.02,NORMINV(RAND(),$C$7,$D$7))</f>
        <v/>
      </c>
      <c r="M836" s="70">
        <f>MIN(0.16,MAX(0.05,NORMINV(RAND(),$C$8,$D$8)))</f>
        <v/>
      </c>
      <c r="N836" s="71">
        <f>MIN(24,MAX(5,NORMINV(RAND(),$C$9,$D$9)))</f>
        <v/>
      </c>
      <c r="O836" s="83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70">
        <f>MAX(-0.05,NORMINV(RAND(),$C$6,$D$6))</f>
        <v/>
      </c>
      <c r="L837" s="70">
        <f>MAX(0.02,NORMINV(RAND(),$C$7,$D$7))</f>
        <v/>
      </c>
      <c r="M837" s="70">
        <f>MIN(0.16,MAX(0.05,NORMINV(RAND(),$C$8,$D$8)))</f>
        <v/>
      </c>
      <c r="N837" s="71">
        <f>MIN(24,MAX(5,NORMINV(RAND(),$C$9,$D$9)))</f>
        <v/>
      </c>
      <c r="O837" s="83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70">
        <f>MAX(-0.05,NORMINV(RAND(),$C$6,$D$6))</f>
        <v/>
      </c>
      <c r="L838" s="70">
        <f>MAX(0.02,NORMINV(RAND(),$C$7,$D$7))</f>
        <v/>
      </c>
      <c r="M838" s="70">
        <f>MIN(0.16,MAX(0.05,NORMINV(RAND(),$C$8,$D$8)))</f>
        <v/>
      </c>
      <c r="N838" s="71">
        <f>MIN(24,MAX(5,NORMINV(RAND(),$C$9,$D$9)))</f>
        <v/>
      </c>
      <c r="O838" s="83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70">
        <f>MAX(-0.05,NORMINV(RAND(),$C$6,$D$6))</f>
        <v/>
      </c>
      <c r="L839" s="70">
        <f>MAX(0.02,NORMINV(RAND(),$C$7,$D$7))</f>
        <v/>
      </c>
      <c r="M839" s="70">
        <f>MIN(0.16,MAX(0.05,NORMINV(RAND(),$C$8,$D$8)))</f>
        <v/>
      </c>
      <c r="N839" s="71">
        <f>MIN(24,MAX(5,NORMINV(RAND(),$C$9,$D$9)))</f>
        <v/>
      </c>
      <c r="O839" s="83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70">
        <f>MAX(-0.05,NORMINV(RAND(),$C$6,$D$6))</f>
        <v/>
      </c>
      <c r="L840" s="70">
        <f>MAX(0.02,NORMINV(RAND(),$C$7,$D$7))</f>
        <v/>
      </c>
      <c r="M840" s="70">
        <f>MIN(0.16,MAX(0.05,NORMINV(RAND(),$C$8,$D$8)))</f>
        <v/>
      </c>
      <c r="N840" s="71">
        <f>MIN(24,MAX(5,NORMINV(RAND(),$C$9,$D$9)))</f>
        <v/>
      </c>
      <c r="O840" s="83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70">
        <f>MAX(-0.05,NORMINV(RAND(),$C$6,$D$6))</f>
        <v/>
      </c>
      <c r="L841" s="70">
        <f>MAX(0.02,NORMINV(RAND(),$C$7,$D$7))</f>
        <v/>
      </c>
      <c r="M841" s="70">
        <f>MIN(0.16,MAX(0.05,NORMINV(RAND(),$C$8,$D$8)))</f>
        <v/>
      </c>
      <c r="N841" s="71">
        <f>MIN(24,MAX(5,NORMINV(RAND(),$C$9,$D$9)))</f>
        <v/>
      </c>
      <c r="O841" s="83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70">
        <f>MAX(-0.05,NORMINV(RAND(),$C$6,$D$6))</f>
        <v/>
      </c>
      <c r="L842" s="70">
        <f>MAX(0.02,NORMINV(RAND(),$C$7,$D$7))</f>
        <v/>
      </c>
      <c r="M842" s="70">
        <f>MIN(0.16,MAX(0.05,NORMINV(RAND(),$C$8,$D$8)))</f>
        <v/>
      </c>
      <c r="N842" s="71">
        <f>MIN(24,MAX(5,NORMINV(RAND(),$C$9,$D$9)))</f>
        <v/>
      </c>
      <c r="O842" s="83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70">
        <f>MAX(-0.05,NORMINV(RAND(),$C$6,$D$6))</f>
        <v/>
      </c>
      <c r="L843" s="70">
        <f>MAX(0.02,NORMINV(RAND(),$C$7,$D$7))</f>
        <v/>
      </c>
      <c r="M843" s="70">
        <f>MIN(0.16,MAX(0.05,NORMINV(RAND(),$C$8,$D$8)))</f>
        <v/>
      </c>
      <c r="N843" s="71">
        <f>MIN(24,MAX(5,NORMINV(RAND(),$C$9,$D$9)))</f>
        <v/>
      </c>
      <c r="O843" s="83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70">
        <f>MAX(-0.05,NORMINV(RAND(),$C$6,$D$6))</f>
        <v/>
      </c>
      <c r="L844" s="70">
        <f>MAX(0.02,NORMINV(RAND(),$C$7,$D$7))</f>
        <v/>
      </c>
      <c r="M844" s="70">
        <f>MIN(0.16,MAX(0.05,NORMINV(RAND(),$C$8,$D$8)))</f>
        <v/>
      </c>
      <c r="N844" s="71">
        <f>MIN(24,MAX(5,NORMINV(RAND(),$C$9,$D$9)))</f>
        <v/>
      </c>
      <c r="O844" s="83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70">
        <f>MAX(-0.05,NORMINV(RAND(),$C$6,$D$6))</f>
        <v/>
      </c>
      <c r="L845" s="70">
        <f>MAX(0.02,NORMINV(RAND(),$C$7,$D$7))</f>
        <v/>
      </c>
      <c r="M845" s="70">
        <f>MIN(0.16,MAX(0.05,NORMINV(RAND(),$C$8,$D$8)))</f>
        <v/>
      </c>
      <c r="N845" s="71">
        <f>MIN(24,MAX(5,NORMINV(RAND(),$C$9,$D$9)))</f>
        <v/>
      </c>
      <c r="O845" s="83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70">
        <f>MAX(-0.05,NORMINV(RAND(),$C$6,$D$6))</f>
        <v/>
      </c>
      <c r="L846" s="70">
        <f>MAX(0.02,NORMINV(RAND(),$C$7,$D$7))</f>
        <v/>
      </c>
      <c r="M846" s="70">
        <f>MIN(0.16,MAX(0.05,NORMINV(RAND(),$C$8,$D$8)))</f>
        <v/>
      </c>
      <c r="N846" s="71">
        <f>MIN(24,MAX(5,NORMINV(RAND(),$C$9,$D$9)))</f>
        <v/>
      </c>
      <c r="O846" s="83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70">
        <f>MAX(-0.05,NORMINV(RAND(),$C$6,$D$6))</f>
        <v/>
      </c>
      <c r="L847" s="70">
        <f>MAX(0.02,NORMINV(RAND(),$C$7,$D$7))</f>
        <v/>
      </c>
      <c r="M847" s="70">
        <f>MIN(0.16,MAX(0.05,NORMINV(RAND(),$C$8,$D$8)))</f>
        <v/>
      </c>
      <c r="N847" s="71">
        <f>MIN(24,MAX(5,NORMINV(RAND(),$C$9,$D$9)))</f>
        <v/>
      </c>
      <c r="O847" s="83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70">
        <f>MAX(-0.05,NORMINV(RAND(),$C$6,$D$6))</f>
        <v/>
      </c>
      <c r="L848" s="70">
        <f>MAX(0.02,NORMINV(RAND(),$C$7,$D$7))</f>
        <v/>
      </c>
      <c r="M848" s="70">
        <f>MIN(0.16,MAX(0.05,NORMINV(RAND(),$C$8,$D$8)))</f>
        <v/>
      </c>
      <c r="N848" s="71">
        <f>MIN(24,MAX(5,NORMINV(RAND(),$C$9,$D$9)))</f>
        <v/>
      </c>
      <c r="O848" s="83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70">
        <f>MAX(-0.05,NORMINV(RAND(),$C$6,$D$6))</f>
        <v/>
      </c>
      <c r="L849" s="70">
        <f>MAX(0.02,NORMINV(RAND(),$C$7,$D$7))</f>
        <v/>
      </c>
      <c r="M849" s="70">
        <f>MIN(0.16,MAX(0.05,NORMINV(RAND(),$C$8,$D$8)))</f>
        <v/>
      </c>
      <c r="N849" s="71">
        <f>MIN(24,MAX(5,NORMINV(RAND(),$C$9,$D$9)))</f>
        <v/>
      </c>
      <c r="O849" s="83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70">
        <f>MAX(-0.05,NORMINV(RAND(),$C$6,$D$6))</f>
        <v/>
      </c>
      <c r="L850" s="70">
        <f>MAX(0.02,NORMINV(RAND(),$C$7,$D$7))</f>
        <v/>
      </c>
      <c r="M850" s="70">
        <f>MIN(0.16,MAX(0.05,NORMINV(RAND(),$C$8,$D$8)))</f>
        <v/>
      </c>
      <c r="N850" s="71">
        <f>MIN(24,MAX(5,NORMINV(RAND(),$C$9,$D$9)))</f>
        <v/>
      </c>
      <c r="O850" s="83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70">
        <f>MAX(-0.05,NORMINV(RAND(),$C$6,$D$6))</f>
        <v/>
      </c>
      <c r="L851" s="70">
        <f>MAX(0.02,NORMINV(RAND(),$C$7,$D$7))</f>
        <v/>
      </c>
      <c r="M851" s="70">
        <f>MIN(0.16,MAX(0.05,NORMINV(RAND(),$C$8,$D$8)))</f>
        <v/>
      </c>
      <c r="N851" s="71">
        <f>MIN(24,MAX(5,NORMINV(RAND(),$C$9,$D$9)))</f>
        <v/>
      </c>
      <c r="O851" s="83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70">
        <f>MAX(-0.05,NORMINV(RAND(),$C$6,$D$6))</f>
        <v/>
      </c>
      <c r="L852" s="70">
        <f>MAX(0.02,NORMINV(RAND(),$C$7,$D$7))</f>
        <v/>
      </c>
      <c r="M852" s="70">
        <f>MIN(0.16,MAX(0.05,NORMINV(RAND(),$C$8,$D$8)))</f>
        <v/>
      </c>
      <c r="N852" s="71">
        <f>MIN(24,MAX(5,NORMINV(RAND(),$C$9,$D$9)))</f>
        <v/>
      </c>
      <c r="O852" s="83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70">
        <f>MAX(-0.05,NORMINV(RAND(),$C$6,$D$6))</f>
        <v/>
      </c>
      <c r="L853" s="70">
        <f>MAX(0.02,NORMINV(RAND(),$C$7,$D$7))</f>
        <v/>
      </c>
      <c r="M853" s="70">
        <f>MIN(0.16,MAX(0.05,NORMINV(RAND(),$C$8,$D$8)))</f>
        <v/>
      </c>
      <c r="N853" s="71">
        <f>MIN(24,MAX(5,NORMINV(RAND(),$C$9,$D$9)))</f>
        <v/>
      </c>
      <c r="O853" s="83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70">
        <f>MAX(-0.05,NORMINV(RAND(),$C$6,$D$6))</f>
        <v/>
      </c>
      <c r="L854" s="70">
        <f>MAX(0.02,NORMINV(RAND(),$C$7,$D$7))</f>
        <v/>
      </c>
      <c r="M854" s="70">
        <f>MIN(0.16,MAX(0.05,NORMINV(RAND(),$C$8,$D$8)))</f>
        <v/>
      </c>
      <c r="N854" s="71">
        <f>MIN(24,MAX(5,NORMINV(RAND(),$C$9,$D$9)))</f>
        <v/>
      </c>
      <c r="O854" s="83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70">
        <f>MAX(-0.05,NORMINV(RAND(),$C$6,$D$6))</f>
        <v/>
      </c>
      <c r="L855" s="70">
        <f>MAX(0.02,NORMINV(RAND(),$C$7,$D$7))</f>
        <v/>
      </c>
      <c r="M855" s="70">
        <f>MIN(0.16,MAX(0.05,NORMINV(RAND(),$C$8,$D$8)))</f>
        <v/>
      </c>
      <c r="N855" s="71">
        <f>MIN(24,MAX(5,NORMINV(RAND(),$C$9,$D$9)))</f>
        <v/>
      </c>
      <c r="O855" s="83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70">
        <f>MAX(-0.05,NORMINV(RAND(),$C$6,$D$6))</f>
        <v/>
      </c>
      <c r="L856" s="70">
        <f>MAX(0.02,NORMINV(RAND(),$C$7,$D$7))</f>
        <v/>
      </c>
      <c r="M856" s="70">
        <f>MIN(0.16,MAX(0.05,NORMINV(RAND(),$C$8,$D$8)))</f>
        <v/>
      </c>
      <c r="N856" s="71">
        <f>MIN(24,MAX(5,NORMINV(RAND(),$C$9,$D$9)))</f>
        <v/>
      </c>
      <c r="O856" s="83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70">
        <f>MAX(-0.05,NORMINV(RAND(),$C$6,$D$6))</f>
        <v/>
      </c>
      <c r="L857" s="70">
        <f>MAX(0.02,NORMINV(RAND(),$C$7,$D$7))</f>
        <v/>
      </c>
      <c r="M857" s="70">
        <f>MIN(0.16,MAX(0.05,NORMINV(RAND(),$C$8,$D$8)))</f>
        <v/>
      </c>
      <c r="N857" s="71">
        <f>MIN(24,MAX(5,NORMINV(RAND(),$C$9,$D$9)))</f>
        <v/>
      </c>
      <c r="O857" s="83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70">
        <f>MAX(-0.05,NORMINV(RAND(),$C$6,$D$6))</f>
        <v/>
      </c>
      <c r="L858" s="70">
        <f>MAX(0.02,NORMINV(RAND(),$C$7,$D$7))</f>
        <v/>
      </c>
      <c r="M858" s="70">
        <f>MIN(0.16,MAX(0.05,NORMINV(RAND(),$C$8,$D$8)))</f>
        <v/>
      </c>
      <c r="N858" s="71">
        <f>MIN(24,MAX(5,NORMINV(RAND(),$C$9,$D$9)))</f>
        <v/>
      </c>
      <c r="O858" s="83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70">
        <f>MAX(-0.05,NORMINV(RAND(),$C$6,$D$6))</f>
        <v/>
      </c>
      <c r="L859" s="70">
        <f>MAX(0.02,NORMINV(RAND(),$C$7,$D$7))</f>
        <v/>
      </c>
      <c r="M859" s="70">
        <f>MIN(0.16,MAX(0.05,NORMINV(RAND(),$C$8,$D$8)))</f>
        <v/>
      </c>
      <c r="N859" s="71">
        <f>MIN(24,MAX(5,NORMINV(RAND(),$C$9,$D$9)))</f>
        <v/>
      </c>
      <c r="O859" s="83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70">
        <f>MAX(-0.05,NORMINV(RAND(),$C$6,$D$6))</f>
        <v/>
      </c>
      <c r="L860" s="70">
        <f>MAX(0.02,NORMINV(RAND(),$C$7,$D$7))</f>
        <v/>
      </c>
      <c r="M860" s="70">
        <f>MIN(0.16,MAX(0.05,NORMINV(RAND(),$C$8,$D$8)))</f>
        <v/>
      </c>
      <c r="N860" s="71">
        <f>MIN(24,MAX(5,NORMINV(RAND(),$C$9,$D$9)))</f>
        <v/>
      </c>
      <c r="O860" s="83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70">
        <f>MAX(-0.05,NORMINV(RAND(),$C$6,$D$6))</f>
        <v/>
      </c>
      <c r="L861" s="70">
        <f>MAX(0.02,NORMINV(RAND(),$C$7,$D$7))</f>
        <v/>
      </c>
      <c r="M861" s="70">
        <f>MIN(0.16,MAX(0.05,NORMINV(RAND(),$C$8,$D$8)))</f>
        <v/>
      </c>
      <c r="N861" s="71">
        <f>MIN(24,MAX(5,NORMINV(RAND(),$C$9,$D$9)))</f>
        <v/>
      </c>
      <c r="O861" s="83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70">
        <f>MAX(-0.05,NORMINV(RAND(),$C$6,$D$6))</f>
        <v/>
      </c>
      <c r="L862" s="70">
        <f>MAX(0.02,NORMINV(RAND(),$C$7,$D$7))</f>
        <v/>
      </c>
      <c r="M862" s="70">
        <f>MIN(0.16,MAX(0.05,NORMINV(RAND(),$C$8,$D$8)))</f>
        <v/>
      </c>
      <c r="N862" s="71">
        <f>MIN(24,MAX(5,NORMINV(RAND(),$C$9,$D$9)))</f>
        <v/>
      </c>
      <c r="O862" s="83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70">
        <f>MAX(-0.05,NORMINV(RAND(),$C$6,$D$6))</f>
        <v/>
      </c>
      <c r="L863" s="70">
        <f>MAX(0.02,NORMINV(RAND(),$C$7,$D$7))</f>
        <v/>
      </c>
      <c r="M863" s="70">
        <f>MIN(0.16,MAX(0.05,NORMINV(RAND(),$C$8,$D$8)))</f>
        <v/>
      </c>
      <c r="N863" s="71">
        <f>MIN(24,MAX(5,NORMINV(RAND(),$C$9,$D$9)))</f>
        <v/>
      </c>
      <c r="O863" s="83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70">
        <f>MAX(-0.05,NORMINV(RAND(),$C$6,$D$6))</f>
        <v/>
      </c>
      <c r="L864" s="70">
        <f>MAX(0.02,NORMINV(RAND(),$C$7,$D$7))</f>
        <v/>
      </c>
      <c r="M864" s="70">
        <f>MIN(0.16,MAX(0.05,NORMINV(RAND(),$C$8,$D$8)))</f>
        <v/>
      </c>
      <c r="N864" s="71">
        <f>MIN(24,MAX(5,NORMINV(RAND(),$C$9,$D$9)))</f>
        <v/>
      </c>
      <c r="O864" s="83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70">
        <f>MAX(-0.05,NORMINV(RAND(),$C$6,$D$6))</f>
        <v/>
      </c>
      <c r="L865" s="70">
        <f>MAX(0.02,NORMINV(RAND(),$C$7,$D$7))</f>
        <v/>
      </c>
      <c r="M865" s="70">
        <f>MIN(0.16,MAX(0.05,NORMINV(RAND(),$C$8,$D$8)))</f>
        <v/>
      </c>
      <c r="N865" s="71">
        <f>MIN(24,MAX(5,NORMINV(RAND(),$C$9,$D$9)))</f>
        <v/>
      </c>
      <c r="O865" s="83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70">
        <f>MAX(-0.05,NORMINV(RAND(),$C$6,$D$6))</f>
        <v/>
      </c>
      <c r="L866" s="70">
        <f>MAX(0.02,NORMINV(RAND(),$C$7,$D$7))</f>
        <v/>
      </c>
      <c r="M866" s="70">
        <f>MIN(0.16,MAX(0.05,NORMINV(RAND(),$C$8,$D$8)))</f>
        <v/>
      </c>
      <c r="N866" s="71">
        <f>MIN(24,MAX(5,NORMINV(RAND(),$C$9,$D$9)))</f>
        <v/>
      </c>
      <c r="O866" s="83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70">
        <f>MAX(-0.05,NORMINV(RAND(),$C$6,$D$6))</f>
        <v/>
      </c>
      <c r="L867" s="70">
        <f>MAX(0.02,NORMINV(RAND(),$C$7,$D$7))</f>
        <v/>
      </c>
      <c r="M867" s="70">
        <f>MIN(0.16,MAX(0.05,NORMINV(RAND(),$C$8,$D$8)))</f>
        <v/>
      </c>
      <c r="N867" s="71">
        <f>MIN(24,MAX(5,NORMINV(RAND(),$C$9,$D$9)))</f>
        <v/>
      </c>
      <c r="O867" s="83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70">
        <f>MAX(-0.05,NORMINV(RAND(),$C$6,$D$6))</f>
        <v/>
      </c>
      <c r="L868" s="70">
        <f>MAX(0.02,NORMINV(RAND(),$C$7,$D$7))</f>
        <v/>
      </c>
      <c r="M868" s="70">
        <f>MIN(0.16,MAX(0.05,NORMINV(RAND(),$C$8,$D$8)))</f>
        <v/>
      </c>
      <c r="N868" s="71">
        <f>MIN(24,MAX(5,NORMINV(RAND(),$C$9,$D$9)))</f>
        <v/>
      </c>
      <c r="O868" s="83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70">
        <f>MAX(-0.05,NORMINV(RAND(),$C$6,$D$6))</f>
        <v/>
      </c>
      <c r="L869" s="70">
        <f>MAX(0.02,NORMINV(RAND(),$C$7,$D$7))</f>
        <v/>
      </c>
      <c r="M869" s="70">
        <f>MIN(0.16,MAX(0.05,NORMINV(RAND(),$C$8,$D$8)))</f>
        <v/>
      </c>
      <c r="N869" s="71">
        <f>MIN(24,MAX(5,NORMINV(RAND(),$C$9,$D$9)))</f>
        <v/>
      </c>
      <c r="O869" s="83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70">
        <f>MAX(-0.05,NORMINV(RAND(),$C$6,$D$6))</f>
        <v/>
      </c>
      <c r="L870" s="70">
        <f>MAX(0.02,NORMINV(RAND(),$C$7,$D$7))</f>
        <v/>
      </c>
      <c r="M870" s="70">
        <f>MIN(0.16,MAX(0.05,NORMINV(RAND(),$C$8,$D$8)))</f>
        <v/>
      </c>
      <c r="N870" s="71">
        <f>MIN(24,MAX(5,NORMINV(RAND(),$C$9,$D$9)))</f>
        <v/>
      </c>
      <c r="O870" s="83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70">
        <f>MAX(-0.05,NORMINV(RAND(),$C$6,$D$6))</f>
        <v/>
      </c>
      <c r="L871" s="70">
        <f>MAX(0.02,NORMINV(RAND(),$C$7,$D$7))</f>
        <v/>
      </c>
      <c r="M871" s="70">
        <f>MIN(0.16,MAX(0.05,NORMINV(RAND(),$C$8,$D$8)))</f>
        <v/>
      </c>
      <c r="N871" s="71">
        <f>MIN(24,MAX(5,NORMINV(RAND(),$C$9,$D$9)))</f>
        <v/>
      </c>
      <c r="O871" s="83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70">
        <f>MAX(-0.05,NORMINV(RAND(),$C$6,$D$6))</f>
        <v/>
      </c>
      <c r="L872" s="70">
        <f>MAX(0.02,NORMINV(RAND(),$C$7,$D$7))</f>
        <v/>
      </c>
      <c r="M872" s="70">
        <f>MIN(0.16,MAX(0.05,NORMINV(RAND(),$C$8,$D$8)))</f>
        <v/>
      </c>
      <c r="N872" s="71">
        <f>MIN(24,MAX(5,NORMINV(RAND(),$C$9,$D$9)))</f>
        <v/>
      </c>
      <c r="O872" s="83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70">
        <f>MAX(-0.05,NORMINV(RAND(),$C$6,$D$6))</f>
        <v/>
      </c>
      <c r="L873" s="70">
        <f>MAX(0.02,NORMINV(RAND(),$C$7,$D$7))</f>
        <v/>
      </c>
      <c r="M873" s="70">
        <f>MIN(0.16,MAX(0.05,NORMINV(RAND(),$C$8,$D$8)))</f>
        <v/>
      </c>
      <c r="N873" s="71">
        <f>MIN(24,MAX(5,NORMINV(RAND(),$C$9,$D$9)))</f>
        <v/>
      </c>
      <c r="O873" s="83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70">
        <f>MAX(-0.05,NORMINV(RAND(),$C$6,$D$6))</f>
        <v/>
      </c>
      <c r="L874" s="70">
        <f>MAX(0.02,NORMINV(RAND(),$C$7,$D$7))</f>
        <v/>
      </c>
      <c r="M874" s="70">
        <f>MIN(0.16,MAX(0.05,NORMINV(RAND(),$C$8,$D$8)))</f>
        <v/>
      </c>
      <c r="N874" s="71">
        <f>MIN(24,MAX(5,NORMINV(RAND(),$C$9,$D$9)))</f>
        <v/>
      </c>
      <c r="O874" s="83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70">
        <f>MAX(-0.05,NORMINV(RAND(),$C$6,$D$6))</f>
        <v/>
      </c>
      <c r="L875" s="70">
        <f>MAX(0.02,NORMINV(RAND(),$C$7,$D$7))</f>
        <v/>
      </c>
      <c r="M875" s="70">
        <f>MIN(0.16,MAX(0.05,NORMINV(RAND(),$C$8,$D$8)))</f>
        <v/>
      </c>
      <c r="N875" s="71">
        <f>MIN(24,MAX(5,NORMINV(RAND(),$C$9,$D$9)))</f>
        <v/>
      </c>
      <c r="O875" s="83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70">
        <f>MAX(-0.05,NORMINV(RAND(),$C$6,$D$6))</f>
        <v/>
      </c>
      <c r="L876" s="70">
        <f>MAX(0.02,NORMINV(RAND(),$C$7,$D$7))</f>
        <v/>
      </c>
      <c r="M876" s="70">
        <f>MIN(0.16,MAX(0.05,NORMINV(RAND(),$C$8,$D$8)))</f>
        <v/>
      </c>
      <c r="N876" s="71">
        <f>MIN(24,MAX(5,NORMINV(RAND(),$C$9,$D$9)))</f>
        <v/>
      </c>
      <c r="O876" s="83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70">
        <f>MAX(-0.05,NORMINV(RAND(),$C$6,$D$6))</f>
        <v/>
      </c>
      <c r="L877" s="70">
        <f>MAX(0.02,NORMINV(RAND(),$C$7,$D$7))</f>
        <v/>
      </c>
      <c r="M877" s="70">
        <f>MIN(0.16,MAX(0.05,NORMINV(RAND(),$C$8,$D$8)))</f>
        <v/>
      </c>
      <c r="N877" s="71">
        <f>MIN(24,MAX(5,NORMINV(RAND(),$C$9,$D$9)))</f>
        <v/>
      </c>
      <c r="O877" s="83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70">
        <f>MAX(-0.05,NORMINV(RAND(),$C$6,$D$6))</f>
        <v/>
      </c>
      <c r="L878" s="70">
        <f>MAX(0.02,NORMINV(RAND(),$C$7,$D$7))</f>
        <v/>
      </c>
      <c r="M878" s="70">
        <f>MIN(0.16,MAX(0.05,NORMINV(RAND(),$C$8,$D$8)))</f>
        <v/>
      </c>
      <c r="N878" s="71">
        <f>MIN(24,MAX(5,NORMINV(RAND(),$C$9,$D$9)))</f>
        <v/>
      </c>
      <c r="O878" s="83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70">
        <f>MAX(-0.05,NORMINV(RAND(),$C$6,$D$6))</f>
        <v/>
      </c>
      <c r="L879" s="70">
        <f>MAX(0.02,NORMINV(RAND(),$C$7,$D$7))</f>
        <v/>
      </c>
      <c r="M879" s="70">
        <f>MIN(0.16,MAX(0.05,NORMINV(RAND(),$C$8,$D$8)))</f>
        <v/>
      </c>
      <c r="N879" s="71">
        <f>MIN(24,MAX(5,NORMINV(RAND(),$C$9,$D$9)))</f>
        <v/>
      </c>
      <c r="O879" s="83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70">
        <f>MAX(-0.05,NORMINV(RAND(),$C$6,$D$6))</f>
        <v/>
      </c>
      <c r="L880" s="70">
        <f>MAX(0.02,NORMINV(RAND(),$C$7,$D$7))</f>
        <v/>
      </c>
      <c r="M880" s="70">
        <f>MIN(0.16,MAX(0.05,NORMINV(RAND(),$C$8,$D$8)))</f>
        <v/>
      </c>
      <c r="N880" s="71">
        <f>MIN(24,MAX(5,NORMINV(RAND(),$C$9,$D$9)))</f>
        <v/>
      </c>
      <c r="O880" s="83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70">
        <f>MAX(-0.05,NORMINV(RAND(),$C$6,$D$6))</f>
        <v/>
      </c>
      <c r="L881" s="70">
        <f>MAX(0.02,NORMINV(RAND(),$C$7,$D$7))</f>
        <v/>
      </c>
      <c r="M881" s="70">
        <f>MIN(0.16,MAX(0.05,NORMINV(RAND(),$C$8,$D$8)))</f>
        <v/>
      </c>
      <c r="N881" s="71">
        <f>MIN(24,MAX(5,NORMINV(RAND(),$C$9,$D$9)))</f>
        <v/>
      </c>
      <c r="O881" s="83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70">
        <f>MAX(-0.05,NORMINV(RAND(),$C$6,$D$6))</f>
        <v/>
      </c>
      <c r="L882" s="70">
        <f>MAX(0.02,NORMINV(RAND(),$C$7,$D$7))</f>
        <v/>
      </c>
      <c r="M882" s="70">
        <f>MIN(0.16,MAX(0.05,NORMINV(RAND(),$C$8,$D$8)))</f>
        <v/>
      </c>
      <c r="N882" s="71">
        <f>MIN(24,MAX(5,NORMINV(RAND(),$C$9,$D$9)))</f>
        <v/>
      </c>
      <c r="O882" s="83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70">
        <f>MAX(-0.05,NORMINV(RAND(),$C$6,$D$6))</f>
        <v/>
      </c>
      <c r="L883" s="70">
        <f>MAX(0.02,NORMINV(RAND(),$C$7,$D$7))</f>
        <v/>
      </c>
      <c r="M883" s="70">
        <f>MIN(0.16,MAX(0.05,NORMINV(RAND(),$C$8,$D$8)))</f>
        <v/>
      </c>
      <c r="N883" s="71">
        <f>MIN(24,MAX(5,NORMINV(RAND(),$C$9,$D$9)))</f>
        <v/>
      </c>
      <c r="O883" s="83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70">
        <f>MAX(-0.05,NORMINV(RAND(),$C$6,$D$6))</f>
        <v/>
      </c>
      <c r="L884" s="70">
        <f>MAX(0.02,NORMINV(RAND(),$C$7,$D$7))</f>
        <v/>
      </c>
      <c r="M884" s="70">
        <f>MIN(0.16,MAX(0.05,NORMINV(RAND(),$C$8,$D$8)))</f>
        <v/>
      </c>
      <c r="N884" s="71">
        <f>MIN(24,MAX(5,NORMINV(RAND(),$C$9,$D$9)))</f>
        <v/>
      </c>
      <c r="O884" s="83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70">
        <f>MAX(-0.05,NORMINV(RAND(),$C$6,$D$6))</f>
        <v/>
      </c>
      <c r="L885" s="70">
        <f>MAX(0.02,NORMINV(RAND(),$C$7,$D$7))</f>
        <v/>
      </c>
      <c r="M885" s="70">
        <f>MIN(0.16,MAX(0.05,NORMINV(RAND(),$C$8,$D$8)))</f>
        <v/>
      </c>
      <c r="N885" s="71">
        <f>MIN(24,MAX(5,NORMINV(RAND(),$C$9,$D$9)))</f>
        <v/>
      </c>
      <c r="O885" s="83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70">
        <f>MAX(-0.05,NORMINV(RAND(),$C$6,$D$6))</f>
        <v/>
      </c>
      <c r="L886" s="70">
        <f>MAX(0.02,NORMINV(RAND(),$C$7,$D$7))</f>
        <v/>
      </c>
      <c r="M886" s="70">
        <f>MIN(0.16,MAX(0.05,NORMINV(RAND(),$C$8,$D$8)))</f>
        <v/>
      </c>
      <c r="N886" s="71">
        <f>MIN(24,MAX(5,NORMINV(RAND(),$C$9,$D$9)))</f>
        <v/>
      </c>
      <c r="O886" s="83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70">
        <f>MAX(-0.05,NORMINV(RAND(),$C$6,$D$6))</f>
        <v/>
      </c>
      <c r="L887" s="70">
        <f>MAX(0.02,NORMINV(RAND(),$C$7,$D$7))</f>
        <v/>
      </c>
      <c r="M887" s="70">
        <f>MIN(0.16,MAX(0.05,NORMINV(RAND(),$C$8,$D$8)))</f>
        <v/>
      </c>
      <c r="N887" s="71">
        <f>MIN(24,MAX(5,NORMINV(RAND(),$C$9,$D$9)))</f>
        <v/>
      </c>
      <c r="O887" s="83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70">
        <f>MAX(-0.05,NORMINV(RAND(),$C$6,$D$6))</f>
        <v/>
      </c>
      <c r="L888" s="70">
        <f>MAX(0.02,NORMINV(RAND(),$C$7,$D$7))</f>
        <v/>
      </c>
      <c r="M888" s="70">
        <f>MIN(0.16,MAX(0.05,NORMINV(RAND(),$C$8,$D$8)))</f>
        <v/>
      </c>
      <c r="N888" s="71">
        <f>MIN(24,MAX(5,NORMINV(RAND(),$C$9,$D$9)))</f>
        <v/>
      </c>
      <c r="O888" s="83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70">
        <f>MAX(-0.05,NORMINV(RAND(),$C$6,$D$6))</f>
        <v/>
      </c>
      <c r="L889" s="70">
        <f>MAX(0.02,NORMINV(RAND(),$C$7,$D$7))</f>
        <v/>
      </c>
      <c r="M889" s="70">
        <f>MIN(0.16,MAX(0.05,NORMINV(RAND(),$C$8,$D$8)))</f>
        <v/>
      </c>
      <c r="N889" s="71">
        <f>MIN(24,MAX(5,NORMINV(RAND(),$C$9,$D$9)))</f>
        <v/>
      </c>
      <c r="O889" s="83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70">
        <f>MAX(-0.05,NORMINV(RAND(),$C$6,$D$6))</f>
        <v/>
      </c>
      <c r="L890" s="70">
        <f>MAX(0.02,NORMINV(RAND(),$C$7,$D$7))</f>
        <v/>
      </c>
      <c r="M890" s="70">
        <f>MIN(0.16,MAX(0.05,NORMINV(RAND(),$C$8,$D$8)))</f>
        <v/>
      </c>
      <c r="N890" s="71">
        <f>MIN(24,MAX(5,NORMINV(RAND(),$C$9,$D$9)))</f>
        <v/>
      </c>
      <c r="O890" s="83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70">
        <f>MAX(-0.05,NORMINV(RAND(),$C$6,$D$6))</f>
        <v/>
      </c>
      <c r="L891" s="70">
        <f>MAX(0.02,NORMINV(RAND(),$C$7,$D$7))</f>
        <v/>
      </c>
      <c r="M891" s="70">
        <f>MIN(0.16,MAX(0.05,NORMINV(RAND(),$C$8,$D$8)))</f>
        <v/>
      </c>
      <c r="N891" s="71">
        <f>MIN(24,MAX(5,NORMINV(RAND(),$C$9,$D$9)))</f>
        <v/>
      </c>
      <c r="O891" s="83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70">
        <f>MAX(-0.05,NORMINV(RAND(),$C$6,$D$6))</f>
        <v/>
      </c>
      <c r="L892" s="70">
        <f>MAX(0.02,NORMINV(RAND(),$C$7,$D$7))</f>
        <v/>
      </c>
      <c r="M892" s="70">
        <f>MIN(0.16,MAX(0.05,NORMINV(RAND(),$C$8,$D$8)))</f>
        <v/>
      </c>
      <c r="N892" s="71">
        <f>MIN(24,MAX(5,NORMINV(RAND(),$C$9,$D$9)))</f>
        <v/>
      </c>
      <c r="O892" s="83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70">
        <f>MAX(-0.05,NORMINV(RAND(),$C$6,$D$6))</f>
        <v/>
      </c>
      <c r="L893" s="70">
        <f>MAX(0.02,NORMINV(RAND(),$C$7,$D$7))</f>
        <v/>
      </c>
      <c r="M893" s="70">
        <f>MIN(0.16,MAX(0.05,NORMINV(RAND(),$C$8,$D$8)))</f>
        <v/>
      </c>
      <c r="N893" s="71">
        <f>MIN(24,MAX(5,NORMINV(RAND(),$C$9,$D$9)))</f>
        <v/>
      </c>
      <c r="O893" s="83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70">
        <f>MAX(-0.05,NORMINV(RAND(),$C$6,$D$6))</f>
        <v/>
      </c>
      <c r="L894" s="70">
        <f>MAX(0.02,NORMINV(RAND(),$C$7,$D$7))</f>
        <v/>
      </c>
      <c r="M894" s="70">
        <f>MIN(0.16,MAX(0.05,NORMINV(RAND(),$C$8,$D$8)))</f>
        <v/>
      </c>
      <c r="N894" s="71">
        <f>MIN(24,MAX(5,NORMINV(RAND(),$C$9,$D$9)))</f>
        <v/>
      </c>
      <c r="O894" s="83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70">
        <f>MAX(-0.05,NORMINV(RAND(),$C$6,$D$6))</f>
        <v/>
      </c>
      <c r="L895" s="70">
        <f>MAX(0.02,NORMINV(RAND(),$C$7,$D$7))</f>
        <v/>
      </c>
      <c r="M895" s="70">
        <f>MIN(0.16,MAX(0.05,NORMINV(RAND(),$C$8,$D$8)))</f>
        <v/>
      </c>
      <c r="N895" s="71">
        <f>MIN(24,MAX(5,NORMINV(RAND(),$C$9,$D$9)))</f>
        <v/>
      </c>
      <c r="O895" s="83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70">
        <f>MAX(-0.05,NORMINV(RAND(),$C$6,$D$6))</f>
        <v/>
      </c>
      <c r="L896" s="70">
        <f>MAX(0.02,NORMINV(RAND(),$C$7,$D$7))</f>
        <v/>
      </c>
      <c r="M896" s="70">
        <f>MIN(0.16,MAX(0.05,NORMINV(RAND(),$C$8,$D$8)))</f>
        <v/>
      </c>
      <c r="N896" s="71">
        <f>MIN(24,MAX(5,NORMINV(RAND(),$C$9,$D$9)))</f>
        <v/>
      </c>
      <c r="O896" s="83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70">
        <f>MAX(-0.05,NORMINV(RAND(),$C$6,$D$6))</f>
        <v/>
      </c>
      <c r="L897" s="70">
        <f>MAX(0.02,NORMINV(RAND(),$C$7,$D$7))</f>
        <v/>
      </c>
      <c r="M897" s="70">
        <f>MIN(0.16,MAX(0.05,NORMINV(RAND(),$C$8,$D$8)))</f>
        <v/>
      </c>
      <c r="N897" s="71">
        <f>MIN(24,MAX(5,NORMINV(RAND(),$C$9,$D$9)))</f>
        <v/>
      </c>
      <c r="O897" s="83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70">
        <f>MAX(-0.05,NORMINV(RAND(),$C$6,$D$6))</f>
        <v/>
      </c>
      <c r="L898" s="70">
        <f>MAX(0.02,NORMINV(RAND(),$C$7,$D$7))</f>
        <v/>
      </c>
      <c r="M898" s="70">
        <f>MIN(0.16,MAX(0.05,NORMINV(RAND(),$C$8,$D$8)))</f>
        <v/>
      </c>
      <c r="N898" s="71">
        <f>MIN(24,MAX(5,NORMINV(RAND(),$C$9,$D$9)))</f>
        <v/>
      </c>
      <c r="O898" s="83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70">
        <f>MAX(-0.05,NORMINV(RAND(),$C$6,$D$6))</f>
        <v/>
      </c>
      <c r="L899" s="70">
        <f>MAX(0.02,NORMINV(RAND(),$C$7,$D$7))</f>
        <v/>
      </c>
      <c r="M899" s="70">
        <f>MIN(0.16,MAX(0.05,NORMINV(RAND(),$C$8,$D$8)))</f>
        <v/>
      </c>
      <c r="N899" s="71">
        <f>MIN(24,MAX(5,NORMINV(RAND(),$C$9,$D$9)))</f>
        <v/>
      </c>
      <c r="O899" s="83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70">
        <f>MAX(-0.05,NORMINV(RAND(),$C$6,$D$6))</f>
        <v/>
      </c>
      <c r="L900" s="70">
        <f>MAX(0.02,NORMINV(RAND(),$C$7,$D$7))</f>
        <v/>
      </c>
      <c r="M900" s="70">
        <f>MIN(0.16,MAX(0.05,NORMINV(RAND(),$C$8,$D$8)))</f>
        <v/>
      </c>
      <c r="N900" s="71">
        <f>MIN(24,MAX(5,NORMINV(RAND(),$C$9,$D$9)))</f>
        <v/>
      </c>
      <c r="O900" s="83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70">
        <f>MAX(-0.05,NORMINV(RAND(),$C$6,$D$6))</f>
        <v/>
      </c>
      <c r="L901" s="70">
        <f>MAX(0.02,NORMINV(RAND(),$C$7,$D$7))</f>
        <v/>
      </c>
      <c r="M901" s="70">
        <f>MIN(0.16,MAX(0.05,NORMINV(RAND(),$C$8,$D$8)))</f>
        <v/>
      </c>
      <c r="N901" s="71">
        <f>MIN(24,MAX(5,NORMINV(RAND(),$C$9,$D$9)))</f>
        <v/>
      </c>
      <c r="O901" s="83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70">
        <f>MAX(-0.05,NORMINV(RAND(),$C$6,$D$6))</f>
        <v/>
      </c>
      <c r="L902" s="70">
        <f>MAX(0.02,NORMINV(RAND(),$C$7,$D$7))</f>
        <v/>
      </c>
      <c r="M902" s="70">
        <f>MIN(0.16,MAX(0.05,NORMINV(RAND(),$C$8,$D$8)))</f>
        <v/>
      </c>
      <c r="N902" s="71">
        <f>MIN(24,MAX(5,NORMINV(RAND(),$C$9,$D$9)))</f>
        <v/>
      </c>
      <c r="O902" s="83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70">
        <f>MAX(-0.05,NORMINV(RAND(),$C$6,$D$6))</f>
        <v/>
      </c>
      <c r="L903" s="70">
        <f>MAX(0.02,NORMINV(RAND(),$C$7,$D$7))</f>
        <v/>
      </c>
      <c r="M903" s="70">
        <f>MIN(0.16,MAX(0.05,NORMINV(RAND(),$C$8,$D$8)))</f>
        <v/>
      </c>
      <c r="N903" s="71">
        <f>MIN(24,MAX(5,NORMINV(RAND(),$C$9,$D$9)))</f>
        <v/>
      </c>
      <c r="O903" s="83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70">
        <f>MAX(-0.05,NORMINV(RAND(),$C$6,$D$6))</f>
        <v/>
      </c>
      <c r="L904" s="70">
        <f>MAX(0.02,NORMINV(RAND(),$C$7,$D$7))</f>
        <v/>
      </c>
      <c r="M904" s="70">
        <f>MIN(0.16,MAX(0.05,NORMINV(RAND(),$C$8,$D$8)))</f>
        <v/>
      </c>
      <c r="N904" s="71">
        <f>MIN(24,MAX(5,NORMINV(RAND(),$C$9,$D$9)))</f>
        <v/>
      </c>
      <c r="O904" s="83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70">
        <f>MAX(-0.05,NORMINV(RAND(),$C$6,$D$6))</f>
        <v/>
      </c>
      <c r="L905" s="70">
        <f>MAX(0.02,NORMINV(RAND(),$C$7,$D$7))</f>
        <v/>
      </c>
      <c r="M905" s="70">
        <f>MIN(0.16,MAX(0.05,NORMINV(RAND(),$C$8,$D$8)))</f>
        <v/>
      </c>
      <c r="N905" s="71">
        <f>MIN(24,MAX(5,NORMINV(RAND(),$C$9,$D$9)))</f>
        <v/>
      </c>
      <c r="O905" s="83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70">
        <f>MAX(-0.05,NORMINV(RAND(),$C$6,$D$6))</f>
        <v/>
      </c>
      <c r="L906" s="70">
        <f>MAX(0.02,NORMINV(RAND(),$C$7,$D$7))</f>
        <v/>
      </c>
      <c r="M906" s="70">
        <f>MIN(0.16,MAX(0.05,NORMINV(RAND(),$C$8,$D$8)))</f>
        <v/>
      </c>
      <c r="N906" s="71">
        <f>MIN(24,MAX(5,NORMINV(RAND(),$C$9,$D$9)))</f>
        <v/>
      </c>
      <c r="O906" s="83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70">
        <f>MAX(-0.05,NORMINV(RAND(),$C$6,$D$6))</f>
        <v/>
      </c>
      <c r="L907" s="70">
        <f>MAX(0.02,NORMINV(RAND(),$C$7,$D$7))</f>
        <v/>
      </c>
      <c r="M907" s="70">
        <f>MIN(0.16,MAX(0.05,NORMINV(RAND(),$C$8,$D$8)))</f>
        <v/>
      </c>
      <c r="N907" s="71">
        <f>MIN(24,MAX(5,NORMINV(RAND(),$C$9,$D$9)))</f>
        <v/>
      </c>
      <c r="O907" s="83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70">
        <f>MAX(-0.05,NORMINV(RAND(),$C$6,$D$6))</f>
        <v/>
      </c>
      <c r="L908" s="70">
        <f>MAX(0.02,NORMINV(RAND(),$C$7,$D$7))</f>
        <v/>
      </c>
      <c r="M908" s="70">
        <f>MIN(0.16,MAX(0.05,NORMINV(RAND(),$C$8,$D$8)))</f>
        <v/>
      </c>
      <c r="N908" s="71">
        <f>MIN(24,MAX(5,NORMINV(RAND(),$C$9,$D$9)))</f>
        <v/>
      </c>
      <c r="O908" s="83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70">
        <f>MAX(-0.05,NORMINV(RAND(),$C$6,$D$6))</f>
        <v/>
      </c>
      <c r="L909" s="70">
        <f>MAX(0.02,NORMINV(RAND(),$C$7,$D$7))</f>
        <v/>
      </c>
      <c r="M909" s="70">
        <f>MIN(0.16,MAX(0.05,NORMINV(RAND(),$C$8,$D$8)))</f>
        <v/>
      </c>
      <c r="N909" s="71">
        <f>MIN(24,MAX(5,NORMINV(RAND(),$C$9,$D$9)))</f>
        <v/>
      </c>
      <c r="O909" s="83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70">
        <f>MAX(-0.05,NORMINV(RAND(),$C$6,$D$6))</f>
        <v/>
      </c>
      <c r="L910" s="70">
        <f>MAX(0.02,NORMINV(RAND(),$C$7,$D$7))</f>
        <v/>
      </c>
      <c r="M910" s="70">
        <f>MIN(0.16,MAX(0.05,NORMINV(RAND(),$C$8,$D$8)))</f>
        <v/>
      </c>
      <c r="N910" s="71">
        <f>MIN(24,MAX(5,NORMINV(RAND(),$C$9,$D$9)))</f>
        <v/>
      </c>
      <c r="O910" s="83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70">
        <f>MAX(-0.05,NORMINV(RAND(),$C$6,$D$6))</f>
        <v/>
      </c>
      <c r="L911" s="70">
        <f>MAX(0.02,NORMINV(RAND(),$C$7,$D$7))</f>
        <v/>
      </c>
      <c r="M911" s="70">
        <f>MIN(0.16,MAX(0.05,NORMINV(RAND(),$C$8,$D$8)))</f>
        <v/>
      </c>
      <c r="N911" s="71">
        <f>MIN(24,MAX(5,NORMINV(RAND(),$C$9,$D$9)))</f>
        <v/>
      </c>
      <c r="O911" s="83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70">
        <f>MAX(-0.05,NORMINV(RAND(),$C$6,$D$6))</f>
        <v/>
      </c>
      <c r="L912" s="70">
        <f>MAX(0.02,NORMINV(RAND(),$C$7,$D$7))</f>
        <v/>
      </c>
      <c r="M912" s="70">
        <f>MIN(0.16,MAX(0.05,NORMINV(RAND(),$C$8,$D$8)))</f>
        <v/>
      </c>
      <c r="N912" s="71">
        <f>MIN(24,MAX(5,NORMINV(RAND(),$C$9,$D$9)))</f>
        <v/>
      </c>
      <c r="O912" s="83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70">
        <f>MAX(-0.05,NORMINV(RAND(),$C$6,$D$6))</f>
        <v/>
      </c>
      <c r="L913" s="70">
        <f>MAX(0.02,NORMINV(RAND(),$C$7,$D$7))</f>
        <v/>
      </c>
      <c r="M913" s="70">
        <f>MIN(0.16,MAX(0.05,NORMINV(RAND(),$C$8,$D$8)))</f>
        <v/>
      </c>
      <c r="N913" s="71">
        <f>MIN(24,MAX(5,NORMINV(RAND(),$C$9,$D$9)))</f>
        <v/>
      </c>
      <c r="O913" s="83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70">
        <f>MAX(-0.05,NORMINV(RAND(),$C$6,$D$6))</f>
        <v/>
      </c>
      <c r="L914" s="70">
        <f>MAX(0.02,NORMINV(RAND(),$C$7,$D$7))</f>
        <v/>
      </c>
      <c r="M914" s="70">
        <f>MIN(0.16,MAX(0.05,NORMINV(RAND(),$C$8,$D$8)))</f>
        <v/>
      </c>
      <c r="N914" s="71">
        <f>MIN(24,MAX(5,NORMINV(RAND(),$C$9,$D$9)))</f>
        <v/>
      </c>
      <c r="O914" s="83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70">
        <f>MAX(-0.05,NORMINV(RAND(),$C$6,$D$6))</f>
        <v/>
      </c>
      <c r="L915" s="70">
        <f>MAX(0.02,NORMINV(RAND(),$C$7,$D$7))</f>
        <v/>
      </c>
      <c r="M915" s="70">
        <f>MIN(0.16,MAX(0.05,NORMINV(RAND(),$C$8,$D$8)))</f>
        <v/>
      </c>
      <c r="N915" s="71">
        <f>MIN(24,MAX(5,NORMINV(RAND(),$C$9,$D$9)))</f>
        <v/>
      </c>
      <c r="O915" s="83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70">
        <f>MAX(-0.05,NORMINV(RAND(),$C$6,$D$6))</f>
        <v/>
      </c>
      <c r="L916" s="70">
        <f>MAX(0.02,NORMINV(RAND(),$C$7,$D$7))</f>
        <v/>
      </c>
      <c r="M916" s="70">
        <f>MIN(0.16,MAX(0.05,NORMINV(RAND(),$C$8,$D$8)))</f>
        <v/>
      </c>
      <c r="N916" s="71">
        <f>MIN(24,MAX(5,NORMINV(RAND(),$C$9,$D$9)))</f>
        <v/>
      </c>
      <c r="O916" s="83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70">
        <f>MAX(-0.05,NORMINV(RAND(),$C$6,$D$6))</f>
        <v/>
      </c>
      <c r="L917" s="70">
        <f>MAX(0.02,NORMINV(RAND(),$C$7,$D$7))</f>
        <v/>
      </c>
      <c r="M917" s="70">
        <f>MIN(0.16,MAX(0.05,NORMINV(RAND(),$C$8,$D$8)))</f>
        <v/>
      </c>
      <c r="N917" s="71">
        <f>MIN(24,MAX(5,NORMINV(RAND(),$C$9,$D$9)))</f>
        <v/>
      </c>
      <c r="O917" s="83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70">
        <f>MAX(-0.05,NORMINV(RAND(),$C$6,$D$6))</f>
        <v/>
      </c>
      <c r="L918" s="70">
        <f>MAX(0.02,NORMINV(RAND(),$C$7,$D$7))</f>
        <v/>
      </c>
      <c r="M918" s="70">
        <f>MIN(0.16,MAX(0.05,NORMINV(RAND(),$C$8,$D$8)))</f>
        <v/>
      </c>
      <c r="N918" s="71">
        <f>MIN(24,MAX(5,NORMINV(RAND(),$C$9,$D$9)))</f>
        <v/>
      </c>
      <c r="O918" s="83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70">
        <f>MAX(-0.05,NORMINV(RAND(),$C$6,$D$6))</f>
        <v/>
      </c>
      <c r="L919" s="70">
        <f>MAX(0.02,NORMINV(RAND(),$C$7,$D$7))</f>
        <v/>
      </c>
      <c r="M919" s="70">
        <f>MIN(0.16,MAX(0.05,NORMINV(RAND(),$C$8,$D$8)))</f>
        <v/>
      </c>
      <c r="N919" s="71">
        <f>MIN(24,MAX(5,NORMINV(RAND(),$C$9,$D$9)))</f>
        <v/>
      </c>
      <c r="O919" s="83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70">
        <f>MAX(-0.05,NORMINV(RAND(),$C$6,$D$6))</f>
        <v/>
      </c>
      <c r="L920" s="70">
        <f>MAX(0.02,NORMINV(RAND(),$C$7,$D$7))</f>
        <v/>
      </c>
      <c r="M920" s="70">
        <f>MIN(0.16,MAX(0.05,NORMINV(RAND(),$C$8,$D$8)))</f>
        <v/>
      </c>
      <c r="N920" s="71">
        <f>MIN(24,MAX(5,NORMINV(RAND(),$C$9,$D$9)))</f>
        <v/>
      </c>
      <c r="O920" s="83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70">
        <f>MAX(-0.05,NORMINV(RAND(),$C$6,$D$6))</f>
        <v/>
      </c>
      <c r="L921" s="70">
        <f>MAX(0.02,NORMINV(RAND(),$C$7,$D$7))</f>
        <v/>
      </c>
      <c r="M921" s="70">
        <f>MIN(0.16,MAX(0.05,NORMINV(RAND(),$C$8,$D$8)))</f>
        <v/>
      </c>
      <c r="N921" s="71">
        <f>MIN(24,MAX(5,NORMINV(RAND(),$C$9,$D$9)))</f>
        <v/>
      </c>
      <c r="O921" s="83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70">
        <f>MAX(-0.05,NORMINV(RAND(),$C$6,$D$6))</f>
        <v/>
      </c>
      <c r="L922" s="70">
        <f>MAX(0.02,NORMINV(RAND(),$C$7,$D$7))</f>
        <v/>
      </c>
      <c r="M922" s="70">
        <f>MIN(0.16,MAX(0.05,NORMINV(RAND(),$C$8,$D$8)))</f>
        <v/>
      </c>
      <c r="N922" s="71">
        <f>MIN(24,MAX(5,NORMINV(RAND(),$C$9,$D$9)))</f>
        <v/>
      </c>
      <c r="O922" s="83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70">
        <f>MAX(-0.05,NORMINV(RAND(),$C$6,$D$6))</f>
        <v/>
      </c>
      <c r="L923" s="70">
        <f>MAX(0.02,NORMINV(RAND(),$C$7,$D$7))</f>
        <v/>
      </c>
      <c r="M923" s="70">
        <f>MIN(0.16,MAX(0.05,NORMINV(RAND(),$C$8,$D$8)))</f>
        <v/>
      </c>
      <c r="N923" s="71">
        <f>MIN(24,MAX(5,NORMINV(RAND(),$C$9,$D$9)))</f>
        <v/>
      </c>
      <c r="O923" s="83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70">
        <f>MAX(-0.05,NORMINV(RAND(),$C$6,$D$6))</f>
        <v/>
      </c>
      <c r="L924" s="70">
        <f>MAX(0.02,NORMINV(RAND(),$C$7,$D$7))</f>
        <v/>
      </c>
      <c r="M924" s="70">
        <f>MIN(0.16,MAX(0.05,NORMINV(RAND(),$C$8,$D$8)))</f>
        <v/>
      </c>
      <c r="N924" s="71">
        <f>MIN(24,MAX(5,NORMINV(RAND(),$C$9,$D$9)))</f>
        <v/>
      </c>
      <c r="O924" s="83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70">
        <f>MAX(-0.05,NORMINV(RAND(),$C$6,$D$6))</f>
        <v/>
      </c>
      <c r="L925" s="70">
        <f>MAX(0.02,NORMINV(RAND(),$C$7,$D$7))</f>
        <v/>
      </c>
      <c r="M925" s="70">
        <f>MIN(0.16,MAX(0.05,NORMINV(RAND(),$C$8,$D$8)))</f>
        <v/>
      </c>
      <c r="N925" s="71">
        <f>MIN(24,MAX(5,NORMINV(RAND(),$C$9,$D$9)))</f>
        <v/>
      </c>
      <c r="O925" s="83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70">
        <f>MAX(-0.05,NORMINV(RAND(),$C$6,$D$6))</f>
        <v/>
      </c>
      <c r="L926" s="70">
        <f>MAX(0.02,NORMINV(RAND(),$C$7,$D$7))</f>
        <v/>
      </c>
      <c r="M926" s="70">
        <f>MIN(0.16,MAX(0.05,NORMINV(RAND(),$C$8,$D$8)))</f>
        <v/>
      </c>
      <c r="N926" s="71">
        <f>MIN(24,MAX(5,NORMINV(RAND(),$C$9,$D$9)))</f>
        <v/>
      </c>
      <c r="O926" s="83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70">
        <f>MAX(-0.05,NORMINV(RAND(),$C$6,$D$6))</f>
        <v/>
      </c>
      <c r="L927" s="70">
        <f>MAX(0.02,NORMINV(RAND(),$C$7,$D$7))</f>
        <v/>
      </c>
      <c r="M927" s="70">
        <f>MIN(0.16,MAX(0.05,NORMINV(RAND(),$C$8,$D$8)))</f>
        <v/>
      </c>
      <c r="N927" s="71">
        <f>MIN(24,MAX(5,NORMINV(RAND(),$C$9,$D$9)))</f>
        <v/>
      </c>
      <c r="O927" s="83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70">
        <f>MAX(-0.05,NORMINV(RAND(),$C$6,$D$6))</f>
        <v/>
      </c>
      <c r="L928" s="70">
        <f>MAX(0.02,NORMINV(RAND(),$C$7,$D$7))</f>
        <v/>
      </c>
      <c r="M928" s="70">
        <f>MIN(0.16,MAX(0.05,NORMINV(RAND(),$C$8,$D$8)))</f>
        <v/>
      </c>
      <c r="N928" s="71">
        <f>MIN(24,MAX(5,NORMINV(RAND(),$C$9,$D$9)))</f>
        <v/>
      </c>
      <c r="O928" s="83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70">
        <f>MAX(-0.05,NORMINV(RAND(),$C$6,$D$6))</f>
        <v/>
      </c>
      <c r="L929" s="70">
        <f>MAX(0.02,NORMINV(RAND(),$C$7,$D$7))</f>
        <v/>
      </c>
      <c r="M929" s="70">
        <f>MIN(0.16,MAX(0.05,NORMINV(RAND(),$C$8,$D$8)))</f>
        <v/>
      </c>
      <c r="N929" s="71">
        <f>MIN(24,MAX(5,NORMINV(RAND(),$C$9,$D$9)))</f>
        <v/>
      </c>
      <c r="O929" s="83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70">
        <f>MAX(-0.05,NORMINV(RAND(),$C$6,$D$6))</f>
        <v/>
      </c>
      <c r="L930" s="70">
        <f>MAX(0.02,NORMINV(RAND(),$C$7,$D$7))</f>
        <v/>
      </c>
      <c r="M930" s="70">
        <f>MIN(0.16,MAX(0.05,NORMINV(RAND(),$C$8,$D$8)))</f>
        <v/>
      </c>
      <c r="N930" s="71">
        <f>MIN(24,MAX(5,NORMINV(RAND(),$C$9,$D$9)))</f>
        <v/>
      </c>
      <c r="O930" s="83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70">
        <f>MAX(-0.05,NORMINV(RAND(),$C$6,$D$6))</f>
        <v/>
      </c>
      <c r="L931" s="70">
        <f>MAX(0.02,NORMINV(RAND(),$C$7,$D$7))</f>
        <v/>
      </c>
      <c r="M931" s="70">
        <f>MIN(0.16,MAX(0.05,NORMINV(RAND(),$C$8,$D$8)))</f>
        <v/>
      </c>
      <c r="N931" s="71">
        <f>MIN(24,MAX(5,NORMINV(RAND(),$C$9,$D$9)))</f>
        <v/>
      </c>
      <c r="O931" s="83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70">
        <f>MAX(-0.05,NORMINV(RAND(),$C$6,$D$6))</f>
        <v/>
      </c>
      <c r="L932" s="70">
        <f>MAX(0.02,NORMINV(RAND(),$C$7,$D$7))</f>
        <v/>
      </c>
      <c r="M932" s="70">
        <f>MIN(0.16,MAX(0.05,NORMINV(RAND(),$C$8,$D$8)))</f>
        <v/>
      </c>
      <c r="N932" s="71">
        <f>MIN(24,MAX(5,NORMINV(RAND(),$C$9,$D$9)))</f>
        <v/>
      </c>
      <c r="O932" s="83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70">
        <f>MAX(-0.05,NORMINV(RAND(),$C$6,$D$6))</f>
        <v/>
      </c>
      <c r="L933" s="70">
        <f>MAX(0.02,NORMINV(RAND(),$C$7,$D$7))</f>
        <v/>
      </c>
      <c r="M933" s="70">
        <f>MIN(0.16,MAX(0.05,NORMINV(RAND(),$C$8,$D$8)))</f>
        <v/>
      </c>
      <c r="N933" s="71">
        <f>MIN(24,MAX(5,NORMINV(RAND(),$C$9,$D$9)))</f>
        <v/>
      </c>
      <c r="O933" s="83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70">
        <f>MAX(-0.05,NORMINV(RAND(),$C$6,$D$6))</f>
        <v/>
      </c>
      <c r="L934" s="70">
        <f>MAX(0.02,NORMINV(RAND(),$C$7,$D$7))</f>
        <v/>
      </c>
      <c r="M934" s="70">
        <f>MIN(0.16,MAX(0.05,NORMINV(RAND(),$C$8,$D$8)))</f>
        <v/>
      </c>
      <c r="N934" s="71">
        <f>MIN(24,MAX(5,NORMINV(RAND(),$C$9,$D$9)))</f>
        <v/>
      </c>
      <c r="O934" s="83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70">
        <f>MAX(-0.05,NORMINV(RAND(),$C$6,$D$6))</f>
        <v/>
      </c>
      <c r="L935" s="70">
        <f>MAX(0.02,NORMINV(RAND(),$C$7,$D$7))</f>
        <v/>
      </c>
      <c r="M935" s="70">
        <f>MIN(0.16,MAX(0.05,NORMINV(RAND(),$C$8,$D$8)))</f>
        <v/>
      </c>
      <c r="N935" s="71">
        <f>MIN(24,MAX(5,NORMINV(RAND(),$C$9,$D$9)))</f>
        <v/>
      </c>
      <c r="O935" s="83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70">
        <f>MAX(-0.05,NORMINV(RAND(),$C$6,$D$6))</f>
        <v/>
      </c>
      <c r="L936" s="70">
        <f>MAX(0.02,NORMINV(RAND(),$C$7,$D$7))</f>
        <v/>
      </c>
      <c r="M936" s="70">
        <f>MIN(0.16,MAX(0.05,NORMINV(RAND(),$C$8,$D$8)))</f>
        <v/>
      </c>
      <c r="N936" s="71">
        <f>MIN(24,MAX(5,NORMINV(RAND(),$C$9,$D$9)))</f>
        <v/>
      </c>
      <c r="O936" s="83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70">
        <f>MAX(-0.05,NORMINV(RAND(),$C$6,$D$6))</f>
        <v/>
      </c>
      <c r="L937" s="70">
        <f>MAX(0.02,NORMINV(RAND(),$C$7,$D$7))</f>
        <v/>
      </c>
      <c r="M937" s="70">
        <f>MIN(0.16,MAX(0.05,NORMINV(RAND(),$C$8,$D$8)))</f>
        <v/>
      </c>
      <c r="N937" s="71">
        <f>MIN(24,MAX(5,NORMINV(RAND(),$C$9,$D$9)))</f>
        <v/>
      </c>
      <c r="O937" s="83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70">
        <f>MAX(-0.05,NORMINV(RAND(),$C$6,$D$6))</f>
        <v/>
      </c>
      <c r="L938" s="70">
        <f>MAX(0.02,NORMINV(RAND(),$C$7,$D$7))</f>
        <v/>
      </c>
      <c r="M938" s="70">
        <f>MIN(0.16,MAX(0.05,NORMINV(RAND(),$C$8,$D$8)))</f>
        <v/>
      </c>
      <c r="N938" s="71">
        <f>MIN(24,MAX(5,NORMINV(RAND(),$C$9,$D$9)))</f>
        <v/>
      </c>
      <c r="O938" s="83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70">
        <f>MAX(-0.05,NORMINV(RAND(),$C$6,$D$6))</f>
        <v/>
      </c>
      <c r="L939" s="70">
        <f>MAX(0.02,NORMINV(RAND(),$C$7,$D$7))</f>
        <v/>
      </c>
      <c r="M939" s="70">
        <f>MIN(0.16,MAX(0.05,NORMINV(RAND(),$C$8,$D$8)))</f>
        <v/>
      </c>
      <c r="N939" s="71">
        <f>MIN(24,MAX(5,NORMINV(RAND(),$C$9,$D$9)))</f>
        <v/>
      </c>
      <c r="O939" s="83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70">
        <f>MAX(-0.05,NORMINV(RAND(),$C$6,$D$6))</f>
        <v/>
      </c>
      <c r="L940" s="70">
        <f>MAX(0.02,NORMINV(RAND(),$C$7,$D$7))</f>
        <v/>
      </c>
      <c r="M940" s="70">
        <f>MIN(0.16,MAX(0.05,NORMINV(RAND(),$C$8,$D$8)))</f>
        <v/>
      </c>
      <c r="N940" s="71">
        <f>MIN(24,MAX(5,NORMINV(RAND(),$C$9,$D$9)))</f>
        <v/>
      </c>
      <c r="O940" s="83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70">
        <f>MAX(-0.05,NORMINV(RAND(),$C$6,$D$6))</f>
        <v/>
      </c>
      <c r="L941" s="70">
        <f>MAX(0.02,NORMINV(RAND(),$C$7,$D$7))</f>
        <v/>
      </c>
      <c r="M941" s="70">
        <f>MIN(0.16,MAX(0.05,NORMINV(RAND(),$C$8,$D$8)))</f>
        <v/>
      </c>
      <c r="N941" s="71">
        <f>MIN(24,MAX(5,NORMINV(RAND(),$C$9,$D$9)))</f>
        <v/>
      </c>
      <c r="O941" s="83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70">
        <f>MAX(-0.05,NORMINV(RAND(),$C$6,$D$6))</f>
        <v/>
      </c>
      <c r="L942" s="70">
        <f>MAX(0.02,NORMINV(RAND(),$C$7,$D$7))</f>
        <v/>
      </c>
      <c r="M942" s="70">
        <f>MIN(0.16,MAX(0.05,NORMINV(RAND(),$C$8,$D$8)))</f>
        <v/>
      </c>
      <c r="N942" s="71">
        <f>MIN(24,MAX(5,NORMINV(RAND(),$C$9,$D$9)))</f>
        <v/>
      </c>
      <c r="O942" s="83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70">
        <f>MAX(-0.05,NORMINV(RAND(),$C$6,$D$6))</f>
        <v/>
      </c>
      <c r="L943" s="70">
        <f>MAX(0.02,NORMINV(RAND(),$C$7,$D$7))</f>
        <v/>
      </c>
      <c r="M943" s="70">
        <f>MIN(0.16,MAX(0.05,NORMINV(RAND(),$C$8,$D$8)))</f>
        <v/>
      </c>
      <c r="N943" s="71">
        <f>MIN(24,MAX(5,NORMINV(RAND(),$C$9,$D$9)))</f>
        <v/>
      </c>
      <c r="O943" s="83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70">
        <f>MAX(-0.05,NORMINV(RAND(),$C$6,$D$6))</f>
        <v/>
      </c>
      <c r="L944" s="70">
        <f>MAX(0.02,NORMINV(RAND(),$C$7,$D$7))</f>
        <v/>
      </c>
      <c r="M944" s="70">
        <f>MIN(0.16,MAX(0.05,NORMINV(RAND(),$C$8,$D$8)))</f>
        <v/>
      </c>
      <c r="N944" s="71">
        <f>MIN(24,MAX(5,NORMINV(RAND(),$C$9,$D$9)))</f>
        <v/>
      </c>
      <c r="O944" s="83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70">
        <f>MAX(-0.05,NORMINV(RAND(),$C$6,$D$6))</f>
        <v/>
      </c>
      <c r="L945" s="70">
        <f>MAX(0.02,NORMINV(RAND(),$C$7,$D$7))</f>
        <v/>
      </c>
      <c r="M945" s="70">
        <f>MIN(0.16,MAX(0.05,NORMINV(RAND(),$C$8,$D$8)))</f>
        <v/>
      </c>
      <c r="N945" s="71">
        <f>MIN(24,MAX(5,NORMINV(RAND(),$C$9,$D$9)))</f>
        <v/>
      </c>
      <c r="O945" s="83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70">
        <f>MAX(-0.05,NORMINV(RAND(),$C$6,$D$6))</f>
        <v/>
      </c>
      <c r="L946" s="70">
        <f>MAX(0.02,NORMINV(RAND(),$C$7,$D$7))</f>
        <v/>
      </c>
      <c r="M946" s="70">
        <f>MIN(0.16,MAX(0.05,NORMINV(RAND(),$C$8,$D$8)))</f>
        <v/>
      </c>
      <c r="N946" s="71">
        <f>MIN(24,MAX(5,NORMINV(RAND(),$C$9,$D$9)))</f>
        <v/>
      </c>
      <c r="O946" s="83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70">
        <f>MAX(-0.05,NORMINV(RAND(),$C$6,$D$6))</f>
        <v/>
      </c>
      <c r="L947" s="70">
        <f>MAX(0.02,NORMINV(RAND(),$C$7,$D$7))</f>
        <v/>
      </c>
      <c r="M947" s="70">
        <f>MIN(0.16,MAX(0.05,NORMINV(RAND(),$C$8,$D$8)))</f>
        <v/>
      </c>
      <c r="N947" s="71">
        <f>MIN(24,MAX(5,NORMINV(RAND(),$C$9,$D$9)))</f>
        <v/>
      </c>
      <c r="O947" s="83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70">
        <f>MAX(-0.05,NORMINV(RAND(),$C$6,$D$6))</f>
        <v/>
      </c>
      <c r="L948" s="70">
        <f>MAX(0.02,NORMINV(RAND(),$C$7,$D$7))</f>
        <v/>
      </c>
      <c r="M948" s="70">
        <f>MIN(0.16,MAX(0.05,NORMINV(RAND(),$C$8,$D$8)))</f>
        <v/>
      </c>
      <c r="N948" s="71">
        <f>MIN(24,MAX(5,NORMINV(RAND(),$C$9,$D$9)))</f>
        <v/>
      </c>
      <c r="O948" s="83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70">
        <f>MAX(-0.05,NORMINV(RAND(),$C$6,$D$6))</f>
        <v/>
      </c>
      <c r="L949" s="70">
        <f>MAX(0.02,NORMINV(RAND(),$C$7,$D$7))</f>
        <v/>
      </c>
      <c r="M949" s="70">
        <f>MIN(0.16,MAX(0.05,NORMINV(RAND(),$C$8,$D$8)))</f>
        <v/>
      </c>
      <c r="N949" s="71">
        <f>MIN(24,MAX(5,NORMINV(RAND(),$C$9,$D$9)))</f>
        <v/>
      </c>
      <c r="O949" s="83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70">
        <f>MAX(-0.05,NORMINV(RAND(),$C$6,$D$6))</f>
        <v/>
      </c>
      <c r="L950" s="70">
        <f>MAX(0.02,NORMINV(RAND(),$C$7,$D$7))</f>
        <v/>
      </c>
      <c r="M950" s="70">
        <f>MIN(0.16,MAX(0.05,NORMINV(RAND(),$C$8,$D$8)))</f>
        <v/>
      </c>
      <c r="N950" s="71">
        <f>MIN(24,MAX(5,NORMINV(RAND(),$C$9,$D$9)))</f>
        <v/>
      </c>
      <c r="O950" s="83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70">
        <f>MAX(-0.05,NORMINV(RAND(),$C$6,$D$6))</f>
        <v/>
      </c>
      <c r="L951" s="70">
        <f>MAX(0.02,NORMINV(RAND(),$C$7,$D$7))</f>
        <v/>
      </c>
      <c r="M951" s="70">
        <f>MIN(0.16,MAX(0.05,NORMINV(RAND(),$C$8,$D$8)))</f>
        <v/>
      </c>
      <c r="N951" s="71">
        <f>MIN(24,MAX(5,NORMINV(RAND(),$C$9,$D$9)))</f>
        <v/>
      </c>
      <c r="O951" s="83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70">
        <f>MAX(-0.05,NORMINV(RAND(),$C$6,$D$6))</f>
        <v/>
      </c>
      <c r="L952" s="70">
        <f>MAX(0.02,NORMINV(RAND(),$C$7,$D$7))</f>
        <v/>
      </c>
      <c r="M952" s="70">
        <f>MIN(0.16,MAX(0.05,NORMINV(RAND(),$C$8,$D$8)))</f>
        <v/>
      </c>
      <c r="N952" s="71">
        <f>MIN(24,MAX(5,NORMINV(RAND(),$C$9,$D$9)))</f>
        <v/>
      </c>
      <c r="O952" s="83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70">
        <f>MAX(-0.05,NORMINV(RAND(),$C$6,$D$6))</f>
        <v/>
      </c>
      <c r="L953" s="70">
        <f>MAX(0.02,NORMINV(RAND(),$C$7,$D$7))</f>
        <v/>
      </c>
      <c r="M953" s="70">
        <f>MIN(0.16,MAX(0.05,NORMINV(RAND(),$C$8,$D$8)))</f>
        <v/>
      </c>
      <c r="N953" s="71">
        <f>MIN(24,MAX(5,NORMINV(RAND(),$C$9,$D$9)))</f>
        <v/>
      </c>
      <c r="O953" s="83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70">
        <f>MAX(-0.05,NORMINV(RAND(),$C$6,$D$6))</f>
        <v/>
      </c>
      <c r="L954" s="70">
        <f>MAX(0.02,NORMINV(RAND(),$C$7,$D$7))</f>
        <v/>
      </c>
      <c r="M954" s="70">
        <f>MIN(0.16,MAX(0.05,NORMINV(RAND(),$C$8,$D$8)))</f>
        <v/>
      </c>
      <c r="N954" s="71">
        <f>MIN(24,MAX(5,NORMINV(RAND(),$C$9,$D$9)))</f>
        <v/>
      </c>
      <c r="O954" s="83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70">
        <f>MAX(-0.05,NORMINV(RAND(),$C$6,$D$6))</f>
        <v/>
      </c>
      <c r="L955" s="70">
        <f>MAX(0.02,NORMINV(RAND(),$C$7,$D$7))</f>
        <v/>
      </c>
      <c r="M955" s="70">
        <f>MIN(0.16,MAX(0.05,NORMINV(RAND(),$C$8,$D$8)))</f>
        <v/>
      </c>
      <c r="N955" s="71">
        <f>MIN(24,MAX(5,NORMINV(RAND(),$C$9,$D$9)))</f>
        <v/>
      </c>
      <c r="O955" s="83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70">
        <f>MAX(-0.05,NORMINV(RAND(),$C$6,$D$6))</f>
        <v/>
      </c>
      <c r="L956" s="70">
        <f>MAX(0.02,NORMINV(RAND(),$C$7,$D$7))</f>
        <v/>
      </c>
      <c r="M956" s="70">
        <f>MIN(0.16,MAX(0.05,NORMINV(RAND(),$C$8,$D$8)))</f>
        <v/>
      </c>
      <c r="N956" s="71">
        <f>MIN(24,MAX(5,NORMINV(RAND(),$C$9,$D$9)))</f>
        <v/>
      </c>
      <c r="O956" s="83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70">
        <f>MAX(-0.05,NORMINV(RAND(),$C$6,$D$6))</f>
        <v/>
      </c>
      <c r="L957" s="70">
        <f>MAX(0.02,NORMINV(RAND(),$C$7,$D$7))</f>
        <v/>
      </c>
      <c r="M957" s="70">
        <f>MIN(0.16,MAX(0.05,NORMINV(RAND(),$C$8,$D$8)))</f>
        <v/>
      </c>
      <c r="N957" s="71">
        <f>MIN(24,MAX(5,NORMINV(RAND(),$C$9,$D$9)))</f>
        <v/>
      </c>
      <c r="O957" s="83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70">
        <f>MAX(-0.05,NORMINV(RAND(),$C$6,$D$6))</f>
        <v/>
      </c>
      <c r="L958" s="70">
        <f>MAX(0.02,NORMINV(RAND(),$C$7,$D$7))</f>
        <v/>
      </c>
      <c r="M958" s="70">
        <f>MIN(0.16,MAX(0.05,NORMINV(RAND(),$C$8,$D$8)))</f>
        <v/>
      </c>
      <c r="N958" s="71">
        <f>MIN(24,MAX(5,NORMINV(RAND(),$C$9,$D$9)))</f>
        <v/>
      </c>
      <c r="O958" s="83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70">
        <f>MAX(-0.05,NORMINV(RAND(),$C$6,$D$6))</f>
        <v/>
      </c>
      <c r="L959" s="70">
        <f>MAX(0.02,NORMINV(RAND(),$C$7,$D$7))</f>
        <v/>
      </c>
      <c r="M959" s="70">
        <f>MIN(0.16,MAX(0.05,NORMINV(RAND(),$C$8,$D$8)))</f>
        <v/>
      </c>
      <c r="N959" s="71">
        <f>MIN(24,MAX(5,NORMINV(RAND(),$C$9,$D$9)))</f>
        <v/>
      </c>
      <c r="O959" s="83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70">
        <f>MAX(-0.05,NORMINV(RAND(),$C$6,$D$6))</f>
        <v/>
      </c>
      <c r="L960" s="70">
        <f>MAX(0.02,NORMINV(RAND(),$C$7,$D$7))</f>
        <v/>
      </c>
      <c r="M960" s="70">
        <f>MIN(0.16,MAX(0.05,NORMINV(RAND(),$C$8,$D$8)))</f>
        <v/>
      </c>
      <c r="N960" s="71">
        <f>MIN(24,MAX(5,NORMINV(RAND(),$C$9,$D$9)))</f>
        <v/>
      </c>
      <c r="O960" s="83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70">
        <f>MAX(-0.05,NORMINV(RAND(),$C$6,$D$6))</f>
        <v/>
      </c>
      <c r="L961" s="70">
        <f>MAX(0.02,NORMINV(RAND(),$C$7,$D$7))</f>
        <v/>
      </c>
      <c r="M961" s="70">
        <f>MIN(0.16,MAX(0.05,NORMINV(RAND(),$C$8,$D$8)))</f>
        <v/>
      </c>
      <c r="N961" s="71">
        <f>MIN(24,MAX(5,NORMINV(RAND(),$C$9,$D$9)))</f>
        <v/>
      </c>
      <c r="O961" s="83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70">
        <f>MAX(-0.05,NORMINV(RAND(),$C$6,$D$6))</f>
        <v/>
      </c>
      <c r="L962" s="70">
        <f>MAX(0.02,NORMINV(RAND(),$C$7,$D$7))</f>
        <v/>
      </c>
      <c r="M962" s="70">
        <f>MIN(0.16,MAX(0.05,NORMINV(RAND(),$C$8,$D$8)))</f>
        <v/>
      </c>
      <c r="N962" s="71">
        <f>MIN(24,MAX(5,NORMINV(RAND(),$C$9,$D$9)))</f>
        <v/>
      </c>
      <c r="O962" s="83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70">
        <f>MAX(-0.05,NORMINV(RAND(),$C$6,$D$6))</f>
        <v/>
      </c>
      <c r="L963" s="70">
        <f>MAX(0.02,NORMINV(RAND(),$C$7,$D$7))</f>
        <v/>
      </c>
      <c r="M963" s="70">
        <f>MIN(0.16,MAX(0.05,NORMINV(RAND(),$C$8,$D$8)))</f>
        <v/>
      </c>
      <c r="N963" s="71">
        <f>MIN(24,MAX(5,NORMINV(RAND(),$C$9,$D$9)))</f>
        <v/>
      </c>
      <c r="O963" s="83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70">
        <f>MAX(-0.05,NORMINV(RAND(),$C$6,$D$6))</f>
        <v/>
      </c>
      <c r="L964" s="70">
        <f>MAX(0.02,NORMINV(RAND(),$C$7,$D$7))</f>
        <v/>
      </c>
      <c r="M964" s="70">
        <f>MIN(0.16,MAX(0.05,NORMINV(RAND(),$C$8,$D$8)))</f>
        <v/>
      </c>
      <c r="N964" s="71">
        <f>MIN(24,MAX(5,NORMINV(RAND(),$C$9,$D$9)))</f>
        <v/>
      </c>
      <c r="O964" s="83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70">
        <f>MAX(-0.05,NORMINV(RAND(),$C$6,$D$6))</f>
        <v/>
      </c>
      <c r="L965" s="70">
        <f>MAX(0.02,NORMINV(RAND(),$C$7,$D$7))</f>
        <v/>
      </c>
      <c r="M965" s="70">
        <f>MIN(0.16,MAX(0.05,NORMINV(RAND(),$C$8,$D$8)))</f>
        <v/>
      </c>
      <c r="N965" s="71">
        <f>MIN(24,MAX(5,NORMINV(RAND(),$C$9,$D$9)))</f>
        <v/>
      </c>
      <c r="O965" s="83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70">
        <f>MAX(-0.05,NORMINV(RAND(),$C$6,$D$6))</f>
        <v/>
      </c>
      <c r="L966" s="70">
        <f>MAX(0.02,NORMINV(RAND(),$C$7,$D$7))</f>
        <v/>
      </c>
      <c r="M966" s="70">
        <f>MIN(0.16,MAX(0.05,NORMINV(RAND(),$C$8,$D$8)))</f>
        <v/>
      </c>
      <c r="N966" s="71">
        <f>MIN(24,MAX(5,NORMINV(RAND(),$C$9,$D$9)))</f>
        <v/>
      </c>
      <c r="O966" s="83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70">
        <f>MAX(-0.05,NORMINV(RAND(),$C$6,$D$6))</f>
        <v/>
      </c>
      <c r="L967" s="70">
        <f>MAX(0.02,NORMINV(RAND(),$C$7,$D$7))</f>
        <v/>
      </c>
      <c r="M967" s="70">
        <f>MIN(0.16,MAX(0.05,NORMINV(RAND(),$C$8,$D$8)))</f>
        <v/>
      </c>
      <c r="N967" s="71">
        <f>MIN(24,MAX(5,NORMINV(RAND(),$C$9,$D$9)))</f>
        <v/>
      </c>
      <c r="O967" s="83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70">
        <f>MAX(-0.05,NORMINV(RAND(),$C$6,$D$6))</f>
        <v/>
      </c>
      <c r="L968" s="70">
        <f>MAX(0.02,NORMINV(RAND(),$C$7,$D$7))</f>
        <v/>
      </c>
      <c r="M968" s="70">
        <f>MIN(0.16,MAX(0.05,NORMINV(RAND(),$C$8,$D$8)))</f>
        <v/>
      </c>
      <c r="N968" s="71">
        <f>MIN(24,MAX(5,NORMINV(RAND(),$C$9,$D$9)))</f>
        <v/>
      </c>
      <c r="O968" s="83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70">
        <f>MAX(-0.05,NORMINV(RAND(),$C$6,$D$6))</f>
        <v/>
      </c>
      <c r="L969" s="70">
        <f>MAX(0.02,NORMINV(RAND(),$C$7,$D$7))</f>
        <v/>
      </c>
      <c r="M969" s="70">
        <f>MIN(0.16,MAX(0.05,NORMINV(RAND(),$C$8,$D$8)))</f>
        <v/>
      </c>
      <c r="N969" s="71">
        <f>MIN(24,MAX(5,NORMINV(RAND(),$C$9,$D$9)))</f>
        <v/>
      </c>
      <c r="O969" s="83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70">
        <f>MAX(-0.05,NORMINV(RAND(),$C$6,$D$6))</f>
        <v/>
      </c>
      <c r="L970" s="70">
        <f>MAX(0.02,NORMINV(RAND(),$C$7,$D$7))</f>
        <v/>
      </c>
      <c r="M970" s="70">
        <f>MIN(0.16,MAX(0.05,NORMINV(RAND(),$C$8,$D$8)))</f>
        <v/>
      </c>
      <c r="N970" s="71">
        <f>MIN(24,MAX(5,NORMINV(RAND(),$C$9,$D$9)))</f>
        <v/>
      </c>
      <c r="O970" s="83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70">
        <f>MAX(-0.05,NORMINV(RAND(),$C$6,$D$6))</f>
        <v/>
      </c>
      <c r="L971" s="70">
        <f>MAX(0.02,NORMINV(RAND(),$C$7,$D$7))</f>
        <v/>
      </c>
      <c r="M971" s="70">
        <f>MIN(0.16,MAX(0.05,NORMINV(RAND(),$C$8,$D$8)))</f>
        <v/>
      </c>
      <c r="N971" s="71">
        <f>MIN(24,MAX(5,NORMINV(RAND(),$C$9,$D$9)))</f>
        <v/>
      </c>
      <c r="O971" s="83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70">
        <f>MAX(-0.05,NORMINV(RAND(),$C$6,$D$6))</f>
        <v/>
      </c>
      <c r="L972" s="70">
        <f>MAX(0.02,NORMINV(RAND(),$C$7,$D$7))</f>
        <v/>
      </c>
      <c r="M972" s="70">
        <f>MIN(0.16,MAX(0.05,NORMINV(RAND(),$C$8,$D$8)))</f>
        <v/>
      </c>
      <c r="N972" s="71">
        <f>MIN(24,MAX(5,NORMINV(RAND(),$C$9,$D$9)))</f>
        <v/>
      </c>
      <c r="O972" s="83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70">
        <f>MAX(-0.05,NORMINV(RAND(),$C$6,$D$6))</f>
        <v/>
      </c>
      <c r="L973" s="70">
        <f>MAX(0.02,NORMINV(RAND(),$C$7,$D$7))</f>
        <v/>
      </c>
      <c r="M973" s="70">
        <f>MIN(0.16,MAX(0.05,NORMINV(RAND(),$C$8,$D$8)))</f>
        <v/>
      </c>
      <c r="N973" s="71">
        <f>MIN(24,MAX(5,NORMINV(RAND(),$C$9,$D$9)))</f>
        <v/>
      </c>
      <c r="O973" s="83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70">
        <f>MAX(-0.05,NORMINV(RAND(),$C$6,$D$6))</f>
        <v/>
      </c>
      <c r="L974" s="70">
        <f>MAX(0.02,NORMINV(RAND(),$C$7,$D$7))</f>
        <v/>
      </c>
      <c r="M974" s="70">
        <f>MIN(0.16,MAX(0.05,NORMINV(RAND(),$C$8,$D$8)))</f>
        <v/>
      </c>
      <c r="N974" s="71">
        <f>MIN(24,MAX(5,NORMINV(RAND(),$C$9,$D$9)))</f>
        <v/>
      </c>
      <c r="O974" s="83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70">
        <f>MAX(-0.05,NORMINV(RAND(),$C$6,$D$6))</f>
        <v/>
      </c>
      <c r="L975" s="70">
        <f>MAX(0.02,NORMINV(RAND(),$C$7,$D$7))</f>
        <v/>
      </c>
      <c r="M975" s="70">
        <f>MIN(0.16,MAX(0.05,NORMINV(RAND(),$C$8,$D$8)))</f>
        <v/>
      </c>
      <c r="N975" s="71">
        <f>MIN(24,MAX(5,NORMINV(RAND(),$C$9,$D$9)))</f>
        <v/>
      </c>
      <c r="O975" s="83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70">
        <f>MAX(-0.05,NORMINV(RAND(),$C$6,$D$6))</f>
        <v/>
      </c>
      <c r="L976" s="70">
        <f>MAX(0.02,NORMINV(RAND(),$C$7,$D$7))</f>
        <v/>
      </c>
      <c r="M976" s="70">
        <f>MIN(0.16,MAX(0.05,NORMINV(RAND(),$C$8,$D$8)))</f>
        <v/>
      </c>
      <c r="N976" s="71">
        <f>MIN(24,MAX(5,NORMINV(RAND(),$C$9,$D$9)))</f>
        <v/>
      </c>
      <c r="O976" s="83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70">
        <f>MAX(-0.05,NORMINV(RAND(),$C$6,$D$6))</f>
        <v/>
      </c>
      <c r="L977" s="70">
        <f>MAX(0.02,NORMINV(RAND(),$C$7,$D$7))</f>
        <v/>
      </c>
      <c r="M977" s="70">
        <f>MIN(0.16,MAX(0.05,NORMINV(RAND(),$C$8,$D$8)))</f>
        <v/>
      </c>
      <c r="N977" s="71">
        <f>MIN(24,MAX(5,NORMINV(RAND(),$C$9,$D$9)))</f>
        <v/>
      </c>
      <c r="O977" s="83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70">
        <f>MAX(-0.05,NORMINV(RAND(),$C$6,$D$6))</f>
        <v/>
      </c>
      <c r="L978" s="70">
        <f>MAX(0.02,NORMINV(RAND(),$C$7,$D$7))</f>
        <v/>
      </c>
      <c r="M978" s="70">
        <f>MIN(0.16,MAX(0.05,NORMINV(RAND(),$C$8,$D$8)))</f>
        <v/>
      </c>
      <c r="N978" s="71">
        <f>MIN(24,MAX(5,NORMINV(RAND(),$C$9,$D$9)))</f>
        <v/>
      </c>
      <c r="O978" s="83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70">
        <f>MAX(-0.05,NORMINV(RAND(),$C$6,$D$6))</f>
        <v/>
      </c>
      <c r="L979" s="70">
        <f>MAX(0.02,NORMINV(RAND(),$C$7,$D$7))</f>
        <v/>
      </c>
      <c r="M979" s="70">
        <f>MIN(0.16,MAX(0.05,NORMINV(RAND(),$C$8,$D$8)))</f>
        <v/>
      </c>
      <c r="N979" s="71">
        <f>MIN(24,MAX(5,NORMINV(RAND(),$C$9,$D$9)))</f>
        <v/>
      </c>
      <c r="O979" s="83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70">
        <f>MAX(-0.05,NORMINV(RAND(),$C$6,$D$6))</f>
        <v/>
      </c>
      <c r="L980" s="70">
        <f>MAX(0.02,NORMINV(RAND(),$C$7,$D$7))</f>
        <v/>
      </c>
      <c r="M980" s="70">
        <f>MIN(0.16,MAX(0.05,NORMINV(RAND(),$C$8,$D$8)))</f>
        <v/>
      </c>
      <c r="N980" s="71">
        <f>MIN(24,MAX(5,NORMINV(RAND(),$C$9,$D$9)))</f>
        <v/>
      </c>
      <c r="O980" s="83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70">
        <f>MAX(-0.05,NORMINV(RAND(),$C$6,$D$6))</f>
        <v/>
      </c>
      <c r="L981" s="70">
        <f>MAX(0.02,NORMINV(RAND(),$C$7,$D$7))</f>
        <v/>
      </c>
      <c r="M981" s="70">
        <f>MIN(0.16,MAX(0.05,NORMINV(RAND(),$C$8,$D$8)))</f>
        <v/>
      </c>
      <c r="N981" s="71">
        <f>MIN(24,MAX(5,NORMINV(RAND(),$C$9,$D$9)))</f>
        <v/>
      </c>
      <c r="O981" s="83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70">
        <f>MAX(-0.05,NORMINV(RAND(),$C$6,$D$6))</f>
        <v/>
      </c>
      <c r="L982" s="70">
        <f>MAX(0.02,NORMINV(RAND(),$C$7,$D$7))</f>
        <v/>
      </c>
      <c r="M982" s="70">
        <f>MIN(0.16,MAX(0.05,NORMINV(RAND(),$C$8,$D$8)))</f>
        <v/>
      </c>
      <c r="N982" s="71">
        <f>MIN(24,MAX(5,NORMINV(RAND(),$C$9,$D$9)))</f>
        <v/>
      </c>
      <c r="O982" s="83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70">
        <f>MAX(-0.05,NORMINV(RAND(),$C$6,$D$6))</f>
        <v/>
      </c>
      <c r="L983" s="70">
        <f>MAX(0.02,NORMINV(RAND(),$C$7,$D$7))</f>
        <v/>
      </c>
      <c r="M983" s="70">
        <f>MIN(0.16,MAX(0.05,NORMINV(RAND(),$C$8,$D$8)))</f>
        <v/>
      </c>
      <c r="N983" s="71">
        <f>MIN(24,MAX(5,NORMINV(RAND(),$C$9,$D$9)))</f>
        <v/>
      </c>
      <c r="O983" s="83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70">
        <f>MAX(-0.05,NORMINV(RAND(),$C$6,$D$6))</f>
        <v/>
      </c>
      <c r="L984" s="70">
        <f>MAX(0.02,NORMINV(RAND(),$C$7,$D$7))</f>
        <v/>
      </c>
      <c r="M984" s="70">
        <f>MIN(0.16,MAX(0.05,NORMINV(RAND(),$C$8,$D$8)))</f>
        <v/>
      </c>
      <c r="N984" s="71">
        <f>MIN(24,MAX(5,NORMINV(RAND(),$C$9,$D$9)))</f>
        <v/>
      </c>
      <c r="O984" s="83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70">
        <f>MAX(-0.05,NORMINV(RAND(),$C$6,$D$6))</f>
        <v/>
      </c>
      <c r="L985" s="70">
        <f>MAX(0.02,NORMINV(RAND(),$C$7,$D$7))</f>
        <v/>
      </c>
      <c r="M985" s="70">
        <f>MIN(0.16,MAX(0.05,NORMINV(RAND(),$C$8,$D$8)))</f>
        <v/>
      </c>
      <c r="N985" s="71">
        <f>MIN(24,MAX(5,NORMINV(RAND(),$C$9,$D$9)))</f>
        <v/>
      </c>
      <c r="O985" s="83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70">
        <f>MAX(-0.05,NORMINV(RAND(),$C$6,$D$6))</f>
        <v/>
      </c>
      <c r="L986" s="70">
        <f>MAX(0.02,NORMINV(RAND(),$C$7,$D$7))</f>
        <v/>
      </c>
      <c r="M986" s="70">
        <f>MIN(0.16,MAX(0.05,NORMINV(RAND(),$C$8,$D$8)))</f>
        <v/>
      </c>
      <c r="N986" s="71">
        <f>MIN(24,MAX(5,NORMINV(RAND(),$C$9,$D$9)))</f>
        <v/>
      </c>
      <c r="O986" s="83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70">
        <f>MAX(-0.05,NORMINV(RAND(),$C$6,$D$6))</f>
        <v/>
      </c>
      <c r="L987" s="70">
        <f>MAX(0.02,NORMINV(RAND(),$C$7,$D$7))</f>
        <v/>
      </c>
      <c r="M987" s="70">
        <f>MIN(0.16,MAX(0.05,NORMINV(RAND(),$C$8,$D$8)))</f>
        <v/>
      </c>
      <c r="N987" s="71">
        <f>MIN(24,MAX(5,NORMINV(RAND(),$C$9,$D$9)))</f>
        <v/>
      </c>
      <c r="O987" s="83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70">
        <f>MAX(-0.05,NORMINV(RAND(),$C$6,$D$6))</f>
        <v/>
      </c>
      <c r="L988" s="70">
        <f>MAX(0.02,NORMINV(RAND(),$C$7,$D$7))</f>
        <v/>
      </c>
      <c r="M988" s="70">
        <f>MIN(0.16,MAX(0.05,NORMINV(RAND(),$C$8,$D$8)))</f>
        <v/>
      </c>
      <c r="N988" s="71">
        <f>MIN(24,MAX(5,NORMINV(RAND(),$C$9,$D$9)))</f>
        <v/>
      </c>
      <c r="O988" s="83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70">
        <f>MAX(-0.05,NORMINV(RAND(),$C$6,$D$6))</f>
        <v/>
      </c>
      <c r="L989" s="70">
        <f>MAX(0.02,NORMINV(RAND(),$C$7,$D$7))</f>
        <v/>
      </c>
      <c r="M989" s="70">
        <f>MIN(0.16,MAX(0.05,NORMINV(RAND(),$C$8,$D$8)))</f>
        <v/>
      </c>
      <c r="N989" s="71">
        <f>MIN(24,MAX(5,NORMINV(RAND(),$C$9,$D$9)))</f>
        <v/>
      </c>
      <c r="O989" s="83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70">
        <f>MAX(-0.05,NORMINV(RAND(),$C$6,$D$6))</f>
        <v/>
      </c>
      <c r="L990" s="70">
        <f>MAX(0.02,NORMINV(RAND(),$C$7,$D$7))</f>
        <v/>
      </c>
      <c r="M990" s="70">
        <f>MIN(0.16,MAX(0.05,NORMINV(RAND(),$C$8,$D$8)))</f>
        <v/>
      </c>
      <c r="N990" s="71">
        <f>MIN(24,MAX(5,NORMINV(RAND(),$C$9,$D$9)))</f>
        <v/>
      </c>
      <c r="O990" s="83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70">
        <f>MAX(-0.05,NORMINV(RAND(),$C$6,$D$6))</f>
        <v/>
      </c>
      <c r="L991" s="70">
        <f>MAX(0.02,NORMINV(RAND(),$C$7,$D$7))</f>
        <v/>
      </c>
      <c r="M991" s="70">
        <f>MIN(0.16,MAX(0.05,NORMINV(RAND(),$C$8,$D$8)))</f>
        <v/>
      </c>
      <c r="N991" s="71">
        <f>MIN(24,MAX(5,NORMINV(RAND(),$C$9,$D$9)))</f>
        <v/>
      </c>
      <c r="O991" s="83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70">
        <f>MAX(-0.05,NORMINV(RAND(),$C$6,$D$6))</f>
        <v/>
      </c>
      <c r="L992" s="70">
        <f>MAX(0.02,NORMINV(RAND(),$C$7,$D$7))</f>
        <v/>
      </c>
      <c r="M992" s="70">
        <f>MIN(0.16,MAX(0.05,NORMINV(RAND(),$C$8,$D$8)))</f>
        <v/>
      </c>
      <c r="N992" s="71">
        <f>MIN(24,MAX(5,NORMINV(RAND(),$C$9,$D$9)))</f>
        <v/>
      </c>
      <c r="O992" s="83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70">
        <f>MAX(-0.05,NORMINV(RAND(),$C$6,$D$6))</f>
        <v/>
      </c>
      <c r="L993" s="70">
        <f>MAX(0.02,NORMINV(RAND(),$C$7,$D$7))</f>
        <v/>
      </c>
      <c r="M993" s="70">
        <f>MIN(0.16,MAX(0.05,NORMINV(RAND(),$C$8,$D$8)))</f>
        <v/>
      </c>
      <c r="N993" s="71">
        <f>MIN(24,MAX(5,NORMINV(RAND(),$C$9,$D$9)))</f>
        <v/>
      </c>
      <c r="O993" s="83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70">
        <f>MAX(-0.05,NORMINV(RAND(),$C$6,$D$6))</f>
        <v/>
      </c>
      <c r="L994" s="70">
        <f>MAX(0.02,NORMINV(RAND(),$C$7,$D$7))</f>
        <v/>
      </c>
      <c r="M994" s="70">
        <f>MIN(0.16,MAX(0.05,NORMINV(RAND(),$C$8,$D$8)))</f>
        <v/>
      </c>
      <c r="N994" s="71">
        <f>MIN(24,MAX(5,NORMINV(RAND(),$C$9,$D$9)))</f>
        <v/>
      </c>
      <c r="O994" s="83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70">
        <f>MAX(-0.05,NORMINV(RAND(),$C$6,$D$6))</f>
        <v/>
      </c>
      <c r="L995" s="70">
        <f>MAX(0.02,NORMINV(RAND(),$C$7,$D$7))</f>
        <v/>
      </c>
      <c r="M995" s="70">
        <f>MIN(0.16,MAX(0.05,NORMINV(RAND(),$C$8,$D$8)))</f>
        <v/>
      </c>
      <c r="N995" s="71">
        <f>MIN(24,MAX(5,NORMINV(RAND(),$C$9,$D$9)))</f>
        <v/>
      </c>
      <c r="O995" s="83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70">
        <f>MAX(-0.05,NORMINV(RAND(),$C$6,$D$6))</f>
        <v/>
      </c>
      <c r="L996" s="70">
        <f>MAX(0.02,NORMINV(RAND(),$C$7,$D$7))</f>
        <v/>
      </c>
      <c r="M996" s="70">
        <f>MIN(0.16,MAX(0.05,NORMINV(RAND(),$C$8,$D$8)))</f>
        <v/>
      </c>
      <c r="N996" s="71">
        <f>MIN(24,MAX(5,NORMINV(RAND(),$C$9,$D$9)))</f>
        <v/>
      </c>
      <c r="O996" s="83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70">
        <f>MAX(-0.05,NORMINV(RAND(),$C$6,$D$6))</f>
        <v/>
      </c>
      <c r="L997" s="70">
        <f>MAX(0.02,NORMINV(RAND(),$C$7,$D$7))</f>
        <v/>
      </c>
      <c r="M997" s="70">
        <f>MIN(0.16,MAX(0.05,NORMINV(RAND(),$C$8,$D$8)))</f>
        <v/>
      </c>
      <c r="N997" s="71">
        <f>MIN(24,MAX(5,NORMINV(RAND(),$C$9,$D$9)))</f>
        <v/>
      </c>
      <c r="O997" s="83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70">
        <f>MAX(-0.05,NORMINV(RAND(),$C$6,$D$6))</f>
        <v/>
      </c>
      <c r="L998" s="70">
        <f>MAX(0.02,NORMINV(RAND(),$C$7,$D$7))</f>
        <v/>
      </c>
      <c r="M998" s="70">
        <f>MIN(0.16,MAX(0.05,NORMINV(RAND(),$C$8,$D$8)))</f>
        <v/>
      </c>
      <c r="N998" s="71">
        <f>MIN(24,MAX(5,NORMINV(RAND(),$C$9,$D$9)))</f>
        <v/>
      </c>
      <c r="O998" s="83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70">
        <f>MAX(-0.05,NORMINV(RAND(),$C$6,$D$6))</f>
        <v/>
      </c>
      <c r="L999" s="70">
        <f>MAX(0.02,NORMINV(RAND(),$C$7,$D$7))</f>
        <v/>
      </c>
      <c r="M999" s="70">
        <f>MIN(0.16,MAX(0.05,NORMINV(RAND(),$C$8,$D$8)))</f>
        <v/>
      </c>
      <c r="N999" s="71">
        <f>MIN(24,MAX(5,NORMINV(RAND(),$C$9,$D$9)))</f>
        <v/>
      </c>
      <c r="O999" s="83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70">
        <f>MAX(-0.05,NORMINV(RAND(),$C$6,$D$6))</f>
        <v/>
      </c>
      <c r="L1000" s="70">
        <f>MAX(0.02,NORMINV(RAND(),$C$7,$D$7))</f>
        <v/>
      </c>
      <c r="M1000" s="70">
        <f>MIN(0.16,MAX(0.05,NORMINV(RAND(),$C$8,$D$8)))</f>
        <v/>
      </c>
      <c r="N1000" s="71">
        <f>MIN(24,MAX(5,NORMINV(RAND(),$C$9,$D$9)))</f>
        <v/>
      </c>
      <c r="O1000" s="83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70">
        <f>MAX(-0.05,NORMINV(RAND(),$C$6,$D$6))</f>
        <v/>
      </c>
      <c r="L1001" s="70">
        <f>MAX(0.02,NORMINV(RAND(),$C$7,$D$7))</f>
        <v/>
      </c>
      <c r="M1001" s="70">
        <f>MIN(0.16,MAX(0.05,NORMINV(RAND(),$C$8,$D$8)))</f>
        <v/>
      </c>
      <c r="N1001" s="71">
        <f>MIN(24,MAX(5,NORMINV(RAND(),$C$9,$D$9)))</f>
        <v/>
      </c>
      <c r="O1001" s="83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2026-08-06T19:28:30Z</dcterms:created>
  <dcterms:modified xmlns:dcterms="http://purl.org/dc/terms/" xmlns:xsi="http://www.w3.org/2001/XMLSchema-instance" xsi:type="dcterms:W3CDTF">2026-08-06T19:28:31Z</dcterms:modified>
</cp:coreProperties>
</file>