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0" fillId="0" borderId="0" pivotButton="0" quotePrefix="0" xfId="0"/>
    <xf numFmtId="169" fontId="0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Opus: 8.3%</t>
      </text>
    </comment>
    <comment ref="C20" authorId="0" shapeId="0">
      <text>
        <t>Opus: 5.0%</t>
      </text>
    </comment>
    <comment ref="B29" authorId="0" shapeId="0">
      <text>
        <t>Opus: 31.3%</t>
      </text>
    </comment>
    <comment ref="B30" authorId="0" shapeId="0">
      <text>
        <t>Opus: 42.0%</t>
      </text>
    </comment>
    <comment ref="B31" authorId="0" shapeId="0">
      <text>
        <t>Opus: 24.0%</t>
      </text>
    </comment>
    <comment ref="B34" authorId="0" shapeId="0">
      <text>
        <t>workbook (synced) — last-year capex +10% unless set to guidance; edits not tracked</t>
      </text>
    </comment>
    <comment ref="B35" authorId="0" shapeId="0">
      <text>
        <t>Opus: 1.1x</t>
      </text>
    </comment>
    <comment ref="B38" authorId="0" shapeId="0">
      <text>
        <t>workbook (synced) — no Opus pass — value synced from this workbook</t>
      </text>
    </comment>
    <comment ref="B39" authorId="0" shapeId="0">
      <text>
        <t>workbook (synced) — no Opus pass — value synced from this workbook</t>
      </text>
    </comment>
    <comment ref="B40" authorId="0" shapeId="0">
      <text>
        <t>Opus: 0.633</t>
      </text>
    </comment>
    <comment ref="B41" authorId="0" shapeId="0">
      <text>
        <t>Opus: 4.5%</t>
      </text>
    </comment>
    <comment ref="B43" authorId="0" shapeId="0">
      <text>
        <t>Opus: Exit multiple</t>
      </text>
    </comment>
    <comment ref="B44" authorId="0" shapeId="0">
      <text>
        <t>Opus: EV/EBITDA</t>
      </text>
    </comment>
    <comment ref="B45" authorId="0" shapeId="0">
      <text>
        <t>Opus: 12.0x</t>
      </text>
    </comment>
    <comment ref="B46" authorId="0" shapeId="0">
      <text>
        <t>Opus: 4.5%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The Williams Companies, Inc. (WMB)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2026-07-08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Opus 4.8 — values as of 2026-07-06 (provenance seeded)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(Opus narrative)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The Williams Companies, Inc. (WMB)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IF(Model!F34&lt;=0,"n/a (neg. capital)",Model!G36-WACC!B15)</f>
        <v/>
      </c>
      <c r="C15" s="10">
        <f>IF(Model!F34&lt;=0,"n/a",IF(Model!G36-WACC!B15&lt;0,"!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Total company</t>
        </is>
      </c>
      <c r="B20" s="15" t="n">
        <v>0.08263954491463181</v>
      </c>
      <c r="C20" s="15" t="n">
        <v>0.05</v>
      </c>
      <c r="D20" s="16" t="n">
        <v>0.08263954491463181</v>
      </c>
      <c r="E20" s="2" t="inlineStr"/>
    </row>
    <row r="21"/>
    <row r="22"/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0.3131057361149742</v>
      </c>
      <c r="D29" s="16" t="n">
        <v>0.3131057361149742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0.419955428741225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5498.900000000001</v>
      </c>
      <c r="D34" s="18" t="n">
        <v>5498.900000000001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0.633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12</v>
      </c>
    </row>
    <row r="46">
      <c r="A46" s="4" t="inlineStr">
        <is>
          <t>Terminal growth (g)</t>
        </is>
      </c>
      <c r="B46" s="15" t="n">
        <v>0.045</v>
      </c>
    </row>
    <row r="47">
      <c r="A47" s="4" t="inlineStr">
        <is>
          <t>Country risk premium</t>
        </is>
      </c>
      <c r="B47" s="15" t="n">
        <v>0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74.03500366210938</v>
      </c>
    </row>
    <row r="49">
      <c r="A49" s="4" t="inlineStr">
        <is>
          <t>Growth fade curvature</t>
        </is>
      </c>
      <c r="B49" s="20" t="n">
        <v>1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68.68910544175179</v>
      </c>
      <c r="C58" s="28" t="n">
        <v>107.1843653435302</v>
      </c>
      <c r="D58" s="28" t="n">
        <v>39.68735000596287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0.5</v>
      </c>
      <c r="C62" s="30" t="n">
        <v>0.25</v>
      </c>
      <c r="D62" s="30" t="n">
        <v>0.25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</v>
      </c>
      <c r="E66" s="2" t="inlineStr">
        <is>
          <t>fades near-&gt;terminal; also burdens the exit-multiple EBITDA</t>
        </is>
      </c>
    </row>
  </sheetData>
  <conditionalFormatting sqref="B20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WMB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seeded 2026-07-06 from the synced assumptions block (pass predates provenance tracking — may already include your edits)</t>
        </is>
      </c>
    </row>
    <row r="6">
      <c r="A6" s="5" t="inlineStr">
        <is>
          <t xml:space="preserve">  DASHBOARD INPUTS — value · source · reasoning</t>
        </is>
      </c>
      <c r="B6" s="6" t="n"/>
      <c r="C6" s="6" t="n"/>
      <c r="D6" s="6" t="n"/>
      <c r="E6" s="6" t="n"/>
      <c r="F6" s="6" t="n"/>
    </row>
    <row r="7">
      <c r="A7" s="3" t="inlineStr">
        <is>
          <t>Input</t>
        </is>
      </c>
      <c r="B7" s="3" t="inlineStr">
        <is>
          <t>Cell</t>
        </is>
      </c>
      <c r="C7" s="3" t="inlineStr">
        <is>
          <t>Current</t>
        </is>
      </c>
      <c r="D7" s="3" t="inlineStr">
        <is>
          <t>Source</t>
        </is>
      </c>
      <c r="E7" s="3" t="inlineStr">
        <is>
          <t>Opus value</t>
        </is>
      </c>
      <c r="F7" s="3" t="inlineStr">
        <is>
          <t>Note</t>
        </is>
      </c>
    </row>
    <row r="8">
      <c r="A8" t="inlineStr">
        <is>
          <t>Total company — near-term growth</t>
        </is>
      </c>
      <c r="B8" t="inlineStr">
        <is>
          <t>B20</t>
        </is>
      </c>
      <c r="C8" s="11">
        <f>Dashboard!B20</f>
        <v/>
      </c>
      <c r="D8" t="inlineStr">
        <is>
          <t>Opus</t>
        </is>
      </c>
      <c r="E8" t="inlineStr">
        <is>
          <t>8.3%</t>
        </is>
      </c>
      <c r="F8" s="31" t="inlineStr"/>
    </row>
    <row r="9">
      <c r="A9" t="inlineStr">
        <is>
          <t>Total company — terminal growth</t>
        </is>
      </c>
      <c r="B9" t="inlineStr">
        <is>
          <t>C20</t>
        </is>
      </c>
      <c r="C9" s="11">
        <f>Dashboard!C20</f>
        <v/>
      </c>
      <c r="D9" t="inlineStr">
        <is>
          <t>Opus</t>
        </is>
      </c>
      <c r="E9" t="inlineStr">
        <is>
          <t>5.0%</t>
        </is>
      </c>
      <c r="F9" s="31" t="inlineStr"/>
    </row>
    <row r="10">
      <c r="A10" t="inlineStr">
        <is>
          <t>Near-term operating margin</t>
        </is>
      </c>
      <c r="B10" t="inlineStr">
        <is>
          <t>B29</t>
        </is>
      </c>
      <c r="C10" s="11">
        <f>Dashboard!B29</f>
        <v/>
      </c>
      <c r="D10" t="inlineStr">
        <is>
          <t>Opus</t>
        </is>
      </c>
      <c r="E10" t="inlineStr">
        <is>
          <t>31.3%</t>
        </is>
      </c>
      <c r="F10" s="31" t="inlineStr"/>
    </row>
    <row r="11">
      <c r="A11" t="inlineStr">
        <is>
          <t>Terminal operating margin</t>
        </is>
      </c>
      <c r="B11" t="inlineStr">
        <is>
          <t>B30</t>
        </is>
      </c>
      <c r="C11" s="11">
        <f>Dashboard!B30</f>
        <v/>
      </c>
      <c r="D11" t="inlineStr">
        <is>
          <t>Opus</t>
        </is>
      </c>
      <c r="E11" t="inlineStr">
        <is>
          <t>42.0%</t>
        </is>
      </c>
      <c r="F11" s="31" t="inlineStr"/>
    </row>
    <row r="12">
      <c r="A12" t="inlineStr">
        <is>
          <t>Tax rate</t>
        </is>
      </c>
      <c r="B12" t="inlineStr">
        <is>
          <t>B31</t>
        </is>
      </c>
      <c r="C12" s="11">
        <f>Dashboard!B31</f>
        <v/>
      </c>
      <c r="D12" t="inlineStr">
        <is>
          <t>Opus</t>
        </is>
      </c>
      <c r="E12" t="inlineStr">
        <is>
          <t>24.0%</t>
        </is>
      </c>
      <c r="F12" s="31" t="inlineStr"/>
    </row>
    <row r="13">
      <c r="A13" t="inlineStr">
        <is>
          <t>Terminal capex / D&amp;A</t>
        </is>
      </c>
      <c r="B13" t="inlineStr">
        <is>
          <t>B35</t>
        </is>
      </c>
      <c r="C13" s="13">
        <f>Dashboard!B35</f>
        <v/>
      </c>
      <c r="D13" t="inlineStr">
        <is>
          <t>Opus</t>
        </is>
      </c>
      <c r="E13" t="inlineStr">
        <is>
          <t>1.1x</t>
        </is>
      </c>
      <c r="F13" s="31" t="inlineStr"/>
    </row>
    <row r="14">
      <c r="A14" t="inlineStr">
        <is>
          <t>Risk-free rate (10Y)</t>
        </is>
      </c>
      <c r="B14" t="inlineStr">
        <is>
          <t>B38</t>
        </is>
      </c>
      <c r="C14" s="11">
        <f>Dashboard!B38</f>
        <v/>
      </c>
      <c r="D14" t="inlineStr">
        <is>
          <t>workbook (synced)</t>
        </is>
      </c>
      <c r="E14" t="inlineStr">
        <is>
          <t>—</t>
        </is>
      </c>
      <c r="F14" s="31" t="inlineStr">
        <is>
          <t>no Opus pass — value synced from this workbook</t>
        </is>
      </c>
    </row>
    <row r="15">
      <c r="A15" t="inlineStr">
        <is>
          <t>Equity risk premium</t>
        </is>
      </c>
      <c r="B15" t="inlineStr">
        <is>
          <t>B39</t>
        </is>
      </c>
      <c r="C15" s="11">
        <f>Dashboard!B39</f>
        <v/>
      </c>
      <c r="D15" t="inlineStr">
        <is>
          <t>workbook (synced)</t>
        </is>
      </c>
      <c r="E15" t="inlineStr">
        <is>
          <t>—</t>
        </is>
      </c>
      <c r="F15" s="31" t="inlineStr">
        <is>
          <t>no Opus pass — value synced from this workbook</t>
        </is>
      </c>
    </row>
    <row r="16">
      <c r="A16" t="inlineStr">
        <is>
          <t>Beta (levered)</t>
        </is>
      </c>
      <c r="B16" t="inlineStr">
        <is>
          <t>B40</t>
        </is>
      </c>
      <c r="C16" s="32">
        <f>Dashboard!B40</f>
        <v/>
      </c>
      <c r="D16" t="inlineStr">
        <is>
          <t>Opus</t>
        </is>
      </c>
      <c r="E16" t="inlineStr">
        <is>
          <t>0.633</t>
        </is>
      </c>
      <c r="F16" s="31" t="inlineStr"/>
    </row>
    <row r="17">
      <c r="A17" t="inlineStr">
        <is>
          <t>Pre-tax cost of debt</t>
        </is>
      </c>
      <c r="B17" t="inlineStr">
        <is>
          <t>B41</t>
        </is>
      </c>
      <c r="C17" s="11">
        <f>Dashboard!B41</f>
        <v/>
      </c>
      <c r="D17" t="inlineStr">
        <is>
          <t>Opus</t>
        </is>
      </c>
      <c r="E17" t="inlineStr">
        <is>
          <t>4.5%</t>
        </is>
      </c>
      <c r="F17" s="31" t="inlineStr"/>
    </row>
    <row r="18">
      <c r="A18" t="inlineStr">
        <is>
          <t>Terminal method</t>
        </is>
      </c>
      <c r="B18" t="inlineStr">
        <is>
          <t>B43</t>
        </is>
      </c>
      <c r="C18" s="12">
        <f>Dashboard!B43</f>
        <v/>
      </c>
      <c r="D18" t="inlineStr">
        <is>
          <t>Opus</t>
        </is>
      </c>
      <c r="E18" t="inlineStr">
        <is>
          <t>Exit multiple</t>
        </is>
      </c>
      <c r="F18" s="31" t="inlineStr"/>
    </row>
    <row r="19">
      <c r="A19" t="inlineStr">
        <is>
          <t>Exit basis</t>
        </is>
      </c>
      <c r="B19" t="inlineStr">
        <is>
          <t>B44</t>
        </is>
      </c>
      <c r="C19" s="12">
        <f>Dashboard!B44</f>
        <v/>
      </c>
      <c r="D19" t="inlineStr">
        <is>
          <t>Opus</t>
        </is>
      </c>
      <c r="E19" t="inlineStr">
        <is>
          <t>EV/EBITDA</t>
        </is>
      </c>
      <c r="F19" s="31" t="inlineStr"/>
    </row>
    <row r="20">
      <c r="A20" t="inlineStr">
        <is>
          <t>Exit multiple</t>
        </is>
      </c>
      <c r="B20" t="inlineStr">
        <is>
          <t>B45</t>
        </is>
      </c>
      <c r="C20" s="13">
        <f>Dashboard!B45</f>
        <v/>
      </c>
      <c r="D20" t="inlineStr">
        <is>
          <t>Opus</t>
        </is>
      </c>
      <c r="E20" t="inlineStr">
        <is>
          <t>12.0x</t>
        </is>
      </c>
      <c r="F20" s="31" t="inlineStr"/>
    </row>
    <row r="21">
      <c r="A21" t="inlineStr">
        <is>
          <t>Terminal growth (g)</t>
        </is>
      </c>
      <c r="B21" t="inlineStr">
        <is>
          <t>B46</t>
        </is>
      </c>
      <c r="C21" s="11">
        <f>Dashboard!B46</f>
        <v/>
      </c>
      <c r="D21" t="inlineStr">
        <is>
          <t>Opus</t>
        </is>
      </c>
      <c r="E21" t="inlineStr">
        <is>
          <t>4.5%</t>
        </is>
      </c>
      <c r="F21" s="31" t="inlineStr"/>
    </row>
    <row r="22">
      <c r="A22" t="inlineStr">
        <is>
          <t>2026 capex ($M)</t>
        </is>
      </c>
      <c r="B22" t="inlineStr">
        <is>
          <t>B34</t>
        </is>
      </c>
      <c r="C22" s="33">
        <f>Dashboard!B34</f>
        <v/>
      </c>
      <c r="D22" t="inlineStr">
        <is>
          <t>workbook (synced)</t>
        </is>
      </c>
      <c r="E22" t="inlineStr">
        <is>
          <t>—</t>
        </is>
      </c>
      <c r="F22" s="31" t="inlineStr">
        <is>
          <t>last-year capex +10% unless set to guidance; edits not tracked</t>
        </is>
      </c>
    </row>
    <row r="23">
      <c r="A23" t="inlineStr">
        <is>
          <t>Bull Δ — segment growth, near-term</t>
        </is>
      </c>
      <c r="B23" t="inlineStr">
        <is>
          <t>C52</t>
        </is>
      </c>
      <c r="C23" s="34">
        <f>Dashboard!C52</f>
        <v/>
      </c>
      <c r="D23" t="inlineStr">
        <is>
          <t>seed default</t>
        </is>
      </c>
      <c r="E23" t="inlineStr">
        <is>
          <t>3.0%</t>
        </is>
      </c>
      <c r="F23" s="31" t="inlineStr"/>
    </row>
    <row r="24">
      <c r="A24" t="inlineStr">
        <is>
          <t>Bear Δ — segment growth, near-term</t>
        </is>
      </c>
      <c r="B24" t="inlineStr">
        <is>
          <t>D52</t>
        </is>
      </c>
      <c r="C24" s="34">
        <f>Dashboard!D52</f>
        <v/>
      </c>
      <c r="D24" t="inlineStr">
        <is>
          <t>seed default</t>
        </is>
      </c>
      <c r="E24" t="inlineStr">
        <is>
          <t>-3.0%</t>
        </is>
      </c>
      <c r="F24" s="31" t="inlineStr"/>
    </row>
    <row r="25">
      <c r="A25" t="inlineStr">
        <is>
          <t>Bull Δ — segment growth, terminal</t>
        </is>
      </c>
      <c r="B25" t="inlineStr">
        <is>
          <t>C53</t>
        </is>
      </c>
      <c r="C25" s="34">
        <f>Dashboard!C53</f>
        <v/>
      </c>
      <c r="D25" t="inlineStr">
        <is>
          <t>seed default</t>
        </is>
      </c>
      <c r="E25" t="inlineStr">
        <is>
          <t>1.0%</t>
        </is>
      </c>
      <c r="F25" s="31" t="inlineStr"/>
    </row>
    <row r="26">
      <c r="A26" t="inlineStr">
        <is>
          <t>Bear Δ — segment growth, terminal</t>
        </is>
      </c>
      <c r="B26" t="inlineStr">
        <is>
          <t>D53</t>
        </is>
      </c>
      <c r="C26" s="34">
        <f>Dashboard!D53</f>
        <v/>
      </c>
      <c r="D26" t="inlineStr">
        <is>
          <t>seed default</t>
        </is>
      </c>
      <c r="E26" t="inlineStr">
        <is>
          <t>-1.0%</t>
        </is>
      </c>
      <c r="F26" s="31" t="inlineStr"/>
    </row>
    <row r="27">
      <c r="A27" t="inlineStr">
        <is>
          <t>Bull Δ — operating margin, near-term</t>
        </is>
      </c>
      <c r="B27" t="inlineStr">
        <is>
          <t>C54</t>
        </is>
      </c>
      <c r="C27" s="34">
        <f>Dashboard!C54</f>
        <v/>
      </c>
      <c r="D27" t="inlineStr">
        <is>
          <t>seed default</t>
        </is>
      </c>
      <c r="E27" t="inlineStr">
        <is>
          <t>1.0%</t>
        </is>
      </c>
      <c r="F27" s="31" t="inlineStr"/>
    </row>
    <row r="28">
      <c r="A28" t="inlineStr">
        <is>
          <t>Bear Δ — operating margin, near-term</t>
        </is>
      </c>
      <c r="B28" t="inlineStr">
        <is>
          <t>D54</t>
        </is>
      </c>
      <c r="C28" s="34">
        <f>Dashboard!D54</f>
        <v/>
      </c>
      <c r="D28" t="inlineStr">
        <is>
          <t>seed default</t>
        </is>
      </c>
      <c r="E28" t="inlineStr">
        <is>
          <t>-1.0%</t>
        </is>
      </c>
      <c r="F28" s="31" t="inlineStr"/>
    </row>
    <row r="29">
      <c r="A29" t="inlineStr">
        <is>
          <t>Bull Δ — operating margin, terminal</t>
        </is>
      </c>
      <c r="B29" t="inlineStr">
        <is>
          <t>C55</t>
        </is>
      </c>
      <c r="C29" s="34">
        <f>Dashboard!C55</f>
        <v/>
      </c>
      <c r="D29" t="inlineStr">
        <is>
          <t>seed default</t>
        </is>
      </c>
      <c r="E29" t="inlineStr">
        <is>
          <t>2.0%</t>
        </is>
      </c>
      <c r="F29" s="31" t="inlineStr"/>
    </row>
    <row r="30">
      <c r="A30" t="inlineStr">
        <is>
          <t>Bear Δ — operating margin, terminal</t>
        </is>
      </c>
      <c r="B30" t="inlineStr">
        <is>
          <t>D55</t>
        </is>
      </c>
      <c r="C30" s="34">
        <f>Dashboard!D55</f>
        <v/>
      </c>
      <c r="D30" t="inlineStr">
        <is>
          <t>seed default</t>
        </is>
      </c>
      <c r="E30" t="inlineStr">
        <is>
          <t>-2.0%</t>
        </is>
      </c>
      <c r="F30" s="31" t="inlineStr"/>
    </row>
    <row r="31">
      <c r="A31" t="inlineStr">
        <is>
          <t>Bull Δ — exit multiple</t>
        </is>
      </c>
      <c r="B31" t="inlineStr">
        <is>
          <t>C56</t>
        </is>
      </c>
      <c r="C31" s="35">
        <f>Dashboard!C56</f>
        <v/>
      </c>
      <c r="D31" t="inlineStr">
        <is>
          <t>seed default</t>
        </is>
      </c>
      <c r="E31" t="inlineStr">
        <is>
          <t>2.0x</t>
        </is>
      </c>
      <c r="F31" s="31" t="inlineStr"/>
    </row>
    <row r="32">
      <c r="A32" t="inlineStr">
        <is>
          <t>Bear Δ — exit multiple</t>
        </is>
      </c>
      <c r="B32" t="inlineStr">
        <is>
          <t>D56</t>
        </is>
      </c>
      <c r="C32" s="35">
        <f>Dashboard!D56</f>
        <v/>
      </c>
      <c r="D32" t="inlineStr">
        <is>
          <t>seed default</t>
        </is>
      </c>
      <c r="E32" t="inlineStr">
        <is>
          <t>-2.0x</t>
        </is>
      </c>
      <c r="F32" s="31" t="inlineStr"/>
    </row>
    <row r="33">
      <c r="A33" t="inlineStr">
        <is>
          <t>Bull Δ — terminal growth (g)</t>
        </is>
      </c>
      <c r="B33" t="inlineStr">
        <is>
          <t>C57</t>
        </is>
      </c>
      <c r="C33" s="34">
        <f>Dashboard!C57</f>
        <v/>
      </c>
      <c r="D33" t="inlineStr">
        <is>
          <t>seed default</t>
        </is>
      </c>
      <c r="E33" t="inlineStr">
        <is>
          <t>0.5%</t>
        </is>
      </c>
      <c r="F33" s="31" t="inlineStr"/>
    </row>
    <row r="34">
      <c r="A34" t="inlineStr">
        <is>
          <t>Bear Δ — terminal growth (g)</t>
        </is>
      </c>
      <c r="B34" t="inlineStr">
        <is>
          <t>D57</t>
        </is>
      </c>
      <c r="C34" s="34">
        <f>Dashboard!D57</f>
        <v/>
      </c>
      <c r="D34" t="inlineStr">
        <is>
          <t>seed default</t>
        </is>
      </c>
      <c r="E34" t="inlineStr">
        <is>
          <t>-0.5%</t>
        </is>
      </c>
      <c r="F34" s="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6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7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2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3">
        <f>Dashboard!$B$48*Financials!AC17</f>
        <v/>
      </c>
    </row>
    <row r="11">
      <c r="A11" s="4" t="inlineStr">
        <is>
          <t>Total debt (D)</t>
        </is>
      </c>
      <c r="B11" s="33">
        <f>Financials!AC28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8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9" t="inlineStr">
        <is>
          <t>FY2021A</t>
        </is>
      </c>
      <c r="C1" s="39" t="inlineStr">
        <is>
          <t>FY2022A</t>
        </is>
      </c>
      <c r="D1" s="39" t="inlineStr">
        <is>
          <t>FY2023A</t>
        </is>
      </c>
      <c r="E1" s="39" t="inlineStr">
        <is>
          <t>FY2024A</t>
        </is>
      </c>
      <c r="F1" s="39" t="inlineStr">
        <is>
          <t>FY2025A</t>
        </is>
      </c>
      <c r="G1" s="40" t="inlineStr">
        <is>
          <t>FY2026E</t>
        </is>
      </c>
      <c r="H1" s="40" t="inlineStr">
        <is>
          <t>FY2027E</t>
        </is>
      </c>
      <c r="I1" s="40" t="inlineStr">
        <is>
          <t>FY2028E</t>
        </is>
      </c>
      <c r="J1" s="40" t="inlineStr">
        <is>
          <t>FY2029E</t>
        </is>
      </c>
      <c r="K1" s="40" t="inlineStr">
        <is>
          <t>FY2030E</t>
        </is>
      </c>
      <c r="L1" s="40" t="inlineStr">
        <is>
          <t>FY2031E</t>
        </is>
      </c>
      <c r="M1" s="40" t="inlineStr">
        <is>
          <t>FY2032E</t>
        </is>
      </c>
      <c r="N1" s="40" t="inlineStr">
        <is>
          <t>FY2033E</t>
        </is>
      </c>
      <c r="O1" s="40" t="inlineStr">
        <is>
          <t>FY2034E</t>
        </is>
      </c>
      <c r="P1" s="40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Total company</t>
        </is>
      </c>
      <c r="B4" s="33">
        <f>SUM(Financials!I3:L3)</f>
        <v/>
      </c>
      <c r="C4" s="33">
        <f>SUM(Financials!M3:P3)</f>
        <v/>
      </c>
      <c r="D4" s="33">
        <f>SUM(Financials!Q3:T3)</f>
        <v/>
      </c>
      <c r="E4" s="33">
        <f>SUM(Financials!U3:X3)</f>
        <v/>
      </c>
      <c r="F4" s="33">
        <f>SUM(Financials!Y3:AB3)</f>
        <v/>
      </c>
      <c r="G4" s="41">
        <f>F4*(1+G5)</f>
        <v/>
      </c>
      <c r="H4" s="41">
        <f>G4*(1+H5)</f>
        <v/>
      </c>
      <c r="I4" s="41">
        <f>H4*(1+I5)</f>
        <v/>
      </c>
      <c r="J4" s="41">
        <f>I4*(1+J5)</f>
        <v/>
      </c>
      <c r="K4" s="41">
        <f>J4*(1+K5)</f>
        <v/>
      </c>
      <c r="L4" s="41">
        <f>K4*(1+L5)</f>
        <v/>
      </c>
      <c r="M4" s="41">
        <f>L4*(1+M5)</f>
        <v/>
      </c>
      <c r="N4" s="41">
        <f>M4*(1+N5)</f>
        <v/>
      </c>
      <c r="O4" s="41">
        <f>N4*(1+O5)</f>
        <v/>
      </c>
      <c r="P4" s="41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3" t="inlineStr">
        <is>
          <t>Total revenue</t>
        </is>
      </c>
      <c r="B6" s="42">
        <f>B4</f>
        <v/>
      </c>
      <c r="C6" s="42">
        <f>C4</f>
        <v/>
      </c>
      <c r="D6" s="42">
        <f>D4</f>
        <v/>
      </c>
      <c r="E6" s="42">
        <f>E4</f>
        <v/>
      </c>
      <c r="F6" s="42">
        <f>F4</f>
        <v/>
      </c>
      <c r="G6" s="42">
        <f>G4</f>
        <v/>
      </c>
      <c r="H6" s="42">
        <f>H4</f>
        <v/>
      </c>
      <c r="I6" s="42">
        <f>I4</f>
        <v/>
      </c>
      <c r="J6" s="42">
        <f>J4</f>
        <v/>
      </c>
      <c r="K6" s="42">
        <f>K4</f>
        <v/>
      </c>
      <c r="L6" s="42">
        <f>L4</f>
        <v/>
      </c>
      <c r="M6" s="42">
        <f>M4</f>
        <v/>
      </c>
      <c r="N6" s="42">
        <f>N4</f>
        <v/>
      </c>
      <c r="O6" s="42">
        <f>O4</f>
        <v/>
      </c>
      <c r="P6" s="42">
        <f>P4</f>
        <v/>
      </c>
    </row>
    <row r="7">
      <c r="A7" s="4" t="inlineStr">
        <is>
          <t xml:space="preserve">    growth %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25">
        <f>IFERROR(G6/F6-1,"")</f>
        <v/>
      </c>
      <c r="H7" s="25">
        <f>IFERROR(H6/G6-1,"")</f>
        <v/>
      </c>
      <c r="I7" s="25">
        <f>IFERROR(I6/H6-1,"")</f>
        <v/>
      </c>
      <c r="J7" s="25">
        <f>IFERROR(J6/I6-1,"")</f>
        <v/>
      </c>
      <c r="K7" s="25">
        <f>IFERROR(K6/J6-1,"")</f>
        <v/>
      </c>
      <c r="L7" s="25">
        <f>IFERROR(L6/K6-1,"")</f>
        <v/>
      </c>
      <c r="M7" s="25">
        <f>IFERROR(M6/L6-1,"")</f>
        <v/>
      </c>
      <c r="N7" s="25">
        <f>IFERROR(N6/M6-1,"")</f>
        <v/>
      </c>
      <c r="O7" s="25">
        <f>IFERROR(O6/N6-1,"")</f>
        <v/>
      </c>
      <c r="P7" s="25">
        <f>IFERROR(P6/O6-1,"")</f>
        <v/>
      </c>
    </row>
    <row r="9">
      <c r="A9" s="5" t="inlineStr">
        <is>
          <t xml:space="preserve">  COST STRUCTURE (yellow = % of revenue)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4" t="inlineStr">
        <is>
          <t>Cost of revenue</t>
        </is>
      </c>
      <c r="B10" s="33">
        <f>SUM(Financials!I5:L5)</f>
        <v/>
      </c>
      <c r="C10" s="33">
        <f>SUM(Financials!M5:P5)</f>
        <v/>
      </c>
      <c r="D10" s="33">
        <f>SUM(Financials!Q5:T5)</f>
        <v/>
      </c>
      <c r="E10" s="33">
        <f>SUM(Financials!U5:X5)</f>
        <v/>
      </c>
      <c r="F10" s="33">
        <f>SUM(Financials!Y5:AB5)</f>
        <v/>
      </c>
      <c r="G10" s="41">
        <f>G6*G11</f>
        <v/>
      </c>
      <c r="H10" s="41">
        <f>H6*H11</f>
        <v/>
      </c>
      <c r="I10" s="41">
        <f>I6*I11</f>
        <v/>
      </c>
      <c r="J10" s="41">
        <f>J6*J11</f>
        <v/>
      </c>
      <c r="K10" s="41">
        <f>K6*K11</f>
        <v/>
      </c>
      <c r="L10" s="41">
        <f>L6*L11</f>
        <v/>
      </c>
      <c r="M10" s="41">
        <f>M6*M11</f>
        <v/>
      </c>
      <c r="N10" s="41">
        <f>N6*N11</f>
        <v/>
      </c>
      <c r="O10" s="41">
        <f>O6*O11</f>
        <v/>
      </c>
      <c r="P10" s="41">
        <f>P6*P11</f>
        <v/>
      </c>
    </row>
    <row r="11">
      <c r="A11" s="4" t="inlineStr">
        <is>
          <t xml:space="preserve">    % of revenue</t>
        </is>
      </c>
      <c r="B11" s="25">
        <f>IFERROR(B10/B6,"")</f>
        <v/>
      </c>
      <c r="C11" s="25">
        <f>IFERROR(C10/C6,"")</f>
        <v/>
      </c>
      <c r="D11" s="25">
        <f>IFERROR(D10/D6,"")</f>
        <v/>
      </c>
      <c r="E11" s="25">
        <f>IFERROR(E10/E6,"")</f>
        <v/>
      </c>
      <c r="F11" s="25">
        <f>IFERROR(F10/F6,"")</f>
        <v/>
      </c>
      <c r="G11" s="15" t="n">
        <v>0.428344082418963</v>
      </c>
      <c r="H11" s="15" t="n">
        <v>0.428344082418963</v>
      </c>
      <c r="I11" s="15" t="n">
        <v>0.428344082418963</v>
      </c>
      <c r="J11" s="15" t="n">
        <v>0.428344082418963</v>
      </c>
      <c r="K11" s="15" t="n">
        <v>0.428344082418963</v>
      </c>
      <c r="L11" s="15" t="n">
        <v>0.428344082418963</v>
      </c>
      <c r="M11" s="15" t="n">
        <v>0.428344082418963</v>
      </c>
      <c r="N11" s="15" t="n">
        <v>0.428344082418963</v>
      </c>
      <c r="O11" s="15" t="n">
        <v>0.428344082418963</v>
      </c>
      <c r="P11" s="15" t="n">
        <v>0.428344082418963</v>
      </c>
    </row>
    <row r="12">
      <c r="A12" s="4" t="inlineStr">
        <is>
          <t>R&amp;D / Technology</t>
        </is>
      </c>
      <c r="B12" s="33">
        <f>SUM(Financials!I7:L7)</f>
        <v/>
      </c>
      <c r="C12" s="33">
        <f>SUM(Financials!M7:P7)</f>
        <v/>
      </c>
      <c r="D12" s="33">
        <f>SUM(Financials!Q7:T7)</f>
        <v/>
      </c>
      <c r="E12" s="33">
        <f>SUM(Financials!U7:X7)</f>
        <v/>
      </c>
      <c r="F12" s="33">
        <f>SUM(Financials!Y7:AB7)</f>
        <v/>
      </c>
      <c r="G12" s="41">
        <f>G6*G13</f>
        <v/>
      </c>
      <c r="H12" s="41">
        <f>H6*H13</f>
        <v/>
      </c>
      <c r="I12" s="41">
        <f>I6*I13</f>
        <v/>
      </c>
      <c r="J12" s="41">
        <f>J6*J13</f>
        <v/>
      </c>
      <c r="K12" s="41">
        <f>K6*K13</f>
        <v/>
      </c>
      <c r="L12" s="41">
        <f>L6*L13</f>
        <v/>
      </c>
      <c r="M12" s="41">
        <f>M6*M13</f>
        <v/>
      </c>
      <c r="N12" s="41">
        <f>N6*N13</f>
        <v/>
      </c>
      <c r="O12" s="41">
        <f>O6*O13</f>
        <v/>
      </c>
      <c r="P12" s="41">
        <f>P6*P13</f>
        <v/>
      </c>
    </row>
    <row r="13">
      <c r="A13" s="4" t="inlineStr">
        <is>
          <t xml:space="preserve">    % of revenue</t>
        </is>
      </c>
      <c r="B13" s="25">
        <f>IFERROR(B12/B6,"")</f>
        <v/>
      </c>
      <c r="C13" s="25">
        <f>IFERROR(C12/C6,"")</f>
        <v/>
      </c>
      <c r="D13" s="25">
        <f>IFERROR(D12/D6,"")</f>
        <v/>
      </c>
      <c r="E13" s="25">
        <f>IFERROR(E12/E6,"")</f>
        <v/>
      </c>
      <c r="F13" s="25">
        <f>IFERROR(F12/F6,"")</f>
        <v/>
      </c>
      <c r="G13" s="15" t="n">
        <v>0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0</v>
      </c>
      <c r="M13" s="15" t="n">
        <v>0</v>
      </c>
      <c r="N13" s="15" t="n">
        <v>0</v>
      </c>
      <c r="O13" s="15" t="n">
        <v>0</v>
      </c>
      <c r="P13" s="15" t="n">
        <v>0</v>
      </c>
    </row>
    <row r="14">
      <c r="A14" s="4" t="inlineStr">
        <is>
          <t>SG&amp;A</t>
        </is>
      </c>
      <c r="B14" s="33">
        <f>SUM(Financials!I9:L9)</f>
        <v/>
      </c>
      <c r="C14" s="33">
        <f>SUM(Financials!M9:P9)</f>
        <v/>
      </c>
      <c r="D14" s="33">
        <f>SUM(Financials!Q9:T9)</f>
        <v/>
      </c>
      <c r="E14" s="33">
        <f>SUM(Financials!U9:X9)</f>
        <v/>
      </c>
      <c r="F14" s="33">
        <f>SUM(Financials!Y9:AB9)</f>
        <v/>
      </c>
      <c r="G14" s="41">
        <f>G6*G15</f>
        <v/>
      </c>
      <c r="H14" s="41">
        <f>H6*H15</f>
        <v/>
      </c>
      <c r="I14" s="41">
        <f>I6*I15</f>
        <v/>
      </c>
      <c r="J14" s="41">
        <f>J6*J15</f>
        <v/>
      </c>
      <c r="K14" s="41">
        <f>K6*K15</f>
        <v/>
      </c>
      <c r="L14" s="41">
        <f>L6*L15</f>
        <v/>
      </c>
      <c r="M14" s="41">
        <f>M6*M15</f>
        <v/>
      </c>
      <c r="N14" s="41">
        <f>N6*N15</f>
        <v/>
      </c>
      <c r="O14" s="41">
        <f>O6*O15</f>
        <v/>
      </c>
      <c r="P14" s="41">
        <f>P6*P15</f>
        <v/>
      </c>
    </row>
    <row r="15">
      <c r="A15" s="4" t="inlineStr">
        <is>
          <t xml:space="preserve">    % of revenue</t>
        </is>
      </c>
      <c r="B15" s="25">
        <f>IFERROR(B14/B6,"")</f>
        <v/>
      </c>
      <c r="C15" s="25">
        <f>IFERROR(C14/C6,"")</f>
        <v/>
      </c>
      <c r="D15" s="25">
        <f>IFERROR(D14/D6,"")</f>
        <v/>
      </c>
      <c r="E15" s="25">
        <f>IFERROR(E14/E6,"")</f>
        <v/>
      </c>
      <c r="F15" s="25">
        <f>IFERROR(F14/F6,"")</f>
        <v/>
      </c>
      <c r="G15" s="15" t="n">
        <v>0.06039031744702236</v>
      </c>
      <c r="H15" s="15" t="n">
        <v>0.06039031744702236</v>
      </c>
      <c r="I15" s="15" t="n">
        <v>0.06039031744702236</v>
      </c>
      <c r="J15" s="15" t="n">
        <v>0.06039031744702236</v>
      </c>
      <c r="K15" s="15" t="n">
        <v>0.06039031744702236</v>
      </c>
      <c r="L15" s="15" t="n">
        <v>0.06039031744702236</v>
      </c>
      <c r="M15" s="15" t="n">
        <v>0.06039031744702236</v>
      </c>
      <c r="N15" s="15" t="n">
        <v>0.06039031744702236</v>
      </c>
      <c r="O15" s="15" t="n">
        <v>0.06039031744702236</v>
      </c>
      <c r="P15" s="15" t="n">
        <v>0.06039031744702236</v>
      </c>
    </row>
    <row r="16">
      <c r="A16" s="4" t="inlineStr">
        <is>
          <t>Other opex (fulfilment, etc.)</t>
        </is>
      </c>
      <c r="B16" s="33">
        <f>B6-(B10+B12+B14)-SUM(Financials!I13:L13)</f>
        <v/>
      </c>
      <c r="C16" s="33">
        <f>C6-(C10+C12+C14)-SUM(Financials!M13:P13)</f>
        <v/>
      </c>
      <c r="D16" s="33">
        <f>D6-(D10+D12+D14)-SUM(Financials!Q13:T13)</f>
        <v/>
      </c>
      <c r="E16" s="33">
        <f>E6-(E10+E12+E14)-SUM(Financials!U13:X13)</f>
        <v/>
      </c>
      <c r="F16" s="33">
        <f>F6-(F10+F12+F14)-SUM(Financials!Y13:AB13)</f>
        <v/>
      </c>
      <c r="G16" s="33">
        <f>G6*(1-(Dashboard!$B$29+(Dashboard!$B$30-Dashboard!$B$29)*MIN(1,0/4)))-(G10+G12+G14)</f>
        <v/>
      </c>
      <c r="H16" s="33">
        <f>H6*(1-(Dashboard!$B$29+(Dashboard!$B$30-Dashboard!$B$29)*MIN(1,1/4)))-(H10+H12+H14)</f>
        <v/>
      </c>
      <c r="I16" s="33">
        <f>I6*(1-(Dashboard!$B$29+(Dashboard!$B$30-Dashboard!$B$29)*MIN(1,2/4)))-(I10+I12+I14)</f>
        <v/>
      </c>
      <c r="J16" s="33">
        <f>J6*(1-(Dashboard!$B$29+(Dashboard!$B$30-Dashboard!$B$29)*MIN(1,3/4)))-(J10+J12+J14)</f>
        <v/>
      </c>
      <c r="K16" s="33">
        <f>K6*(1-(Dashboard!$B$29+(Dashboard!$B$30-Dashboard!$B$29)*MIN(1,4/4)))-(K10+K12+K14)</f>
        <v/>
      </c>
      <c r="L16" s="33">
        <f>L6*(1-(Dashboard!$B$29+(Dashboard!$B$30-Dashboard!$B$29)*MIN(1,5/4)))-(L10+L12+L14)</f>
        <v/>
      </c>
      <c r="M16" s="33">
        <f>M6*(1-(Dashboard!$B$29+(Dashboard!$B$30-Dashboard!$B$29)*MIN(1,6/4)))-(M10+M12+M14)</f>
        <v/>
      </c>
      <c r="N16" s="33">
        <f>N6*(1-(Dashboard!$B$29+(Dashboard!$B$30-Dashboard!$B$29)*MIN(1,7/4)))-(N10+N12+N14)</f>
        <v/>
      </c>
      <c r="O16" s="33">
        <f>O6*(1-(Dashboard!$B$29+(Dashboard!$B$30-Dashboard!$B$29)*MIN(1,8/4)))-(O10+O12+O14)</f>
        <v/>
      </c>
      <c r="P16" s="33">
        <f>P6*(1-(Dashboard!$B$29+(Dashboard!$B$30-Dashboard!$B$29)*MIN(1,9/4)))-(P10+P12+P14)</f>
        <v/>
      </c>
    </row>
    <row r="17">
      <c r="A17" s="4" t="inlineStr">
        <is>
          <t xml:space="preserve">    % of revenue</t>
        </is>
      </c>
      <c r="B17" s="25">
        <f>IFERROR(B16/B6,"")</f>
        <v/>
      </c>
      <c r="C17" s="25">
        <f>IFERROR(C16/C6,"")</f>
        <v/>
      </c>
      <c r="D17" s="25">
        <f>IFERROR(D16/D6,"")</f>
        <v/>
      </c>
      <c r="E17" s="25">
        <f>IFERROR(E16/E6,"")</f>
        <v/>
      </c>
      <c r="F17" s="25">
        <f>IFERROR(F16/F6,"")</f>
        <v/>
      </c>
      <c r="G17" s="25">
        <f>IFERROR(G16/G6,"")</f>
        <v/>
      </c>
      <c r="H17" s="25">
        <f>IFERROR(H16/H6,"")</f>
        <v/>
      </c>
      <c r="I17" s="25">
        <f>IFERROR(I16/I6,"")</f>
        <v/>
      </c>
      <c r="J17" s="25">
        <f>IFERROR(J16/J6,"")</f>
        <v/>
      </c>
      <c r="K17" s="25">
        <f>IFERROR(K16/K6,"")</f>
        <v/>
      </c>
      <c r="L17" s="25">
        <f>IFERROR(L16/L6,"")</f>
        <v/>
      </c>
      <c r="M17" s="25">
        <f>IFERROR(M16/M6,"")</f>
        <v/>
      </c>
      <c r="N17" s="25">
        <f>IFERROR(N16/N6,"")</f>
        <v/>
      </c>
      <c r="O17" s="25">
        <f>IFERROR(O16/O6,"")</f>
        <v/>
      </c>
      <c r="P17" s="25">
        <f>IFERROR(P16/P6,"")</f>
        <v/>
      </c>
    </row>
    <row r="19">
      <c r="A19" s="3" t="inlineStr">
        <is>
          <t>Operating income (EBIT)</t>
        </is>
      </c>
      <c r="B19" s="42">
        <f>B6-(B10+B12+B14)-B16</f>
        <v/>
      </c>
      <c r="C19" s="42">
        <f>C6-(C10+C12+C14)-C16</f>
        <v/>
      </c>
      <c r="D19" s="42">
        <f>D6-(D10+D12+D14)-D16</f>
        <v/>
      </c>
      <c r="E19" s="42">
        <f>E6-(E10+E12+E14)-E16</f>
        <v/>
      </c>
      <c r="F19" s="42">
        <f>F6-(F10+F12+F14)-F16</f>
        <v/>
      </c>
      <c r="G19" s="42">
        <f>G6-(G10+G12+G14)-G16</f>
        <v/>
      </c>
      <c r="H19" s="42">
        <f>H6-(H10+H12+H14)-H16</f>
        <v/>
      </c>
      <c r="I19" s="42">
        <f>I6-(I10+I12+I14)-I16</f>
        <v/>
      </c>
      <c r="J19" s="42">
        <f>J6-(J10+J12+J14)-J16</f>
        <v/>
      </c>
      <c r="K19" s="42">
        <f>K6-(K10+K12+K14)-K16</f>
        <v/>
      </c>
      <c r="L19" s="42">
        <f>L6-(L10+L12+L14)-L16</f>
        <v/>
      </c>
      <c r="M19" s="42">
        <f>M6-(M10+M12+M14)-M16</f>
        <v/>
      </c>
      <c r="N19" s="42">
        <f>N6-(N10+N12+N14)-N16</f>
        <v/>
      </c>
      <c r="O19" s="42">
        <f>O6-(O10+O12+O14)-O16</f>
        <v/>
      </c>
      <c r="P19" s="42">
        <f>P6-(P10+P12+P14)-P16</f>
        <v/>
      </c>
    </row>
    <row r="20">
      <c r="A20" s="4" t="inlineStr">
        <is>
          <t xml:space="preserve">    operating margin</t>
        </is>
      </c>
      <c r="B20" s="25">
        <f>IFERROR(B19/B6,"")</f>
        <v/>
      </c>
      <c r="C20" s="25">
        <f>IFERROR(C19/C6,"")</f>
        <v/>
      </c>
      <c r="D20" s="25">
        <f>IFERROR(D19/D6,"")</f>
        <v/>
      </c>
      <c r="E20" s="25">
        <f>IFERROR(E19/E6,"")</f>
        <v/>
      </c>
      <c r="F20" s="25">
        <f>IFERROR(F19/F6,"")</f>
        <v/>
      </c>
      <c r="G20" s="25">
        <f>IFERROR(G19/G6,"")</f>
        <v/>
      </c>
      <c r="H20" s="25">
        <f>IFERROR(H19/H6,"")</f>
        <v/>
      </c>
      <c r="I20" s="25">
        <f>IFERROR(I19/I6,"")</f>
        <v/>
      </c>
      <c r="J20" s="25">
        <f>IFERROR(J19/J6,"")</f>
        <v/>
      </c>
      <c r="K20" s="25">
        <f>IFERROR(K19/K6,"")</f>
        <v/>
      </c>
      <c r="L20" s="25">
        <f>IFERROR(L19/L6,"")</f>
        <v/>
      </c>
      <c r="M20" s="25">
        <f>IFERROR(M19/M6,"")</f>
        <v/>
      </c>
      <c r="N20" s="25">
        <f>IFERROR(N19/N6,"")</f>
        <v/>
      </c>
      <c r="O20" s="25">
        <f>IFERROR(O19/O6,"")</f>
        <v/>
      </c>
      <c r="P20" s="25">
        <f>IFERROR(P19/P6,"")</f>
        <v/>
      </c>
    </row>
    <row r="22">
      <c r="A22" s="5" t="inlineStr">
        <is>
          <t xml:space="preserve">  FCF BRIDGE (NOPAT + D&amp;A + SBC - dNWC - Capex)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4" t="inlineStr">
        <is>
          <t>NOPAT = EBIT x (1 - tax)</t>
        </is>
      </c>
      <c r="B23" s="33">
        <f>B19*(1-Valuation!$B$5)</f>
        <v/>
      </c>
      <c r="C23" s="33">
        <f>C19*(1-Valuation!$B$5)</f>
        <v/>
      </c>
      <c r="D23" s="33">
        <f>D19*(1-Valuation!$B$5)</f>
        <v/>
      </c>
      <c r="E23" s="33">
        <f>E19*(1-Valuation!$B$5)</f>
        <v/>
      </c>
      <c r="F23" s="33">
        <f>F19*(1-Valuation!$B$5)</f>
        <v/>
      </c>
      <c r="G23" s="33">
        <f>G19*(1-Valuation!$B$5)</f>
        <v/>
      </c>
      <c r="H23" s="33">
        <f>H19*(1-Valuation!$B$5)</f>
        <v/>
      </c>
      <c r="I23" s="33">
        <f>I19*(1-Valuation!$B$5)</f>
        <v/>
      </c>
      <c r="J23" s="33">
        <f>J19*(1-Valuation!$B$5)</f>
        <v/>
      </c>
      <c r="K23" s="33">
        <f>K19*(1-Valuation!$B$5)</f>
        <v/>
      </c>
      <c r="L23" s="33">
        <f>L19*(1-Valuation!$B$5)</f>
        <v/>
      </c>
      <c r="M23" s="33">
        <f>M19*(1-Valuation!$B$5)</f>
        <v/>
      </c>
      <c r="N23" s="33">
        <f>N19*(1-Valuation!$B$5)</f>
        <v/>
      </c>
      <c r="O23" s="33">
        <f>O19*(1-Valuation!$B$5)</f>
        <v/>
      </c>
      <c r="P23" s="33">
        <f>P19*(1-Valuation!$B$5)</f>
        <v/>
      </c>
    </row>
    <row r="24">
      <c r="A24" s="4" t="inlineStr">
        <is>
          <t>+ D&amp;A</t>
        </is>
      </c>
      <c r="B24" s="33">
        <f>SUM(Financials!I31:L31)</f>
        <v/>
      </c>
      <c r="C24" s="33">
        <f>SUM(Financials!M31:P31)</f>
        <v/>
      </c>
      <c r="D24" s="33">
        <f>SUM(Financials!Q31:T31)</f>
        <v/>
      </c>
      <c r="E24" s="33">
        <f>SUM(Financials!U31:X31)</f>
        <v/>
      </c>
      <c r="F24" s="33">
        <f>SUM(Financials!Y31:AB31)</f>
        <v/>
      </c>
      <c r="G24" s="41">
        <f>G6*0.1906</f>
        <v/>
      </c>
      <c r="H24" s="41">
        <f>H6*0.1906</f>
        <v/>
      </c>
      <c r="I24" s="41">
        <f>I6*0.1906</f>
        <v/>
      </c>
      <c r="J24" s="41">
        <f>J6*0.1906</f>
        <v/>
      </c>
      <c r="K24" s="41">
        <f>K6*0.1906</f>
        <v/>
      </c>
      <c r="L24" s="41">
        <f>L6*0.1906</f>
        <v/>
      </c>
      <c r="M24" s="41">
        <f>M6*0.1906</f>
        <v/>
      </c>
      <c r="N24" s="41">
        <f>N6*0.1906</f>
        <v/>
      </c>
      <c r="O24" s="41">
        <f>O6*0.1906</f>
        <v/>
      </c>
      <c r="P24" s="41">
        <f>P6*0.1906</f>
        <v/>
      </c>
    </row>
    <row r="25">
      <c r="A25" s="4" t="inlineStr">
        <is>
          <t>+ SBC (non-cash)</t>
        </is>
      </c>
      <c r="B25" s="33">
        <f>SUM(Financials!I32:L32)</f>
        <v/>
      </c>
      <c r="C25" s="33">
        <f>SUM(Financials!M32:P32)</f>
        <v/>
      </c>
      <c r="D25" s="33">
        <f>SUM(Financials!Q32:T32)</f>
        <v/>
      </c>
      <c r="E25" s="33">
        <f>SUM(Financials!U32:X32)</f>
        <v/>
      </c>
      <c r="F25" s="33">
        <f>SUM(Financials!Y32:AB32)</f>
        <v/>
      </c>
      <c r="G25" s="33">
        <f>G6*(Dashboard!$B$65+(Dashboard!$B$66-Dashboard!$B$65)*0/9)</f>
        <v/>
      </c>
      <c r="H25" s="33">
        <f>H6*(Dashboard!$B$65+(Dashboard!$B$66-Dashboard!$B$65)*1/9)</f>
        <v/>
      </c>
      <c r="I25" s="33">
        <f>I6*(Dashboard!$B$65+(Dashboard!$B$66-Dashboard!$B$65)*2/9)</f>
        <v/>
      </c>
      <c r="J25" s="33">
        <f>J6*(Dashboard!$B$65+(Dashboard!$B$66-Dashboard!$B$65)*3/9)</f>
        <v/>
      </c>
      <c r="K25" s="33">
        <f>K6*(Dashboard!$B$65+(Dashboard!$B$66-Dashboard!$B$65)*4/9)</f>
        <v/>
      </c>
      <c r="L25" s="33">
        <f>L6*(Dashboard!$B$65+(Dashboard!$B$66-Dashboard!$B$65)*5/9)</f>
        <v/>
      </c>
      <c r="M25" s="33">
        <f>M6*(Dashboard!$B$65+(Dashboard!$B$66-Dashboard!$B$65)*6/9)</f>
        <v/>
      </c>
      <c r="N25" s="33">
        <f>N6*(Dashboard!$B$65+(Dashboard!$B$66-Dashboard!$B$65)*7/9)</f>
        <v/>
      </c>
      <c r="O25" s="33">
        <f>O6*(Dashboard!$B$65+(Dashboard!$B$66-Dashboard!$B$65)*8/9)</f>
        <v/>
      </c>
      <c r="P25" s="33">
        <f>P6*(Dashboard!$B$65+(Dashboard!$B$66-Dashboard!$B$65)*9/9)</f>
        <v/>
      </c>
    </row>
    <row r="26">
      <c r="A26" s="4" t="inlineStr">
        <is>
          <t>- dNWC</t>
        </is>
      </c>
      <c r="G26" s="41">
        <f>(G6-F6)*0.0050</f>
        <v/>
      </c>
      <c r="H26" s="41">
        <f>(H6-G6)*0.0050</f>
        <v/>
      </c>
      <c r="I26" s="41">
        <f>(I6-H6)*0.0050</f>
        <v/>
      </c>
      <c r="J26" s="41">
        <f>(J6-I6)*0.0050</f>
        <v/>
      </c>
      <c r="K26" s="41">
        <f>(K6-J6)*0.0050</f>
        <v/>
      </c>
      <c r="L26" s="41">
        <f>(L6-K6)*0.0050</f>
        <v/>
      </c>
      <c r="M26" s="41">
        <f>(M6-L6)*0.0050</f>
        <v/>
      </c>
      <c r="N26" s="41">
        <f>(N6-M6)*0.0050</f>
        <v/>
      </c>
      <c r="O26" s="41">
        <f>(O6-N6)*0.0050</f>
        <v/>
      </c>
      <c r="P26" s="41">
        <f>(P6-O6)*0.0050</f>
        <v/>
      </c>
    </row>
    <row r="27">
      <c r="A27" s="4" t="inlineStr">
        <is>
          <t>- Capex</t>
        </is>
      </c>
      <c r="B27" s="33">
        <f>-SUM(Financials!I35:L35)</f>
        <v/>
      </c>
      <c r="C27" s="33">
        <f>-SUM(Financials!M35:P35)</f>
        <v/>
      </c>
      <c r="D27" s="33">
        <f>-SUM(Financials!Q35:T35)</f>
        <v/>
      </c>
      <c r="E27" s="33">
        <f>-SUM(Financials!U35:X35)</f>
        <v/>
      </c>
      <c r="F27" s="33">
        <f>-SUM(Financials!Y35:AB35)</f>
        <v/>
      </c>
      <c r="G27" s="41">
        <f>G24*G28</f>
        <v/>
      </c>
      <c r="H27" s="41">
        <f>H24*H28</f>
        <v/>
      </c>
      <c r="I27" s="41">
        <f>I24*I28</f>
        <v/>
      </c>
      <c r="J27" s="41">
        <f>J24*J28</f>
        <v/>
      </c>
      <c r="K27" s="41">
        <f>K24*K28</f>
        <v/>
      </c>
      <c r="L27" s="41">
        <f>L24*L28</f>
        <v/>
      </c>
      <c r="M27" s="41">
        <f>M24*M28</f>
        <v/>
      </c>
      <c r="N27" s="41">
        <f>N24*N28</f>
        <v/>
      </c>
      <c r="O27" s="41">
        <f>O24*O28</f>
        <v/>
      </c>
      <c r="P27" s="41">
        <f>P24*P28</f>
        <v/>
      </c>
    </row>
    <row r="28">
      <c r="A28" s="4" t="inlineStr">
        <is>
          <t xml:space="preserve">    Capex / D&amp;A  (from Dashboard: $cap'26 -&gt; terminal)</t>
        </is>
      </c>
      <c r="B28" s="26">
        <f>IFERROR(B27/B24,"")</f>
        <v/>
      </c>
      <c r="C28" s="26">
        <f>IFERROR(C27/C24,"")</f>
        <v/>
      </c>
      <c r="D28" s="26">
        <f>IFERROR(D27/D24,"")</f>
        <v/>
      </c>
      <c r="E28" s="26">
        <f>IFERROR(E27/E24,"")</f>
        <v/>
      </c>
      <c r="F28" s="26">
        <f>IFERROR(F27/F24,"")</f>
        <v/>
      </c>
      <c r="G28" s="13">
        <f>(Dashboard!$B$34/G24)+(Dashboard!$B$35-(Dashboard!$B$34/G24))*0/9</f>
        <v/>
      </c>
      <c r="H28" s="13">
        <f>(Dashboard!$B$34/G24)+(Dashboard!$B$35-(Dashboard!$B$34/G24))*1/9</f>
        <v/>
      </c>
      <c r="I28" s="13">
        <f>(Dashboard!$B$34/G24)+(Dashboard!$B$35-(Dashboard!$B$34/G24))*2/9</f>
        <v/>
      </c>
      <c r="J28" s="13">
        <f>(Dashboard!$B$34/G24)+(Dashboard!$B$35-(Dashboard!$B$34/G24))*3/9</f>
        <v/>
      </c>
      <c r="K28" s="13">
        <f>(Dashboard!$B$34/G24)+(Dashboard!$B$35-(Dashboard!$B$34/G24))*4/9</f>
        <v/>
      </c>
      <c r="L28" s="13">
        <f>(Dashboard!$B$34/G24)+(Dashboard!$B$35-(Dashboard!$B$34/G24))*5/9</f>
        <v/>
      </c>
      <c r="M28" s="13">
        <f>(Dashboard!$B$34/G24)+(Dashboard!$B$35-(Dashboard!$B$34/G24))*6/9</f>
        <v/>
      </c>
      <c r="N28" s="13">
        <f>(Dashboard!$B$34/G24)+(Dashboard!$B$35-(Dashboard!$B$34/G24))*7/9</f>
        <v/>
      </c>
      <c r="O28" s="13">
        <f>(Dashboard!$B$34/G24)+(Dashboard!$B$35-(Dashboard!$B$34/G24))*8/9</f>
        <v/>
      </c>
      <c r="P28" s="13">
        <f>(Dashboard!$B$34/G24)+(Dashboard!$B$35-(Dashboard!$B$34/G24))*9/9</f>
        <v/>
      </c>
    </row>
    <row r="30">
      <c r="A30" s="3" t="inlineStr">
        <is>
          <t>FCFF (firm)</t>
        </is>
      </c>
      <c r="B30" s="42">
        <f>B23+B24+B25-B26-B27</f>
        <v/>
      </c>
      <c r="C30" s="42">
        <f>C23+C24+C25-C26-C27</f>
        <v/>
      </c>
      <c r="D30" s="42">
        <f>D23+D24+D25-D26-D27</f>
        <v/>
      </c>
      <c r="E30" s="42">
        <f>E23+E24+E25-E26-E27</f>
        <v/>
      </c>
      <c r="F30" s="42">
        <f>F23+F24+F25-F26-F27</f>
        <v/>
      </c>
      <c r="G30" s="42">
        <f>G23+G24+G25-G26-G27</f>
        <v/>
      </c>
      <c r="H30" s="42">
        <f>H23+H24+H25-H26-H27</f>
        <v/>
      </c>
      <c r="I30" s="42">
        <f>I23+I24+I25-I26-I27</f>
        <v/>
      </c>
      <c r="J30" s="42">
        <f>J23+J24+J25-J26-J27</f>
        <v/>
      </c>
      <c r="K30" s="42">
        <f>K23+K24+K25-K26-K27</f>
        <v/>
      </c>
      <c r="L30" s="42">
        <f>L23+L24+L25-L26-L27</f>
        <v/>
      </c>
      <c r="M30" s="42">
        <f>M23+M24+M25-M26-M27</f>
        <v/>
      </c>
      <c r="N30" s="42">
        <f>N23+N24+N25-N26-N27</f>
        <v/>
      </c>
      <c r="O30" s="42">
        <f>O23+O24+O25-O26-O27</f>
        <v/>
      </c>
      <c r="P30" s="42">
        <f>P23+P24+P25-P26-P27</f>
        <v/>
      </c>
    </row>
    <row r="31">
      <c r="A31" s="3" t="inlineStr">
        <is>
          <t>Valuation FCF (NOPAT + D&amp;A - dNWC - Capex - after-tax SBC)</t>
        </is>
      </c>
      <c r="B31" s="43">
        <f>B30-B25-B25*(1-Valuation!$B$5)</f>
        <v/>
      </c>
      <c r="C31" s="43">
        <f>C30-C25-C25*(1-Valuation!$B$5)</f>
        <v/>
      </c>
      <c r="D31" s="43">
        <f>D30-D25-D25*(1-Valuation!$B$5)</f>
        <v/>
      </c>
      <c r="E31" s="43">
        <f>E30-E25-E25*(1-Valuation!$B$5)</f>
        <v/>
      </c>
      <c r="F31" s="43">
        <f>F30-F25-F25*(1-Valuation!$B$5)</f>
        <v/>
      </c>
      <c r="G31" s="43">
        <f>G30-G25-G25*(1-Valuation!$B$5)</f>
        <v/>
      </c>
      <c r="H31" s="43">
        <f>H30-H25-H25*(1-Valuation!$B$5)</f>
        <v/>
      </c>
      <c r="I31" s="43">
        <f>I30-I25-I25*(1-Valuation!$B$5)</f>
        <v/>
      </c>
      <c r="J31" s="43">
        <f>J30-J25-J25*(1-Valuation!$B$5)</f>
        <v/>
      </c>
      <c r="K31" s="43">
        <f>K30-K25-K25*(1-Valuation!$B$5)</f>
        <v/>
      </c>
      <c r="L31" s="43">
        <f>L30-L25-L25*(1-Valuation!$B$5)</f>
        <v/>
      </c>
      <c r="M31" s="43">
        <f>M30-M25-M25*(1-Valuation!$B$5)</f>
        <v/>
      </c>
      <c r="N31" s="43">
        <f>N30-N25-N25*(1-Valuation!$B$5)</f>
        <v/>
      </c>
      <c r="O31" s="43">
        <f>O30-O25-O25*(1-Valuation!$B$5)</f>
        <v/>
      </c>
      <c r="P31" s="43">
        <f>P30-P25-P25*(1-Valuation!$B$5)</f>
        <v/>
      </c>
    </row>
    <row r="33">
      <c r="A33" s="5" t="inlineStr">
        <is>
          <t xml:space="preserve">  RETURNS ON CAPITAL &amp; EFFICIENCY  (is new revenue/capital earning its keep?)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4" t="inlineStr">
        <is>
          <t>Invested capital (debt + equity - cash)</t>
        </is>
      </c>
      <c r="B34" s="33">
        <f>Financials!L29+Financials!L28-Financials!L23</f>
        <v/>
      </c>
      <c r="C34" s="33">
        <f>Financials!P29+Financials!P28-Financials!P23</f>
        <v/>
      </c>
      <c r="D34" s="33">
        <f>Financials!T29+Financials!T28-Financials!T23</f>
        <v/>
      </c>
      <c r="E34" s="33">
        <f>Financials!X29+Financials!X28-Financials!X23</f>
        <v/>
      </c>
      <c r="F34" s="33">
        <f>Financials!AB29+Financials!AB28-Financials!AB23</f>
        <v/>
      </c>
      <c r="G34" s="41">
        <f>F34+G27-G24+G26</f>
        <v/>
      </c>
      <c r="H34" s="41">
        <f>G34+H27-H24+H26</f>
        <v/>
      </c>
      <c r="I34" s="41">
        <f>H34+I27-I24+I26</f>
        <v/>
      </c>
      <c r="J34" s="41">
        <f>I34+J27-J24+J26</f>
        <v/>
      </c>
      <c r="K34" s="41">
        <f>J34+K27-K24+K26</f>
        <v/>
      </c>
      <c r="L34" s="41">
        <f>K34+L27-L24+L26</f>
        <v/>
      </c>
      <c r="M34" s="41">
        <f>L34+M27-M24+M26</f>
        <v/>
      </c>
      <c r="N34" s="41">
        <f>M34+N27-N24+N26</f>
        <v/>
      </c>
      <c r="O34" s="41">
        <f>N34+O27-O24+O26</f>
        <v/>
      </c>
      <c r="P34" s="41">
        <f>O34+P27-P24+P26</f>
        <v/>
      </c>
    </row>
    <row r="35">
      <c r="A35" s="4" t="inlineStr">
        <is>
          <t>Book equity (year-end)</t>
        </is>
      </c>
      <c r="B35" s="33">
        <f>Financials!L29</f>
        <v/>
      </c>
      <c r="C35" s="33">
        <f>Financials!P29</f>
        <v/>
      </c>
      <c r="D35" s="33">
        <f>Financials!T29</f>
        <v/>
      </c>
      <c r="E35" s="33">
        <f>Financials!X29</f>
        <v/>
      </c>
      <c r="F35" s="33">
        <f>Financials!AB29</f>
        <v/>
      </c>
      <c r="G35" s="41">
        <f>F35+G23</f>
        <v/>
      </c>
      <c r="H35" s="41">
        <f>G35+H23</f>
        <v/>
      </c>
      <c r="I35" s="41">
        <f>H35+I23</f>
        <v/>
      </c>
      <c r="J35" s="41">
        <f>I35+J23</f>
        <v/>
      </c>
      <c r="K35" s="41">
        <f>J35+K23</f>
        <v/>
      </c>
      <c r="L35" s="41">
        <f>K35+L23</f>
        <v/>
      </c>
      <c r="M35" s="41">
        <f>L35+M23</f>
        <v/>
      </c>
      <c r="N35" s="41">
        <f>M35+N23</f>
        <v/>
      </c>
      <c r="O35" s="41">
        <f>N35+O23</f>
        <v/>
      </c>
      <c r="P35" s="41">
        <f>O35+P23</f>
        <v/>
      </c>
    </row>
    <row r="36">
      <c r="A36" s="3" t="inlineStr">
        <is>
          <t xml:space="preserve">  ROIC (NOPAT / beg. invested capital)</t>
        </is>
      </c>
      <c r="C36" s="25">
        <f>IFERROR(C23/B34,"")</f>
        <v/>
      </c>
      <c r="D36" s="25">
        <f>IFERROR(D23/C34,"")</f>
        <v/>
      </c>
      <c r="E36" s="25">
        <f>IFERROR(E23/D34,"")</f>
        <v/>
      </c>
      <c r="F36" s="25">
        <f>IFERROR(F23/E34,"")</f>
        <v/>
      </c>
      <c r="G36" s="25">
        <f>IFERROR(G23/F34,"")</f>
        <v/>
      </c>
      <c r="H36" s="25">
        <f>IFERROR(H23/G34,"")</f>
        <v/>
      </c>
      <c r="I36" s="25">
        <f>IFERROR(I23/H34,"")</f>
        <v/>
      </c>
      <c r="J36" s="25">
        <f>IFERROR(J23/I34,"")</f>
        <v/>
      </c>
      <c r="K36" s="25">
        <f>IFERROR(K23/J34,"")</f>
        <v/>
      </c>
      <c r="L36" s="25">
        <f>IFERROR(L23/K34,"")</f>
        <v/>
      </c>
      <c r="M36" s="25">
        <f>IFERROR(M23/L34,"")</f>
        <v/>
      </c>
      <c r="N36" s="25">
        <f>IFERROR(N23/M34,"")</f>
        <v/>
      </c>
      <c r="O36" s="25">
        <f>IFERROR(O23/N34,"")</f>
        <v/>
      </c>
      <c r="P36" s="25">
        <f>IFERROR(P23/O34,"")</f>
        <v/>
      </c>
    </row>
    <row r="37">
      <c r="A37" s="3" t="inlineStr">
        <is>
          <t xml:space="preserve">  ROE (earnings / beg. equity)</t>
        </is>
      </c>
      <c r="C37" s="11">
        <f>IFERROR(SUM(Financials!M15:P15)/B35,"")</f>
        <v/>
      </c>
      <c r="D37" s="11">
        <f>IFERROR(SUM(Financials!Q15:T15)/C35,"")</f>
        <v/>
      </c>
      <c r="E37" s="11">
        <f>IFERROR(SUM(Financials!U15:X15)/D35,"")</f>
        <v/>
      </c>
      <c r="F37" s="11">
        <f>IFERROR(SUM(Financials!Y15:AB15)/E35,"")</f>
        <v/>
      </c>
      <c r="G37" s="25">
        <f>IFERROR(G23/F35,"")</f>
        <v/>
      </c>
      <c r="H37" s="25">
        <f>IFERROR(H23/G35,"")</f>
        <v/>
      </c>
      <c r="I37" s="25">
        <f>IFERROR(I23/H35,"")</f>
        <v/>
      </c>
      <c r="J37" s="25">
        <f>IFERROR(J23/I35,"")</f>
        <v/>
      </c>
      <c r="K37" s="25">
        <f>IFERROR(K23/J35,"")</f>
        <v/>
      </c>
      <c r="L37" s="25">
        <f>IFERROR(L23/K35,"")</f>
        <v/>
      </c>
      <c r="M37" s="25">
        <f>IFERROR(M23/L35,"")</f>
        <v/>
      </c>
      <c r="N37" s="25">
        <f>IFERROR(N23/M35,"")</f>
        <v/>
      </c>
      <c r="O37" s="25">
        <f>IFERROR(O23/N35,"")</f>
        <v/>
      </c>
      <c r="P37" s="25">
        <f>IFERROR(P23/O35,"")</f>
        <v/>
      </c>
    </row>
    <row r="38">
      <c r="A38" s="4" t="inlineStr">
        <is>
          <t xml:space="preserve">  ROIC - WACC spread (value created)</t>
        </is>
      </c>
      <c r="C38" s="11">
        <f>IFERROR(C36-WACC!$B$15,"")</f>
        <v/>
      </c>
      <c r="D38" s="11">
        <f>IFERROR(D36-WACC!$B$15,"")</f>
        <v/>
      </c>
      <c r="E38" s="11">
        <f>IFERROR(E36-WACC!$B$15,"")</f>
        <v/>
      </c>
      <c r="F38" s="11">
        <f>IFERROR(F36-WACC!$B$15,"")</f>
        <v/>
      </c>
      <c r="G38" s="11">
        <f>IFERROR(G36-WACC!$B$15,"")</f>
        <v/>
      </c>
      <c r="H38" s="11">
        <f>IFERROR(H36-WACC!$B$15,"")</f>
        <v/>
      </c>
      <c r="I38" s="11">
        <f>IFERROR(I36-WACC!$B$15,"")</f>
        <v/>
      </c>
      <c r="J38" s="11">
        <f>IFERROR(J36-WACC!$B$15,"")</f>
        <v/>
      </c>
      <c r="K38" s="11">
        <f>IFERROR(K36-WACC!$B$15,"")</f>
        <v/>
      </c>
      <c r="L38" s="11">
        <f>IFERROR(L36-WACC!$B$15,"")</f>
        <v/>
      </c>
      <c r="M38" s="11">
        <f>IFERROR(M36-WACC!$B$15,"")</f>
        <v/>
      </c>
      <c r="N38" s="11">
        <f>IFERROR(N36-WACC!$B$15,"")</f>
        <v/>
      </c>
      <c r="O38" s="11">
        <f>IFERROR(O36-WACC!$B$15,"")</f>
        <v/>
      </c>
      <c r="P38" s="11">
        <f>IFERROR(P36-WACC!$B$15,"")</f>
        <v/>
      </c>
    </row>
    <row r="39">
      <c r="A39" s="4" t="inlineStr">
        <is>
          <t xml:space="preserve">  Incremental op margin (ΔEBIT / ΔRev)</t>
        </is>
      </c>
      <c r="C39" s="25">
        <f>IFERROR((C19-B19)/(C6-B6),"")</f>
        <v/>
      </c>
      <c r="D39" s="25">
        <f>IFERROR((D19-C19)/(D6-C6),"")</f>
        <v/>
      </c>
      <c r="E39" s="25">
        <f>IFERROR((E19-D19)/(E6-D6),"")</f>
        <v/>
      </c>
      <c r="F39" s="25">
        <f>IFERROR((F19-E19)/(F6-E6),"")</f>
        <v/>
      </c>
      <c r="G39" s="25">
        <f>IFERROR((G19-F19)/(G6-F6),"")</f>
        <v/>
      </c>
      <c r="H39" s="25">
        <f>IFERROR((H19-G19)/(H6-G6),"")</f>
        <v/>
      </c>
      <c r="I39" s="25">
        <f>IFERROR((I19-H19)/(I6-H6),"")</f>
        <v/>
      </c>
      <c r="J39" s="25">
        <f>IFERROR((J19-I19)/(J6-I6),"")</f>
        <v/>
      </c>
      <c r="K39" s="25">
        <f>IFERROR((K19-J19)/(K6-J6),"")</f>
        <v/>
      </c>
      <c r="L39" s="25">
        <f>IFERROR((L19-K19)/(L6-K6),"")</f>
        <v/>
      </c>
      <c r="M39" s="25">
        <f>IFERROR((M19-L19)/(M6-L6),"")</f>
        <v/>
      </c>
      <c r="N39" s="25">
        <f>IFERROR((N19-M19)/(N6-M6),"")</f>
        <v/>
      </c>
      <c r="O39" s="25">
        <f>IFERROR((O19-N19)/(O6-N6),"")</f>
        <v/>
      </c>
      <c r="P39" s="25">
        <f>IFERROR((P19-O19)/(P6-O6),"")</f>
        <v/>
      </c>
    </row>
    <row r="40">
      <c r="A40" s="3" t="inlineStr">
        <is>
          <t xml:space="preserve">  ROIIC (ΔNOPAT / ΔInvested capital)</t>
        </is>
      </c>
      <c r="C40" s="25">
        <f>IFERROR((C23-B23)/(C34-B34),"")</f>
        <v/>
      </c>
      <c r="D40" s="25">
        <f>IFERROR((D23-C23)/(D34-C34),"")</f>
        <v/>
      </c>
      <c r="E40" s="25">
        <f>IFERROR((E23-D23)/(E34-D34),"")</f>
        <v/>
      </c>
      <c r="F40" s="25">
        <f>IFERROR((F23-E23)/(F34-E34),"")</f>
        <v/>
      </c>
      <c r="G40" s="25">
        <f>IFERROR((G23-F23)/(G34-F34),"")</f>
        <v/>
      </c>
      <c r="H40" s="25">
        <f>IFERROR((H23-G23)/(H34-G34),"")</f>
        <v/>
      </c>
      <c r="I40" s="25">
        <f>IFERROR((I23-H23)/(I34-H34),"")</f>
        <v/>
      </c>
      <c r="J40" s="25">
        <f>IFERROR((J23-I23)/(J34-I34),"")</f>
        <v/>
      </c>
      <c r="K40" s="25">
        <f>IFERROR((K23-J23)/(K34-J34),"")</f>
        <v/>
      </c>
      <c r="L40" s="25">
        <f>IFERROR((L23-K23)/(L34-K34),"")</f>
        <v/>
      </c>
      <c r="M40" s="25">
        <f>IFERROR((M23-L23)/(M34-L34),"")</f>
        <v/>
      </c>
      <c r="N40" s="25">
        <f>IFERROR((N23-M23)/(N34-M34),"")</f>
        <v/>
      </c>
      <c r="O40" s="25">
        <f>IFERROR((O23-N23)/(O34-N34),"")</f>
        <v/>
      </c>
      <c r="P40" s="25">
        <f>IFERROR((P23-O23)/(P34-O34),"")</f>
        <v/>
      </c>
    </row>
    <row r="41">
      <c r="A41" s="4" t="inlineStr">
        <is>
          <t xml:space="preserve">  Sales-to-capital (ΔRev / ΔInvested capital)</t>
        </is>
      </c>
      <c r="C41" s="44">
        <f>IFERROR((C6-B6)/(C34-B34),"")</f>
        <v/>
      </c>
      <c r="D41" s="44">
        <f>IFERROR((D6-C6)/(D34-C34),"")</f>
        <v/>
      </c>
      <c r="E41" s="44">
        <f>IFERROR((E6-D6)/(E34-D34),"")</f>
        <v/>
      </c>
      <c r="F41" s="44">
        <f>IFERROR((F6-E6)/(F34-E34),"")</f>
        <v/>
      </c>
      <c r="G41" s="44">
        <f>IFERROR((G6-F6)/(G34-F34),"")</f>
        <v/>
      </c>
      <c r="H41" s="44">
        <f>IFERROR((H6-G6)/(H34-G34),"")</f>
        <v/>
      </c>
      <c r="I41" s="44">
        <f>IFERROR((I6-H6)/(I34-H34),"")</f>
        <v/>
      </c>
      <c r="J41" s="44">
        <f>IFERROR((J6-I6)/(J34-I34),"")</f>
        <v/>
      </c>
      <c r="K41" s="44">
        <f>IFERROR((K6-J6)/(K34-J34),"")</f>
        <v/>
      </c>
      <c r="L41" s="44">
        <f>IFERROR((L6-K6)/(L34-K34),"")</f>
        <v/>
      </c>
      <c r="M41" s="44">
        <f>IFERROR((M6-L6)/(M34-L34),"")</f>
        <v/>
      </c>
      <c r="N41" s="44">
        <f>IFERROR((N6-M6)/(N34-M34),"")</f>
        <v/>
      </c>
      <c r="O41" s="44">
        <f>IFERROR((O6-N6)/(O34-N34),"")</f>
        <v/>
      </c>
      <c r="P41" s="44">
        <f>IFERROR((P6-O6)/(P34-O34),"")</f>
        <v/>
      </c>
    </row>
    <row r="42">
      <c r="A42" s="4" t="inlineStr">
        <is>
          <t xml:space="preserve">  Reinvestment rate (ΔInvested capital / NOPAT)</t>
        </is>
      </c>
      <c r="C42" s="25">
        <f>IFERROR((C34-B34)/C23,"")</f>
        <v/>
      </c>
      <c r="D42" s="25">
        <f>IFERROR((D34-C34)/D23,"")</f>
        <v/>
      </c>
      <c r="E42" s="25">
        <f>IFERROR((E34-D34)/E23,"")</f>
        <v/>
      </c>
      <c r="F42" s="25">
        <f>IFERROR((F34-E34)/F23,"")</f>
        <v/>
      </c>
      <c r="G42" s="25">
        <f>IFERROR((G34-F34)/G23,"")</f>
        <v/>
      </c>
      <c r="H42" s="25">
        <f>IFERROR((H34-G34)/H23,"")</f>
        <v/>
      </c>
      <c r="I42" s="25">
        <f>IFERROR((I34-H34)/I23,"")</f>
        <v/>
      </c>
      <c r="J42" s="25">
        <f>IFERROR((J34-I34)/J23,"")</f>
        <v/>
      </c>
      <c r="K42" s="25">
        <f>IFERROR((K34-J34)/K23,"")</f>
        <v/>
      </c>
      <c r="L42" s="25">
        <f>IFERROR((L34-K34)/L23,"")</f>
        <v/>
      </c>
      <c r="M42" s="25">
        <f>IFERROR((M34-L34)/M23,"")</f>
        <v/>
      </c>
      <c r="N42" s="25">
        <f>IFERROR((N34-M34)/N23,"")</f>
        <v/>
      </c>
      <c r="O42" s="25">
        <f>IFERROR((O34-N34)/O23,"")</f>
        <v/>
      </c>
      <c r="P42" s="25">
        <f>IFERROR((P34-O34)/P23,"")</f>
        <v/>
      </c>
    </row>
    <row r="44">
      <c r="A4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3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5" t="inlineStr">
        <is>
          <t>Q2 2019</t>
        </is>
      </c>
      <c r="C1" s="45" t="inlineStr">
        <is>
          <t>Q3 2019</t>
        </is>
      </c>
      <c r="D1" s="45" t="inlineStr">
        <is>
          <t>Q4 2019</t>
        </is>
      </c>
      <c r="E1" s="45" t="inlineStr">
        <is>
          <t>Q1 2020</t>
        </is>
      </c>
      <c r="F1" s="45" t="inlineStr">
        <is>
          <t>Q2 2020</t>
        </is>
      </c>
      <c r="G1" s="45" t="inlineStr">
        <is>
          <t>Q3 2020</t>
        </is>
      </c>
      <c r="H1" s="45" t="inlineStr">
        <is>
          <t>Q4 2020</t>
        </is>
      </c>
      <c r="I1" s="45" t="inlineStr">
        <is>
          <t>Q1 2021</t>
        </is>
      </c>
      <c r="J1" s="45" t="inlineStr">
        <is>
          <t>Q2 2021</t>
        </is>
      </c>
      <c r="K1" s="45" t="inlineStr">
        <is>
          <t>Q3 2021</t>
        </is>
      </c>
      <c r="L1" s="45" t="inlineStr">
        <is>
          <t>Q4 2021</t>
        </is>
      </c>
      <c r="M1" s="45" t="inlineStr">
        <is>
          <t>Q1 2022</t>
        </is>
      </c>
      <c r="N1" s="45" t="inlineStr">
        <is>
          <t>Q2 2022</t>
        </is>
      </c>
      <c r="O1" s="45" t="inlineStr">
        <is>
          <t>Q3 2022</t>
        </is>
      </c>
      <c r="P1" s="45" t="inlineStr">
        <is>
          <t>Q4 2022</t>
        </is>
      </c>
      <c r="Q1" s="45" t="inlineStr">
        <is>
          <t>Q1 2023</t>
        </is>
      </c>
      <c r="R1" s="45" t="inlineStr">
        <is>
          <t>Q2 2023</t>
        </is>
      </c>
      <c r="S1" s="45" t="inlineStr">
        <is>
          <t>Q3 2023</t>
        </is>
      </c>
      <c r="T1" s="45" t="inlineStr">
        <is>
          <t>Q4 2023</t>
        </is>
      </c>
      <c r="U1" s="45" t="inlineStr">
        <is>
          <t>Q1 2024</t>
        </is>
      </c>
      <c r="V1" s="45" t="inlineStr">
        <is>
          <t>Q2 2024</t>
        </is>
      </c>
      <c r="W1" s="45" t="inlineStr">
        <is>
          <t>Q3 2024</t>
        </is>
      </c>
      <c r="X1" s="45" t="inlineStr">
        <is>
          <t>Q4 2024</t>
        </is>
      </c>
      <c r="Y1" s="45" t="inlineStr">
        <is>
          <t>Q1 2025</t>
        </is>
      </c>
      <c r="Z1" s="45" t="inlineStr">
        <is>
          <t>Q2 2025</t>
        </is>
      </c>
      <c r="AA1" s="45" t="inlineStr">
        <is>
          <t>Q3 2025</t>
        </is>
      </c>
      <c r="AB1" s="45" t="inlineStr">
        <is>
          <t>Q4 2025</t>
        </is>
      </c>
      <c r="AC1" s="45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2041</v>
      </c>
      <c r="C3" s="18" t="n">
        <v>1999</v>
      </c>
      <c r="D3" s="18" t="n">
        <v>2107</v>
      </c>
      <c r="E3" s="18" t="n">
        <v>1913</v>
      </c>
      <c r="F3" s="18" t="n">
        <v>1781</v>
      </c>
      <c r="G3" s="18" t="n">
        <v>1933</v>
      </c>
      <c r="H3" s="18" t="n">
        <v>2092</v>
      </c>
      <c r="I3" s="18" t="n">
        <v>2612</v>
      </c>
      <c r="J3" s="18" t="n">
        <v>2283</v>
      </c>
      <c r="K3" s="18" t="n">
        <v>2475</v>
      </c>
      <c r="L3" s="18" t="n">
        <v>3257</v>
      </c>
      <c r="M3" s="18" t="n">
        <v>2524</v>
      </c>
      <c r="N3" s="18" t="n">
        <v>2490</v>
      </c>
      <c r="O3" s="18" t="n">
        <v>3021</v>
      </c>
      <c r="P3" s="18" t="n">
        <v>2930</v>
      </c>
      <c r="Q3" s="18" t="n">
        <v>3081</v>
      </c>
      <c r="R3" s="18" t="n">
        <v>2483</v>
      </c>
      <c r="S3" s="18" t="n">
        <v>2559</v>
      </c>
      <c r="T3" s="18" t="n">
        <v>2784</v>
      </c>
      <c r="U3" s="18" t="n">
        <v>2771</v>
      </c>
      <c r="V3" s="18" t="n">
        <v>2336</v>
      </c>
      <c r="W3" s="18" t="n">
        <v>2653</v>
      </c>
      <c r="X3" s="18" t="n">
        <v>2743</v>
      </c>
      <c r="Y3" s="18" t="n">
        <v>3048</v>
      </c>
      <c r="Z3" s="18" t="n">
        <v>2770</v>
      </c>
      <c r="AA3" s="18" t="n">
        <v>2923</v>
      </c>
      <c r="AB3" s="18" t="n">
        <v>3198</v>
      </c>
      <c r="AC3" s="18" t="n">
        <v>3030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931</v>
      </c>
      <c r="C5" s="18" t="n">
        <v>888</v>
      </c>
      <c r="D5" s="18" t="n">
        <v>980</v>
      </c>
      <c r="E5" s="18" t="n">
        <v>838</v>
      </c>
      <c r="F5" s="18" t="n">
        <v>716</v>
      </c>
      <c r="G5" s="18" t="n">
        <v>827</v>
      </c>
      <c r="H5" s="18" t="n">
        <v>953</v>
      </c>
      <c r="I5" s="18" t="n">
        <v>1391</v>
      </c>
      <c r="J5" s="18" t="n">
        <v>1178</v>
      </c>
      <c r="K5" s="18" t="n">
        <v>1558</v>
      </c>
      <c r="L5" s="18" t="n">
        <v>1747</v>
      </c>
      <c r="M5" s="18" t="n">
        <v>1331</v>
      </c>
      <c r="N5" s="18" t="n">
        <v>1403</v>
      </c>
      <c r="O5" s="18" t="n">
        <v>1519</v>
      </c>
      <c r="P5" s="18" t="n">
        <v>1213</v>
      </c>
      <c r="Q5" s="18" t="n">
        <v>1113</v>
      </c>
      <c r="R5" s="18" t="n">
        <v>980</v>
      </c>
      <c r="S5" s="18" t="n">
        <v>1036</v>
      </c>
      <c r="T5" s="18" t="n">
        <v>977</v>
      </c>
      <c r="U5" s="18" t="n">
        <v>1079</v>
      </c>
      <c r="V5" s="18" t="n">
        <v>981</v>
      </c>
      <c r="W5" s="18" t="n">
        <v>1090</v>
      </c>
      <c r="X5" s="18" t="n">
        <v>1187</v>
      </c>
      <c r="Y5" s="18" t="n">
        <v>1228</v>
      </c>
      <c r="Z5" s="18" t="n">
        <v>1715</v>
      </c>
      <c r="AA5" s="18" t="n">
        <v>471</v>
      </c>
      <c r="AB5" s="18" t="n">
        <v>1700</v>
      </c>
      <c r="AC5" s="18" t="n">
        <v>543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0</v>
      </c>
      <c r="C7" s="18" t="n">
        <v>0</v>
      </c>
      <c r="D7" s="18" t="n">
        <v>0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  <c r="T7" s="18" t="n">
        <v>0</v>
      </c>
      <c r="U7" s="18" t="n">
        <v>0</v>
      </c>
      <c r="V7" s="18" t="n">
        <v>0</v>
      </c>
      <c r="W7" s="18" t="n">
        <v>0</v>
      </c>
      <c r="X7" s="18" t="n">
        <v>0</v>
      </c>
      <c r="Y7" s="18" t="n">
        <v>0</v>
      </c>
      <c r="Z7" s="18" t="n">
        <v>0</v>
      </c>
      <c r="AA7" s="18" t="n">
        <v>0</v>
      </c>
      <c r="AB7" s="18" t="n">
        <v>0</v>
      </c>
      <c r="AC7" s="18" t="n">
        <v>0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152</v>
      </c>
      <c r="C9" s="18" t="n">
        <v>130</v>
      </c>
      <c r="D9" s="18" t="n">
        <v>148</v>
      </c>
      <c r="E9" s="18" t="n">
        <v>113</v>
      </c>
      <c r="F9" s="18" t="n">
        <v>127</v>
      </c>
      <c r="G9" s="18" t="n">
        <v>114</v>
      </c>
      <c r="H9" s="18" t="n">
        <v>112</v>
      </c>
      <c r="I9" s="18" t="n">
        <v>123</v>
      </c>
      <c r="J9" s="18" t="n">
        <v>114</v>
      </c>
      <c r="K9" s="18" t="n">
        <v>152</v>
      </c>
      <c r="L9" s="18" t="n">
        <v>169</v>
      </c>
      <c r="M9" s="18" t="n">
        <v>154</v>
      </c>
      <c r="N9" s="18" t="n">
        <v>160</v>
      </c>
      <c r="O9" s="18" t="n">
        <v>163</v>
      </c>
      <c r="P9" s="18" t="n">
        <v>159</v>
      </c>
      <c r="Q9" s="18" t="n">
        <v>176</v>
      </c>
      <c r="R9" s="18" t="n">
        <v>161</v>
      </c>
      <c r="S9" s="18" t="n">
        <v>146</v>
      </c>
      <c r="T9" s="18" t="n">
        <v>182</v>
      </c>
      <c r="U9" s="18" t="n">
        <v>186</v>
      </c>
      <c r="V9" s="18" t="n">
        <v>164</v>
      </c>
      <c r="W9" s="18" t="n">
        <v>170</v>
      </c>
      <c r="X9" s="18" t="n">
        <v>188</v>
      </c>
      <c r="Y9" s="18" t="n">
        <v>194</v>
      </c>
      <c r="Z9" s="18" t="n">
        <v>168</v>
      </c>
      <c r="AA9" s="18" t="n">
        <v>168</v>
      </c>
      <c r="AB9" s="18" t="n">
        <v>191</v>
      </c>
      <c r="AC9" s="18" t="n">
        <v>193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1110</v>
      </c>
      <c r="C11" s="18" t="n">
        <v>1111</v>
      </c>
      <c r="D11" s="18" t="n">
        <v>1127</v>
      </c>
      <c r="E11" s="18" t="n">
        <v>1075</v>
      </c>
      <c r="F11" s="18" t="n">
        <v>1065</v>
      </c>
      <c r="G11" s="18" t="n">
        <v>1106</v>
      </c>
      <c r="H11" s="18" t="n">
        <v>1139</v>
      </c>
      <c r="I11" s="18" t="n">
        <v>1221</v>
      </c>
      <c r="J11" s="18" t="n">
        <v>1105</v>
      </c>
      <c r="K11" s="18" t="n">
        <v>917</v>
      </c>
      <c r="L11" s="18" t="n">
        <v>1510</v>
      </c>
      <c r="M11" s="18" t="n">
        <v>1193</v>
      </c>
      <c r="N11" s="18" t="n">
        <v>1087</v>
      </c>
      <c r="O11" s="18" t="n">
        <v>1502</v>
      </c>
      <c r="P11" s="18" t="n">
        <v>1717</v>
      </c>
      <c r="Q11" s="18" t="n">
        <v>1968</v>
      </c>
      <c r="R11" s="18" t="n">
        <v>1503</v>
      </c>
      <c r="S11" s="18" t="n">
        <v>1523</v>
      </c>
      <c r="T11" s="18" t="n">
        <v>1807</v>
      </c>
      <c r="U11" s="18" t="n">
        <v>1692</v>
      </c>
      <c r="V11" s="18" t="n">
        <v>1355</v>
      </c>
      <c r="W11" s="18" t="n">
        <v>1563</v>
      </c>
      <c r="X11" s="18" t="n">
        <v>1556</v>
      </c>
      <c r="Y11" s="18" t="n">
        <v>1820</v>
      </c>
      <c r="Z11" s="18" t="n">
        <v>1055</v>
      </c>
      <c r="AA11" s="18" t="n">
        <v>2452</v>
      </c>
      <c r="AB11" s="18" t="n">
        <v>1498</v>
      </c>
      <c r="AC11" s="18" t="n">
        <v>2487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498</v>
      </c>
      <c r="C13" s="18" t="n">
        <v>628</v>
      </c>
      <c r="D13" s="18" t="n">
        <v>234</v>
      </c>
      <c r="E13" s="18" t="n">
        <v>431</v>
      </c>
      <c r="F13" s="18" t="n">
        <v>612</v>
      </c>
      <c r="G13" s="18" t="n">
        <v>641</v>
      </c>
      <c r="H13" s="18" t="n">
        <v>518</v>
      </c>
      <c r="I13" s="18" t="n">
        <v>739</v>
      </c>
      <c r="J13" s="18" t="n">
        <v>600</v>
      </c>
      <c r="K13" s="18" t="n">
        <v>355</v>
      </c>
      <c r="L13" s="18" t="n">
        <v>937</v>
      </c>
      <c r="M13" s="18" t="n">
        <v>654</v>
      </c>
      <c r="N13" s="18" t="n">
        <v>472</v>
      </c>
      <c r="O13" s="18" t="n">
        <v>820</v>
      </c>
      <c r="P13" s="18" t="n">
        <v>1072</v>
      </c>
      <c r="Q13" s="18" t="n">
        <v>1360</v>
      </c>
      <c r="R13" s="18" t="n">
        <v>870</v>
      </c>
      <c r="S13" s="18" t="n">
        <v>994</v>
      </c>
      <c r="T13" s="18" t="n">
        <v>1087</v>
      </c>
      <c r="U13" s="18" t="n">
        <v>1012</v>
      </c>
      <c r="V13" s="18" t="n">
        <v>696</v>
      </c>
      <c r="W13" s="18" t="n">
        <v>838</v>
      </c>
      <c r="X13" s="18" t="n">
        <v>793</v>
      </c>
      <c r="Y13" s="18" t="n">
        <v>1094</v>
      </c>
      <c r="Z13" s="18" t="n">
        <v>887</v>
      </c>
      <c r="AA13" s="18" t="n">
        <v>1109</v>
      </c>
      <c r="AB13" s="18" t="n">
        <v>1307</v>
      </c>
      <c r="AC13" s="18" t="n">
        <v>1321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310</v>
      </c>
      <c r="C15" s="18" t="n">
        <v>221</v>
      </c>
      <c r="D15" s="18" t="n">
        <v>124</v>
      </c>
      <c r="E15" s="18" t="n">
        <v>-517</v>
      </c>
      <c r="F15" s="18" t="n">
        <v>303</v>
      </c>
      <c r="G15" s="18" t="n">
        <v>309</v>
      </c>
      <c r="H15" s="18" t="n">
        <v>116</v>
      </c>
      <c r="I15" s="18" t="n">
        <v>426</v>
      </c>
      <c r="J15" s="18" t="n">
        <v>304</v>
      </c>
      <c r="K15" s="18" t="n">
        <v>165</v>
      </c>
      <c r="L15" s="18" t="n">
        <v>622</v>
      </c>
      <c r="M15" s="18" t="n">
        <v>380</v>
      </c>
      <c r="N15" s="18" t="n">
        <v>400</v>
      </c>
      <c r="O15" s="18" t="n">
        <v>600</v>
      </c>
      <c r="P15" s="18" t="n">
        <v>669</v>
      </c>
      <c r="Q15" s="18" t="n">
        <v>927</v>
      </c>
      <c r="R15" s="18" t="n">
        <v>460</v>
      </c>
      <c r="S15" s="18" t="n">
        <v>654</v>
      </c>
      <c r="T15" s="18" t="n">
        <v>1138</v>
      </c>
      <c r="U15" s="18" t="n">
        <v>632</v>
      </c>
      <c r="V15" s="18" t="n">
        <v>401</v>
      </c>
      <c r="W15" s="18" t="n">
        <v>706</v>
      </c>
      <c r="X15" s="18" t="n">
        <v>486</v>
      </c>
      <c r="Y15" s="18" t="n">
        <v>691</v>
      </c>
      <c r="Z15" s="18" t="n">
        <v>546</v>
      </c>
      <c r="AA15" s="18" t="n">
        <v>647</v>
      </c>
      <c r="AB15" s="18" t="n">
        <v>734</v>
      </c>
      <c r="AC15" s="18" t="n">
        <v>912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1214.065</v>
      </c>
      <c r="C17" s="18" t="n">
        <v>1214.165</v>
      </c>
      <c r="D17" s="18" t="n">
        <v>1213.019</v>
      </c>
      <c r="E17" s="18" t="n">
        <v>1213.019</v>
      </c>
      <c r="F17" s="18" t="n">
        <v>1214.581</v>
      </c>
      <c r="G17" s="18" t="n">
        <v>1215.335</v>
      </c>
      <c r="H17" s="18" t="n">
        <v>1217.211</v>
      </c>
      <c r="I17" s="18" t="n">
        <v>1217.211</v>
      </c>
      <c r="J17" s="18" t="n">
        <v>1217.476</v>
      </c>
      <c r="K17" s="18" t="n">
        <v>1217.979</v>
      </c>
      <c r="L17" s="18" t="n">
        <v>1217.979</v>
      </c>
      <c r="M17" s="18" t="n">
        <v>1221.279</v>
      </c>
      <c r="N17" s="18" t="n">
        <v>1222.694</v>
      </c>
      <c r="O17" s="18" t="n">
        <v>1222.472</v>
      </c>
      <c r="P17" s="18" t="n">
        <v>1223.744025</v>
      </c>
      <c r="Q17" s="18" t="n">
        <v>1225.781</v>
      </c>
      <c r="R17" s="18" t="n">
        <v>1219.915</v>
      </c>
      <c r="S17" s="18" t="n">
        <v>1220.073</v>
      </c>
      <c r="T17" s="18" t="n">
        <v>1222.831582</v>
      </c>
      <c r="U17" s="18" t="n">
        <v>1222.222</v>
      </c>
      <c r="V17" s="18" t="n">
        <v>1222.236</v>
      </c>
      <c r="W17" s="18" t="n">
        <v>1219.537</v>
      </c>
      <c r="X17" s="18" t="n">
        <v>1224.472</v>
      </c>
      <c r="Y17" s="18" t="n">
        <v>1220.661</v>
      </c>
      <c r="Z17" s="18" t="n">
        <v>1221.65</v>
      </c>
      <c r="AA17" s="18" t="n">
        <v>1222</v>
      </c>
      <c r="AB17" s="18" t="n">
        <v>1222</v>
      </c>
      <c r="AC17" s="18" t="n">
        <v>1223</v>
      </c>
    </row>
    <row r="18">
      <c r="A18" s="5" t="inlineStr">
        <is>
          <t xml:space="preserve">  REVENUE BY SEGMENT — GEOGRAPHY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West</t>
        </is>
      </c>
      <c r="Z19" s="18" t="n">
        <v>676</v>
      </c>
      <c r="AA19" s="18" t="n">
        <v>712</v>
      </c>
      <c r="AB19" s="18" t="n">
        <v>1459</v>
      </c>
      <c r="AC19" s="18" t="n">
        <v>756</v>
      </c>
    </row>
    <row r="20">
      <c r="A20" s="4" t="inlineStr">
        <is>
          <t xml:space="preserve">    % YoY</t>
        </is>
      </c>
      <c r="F20" s="25">
        <f>IFERROR(F19/B19-1,"")</f>
        <v/>
      </c>
      <c r="G20" s="25">
        <f>IFERROR(G19/C19-1,"")</f>
        <v/>
      </c>
      <c r="H20" s="25">
        <f>IFERROR(H19/D19-1,"")</f>
        <v/>
      </c>
      <c r="I20" s="25">
        <f>IFERROR(I19/E19-1,"")</f>
        <v/>
      </c>
      <c r="J20" s="25">
        <f>IFERROR(J19/F19-1,"")</f>
        <v/>
      </c>
      <c r="K20" s="25">
        <f>IFERROR(K19/G19-1,"")</f>
        <v/>
      </c>
      <c r="L20" s="25">
        <f>IFERROR(L19/H19-1,"")</f>
        <v/>
      </c>
      <c r="M20" s="25">
        <f>IFERROR(M19/I19-1,"")</f>
        <v/>
      </c>
      <c r="N20" s="25">
        <f>IFERROR(N19/J19-1,"")</f>
        <v/>
      </c>
      <c r="O20" s="25">
        <f>IFERROR(O19/K19-1,"")</f>
        <v/>
      </c>
      <c r="P20" s="25">
        <f>IFERROR(P19/L19-1,"")</f>
        <v/>
      </c>
      <c r="Q20" s="25">
        <f>IFERROR(Q19/M19-1,"")</f>
        <v/>
      </c>
      <c r="R20" s="25">
        <f>IFERROR(R19/N19-1,"")</f>
        <v/>
      </c>
      <c r="S20" s="25">
        <f>IFERROR(S19/O19-1,"")</f>
        <v/>
      </c>
      <c r="T20" s="25">
        <f>IFERROR(T19/P19-1,"")</f>
        <v/>
      </c>
      <c r="U20" s="25">
        <f>IFERROR(U19/Q19-1,"")</f>
        <v/>
      </c>
      <c r="V20" s="25">
        <f>IFERROR(V19/R19-1,"")</f>
        <v/>
      </c>
      <c r="W20" s="25">
        <f>IFERROR(W19/S19-1,"")</f>
        <v/>
      </c>
      <c r="X20" s="25">
        <f>IFERROR(X19/T19-1,"")</f>
        <v/>
      </c>
      <c r="Y20" s="25">
        <f>IFERROR(Y19/U19-1,"")</f>
        <v/>
      </c>
      <c r="Z20" s="25">
        <f>IFERROR(Z19/V19-1,"")</f>
        <v/>
      </c>
      <c r="AA20" s="25">
        <f>IFERROR(AA19/W19-1,"")</f>
        <v/>
      </c>
      <c r="AB20" s="25">
        <f>IFERROR(AB19/X19-1,"")</f>
        <v/>
      </c>
      <c r="AC20" s="25">
        <f>IFERROR(AC19/Y19-1,"")</f>
        <v/>
      </c>
    </row>
    <row r="21">
      <c r="A21" s="4" t="inlineStr">
        <is>
          <t xml:space="preserve">    % of revenue</t>
        </is>
      </c>
      <c r="B21" s="25">
        <f>IFERROR(B19/B3,"")</f>
        <v/>
      </c>
      <c r="C21" s="25">
        <f>IFERROR(C19/C3,"")</f>
        <v/>
      </c>
      <c r="D21" s="25">
        <f>IFERROR(D19/D3,"")</f>
        <v/>
      </c>
      <c r="E21" s="25">
        <f>IFERROR(E19/E3,"")</f>
        <v/>
      </c>
      <c r="F21" s="25">
        <f>IFERROR(F19/F3,"")</f>
        <v/>
      </c>
      <c r="G21" s="25">
        <f>IFERROR(G19/G3,"")</f>
        <v/>
      </c>
      <c r="H21" s="25">
        <f>IFERROR(H19/H3,"")</f>
        <v/>
      </c>
      <c r="I21" s="25">
        <f>IFERROR(I19/I3,"")</f>
        <v/>
      </c>
      <c r="J21" s="25">
        <f>IFERROR(J19/J3,"")</f>
        <v/>
      </c>
      <c r="K21" s="25">
        <f>IFERROR(K19/K3,"")</f>
        <v/>
      </c>
      <c r="L21" s="25">
        <f>IFERROR(L19/L3,"")</f>
        <v/>
      </c>
      <c r="M21" s="25">
        <f>IFERROR(M19/M3,"")</f>
        <v/>
      </c>
      <c r="N21" s="25">
        <f>IFERROR(N19/N3,"")</f>
        <v/>
      </c>
      <c r="O21" s="25">
        <f>IFERROR(O19/O3,"")</f>
        <v/>
      </c>
      <c r="P21" s="25">
        <f>IFERROR(P19/P3,"")</f>
        <v/>
      </c>
      <c r="Q21" s="25">
        <f>IFERROR(Q19/Q3,"")</f>
        <v/>
      </c>
      <c r="R21" s="25">
        <f>IFERROR(R19/R3,"")</f>
        <v/>
      </c>
      <c r="S21" s="25">
        <f>IFERROR(S19/S3,"")</f>
        <v/>
      </c>
      <c r="T21" s="25">
        <f>IFERROR(T19/T3,"")</f>
        <v/>
      </c>
      <c r="U21" s="25">
        <f>IFERROR(U19/U3,"")</f>
        <v/>
      </c>
      <c r="V21" s="25">
        <f>IFERROR(V19/V3,"")</f>
        <v/>
      </c>
      <c r="W21" s="25">
        <f>IFERROR(W19/W3,"")</f>
        <v/>
      </c>
      <c r="X21" s="25">
        <f>IFERROR(X19/X3,"")</f>
        <v/>
      </c>
      <c r="Y21" s="25">
        <f>IFERROR(Y19/Y3,"")</f>
        <v/>
      </c>
      <c r="Z21" s="25">
        <f>IFERROR(Z19/Z3,"")</f>
        <v/>
      </c>
      <c r="AA21" s="25">
        <f>IFERROR(AA19/AA3,"")</f>
        <v/>
      </c>
      <c r="AB21" s="25">
        <f>IFERROR(AB19/AB3,"")</f>
        <v/>
      </c>
      <c r="AC21" s="25">
        <f>IFERROR(AC19/AC3,"")</f>
        <v/>
      </c>
    </row>
    <row r="22">
      <c r="A22" s="5" t="inlineStr">
        <is>
          <t xml:space="preserve">  BALANCE SHEET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</row>
    <row r="23">
      <c r="A23" s="4" t="inlineStr">
        <is>
          <t>Cash &amp; ST Investments</t>
        </is>
      </c>
      <c r="B23" s="18" t="n">
        <v>806</v>
      </c>
      <c r="C23" s="18" t="n">
        <v>247</v>
      </c>
      <c r="D23" s="18" t="n">
        <v>289</v>
      </c>
      <c r="E23" s="18" t="n">
        <v>400</v>
      </c>
      <c r="F23" s="18" t="n">
        <v>1133</v>
      </c>
      <c r="G23" s="18" t="n">
        <v>70</v>
      </c>
      <c r="H23" s="18" t="n">
        <v>142</v>
      </c>
      <c r="I23" s="18" t="n">
        <v>1126</v>
      </c>
      <c r="J23" s="18" t="n">
        <v>1201</v>
      </c>
      <c r="K23" s="18" t="n">
        <v>214</v>
      </c>
      <c r="L23" s="18" t="n">
        <v>1680</v>
      </c>
      <c r="M23" s="18" t="n">
        <v>604</v>
      </c>
      <c r="N23" s="18" t="n">
        <v>133</v>
      </c>
      <c r="O23" s="18" t="n">
        <v>859</v>
      </c>
      <c r="P23" s="18" t="n">
        <v>152</v>
      </c>
      <c r="Q23" s="18" t="n">
        <v>477</v>
      </c>
      <c r="R23" s="18" t="n">
        <v>551</v>
      </c>
      <c r="S23" s="18" t="n">
        <v>2074</v>
      </c>
      <c r="T23" s="18" t="n">
        <v>2150</v>
      </c>
      <c r="U23" s="18" t="n">
        <v>667</v>
      </c>
      <c r="V23" s="18" t="n">
        <v>55</v>
      </c>
      <c r="W23" s="18" t="n">
        <v>762</v>
      </c>
      <c r="X23" s="18" t="n">
        <v>60</v>
      </c>
      <c r="Y23" s="18" t="n">
        <v>100</v>
      </c>
      <c r="Z23" s="18" t="n">
        <v>903</v>
      </c>
      <c r="AA23" s="18" t="n">
        <v>70</v>
      </c>
      <c r="AB23" s="18" t="n">
        <v>63</v>
      </c>
      <c r="AC23" s="18" t="n">
        <v>950</v>
      </c>
    </row>
    <row r="24">
      <c r="A24" s="4" t="inlineStr">
        <is>
          <t>Total Current Assets</t>
        </is>
      </c>
      <c r="B24" s="18" t="n">
        <v>2028</v>
      </c>
      <c r="C24" s="18" t="n">
        <v>1434</v>
      </c>
      <c r="D24" s="18" t="n">
        <v>1580</v>
      </c>
      <c r="E24" s="18" t="n">
        <v>1565</v>
      </c>
      <c r="F24" s="18" t="n">
        <v>2338</v>
      </c>
      <c r="G24" s="18" t="n">
        <v>1403</v>
      </c>
      <c r="H24" s="18" t="n">
        <v>1429</v>
      </c>
      <c r="I24" s="18" t="n">
        <v>2497</v>
      </c>
      <c r="J24" s="18" t="n">
        <v>2625</v>
      </c>
      <c r="K24" s="18" t="n">
        <v>2885</v>
      </c>
      <c r="L24" s="18" t="n">
        <v>4549</v>
      </c>
      <c r="M24" s="18" t="n">
        <v>3154</v>
      </c>
      <c r="N24" s="18" t="n">
        <v>3787</v>
      </c>
      <c r="O24" s="18" t="n">
        <v>4438</v>
      </c>
      <c r="P24" s="18" t="n">
        <v>3797</v>
      </c>
      <c r="Q24" s="18" t="n">
        <v>2757</v>
      </c>
      <c r="R24" s="18" t="n">
        <v>2639</v>
      </c>
      <c r="S24" s="18" t="n">
        <v>4256</v>
      </c>
      <c r="T24" s="18" t="n">
        <v>4513</v>
      </c>
      <c r="U24" s="18" t="n">
        <v>2610</v>
      </c>
      <c r="V24" s="18" t="n">
        <v>2115</v>
      </c>
      <c r="W24" s="18" t="n">
        <v>2698</v>
      </c>
      <c r="X24" s="18" t="n">
        <v>2661</v>
      </c>
      <c r="Y24" s="18" t="n">
        <v>2535</v>
      </c>
      <c r="Z24" s="18" t="n">
        <v>3221</v>
      </c>
      <c r="AA24" s="18" t="n">
        <v>2271</v>
      </c>
      <c r="AB24" s="18" t="n">
        <v>3244</v>
      </c>
      <c r="AC24" s="18" t="n">
        <v>3320</v>
      </c>
    </row>
    <row r="25">
      <c r="A25" s="4" t="inlineStr">
        <is>
          <t>PP&amp;E (net)</t>
        </is>
      </c>
      <c r="B25" s="18" t="n">
        <v>29131</v>
      </c>
      <c r="C25" s="18" t="n">
        <v>29613</v>
      </c>
      <c r="D25" s="18" t="n">
        <v>29200</v>
      </c>
      <c r="E25" s="18" t="n">
        <v>29141</v>
      </c>
      <c r="F25" s="18" t="n">
        <v>29137</v>
      </c>
      <c r="G25" s="18" t="n">
        <v>29107</v>
      </c>
      <c r="H25" s="18" t="n">
        <v>28929</v>
      </c>
      <c r="I25" s="18" t="n">
        <v>29076</v>
      </c>
      <c r="J25" s="18" t="n">
        <v>29299</v>
      </c>
      <c r="K25" s="18" t="n">
        <v>29314</v>
      </c>
      <c r="L25" s="18" t="n">
        <v>29258</v>
      </c>
      <c r="M25" s="18" t="n">
        <v>29186</v>
      </c>
      <c r="N25" s="18" t="n">
        <v>29660</v>
      </c>
      <c r="O25" s="18" t="n">
        <v>30338</v>
      </c>
      <c r="P25" s="18" t="n">
        <v>30889</v>
      </c>
      <c r="Q25" s="18" t="n">
        <v>32095</v>
      </c>
      <c r="R25" s="18" t="n">
        <v>32346</v>
      </c>
      <c r="S25" s="18" t="n">
        <v>32628</v>
      </c>
      <c r="T25" s="18" t="n">
        <v>34311</v>
      </c>
      <c r="U25" s="18" t="n">
        <v>36451</v>
      </c>
      <c r="V25" s="18" t="n">
        <v>36702</v>
      </c>
      <c r="W25" s="18" t="n">
        <v>37974</v>
      </c>
      <c r="X25" s="18" t="n">
        <v>38692</v>
      </c>
      <c r="Y25" s="18" t="n">
        <v>39155</v>
      </c>
      <c r="Z25" s="18" t="n">
        <v>39773</v>
      </c>
      <c r="AA25" s="18" t="n">
        <v>60305</v>
      </c>
      <c r="AB25" s="18" t="n">
        <v>41996</v>
      </c>
      <c r="AC25" s="18" t="n">
        <v>43134</v>
      </c>
    </row>
    <row r="26">
      <c r="A26" s="4" t="inlineStr">
        <is>
          <t>Total Assets</t>
        </is>
      </c>
      <c r="B26" s="18" t="n">
        <v>46509</v>
      </c>
      <c r="C26" s="18" t="n">
        <v>46281</v>
      </c>
      <c r="D26" s="18" t="n">
        <v>46040</v>
      </c>
      <c r="E26" s="18" t="n">
        <v>44629</v>
      </c>
      <c r="F26" s="18" t="n">
        <v>45343</v>
      </c>
      <c r="G26" s="18" t="n">
        <v>44320</v>
      </c>
      <c r="H26" s="18" t="n">
        <v>44165</v>
      </c>
      <c r="I26" s="18" t="n">
        <v>45262</v>
      </c>
      <c r="J26" s="18" t="n">
        <v>45507</v>
      </c>
      <c r="K26" s="18" t="n">
        <v>45985</v>
      </c>
      <c r="L26" s="18" t="n">
        <v>47612</v>
      </c>
      <c r="M26" s="18" t="n">
        <v>46049</v>
      </c>
      <c r="N26" s="18" t="n">
        <v>47555</v>
      </c>
      <c r="O26" s="18" t="n">
        <v>48672</v>
      </c>
      <c r="P26" s="18" t="n">
        <v>48433</v>
      </c>
      <c r="Q26" s="18" t="n">
        <v>48936</v>
      </c>
      <c r="R26" s="18" t="n">
        <v>49025</v>
      </c>
      <c r="S26" s="18" t="n">
        <v>50788</v>
      </c>
      <c r="T26" s="18" t="n">
        <v>52627</v>
      </c>
      <c r="U26" s="18" t="n">
        <v>52747</v>
      </c>
      <c r="V26" s="18" t="n">
        <v>52409</v>
      </c>
      <c r="W26" s="18" t="n">
        <v>53837</v>
      </c>
      <c r="X26" s="18" t="n">
        <v>54532</v>
      </c>
      <c r="Y26" s="18" t="n">
        <v>54924</v>
      </c>
      <c r="Z26" s="18" t="n">
        <v>56141</v>
      </c>
      <c r="AA26" s="18" t="n">
        <v>55736</v>
      </c>
      <c r="AB26" s="18" t="n">
        <v>58573</v>
      </c>
      <c r="AC26" s="18" t="n">
        <v>59569</v>
      </c>
    </row>
    <row r="27">
      <c r="A27" s="4" t="inlineStr">
        <is>
          <t>Total Current Liabilities</t>
        </is>
      </c>
      <c r="B27" s="18" t="n">
        <v>3389</v>
      </c>
      <c r="C27" s="18" t="n">
        <v>3324</v>
      </c>
      <c r="D27" s="18" t="n">
        <v>3968</v>
      </c>
      <c r="E27" s="18" t="n">
        <v>2116</v>
      </c>
      <c r="F27" s="18" t="n">
        <v>2438</v>
      </c>
      <c r="G27" s="18" t="n">
        <v>1861</v>
      </c>
      <c r="H27" s="18" t="n">
        <v>2319</v>
      </c>
      <c r="I27" s="18" t="n">
        <v>3535</v>
      </c>
      <c r="J27" s="18" t="n">
        <v>3759</v>
      </c>
      <c r="K27" s="18" t="n">
        <v>4940</v>
      </c>
      <c r="L27" s="18" t="n">
        <v>4972</v>
      </c>
      <c r="M27" s="18" t="n">
        <v>4308</v>
      </c>
      <c r="N27" s="18" t="n">
        <v>5838</v>
      </c>
      <c r="O27" s="18" t="n">
        <v>5017</v>
      </c>
      <c r="P27" s="18" t="n">
        <v>4890</v>
      </c>
      <c r="Q27" s="18" t="n">
        <v>4020</v>
      </c>
      <c r="R27" s="18" t="n">
        <v>5384</v>
      </c>
      <c r="S27" s="18" t="n">
        <v>5526</v>
      </c>
      <c r="T27" s="18" t="n">
        <v>5830</v>
      </c>
      <c r="U27" s="18" t="n">
        <v>4981</v>
      </c>
      <c r="V27" s="18" t="n">
        <v>4696</v>
      </c>
      <c r="W27" s="18" t="n">
        <v>4719</v>
      </c>
      <c r="X27" s="18" t="n">
        <v>5312</v>
      </c>
      <c r="Y27" s="18" t="n">
        <v>6266</v>
      </c>
      <c r="Z27" s="18" t="n">
        <v>6012</v>
      </c>
      <c r="AA27" s="18" t="n">
        <v>5377</v>
      </c>
      <c r="AB27" s="18" t="n">
        <v>6106</v>
      </c>
      <c r="AC27" s="18" t="n">
        <v>4006</v>
      </c>
    </row>
    <row r="28">
      <c r="A28" s="4" t="inlineStr">
        <is>
          <t>Long-term Debt</t>
        </is>
      </c>
      <c r="B28" s="18" t="n">
        <v>20711</v>
      </c>
      <c r="C28" s="18" t="n">
        <v>20719</v>
      </c>
      <c r="D28" s="18" t="n">
        <v>20148</v>
      </c>
      <c r="E28" s="18" t="n">
        <v>21848</v>
      </c>
      <c r="F28" s="18" t="n">
        <v>22323</v>
      </c>
      <c r="G28" s="18" t="n">
        <v>21951</v>
      </c>
      <c r="H28" s="18" t="n">
        <v>21451</v>
      </c>
      <c r="I28" s="18" t="n">
        <v>21092</v>
      </c>
      <c r="J28" s="18" t="n">
        <v>21091</v>
      </c>
      <c r="K28" s="18" t="n">
        <v>20338</v>
      </c>
      <c r="L28" s="18" t="n">
        <v>21650</v>
      </c>
      <c r="M28" s="18" t="n">
        <v>20801</v>
      </c>
      <c r="N28" s="18" t="n">
        <v>20800</v>
      </c>
      <c r="O28" s="18" t="n">
        <v>22530</v>
      </c>
      <c r="P28" s="18" t="n">
        <v>21927</v>
      </c>
      <c r="Q28" s="18" t="n">
        <v>22785</v>
      </c>
      <c r="R28" s="18" t="n">
        <v>21532</v>
      </c>
      <c r="S28" s="18" t="n">
        <v>22772</v>
      </c>
      <c r="T28" s="18" t="n">
        <v>23376</v>
      </c>
      <c r="U28" s="18" t="n">
        <v>24100</v>
      </c>
      <c r="V28" s="18" t="n">
        <v>24096</v>
      </c>
      <c r="W28" s="18" t="n">
        <v>24825</v>
      </c>
      <c r="X28" s="18" t="n">
        <v>24736</v>
      </c>
      <c r="Y28" s="18" t="n">
        <v>24122</v>
      </c>
      <c r="Z28" s="18" t="n">
        <v>25603</v>
      </c>
      <c r="AA28" s="18" t="n">
        <v>25589</v>
      </c>
      <c r="AB28" s="18" t="n">
        <v>27316</v>
      </c>
      <c r="AC28" s="18" t="n">
        <v>30054</v>
      </c>
    </row>
    <row r="29">
      <c r="A29" s="4" t="inlineStr">
        <is>
          <t>Total Equity</t>
        </is>
      </c>
      <c r="B29" s="18" t="n">
        <v>13848</v>
      </c>
      <c r="C29" s="18" t="n">
        <v>13621</v>
      </c>
      <c r="D29" s="18" t="n">
        <v>13363</v>
      </c>
      <c r="E29" s="18" t="n">
        <v>12354</v>
      </c>
      <c r="F29" s="18" t="n">
        <v>12212</v>
      </c>
      <c r="G29" s="18" t="n">
        <v>12065</v>
      </c>
      <c r="H29" s="18" t="n">
        <v>11769</v>
      </c>
      <c r="I29" s="18" t="n">
        <v>11702</v>
      </c>
      <c r="J29" s="18" t="n">
        <v>11512</v>
      </c>
      <c r="K29" s="18" t="n">
        <v>11198</v>
      </c>
      <c r="L29" s="18" t="n">
        <v>11423</v>
      </c>
      <c r="M29" s="18" t="n">
        <v>11316</v>
      </c>
      <c r="N29" s="18" t="n">
        <v>11226</v>
      </c>
      <c r="O29" s="18" t="n">
        <v>11319</v>
      </c>
      <c r="P29" s="18" t="n">
        <v>11485</v>
      </c>
      <c r="Q29" s="18" t="n">
        <v>11785</v>
      </c>
      <c r="R29" s="18" t="n">
        <v>11679</v>
      </c>
      <c r="S29" s="18" t="n">
        <v>11845</v>
      </c>
      <c r="T29" s="18" t="n">
        <v>12402</v>
      </c>
      <c r="U29" s="18" t="n">
        <v>12449</v>
      </c>
      <c r="V29" s="18" t="n">
        <v>12296</v>
      </c>
      <c r="W29" s="18" t="n">
        <v>12428</v>
      </c>
      <c r="X29" s="18" t="n">
        <v>12436</v>
      </c>
      <c r="Y29" s="18" t="n">
        <v>12487</v>
      </c>
      <c r="Z29" s="18" t="n">
        <v>12438</v>
      </c>
      <c r="AA29" s="18" t="n">
        <v>12520</v>
      </c>
      <c r="AB29" s="18" t="n">
        <v>12807</v>
      </c>
      <c r="AC29" s="18" t="n">
        <v>12992</v>
      </c>
    </row>
    <row r="30">
      <c r="A30" s="5" t="inlineStr">
        <is>
          <t xml:space="preserve">  CASH FLOW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</row>
    <row r="31">
      <c r="A31" s="4" t="inlineStr">
        <is>
          <t>D&amp;A</t>
        </is>
      </c>
      <c r="B31" s="18" t="n">
        <v>424</v>
      </c>
      <c r="C31" s="18" t="n">
        <v>435</v>
      </c>
      <c r="D31" s="18" t="n">
        <v>439</v>
      </c>
      <c r="E31" s="18" t="n">
        <v>429</v>
      </c>
      <c r="F31" s="18" t="n">
        <v>430</v>
      </c>
      <c r="G31" s="18" t="n">
        <v>426</v>
      </c>
      <c r="H31" s="18" t="n">
        <v>436</v>
      </c>
      <c r="I31" s="18" t="n">
        <v>438</v>
      </c>
      <c r="J31" s="18" t="n">
        <v>463</v>
      </c>
      <c r="K31" s="18" t="n">
        <v>487</v>
      </c>
      <c r="L31" s="18" t="n">
        <v>454</v>
      </c>
      <c r="M31" s="18" t="n">
        <v>509</v>
      </c>
      <c r="N31" s="18" t="n">
        <v>519</v>
      </c>
      <c r="O31" s="18" t="n">
        <v>500</v>
      </c>
      <c r="P31" s="18" t="n">
        <v>505</v>
      </c>
      <c r="Q31" s="18" t="n">
        <v>506</v>
      </c>
      <c r="R31" s="18" t="n">
        <v>515</v>
      </c>
      <c r="S31" s="18" t="n">
        <v>521</v>
      </c>
      <c r="T31" s="18" t="n">
        <v>529</v>
      </c>
      <c r="U31" s="18" t="n">
        <v>548</v>
      </c>
      <c r="V31" s="18" t="n">
        <v>540</v>
      </c>
      <c r="W31" s="18" t="n">
        <v>527</v>
      </c>
      <c r="X31" s="18" t="n">
        <v>565</v>
      </c>
      <c r="Y31" s="18" t="n">
        <v>585</v>
      </c>
      <c r="Z31" s="18" t="n">
        <v>605</v>
      </c>
      <c r="AA31" s="18" t="n">
        <v>564</v>
      </c>
      <c r="AB31" s="18" t="n">
        <v>522</v>
      </c>
      <c r="AC31" s="18" t="n">
        <v>584</v>
      </c>
    </row>
    <row r="32">
      <c r="A32" s="4" t="inlineStr">
        <is>
          <t>Stock-based Compensation</t>
        </is>
      </c>
      <c r="B32" s="18" t="n">
        <v>16</v>
      </c>
      <c r="C32" s="18" t="n">
        <v>14</v>
      </c>
      <c r="D32" s="18" t="n">
        <v>13</v>
      </c>
      <c r="E32" s="18" t="n">
        <v>9</v>
      </c>
      <c r="F32" s="18" t="n">
        <v>15</v>
      </c>
      <c r="G32" s="18" t="n">
        <v>15</v>
      </c>
      <c r="H32" s="18" t="n">
        <v>13</v>
      </c>
      <c r="I32" s="18" t="n">
        <v>20</v>
      </c>
      <c r="J32" s="18" t="n">
        <v>19</v>
      </c>
      <c r="K32" s="18" t="n">
        <v>21</v>
      </c>
      <c r="L32" s="18" t="n">
        <v>21</v>
      </c>
      <c r="M32" s="18" t="n">
        <v>21</v>
      </c>
      <c r="N32" s="18" t="n">
        <v>15</v>
      </c>
      <c r="O32" s="18" t="n">
        <v>22</v>
      </c>
      <c r="P32" s="18" t="n">
        <v>15</v>
      </c>
      <c r="Q32" s="18" t="n">
        <v>17</v>
      </c>
      <c r="R32" s="18" t="n">
        <v>23</v>
      </c>
      <c r="S32" s="18" t="n">
        <v>19</v>
      </c>
      <c r="T32" s="18" t="n">
        <v>18</v>
      </c>
      <c r="U32" s="18" t="n">
        <v>24</v>
      </c>
      <c r="V32" s="18" t="n">
        <v>24</v>
      </c>
      <c r="W32" s="18" t="n">
        <v>-48</v>
      </c>
      <c r="X32" s="18" t="n">
        <v>30</v>
      </c>
      <c r="Y32" s="18" t="n">
        <v>30</v>
      </c>
      <c r="Z32" s="18" t="n">
        <v>19</v>
      </c>
      <c r="AA32" s="18" t="n">
        <v>-49</v>
      </c>
      <c r="AB32" s="18" t="n">
        <v>0</v>
      </c>
      <c r="AC32" s="18" t="n">
        <v>22</v>
      </c>
    </row>
    <row r="33">
      <c r="A33" s="4" t="inlineStr">
        <is>
          <t>Change in Working Capital</t>
        </is>
      </c>
      <c r="B33" s="18" t="n">
        <v>176</v>
      </c>
      <c r="C33" s="18" t="n">
        <v>-71</v>
      </c>
      <c r="D33" s="18" t="n">
        <v>-4</v>
      </c>
      <c r="E33" s="18" t="n">
        <v>-176</v>
      </c>
      <c r="F33" s="18" t="n">
        <v>219</v>
      </c>
      <c r="G33" s="18" t="n">
        <v>-460</v>
      </c>
      <c r="H33" s="18" t="n">
        <v>94</v>
      </c>
      <c r="I33" s="18" t="n">
        <v>-167</v>
      </c>
      <c r="J33" s="18" t="n">
        <v>101</v>
      </c>
      <c r="K33" s="18" t="n">
        <v>-287</v>
      </c>
      <c r="L33" s="18" t="n">
        <v>44</v>
      </c>
      <c r="M33" s="18" t="n">
        <v>-143</v>
      </c>
      <c r="N33" s="18" t="n">
        <v>-85</v>
      </c>
      <c r="O33" s="18" t="n">
        <v>209</v>
      </c>
      <c r="P33" s="18" t="n">
        <v>-360</v>
      </c>
      <c r="Q33" s="18" t="n">
        <v>-1</v>
      </c>
      <c r="R33" s="18" t="n">
        <v>229</v>
      </c>
      <c r="S33" s="18" t="n">
        <v>-63</v>
      </c>
      <c r="T33" s="18" t="n">
        <v>40</v>
      </c>
      <c r="U33" s="18" t="n">
        <v>-299</v>
      </c>
      <c r="V33" s="18" t="n">
        <v>-9</v>
      </c>
      <c r="W33" s="18" t="n">
        <v>308</v>
      </c>
      <c r="X33" s="18" t="n">
        <v>-172</v>
      </c>
      <c r="Y33" s="18" t="n">
        <v>-54</v>
      </c>
      <c r="Z33" s="18" t="n">
        <v>85</v>
      </c>
      <c r="AA33" s="18" t="n">
        <v>-31</v>
      </c>
      <c r="AB33" s="18" t="n">
        <v>-124</v>
      </c>
      <c r="AC33" s="18" t="n">
        <v>-148</v>
      </c>
    </row>
    <row r="34">
      <c r="A34" s="4" t="inlineStr">
        <is>
          <t>Operating Cash Flow</t>
        </is>
      </c>
      <c r="B34" s="18" t="n">
        <v>1069</v>
      </c>
      <c r="C34" s="18" t="n">
        <v>858</v>
      </c>
      <c r="D34" s="18" t="n">
        <v>991</v>
      </c>
      <c r="E34" s="18" t="n">
        <v>787</v>
      </c>
      <c r="F34" s="18" t="n">
        <v>1143</v>
      </c>
      <c r="G34" s="18" t="n">
        <v>452</v>
      </c>
      <c r="H34" s="18" t="n">
        <v>1114</v>
      </c>
      <c r="I34" s="18" t="n">
        <v>915</v>
      </c>
      <c r="J34" s="18" t="n">
        <v>1057</v>
      </c>
      <c r="K34" s="18" t="n">
        <v>834</v>
      </c>
      <c r="L34" s="18" t="n">
        <v>1139</v>
      </c>
      <c r="M34" s="18" t="n">
        <v>1082</v>
      </c>
      <c r="N34" s="18" t="n">
        <v>1098</v>
      </c>
      <c r="O34" s="18" t="n">
        <v>1490</v>
      </c>
      <c r="P34" s="18" t="n">
        <v>1219</v>
      </c>
      <c r="Q34" s="18" t="n">
        <v>1514</v>
      </c>
      <c r="R34" s="18" t="n">
        <v>1377</v>
      </c>
      <c r="S34" s="18" t="n">
        <v>1234</v>
      </c>
      <c r="T34" s="18" t="n">
        <v>1813</v>
      </c>
      <c r="U34" s="18" t="n">
        <v>1234</v>
      </c>
      <c r="V34" s="18" t="n">
        <v>1279</v>
      </c>
      <c r="W34" s="18" t="n">
        <v>1243</v>
      </c>
      <c r="X34" s="18" t="n">
        <v>1218</v>
      </c>
      <c r="Y34" s="18" t="n">
        <v>1433</v>
      </c>
      <c r="Z34" s="18" t="n">
        <v>1450</v>
      </c>
      <c r="AA34" s="18" t="n">
        <v>1439</v>
      </c>
      <c r="AB34" s="18" t="n">
        <v>1576</v>
      </c>
      <c r="AC34" s="18" t="n">
        <v>1603</v>
      </c>
    </row>
    <row r="35">
      <c r="A35" s="4" t="inlineStr">
        <is>
          <t>Capex</t>
        </is>
      </c>
      <c r="B35" s="18" t="n">
        <v>-508</v>
      </c>
      <c r="C35" s="18" t="n">
        <v>-803</v>
      </c>
      <c r="D35" s="18" t="n">
        <v>-412</v>
      </c>
      <c r="E35" s="18" t="n">
        <v>-309</v>
      </c>
      <c r="F35" s="18" t="n">
        <v>-320</v>
      </c>
      <c r="G35" s="18" t="n">
        <v>-339</v>
      </c>
      <c r="H35" s="18" t="n">
        <v>-307</v>
      </c>
      <c r="I35" s="18" t="n">
        <v>-261</v>
      </c>
      <c r="J35" s="18" t="n">
        <v>-429</v>
      </c>
      <c r="K35" s="18" t="n">
        <v>-267</v>
      </c>
      <c r="L35" s="18" t="n">
        <v>-290</v>
      </c>
      <c r="M35" s="18" t="n">
        <v>-297</v>
      </c>
      <c r="N35" s="18" t="n">
        <v>-320</v>
      </c>
      <c r="O35" s="18" t="n">
        <v>-849</v>
      </c>
      <c r="P35" s="18" t="n">
        <v>-817</v>
      </c>
      <c r="Q35" s="18" t="n">
        <v>-552</v>
      </c>
      <c r="R35" s="18" t="n">
        <v>-624</v>
      </c>
      <c r="S35" s="18" t="n">
        <v>-702</v>
      </c>
      <c r="T35" s="18" t="n">
        <v>-689</v>
      </c>
      <c r="U35" s="18" t="n">
        <v>-544</v>
      </c>
      <c r="V35" s="18" t="n">
        <v>-579</v>
      </c>
      <c r="W35" s="18" t="n">
        <v>-682</v>
      </c>
      <c r="X35" s="18" t="n">
        <v>-800</v>
      </c>
      <c r="Y35" s="18" t="n">
        <v>-1012</v>
      </c>
      <c r="Z35" s="18" t="n">
        <v>-972</v>
      </c>
      <c r="AA35" s="18" t="n">
        <v>-954</v>
      </c>
      <c r="AB35" s="18" t="n">
        <v>-2061</v>
      </c>
      <c r="AC35" s="18" t="n">
        <v>-1359</v>
      </c>
    </row>
    <row r="36">
      <c r="A36" s="4" t="inlineStr">
        <is>
          <t>Free Cash Flow</t>
        </is>
      </c>
      <c r="B36" s="18" t="n">
        <v>561</v>
      </c>
      <c r="C36" s="18" t="n">
        <v>55</v>
      </c>
      <c r="D36" s="18" t="n">
        <v>579</v>
      </c>
      <c r="E36" s="18" t="n">
        <v>478</v>
      </c>
      <c r="F36" s="18" t="n">
        <v>823</v>
      </c>
      <c r="G36" s="18" t="n">
        <v>113</v>
      </c>
      <c r="H36" s="18" t="n">
        <v>807</v>
      </c>
      <c r="I36" s="18" t="n">
        <v>654</v>
      </c>
      <c r="J36" s="18" t="n">
        <v>628</v>
      </c>
      <c r="K36" s="18" t="n">
        <v>567</v>
      </c>
      <c r="L36" s="18" t="n">
        <v>849</v>
      </c>
      <c r="M36" s="18" t="n">
        <v>785</v>
      </c>
      <c r="N36" s="18" t="n">
        <v>778</v>
      </c>
      <c r="O36" s="18" t="n">
        <v>641</v>
      </c>
      <c r="P36" s="18" t="n">
        <v>402</v>
      </c>
      <c r="Q36" s="18" t="n">
        <v>962</v>
      </c>
      <c r="R36" s="18" t="n">
        <v>753</v>
      </c>
      <c r="S36" s="18" t="n">
        <v>532</v>
      </c>
      <c r="T36" s="18" t="n">
        <v>1124</v>
      </c>
      <c r="U36" s="18" t="n">
        <v>690</v>
      </c>
      <c r="V36" s="18" t="n">
        <v>700</v>
      </c>
      <c r="W36" s="18" t="n">
        <v>561</v>
      </c>
      <c r="X36" s="18" t="n">
        <v>418</v>
      </c>
      <c r="Y36" s="18" t="n">
        <v>421</v>
      </c>
      <c r="Z36" s="18" t="n">
        <v>478</v>
      </c>
      <c r="AA36" s="18" t="n">
        <v>485</v>
      </c>
      <c r="AB36" s="18" t="n">
        <v>-485</v>
      </c>
      <c r="AC36" s="18" t="n">
        <v>244</v>
      </c>
    </row>
    <row r="38">
      <c r="A38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5" t="n">
        <v>2026</v>
      </c>
      <c r="C2" s="45" t="n">
        <v>2027</v>
      </c>
      <c r="D2" s="45" t="n">
        <v>2028</v>
      </c>
      <c r="E2" s="45" t="n">
        <v>2029</v>
      </c>
      <c r="F2" s="45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12345.522493</v>
      </c>
      <c r="C4" s="18" t="n">
        <v>13555.662412</v>
      </c>
      <c r="D4" s="18" t="n">
        <v>15291.665868</v>
      </c>
      <c r="E4" s="18" t="n">
        <v>16085.333333</v>
      </c>
      <c r="F4" s="18" t="n">
        <v>17712.5</v>
      </c>
    </row>
    <row r="5">
      <c r="A5" s="4" t="inlineStr">
        <is>
          <t xml:space="preserve">  model</t>
        </is>
      </c>
      <c r="B5" s="33">
        <f>Model!G6</f>
        <v/>
      </c>
      <c r="C5" s="33">
        <f>Model!H6</f>
        <v/>
      </c>
      <c r="D5" s="33">
        <f>Model!I6</f>
        <v/>
      </c>
      <c r="E5" s="33">
        <f>Model!J6</f>
        <v/>
      </c>
      <c r="F5" s="33">
        <f>Model!K6</f>
        <v/>
      </c>
    </row>
    <row r="6">
      <c r="A6" s="4" t="inlineStr">
        <is>
          <t xml:space="preserve">  vs consensus</t>
        </is>
      </c>
      <c r="B6" s="46">
        <f>IFERROR(B5/B4-1,"")</f>
        <v/>
      </c>
      <c r="C6" s="46">
        <f>IFERROR(C5/C4-1,"")</f>
        <v/>
      </c>
      <c r="D6" s="46">
        <f>IFERROR(D5/D4-1,"")</f>
        <v/>
      </c>
      <c r="E6" s="46">
        <f>IFERROR(E5/E4-1,"")</f>
        <v/>
      </c>
      <c r="F6" s="46">
        <f>IFERROR(F5/F4-1,"")</f>
        <v/>
      </c>
    </row>
    <row r="8">
      <c r="A8" s="3" t="inlineStr">
        <is>
          <t>EBITDA* — consensus</t>
        </is>
      </c>
      <c r="B8" s="18" t="n">
        <v>7288.614068</v>
      </c>
      <c r="C8" s="18" t="n">
        <v>8003.062796</v>
      </c>
      <c r="D8" s="18" t="n">
        <v>9027.973586</v>
      </c>
      <c r="E8" s="18" t="n">
        <v>9496.543131</v>
      </c>
      <c r="F8" s="18" t="n">
        <v>10457.198289</v>
      </c>
    </row>
    <row r="9">
      <c r="A9" s="4" t="inlineStr">
        <is>
          <t xml:space="preserve">  model</t>
        </is>
      </c>
      <c r="B9" s="33">
        <f>Model!G19+Model!G24</f>
        <v/>
      </c>
      <c r="C9" s="33">
        <f>Model!H19+Model!H24</f>
        <v/>
      </c>
      <c r="D9" s="33">
        <f>Model!I19+Model!I24</f>
        <v/>
      </c>
      <c r="E9" s="33">
        <f>Model!J19+Model!J24</f>
        <v/>
      </c>
      <c r="F9" s="33">
        <f>Model!K19+Model!K24</f>
        <v/>
      </c>
    </row>
    <row r="10">
      <c r="A10" s="4" t="inlineStr">
        <is>
          <t xml:space="preserve">  vs consensus</t>
        </is>
      </c>
      <c r="B10" s="46">
        <f>IFERROR(B9/B8-1,"")</f>
        <v/>
      </c>
      <c r="C10" s="46">
        <f>IFERROR(C9/C8-1,"")</f>
        <v/>
      </c>
      <c r="D10" s="46">
        <f>IFERROR(D9/D8-1,"")</f>
        <v/>
      </c>
      <c r="E10" s="46">
        <f>IFERROR(E9/E8-1,"")</f>
        <v/>
      </c>
      <c r="F10" s="46">
        <f>IFERROR(F9/F8-1,"")</f>
        <v/>
      </c>
    </row>
    <row r="12">
      <c r="A12" s="3" t="inlineStr">
        <is>
          <t>EBIT* — consensus</t>
        </is>
      </c>
      <c r="B12" s="18" t="n">
        <v>4932.831303</v>
      </c>
      <c r="C12" s="18" t="n">
        <v>5416.360135</v>
      </c>
      <c r="D12" s="18" t="n">
        <v>6110.005317</v>
      </c>
      <c r="E12" s="18" t="n">
        <v>6427.126582</v>
      </c>
      <c r="F12" s="18" t="n">
        <v>7077.284457</v>
      </c>
    </row>
    <row r="13">
      <c r="A13" s="4" t="inlineStr">
        <is>
          <t xml:space="preserve">  model</t>
        </is>
      </c>
      <c r="B13" s="33">
        <f>Model!G19</f>
        <v/>
      </c>
      <c r="C13" s="33">
        <f>Model!H19</f>
        <v/>
      </c>
      <c r="D13" s="33">
        <f>Model!I19</f>
        <v/>
      </c>
      <c r="E13" s="33">
        <f>Model!J19</f>
        <v/>
      </c>
      <c r="F13" s="33">
        <f>Model!K19</f>
        <v/>
      </c>
    </row>
    <row r="14">
      <c r="A14" s="4" t="inlineStr">
        <is>
          <t xml:space="preserve">  vs consensus</t>
        </is>
      </c>
      <c r="B14" s="46">
        <f>IFERROR(B13/B12-1,"")</f>
        <v/>
      </c>
      <c r="C14" s="46">
        <f>IFERROR(C13/C12-1,"")</f>
        <v/>
      </c>
      <c r="D14" s="46">
        <f>IFERROR(D13/D12-1,"")</f>
        <v/>
      </c>
      <c r="E14" s="46">
        <f>IFERROR(E13/E12-1,"")</f>
        <v/>
      </c>
      <c r="F14" s="46">
        <f>IFERROR(F13/F12-1,"")</f>
        <v/>
      </c>
    </row>
    <row r="16">
      <c r="A16" s="3" t="inlineStr">
        <is>
          <t>SG&amp;A — consensus</t>
        </is>
      </c>
      <c r="B16" s="18" t="n">
        <v>738.816702</v>
      </c>
      <c r="C16" s="18" t="n">
        <v>811.237419</v>
      </c>
      <c r="D16" s="18" t="n">
        <v>915.128392</v>
      </c>
      <c r="E16" s="18" t="n">
        <v>962.625351</v>
      </c>
      <c r="F16" s="18" t="n">
        <v>1060.002997</v>
      </c>
    </row>
    <row r="17">
      <c r="A17" s="4" t="inlineStr">
        <is>
          <t xml:space="preserve">  model</t>
        </is>
      </c>
      <c r="B17" s="33">
        <f>Model!G14</f>
        <v/>
      </c>
      <c r="C17" s="33">
        <f>Model!H14</f>
        <v/>
      </c>
      <c r="D17" s="33">
        <f>Model!I14</f>
        <v/>
      </c>
      <c r="E17" s="33">
        <f>Model!J14</f>
        <v/>
      </c>
      <c r="F17" s="33">
        <f>Model!K14</f>
        <v/>
      </c>
    </row>
    <row r="18">
      <c r="A18" s="4" t="inlineStr">
        <is>
          <t xml:space="preserve">  vs consensus</t>
        </is>
      </c>
      <c r="B18" s="46">
        <f>IFERROR(B17/B16-1,"")</f>
        <v/>
      </c>
      <c r="C18" s="46">
        <f>IFERROR(C17/C16-1,"")</f>
        <v/>
      </c>
      <c r="D18" s="46">
        <f>IFERROR(D17/D16-1,"")</f>
        <v/>
      </c>
      <c r="E18" s="46">
        <f>IFERROR(E17/E16-1,"")</f>
        <v/>
      </c>
      <c r="F18" s="46">
        <f>IFERROR(F17/F16-1,"")</f>
        <v/>
      </c>
    </row>
    <row r="20">
      <c r="A20" s="3" t="inlineStr">
        <is>
          <t>Net income (NOPAT) — consensus</t>
        </is>
      </c>
      <c r="B20" s="18" t="n">
        <v>2937.74497</v>
      </c>
      <c r="C20" s="18" t="n">
        <v>3260.26681</v>
      </c>
      <c r="D20" s="18" t="n">
        <v>3940.47646</v>
      </c>
      <c r="E20" s="18" t="n">
        <v>4736.197953</v>
      </c>
      <c r="F20" s="18" t="n">
        <v>5653.230004</v>
      </c>
    </row>
    <row r="21">
      <c r="A21" s="4" t="inlineStr">
        <is>
          <t xml:space="preserve">  model</t>
        </is>
      </c>
      <c r="B21" s="33">
        <f>Model!G23</f>
        <v/>
      </c>
      <c r="C21" s="33">
        <f>Model!H23</f>
        <v/>
      </c>
      <c r="D21" s="33">
        <f>Model!I23</f>
        <v/>
      </c>
      <c r="E21" s="33">
        <f>Model!J23</f>
        <v/>
      </c>
      <c r="F21" s="33">
        <f>Model!K23</f>
        <v/>
      </c>
    </row>
    <row r="22">
      <c r="A22" s="4" t="inlineStr">
        <is>
          <t xml:space="preserve">  vs consensus</t>
        </is>
      </c>
      <c r="B22" s="46">
        <f>IFERROR(B21/B20-1,"")</f>
        <v/>
      </c>
      <c r="C22" s="46">
        <f>IFERROR(C21/C20-1,"")</f>
        <v/>
      </c>
      <c r="D22" s="46">
        <f>IFERROR(D21/D20-1,"")</f>
        <v/>
      </c>
      <c r="E22" s="46">
        <f>IFERROR(E21/E20-1,"")</f>
        <v/>
      </c>
      <c r="F22" s="46">
        <f>IFERROR(F21/F20-1,"")</f>
        <v/>
      </c>
    </row>
    <row r="24">
      <c r="A24" s="3" t="inlineStr">
        <is>
          <t>EPS — consensus</t>
        </is>
      </c>
      <c r="B24" s="47" t="n">
        <v>2.36389</v>
      </c>
      <c r="C24" s="47" t="n">
        <v>2.56913</v>
      </c>
      <c r="D24" s="47" t="n">
        <v>3.11985</v>
      </c>
      <c r="E24" s="47" t="n">
        <v>3.87895</v>
      </c>
      <c r="F24" s="47" t="n">
        <v>4.63</v>
      </c>
    </row>
    <row r="25">
      <c r="A25" s="4" t="inlineStr">
        <is>
          <t xml:space="preserve">  model</t>
        </is>
      </c>
      <c r="B25" s="8">
        <f>Model!G23/Financials!AC17</f>
        <v/>
      </c>
      <c r="C25" s="8">
        <f>Model!H23/Financials!AC17</f>
        <v/>
      </c>
      <c r="D25" s="8">
        <f>Model!I23/Financials!AC17</f>
        <v/>
      </c>
      <c r="E25" s="8">
        <f>Model!J23/Financials!AC17</f>
        <v/>
      </c>
      <c r="F25" s="8">
        <f>Model!K23/Financials!AC17</f>
        <v/>
      </c>
    </row>
    <row r="26">
      <c r="A26" s="4" t="inlineStr">
        <is>
          <t xml:space="preserve">  vs consensus</t>
        </is>
      </c>
      <c r="B26" s="46">
        <f>IFERROR(B25/B24-1,"")</f>
        <v/>
      </c>
      <c r="C26" s="46">
        <f>IFERROR(C25/C24-1,"")</f>
        <v/>
      </c>
      <c r="D26" s="46">
        <f>IFERROR(D25/D24-1,"")</f>
        <v/>
      </c>
      <c r="E26" s="46">
        <f>IFERROR(E25/E24-1,"")</f>
        <v/>
      </c>
      <c r="F26" s="46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The Williams Companies, Inc.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5" t="n">
        <v>2026</v>
      </c>
      <c r="D11" s="45" t="n">
        <v>2027</v>
      </c>
      <c r="E11" s="45" t="n">
        <v>2028</v>
      </c>
      <c r="F11" s="45" t="n">
        <v>2029</v>
      </c>
      <c r="G11" s="45" t="n">
        <v>2030</v>
      </c>
      <c r="H11" s="45" t="n">
        <v>2031</v>
      </c>
      <c r="I11" s="45" t="n">
        <v>2032</v>
      </c>
      <c r="J11" s="45" t="n">
        <v>2033</v>
      </c>
      <c r="K11" s="45" t="n">
        <v>2034</v>
      </c>
      <c r="L11" s="45" t="n">
        <v>2035</v>
      </c>
    </row>
    <row r="12">
      <c r="A12" s="4" t="inlineStr">
        <is>
          <t>FCFF ($M)</t>
        </is>
      </c>
      <c r="C12" s="33">
        <f>Model!G31</f>
        <v/>
      </c>
      <c r="D12" s="33">
        <f>Model!H31</f>
        <v/>
      </c>
      <c r="E12" s="33">
        <f>Model!I31</f>
        <v/>
      </c>
      <c r="F12" s="33">
        <f>Model!J31</f>
        <v/>
      </c>
      <c r="G12" s="33">
        <f>Model!K31</f>
        <v/>
      </c>
      <c r="H12" s="33">
        <f>Model!L31</f>
        <v/>
      </c>
      <c r="I12" s="33">
        <f>Model!M31</f>
        <v/>
      </c>
      <c r="J12" s="33">
        <f>Model!N31</f>
        <v/>
      </c>
      <c r="K12" s="33">
        <f>Model!O31</f>
        <v/>
      </c>
      <c r="L12" s="33">
        <f>Model!P31</f>
        <v/>
      </c>
    </row>
    <row r="13">
      <c r="A13" s="4" t="inlineStr">
        <is>
          <t>PV factor</t>
        </is>
      </c>
      <c r="C13" s="48">
        <f>1/(1+$B$3)^1</f>
        <v/>
      </c>
      <c r="D13" s="48">
        <f>1/(1+$B$3)^2</f>
        <v/>
      </c>
      <c r="E13" s="48">
        <f>1/(1+$B$3)^3</f>
        <v/>
      </c>
      <c r="F13" s="48">
        <f>1/(1+$B$3)^4</f>
        <v/>
      </c>
      <c r="G13" s="48">
        <f>1/(1+$B$3)^5</f>
        <v/>
      </c>
      <c r="H13" s="48">
        <f>1/(1+$B$3)^6</f>
        <v/>
      </c>
      <c r="I13" s="48">
        <f>1/(1+$B$3)^7</f>
        <v/>
      </c>
      <c r="J13" s="48">
        <f>1/(1+$B$3)^8</f>
        <v/>
      </c>
      <c r="K13" s="48">
        <f>1/(1+$B$3)^9</f>
        <v/>
      </c>
      <c r="L13" s="48">
        <f>1/(1+$B$3)^10</f>
        <v/>
      </c>
    </row>
    <row r="14">
      <c r="A14" s="4" t="inlineStr">
        <is>
          <t>PV of FCFF ($M)</t>
        </is>
      </c>
      <c r="C14" s="41">
        <f>C12*C13</f>
        <v/>
      </c>
      <c r="D14" s="41">
        <f>D12*D13</f>
        <v/>
      </c>
      <c r="E14" s="41">
        <f>E12*E13</f>
        <v/>
      </c>
      <c r="F14" s="41">
        <f>F12*F13</f>
        <v/>
      </c>
      <c r="G14" s="41">
        <f>G12*G13</f>
        <v/>
      </c>
      <c r="H14" s="41">
        <f>H12*H13</f>
        <v/>
      </c>
      <c r="I14" s="41">
        <f>I12*I13</f>
        <v/>
      </c>
      <c r="J14" s="41">
        <f>J12*J13</f>
        <v/>
      </c>
      <c r="K14" s="41">
        <f>K12*K13</f>
        <v/>
      </c>
      <c r="L14" s="41">
        <f>L12*L13</f>
        <v/>
      </c>
    </row>
    <row r="16">
      <c r="A16" s="3" t="inlineStr">
        <is>
          <t>Sum PV of FCFF</t>
        </is>
      </c>
      <c r="B16" s="42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1">
        <f>L12</f>
        <v/>
      </c>
    </row>
    <row r="20">
      <c r="A20" s="4" t="inlineStr">
        <is>
          <t>Terminal revenue</t>
        </is>
      </c>
      <c r="B20" s="33">
        <f>Model!P6</f>
        <v/>
      </c>
    </row>
    <row r="21">
      <c r="A21" s="4" t="inlineStr">
        <is>
          <t>Terminal EBIT</t>
        </is>
      </c>
      <c r="B21" s="33">
        <f>Model!P19</f>
        <v/>
      </c>
    </row>
    <row r="22">
      <c r="A22" s="4" t="inlineStr">
        <is>
          <t>Terminal EBITDA (SBC-burdened)</t>
        </is>
      </c>
      <c r="B22" s="33">
        <f>Model!P19+Model!P24-Model!P25</f>
        <v/>
      </c>
    </row>
    <row r="23">
      <c r="A23" s="4" t="inlineStr">
        <is>
          <t>Terminal metric (per exit basis)</t>
        </is>
      </c>
      <c r="B23" s="41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1">
        <f>B23*$B$8</f>
        <v/>
      </c>
    </row>
    <row r="25">
      <c r="A25" s="4" t="inlineStr">
        <is>
          <t>PV of TV — exit multiple</t>
        </is>
      </c>
      <c r="B25" s="41">
        <f>B24/(1+$B$3)^10</f>
        <v/>
      </c>
    </row>
    <row r="26">
      <c r="A26" s="4" t="inlineStr">
        <is>
          <t>TV (perpetuity) = FCFF(1+g)/(WACC-g)</t>
        </is>
      </c>
      <c r="B26" s="41">
        <f>B19*(1+$B$4)/($B$3-$B$4)</f>
        <v/>
      </c>
    </row>
    <row r="27">
      <c r="A27" s="4" t="inlineStr">
        <is>
          <t>PV of TV — perpetuity</t>
        </is>
      </c>
      <c r="B27" s="41">
        <f>B26/(1+$B$3)^10</f>
        <v/>
      </c>
    </row>
    <row r="28">
      <c r="A28" s="3" t="inlineStr">
        <is>
          <t>PV of TV — SELECTED</t>
        </is>
      </c>
      <c r="B28" s="42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2">
        <f>B16+B28</f>
        <v/>
      </c>
    </row>
    <row r="32">
      <c r="A32" s="4" t="inlineStr">
        <is>
          <t>+ Cash &amp; ST investments</t>
        </is>
      </c>
      <c r="B32" s="33">
        <f>Financials!AC23</f>
        <v/>
      </c>
    </row>
    <row r="33">
      <c r="A33" s="4" t="inlineStr">
        <is>
          <t>- Long-term debt</t>
        </is>
      </c>
      <c r="B33" s="33">
        <f>-Financials!AC28</f>
        <v/>
      </c>
    </row>
    <row r="34">
      <c r="A34" s="3" t="inlineStr">
        <is>
          <t>Equity value</t>
        </is>
      </c>
      <c r="B34" s="42">
        <f>B31+B32+B33</f>
        <v/>
      </c>
    </row>
    <row r="35">
      <c r="A35" s="4" t="inlineStr">
        <is>
          <t>Diluted shares (M)</t>
        </is>
      </c>
      <c r="B35" s="33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49">
        <f>-$B$2</f>
        <v/>
      </c>
      <c r="C44" s="50">
        <f>C12/B35</f>
        <v/>
      </c>
      <c r="D44" s="50">
        <f>D12/B35</f>
        <v/>
      </c>
      <c r="E44" s="50">
        <f>E12/B35</f>
        <v/>
      </c>
      <c r="F44" s="50">
        <f>F12/B35</f>
        <v/>
      </c>
      <c r="G44" s="50">
        <f>G12/B35</f>
        <v/>
      </c>
      <c r="H44" s="50">
        <f>H12/B35</f>
        <v/>
      </c>
      <c r="I44" s="50">
        <f>I12/B35</f>
        <v/>
      </c>
      <c r="J44" s="50">
        <f>J12/B35</f>
        <v/>
      </c>
      <c r="K44" s="50">
        <f>K12/B35</f>
        <v/>
      </c>
      <c r="L44" s="50">
        <f>L12/B35+B36</f>
        <v/>
      </c>
    </row>
    <row r="45">
      <c r="A45" s="3" t="inlineStr">
        <is>
          <t>IRR (buy at price, hold 10y)</t>
        </is>
      </c>
      <c r="B45" s="38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1" t="n">
        <v>0.04719333787793438</v>
      </c>
      <c r="C4" s="51" t="n">
        <v>0.05219333787793438</v>
      </c>
      <c r="D4" s="51" t="n">
        <v>0.05719333787793438</v>
      </c>
      <c r="E4" s="51" t="n">
        <v>0.06219333787793438</v>
      </c>
      <c r="F4" s="51" t="n">
        <v>0.06719333787793438</v>
      </c>
      <c r="G4" s="51" t="n">
        <v>0.07219333787793437</v>
      </c>
      <c r="H4" s="51" t="n">
        <v>0.07719333787793438</v>
      </c>
    </row>
    <row r="5">
      <c r="A5" s="52" t="n">
        <v>9</v>
      </c>
      <c r="B5" s="53" t="n">
        <v>60.55919300910117</v>
      </c>
      <c r="C5" s="53" t="n">
        <v>56.8992736796801</v>
      </c>
      <c r="D5" s="53" t="n">
        <v>53.41916539155121</v>
      </c>
      <c r="E5" s="53" t="n">
        <v>50.1091394956515</v>
      </c>
      <c r="F5" s="53" t="n">
        <v>46.96003905192082</v>
      </c>
      <c r="G5" s="53" t="n">
        <v>43.96324266361854</v>
      </c>
      <c r="H5" s="53" t="n">
        <v>41.11063075808122</v>
      </c>
    </row>
    <row r="6">
      <c r="A6" s="52" t="n">
        <v>10</v>
      </c>
      <c r="B6" s="53" t="n">
        <v>67.69906925874247</v>
      </c>
      <c r="C6" s="53" t="n">
        <v>63.7070286207604</v>
      </c>
      <c r="D6" s="53" t="n">
        <v>59.91171406309637</v>
      </c>
      <c r="E6" s="53" t="n">
        <v>56.30246147768494</v>
      </c>
      <c r="F6" s="53" t="n">
        <v>52.8692342527028</v>
      </c>
      <c r="G6" s="53" t="n">
        <v>49.6025835404435</v>
      </c>
      <c r="H6" s="53" t="n">
        <v>46.49361121480518</v>
      </c>
    </row>
    <row r="7">
      <c r="A7" s="52" t="n">
        <v>11</v>
      </c>
      <c r="B7" s="8" t="n">
        <v>74.83894550838374</v>
      </c>
      <c r="C7" s="53" t="n">
        <v>70.51478356184069</v>
      </c>
      <c r="D7" s="53" t="n">
        <v>66.40426273464152</v>
      </c>
      <c r="E7" s="53" t="n">
        <v>62.49578345971838</v>
      </c>
      <c r="F7" s="53" t="n">
        <v>58.7784294534848</v>
      </c>
      <c r="G7" s="53" t="n">
        <v>55.24192441726846</v>
      </c>
      <c r="H7" s="53" t="n">
        <v>51.87659167152914</v>
      </c>
    </row>
    <row r="8">
      <c r="A8" s="52" t="n">
        <v>12</v>
      </c>
      <c r="B8" s="8" t="n">
        <v>81.97882175802503</v>
      </c>
      <c r="C8" s="8" t="n">
        <v>77.32253850292098</v>
      </c>
      <c r="D8" s="53" t="n">
        <v>72.89681140618666</v>
      </c>
      <c r="E8" s="54" t="n">
        <v>68.68910544175179</v>
      </c>
      <c r="F8" s="53" t="n">
        <v>64.68762465426677</v>
      </c>
      <c r="G8" s="53" t="n">
        <v>60.88126529409342</v>
      </c>
      <c r="H8" s="53" t="n">
        <v>57.25957212825309</v>
      </c>
    </row>
    <row r="9">
      <c r="A9" s="52" t="n">
        <v>13</v>
      </c>
      <c r="B9" s="8" t="n">
        <v>89.11869800766631</v>
      </c>
      <c r="C9" s="8" t="n">
        <v>84.13029344400125</v>
      </c>
      <c r="D9" s="8" t="n">
        <v>79.38936007773182</v>
      </c>
      <c r="E9" s="8" t="n">
        <v>74.88242742378523</v>
      </c>
      <c r="F9" s="53" t="n">
        <v>70.59681985504875</v>
      </c>
      <c r="G9" s="53" t="n">
        <v>66.52060617091838</v>
      </c>
      <c r="H9" s="53" t="n">
        <v>62.64255258497705</v>
      </c>
    </row>
    <row r="10">
      <c r="A10" s="52" t="n">
        <v>14</v>
      </c>
      <c r="B10" s="8" t="n">
        <v>96.25857425730763</v>
      </c>
      <c r="C10" s="8" t="n">
        <v>90.93804838508156</v>
      </c>
      <c r="D10" s="8" t="n">
        <v>85.88190874927697</v>
      </c>
      <c r="E10" s="8" t="n">
        <v>81.07574940581867</v>
      </c>
      <c r="F10" s="8" t="n">
        <v>76.50601505583074</v>
      </c>
      <c r="G10" s="53" t="n">
        <v>72.15994704774336</v>
      </c>
      <c r="H10" s="53" t="n">
        <v>68.02553304170102</v>
      </c>
    </row>
    <row r="11">
      <c r="A11" s="52" t="n">
        <v>15</v>
      </c>
      <c r="B11" s="8" t="n">
        <v>103.3984505069489</v>
      </c>
      <c r="C11" s="8" t="n">
        <v>97.74580332616185</v>
      </c>
      <c r="D11" s="8" t="n">
        <v>92.37445742082211</v>
      </c>
      <c r="E11" s="8" t="n">
        <v>87.26907138785211</v>
      </c>
      <c r="F11" s="8" t="n">
        <v>82.41521025661272</v>
      </c>
      <c r="G11" s="8" t="n">
        <v>77.79928792456832</v>
      </c>
      <c r="H11" s="53" t="n">
        <v>73.40851349842498</v>
      </c>
    </row>
    <row r="13">
      <c r="A13" s="3" t="inlineStr">
        <is>
          <t>Current price</t>
        </is>
      </c>
      <c r="B13" s="53" t="n">
        <v>74.03500366210938</v>
      </c>
    </row>
    <row r="14">
      <c r="A14" s="3" t="inlineStr">
        <is>
          <t>Base WACC / multiple</t>
        </is>
      </c>
      <c r="B14" s="55" t="n">
        <v>0.06219333787793438</v>
      </c>
      <c r="C14" s="56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Model!F6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49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Model!F20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49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8" t="n">
        <v>0.1906357316358154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49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8" t="n">
        <v>2.336479857153622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49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(Model!P6/Model!F6)^(1/10)-1</f>
        <v/>
      </c>
      <c r="D6" s="15" t="n">
        <v>0.03</v>
      </c>
      <c r="H6" s="4" t="inlineStr">
        <is>
          <t>nwc (% incr revenue)</t>
        </is>
      </c>
      <c r="I6" s="48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49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49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8" t="n">
        <v>0.9851539825873225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49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Financials!AC23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49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Financials!AC28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49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49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9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49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49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9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49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9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49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9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49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49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49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49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49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49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49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49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9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49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9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49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9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49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9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49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9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49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9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49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9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49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49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49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49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7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49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7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49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7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49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7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49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7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49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7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49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7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49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7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49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7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49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7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49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7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49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7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49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7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49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7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49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7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49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49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49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49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49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49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49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49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49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49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49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49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49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49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49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49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49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49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49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49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49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49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49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49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49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49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49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49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49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49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49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49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49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49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49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49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49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49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49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49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49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49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49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49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49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49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49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49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49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49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49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49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49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49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49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49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49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49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49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49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49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49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49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49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49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49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49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49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49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49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49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49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49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49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49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49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49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49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49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49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49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49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49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49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49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49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49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49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49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49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49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49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49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49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49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49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49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49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49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49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49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49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49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49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49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49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49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49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49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49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49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49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49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49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49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49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49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49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49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49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49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49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49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49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49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49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49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49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49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49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49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49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49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49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49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49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49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49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49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49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49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49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49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49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49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49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49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49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49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49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49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49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49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49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49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49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49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49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49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49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49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49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49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49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49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49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49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49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49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49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49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49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49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49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49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49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49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49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49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49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49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49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49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49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49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49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49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49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49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49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49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49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49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49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49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49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49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49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49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49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49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49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49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49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49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49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49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49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49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49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49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49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49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49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49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49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49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49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49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49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49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49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49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49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49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49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49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49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49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49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49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49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49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49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49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49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49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49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49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49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49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49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49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49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49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49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49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49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49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49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49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49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49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49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49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49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49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49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49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49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49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49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49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49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49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49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49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49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49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49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49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49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49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49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49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49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49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49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49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49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49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49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49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49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49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49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49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49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49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49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49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49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49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49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49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49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49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49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49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49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49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49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49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49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49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49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49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49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49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49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49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49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49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49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49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49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49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49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49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49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49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49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49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49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49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49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49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49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49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49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49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49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49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49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49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49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49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49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49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49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49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49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49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49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49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49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49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49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49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49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49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49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49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49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49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49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49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49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49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49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49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49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49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49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49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49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49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49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49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49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49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49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49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49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49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49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49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49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49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49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49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49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49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49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49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49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49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49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49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49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49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49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49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49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49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49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49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49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49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49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49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49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49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49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49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49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49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49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49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49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49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49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49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49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49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49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49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49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49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49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49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49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49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49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49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49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49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49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49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49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49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49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49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49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49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49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49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49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49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49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49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49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49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49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49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49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49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49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49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49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49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49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49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49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49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49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49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49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49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49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49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49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49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49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49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49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49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49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49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49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49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49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49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49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49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49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49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49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49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49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49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49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49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49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49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49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49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49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49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49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49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49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49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49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49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49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49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49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49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49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49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49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49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49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49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49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49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49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49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49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49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49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49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49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49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49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49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49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49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49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49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49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49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49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49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49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49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49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49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49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49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49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49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49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49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49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49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49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49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49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49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49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49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49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49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49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49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49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49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49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49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49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49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49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49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49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49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49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49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49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49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49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49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49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49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49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49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49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49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49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49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49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49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49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49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49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49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49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49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49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49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49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49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49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49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49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49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49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49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49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49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49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49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49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49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49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49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49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49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49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49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49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49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49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49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49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49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49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49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49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49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49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49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49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49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49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49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49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49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49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49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49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49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49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49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49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49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49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49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49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49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49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49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49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49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49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49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49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49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49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49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49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49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49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49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49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49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49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49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49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49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49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49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49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49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49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49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49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49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49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49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49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49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49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49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49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49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49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49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49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49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49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49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49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49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49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49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49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49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49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49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49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49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49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49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49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49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49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49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49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49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49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49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49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49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49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49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49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49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49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49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49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49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49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49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49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49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49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49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49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49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49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49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49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49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49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49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49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49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49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49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49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49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49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49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49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49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49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49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49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49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49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49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49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49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49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49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49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49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49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49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49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49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49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49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49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49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49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49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49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49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49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49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49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49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49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49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49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49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49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49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49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49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49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49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49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49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49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49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49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49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49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49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49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49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49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49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49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49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49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49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49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49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49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49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49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49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49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49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49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49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49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49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49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49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49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49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49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49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49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49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49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49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49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49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49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49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49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49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49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49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49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49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49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49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49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49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49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49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49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49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49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49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49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49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49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49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49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49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49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49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49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49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49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49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49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49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49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49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49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49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49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49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49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49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49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49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49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49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49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49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49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49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49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49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49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49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49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49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49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49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49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49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49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49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49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49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49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49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49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49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49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49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49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49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49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49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49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49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49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49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49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49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49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49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49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49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49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49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49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49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49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49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49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49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49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49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49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49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49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49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49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49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49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49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49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49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49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49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49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49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49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49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49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49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49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49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49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49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49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49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49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49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49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49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49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49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49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49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49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49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49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49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49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49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49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49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49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49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49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49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49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49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49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49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49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49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49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49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49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49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49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49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49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2026-07-08T07:04:27Z</dcterms:created>
  <dcterms:modified xmlns:dcterms="http://purl.org/dc/terms/" xmlns:xsi="http://www.w3.org/2001/XMLSchema-instance" xsi:type="dcterms:W3CDTF">2026-07-08T07:04:28Z</dcterms:modified>
</cp:coreProperties>
</file>