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The Williams Companies, Inc. (WMB)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The Williams Companies, Inc. (WMB)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Gas &amp; NGL Marketing Services</t>
        </is>
      </c>
      <c r="B20" s="50" t="n">
        <v>0.1631889762503232</v>
      </c>
      <c r="C20" s="50" t="n">
        <v>0.05</v>
      </c>
      <c r="D20" s="51" t="n">
        <v>0.1631889762503232</v>
      </c>
      <c r="E20" s="2" t="inlineStr"/>
    </row>
    <row r="21">
      <c r="A21" s="4" t="inlineStr">
        <is>
          <t>West</t>
        </is>
      </c>
      <c r="B21" s="50" t="n">
        <v>-0.01827307778572851</v>
      </c>
      <c r="C21" s="50" t="n">
        <v>0.05</v>
      </c>
      <c r="D21" s="51" t="n">
        <v>-0.01827307778572851</v>
      </c>
      <c r="E21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0.3131057361149742</v>
      </c>
      <c r="D29" s="51" t="n">
        <v>0.3131057361149742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0.419955428741225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5498.900000000001</v>
      </c>
      <c r="D34" s="18" t="n">
        <v>5498.900000000001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0.633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72.10009765625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Financials!AC35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Gas &amp; NGL Marketing Services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West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57">
        <f>IFERROR(G8/F8-1,"")</f>
        <v/>
      </c>
      <c r="H9" s="57">
        <f>IFERROR(H8/G8-1,"")</f>
        <v/>
      </c>
      <c r="I9" s="57">
        <f>IFERROR(I8/H8-1,"")</f>
        <v/>
      </c>
      <c r="J9" s="57">
        <f>IFERROR(J8/I8-1,"")</f>
        <v/>
      </c>
      <c r="K9" s="57">
        <f>IFERROR(K8/J8-1,"")</f>
        <v/>
      </c>
      <c r="L9" s="57">
        <f>IFERROR(L8/K8-1,"")</f>
        <v/>
      </c>
      <c r="M9" s="57">
        <f>IFERROR(M8/L8-1,"")</f>
        <v/>
      </c>
      <c r="N9" s="57">
        <f>IFERROR(N8/M8-1,"")</f>
        <v/>
      </c>
      <c r="O9" s="57">
        <f>IFERROR(O8/N8-1,"")</f>
        <v/>
      </c>
      <c r="P9" s="5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SUM(Financials!I5:L5)</f>
        <v/>
      </c>
      <c r="C12" s="28">
        <f>SUM(Financials!M5:P5)</f>
        <v/>
      </c>
      <c r="D12" s="28">
        <f>SUM(Financials!Q5:T5)</f>
        <v/>
      </c>
      <c r="E12" s="28">
        <f>SUM(Financials!U5:X5)</f>
        <v/>
      </c>
      <c r="F12" s="28">
        <f>SUM(Financials!Y5:AB5)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57">
        <f>IFERROR(B12/B8,"")</f>
        <v/>
      </c>
      <c r="C13" s="57">
        <f>IFERROR(C12/C8,"")</f>
        <v/>
      </c>
      <c r="D13" s="57">
        <f>IFERROR(D12/D8,"")</f>
        <v/>
      </c>
      <c r="E13" s="57">
        <f>IFERROR(E12/E8,"")</f>
        <v/>
      </c>
      <c r="F13" s="57">
        <f>IFERROR(F12/F8,"")</f>
        <v/>
      </c>
      <c r="G13" s="50" t="n">
        <v>0.428344082418963</v>
      </c>
      <c r="H13" s="50" t="n">
        <v>0.428344082418963</v>
      </c>
      <c r="I13" s="50" t="n">
        <v>0.428344082418963</v>
      </c>
      <c r="J13" s="50" t="n">
        <v>0.428344082418963</v>
      </c>
      <c r="K13" s="50" t="n">
        <v>0.428344082418963</v>
      </c>
      <c r="L13" s="50" t="n">
        <v>0.428344082418963</v>
      </c>
      <c r="M13" s="50" t="n">
        <v>0.428344082418963</v>
      </c>
      <c r="N13" s="50" t="n">
        <v>0.428344082418963</v>
      </c>
      <c r="O13" s="50" t="n">
        <v>0.428344082418963</v>
      </c>
      <c r="P13" s="50" t="n">
        <v>0.428344082418963</v>
      </c>
    </row>
    <row r="14">
      <c r="A14" s="4" t="inlineStr">
        <is>
          <t>R&amp;D / Technology</t>
        </is>
      </c>
      <c r="B14" s="28">
        <f>SUM(Financials!I7:L7)</f>
        <v/>
      </c>
      <c r="C14" s="28">
        <f>SUM(Financials!M7:P7)</f>
        <v/>
      </c>
      <c r="D14" s="28">
        <f>SUM(Financials!Q7:T7)</f>
        <v/>
      </c>
      <c r="E14" s="28">
        <f>SUM(Financials!U7:X7)</f>
        <v/>
      </c>
      <c r="F14" s="28">
        <f>SUM(Financials!Y7:AB7)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57">
        <f>IFERROR(B14/B8,"")</f>
        <v/>
      </c>
      <c r="C15" s="57">
        <f>IFERROR(C14/C8,"")</f>
        <v/>
      </c>
      <c r="D15" s="57">
        <f>IFERROR(D14/D8,"")</f>
        <v/>
      </c>
      <c r="E15" s="57">
        <f>IFERROR(E14/E8,"")</f>
        <v/>
      </c>
      <c r="F15" s="57">
        <f>IFERROR(F14/F8,"")</f>
        <v/>
      </c>
      <c r="G15" s="50" t="n">
        <v>0</v>
      </c>
      <c r="H15" s="50" t="n">
        <v>0</v>
      </c>
      <c r="I15" s="50" t="n">
        <v>0</v>
      </c>
      <c r="J15" s="50" t="n">
        <v>0</v>
      </c>
      <c r="K15" s="50" t="n">
        <v>0</v>
      </c>
      <c r="L15" s="50" t="n">
        <v>0</v>
      </c>
      <c r="M15" s="50" t="n">
        <v>0</v>
      </c>
      <c r="N15" s="50" t="n">
        <v>0</v>
      </c>
      <c r="O15" s="50" t="n">
        <v>0</v>
      </c>
      <c r="P15" s="50" t="n">
        <v>0</v>
      </c>
    </row>
    <row r="16">
      <c r="A16" s="4" t="inlineStr">
        <is>
          <t>SG&amp;A</t>
        </is>
      </c>
      <c r="B16" s="28">
        <f>SUM(Financials!I9:L9)</f>
        <v/>
      </c>
      <c r="C16" s="28">
        <f>SUM(Financials!M9:P9)</f>
        <v/>
      </c>
      <c r="D16" s="28">
        <f>SUM(Financials!Q9:T9)</f>
        <v/>
      </c>
      <c r="E16" s="28">
        <f>SUM(Financials!U9:X9)</f>
        <v/>
      </c>
      <c r="F16" s="28">
        <f>SUM(Financials!Y9:AB9)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57">
        <f>IFERROR(B16/B8,"")</f>
        <v/>
      </c>
      <c r="C17" s="57">
        <f>IFERROR(C16/C8,"")</f>
        <v/>
      </c>
      <c r="D17" s="57">
        <f>IFERROR(D16/D8,"")</f>
        <v/>
      </c>
      <c r="E17" s="57">
        <f>IFERROR(E16/E8,"")</f>
        <v/>
      </c>
      <c r="F17" s="57">
        <f>IFERROR(F16/F8,"")</f>
        <v/>
      </c>
      <c r="G17" s="50" t="n">
        <v>0.06039031744702236</v>
      </c>
      <c r="H17" s="50" t="n">
        <v>0.06039031744702236</v>
      </c>
      <c r="I17" s="50" t="n">
        <v>0.06039031744702236</v>
      </c>
      <c r="J17" s="50" t="n">
        <v>0.06039031744702236</v>
      </c>
      <c r="K17" s="50" t="n">
        <v>0.06039031744702236</v>
      </c>
      <c r="L17" s="50" t="n">
        <v>0.06039031744702236</v>
      </c>
      <c r="M17" s="50" t="n">
        <v>0.06039031744702236</v>
      </c>
      <c r="N17" s="50" t="n">
        <v>0.06039031744702236</v>
      </c>
      <c r="O17" s="50" t="n">
        <v>0.06039031744702236</v>
      </c>
      <c r="P17" s="50" t="n">
        <v>0.06039031744702236</v>
      </c>
    </row>
    <row r="18">
      <c r="A18" s="4" t="inlineStr">
        <is>
          <t>Other opex (fulfilment, etc.)</t>
        </is>
      </c>
      <c r="B18" s="28">
        <f>B8-(B12+B14+B16)-SUM(Financials!I13:L13)</f>
        <v/>
      </c>
      <c r="C18" s="28">
        <f>C8-(C12+C14+C16)-SUM(Financials!M13:P13)</f>
        <v/>
      </c>
      <c r="D18" s="28">
        <f>D8-(D12+D14+D16)-SUM(Financials!Q13:T13)</f>
        <v/>
      </c>
      <c r="E18" s="28">
        <f>E8-(E12+E14+E16)-SUM(Financials!U13:X13)</f>
        <v/>
      </c>
      <c r="F18" s="28">
        <f>F8-(F12+F14+F16)-SUM(Financials!Y13:AB13)</f>
        <v/>
      </c>
      <c r="G18" s="28">
        <f>G8*(1-(Dashboard!$B$29+(Dashboard!$B$30-Dashboard!$B$29)*MIN(1,0/4)))-(G12+G14+G16)</f>
        <v/>
      </c>
      <c r="H18" s="28">
        <f>H8*(1-(Dashboard!$B$29+(Dashboard!$B$30-Dashboard!$B$29)*MIN(1,1/4)))-(H12+H14+H16)</f>
        <v/>
      </c>
      <c r="I18" s="28">
        <f>I8*(1-(Dashboard!$B$29+(Dashboard!$B$30-Dashboard!$B$29)*MIN(1,2/4)))-(I12+I14+I16)</f>
        <v/>
      </c>
      <c r="J18" s="28">
        <f>J8*(1-(Dashboard!$B$29+(Dashboard!$B$30-Dashboard!$B$29)*MIN(1,3/4)))-(J12+J14+J16)</f>
        <v/>
      </c>
      <c r="K18" s="28">
        <f>K8*(1-(Dashboard!$B$29+(Dashboard!$B$30-Dashboard!$B$29)*MIN(1,4/4)))-(K12+K14+K16)</f>
        <v/>
      </c>
      <c r="L18" s="28">
        <f>L8*(1-(Dashboard!$B$29+(Dashboard!$B$30-Dashboard!$B$29)*MIN(1,5/4)))-(L12+L14+L16)</f>
        <v/>
      </c>
      <c r="M18" s="28">
        <f>M8*(1-(Dashboard!$B$29+(Dashboard!$B$30-Dashboard!$B$29)*MIN(1,6/4)))-(M12+M14+M16)</f>
        <v/>
      </c>
      <c r="N18" s="28">
        <f>N8*(1-(Dashboard!$B$29+(Dashboard!$B$30-Dashboard!$B$29)*MIN(1,7/4)))-(N12+N14+N16)</f>
        <v/>
      </c>
      <c r="O18" s="28">
        <f>O8*(1-(Dashboard!$B$29+(Dashboard!$B$30-Dashboard!$B$29)*MIN(1,8/4)))-(O12+O14+O16)</f>
        <v/>
      </c>
      <c r="P18" s="28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57">
        <f>IFERROR(B18/B8,"")</f>
        <v/>
      </c>
      <c r="C19" s="57">
        <f>IFERROR(C18/C8,"")</f>
        <v/>
      </c>
      <c r="D19" s="57">
        <f>IFERROR(D18/D8,"")</f>
        <v/>
      </c>
      <c r="E19" s="57">
        <f>IFERROR(E18/E8,"")</f>
        <v/>
      </c>
      <c r="F19" s="57">
        <f>IFERROR(F18/F8,"")</f>
        <v/>
      </c>
      <c r="G19" s="57">
        <f>IFERROR(G18/G8,"")</f>
        <v/>
      </c>
      <c r="H19" s="57">
        <f>IFERROR(H18/H8,"")</f>
        <v/>
      </c>
      <c r="I19" s="57">
        <f>IFERROR(I18/I8,"")</f>
        <v/>
      </c>
      <c r="J19" s="57">
        <f>IFERROR(J18/J8,"")</f>
        <v/>
      </c>
      <c r="K19" s="57">
        <f>IFERROR(K18/K8,"")</f>
        <v/>
      </c>
      <c r="L19" s="57">
        <f>IFERROR(L18/L8,"")</f>
        <v/>
      </c>
      <c r="M19" s="57">
        <f>IFERROR(M18/M8,"")</f>
        <v/>
      </c>
      <c r="N19" s="57">
        <f>IFERROR(N18/N8,"")</f>
        <v/>
      </c>
      <c r="O19" s="57">
        <f>IFERROR(O18/O8,"")</f>
        <v/>
      </c>
      <c r="P19" s="5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57">
        <f>IFERROR(B21/B8,"")</f>
        <v/>
      </c>
      <c r="C22" s="57">
        <f>IFERROR(C21/C8,"")</f>
        <v/>
      </c>
      <c r="D22" s="57">
        <f>IFERROR(D21/D8,"")</f>
        <v/>
      </c>
      <c r="E22" s="57">
        <f>IFERROR(E21/E8,"")</f>
        <v/>
      </c>
      <c r="F22" s="57">
        <f>IFERROR(F21/F8,"")</f>
        <v/>
      </c>
      <c r="G22" s="57">
        <f>IFERROR(G21/G8,"")</f>
        <v/>
      </c>
      <c r="H22" s="57">
        <f>IFERROR(H21/H8,"")</f>
        <v/>
      </c>
      <c r="I22" s="57">
        <f>IFERROR(I21/I8,"")</f>
        <v/>
      </c>
      <c r="J22" s="57">
        <f>IFERROR(J21/J8,"")</f>
        <v/>
      </c>
      <c r="K22" s="57">
        <f>IFERROR(K21/K8,"")</f>
        <v/>
      </c>
      <c r="L22" s="57">
        <f>IFERROR(L21/L8,"")</f>
        <v/>
      </c>
      <c r="M22" s="57">
        <f>IFERROR(M21/M8,"")</f>
        <v/>
      </c>
      <c r="N22" s="57">
        <f>IFERROR(N21/N8,"")</f>
        <v/>
      </c>
      <c r="O22" s="57">
        <f>IFERROR(O21/O8,"")</f>
        <v/>
      </c>
      <c r="P22" s="5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SUM(Financials!I38:L38)</f>
        <v/>
      </c>
      <c r="C26" s="28">
        <f>SUM(Financials!M38:P38)</f>
        <v/>
      </c>
      <c r="D26" s="28">
        <f>SUM(Financials!Q38:T38)</f>
        <v/>
      </c>
      <c r="E26" s="28">
        <f>SUM(Financials!U38:X38)</f>
        <v/>
      </c>
      <c r="F26" s="28">
        <f>SUM(Financials!Y38:AB38)</f>
        <v/>
      </c>
      <c r="G26" s="32">
        <f>G8*0.1906</f>
        <v/>
      </c>
      <c r="H26" s="32">
        <f>H8*0.1906</f>
        <v/>
      </c>
      <c r="I26" s="32">
        <f>I8*0.1906</f>
        <v/>
      </c>
      <c r="J26" s="32">
        <f>J8*0.1906</f>
        <v/>
      </c>
      <c r="K26" s="32">
        <f>K8*0.1906</f>
        <v/>
      </c>
      <c r="L26" s="32">
        <f>L8*0.1906</f>
        <v/>
      </c>
      <c r="M26" s="32">
        <f>M8*0.1906</f>
        <v/>
      </c>
      <c r="N26" s="32">
        <f>N8*0.1906</f>
        <v/>
      </c>
      <c r="O26" s="32">
        <f>O8*0.1906</f>
        <v/>
      </c>
      <c r="P26" s="32">
        <f>P8*0.1906</f>
        <v/>
      </c>
    </row>
    <row r="27">
      <c r="A27" s="4" t="inlineStr">
        <is>
          <t>+ SBC (non-cash)</t>
        </is>
      </c>
      <c r="B27" s="28">
        <f>SUM(Financials!I39:L39)</f>
        <v/>
      </c>
      <c r="C27" s="28">
        <f>SUM(Financials!M39:P39)</f>
        <v/>
      </c>
      <c r="D27" s="28">
        <f>SUM(Financials!Q39:T39)</f>
        <v/>
      </c>
      <c r="E27" s="28">
        <f>SUM(Financials!U39:X39)</f>
        <v/>
      </c>
      <c r="F27" s="28">
        <f>SUM(Financials!Y39:AB39)</f>
        <v/>
      </c>
      <c r="G27" s="32">
        <f>G8*0.0000</f>
        <v/>
      </c>
      <c r="H27" s="32">
        <f>H8*0.0000</f>
        <v/>
      </c>
      <c r="I27" s="32">
        <f>I8*0.0000</f>
        <v/>
      </c>
      <c r="J27" s="32">
        <f>J8*0.0000</f>
        <v/>
      </c>
      <c r="K27" s="32">
        <f>K8*0.0000</f>
        <v/>
      </c>
      <c r="L27" s="32">
        <f>L8*0.0000</f>
        <v/>
      </c>
      <c r="M27" s="32">
        <f>M8*0.0000</f>
        <v/>
      </c>
      <c r="N27" s="32">
        <f>N8*0.0000</f>
        <v/>
      </c>
      <c r="O27" s="32">
        <f>O8*0.0000</f>
        <v/>
      </c>
      <c r="P27" s="32">
        <f>P8*0.0000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-SUM(Financials!I42:L42)</f>
        <v/>
      </c>
      <c r="C29" s="28">
        <f>-SUM(Financials!M42:P42)</f>
        <v/>
      </c>
      <c r="D29" s="28">
        <f>-SUM(Financials!Q42:T42)</f>
        <v/>
      </c>
      <c r="E29" s="28">
        <f>-SUM(Financials!U42:X42)</f>
        <v/>
      </c>
      <c r="F29" s="28">
        <f>-SUM(Financials!Y42:AB42)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59">
        <f>IFERROR(B29/B26,"")</f>
        <v/>
      </c>
      <c r="C30" s="59">
        <f>IFERROR(C29/C26,"")</f>
        <v/>
      </c>
      <c r="D30" s="59">
        <f>IFERROR(D29/D26,"")</f>
        <v/>
      </c>
      <c r="E30" s="59">
        <f>IFERROR(E29/E26,"")</f>
        <v/>
      </c>
      <c r="F30" s="59">
        <f>IFERROR(F29/F26,"")</f>
        <v/>
      </c>
      <c r="G30" s="49">
        <f>(Dashboard!$B$34/G26)+(Dashboard!$B$35-(Dashboard!$B$34/G26))*0/9</f>
        <v/>
      </c>
      <c r="H30" s="49">
        <f>(Dashboard!$B$34/G26)+(Dashboard!$B$35-(Dashboard!$B$34/G26))*1/9</f>
        <v/>
      </c>
      <c r="I30" s="49">
        <f>(Dashboard!$B$34/G26)+(Dashboard!$B$35-(Dashboard!$B$34/G26))*2/9</f>
        <v/>
      </c>
      <c r="J30" s="49">
        <f>(Dashboard!$B$34/G26)+(Dashboard!$B$35-(Dashboard!$B$34/G26))*3/9</f>
        <v/>
      </c>
      <c r="K30" s="49">
        <f>(Dashboard!$B$34/G26)+(Dashboard!$B$35-(Dashboard!$B$34/G26))*4/9</f>
        <v/>
      </c>
      <c r="L30" s="49">
        <f>(Dashboard!$B$34/G26)+(Dashboard!$B$35-(Dashboard!$B$34/G26))*5/9</f>
        <v/>
      </c>
      <c r="M30" s="49">
        <f>(Dashboard!$B$34/G26)+(Dashboard!$B$35-(Dashboard!$B$34/G26))*6/9</f>
        <v/>
      </c>
      <c r="N30" s="49">
        <f>(Dashboard!$B$34/G26)+(Dashboard!$B$35-(Dashboard!$B$34/G26))*7/9</f>
        <v/>
      </c>
      <c r="O30" s="49">
        <f>(Dashboard!$B$34/G26)+(Dashboard!$B$35-(Dashboard!$B$34/G26))*8/9</f>
        <v/>
      </c>
      <c r="P30" s="49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Financials!L36+Financials!L35-Financials!L30</f>
        <v/>
      </c>
      <c r="C36" s="28">
        <f>Financials!P36+Financials!P35-Financials!P30</f>
        <v/>
      </c>
      <c r="D36" s="28">
        <f>Financials!T36+Financials!T35-Financials!T30</f>
        <v/>
      </c>
      <c r="E36" s="28">
        <f>Financials!X36+Financials!X35-Financials!X30</f>
        <v/>
      </c>
      <c r="F36" s="28">
        <f>Financials!AB36+Financials!AB35-Financials!AB30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Financials!L36</f>
        <v/>
      </c>
      <c r="C37" s="28">
        <f>Financials!P36</f>
        <v/>
      </c>
      <c r="D37" s="28">
        <f>Financials!T36</f>
        <v/>
      </c>
      <c r="E37" s="28">
        <f>Financials!X36</f>
        <v/>
      </c>
      <c r="F37" s="28">
        <f>Financials!AB36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57">
        <f>IFERROR(C25/B36,"")</f>
        <v/>
      </c>
      <c r="D38" s="57">
        <f>IFERROR(D25/C36,"")</f>
        <v/>
      </c>
      <c r="E38" s="57">
        <f>IFERROR(E25/D36,"")</f>
        <v/>
      </c>
      <c r="F38" s="57">
        <f>IFERROR(F25/E36,"")</f>
        <v/>
      </c>
      <c r="G38" s="57">
        <f>IFERROR(G25/F36,"")</f>
        <v/>
      </c>
      <c r="H38" s="57">
        <f>IFERROR(H25/G36,"")</f>
        <v/>
      </c>
      <c r="I38" s="57">
        <f>IFERROR(I25/H36,"")</f>
        <v/>
      </c>
      <c r="J38" s="57">
        <f>IFERROR(J25/I36,"")</f>
        <v/>
      </c>
      <c r="K38" s="57">
        <f>IFERROR(K25/J36,"")</f>
        <v/>
      </c>
      <c r="L38" s="57">
        <f>IFERROR(L25/K36,"")</f>
        <v/>
      </c>
      <c r="M38" s="57">
        <f>IFERROR(M25/L36,"")</f>
        <v/>
      </c>
      <c r="N38" s="57">
        <f>IFERROR(N25/M36,"")</f>
        <v/>
      </c>
      <c r="O38" s="57">
        <f>IFERROR(O25/N36,"")</f>
        <v/>
      </c>
      <c r="P38" s="57">
        <f>IFERROR(P25/O36,"")</f>
        <v/>
      </c>
    </row>
    <row r="39">
      <c r="A39" s="3" t="inlineStr">
        <is>
          <t xml:space="preserve">  ROE (earnings / beg. equity)</t>
        </is>
      </c>
      <c r="C39" s="48">
        <f>IFERROR(SUM(Financials!M15:P15)/B37,"")</f>
        <v/>
      </c>
      <c r="D39" s="48">
        <f>IFERROR(SUM(Financials!Q15:T15)/C37,"")</f>
        <v/>
      </c>
      <c r="E39" s="48">
        <f>IFERROR(SUM(Financials!U15:X15)/D37,"")</f>
        <v/>
      </c>
      <c r="F39" s="48">
        <f>IFERROR(SUM(Financials!Y15:AB15)/E37,"")</f>
        <v/>
      </c>
      <c r="G39" s="57">
        <f>IFERROR(G25/F37,"")</f>
        <v/>
      </c>
      <c r="H39" s="57">
        <f>IFERROR(H25/G37,"")</f>
        <v/>
      </c>
      <c r="I39" s="57">
        <f>IFERROR(I25/H37,"")</f>
        <v/>
      </c>
      <c r="J39" s="57">
        <f>IFERROR(J25/I37,"")</f>
        <v/>
      </c>
      <c r="K39" s="57">
        <f>IFERROR(K25/J37,"")</f>
        <v/>
      </c>
      <c r="L39" s="57">
        <f>IFERROR(L25/K37,"")</f>
        <v/>
      </c>
      <c r="M39" s="57">
        <f>IFERROR(M25/L37,"")</f>
        <v/>
      </c>
      <c r="N39" s="57">
        <f>IFERROR(N25/M37,"")</f>
        <v/>
      </c>
      <c r="O39" s="57">
        <f>IFERROR(O25/N37,"")</f>
        <v/>
      </c>
      <c r="P39" s="57">
        <f>IFERROR(P25/O37,"")</f>
        <v/>
      </c>
    </row>
    <row r="40">
      <c r="A40" s="4" t="inlineStr">
        <is>
          <t xml:space="preserve">  ROIC - WACC spread (value created)</t>
        </is>
      </c>
      <c r="C40" s="48">
        <f>IFERROR(C38-WACC!$B$14,"")</f>
        <v/>
      </c>
      <c r="D40" s="48">
        <f>IFERROR(D38-WACC!$B$14,"")</f>
        <v/>
      </c>
      <c r="E40" s="48">
        <f>IFERROR(E38-WACC!$B$14,"")</f>
        <v/>
      </c>
      <c r="F40" s="48">
        <f>IFERROR(F38-WACC!$B$14,"")</f>
        <v/>
      </c>
      <c r="G40" s="48">
        <f>IFERROR(G38-WACC!$B$14,"")</f>
        <v/>
      </c>
      <c r="H40" s="48">
        <f>IFERROR(H38-WACC!$B$14,"")</f>
        <v/>
      </c>
      <c r="I40" s="48">
        <f>IFERROR(I38-WACC!$B$14,"")</f>
        <v/>
      </c>
      <c r="J40" s="48">
        <f>IFERROR(J38-WACC!$B$14,"")</f>
        <v/>
      </c>
      <c r="K40" s="48">
        <f>IFERROR(K38-WACC!$B$14,"")</f>
        <v/>
      </c>
      <c r="L40" s="48">
        <f>IFERROR(L38-WACC!$B$14,"")</f>
        <v/>
      </c>
      <c r="M40" s="48">
        <f>IFERROR(M38-WACC!$B$14,"")</f>
        <v/>
      </c>
      <c r="N40" s="48">
        <f>IFERROR(N38-WACC!$B$14,"")</f>
        <v/>
      </c>
      <c r="O40" s="48">
        <f>IFERROR(O38-WACC!$B$14,"")</f>
        <v/>
      </c>
      <c r="P40" s="48">
        <f>IFERROR(P38-WACC!$B$14,"")</f>
        <v/>
      </c>
    </row>
    <row r="41">
      <c r="A41" s="4" t="inlineStr">
        <is>
          <t xml:space="preserve">  Incremental op margin (ΔEBIT / ΔRev)</t>
        </is>
      </c>
      <c r="C41" s="57">
        <f>IFERROR((C21-B21)/(C8-B8),"")</f>
        <v/>
      </c>
      <c r="D41" s="57">
        <f>IFERROR((D21-C21)/(D8-C8),"")</f>
        <v/>
      </c>
      <c r="E41" s="57">
        <f>IFERROR((E21-D21)/(E8-D8),"")</f>
        <v/>
      </c>
      <c r="F41" s="57">
        <f>IFERROR((F21-E21)/(F8-E8),"")</f>
        <v/>
      </c>
      <c r="G41" s="57">
        <f>IFERROR((G21-F21)/(G8-F8),"")</f>
        <v/>
      </c>
      <c r="H41" s="57">
        <f>IFERROR((H21-G21)/(H8-G8),"")</f>
        <v/>
      </c>
      <c r="I41" s="57">
        <f>IFERROR((I21-H21)/(I8-H8),"")</f>
        <v/>
      </c>
      <c r="J41" s="57">
        <f>IFERROR((J21-I21)/(J8-I8),"")</f>
        <v/>
      </c>
      <c r="K41" s="57">
        <f>IFERROR((K21-J21)/(K8-J8),"")</f>
        <v/>
      </c>
      <c r="L41" s="57">
        <f>IFERROR((L21-K21)/(L8-K8),"")</f>
        <v/>
      </c>
      <c r="M41" s="57">
        <f>IFERROR((M21-L21)/(M8-L8),"")</f>
        <v/>
      </c>
      <c r="N41" s="57">
        <f>IFERROR((N21-M21)/(N8-M8),"")</f>
        <v/>
      </c>
      <c r="O41" s="57">
        <f>IFERROR((O21-N21)/(O8-N8),"")</f>
        <v/>
      </c>
      <c r="P41" s="57">
        <f>IFERROR((P21-O21)/(P8-O8),"")</f>
        <v/>
      </c>
    </row>
    <row r="42">
      <c r="A42" s="3" t="inlineStr">
        <is>
          <t xml:space="preserve">  ROIIC (ΔNOPAT / ΔInvested capital)</t>
        </is>
      </c>
      <c r="C42" s="57">
        <f>IFERROR((C25-B25)/(C36-B36),"")</f>
        <v/>
      </c>
      <c r="D42" s="57">
        <f>IFERROR((D25-C25)/(D36-C36),"")</f>
        <v/>
      </c>
      <c r="E42" s="57">
        <f>IFERROR((E25-D25)/(E36-D36),"")</f>
        <v/>
      </c>
      <c r="F42" s="57">
        <f>IFERROR((F25-E25)/(F36-E36),"")</f>
        <v/>
      </c>
      <c r="G42" s="57">
        <f>IFERROR((G25-F25)/(G36-F36),"")</f>
        <v/>
      </c>
      <c r="H42" s="57">
        <f>IFERROR((H25-G25)/(H36-G36),"")</f>
        <v/>
      </c>
      <c r="I42" s="57">
        <f>IFERROR((I25-H25)/(I36-H36),"")</f>
        <v/>
      </c>
      <c r="J42" s="57">
        <f>IFERROR((J25-I25)/(J36-I36),"")</f>
        <v/>
      </c>
      <c r="K42" s="57">
        <f>IFERROR((K25-J25)/(K36-J36),"")</f>
        <v/>
      </c>
      <c r="L42" s="57">
        <f>IFERROR((L25-K25)/(L36-K36),"")</f>
        <v/>
      </c>
      <c r="M42" s="57">
        <f>IFERROR((M25-L25)/(M36-L36),"")</f>
        <v/>
      </c>
      <c r="N42" s="57">
        <f>IFERROR((N25-M25)/(N36-M36),"")</f>
        <v/>
      </c>
      <c r="O42" s="57">
        <f>IFERROR((O25-N25)/(O36-N36),"")</f>
        <v/>
      </c>
      <c r="P42" s="5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60">
        <f>IFERROR((C8-B8)/(C36-B36),"")</f>
        <v/>
      </c>
      <c r="D43" s="60">
        <f>IFERROR((D8-C8)/(D36-C36),"")</f>
        <v/>
      </c>
      <c r="E43" s="60">
        <f>IFERROR((E8-D8)/(E36-D36),"")</f>
        <v/>
      </c>
      <c r="F43" s="60">
        <f>IFERROR((F8-E8)/(F36-E36),"")</f>
        <v/>
      </c>
      <c r="G43" s="60">
        <f>IFERROR((G8-F8)/(G36-F36),"")</f>
        <v/>
      </c>
      <c r="H43" s="60">
        <f>IFERROR((H8-G8)/(H36-G36),"")</f>
        <v/>
      </c>
      <c r="I43" s="60">
        <f>IFERROR((I8-H8)/(I36-H36),"")</f>
        <v/>
      </c>
      <c r="J43" s="60">
        <f>IFERROR((J8-I8)/(J36-I36),"")</f>
        <v/>
      </c>
      <c r="K43" s="60">
        <f>IFERROR((K8-J8)/(K36-J36),"")</f>
        <v/>
      </c>
      <c r="L43" s="60">
        <f>IFERROR((L8-K8)/(L36-K36),"")</f>
        <v/>
      </c>
      <c r="M43" s="60">
        <f>IFERROR((M8-L8)/(M36-L36),"")</f>
        <v/>
      </c>
      <c r="N43" s="60">
        <f>IFERROR((N8-M8)/(N36-M36),"")</f>
        <v/>
      </c>
      <c r="O43" s="60">
        <f>IFERROR((O8-N8)/(O36-N36),"")</f>
        <v/>
      </c>
      <c r="P43" s="60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57">
        <f>IFERROR((C36-B36)/C25,"")</f>
        <v/>
      </c>
      <c r="D44" s="57">
        <f>IFERROR((D36-C36)/D25,"")</f>
        <v/>
      </c>
      <c r="E44" s="57">
        <f>IFERROR((E36-D36)/E25,"")</f>
        <v/>
      </c>
      <c r="F44" s="57">
        <f>IFERROR((F36-E36)/F25,"")</f>
        <v/>
      </c>
      <c r="G44" s="57">
        <f>IFERROR((G36-F36)/G25,"")</f>
        <v/>
      </c>
      <c r="H44" s="57">
        <f>IFERROR((H36-G36)/H25,"")</f>
        <v/>
      </c>
      <c r="I44" s="57">
        <f>IFERROR((I36-H36)/I25,"")</f>
        <v/>
      </c>
      <c r="J44" s="57">
        <f>IFERROR((J36-I36)/J25,"")</f>
        <v/>
      </c>
      <c r="K44" s="57">
        <f>IFERROR((K36-J36)/K25,"")</f>
        <v/>
      </c>
      <c r="L44" s="57">
        <f>IFERROR((L36-K36)/L25,"")</f>
        <v/>
      </c>
      <c r="M44" s="57">
        <f>IFERROR((M36-L36)/M25,"")</f>
        <v/>
      </c>
      <c r="N44" s="57">
        <f>IFERROR((N36-M36)/N25,"")</f>
        <v/>
      </c>
      <c r="O44" s="57">
        <f>IFERROR((O36-N36)/O25,"")</f>
        <v/>
      </c>
      <c r="P44" s="5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2041</v>
      </c>
      <c r="C3" s="18" t="n">
        <v>1999</v>
      </c>
      <c r="D3" s="18" t="n">
        <v>2107</v>
      </c>
      <c r="E3" s="18" t="n">
        <v>1913</v>
      </c>
      <c r="F3" s="18" t="n">
        <v>1781</v>
      </c>
      <c r="G3" s="18" t="n">
        <v>1933</v>
      </c>
      <c r="H3" s="18" t="n">
        <v>2092</v>
      </c>
      <c r="I3" s="18" t="n">
        <v>2612</v>
      </c>
      <c r="J3" s="18" t="n">
        <v>2283</v>
      </c>
      <c r="K3" s="18" t="n">
        <v>2475</v>
      </c>
      <c r="L3" s="18" t="n">
        <v>3257</v>
      </c>
      <c r="M3" s="18" t="n">
        <v>2524</v>
      </c>
      <c r="N3" s="18" t="n">
        <v>2490</v>
      </c>
      <c r="O3" s="18" t="n">
        <v>3021</v>
      </c>
      <c r="P3" s="18" t="n">
        <v>2930</v>
      </c>
      <c r="Q3" s="18" t="n">
        <v>3081</v>
      </c>
      <c r="R3" s="18" t="n">
        <v>2483</v>
      </c>
      <c r="S3" s="18" t="n">
        <v>2559</v>
      </c>
      <c r="T3" s="18" t="n">
        <v>2784</v>
      </c>
      <c r="U3" s="18" t="n">
        <v>2771</v>
      </c>
      <c r="V3" s="18" t="n">
        <v>2336</v>
      </c>
      <c r="W3" s="18" t="n">
        <v>2653</v>
      </c>
      <c r="X3" s="18" t="n">
        <v>2743</v>
      </c>
      <c r="Y3" s="18" t="n">
        <v>3048</v>
      </c>
      <c r="Z3" s="18" t="n">
        <v>2770</v>
      </c>
      <c r="AA3" s="18" t="n">
        <v>2923</v>
      </c>
      <c r="AB3" s="18" t="n">
        <v>3198</v>
      </c>
      <c r="AC3" s="18" t="n">
        <v>3030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931</v>
      </c>
      <c r="C5" s="18" t="n">
        <v>888</v>
      </c>
      <c r="D5" s="18" t="n">
        <v>980</v>
      </c>
      <c r="E5" s="18" t="n">
        <v>838</v>
      </c>
      <c r="F5" s="18" t="n">
        <v>716</v>
      </c>
      <c r="G5" s="18" t="n">
        <v>827</v>
      </c>
      <c r="H5" s="18" t="n">
        <v>953</v>
      </c>
      <c r="I5" s="18" t="n">
        <v>1391</v>
      </c>
      <c r="J5" s="18" t="n">
        <v>1178</v>
      </c>
      <c r="K5" s="18" t="n">
        <v>1558</v>
      </c>
      <c r="L5" s="18" t="n">
        <v>1747</v>
      </c>
      <c r="M5" s="18" t="n">
        <v>1331</v>
      </c>
      <c r="N5" s="18" t="n">
        <v>1403</v>
      </c>
      <c r="O5" s="18" t="n">
        <v>1519</v>
      </c>
      <c r="P5" s="18" t="n">
        <v>1213</v>
      </c>
      <c r="Q5" s="18" t="n">
        <v>1113</v>
      </c>
      <c r="R5" s="18" t="n">
        <v>980</v>
      </c>
      <c r="S5" s="18" t="n">
        <v>1036</v>
      </c>
      <c r="T5" s="18" t="n">
        <v>977</v>
      </c>
      <c r="U5" s="18" t="n">
        <v>1079</v>
      </c>
      <c r="V5" s="18" t="n">
        <v>981</v>
      </c>
      <c r="W5" s="18" t="n">
        <v>1090</v>
      </c>
      <c r="X5" s="18" t="n">
        <v>1187</v>
      </c>
      <c r="Y5" s="18" t="n">
        <v>1228</v>
      </c>
      <c r="Z5" s="18" t="n">
        <v>1715</v>
      </c>
      <c r="AA5" s="18" t="n">
        <v>471</v>
      </c>
      <c r="AB5" s="18" t="n">
        <v>1700</v>
      </c>
      <c r="AC5" s="18" t="n">
        <v>543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152</v>
      </c>
      <c r="C9" s="18" t="n">
        <v>130</v>
      </c>
      <c r="D9" s="18" t="n">
        <v>148</v>
      </c>
      <c r="E9" s="18" t="n">
        <v>113</v>
      </c>
      <c r="F9" s="18" t="n">
        <v>127</v>
      </c>
      <c r="G9" s="18" t="n">
        <v>114</v>
      </c>
      <c r="H9" s="18" t="n">
        <v>112</v>
      </c>
      <c r="I9" s="18" t="n">
        <v>123</v>
      </c>
      <c r="J9" s="18" t="n">
        <v>114</v>
      </c>
      <c r="K9" s="18" t="n">
        <v>152</v>
      </c>
      <c r="L9" s="18" t="n">
        <v>169</v>
      </c>
      <c r="M9" s="18" t="n">
        <v>154</v>
      </c>
      <c r="N9" s="18" t="n">
        <v>160</v>
      </c>
      <c r="O9" s="18" t="n">
        <v>163</v>
      </c>
      <c r="P9" s="18" t="n">
        <v>159</v>
      </c>
      <c r="Q9" s="18" t="n">
        <v>176</v>
      </c>
      <c r="R9" s="18" t="n">
        <v>161</v>
      </c>
      <c r="S9" s="18" t="n">
        <v>146</v>
      </c>
      <c r="T9" s="18" t="n">
        <v>182</v>
      </c>
      <c r="U9" s="18" t="n">
        <v>186</v>
      </c>
      <c r="V9" s="18" t="n">
        <v>164</v>
      </c>
      <c r="W9" s="18" t="n">
        <v>170</v>
      </c>
      <c r="X9" s="18" t="n">
        <v>188</v>
      </c>
      <c r="Y9" s="18" t="n">
        <v>194</v>
      </c>
      <c r="Z9" s="18" t="n">
        <v>168</v>
      </c>
      <c r="AA9" s="18" t="n">
        <v>168</v>
      </c>
      <c r="AB9" s="18" t="n">
        <v>191</v>
      </c>
      <c r="AC9" s="18" t="n">
        <v>193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1110</v>
      </c>
      <c r="C11" s="18" t="n">
        <v>1111</v>
      </c>
      <c r="D11" s="18" t="n">
        <v>1127</v>
      </c>
      <c r="E11" s="18" t="n">
        <v>1075</v>
      </c>
      <c r="F11" s="18" t="n">
        <v>1065</v>
      </c>
      <c r="G11" s="18" t="n">
        <v>1106</v>
      </c>
      <c r="H11" s="18" t="n">
        <v>1139</v>
      </c>
      <c r="I11" s="18" t="n">
        <v>1221</v>
      </c>
      <c r="J11" s="18" t="n">
        <v>1105</v>
      </c>
      <c r="K11" s="18" t="n">
        <v>917</v>
      </c>
      <c r="L11" s="18" t="n">
        <v>1510</v>
      </c>
      <c r="M11" s="18" t="n">
        <v>1193</v>
      </c>
      <c r="N11" s="18" t="n">
        <v>1087</v>
      </c>
      <c r="O11" s="18" t="n">
        <v>1502</v>
      </c>
      <c r="P11" s="18" t="n">
        <v>1717</v>
      </c>
      <c r="Q11" s="18" t="n">
        <v>1968</v>
      </c>
      <c r="R11" s="18" t="n">
        <v>1503</v>
      </c>
      <c r="S11" s="18" t="n">
        <v>1523</v>
      </c>
      <c r="T11" s="18" t="n">
        <v>1807</v>
      </c>
      <c r="U11" s="18" t="n">
        <v>1692</v>
      </c>
      <c r="V11" s="18" t="n">
        <v>1355</v>
      </c>
      <c r="W11" s="18" t="n">
        <v>1563</v>
      </c>
      <c r="X11" s="18" t="n">
        <v>1556</v>
      </c>
      <c r="Y11" s="18" t="n">
        <v>1820</v>
      </c>
      <c r="Z11" s="18" t="n">
        <v>1055</v>
      </c>
      <c r="AA11" s="18" t="n">
        <v>2452</v>
      </c>
      <c r="AB11" s="18" t="n">
        <v>1498</v>
      </c>
      <c r="AC11" s="18" t="n">
        <v>2487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498</v>
      </c>
      <c r="C13" s="18" t="n">
        <v>628</v>
      </c>
      <c r="D13" s="18" t="n">
        <v>234</v>
      </c>
      <c r="E13" s="18" t="n">
        <v>431</v>
      </c>
      <c r="F13" s="18" t="n">
        <v>612</v>
      </c>
      <c r="G13" s="18" t="n">
        <v>641</v>
      </c>
      <c r="H13" s="18" t="n">
        <v>518</v>
      </c>
      <c r="I13" s="18" t="n">
        <v>739</v>
      </c>
      <c r="J13" s="18" t="n">
        <v>600</v>
      </c>
      <c r="K13" s="18" t="n">
        <v>355</v>
      </c>
      <c r="L13" s="18" t="n">
        <v>937</v>
      </c>
      <c r="M13" s="18" t="n">
        <v>654</v>
      </c>
      <c r="N13" s="18" t="n">
        <v>472</v>
      </c>
      <c r="O13" s="18" t="n">
        <v>820</v>
      </c>
      <c r="P13" s="18" t="n">
        <v>1072</v>
      </c>
      <c r="Q13" s="18" t="n">
        <v>1360</v>
      </c>
      <c r="R13" s="18" t="n">
        <v>870</v>
      </c>
      <c r="S13" s="18" t="n">
        <v>994</v>
      </c>
      <c r="T13" s="18" t="n">
        <v>1087</v>
      </c>
      <c r="U13" s="18" t="n">
        <v>1012</v>
      </c>
      <c r="V13" s="18" t="n">
        <v>696</v>
      </c>
      <c r="W13" s="18" t="n">
        <v>838</v>
      </c>
      <c r="X13" s="18" t="n">
        <v>793</v>
      </c>
      <c r="Y13" s="18" t="n">
        <v>1094</v>
      </c>
      <c r="Z13" s="18" t="n">
        <v>887</v>
      </c>
      <c r="AA13" s="18" t="n">
        <v>1109</v>
      </c>
      <c r="AB13" s="18" t="n">
        <v>1307</v>
      </c>
      <c r="AC13" s="18" t="n">
        <v>1321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310</v>
      </c>
      <c r="C15" s="18" t="n">
        <v>221</v>
      </c>
      <c r="D15" s="18" t="n">
        <v>124</v>
      </c>
      <c r="E15" s="18" t="n">
        <v>-517</v>
      </c>
      <c r="F15" s="18" t="n">
        <v>303</v>
      </c>
      <c r="G15" s="18" t="n">
        <v>309</v>
      </c>
      <c r="H15" s="18" t="n">
        <v>116</v>
      </c>
      <c r="I15" s="18" t="n">
        <v>426</v>
      </c>
      <c r="J15" s="18" t="n">
        <v>304</v>
      </c>
      <c r="K15" s="18" t="n">
        <v>165</v>
      </c>
      <c r="L15" s="18" t="n">
        <v>622</v>
      </c>
      <c r="M15" s="18" t="n">
        <v>380</v>
      </c>
      <c r="N15" s="18" t="n">
        <v>400</v>
      </c>
      <c r="O15" s="18" t="n">
        <v>600</v>
      </c>
      <c r="P15" s="18" t="n">
        <v>669</v>
      </c>
      <c r="Q15" s="18" t="n">
        <v>927</v>
      </c>
      <c r="R15" s="18" t="n">
        <v>460</v>
      </c>
      <c r="S15" s="18" t="n">
        <v>654</v>
      </c>
      <c r="T15" s="18" t="n">
        <v>1138</v>
      </c>
      <c r="U15" s="18" t="n">
        <v>632</v>
      </c>
      <c r="V15" s="18" t="n">
        <v>401</v>
      </c>
      <c r="W15" s="18" t="n">
        <v>706</v>
      </c>
      <c r="X15" s="18" t="n">
        <v>486</v>
      </c>
      <c r="Y15" s="18" t="n">
        <v>691</v>
      </c>
      <c r="Z15" s="18" t="n">
        <v>546</v>
      </c>
      <c r="AA15" s="18" t="n">
        <v>647</v>
      </c>
      <c r="AB15" s="18" t="n">
        <v>734</v>
      </c>
      <c r="AC15" s="18" t="n">
        <v>912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1214.065</v>
      </c>
      <c r="C17" s="18" t="n">
        <v>1214.165</v>
      </c>
      <c r="D17" s="18" t="n">
        <v>1213.019</v>
      </c>
      <c r="E17" s="18" t="n">
        <v>1213.019</v>
      </c>
      <c r="F17" s="18" t="n">
        <v>1214.581</v>
      </c>
      <c r="G17" s="18" t="n">
        <v>1215.335</v>
      </c>
      <c r="H17" s="18" t="n">
        <v>1217.211</v>
      </c>
      <c r="I17" s="18" t="n">
        <v>1217.211</v>
      </c>
      <c r="J17" s="18" t="n">
        <v>1217.476</v>
      </c>
      <c r="K17" s="18" t="n">
        <v>1217.979</v>
      </c>
      <c r="L17" s="18" t="n">
        <v>1217.979</v>
      </c>
      <c r="M17" s="18" t="n">
        <v>1221.279</v>
      </c>
      <c r="N17" s="18" t="n">
        <v>1222.694</v>
      </c>
      <c r="O17" s="18" t="n">
        <v>1222.472</v>
      </c>
      <c r="P17" s="18" t="n">
        <v>1223.744025</v>
      </c>
      <c r="Q17" s="18" t="n">
        <v>1225.781</v>
      </c>
      <c r="R17" s="18" t="n">
        <v>1219.915</v>
      </c>
      <c r="S17" s="18" t="n">
        <v>1220.073</v>
      </c>
      <c r="T17" s="18" t="n">
        <v>1222.831582</v>
      </c>
      <c r="U17" s="18" t="n">
        <v>1222.222</v>
      </c>
      <c r="V17" s="18" t="n">
        <v>1222.236</v>
      </c>
      <c r="W17" s="18" t="n">
        <v>1219.537</v>
      </c>
      <c r="X17" s="18" t="n">
        <v>1224.472</v>
      </c>
      <c r="Y17" s="18" t="n">
        <v>1220.661</v>
      </c>
      <c r="Z17" s="18" t="n">
        <v>1221.65</v>
      </c>
      <c r="AA17" s="18" t="n">
        <v>1222</v>
      </c>
      <c r="AB17" s="18" t="n">
        <v>1222</v>
      </c>
      <c r="AC17" s="18" t="n">
        <v>1223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Gas &amp; NGL Marketing Services</t>
        </is>
      </c>
      <c r="M19" s="18" t="n">
        <v>1015</v>
      </c>
      <c r="N19" s="18" t="n">
        <v>979</v>
      </c>
      <c r="O19" s="18" t="n">
        <v>1079</v>
      </c>
      <c r="P19" s="18" t="n">
        <v>979</v>
      </c>
      <c r="Q19" s="18" t="n">
        <v>1131</v>
      </c>
      <c r="R19" s="18" t="n">
        <v>505</v>
      </c>
      <c r="S19" s="18" t="n">
        <v>619</v>
      </c>
      <c r="T19" s="18" t="n">
        <v>623</v>
      </c>
      <c r="U19" s="18" t="n">
        <v>707</v>
      </c>
      <c r="V19" s="18" t="n">
        <v>508</v>
      </c>
      <c r="W19" s="18" t="n">
        <v>585</v>
      </c>
      <c r="X19" s="18" t="n">
        <v>3177</v>
      </c>
      <c r="Y19" s="18" t="n">
        <v>2445</v>
      </c>
      <c r="Z19" s="18" t="n">
        <v>1420</v>
      </c>
      <c r="AA19" s="18" t="n">
        <v>1458</v>
      </c>
      <c r="AB19" s="18" t="n">
        <v>1852</v>
      </c>
      <c r="AC19" s="18" t="n">
        <v>3039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West</t>
        </is>
      </c>
      <c r="E22" s="18" t="n">
        <v>691</v>
      </c>
      <c r="H22" s="18" t="n">
        <v>2252</v>
      </c>
      <c r="I22" s="18" t="n">
        <v>1365</v>
      </c>
      <c r="J22" s="18" t="n">
        <v>1052</v>
      </c>
      <c r="K22" s="18" t="n">
        <v>1486</v>
      </c>
      <c r="M22" s="18" t="n">
        <v>562</v>
      </c>
      <c r="N22" s="18" t="n">
        <v>687</v>
      </c>
      <c r="O22" s="18" t="n">
        <v>708</v>
      </c>
      <c r="P22" s="18" t="n">
        <v>604</v>
      </c>
      <c r="Q22" s="18" t="n">
        <v>503</v>
      </c>
      <c r="R22" s="18" t="n">
        <v>500</v>
      </c>
      <c r="S22" s="18" t="n">
        <v>533</v>
      </c>
      <c r="T22" s="18" t="n">
        <v>599</v>
      </c>
      <c r="U22" s="18" t="n">
        <v>701</v>
      </c>
      <c r="V22" s="18" t="n">
        <v>621</v>
      </c>
      <c r="W22" s="18" t="n">
        <v>663</v>
      </c>
      <c r="X22" s="18" t="n">
        <v>684</v>
      </c>
      <c r="Y22" s="18" t="n">
        <v>726</v>
      </c>
      <c r="Z22" s="18" t="n">
        <v>676</v>
      </c>
      <c r="AA22" s="18" t="n">
        <v>712</v>
      </c>
      <c r="AB22" s="18" t="n">
        <v>733</v>
      </c>
      <c r="AC22" s="18" t="n">
        <v>756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West</t>
        </is>
      </c>
      <c r="Z26" s="18" t="n">
        <v>676</v>
      </c>
      <c r="AA26" s="18" t="n">
        <v>712</v>
      </c>
      <c r="AB26" s="18" t="n">
        <v>1459</v>
      </c>
      <c r="AC26" s="18" t="n">
        <v>756</v>
      </c>
    </row>
    <row r="27">
      <c r="A27" s="4" t="inlineStr">
        <is>
          <t xml:space="preserve">    % YoY</t>
        </is>
      </c>
      <c r="F27" s="57">
        <f>IFERROR(F26/B26-1,"")</f>
        <v/>
      </c>
      <c r="G27" s="57">
        <f>IFERROR(G26/C26-1,"")</f>
        <v/>
      </c>
      <c r="H27" s="57">
        <f>IFERROR(H26/D26-1,"")</f>
        <v/>
      </c>
      <c r="I27" s="57">
        <f>IFERROR(I26/E26-1,"")</f>
        <v/>
      </c>
      <c r="J27" s="57">
        <f>IFERROR(J26/F26-1,"")</f>
        <v/>
      </c>
      <c r="K27" s="57">
        <f>IFERROR(K26/G26-1,"")</f>
        <v/>
      </c>
      <c r="L27" s="57">
        <f>IFERROR(L26/H26-1,"")</f>
        <v/>
      </c>
      <c r="M27" s="57">
        <f>IFERROR(M26/I26-1,"")</f>
        <v/>
      </c>
      <c r="N27" s="57">
        <f>IFERROR(N26/J26-1,"")</f>
        <v/>
      </c>
      <c r="O27" s="57">
        <f>IFERROR(O26/K26-1,"")</f>
        <v/>
      </c>
      <c r="P27" s="57">
        <f>IFERROR(P26/L26-1,"")</f>
        <v/>
      </c>
      <c r="Q27" s="57">
        <f>IFERROR(Q26/M26-1,"")</f>
        <v/>
      </c>
      <c r="R27" s="57">
        <f>IFERROR(R26/N26-1,"")</f>
        <v/>
      </c>
      <c r="S27" s="57">
        <f>IFERROR(S26/O26-1,"")</f>
        <v/>
      </c>
      <c r="T27" s="57">
        <f>IFERROR(T26/P26-1,"")</f>
        <v/>
      </c>
      <c r="U27" s="57">
        <f>IFERROR(U26/Q26-1,"")</f>
        <v/>
      </c>
      <c r="V27" s="57">
        <f>IFERROR(V26/R26-1,"")</f>
        <v/>
      </c>
      <c r="W27" s="57">
        <f>IFERROR(W26/S26-1,"")</f>
        <v/>
      </c>
      <c r="X27" s="57">
        <f>IFERROR(X26/T26-1,"")</f>
        <v/>
      </c>
      <c r="Y27" s="57">
        <f>IFERROR(Y26/U26-1,"")</f>
        <v/>
      </c>
      <c r="Z27" s="57">
        <f>IFERROR(Z26/V26-1,"")</f>
        <v/>
      </c>
      <c r="AA27" s="57">
        <f>IFERROR(AA26/W26-1,"")</f>
        <v/>
      </c>
      <c r="AB27" s="57">
        <f>IFERROR(AB26/X26-1,"")</f>
        <v/>
      </c>
      <c r="AC27" s="57">
        <f>IFERROR(AC26/Y26-1,"")</f>
        <v/>
      </c>
    </row>
    <row r="28">
      <c r="A28" s="4" t="inlineStr">
        <is>
          <t xml:space="preserve">    % of revenue</t>
        </is>
      </c>
      <c r="B28" s="57">
        <f>IFERROR(B26/B3,"")</f>
        <v/>
      </c>
      <c r="C28" s="57">
        <f>IFERROR(C26/C3,"")</f>
        <v/>
      </c>
      <c r="D28" s="57">
        <f>IFERROR(D26/D3,"")</f>
        <v/>
      </c>
      <c r="E28" s="57">
        <f>IFERROR(E26/E3,"")</f>
        <v/>
      </c>
      <c r="F28" s="57">
        <f>IFERROR(F26/F3,"")</f>
        <v/>
      </c>
      <c r="G28" s="57">
        <f>IFERROR(G26/G3,"")</f>
        <v/>
      </c>
      <c r="H28" s="57">
        <f>IFERROR(H26/H3,"")</f>
        <v/>
      </c>
      <c r="I28" s="57">
        <f>IFERROR(I26/I3,"")</f>
        <v/>
      </c>
      <c r="J28" s="57">
        <f>IFERROR(J26/J3,"")</f>
        <v/>
      </c>
      <c r="K28" s="57">
        <f>IFERROR(K26/K3,"")</f>
        <v/>
      </c>
      <c r="L28" s="57">
        <f>IFERROR(L26/L3,"")</f>
        <v/>
      </c>
      <c r="M28" s="57">
        <f>IFERROR(M26/M3,"")</f>
        <v/>
      </c>
      <c r="N28" s="57">
        <f>IFERROR(N26/N3,"")</f>
        <v/>
      </c>
      <c r="O28" s="57">
        <f>IFERROR(O26/O3,"")</f>
        <v/>
      </c>
      <c r="P28" s="57">
        <f>IFERROR(P26/P3,"")</f>
        <v/>
      </c>
      <c r="Q28" s="57">
        <f>IFERROR(Q26/Q3,"")</f>
        <v/>
      </c>
      <c r="R28" s="57">
        <f>IFERROR(R26/R3,"")</f>
        <v/>
      </c>
      <c r="S28" s="57">
        <f>IFERROR(S26/S3,"")</f>
        <v/>
      </c>
      <c r="T28" s="57">
        <f>IFERROR(T26/T3,"")</f>
        <v/>
      </c>
      <c r="U28" s="57">
        <f>IFERROR(U26/U3,"")</f>
        <v/>
      </c>
      <c r="V28" s="57">
        <f>IFERROR(V26/V3,"")</f>
        <v/>
      </c>
      <c r="W28" s="57">
        <f>IFERROR(W26/W3,"")</f>
        <v/>
      </c>
      <c r="X28" s="57">
        <f>IFERROR(X26/X3,"")</f>
        <v/>
      </c>
      <c r="Y28" s="57">
        <f>IFERROR(Y26/Y3,"")</f>
        <v/>
      </c>
      <c r="Z28" s="57">
        <f>IFERROR(Z26/Z3,"")</f>
        <v/>
      </c>
      <c r="AA28" s="57">
        <f>IFERROR(AA26/AA3,"")</f>
        <v/>
      </c>
      <c r="AB28" s="57">
        <f>IFERROR(AB26/AB3,"")</f>
        <v/>
      </c>
      <c r="AC28" s="57">
        <f>IFERROR(AC26/AC3,"")</f>
        <v/>
      </c>
    </row>
    <row r="29">
      <c r="A29" s="5" t="inlineStr">
        <is>
          <t xml:space="preserve">  BALANCE SHEET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</row>
    <row r="30">
      <c r="A30" s="4" t="inlineStr">
        <is>
          <t>Cash &amp; ST Investments</t>
        </is>
      </c>
      <c r="B30" s="18" t="n">
        <v>806</v>
      </c>
      <c r="C30" s="18" t="n">
        <v>247</v>
      </c>
      <c r="D30" s="18" t="n">
        <v>289</v>
      </c>
      <c r="E30" s="18" t="n">
        <v>400</v>
      </c>
      <c r="F30" s="18" t="n">
        <v>1133</v>
      </c>
      <c r="G30" s="18" t="n">
        <v>70</v>
      </c>
      <c r="H30" s="18" t="n">
        <v>142</v>
      </c>
      <c r="I30" s="18" t="n">
        <v>1126</v>
      </c>
      <c r="J30" s="18" t="n">
        <v>1201</v>
      </c>
      <c r="K30" s="18" t="n">
        <v>214</v>
      </c>
      <c r="L30" s="18" t="n">
        <v>1680</v>
      </c>
      <c r="M30" s="18" t="n">
        <v>604</v>
      </c>
      <c r="N30" s="18" t="n">
        <v>133</v>
      </c>
      <c r="O30" s="18" t="n">
        <v>859</v>
      </c>
      <c r="P30" s="18" t="n">
        <v>152</v>
      </c>
      <c r="Q30" s="18" t="n">
        <v>477</v>
      </c>
      <c r="R30" s="18" t="n">
        <v>551</v>
      </c>
      <c r="S30" s="18" t="n">
        <v>2074</v>
      </c>
      <c r="T30" s="18" t="n">
        <v>2150</v>
      </c>
      <c r="U30" s="18" t="n">
        <v>667</v>
      </c>
      <c r="V30" s="18" t="n">
        <v>55</v>
      </c>
      <c r="W30" s="18" t="n">
        <v>762</v>
      </c>
      <c r="X30" s="18" t="n">
        <v>60</v>
      </c>
      <c r="Y30" s="18" t="n">
        <v>100</v>
      </c>
      <c r="Z30" s="18" t="n">
        <v>903</v>
      </c>
      <c r="AA30" s="18" t="n">
        <v>70</v>
      </c>
      <c r="AB30" s="18" t="n">
        <v>63</v>
      </c>
      <c r="AC30" s="18" t="n">
        <v>950</v>
      </c>
    </row>
    <row r="31">
      <c r="A31" s="4" t="inlineStr">
        <is>
          <t>Total Current Assets</t>
        </is>
      </c>
      <c r="B31" s="18" t="n">
        <v>2028</v>
      </c>
      <c r="C31" s="18" t="n">
        <v>1434</v>
      </c>
      <c r="D31" s="18" t="n">
        <v>1580</v>
      </c>
      <c r="E31" s="18" t="n">
        <v>1565</v>
      </c>
      <c r="F31" s="18" t="n">
        <v>2338</v>
      </c>
      <c r="G31" s="18" t="n">
        <v>1403</v>
      </c>
      <c r="H31" s="18" t="n">
        <v>1429</v>
      </c>
      <c r="I31" s="18" t="n">
        <v>2497</v>
      </c>
      <c r="J31" s="18" t="n">
        <v>2625</v>
      </c>
      <c r="K31" s="18" t="n">
        <v>2885</v>
      </c>
      <c r="L31" s="18" t="n">
        <v>4549</v>
      </c>
      <c r="M31" s="18" t="n">
        <v>3154</v>
      </c>
      <c r="N31" s="18" t="n">
        <v>3787</v>
      </c>
      <c r="O31" s="18" t="n">
        <v>4438</v>
      </c>
      <c r="P31" s="18" t="n">
        <v>3797</v>
      </c>
      <c r="Q31" s="18" t="n">
        <v>2757</v>
      </c>
      <c r="R31" s="18" t="n">
        <v>2639</v>
      </c>
      <c r="S31" s="18" t="n">
        <v>4256</v>
      </c>
      <c r="T31" s="18" t="n">
        <v>4513</v>
      </c>
      <c r="U31" s="18" t="n">
        <v>2610</v>
      </c>
      <c r="V31" s="18" t="n">
        <v>2115</v>
      </c>
      <c r="W31" s="18" t="n">
        <v>2698</v>
      </c>
      <c r="X31" s="18" t="n">
        <v>2661</v>
      </c>
      <c r="Y31" s="18" t="n">
        <v>2535</v>
      </c>
      <c r="Z31" s="18" t="n">
        <v>3221</v>
      </c>
      <c r="AA31" s="18" t="n">
        <v>2271</v>
      </c>
      <c r="AB31" s="18" t="n">
        <v>3244</v>
      </c>
      <c r="AC31" s="18" t="n">
        <v>3320</v>
      </c>
    </row>
    <row r="32">
      <c r="A32" s="4" t="inlineStr">
        <is>
          <t>PP&amp;E (net)</t>
        </is>
      </c>
      <c r="B32" s="18" t="n">
        <v>29131</v>
      </c>
      <c r="C32" s="18" t="n">
        <v>29613</v>
      </c>
      <c r="D32" s="18" t="n">
        <v>29200</v>
      </c>
      <c r="E32" s="18" t="n">
        <v>29141</v>
      </c>
      <c r="F32" s="18" t="n">
        <v>29137</v>
      </c>
      <c r="G32" s="18" t="n">
        <v>29107</v>
      </c>
      <c r="H32" s="18" t="n">
        <v>28929</v>
      </c>
      <c r="I32" s="18" t="n">
        <v>29076</v>
      </c>
      <c r="J32" s="18" t="n">
        <v>29299</v>
      </c>
      <c r="K32" s="18" t="n">
        <v>29314</v>
      </c>
      <c r="L32" s="18" t="n">
        <v>29258</v>
      </c>
      <c r="M32" s="18" t="n">
        <v>29186</v>
      </c>
      <c r="N32" s="18" t="n">
        <v>29660</v>
      </c>
      <c r="O32" s="18" t="n">
        <v>30338</v>
      </c>
      <c r="P32" s="18" t="n">
        <v>30889</v>
      </c>
      <c r="Q32" s="18" t="n">
        <v>32095</v>
      </c>
      <c r="R32" s="18" t="n">
        <v>32346</v>
      </c>
      <c r="S32" s="18" t="n">
        <v>32628</v>
      </c>
      <c r="T32" s="18" t="n">
        <v>34311</v>
      </c>
      <c r="U32" s="18" t="n">
        <v>36451</v>
      </c>
      <c r="V32" s="18" t="n">
        <v>36702</v>
      </c>
      <c r="W32" s="18" t="n">
        <v>37974</v>
      </c>
      <c r="X32" s="18" t="n">
        <v>38692</v>
      </c>
      <c r="Y32" s="18" t="n">
        <v>39155</v>
      </c>
      <c r="Z32" s="18" t="n">
        <v>39773</v>
      </c>
      <c r="AA32" s="18" t="n">
        <v>60305</v>
      </c>
      <c r="AB32" s="18" t="n">
        <v>41996</v>
      </c>
      <c r="AC32" s="18" t="n">
        <v>43134</v>
      </c>
    </row>
    <row r="33">
      <c r="A33" s="4" t="inlineStr">
        <is>
          <t>Total Assets</t>
        </is>
      </c>
      <c r="B33" s="18" t="n">
        <v>46509</v>
      </c>
      <c r="C33" s="18" t="n">
        <v>46281</v>
      </c>
      <c r="D33" s="18" t="n">
        <v>46040</v>
      </c>
      <c r="E33" s="18" t="n">
        <v>44629</v>
      </c>
      <c r="F33" s="18" t="n">
        <v>45343</v>
      </c>
      <c r="G33" s="18" t="n">
        <v>44320</v>
      </c>
      <c r="H33" s="18" t="n">
        <v>44165</v>
      </c>
      <c r="I33" s="18" t="n">
        <v>45262</v>
      </c>
      <c r="J33" s="18" t="n">
        <v>45507</v>
      </c>
      <c r="K33" s="18" t="n">
        <v>45985</v>
      </c>
      <c r="L33" s="18" t="n">
        <v>47612</v>
      </c>
      <c r="M33" s="18" t="n">
        <v>46049</v>
      </c>
      <c r="N33" s="18" t="n">
        <v>47555</v>
      </c>
      <c r="O33" s="18" t="n">
        <v>48672</v>
      </c>
      <c r="P33" s="18" t="n">
        <v>48433</v>
      </c>
      <c r="Q33" s="18" t="n">
        <v>48936</v>
      </c>
      <c r="R33" s="18" t="n">
        <v>49025</v>
      </c>
      <c r="S33" s="18" t="n">
        <v>50788</v>
      </c>
      <c r="T33" s="18" t="n">
        <v>52627</v>
      </c>
      <c r="U33" s="18" t="n">
        <v>52747</v>
      </c>
      <c r="V33" s="18" t="n">
        <v>52409</v>
      </c>
      <c r="W33" s="18" t="n">
        <v>53837</v>
      </c>
      <c r="X33" s="18" t="n">
        <v>54532</v>
      </c>
      <c r="Y33" s="18" t="n">
        <v>54924</v>
      </c>
      <c r="Z33" s="18" t="n">
        <v>56141</v>
      </c>
      <c r="AA33" s="18" t="n">
        <v>55736</v>
      </c>
      <c r="AB33" s="18" t="n">
        <v>58573</v>
      </c>
      <c r="AC33" s="18" t="n">
        <v>59569</v>
      </c>
    </row>
    <row r="34">
      <c r="A34" s="4" t="inlineStr">
        <is>
          <t>Total Current Liabilities</t>
        </is>
      </c>
      <c r="B34" s="18" t="n">
        <v>3389</v>
      </c>
      <c r="C34" s="18" t="n">
        <v>3324</v>
      </c>
      <c r="D34" s="18" t="n">
        <v>3968</v>
      </c>
      <c r="E34" s="18" t="n">
        <v>2116</v>
      </c>
      <c r="F34" s="18" t="n">
        <v>2438</v>
      </c>
      <c r="G34" s="18" t="n">
        <v>1861</v>
      </c>
      <c r="H34" s="18" t="n">
        <v>2319</v>
      </c>
      <c r="I34" s="18" t="n">
        <v>3535</v>
      </c>
      <c r="J34" s="18" t="n">
        <v>3759</v>
      </c>
      <c r="K34" s="18" t="n">
        <v>4940</v>
      </c>
      <c r="L34" s="18" t="n">
        <v>4972</v>
      </c>
      <c r="M34" s="18" t="n">
        <v>4308</v>
      </c>
      <c r="N34" s="18" t="n">
        <v>5838</v>
      </c>
      <c r="O34" s="18" t="n">
        <v>5017</v>
      </c>
      <c r="P34" s="18" t="n">
        <v>4890</v>
      </c>
      <c r="Q34" s="18" t="n">
        <v>4020</v>
      </c>
      <c r="R34" s="18" t="n">
        <v>5384</v>
      </c>
      <c r="S34" s="18" t="n">
        <v>5526</v>
      </c>
      <c r="T34" s="18" t="n">
        <v>5830</v>
      </c>
      <c r="U34" s="18" t="n">
        <v>4981</v>
      </c>
      <c r="V34" s="18" t="n">
        <v>4696</v>
      </c>
      <c r="W34" s="18" t="n">
        <v>4719</v>
      </c>
      <c r="X34" s="18" t="n">
        <v>5312</v>
      </c>
      <c r="Y34" s="18" t="n">
        <v>6266</v>
      </c>
      <c r="Z34" s="18" t="n">
        <v>6012</v>
      </c>
      <c r="AA34" s="18" t="n">
        <v>5377</v>
      </c>
      <c r="AB34" s="18" t="n">
        <v>6106</v>
      </c>
      <c r="AC34" s="18" t="n">
        <v>4006</v>
      </c>
    </row>
    <row r="35">
      <c r="A35" s="4" t="inlineStr">
        <is>
          <t>Long-term Debt</t>
        </is>
      </c>
      <c r="B35" s="18" t="n">
        <v>20711</v>
      </c>
      <c r="C35" s="18" t="n">
        <v>20719</v>
      </c>
      <c r="D35" s="18" t="n">
        <v>20148</v>
      </c>
      <c r="E35" s="18" t="n">
        <v>21848</v>
      </c>
      <c r="F35" s="18" t="n">
        <v>22323</v>
      </c>
      <c r="G35" s="18" t="n">
        <v>21951</v>
      </c>
      <c r="H35" s="18" t="n">
        <v>21451</v>
      </c>
      <c r="I35" s="18" t="n">
        <v>21092</v>
      </c>
      <c r="J35" s="18" t="n">
        <v>21091</v>
      </c>
      <c r="K35" s="18" t="n">
        <v>20338</v>
      </c>
      <c r="L35" s="18" t="n">
        <v>21650</v>
      </c>
      <c r="M35" s="18" t="n">
        <v>20801</v>
      </c>
      <c r="N35" s="18" t="n">
        <v>20800</v>
      </c>
      <c r="O35" s="18" t="n">
        <v>22530</v>
      </c>
      <c r="P35" s="18" t="n">
        <v>21927</v>
      </c>
      <c r="Q35" s="18" t="n">
        <v>22785</v>
      </c>
      <c r="R35" s="18" t="n">
        <v>21532</v>
      </c>
      <c r="S35" s="18" t="n">
        <v>22772</v>
      </c>
      <c r="T35" s="18" t="n">
        <v>23376</v>
      </c>
      <c r="U35" s="18" t="n">
        <v>24100</v>
      </c>
      <c r="V35" s="18" t="n">
        <v>24096</v>
      </c>
      <c r="W35" s="18" t="n">
        <v>24825</v>
      </c>
      <c r="X35" s="18" t="n">
        <v>24736</v>
      </c>
      <c r="Y35" s="18" t="n">
        <v>24122</v>
      </c>
      <c r="Z35" s="18" t="n">
        <v>25603</v>
      </c>
      <c r="AA35" s="18" t="n">
        <v>25589</v>
      </c>
      <c r="AB35" s="18" t="n">
        <v>27316</v>
      </c>
      <c r="AC35" s="18" t="n">
        <v>30054</v>
      </c>
    </row>
    <row r="36">
      <c r="A36" s="4" t="inlineStr">
        <is>
          <t>Total Equity</t>
        </is>
      </c>
      <c r="B36" s="18" t="n">
        <v>13848</v>
      </c>
      <c r="C36" s="18" t="n">
        <v>13621</v>
      </c>
      <c r="D36" s="18" t="n">
        <v>13363</v>
      </c>
      <c r="E36" s="18" t="n">
        <v>12354</v>
      </c>
      <c r="F36" s="18" t="n">
        <v>12212</v>
      </c>
      <c r="G36" s="18" t="n">
        <v>12065</v>
      </c>
      <c r="H36" s="18" t="n">
        <v>11769</v>
      </c>
      <c r="I36" s="18" t="n">
        <v>11702</v>
      </c>
      <c r="J36" s="18" t="n">
        <v>11512</v>
      </c>
      <c r="K36" s="18" t="n">
        <v>11198</v>
      </c>
      <c r="L36" s="18" t="n">
        <v>11423</v>
      </c>
      <c r="M36" s="18" t="n">
        <v>11316</v>
      </c>
      <c r="N36" s="18" t="n">
        <v>11226</v>
      </c>
      <c r="O36" s="18" t="n">
        <v>11319</v>
      </c>
      <c r="P36" s="18" t="n">
        <v>11485</v>
      </c>
      <c r="Q36" s="18" t="n">
        <v>11785</v>
      </c>
      <c r="R36" s="18" t="n">
        <v>11679</v>
      </c>
      <c r="S36" s="18" t="n">
        <v>11845</v>
      </c>
      <c r="T36" s="18" t="n">
        <v>12402</v>
      </c>
      <c r="U36" s="18" t="n">
        <v>12449</v>
      </c>
      <c r="V36" s="18" t="n">
        <v>12296</v>
      </c>
      <c r="W36" s="18" t="n">
        <v>12428</v>
      </c>
      <c r="X36" s="18" t="n">
        <v>12436</v>
      </c>
      <c r="Y36" s="18" t="n">
        <v>12487</v>
      </c>
      <c r="Z36" s="18" t="n">
        <v>12438</v>
      </c>
      <c r="AA36" s="18" t="n">
        <v>12520</v>
      </c>
      <c r="AB36" s="18" t="n">
        <v>12807</v>
      </c>
      <c r="AC36" s="18" t="n">
        <v>12992</v>
      </c>
    </row>
    <row r="37">
      <c r="A37" s="5" t="inlineStr">
        <is>
          <t xml:space="preserve">  CASH FLOW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4" t="inlineStr">
        <is>
          <t>D&amp;A</t>
        </is>
      </c>
      <c r="B38" s="18" t="n">
        <v>424</v>
      </c>
      <c r="C38" s="18" t="n">
        <v>435</v>
      </c>
      <c r="D38" s="18" t="n">
        <v>439</v>
      </c>
      <c r="E38" s="18" t="n">
        <v>429</v>
      </c>
      <c r="F38" s="18" t="n">
        <v>430</v>
      </c>
      <c r="G38" s="18" t="n">
        <v>426</v>
      </c>
      <c r="H38" s="18" t="n">
        <v>436</v>
      </c>
      <c r="I38" s="18" t="n">
        <v>438</v>
      </c>
      <c r="J38" s="18" t="n">
        <v>463</v>
      </c>
      <c r="K38" s="18" t="n">
        <v>487</v>
      </c>
      <c r="L38" s="18" t="n">
        <v>454</v>
      </c>
      <c r="M38" s="18" t="n">
        <v>509</v>
      </c>
      <c r="N38" s="18" t="n">
        <v>519</v>
      </c>
      <c r="O38" s="18" t="n">
        <v>500</v>
      </c>
      <c r="P38" s="18" t="n">
        <v>505</v>
      </c>
      <c r="Q38" s="18" t="n">
        <v>506</v>
      </c>
      <c r="R38" s="18" t="n">
        <v>515</v>
      </c>
      <c r="S38" s="18" t="n">
        <v>521</v>
      </c>
      <c r="T38" s="18" t="n">
        <v>529</v>
      </c>
      <c r="U38" s="18" t="n">
        <v>548</v>
      </c>
      <c r="V38" s="18" t="n">
        <v>540</v>
      </c>
      <c r="W38" s="18" t="n">
        <v>527</v>
      </c>
      <c r="X38" s="18" t="n">
        <v>565</v>
      </c>
      <c r="Y38" s="18" t="n">
        <v>585</v>
      </c>
      <c r="Z38" s="18" t="n">
        <v>605</v>
      </c>
      <c r="AA38" s="18" t="n">
        <v>564</v>
      </c>
      <c r="AB38" s="18" t="n">
        <v>522</v>
      </c>
      <c r="AC38" s="18" t="n">
        <v>584</v>
      </c>
    </row>
    <row r="39">
      <c r="A39" s="4" t="inlineStr">
        <is>
          <t>Stock-based Compensation</t>
        </is>
      </c>
      <c r="B39" s="18" t="n">
        <v>16</v>
      </c>
      <c r="C39" s="18" t="n">
        <v>14</v>
      </c>
      <c r="D39" s="18" t="n">
        <v>13</v>
      </c>
      <c r="E39" s="18" t="n">
        <v>9</v>
      </c>
      <c r="F39" s="18" t="n">
        <v>15</v>
      </c>
      <c r="G39" s="18" t="n">
        <v>15</v>
      </c>
      <c r="H39" s="18" t="n">
        <v>13</v>
      </c>
      <c r="I39" s="18" t="n">
        <v>20</v>
      </c>
      <c r="J39" s="18" t="n">
        <v>19</v>
      </c>
      <c r="K39" s="18" t="n">
        <v>21</v>
      </c>
      <c r="L39" s="18" t="n">
        <v>21</v>
      </c>
      <c r="M39" s="18" t="n">
        <v>21</v>
      </c>
      <c r="N39" s="18" t="n">
        <v>15</v>
      </c>
      <c r="O39" s="18" t="n">
        <v>22</v>
      </c>
      <c r="P39" s="18" t="n">
        <v>15</v>
      </c>
      <c r="Q39" s="18" t="n">
        <v>17</v>
      </c>
      <c r="R39" s="18" t="n">
        <v>23</v>
      </c>
      <c r="S39" s="18" t="n">
        <v>19</v>
      </c>
      <c r="T39" s="18" t="n">
        <v>18</v>
      </c>
      <c r="U39" s="18" t="n">
        <v>24</v>
      </c>
      <c r="V39" s="18" t="n">
        <v>24</v>
      </c>
      <c r="W39" s="18" t="n">
        <v>-48</v>
      </c>
      <c r="X39" s="18" t="n">
        <v>30</v>
      </c>
      <c r="Y39" s="18" t="n">
        <v>30</v>
      </c>
      <c r="Z39" s="18" t="n">
        <v>19</v>
      </c>
      <c r="AA39" s="18" t="n">
        <v>-49</v>
      </c>
      <c r="AB39" s="18" t="n">
        <v>0</v>
      </c>
      <c r="AC39" s="18" t="n">
        <v>22</v>
      </c>
    </row>
    <row r="40">
      <c r="A40" s="4" t="inlineStr">
        <is>
          <t>Change in Working Capital</t>
        </is>
      </c>
      <c r="B40" s="18" t="n">
        <v>176</v>
      </c>
      <c r="C40" s="18" t="n">
        <v>-71</v>
      </c>
      <c r="D40" s="18" t="n">
        <v>-4</v>
      </c>
      <c r="E40" s="18" t="n">
        <v>-176</v>
      </c>
      <c r="F40" s="18" t="n">
        <v>219</v>
      </c>
      <c r="G40" s="18" t="n">
        <v>-460</v>
      </c>
      <c r="H40" s="18" t="n">
        <v>94</v>
      </c>
      <c r="I40" s="18" t="n">
        <v>-167</v>
      </c>
      <c r="J40" s="18" t="n">
        <v>101</v>
      </c>
      <c r="K40" s="18" t="n">
        <v>-287</v>
      </c>
      <c r="L40" s="18" t="n">
        <v>44</v>
      </c>
      <c r="M40" s="18" t="n">
        <v>-143</v>
      </c>
      <c r="N40" s="18" t="n">
        <v>-85</v>
      </c>
      <c r="O40" s="18" t="n">
        <v>209</v>
      </c>
      <c r="P40" s="18" t="n">
        <v>-360</v>
      </c>
      <c r="Q40" s="18" t="n">
        <v>-1</v>
      </c>
      <c r="R40" s="18" t="n">
        <v>229</v>
      </c>
      <c r="S40" s="18" t="n">
        <v>-63</v>
      </c>
      <c r="T40" s="18" t="n">
        <v>40</v>
      </c>
      <c r="U40" s="18" t="n">
        <v>-299</v>
      </c>
      <c r="V40" s="18" t="n">
        <v>-9</v>
      </c>
      <c r="W40" s="18" t="n">
        <v>308</v>
      </c>
      <c r="X40" s="18" t="n">
        <v>-172</v>
      </c>
      <c r="Y40" s="18" t="n">
        <v>-54</v>
      </c>
      <c r="Z40" s="18" t="n">
        <v>85</v>
      </c>
      <c r="AA40" s="18" t="n">
        <v>-31</v>
      </c>
      <c r="AB40" s="18" t="n">
        <v>-124</v>
      </c>
      <c r="AC40" s="18" t="n">
        <v>-148</v>
      </c>
    </row>
    <row r="41">
      <c r="A41" s="4" t="inlineStr">
        <is>
          <t>Operating Cash Flow</t>
        </is>
      </c>
      <c r="B41" s="18" t="n">
        <v>1069</v>
      </c>
      <c r="C41" s="18" t="n">
        <v>858</v>
      </c>
      <c r="D41" s="18" t="n">
        <v>991</v>
      </c>
      <c r="E41" s="18" t="n">
        <v>787</v>
      </c>
      <c r="F41" s="18" t="n">
        <v>1143</v>
      </c>
      <c r="G41" s="18" t="n">
        <v>452</v>
      </c>
      <c r="H41" s="18" t="n">
        <v>1114</v>
      </c>
      <c r="I41" s="18" t="n">
        <v>915</v>
      </c>
      <c r="J41" s="18" t="n">
        <v>1057</v>
      </c>
      <c r="K41" s="18" t="n">
        <v>834</v>
      </c>
      <c r="L41" s="18" t="n">
        <v>1139</v>
      </c>
      <c r="M41" s="18" t="n">
        <v>1082</v>
      </c>
      <c r="N41" s="18" t="n">
        <v>1098</v>
      </c>
      <c r="O41" s="18" t="n">
        <v>1490</v>
      </c>
      <c r="P41" s="18" t="n">
        <v>1219</v>
      </c>
      <c r="Q41" s="18" t="n">
        <v>1514</v>
      </c>
      <c r="R41" s="18" t="n">
        <v>1377</v>
      </c>
      <c r="S41" s="18" t="n">
        <v>1234</v>
      </c>
      <c r="T41" s="18" t="n">
        <v>1813</v>
      </c>
      <c r="U41" s="18" t="n">
        <v>1234</v>
      </c>
      <c r="V41" s="18" t="n">
        <v>1279</v>
      </c>
      <c r="W41" s="18" t="n">
        <v>1243</v>
      </c>
      <c r="X41" s="18" t="n">
        <v>1218</v>
      </c>
      <c r="Y41" s="18" t="n">
        <v>1433</v>
      </c>
      <c r="Z41" s="18" t="n">
        <v>1450</v>
      </c>
      <c r="AA41" s="18" t="n">
        <v>1439</v>
      </c>
      <c r="AB41" s="18" t="n">
        <v>1576</v>
      </c>
      <c r="AC41" s="18" t="n">
        <v>1603</v>
      </c>
    </row>
    <row r="42">
      <c r="A42" s="4" t="inlineStr">
        <is>
          <t>Capex</t>
        </is>
      </c>
      <c r="B42" s="18" t="n">
        <v>-508</v>
      </c>
      <c r="C42" s="18" t="n">
        <v>-803</v>
      </c>
      <c r="D42" s="18" t="n">
        <v>-412</v>
      </c>
      <c r="E42" s="18" t="n">
        <v>-309</v>
      </c>
      <c r="F42" s="18" t="n">
        <v>-320</v>
      </c>
      <c r="G42" s="18" t="n">
        <v>-339</v>
      </c>
      <c r="H42" s="18" t="n">
        <v>-307</v>
      </c>
      <c r="I42" s="18" t="n">
        <v>-261</v>
      </c>
      <c r="J42" s="18" t="n">
        <v>-429</v>
      </c>
      <c r="K42" s="18" t="n">
        <v>-267</v>
      </c>
      <c r="L42" s="18" t="n">
        <v>-290</v>
      </c>
      <c r="M42" s="18" t="n">
        <v>-297</v>
      </c>
      <c r="N42" s="18" t="n">
        <v>-320</v>
      </c>
      <c r="O42" s="18" t="n">
        <v>-849</v>
      </c>
      <c r="P42" s="18" t="n">
        <v>-817</v>
      </c>
      <c r="Q42" s="18" t="n">
        <v>-552</v>
      </c>
      <c r="R42" s="18" t="n">
        <v>-624</v>
      </c>
      <c r="S42" s="18" t="n">
        <v>-702</v>
      </c>
      <c r="T42" s="18" t="n">
        <v>-689</v>
      </c>
      <c r="U42" s="18" t="n">
        <v>-544</v>
      </c>
      <c r="V42" s="18" t="n">
        <v>-579</v>
      </c>
      <c r="W42" s="18" t="n">
        <v>-682</v>
      </c>
      <c r="X42" s="18" t="n">
        <v>-800</v>
      </c>
      <c r="Y42" s="18" t="n">
        <v>-1012</v>
      </c>
      <c r="Z42" s="18" t="n">
        <v>-972</v>
      </c>
      <c r="AA42" s="18" t="n">
        <v>-954</v>
      </c>
      <c r="AB42" s="18" t="n">
        <v>-2061</v>
      </c>
      <c r="AC42" s="18" t="n">
        <v>-1359</v>
      </c>
    </row>
    <row r="43">
      <c r="A43" s="4" t="inlineStr">
        <is>
          <t>Free Cash Flow</t>
        </is>
      </c>
      <c r="B43" s="18" t="n">
        <v>561</v>
      </c>
      <c r="C43" s="18" t="n">
        <v>55</v>
      </c>
      <c r="D43" s="18" t="n">
        <v>579</v>
      </c>
      <c r="E43" s="18" t="n">
        <v>478</v>
      </c>
      <c r="F43" s="18" t="n">
        <v>823</v>
      </c>
      <c r="G43" s="18" t="n">
        <v>113</v>
      </c>
      <c r="H43" s="18" t="n">
        <v>807</v>
      </c>
      <c r="I43" s="18" t="n">
        <v>654</v>
      </c>
      <c r="J43" s="18" t="n">
        <v>628</v>
      </c>
      <c r="K43" s="18" t="n">
        <v>567</v>
      </c>
      <c r="L43" s="18" t="n">
        <v>849</v>
      </c>
      <c r="M43" s="18" t="n">
        <v>785</v>
      </c>
      <c r="N43" s="18" t="n">
        <v>778</v>
      </c>
      <c r="O43" s="18" t="n">
        <v>641</v>
      </c>
      <c r="P43" s="18" t="n">
        <v>402</v>
      </c>
      <c r="Q43" s="18" t="n">
        <v>962</v>
      </c>
      <c r="R43" s="18" t="n">
        <v>753</v>
      </c>
      <c r="S43" s="18" t="n">
        <v>532</v>
      </c>
      <c r="T43" s="18" t="n">
        <v>1124</v>
      </c>
      <c r="U43" s="18" t="n">
        <v>690</v>
      </c>
      <c r="V43" s="18" t="n">
        <v>700</v>
      </c>
      <c r="W43" s="18" t="n">
        <v>561</v>
      </c>
      <c r="X43" s="18" t="n">
        <v>418</v>
      </c>
      <c r="Y43" s="18" t="n">
        <v>421</v>
      </c>
      <c r="Z43" s="18" t="n">
        <v>478</v>
      </c>
      <c r="AA43" s="18" t="n">
        <v>485</v>
      </c>
      <c r="AB43" s="18" t="n">
        <v>-485</v>
      </c>
      <c r="AC43" s="18" t="n">
        <v>244</v>
      </c>
    </row>
    <row r="45">
      <c r="A45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12345.522493</v>
      </c>
      <c r="C4" s="18" t="n">
        <v>13555.662412</v>
      </c>
      <c r="D4" s="18" t="n">
        <v>15291.665868</v>
      </c>
      <c r="E4" s="18" t="n">
        <v>16085.333333</v>
      </c>
      <c r="F4" s="18" t="n">
        <v>17712.5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  <c r="F5" s="28">
        <f>Model!K8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7288.614068</v>
      </c>
      <c r="C8" s="18" t="n">
        <v>8003.062796</v>
      </c>
      <c r="D8" s="18" t="n">
        <v>9027.973586</v>
      </c>
      <c r="E8" s="18" t="n">
        <v>9496.543131</v>
      </c>
      <c r="F8" s="18" t="n">
        <v>10457.198289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  <c r="F9" s="28">
        <f>Model!K21+Model!K26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4932.831303</v>
      </c>
      <c r="C12" s="18" t="n">
        <v>5416.360135</v>
      </c>
      <c r="D12" s="18" t="n">
        <v>6110.005317</v>
      </c>
      <c r="E12" s="18" t="n">
        <v>6427.126582</v>
      </c>
      <c r="F12" s="18" t="n">
        <v>7077.284457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  <c r="F13" s="28">
        <f>Model!K21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738.816702</v>
      </c>
      <c r="C16" s="18" t="n">
        <v>811.237419</v>
      </c>
      <c r="D16" s="18" t="n">
        <v>915.128392</v>
      </c>
      <c r="E16" s="18" t="n">
        <v>962.625351</v>
      </c>
      <c r="F16" s="18" t="n">
        <v>1060.002997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  <c r="F17" s="28">
        <f>Model!K16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2937.74497</v>
      </c>
      <c r="C20" s="18" t="n">
        <v>3260.26681</v>
      </c>
      <c r="D20" s="18" t="n">
        <v>3940.47646</v>
      </c>
      <c r="E20" s="18" t="n">
        <v>4736.197953</v>
      </c>
      <c r="F20" s="18" t="n">
        <v>5653.230004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  <c r="F21" s="28">
        <f>Model!K25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2.36389</v>
      </c>
      <c r="C24" s="62" t="n">
        <v>2.56913</v>
      </c>
      <c r="D24" s="62" t="n">
        <v>3.11985</v>
      </c>
      <c r="E24" s="62" t="n">
        <v>3.87895</v>
      </c>
      <c r="F24" s="62" t="n">
        <v>4.63</v>
      </c>
    </row>
    <row r="25">
      <c r="A25" s="4" t="inlineStr">
        <is>
          <t xml:space="preserve">  model</t>
        </is>
      </c>
      <c r="B25" s="46">
        <f>Model!G25/Financials!AC17</f>
        <v/>
      </c>
      <c r="C25" s="46">
        <f>Model!H25/Financials!AC17</f>
        <v/>
      </c>
      <c r="D25" s="46">
        <f>Model!I25/Financials!AC17</f>
        <v/>
      </c>
      <c r="E25" s="46">
        <f>Model!J25/Financials!AC17</f>
        <v/>
      </c>
      <c r="F25" s="46">
        <f>Model!K25/Financials!AC17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The Williams Companies,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Financials!AC30</f>
        <v/>
      </c>
    </row>
    <row r="33">
      <c r="A33" s="4" t="inlineStr">
        <is>
          <t>- Long-term debt</t>
        </is>
      </c>
      <c r="B33" s="28">
        <f>-Financials!AC35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0.1906357316358154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2.336479857153622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(Model!P8/Model!F8)^(1/10)-1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0.9839051646121475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Financials!AC30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Financials!AC35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2026-06-05T14:23:01Z</dcterms:created>
  <dcterms:modified xmlns:dcterms="http://purl.org/dc/terms/" xmlns:xsi="http://www.w3.org/2001/XMLSchema-instance" xsi:type="dcterms:W3CDTF">2026-06-05T14:23:01Z</dcterms:modified>
</cp:coreProperties>
</file>