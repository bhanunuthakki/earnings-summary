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8.3%</t>
      </text>
    </comment>
    <comment ref="C20" authorId="0" shapeId="0">
      <text>
        <t>Opus: 5.0%</t>
      </text>
    </comment>
    <comment ref="B29" authorId="0" shapeId="0">
      <text>
        <t>Opus: 31.3%</t>
      </text>
    </comment>
    <comment ref="B30" authorId="0" shapeId="0">
      <text>
        <t>Opus: 42.0%</t>
      </text>
    </comment>
    <comment ref="B31" authorId="0" shapeId="0">
      <text>
        <t>Opus: 24.0%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Opus: 1.1x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Opus: 0.633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12.0x</t>
      </text>
    </comment>
    <comment ref="B46" authorId="0" shapeId="0">
      <text>
        <t>Opus: 4.5%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The Williams Companies, Inc. (WMB)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2026-07-06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The Williams Companies, Inc. (WMB)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0.08263954491463181</v>
      </c>
      <c r="C20" s="15" t="n">
        <v>0.05</v>
      </c>
      <c r="D20" s="16" t="n">
        <v>0.08263954491463181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0.3131057361149742</v>
      </c>
      <c r="D29" s="16" t="n">
        <v>0.3131057361149742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0.419955428741225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5498.900000000001</v>
      </c>
      <c r="D34" s="18" t="n">
        <v>5498.900000000001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0.633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73.13999938964844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68.75896821593233</v>
      </c>
      <c r="C58" s="28" t="n">
        <v>107.2837449456687</v>
      </c>
      <c r="D58" s="28" t="n">
        <v>39.73513763313718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WMB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2026-07-06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Opus</t>
        </is>
      </c>
      <c r="E8" t="inlineStr">
        <is>
          <t>8.3%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Opus</t>
        </is>
      </c>
      <c r="E9" t="inlineStr">
        <is>
          <t>5.0%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Opus</t>
        </is>
      </c>
      <c r="E10" t="inlineStr">
        <is>
          <t>31.3%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Opus</t>
        </is>
      </c>
      <c r="E11" t="inlineStr">
        <is>
          <t>42.0%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Opus</t>
        </is>
      </c>
      <c r="E12" t="inlineStr">
        <is>
          <t>24.0%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Opus</t>
        </is>
      </c>
      <c r="E13" t="inlineStr">
        <is>
          <t>1.1x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workbook (synced)</t>
        </is>
      </c>
      <c r="E14" t="inlineStr">
        <is>
          <t>—</t>
        </is>
      </c>
      <c r="F14" s="31" t="inlineStr">
        <is>
          <t>no Opus pass — value synced from this workbook</t>
        </is>
      </c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workbook (synced)</t>
        </is>
      </c>
      <c r="E15" t="inlineStr">
        <is>
          <t>—</t>
        </is>
      </c>
      <c r="F15" s="31" t="inlineStr">
        <is>
          <t>no Opus pass — value synced from this workbook</t>
        </is>
      </c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Opus</t>
        </is>
      </c>
      <c r="E16" t="inlineStr">
        <is>
          <t>0.633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Opus</t>
        </is>
      </c>
      <c r="E17" t="inlineStr">
        <is>
          <t>4.5%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Opus</t>
        </is>
      </c>
      <c r="E18" t="inlineStr">
        <is>
          <t>Exit multiple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Opus</t>
        </is>
      </c>
      <c r="E19" t="inlineStr">
        <is>
          <t>EV/EBITDA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Opus</t>
        </is>
      </c>
      <c r="E20" t="inlineStr">
        <is>
          <t>12.0x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Opus</t>
        </is>
      </c>
      <c r="E21" t="inlineStr">
        <is>
          <t>4.5%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workbook (synced)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Financials!AC28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0.428344082418963</v>
      </c>
      <c r="H11" s="15" t="n">
        <v>0.428344082418963</v>
      </c>
      <c r="I11" s="15" t="n">
        <v>0.428344082418963</v>
      </c>
      <c r="J11" s="15" t="n">
        <v>0.428344082418963</v>
      </c>
      <c r="K11" s="15" t="n">
        <v>0.428344082418963</v>
      </c>
      <c r="L11" s="15" t="n">
        <v>0.428344082418963</v>
      </c>
      <c r="M11" s="15" t="n">
        <v>0.428344082418963</v>
      </c>
      <c r="N11" s="15" t="n">
        <v>0.428344082418963</v>
      </c>
      <c r="O11" s="15" t="n">
        <v>0.428344082418963</v>
      </c>
      <c r="P11" s="15" t="n">
        <v>0.428344082418963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0.06039031744702236</v>
      </c>
      <c r="H15" s="15" t="n">
        <v>0.06039031744702236</v>
      </c>
      <c r="I15" s="15" t="n">
        <v>0.06039031744702236</v>
      </c>
      <c r="J15" s="15" t="n">
        <v>0.06039031744702236</v>
      </c>
      <c r="K15" s="15" t="n">
        <v>0.06039031744702236</v>
      </c>
      <c r="L15" s="15" t="n">
        <v>0.06039031744702236</v>
      </c>
      <c r="M15" s="15" t="n">
        <v>0.06039031744702236</v>
      </c>
      <c r="N15" s="15" t="n">
        <v>0.06039031744702236</v>
      </c>
      <c r="O15" s="15" t="n">
        <v>0.06039031744702236</v>
      </c>
      <c r="P15" s="15" t="n">
        <v>0.06039031744702236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SUM(Financials!I31:L31)</f>
        <v/>
      </c>
      <c r="C24" s="33">
        <f>SUM(Financials!M31:P31)</f>
        <v/>
      </c>
      <c r="D24" s="33">
        <f>SUM(Financials!Q31:T31)</f>
        <v/>
      </c>
      <c r="E24" s="33">
        <f>SUM(Financials!U31:X31)</f>
        <v/>
      </c>
      <c r="F24" s="33">
        <f>SUM(Financials!Y31:AB31)</f>
        <v/>
      </c>
      <c r="G24" s="41">
        <f>G6*0.1906</f>
        <v/>
      </c>
      <c r="H24" s="41">
        <f>H6*0.1906</f>
        <v/>
      </c>
      <c r="I24" s="41">
        <f>I6*0.1906</f>
        <v/>
      </c>
      <c r="J24" s="41">
        <f>J6*0.1906</f>
        <v/>
      </c>
      <c r="K24" s="41">
        <f>K6*0.1906</f>
        <v/>
      </c>
      <c r="L24" s="41">
        <f>L6*0.1906</f>
        <v/>
      </c>
      <c r="M24" s="41">
        <f>M6*0.1906</f>
        <v/>
      </c>
      <c r="N24" s="41">
        <f>N6*0.1906</f>
        <v/>
      </c>
      <c r="O24" s="41">
        <f>O6*0.1906</f>
        <v/>
      </c>
      <c r="P24" s="41">
        <f>P6*0.1906</f>
        <v/>
      </c>
    </row>
    <row r="25">
      <c r="A25" s="4" t="inlineStr">
        <is>
          <t>+ SBC (non-cash)</t>
        </is>
      </c>
      <c r="B25" s="33">
        <f>SUM(Financials!I32:L32)</f>
        <v/>
      </c>
      <c r="C25" s="33">
        <f>SUM(Financials!M32:P32)</f>
        <v/>
      </c>
      <c r="D25" s="33">
        <f>SUM(Financials!Q32:T32)</f>
        <v/>
      </c>
      <c r="E25" s="33">
        <f>SUM(Financials!U32:X32)</f>
        <v/>
      </c>
      <c r="F25" s="33">
        <f>SUM(Financials!Y32:AB32)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-SUM(Financials!I35:L35)</f>
        <v/>
      </c>
      <c r="C27" s="33">
        <f>-SUM(Financials!M35:P35)</f>
        <v/>
      </c>
      <c r="D27" s="33">
        <f>-SUM(Financials!Q35:T35)</f>
        <v/>
      </c>
      <c r="E27" s="33">
        <f>-SUM(Financials!U35:X35)</f>
        <v/>
      </c>
      <c r="F27" s="33">
        <f>-SUM(Financials!Y35:AB35)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Financials!L29+Financials!L28-Financials!L23</f>
        <v/>
      </c>
      <c r="C34" s="33">
        <f>Financials!P29+Financials!P28-Financials!P23</f>
        <v/>
      </c>
      <c r="D34" s="33">
        <f>Financials!T29+Financials!T28-Financials!T23</f>
        <v/>
      </c>
      <c r="E34" s="33">
        <f>Financials!X29+Financials!X28-Financials!X23</f>
        <v/>
      </c>
      <c r="F34" s="33">
        <f>Financials!AB29+Financials!AB28-Financials!AB23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Financials!L29</f>
        <v/>
      </c>
      <c r="C35" s="33">
        <f>Financials!P29</f>
        <v/>
      </c>
      <c r="D35" s="33">
        <f>Financials!T29</f>
        <v/>
      </c>
      <c r="E35" s="33">
        <f>Financials!X29</f>
        <v/>
      </c>
      <c r="F35" s="33">
        <f>Financials!AB29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2041</v>
      </c>
      <c r="C3" s="18" t="n">
        <v>1999</v>
      </c>
      <c r="D3" s="18" t="n">
        <v>2107</v>
      </c>
      <c r="E3" s="18" t="n">
        <v>1913</v>
      </c>
      <c r="F3" s="18" t="n">
        <v>1781</v>
      </c>
      <c r="G3" s="18" t="n">
        <v>1933</v>
      </c>
      <c r="H3" s="18" t="n">
        <v>2092</v>
      </c>
      <c r="I3" s="18" t="n">
        <v>2612</v>
      </c>
      <c r="J3" s="18" t="n">
        <v>2283</v>
      </c>
      <c r="K3" s="18" t="n">
        <v>2475</v>
      </c>
      <c r="L3" s="18" t="n">
        <v>3257</v>
      </c>
      <c r="M3" s="18" t="n">
        <v>2524</v>
      </c>
      <c r="N3" s="18" t="n">
        <v>2490</v>
      </c>
      <c r="O3" s="18" t="n">
        <v>3021</v>
      </c>
      <c r="P3" s="18" t="n">
        <v>2930</v>
      </c>
      <c r="Q3" s="18" t="n">
        <v>3081</v>
      </c>
      <c r="R3" s="18" t="n">
        <v>2483</v>
      </c>
      <c r="S3" s="18" t="n">
        <v>2559</v>
      </c>
      <c r="T3" s="18" t="n">
        <v>2784</v>
      </c>
      <c r="U3" s="18" t="n">
        <v>2771</v>
      </c>
      <c r="V3" s="18" t="n">
        <v>2336</v>
      </c>
      <c r="W3" s="18" t="n">
        <v>2653</v>
      </c>
      <c r="X3" s="18" t="n">
        <v>2743</v>
      </c>
      <c r="Y3" s="18" t="n">
        <v>3048</v>
      </c>
      <c r="Z3" s="18" t="n">
        <v>2770</v>
      </c>
      <c r="AA3" s="18" t="n">
        <v>2923</v>
      </c>
      <c r="AB3" s="18" t="n">
        <v>3198</v>
      </c>
      <c r="AC3" s="18" t="n">
        <v>3030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931</v>
      </c>
      <c r="C5" s="18" t="n">
        <v>888</v>
      </c>
      <c r="D5" s="18" t="n">
        <v>980</v>
      </c>
      <c r="E5" s="18" t="n">
        <v>838</v>
      </c>
      <c r="F5" s="18" t="n">
        <v>716</v>
      </c>
      <c r="G5" s="18" t="n">
        <v>827</v>
      </c>
      <c r="H5" s="18" t="n">
        <v>953</v>
      </c>
      <c r="I5" s="18" t="n">
        <v>1391</v>
      </c>
      <c r="J5" s="18" t="n">
        <v>1178</v>
      </c>
      <c r="K5" s="18" t="n">
        <v>1558</v>
      </c>
      <c r="L5" s="18" t="n">
        <v>1747</v>
      </c>
      <c r="M5" s="18" t="n">
        <v>1331</v>
      </c>
      <c r="N5" s="18" t="n">
        <v>1403</v>
      </c>
      <c r="O5" s="18" t="n">
        <v>1519</v>
      </c>
      <c r="P5" s="18" t="n">
        <v>1213</v>
      </c>
      <c r="Q5" s="18" t="n">
        <v>1113</v>
      </c>
      <c r="R5" s="18" t="n">
        <v>980</v>
      </c>
      <c r="S5" s="18" t="n">
        <v>1036</v>
      </c>
      <c r="T5" s="18" t="n">
        <v>977</v>
      </c>
      <c r="U5" s="18" t="n">
        <v>1079</v>
      </c>
      <c r="V5" s="18" t="n">
        <v>981</v>
      </c>
      <c r="W5" s="18" t="n">
        <v>1090</v>
      </c>
      <c r="X5" s="18" t="n">
        <v>1187</v>
      </c>
      <c r="Y5" s="18" t="n">
        <v>1228</v>
      </c>
      <c r="Z5" s="18" t="n">
        <v>1715</v>
      </c>
      <c r="AA5" s="18" t="n">
        <v>471</v>
      </c>
      <c r="AB5" s="18" t="n">
        <v>1700</v>
      </c>
      <c r="AC5" s="18" t="n">
        <v>543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152</v>
      </c>
      <c r="C9" s="18" t="n">
        <v>130</v>
      </c>
      <c r="D9" s="18" t="n">
        <v>148</v>
      </c>
      <c r="E9" s="18" t="n">
        <v>113</v>
      </c>
      <c r="F9" s="18" t="n">
        <v>127</v>
      </c>
      <c r="G9" s="18" t="n">
        <v>114</v>
      </c>
      <c r="H9" s="18" t="n">
        <v>112</v>
      </c>
      <c r="I9" s="18" t="n">
        <v>123</v>
      </c>
      <c r="J9" s="18" t="n">
        <v>114</v>
      </c>
      <c r="K9" s="18" t="n">
        <v>152</v>
      </c>
      <c r="L9" s="18" t="n">
        <v>169</v>
      </c>
      <c r="M9" s="18" t="n">
        <v>154</v>
      </c>
      <c r="N9" s="18" t="n">
        <v>160</v>
      </c>
      <c r="O9" s="18" t="n">
        <v>163</v>
      </c>
      <c r="P9" s="18" t="n">
        <v>159</v>
      </c>
      <c r="Q9" s="18" t="n">
        <v>176</v>
      </c>
      <c r="R9" s="18" t="n">
        <v>161</v>
      </c>
      <c r="S9" s="18" t="n">
        <v>146</v>
      </c>
      <c r="T9" s="18" t="n">
        <v>182</v>
      </c>
      <c r="U9" s="18" t="n">
        <v>186</v>
      </c>
      <c r="V9" s="18" t="n">
        <v>164</v>
      </c>
      <c r="W9" s="18" t="n">
        <v>170</v>
      </c>
      <c r="X9" s="18" t="n">
        <v>188</v>
      </c>
      <c r="Y9" s="18" t="n">
        <v>194</v>
      </c>
      <c r="Z9" s="18" t="n">
        <v>168</v>
      </c>
      <c r="AA9" s="18" t="n">
        <v>168</v>
      </c>
      <c r="AB9" s="18" t="n">
        <v>191</v>
      </c>
      <c r="AC9" s="18" t="n">
        <v>193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1110</v>
      </c>
      <c r="C11" s="18" t="n">
        <v>1111</v>
      </c>
      <c r="D11" s="18" t="n">
        <v>1127</v>
      </c>
      <c r="E11" s="18" t="n">
        <v>1075</v>
      </c>
      <c r="F11" s="18" t="n">
        <v>1065</v>
      </c>
      <c r="G11" s="18" t="n">
        <v>1106</v>
      </c>
      <c r="H11" s="18" t="n">
        <v>1139</v>
      </c>
      <c r="I11" s="18" t="n">
        <v>1221</v>
      </c>
      <c r="J11" s="18" t="n">
        <v>1105</v>
      </c>
      <c r="K11" s="18" t="n">
        <v>917</v>
      </c>
      <c r="L11" s="18" t="n">
        <v>1510</v>
      </c>
      <c r="M11" s="18" t="n">
        <v>1193</v>
      </c>
      <c r="N11" s="18" t="n">
        <v>1087</v>
      </c>
      <c r="O11" s="18" t="n">
        <v>1502</v>
      </c>
      <c r="P11" s="18" t="n">
        <v>1717</v>
      </c>
      <c r="Q11" s="18" t="n">
        <v>1968</v>
      </c>
      <c r="R11" s="18" t="n">
        <v>1503</v>
      </c>
      <c r="S11" s="18" t="n">
        <v>1523</v>
      </c>
      <c r="T11" s="18" t="n">
        <v>1807</v>
      </c>
      <c r="U11" s="18" t="n">
        <v>1692</v>
      </c>
      <c r="V11" s="18" t="n">
        <v>1355</v>
      </c>
      <c r="W11" s="18" t="n">
        <v>1563</v>
      </c>
      <c r="X11" s="18" t="n">
        <v>1556</v>
      </c>
      <c r="Y11" s="18" t="n">
        <v>1820</v>
      </c>
      <c r="Z11" s="18" t="n">
        <v>1055</v>
      </c>
      <c r="AA11" s="18" t="n">
        <v>2452</v>
      </c>
      <c r="AB11" s="18" t="n">
        <v>1498</v>
      </c>
      <c r="AC11" s="18" t="n">
        <v>2487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498</v>
      </c>
      <c r="C13" s="18" t="n">
        <v>628</v>
      </c>
      <c r="D13" s="18" t="n">
        <v>234</v>
      </c>
      <c r="E13" s="18" t="n">
        <v>431</v>
      </c>
      <c r="F13" s="18" t="n">
        <v>612</v>
      </c>
      <c r="G13" s="18" t="n">
        <v>641</v>
      </c>
      <c r="H13" s="18" t="n">
        <v>518</v>
      </c>
      <c r="I13" s="18" t="n">
        <v>739</v>
      </c>
      <c r="J13" s="18" t="n">
        <v>600</v>
      </c>
      <c r="K13" s="18" t="n">
        <v>355</v>
      </c>
      <c r="L13" s="18" t="n">
        <v>937</v>
      </c>
      <c r="M13" s="18" t="n">
        <v>654</v>
      </c>
      <c r="N13" s="18" t="n">
        <v>472</v>
      </c>
      <c r="O13" s="18" t="n">
        <v>820</v>
      </c>
      <c r="P13" s="18" t="n">
        <v>1072</v>
      </c>
      <c r="Q13" s="18" t="n">
        <v>1360</v>
      </c>
      <c r="R13" s="18" t="n">
        <v>870</v>
      </c>
      <c r="S13" s="18" t="n">
        <v>994</v>
      </c>
      <c r="T13" s="18" t="n">
        <v>1087</v>
      </c>
      <c r="U13" s="18" t="n">
        <v>1012</v>
      </c>
      <c r="V13" s="18" t="n">
        <v>696</v>
      </c>
      <c r="W13" s="18" t="n">
        <v>838</v>
      </c>
      <c r="X13" s="18" t="n">
        <v>793</v>
      </c>
      <c r="Y13" s="18" t="n">
        <v>1094</v>
      </c>
      <c r="Z13" s="18" t="n">
        <v>887</v>
      </c>
      <c r="AA13" s="18" t="n">
        <v>1109</v>
      </c>
      <c r="AB13" s="18" t="n">
        <v>1307</v>
      </c>
      <c r="AC13" s="18" t="n">
        <v>1321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310</v>
      </c>
      <c r="C15" s="18" t="n">
        <v>221</v>
      </c>
      <c r="D15" s="18" t="n">
        <v>124</v>
      </c>
      <c r="E15" s="18" t="n">
        <v>-517</v>
      </c>
      <c r="F15" s="18" t="n">
        <v>303</v>
      </c>
      <c r="G15" s="18" t="n">
        <v>309</v>
      </c>
      <c r="H15" s="18" t="n">
        <v>116</v>
      </c>
      <c r="I15" s="18" t="n">
        <v>426</v>
      </c>
      <c r="J15" s="18" t="n">
        <v>304</v>
      </c>
      <c r="K15" s="18" t="n">
        <v>165</v>
      </c>
      <c r="L15" s="18" t="n">
        <v>622</v>
      </c>
      <c r="M15" s="18" t="n">
        <v>380</v>
      </c>
      <c r="N15" s="18" t="n">
        <v>400</v>
      </c>
      <c r="O15" s="18" t="n">
        <v>600</v>
      </c>
      <c r="P15" s="18" t="n">
        <v>669</v>
      </c>
      <c r="Q15" s="18" t="n">
        <v>927</v>
      </c>
      <c r="R15" s="18" t="n">
        <v>460</v>
      </c>
      <c r="S15" s="18" t="n">
        <v>654</v>
      </c>
      <c r="T15" s="18" t="n">
        <v>1138</v>
      </c>
      <c r="U15" s="18" t="n">
        <v>632</v>
      </c>
      <c r="V15" s="18" t="n">
        <v>401</v>
      </c>
      <c r="W15" s="18" t="n">
        <v>706</v>
      </c>
      <c r="X15" s="18" t="n">
        <v>486</v>
      </c>
      <c r="Y15" s="18" t="n">
        <v>691</v>
      </c>
      <c r="Z15" s="18" t="n">
        <v>546</v>
      </c>
      <c r="AA15" s="18" t="n">
        <v>647</v>
      </c>
      <c r="AB15" s="18" t="n">
        <v>734</v>
      </c>
      <c r="AC15" s="18" t="n">
        <v>912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1214.065</v>
      </c>
      <c r="C17" s="18" t="n">
        <v>1214.165</v>
      </c>
      <c r="D17" s="18" t="n">
        <v>1213.019</v>
      </c>
      <c r="E17" s="18" t="n">
        <v>1213.019</v>
      </c>
      <c r="F17" s="18" t="n">
        <v>1214.581</v>
      </c>
      <c r="G17" s="18" t="n">
        <v>1215.335</v>
      </c>
      <c r="H17" s="18" t="n">
        <v>1217.211</v>
      </c>
      <c r="I17" s="18" t="n">
        <v>1217.211</v>
      </c>
      <c r="J17" s="18" t="n">
        <v>1217.476</v>
      </c>
      <c r="K17" s="18" t="n">
        <v>1217.979</v>
      </c>
      <c r="L17" s="18" t="n">
        <v>1217.979</v>
      </c>
      <c r="M17" s="18" t="n">
        <v>1221.279</v>
      </c>
      <c r="N17" s="18" t="n">
        <v>1222.694</v>
      </c>
      <c r="O17" s="18" t="n">
        <v>1222.472</v>
      </c>
      <c r="P17" s="18" t="n">
        <v>1223.744025</v>
      </c>
      <c r="Q17" s="18" t="n">
        <v>1225.781</v>
      </c>
      <c r="R17" s="18" t="n">
        <v>1219.915</v>
      </c>
      <c r="S17" s="18" t="n">
        <v>1220.073</v>
      </c>
      <c r="T17" s="18" t="n">
        <v>1222.831582</v>
      </c>
      <c r="U17" s="18" t="n">
        <v>1222.222</v>
      </c>
      <c r="V17" s="18" t="n">
        <v>1222.236</v>
      </c>
      <c r="W17" s="18" t="n">
        <v>1219.537</v>
      </c>
      <c r="X17" s="18" t="n">
        <v>1224.472</v>
      </c>
      <c r="Y17" s="18" t="n">
        <v>1220.661</v>
      </c>
      <c r="Z17" s="18" t="n">
        <v>1221.65</v>
      </c>
      <c r="AA17" s="18" t="n">
        <v>1222</v>
      </c>
      <c r="AB17" s="18" t="n">
        <v>1222</v>
      </c>
      <c r="AC17" s="18" t="n">
        <v>1223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West</t>
        </is>
      </c>
      <c r="Z19" s="18" t="n">
        <v>676</v>
      </c>
      <c r="AA19" s="18" t="n">
        <v>712</v>
      </c>
      <c r="AB19" s="18" t="n">
        <v>1459</v>
      </c>
      <c r="AC19" s="18" t="n">
        <v>756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5" t="inlineStr">
        <is>
          <t xml:space="preserve">  BALANCE SHEET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</row>
    <row r="23">
      <c r="A23" s="4" t="inlineStr">
        <is>
          <t>Cash &amp; ST Investments</t>
        </is>
      </c>
      <c r="B23" s="18" t="n">
        <v>806</v>
      </c>
      <c r="C23" s="18" t="n">
        <v>247</v>
      </c>
      <c r="D23" s="18" t="n">
        <v>289</v>
      </c>
      <c r="E23" s="18" t="n">
        <v>400</v>
      </c>
      <c r="F23" s="18" t="n">
        <v>1133</v>
      </c>
      <c r="G23" s="18" t="n">
        <v>70</v>
      </c>
      <c r="H23" s="18" t="n">
        <v>142</v>
      </c>
      <c r="I23" s="18" t="n">
        <v>1126</v>
      </c>
      <c r="J23" s="18" t="n">
        <v>1201</v>
      </c>
      <c r="K23" s="18" t="n">
        <v>214</v>
      </c>
      <c r="L23" s="18" t="n">
        <v>1680</v>
      </c>
      <c r="M23" s="18" t="n">
        <v>604</v>
      </c>
      <c r="N23" s="18" t="n">
        <v>133</v>
      </c>
      <c r="O23" s="18" t="n">
        <v>859</v>
      </c>
      <c r="P23" s="18" t="n">
        <v>152</v>
      </c>
      <c r="Q23" s="18" t="n">
        <v>477</v>
      </c>
      <c r="R23" s="18" t="n">
        <v>551</v>
      </c>
      <c r="S23" s="18" t="n">
        <v>2074</v>
      </c>
      <c r="T23" s="18" t="n">
        <v>2150</v>
      </c>
      <c r="U23" s="18" t="n">
        <v>667</v>
      </c>
      <c r="V23" s="18" t="n">
        <v>55</v>
      </c>
      <c r="W23" s="18" t="n">
        <v>762</v>
      </c>
      <c r="X23" s="18" t="n">
        <v>60</v>
      </c>
      <c r="Y23" s="18" t="n">
        <v>100</v>
      </c>
      <c r="Z23" s="18" t="n">
        <v>903</v>
      </c>
      <c r="AA23" s="18" t="n">
        <v>70</v>
      </c>
      <c r="AB23" s="18" t="n">
        <v>63</v>
      </c>
      <c r="AC23" s="18" t="n">
        <v>950</v>
      </c>
    </row>
    <row r="24">
      <c r="A24" s="4" t="inlineStr">
        <is>
          <t>Total Current Assets</t>
        </is>
      </c>
      <c r="B24" s="18" t="n">
        <v>2028</v>
      </c>
      <c r="C24" s="18" t="n">
        <v>1434</v>
      </c>
      <c r="D24" s="18" t="n">
        <v>1580</v>
      </c>
      <c r="E24" s="18" t="n">
        <v>1565</v>
      </c>
      <c r="F24" s="18" t="n">
        <v>2338</v>
      </c>
      <c r="G24" s="18" t="n">
        <v>1403</v>
      </c>
      <c r="H24" s="18" t="n">
        <v>1429</v>
      </c>
      <c r="I24" s="18" t="n">
        <v>2497</v>
      </c>
      <c r="J24" s="18" t="n">
        <v>2625</v>
      </c>
      <c r="K24" s="18" t="n">
        <v>2885</v>
      </c>
      <c r="L24" s="18" t="n">
        <v>4549</v>
      </c>
      <c r="M24" s="18" t="n">
        <v>3154</v>
      </c>
      <c r="N24" s="18" t="n">
        <v>3787</v>
      </c>
      <c r="O24" s="18" t="n">
        <v>4438</v>
      </c>
      <c r="P24" s="18" t="n">
        <v>3797</v>
      </c>
      <c r="Q24" s="18" t="n">
        <v>2757</v>
      </c>
      <c r="R24" s="18" t="n">
        <v>2639</v>
      </c>
      <c r="S24" s="18" t="n">
        <v>4256</v>
      </c>
      <c r="T24" s="18" t="n">
        <v>4513</v>
      </c>
      <c r="U24" s="18" t="n">
        <v>2610</v>
      </c>
      <c r="V24" s="18" t="n">
        <v>2115</v>
      </c>
      <c r="W24" s="18" t="n">
        <v>2698</v>
      </c>
      <c r="X24" s="18" t="n">
        <v>2661</v>
      </c>
      <c r="Y24" s="18" t="n">
        <v>2535</v>
      </c>
      <c r="Z24" s="18" t="n">
        <v>3221</v>
      </c>
      <c r="AA24" s="18" t="n">
        <v>2271</v>
      </c>
      <c r="AB24" s="18" t="n">
        <v>3244</v>
      </c>
      <c r="AC24" s="18" t="n">
        <v>3320</v>
      </c>
    </row>
    <row r="25">
      <c r="A25" s="4" t="inlineStr">
        <is>
          <t>PP&amp;E (net)</t>
        </is>
      </c>
      <c r="B25" s="18" t="n">
        <v>29131</v>
      </c>
      <c r="C25" s="18" t="n">
        <v>29613</v>
      </c>
      <c r="D25" s="18" t="n">
        <v>29200</v>
      </c>
      <c r="E25" s="18" t="n">
        <v>29141</v>
      </c>
      <c r="F25" s="18" t="n">
        <v>29137</v>
      </c>
      <c r="G25" s="18" t="n">
        <v>29107</v>
      </c>
      <c r="H25" s="18" t="n">
        <v>28929</v>
      </c>
      <c r="I25" s="18" t="n">
        <v>29076</v>
      </c>
      <c r="J25" s="18" t="n">
        <v>29299</v>
      </c>
      <c r="K25" s="18" t="n">
        <v>29314</v>
      </c>
      <c r="L25" s="18" t="n">
        <v>29258</v>
      </c>
      <c r="M25" s="18" t="n">
        <v>29186</v>
      </c>
      <c r="N25" s="18" t="n">
        <v>29660</v>
      </c>
      <c r="O25" s="18" t="n">
        <v>30338</v>
      </c>
      <c r="P25" s="18" t="n">
        <v>30889</v>
      </c>
      <c r="Q25" s="18" t="n">
        <v>32095</v>
      </c>
      <c r="R25" s="18" t="n">
        <v>32346</v>
      </c>
      <c r="S25" s="18" t="n">
        <v>32628</v>
      </c>
      <c r="T25" s="18" t="n">
        <v>34311</v>
      </c>
      <c r="U25" s="18" t="n">
        <v>36451</v>
      </c>
      <c r="V25" s="18" t="n">
        <v>36702</v>
      </c>
      <c r="W25" s="18" t="n">
        <v>37974</v>
      </c>
      <c r="X25" s="18" t="n">
        <v>38692</v>
      </c>
      <c r="Y25" s="18" t="n">
        <v>39155</v>
      </c>
      <c r="Z25" s="18" t="n">
        <v>39773</v>
      </c>
      <c r="AA25" s="18" t="n">
        <v>60305</v>
      </c>
      <c r="AB25" s="18" t="n">
        <v>41996</v>
      </c>
      <c r="AC25" s="18" t="n">
        <v>43134</v>
      </c>
    </row>
    <row r="26">
      <c r="A26" s="4" t="inlineStr">
        <is>
          <t>Total Assets</t>
        </is>
      </c>
      <c r="B26" s="18" t="n">
        <v>46509</v>
      </c>
      <c r="C26" s="18" t="n">
        <v>46281</v>
      </c>
      <c r="D26" s="18" t="n">
        <v>46040</v>
      </c>
      <c r="E26" s="18" t="n">
        <v>44629</v>
      </c>
      <c r="F26" s="18" t="n">
        <v>45343</v>
      </c>
      <c r="G26" s="18" t="n">
        <v>44320</v>
      </c>
      <c r="H26" s="18" t="n">
        <v>44165</v>
      </c>
      <c r="I26" s="18" t="n">
        <v>45262</v>
      </c>
      <c r="J26" s="18" t="n">
        <v>45507</v>
      </c>
      <c r="K26" s="18" t="n">
        <v>45985</v>
      </c>
      <c r="L26" s="18" t="n">
        <v>47612</v>
      </c>
      <c r="M26" s="18" t="n">
        <v>46049</v>
      </c>
      <c r="N26" s="18" t="n">
        <v>47555</v>
      </c>
      <c r="O26" s="18" t="n">
        <v>48672</v>
      </c>
      <c r="P26" s="18" t="n">
        <v>48433</v>
      </c>
      <c r="Q26" s="18" t="n">
        <v>48936</v>
      </c>
      <c r="R26" s="18" t="n">
        <v>49025</v>
      </c>
      <c r="S26" s="18" t="n">
        <v>50788</v>
      </c>
      <c r="T26" s="18" t="n">
        <v>52627</v>
      </c>
      <c r="U26" s="18" t="n">
        <v>52747</v>
      </c>
      <c r="V26" s="18" t="n">
        <v>52409</v>
      </c>
      <c r="W26" s="18" t="n">
        <v>53837</v>
      </c>
      <c r="X26" s="18" t="n">
        <v>54532</v>
      </c>
      <c r="Y26" s="18" t="n">
        <v>54924</v>
      </c>
      <c r="Z26" s="18" t="n">
        <v>56141</v>
      </c>
      <c r="AA26" s="18" t="n">
        <v>55736</v>
      </c>
      <c r="AB26" s="18" t="n">
        <v>58573</v>
      </c>
      <c r="AC26" s="18" t="n">
        <v>59569</v>
      </c>
    </row>
    <row r="27">
      <c r="A27" s="4" t="inlineStr">
        <is>
          <t>Total Current Liabilities</t>
        </is>
      </c>
      <c r="B27" s="18" t="n">
        <v>3389</v>
      </c>
      <c r="C27" s="18" t="n">
        <v>3324</v>
      </c>
      <c r="D27" s="18" t="n">
        <v>3968</v>
      </c>
      <c r="E27" s="18" t="n">
        <v>2116</v>
      </c>
      <c r="F27" s="18" t="n">
        <v>2438</v>
      </c>
      <c r="G27" s="18" t="n">
        <v>1861</v>
      </c>
      <c r="H27" s="18" t="n">
        <v>2319</v>
      </c>
      <c r="I27" s="18" t="n">
        <v>3535</v>
      </c>
      <c r="J27" s="18" t="n">
        <v>3759</v>
      </c>
      <c r="K27" s="18" t="n">
        <v>4940</v>
      </c>
      <c r="L27" s="18" t="n">
        <v>4972</v>
      </c>
      <c r="M27" s="18" t="n">
        <v>4308</v>
      </c>
      <c r="N27" s="18" t="n">
        <v>5838</v>
      </c>
      <c r="O27" s="18" t="n">
        <v>5017</v>
      </c>
      <c r="P27" s="18" t="n">
        <v>4890</v>
      </c>
      <c r="Q27" s="18" t="n">
        <v>4020</v>
      </c>
      <c r="R27" s="18" t="n">
        <v>5384</v>
      </c>
      <c r="S27" s="18" t="n">
        <v>5526</v>
      </c>
      <c r="T27" s="18" t="n">
        <v>5830</v>
      </c>
      <c r="U27" s="18" t="n">
        <v>4981</v>
      </c>
      <c r="V27" s="18" t="n">
        <v>4696</v>
      </c>
      <c r="W27" s="18" t="n">
        <v>4719</v>
      </c>
      <c r="X27" s="18" t="n">
        <v>5312</v>
      </c>
      <c r="Y27" s="18" t="n">
        <v>6266</v>
      </c>
      <c r="Z27" s="18" t="n">
        <v>6012</v>
      </c>
      <c r="AA27" s="18" t="n">
        <v>5377</v>
      </c>
      <c r="AB27" s="18" t="n">
        <v>6106</v>
      </c>
      <c r="AC27" s="18" t="n">
        <v>4006</v>
      </c>
    </row>
    <row r="28">
      <c r="A28" s="4" t="inlineStr">
        <is>
          <t>Long-term Debt</t>
        </is>
      </c>
      <c r="B28" s="18" t="n">
        <v>20711</v>
      </c>
      <c r="C28" s="18" t="n">
        <v>20719</v>
      </c>
      <c r="D28" s="18" t="n">
        <v>20148</v>
      </c>
      <c r="E28" s="18" t="n">
        <v>21848</v>
      </c>
      <c r="F28" s="18" t="n">
        <v>22323</v>
      </c>
      <c r="G28" s="18" t="n">
        <v>21951</v>
      </c>
      <c r="H28" s="18" t="n">
        <v>21451</v>
      </c>
      <c r="I28" s="18" t="n">
        <v>21092</v>
      </c>
      <c r="J28" s="18" t="n">
        <v>21091</v>
      </c>
      <c r="K28" s="18" t="n">
        <v>20338</v>
      </c>
      <c r="L28" s="18" t="n">
        <v>21650</v>
      </c>
      <c r="M28" s="18" t="n">
        <v>20801</v>
      </c>
      <c r="N28" s="18" t="n">
        <v>20800</v>
      </c>
      <c r="O28" s="18" t="n">
        <v>22530</v>
      </c>
      <c r="P28" s="18" t="n">
        <v>21927</v>
      </c>
      <c r="Q28" s="18" t="n">
        <v>22785</v>
      </c>
      <c r="R28" s="18" t="n">
        <v>21532</v>
      </c>
      <c r="S28" s="18" t="n">
        <v>22772</v>
      </c>
      <c r="T28" s="18" t="n">
        <v>23376</v>
      </c>
      <c r="U28" s="18" t="n">
        <v>24100</v>
      </c>
      <c r="V28" s="18" t="n">
        <v>24096</v>
      </c>
      <c r="W28" s="18" t="n">
        <v>24825</v>
      </c>
      <c r="X28" s="18" t="n">
        <v>24736</v>
      </c>
      <c r="Y28" s="18" t="n">
        <v>24122</v>
      </c>
      <c r="Z28" s="18" t="n">
        <v>25603</v>
      </c>
      <c r="AA28" s="18" t="n">
        <v>25589</v>
      </c>
      <c r="AB28" s="18" t="n">
        <v>27316</v>
      </c>
      <c r="AC28" s="18" t="n">
        <v>30054</v>
      </c>
    </row>
    <row r="29">
      <c r="A29" s="4" t="inlineStr">
        <is>
          <t>Total Equity</t>
        </is>
      </c>
      <c r="B29" s="18" t="n">
        <v>13848</v>
      </c>
      <c r="C29" s="18" t="n">
        <v>13621</v>
      </c>
      <c r="D29" s="18" t="n">
        <v>13363</v>
      </c>
      <c r="E29" s="18" t="n">
        <v>12354</v>
      </c>
      <c r="F29" s="18" t="n">
        <v>12212</v>
      </c>
      <c r="G29" s="18" t="n">
        <v>12065</v>
      </c>
      <c r="H29" s="18" t="n">
        <v>11769</v>
      </c>
      <c r="I29" s="18" t="n">
        <v>11702</v>
      </c>
      <c r="J29" s="18" t="n">
        <v>11512</v>
      </c>
      <c r="K29" s="18" t="n">
        <v>11198</v>
      </c>
      <c r="L29" s="18" t="n">
        <v>11423</v>
      </c>
      <c r="M29" s="18" t="n">
        <v>11316</v>
      </c>
      <c r="N29" s="18" t="n">
        <v>11226</v>
      </c>
      <c r="O29" s="18" t="n">
        <v>11319</v>
      </c>
      <c r="P29" s="18" t="n">
        <v>11485</v>
      </c>
      <c r="Q29" s="18" t="n">
        <v>11785</v>
      </c>
      <c r="R29" s="18" t="n">
        <v>11679</v>
      </c>
      <c r="S29" s="18" t="n">
        <v>11845</v>
      </c>
      <c r="T29" s="18" t="n">
        <v>12402</v>
      </c>
      <c r="U29" s="18" t="n">
        <v>12449</v>
      </c>
      <c r="V29" s="18" t="n">
        <v>12296</v>
      </c>
      <c r="W29" s="18" t="n">
        <v>12428</v>
      </c>
      <c r="X29" s="18" t="n">
        <v>12436</v>
      </c>
      <c r="Y29" s="18" t="n">
        <v>12487</v>
      </c>
      <c r="Z29" s="18" t="n">
        <v>12438</v>
      </c>
      <c r="AA29" s="18" t="n">
        <v>12520</v>
      </c>
      <c r="AB29" s="18" t="n">
        <v>12807</v>
      </c>
      <c r="AC29" s="18" t="n">
        <v>12992</v>
      </c>
    </row>
    <row r="30">
      <c r="A30" s="5" t="inlineStr">
        <is>
          <t xml:space="preserve">  CASH FLOW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</row>
    <row r="31">
      <c r="A31" s="4" t="inlineStr">
        <is>
          <t>D&amp;A</t>
        </is>
      </c>
      <c r="B31" s="18" t="n">
        <v>424</v>
      </c>
      <c r="C31" s="18" t="n">
        <v>435</v>
      </c>
      <c r="D31" s="18" t="n">
        <v>439</v>
      </c>
      <c r="E31" s="18" t="n">
        <v>429</v>
      </c>
      <c r="F31" s="18" t="n">
        <v>430</v>
      </c>
      <c r="G31" s="18" t="n">
        <v>426</v>
      </c>
      <c r="H31" s="18" t="n">
        <v>436</v>
      </c>
      <c r="I31" s="18" t="n">
        <v>438</v>
      </c>
      <c r="J31" s="18" t="n">
        <v>463</v>
      </c>
      <c r="K31" s="18" t="n">
        <v>487</v>
      </c>
      <c r="L31" s="18" t="n">
        <v>454</v>
      </c>
      <c r="M31" s="18" t="n">
        <v>509</v>
      </c>
      <c r="N31" s="18" t="n">
        <v>519</v>
      </c>
      <c r="O31" s="18" t="n">
        <v>500</v>
      </c>
      <c r="P31" s="18" t="n">
        <v>505</v>
      </c>
      <c r="Q31" s="18" t="n">
        <v>506</v>
      </c>
      <c r="R31" s="18" t="n">
        <v>515</v>
      </c>
      <c r="S31" s="18" t="n">
        <v>521</v>
      </c>
      <c r="T31" s="18" t="n">
        <v>529</v>
      </c>
      <c r="U31" s="18" t="n">
        <v>548</v>
      </c>
      <c r="V31" s="18" t="n">
        <v>540</v>
      </c>
      <c r="W31" s="18" t="n">
        <v>527</v>
      </c>
      <c r="X31" s="18" t="n">
        <v>565</v>
      </c>
      <c r="Y31" s="18" t="n">
        <v>585</v>
      </c>
      <c r="Z31" s="18" t="n">
        <v>605</v>
      </c>
      <c r="AA31" s="18" t="n">
        <v>564</v>
      </c>
      <c r="AB31" s="18" t="n">
        <v>522</v>
      </c>
      <c r="AC31" s="18" t="n">
        <v>584</v>
      </c>
    </row>
    <row r="32">
      <c r="A32" s="4" t="inlineStr">
        <is>
          <t>Stock-based Compensation</t>
        </is>
      </c>
      <c r="B32" s="18" t="n">
        <v>16</v>
      </c>
      <c r="C32" s="18" t="n">
        <v>14</v>
      </c>
      <c r="D32" s="18" t="n">
        <v>13</v>
      </c>
      <c r="E32" s="18" t="n">
        <v>9</v>
      </c>
      <c r="F32" s="18" t="n">
        <v>15</v>
      </c>
      <c r="G32" s="18" t="n">
        <v>15</v>
      </c>
      <c r="H32" s="18" t="n">
        <v>13</v>
      </c>
      <c r="I32" s="18" t="n">
        <v>20</v>
      </c>
      <c r="J32" s="18" t="n">
        <v>19</v>
      </c>
      <c r="K32" s="18" t="n">
        <v>21</v>
      </c>
      <c r="L32" s="18" t="n">
        <v>21</v>
      </c>
      <c r="M32" s="18" t="n">
        <v>21</v>
      </c>
      <c r="N32" s="18" t="n">
        <v>15</v>
      </c>
      <c r="O32" s="18" t="n">
        <v>22</v>
      </c>
      <c r="P32" s="18" t="n">
        <v>15</v>
      </c>
      <c r="Q32" s="18" t="n">
        <v>17</v>
      </c>
      <c r="R32" s="18" t="n">
        <v>23</v>
      </c>
      <c r="S32" s="18" t="n">
        <v>19</v>
      </c>
      <c r="T32" s="18" t="n">
        <v>18</v>
      </c>
      <c r="U32" s="18" t="n">
        <v>24</v>
      </c>
      <c r="V32" s="18" t="n">
        <v>24</v>
      </c>
      <c r="W32" s="18" t="n">
        <v>-48</v>
      </c>
      <c r="X32" s="18" t="n">
        <v>30</v>
      </c>
      <c r="Y32" s="18" t="n">
        <v>30</v>
      </c>
      <c r="Z32" s="18" t="n">
        <v>19</v>
      </c>
      <c r="AA32" s="18" t="n">
        <v>-49</v>
      </c>
      <c r="AB32" s="18" t="n">
        <v>0</v>
      </c>
      <c r="AC32" s="18" t="n">
        <v>22</v>
      </c>
    </row>
    <row r="33">
      <c r="A33" s="4" t="inlineStr">
        <is>
          <t>Change in Working Capital</t>
        </is>
      </c>
      <c r="B33" s="18" t="n">
        <v>176</v>
      </c>
      <c r="C33" s="18" t="n">
        <v>-71</v>
      </c>
      <c r="D33" s="18" t="n">
        <v>-4</v>
      </c>
      <c r="E33" s="18" t="n">
        <v>-176</v>
      </c>
      <c r="F33" s="18" t="n">
        <v>219</v>
      </c>
      <c r="G33" s="18" t="n">
        <v>-460</v>
      </c>
      <c r="H33" s="18" t="n">
        <v>94</v>
      </c>
      <c r="I33" s="18" t="n">
        <v>-167</v>
      </c>
      <c r="J33" s="18" t="n">
        <v>101</v>
      </c>
      <c r="K33" s="18" t="n">
        <v>-287</v>
      </c>
      <c r="L33" s="18" t="n">
        <v>44</v>
      </c>
      <c r="M33" s="18" t="n">
        <v>-143</v>
      </c>
      <c r="N33" s="18" t="n">
        <v>-85</v>
      </c>
      <c r="O33" s="18" t="n">
        <v>209</v>
      </c>
      <c r="P33" s="18" t="n">
        <v>-360</v>
      </c>
      <c r="Q33" s="18" t="n">
        <v>-1</v>
      </c>
      <c r="R33" s="18" t="n">
        <v>229</v>
      </c>
      <c r="S33" s="18" t="n">
        <v>-63</v>
      </c>
      <c r="T33" s="18" t="n">
        <v>40</v>
      </c>
      <c r="U33" s="18" t="n">
        <v>-299</v>
      </c>
      <c r="V33" s="18" t="n">
        <v>-9</v>
      </c>
      <c r="W33" s="18" t="n">
        <v>308</v>
      </c>
      <c r="X33" s="18" t="n">
        <v>-172</v>
      </c>
      <c r="Y33" s="18" t="n">
        <v>-54</v>
      </c>
      <c r="Z33" s="18" t="n">
        <v>85</v>
      </c>
      <c r="AA33" s="18" t="n">
        <v>-31</v>
      </c>
      <c r="AB33" s="18" t="n">
        <v>-124</v>
      </c>
      <c r="AC33" s="18" t="n">
        <v>-148</v>
      </c>
    </row>
    <row r="34">
      <c r="A34" s="4" t="inlineStr">
        <is>
          <t>Operating Cash Flow</t>
        </is>
      </c>
      <c r="B34" s="18" t="n">
        <v>1069</v>
      </c>
      <c r="C34" s="18" t="n">
        <v>858</v>
      </c>
      <c r="D34" s="18" t="n">
        <v>991</v>
      </c>
      <c r="E34" s="18" t="n">
        <v>787</v>
      </c>
      <c r="F34" s="18" t="n">
        <v>1143</v>
      </c>
      <c r="G34" s="18" t="n">
        <v>452</v>
      </c>
      <c r="H34" s="18" t="n">
        <v>1114</v>
      </c>
      <c r="I34" s="18" t="n">
        <v>915</v>
      </c>
      <c r="J34" s="18" t="n">
        <v>1057</v>
      </c>
      <c r="K34" s="18" t="n">
        <v>834</v>
      </c>
      <c r="L34" s="18" t="n">
        <v>1139</v>
      </c>
      <c r="M34" s="18" t="n">
        <v>1082</v>
      </c>
      <c r="N34" s="18" t="n">
        <v>1098</v>
      </c>
      <c r="O34" s="18" t="n">
        <v>1490</v>
      </c>
      <c r="P34" s="18" t="n">
        <v>1219</v>
      </c>
      <c r="Q34" s="18" t="n">
        <v>1514</v>
      </c>
      <c r="R34" s="18" t="n">
        <v>1377</v>
      </c>
      <c r="S34" s="18" t="n">
        <v>1234</v>
      </c>
      <c r="T34" s="18" t="n">
        <v>1813</v>
      </c>
      <c r="U34" s="18" t="n">
        <v>1234</v>
      </c>
      <c r="V34" s="18" t="n">
        <v>1279</v>
      </c>
      <c r="W34" s="18" t="n">
        <v>1243</v>
      </c>
      <c r="X34" s="18" t="n">
        <v>1218</v>
      </c>
      <c r="Y34" s="18" t="n">
        <v>1433</v>
      </c>
      <c r="Z34" s="18" t="n">
        <v>1450</v>
      </c>
      <c r="AA34" s="18" t="n">
        <v>1439</v>
      </c>
      <c r="AB34" s="18" t="n">
        <v>1576</v>
      </c>
      <c r="AC34" s="18" t="n">
        <v>1603</v>
      </c>
    </row>
    <row r="35">
      <c r="A35" s="4" t="inlineStr">
        <is>
          <t>Capex</t>
        </is>
      </c>
      <c r="B35" s="18" t="n">
        <v>-508</v>
      </c>
      <c r="C35" s="18" t="n">
        <v>-803</v>
      </c>
      <c r="D35" s="18" t="n">
        <v>-412</v>
      </c>
      <c r="E35" s="18" t="n">
        <v>-309</v>
      </c>
      <c r="F35" s="18" t="n">
        <v>-320</v>
      </c>
      <c r="G35" s="18" t="n">
        <v>-339</v>
      </c>
      <c r="H35" s="18" t="n">
        <v>-307</v>
      </c>
      <c r="I35" s="18" t="n">
        <v>-261</v>
      </c>
      <c r="J35" s="18" t="n">
        <v>-429</v>
      </c>
      <c r="K35" s="18" t="n">
        <v>-267</v>
      </c>
      <c r="L35" s="18" t="n">
        <v>-290</v>
      </c>
      <c r="M35" s="18" t="n">
        <v>-297</v>
      </c>
      <c r="N35" s="18" t="n">
        <v>-320</v>
      </c>
      <c r="O35" s="18" t="n">
        <v>-849</v>
      </c>
      <c r="P35" s="18" t="n">
        <v>-817</v>
      </c>
      <c r="Q35" s="18" t="n">
        <v>-552</v>
      </c>
      <c r="R35" s="18" t="n">
        <v>-624</v>
      </c>
      <c r="S35" s="18" t="n">
        <v>-702</v>
      </c>
      <c r="T35" s="18" t="n">
        <v>-689</v>
      </c>
      <c r="U35" s="18" t="n">
        <v>-544</v>
      </c>
      <c r="V35" s="18" t="n">
        <v>-579</v>
      </c>
      <c r="W35" s="18" t="n">
        <v>-682</v>
      </c>
      <c r="X35" s="18" t="n">
        <v>-800</v>
      </c>
      <c r="Y35" s="18" t="n">
        <v>-1012</v>
      </c>
      <c r="Z35" s="18" t="n">
        <v>-972</v>
      </c>
      <c r="AA35" s="18" t="n">
        <v>-954</v>
      </c>
      <c r="AB35" s="18" t="n">
        <v>-2061</v>
      </c>
      <c r="AC35" s="18" t="n">
        <v>-1359</v>
      </c>
    </row>
    <row r="36">
      <c r="A36" s="4" t="inlineStr">
        <is>
          <t>Free Cash Flow</t>
        </is>
      </c>
      <c r="B36" s="18" t="n">
        <v>561</v>
      </c>
      <c r="C36" s="18" t="n">
        <v>55</v>
      </c>
      <c r="D36" s="18" t="n">
        <v>579</v>
      </c>
      <c r="E36" s="18" t="n">
        <v>478</v>
      </c>
      <c r="F36" s="18" t="n">
        <v>823</v>
      </c>
      <c r="G36" s="18" t="n">
        <v>113</v>
      </c>
      <c r="H36" s="18" t="n">
        <v>807</v>
      </c>
      <c r="I36" s="18" t="n">
        <v>654</v>
      </c>
      <c r="J36" s="18" t="n">
        <v>628</v>
      </c>
      <c r="K36" s="18" t="n">
        <v>567</v>
      </c>
      <c r="L36" s="18" t="n">
        <v>849</v>
      </c>
      <c r="M36" s="18" t="n">
        <v>785</v>
      </c>
      <c r="N36" s="18" t="n">
        <v>778</v>
      </c>
      <c r="O36" s="18" t="n">
        <v>641</v>
      </c>
      <c r="P36" s="18" t="n">
        <v>402</v>
      </c>
      <c r="Q36" s="18" t="n">
        <v>962</v>
      </c>
      <c r="R36" s="18" t="n">
        <v>753</v>
      </c>
      <c r="S36" s="18" t="n">
        <v>532</v>
      </c>
      <c r="T36" s="18" t="n">
        <v>1124</v>
      </c>
      <c r="U36" s="18" t="n">
        <v>690</v>
      </c>
      <c r="V36" s="18" t="n">
        <v>700</v>
      </c>
      <c r="W36" s="18" t="n">
        <v>561</v>
      </c>
      <c r="X36" s="18" t="n">
        <v>418</v>
      </c>
      <c r="Y36" s="18" t="n">
        <v>421</v>
      </c>
      <c r="Z36" s="18" t="n">
        <v>478</v>
      </c>
      <c r="AA36" s="18" t="n">
        <v>485</v>
      </c>
      <c r="AB36" s="18" t="n">
        <v>-485</v>
      </c>
      <c r="AC36" s="18" t="n">
        <v>244</v>
      </c>
    </row>
    <row r="38">
      <c r="A38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12345.522493</v>
      </c>
      <c r="C4" s="18" t="n">
        <v>13555.662412</v>
      </c>
      <c r="D4" s="18" t="n">
        <v>15291.665868</v>
      </c>
      <c r="E4" s="18" t="n">
        <v>16085.333333</v>
      </c>
      <c r="F4" s="18" t="n">
        <v>17712.5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7288.614068</v>
      </c>
      <c r="C8" s="18" t="n">
        <v>8003.062796</v>
      </c>
      <c r="D8" s="18" t="n">
        <v>9027.973586</v>
      </c>
      <c r="E8" s="18" t="n">
        <v>9496.543131</v>
      </c>
      <c r="F8" s="18" t="n">
        <v>10457.198289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4932.831303</v>
      </c>
      <c r="C12" s="18" t="n">
        <v>5416.360135</v>
      </c>
      <c r="D12" s="18" t="n">
        <v>6110.005317</v>
      </c>
      <c r="E12" s="18" t="n">
        <v>6427.126582</v>
      </c>
      <c r="F12" s="18" t="n">
        <v>7077.284457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738.816702</v>
      </c>
      <c r="C16" s="18" t="n">
        <v>811.237419</v>
      </c>
      <c r="D16" s="18" t="n">
        <v>915.128392</v>
      </c>
      <c r="E16" s="18" t="n">
        <v>962.625351</v>
      </c>
      <c r="F16" s="18" t="n">
        <v>1060.002997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2937.74497</v>
      </c>
      <c r="C20" s="18" t="n">
        <v>3260.26681</v>
      </c>
      <c r="D20" s="18" t="n">
        <v>3940.47646</v>
      </c>
      <c r="E20" s="18" t="n">
        <v>4736.197953</v>
      </c>
      <c r="F20" s="18" t="n">
        <v>5653.230004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2.36389</v>
      </c>
      <c r="C24" s="47" t="n">
        <v>2.56913</v>
      </c>
      <c r="D24" s="47" t="n">
        <v>3.11985</v>
      </c>
      <c r="E24" s="47" t="n">
        <v>3.87895</v>
      </c>
      <c r="F24" s="47" t="n">
        <v>4.63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The Williams Companies,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Financials!AC23</f>
        <v/>
      </c>
    </row>
    <row r="33">
      <c r="A33" s="4" t="inlineStr">
        <is>
          <t>- Long-term debt</t>
        </is>
      </c>
      <c r="B33" s="33">
        <f>-Financials!AC28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0.04710823157291531</v>
      </c>
      <c r="C4" s="51" t="n">
        <v>0.05210823157291531</v>
      </c>
      <c r="D4" s="51" t="n">
        <v>0.05710823157291531</v>
      </c>
      <c r="E4" s="51" t="n">
        <v>0.06210823157291531</v>
      </c>
      <c r="F4" s="51" t="n">
        <v>0.06710823157291532</v>
      </c>
      <c r="G4" s="51" t="n">
        <v>0.07210823157291531</v>
      </c>
      <c r="H4" s="51" t="n">
        <v>0.07710823157291531</v>
      </c>
    </row>
    <row r="5">
      <c r="A5" s="52" t="n">
        <v>9</v>
      </c>
      <c r="B5" s="53" t="n">
        <v>60.62310506423526</v>
      </c>
      <c r="C5" s="53" t="n">
        <v>56.96003742295225</v>
      </c>
      <c r="D5" s="53" t="n">
        <v>53.47695158712456</v>
      </c>
      <c r="E5" s="53" t="n">
        <v>50.16410884838897</v>
      </c>
      <c r="F5" s="53" t="n">
        <v>47.01234284523315</v>
      </c>
      <c r="G5" s="53" t="n">
        <v>44.01302335406403</v>
      </c>
      <c r="H5" s="53" t="n">
        <v>41.15802252983635</v>
      </c>
    </row>
    <row r="6">
      <c r="A6" s="52" t="n">
        <v>10</v>
      </c>
      <c r="B6" s="53" t="n">
        <v>67.76878654739809</v>
      </c>
      <c r="C6" s="53" t="n">
        <v>63.7733012441841</v>
      </c>
      <c r="D6" s="53" t="n">
        <v>59.97472921289752</v>
      </c>
      <c r="E6" s="53" t="n">
        <v>56.36239530423677</v>
      </c>
      <c r="F6" s="53" t="n">
        <v>52.92625256590924</v>
      </c>
      <c r="G6" s="53" t="n">
        <v>49.65684246295806</v>
      </c>
      <c r="H6" s="53" t="n">
        <v>46.54525779113276</v>
      </c>
    </row>
    <row r="7">
      <c r="A7" s="52" t="n">
        <v>11</v>
      </c>
      <c r="B7" s="8" t="n">
        <v>74.91446803056093</v>
      </c>
      <c r="C7" s="53" t="n">
        <v>70.58656506541594</v>
      </c>
      <c r="D7" s="53" t="n">
        <v>66.47250683867047</v>
      </c>
      <c r="E7" s="53" t="n">
        <v>62.56068176008454</v>
      </c>
      <c r="F7" s="53" t="n">
        <v>58.84016228658533</v>
      </c>
      <c r="G7" s="53" t="n">
        <v>55.30066157185208</v>
      </c>
      <c r="H7" s="53" t="n">
        <v>51.93249305242916</v>
      </c>
    </row>
    <row r="8">
      <c r="A8" s="52" t="n">
        <v>12</v>
      </c>
      <c r="B8" s="8" t="n">
        <v>82.06014951372377</v>
      </c>
      <c r="C8" s="8" t="n">
        <v>77.39982888664777</v>
      </c>
      <c r="D8" s="53" t="n">
        <v>72.97028446444344</v>
      </c>
      <c r="E8" s="54" t="n">
        <v>68.75896821593233</v>
      </c>
      <c r="F8" s="53" t="n">
        <v>64.75407200726141</v>
      </c>
      <c r="G8" s="53" t="n">
        <v>60.94448068074612</v>
      </c>
      <c r="H8" s="53" t="n">
        <v>57.31972831372556</v>
      </c>
    </row>
    <row r="9">
      <c r="A9" s="52" t="n">
        <v>13</v>
      </c>
      <c r="B9" s="8" t="n">
        <v>89.2058309968866</v>
      </c>
      <c r="C9" s="8" t="n">
        <v>84.21309270787962</v>
      </c>
      <c r="D9" s="8" t="n">
        <v>79.46806209021641</v>
      </c>
      <c r="E9" s="8" t="n">
        <v>74.95725467178012</v>
      </c>
      <c r="F9" s="53" t="n">
        <v>70.6679817279375</v>
      </c>
      <c r="G9" s="53" t="n">
        <v>66.58829978964013</v>
      </c>
      <c r="H9" s="53" t="n">
        <v>62.70696357502197</v>
      </c>
    </row>
    <row r="10">
      <c r="A10" s="52" t="n">
        <v>14</v>
      </c>
      <c r="B10" s="8" t="n">
        <v>96.35151248004944</v>
      </c>
      <c r="C10" s="8" t="n">
        <v>91.02635652911147</v>
      </c>
      <c r="D10" s="8" t="n">
        <v>85.96583971598936</v>
      </c>
      <c r="E10" s="8" t="n">
        <v>81.15554112762791</v>
      </c>
      <c r="F10" s="8" t="n">
        <v>76.5818914486136</v>
      </c>
      <c r="G10" s="53" t="n">
        <v>72.23211889853418</v>
      </c>
      <c r="H10" s="53" t="n">
        <v>68.09419883631837</v>
      </c>
    </row>
    <row r="11">
      <c r="A11" s="52" t="n">
        <v>15</v>
      </c>
      <c r="B11" s="8" t="n">
        <v>103.4971939632123</v>
      </c>
      <c r="C11" s="8" t="n">
        <v>97.83962035034331</v>
      </c>
      <c r="D11" s="8" t="n">
        <v>92.46361734176232</v>
      </c>
      <c r="E11" s="8" t="n">
        <v>87.35382758347571</v>
      </c>
      <c r="F11" s="8" t="n">
        <v>82.49580116928971</v>
      </c>
      <c r="G11" s="8" t="n">
        <v>77.8759380074282</v>
      </c>
      <c r="H11" s="8" t="n">
        <v>73.48143409761478</v>
      </c>
    </row>
    <row r="13">
      <c r="A13" s="3" t="inlineStr">
        <is>
          <t>Current price</t>
        </is>
      </c>
      <c r="B13" s="53" t="n">
        <v>73.13999938964844</v>
      </c>
    </row>
    <row r="14">
      <c r="A14" s="3" t="inlineStr">
        <is>
          <t>Base WACC / multiple</t>
        </is>
      </c>
      <c r="B14" s="55" t="n">
        <v>0.06210823157291531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0.1906357316358154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2.336479857153622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0.9851698201133955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Financials!AC23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Financials!AC28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2026-07-06T20:36:00Z</dcterms:created>
  <dcterms:modified xmlns:dcterms="http://purl.org/dc/terms/" xmlns:xsi="http://www.w3.org/2001/XMLSchema-instance" xsi:type="dcterms:W3CDTF">2026-07-06T20:36:00Z</dcterms:modified>
</cp:coreProperties>
</file>