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Color Code" sheetId="4" state="visible" r:id="rId4"/>
    <sheet xmlns:r="http://schemas.openxmlformats.org/officeDocument/2006/relationships" name="WACC" sheetId="5" state="visible" r:id="rId5"/>
    <sheet xmlns:r="http://schemas.openxmlformats.org/officeDocument/2006/relationships" name="Model" sheetId="6" state="visible" r:id="rId6"/>
    <sheet xmlns:r="http://schemas.openxmlformats.org/officeDocument/2006/relationships" name="Financials" sheetId="7" state="visible" r:id="rId7"/>
    <sheet xmlns:r="http://schemas.openxmlformats.org/officeDocument/2006/relationships" name="Consensus" sheetId="8" state="visible" r:id="rId8"/>
    <sheet xmlns:r="http://schemas.openxmlformats.org/officeDocument/2006/relationships" name="Valuation" sheetId="9" state="visible" r:id="rId9"/>
    <sheet xmlns:r="http://schemas.openxmlformats.org/officeDocument/2006/relationships" name="Sensitivity" sheetId="10" state="visible" r:id="rId10"/>
    <sheet xmlns:r="http://schemas.openxmlformats.org/officeDocument/2006/relationships" name="Monte Carl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0.0%"/>
    <numFmt numFmtId="165" formatCode="0.000"/>
    <numFmt numFmtId="166" formatCode="0.0&quot;x&quot;"/>
    <numFmt numFmtId="167" formatCode="0.00&quot;x&quot;"/>
    <numFmt numFmtId="168" formatCode="+0.0%;(0.0%)"/>
    <numFmt numFmtId="169" formatCode="&quot;$&quot;#,##0.00"/>
    <numFmt numFmtId="170" formatCode="+0%;(0%)"/>
    <numFmt numFmtId="171" formatCode="&quot;$&quot;#,##0"/>
    <numFmt numFmtId="172" formatCode="+0.0%;-0.0%"/>
    <numFmt numFmtId="173" formatCode="+0.0&quot;x&quot;;-0.0&quot;x&quot;"/>
  </numFmts>
  <fonts count="10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008000"/>
    </font>
    <font>
      <b val="1"/>
      <color rgb="001F4E78"/>
      <sz val="16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9" fontId="9" fillId="0" borderId="0" pivotButton="0" quotePrefix="0" xfId="0"/>
    <xf numFmtId="169" fontId="7" fillId="0" borderId="0" pivotButton="0" quotePrefix="0" xfId="0"/>
    <xf numFmtId="170" fontId="7" fillId="0" borderId="0" pivotButton="0" quotePrefix="0" xfId="0"/>
    <xf numFmtId="0" fontId="8" fillId="0" borderId="0" pivotButton="0" quotePrefix="0" xfId="0"/>
    <xf numFmtId="164" fontId="7" fillId="0" borderId="0" pivotButton="0" quotePrefix="0" xfId="0"/>
    <xf numFmtId="0" fontId="7" fillId="0" borderId="0" pivotButton="0" quotePrefix="0" xfId="0"/>
    <xf numFmtId="166" fontId="7" fillId="0" borderId="0" pivotButton="0" quotePrefix="0" xfId="0"/>
    <xf numFmtId="0" fontId="3" fillId="0" borderId="0" applyAlignment="1" pivotButton="0" quotePrefix="0" xfId="0">
      <alignment vertical="top" wrapText="1"/>
    </xf>
    <xf numFmtId="164" fontId="4" fillId="5" borderId="0" pivotButton="0" quotePrefix="0" xfId="0"/>
    <xf numFmtId="164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6" fontId="4" fillId="5" borderId="0" pivotButton="0" quotePrefix="0" xfId="0"/>
    <xf numFmtId="165" fontId="4" fillId="5" borderId="0" pivotButton="0" quotePrefix="0" xfId="0"/>
    <xf numFmtId="164" fontId="8" fillId="0" borderId="0" pivotButton="0" quotePrefix="0" xfId="0"/>
    <xf numFmtId="0" fontId="4" fillId="5" borderId="0" pivotButton="0" quotePrefix="0" xfId="0"/>
    <xf numFmtId="169" fontId="4" fillId="5" borderId="0" pivotButton="0" quotePrefix="0" xfId="0"/>
    <xf numFmtId="172" fontId="4" fillId="5" borderId="0" pivotButton="0" quotePrefix="0" xfId="0"/>
    <xf numFmtId="164" fontId="3" fillId="0" borderId="0" pivotButton="0" quotePrefix="0" xfId="0"/>
    <xf numFmtId="166" fontId="3" fillId="0" borderId="0" pivotButton="0" quotePrefix="0" xfId="0"/>
    <xf numFmtId="173" fontId="4" fillId="5" borderId="0" pivotButton="0" quotePrefix="0" xfId="0"/>
    <xf numFmtId="169" fontId="1" fillId="0" borderId="0" pivotButton="0" quotePrefix="0" xfId="0"/>
    <xf numFmtId="170" fontId="3" fillId="0" borderId="0" pivotButton="0" quotePrefix="0" xfId="0"/>
    <xf numFmtId="9" fontId="4" fillId="5" borderId="0" pivotButton="0" quotePrefix="0" xfId="0"/>
    <xf numFmtId="0" fontId="0" fillId="0" borderId="0" applyAlignment="1" pivotButton="0" quotePrefix="0" xfId="0">
      <alignment vertical="top" wrapText="1"/>
    </xf>
    <xf numFmtId="165" fontId="7" fillId="0" borderId="0" pivotButton="0" quotePrefix="0" xfId="0"/>
    <xf numFmtId="3" fontId="7" fillId="0" borderId="0" pivotButton="0" quotePrefix="0" xfId="0"/>
    <xf numFmtId="172" fontId="7" fillId="0" borderId="0" pivotButton="0" quotePrefix="0" xfId="0"/>
    <xf numFmtId="173" fontId="7" fillId="0" borderId="0" pivotButton="0" quotePrefix="0" xfId="0"/>
    <xf numFmtId="0" fontId="4" fillId="0" borderId="0" pivotButton="0" quotePrefix="0" xfId="0"/>
    <xf numFmtId="0" fontId="3" fillId="6" borderId="0" pivotButton="0" quotePrefix="0" xfId="0"/>
    <xf numFmtId="164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3" fontId="8" fillId="0" borderId="0" pivotButton="0" quotePrefix="0" xfId="0"/>
    <xf numFmtId="167" fontId="3" fillId="0" borderId="0" pivotButton="0" quotePrefix="0" xfId="0"/>
    <xf numFmtId="0" fontId="1" fillId="0" borderId="0" applyAlignment="1" pivotButton="0" quotePrefix="0" xfId="0">
      <alignment horizontal="right"/>
    </xf>
    <xf numFmtId="168" fontId="3" fillId="0" borderId="0" pivotButton="0" quotePrefix="0" xfId="0"/>
    <xf numFmtId="169" fontId="4" fillId="0" borderId="0" pivotButton="0" quotePrefix="0" xfId="0"/>
    <xf numFmtId="165" fontId="3" fillId="0" borderId="0" pivotButton="0" quotePrefix="0" xfId="0"/>
    <xf numFmtId="169" fontId="3" fillId="0" borderId="0" pivotButton="0" quotePrefix="0" xfId="0"/>
    <xf numFmtId="2" fontId="3" fillId="0" borderId="0" pivotButton="0" quotePrefix="0" xfId="0"/>
    <xf numFmtId="164" fontId="1" fillId="0" borderId="0" applyAlignment="1" pivotButton="0" quotePrefix="0" xfId="0">
      <alignment horizontal="right"/>
    </xf>
    <xf numFmtId="166" fontId="1" fillId="0" borderId="0" pivotButton="0" quotePrefix="0" xfId="0"/>
    <xf numFmtId="169" fontId="0" fillId="0" borderId="0" pivotButton="0" quotePrefix="0" xfId="0"/>
    <xf numFmtId="169" fontId="0" fillId="3" borderId="0" pivotButton="0" quotePrefix="0" xfId="0"/>
    <xf numFmtId="164" fontId="0" fillId="0" borderId="0" pivotButton="0" quotePrefix="0" xfId="0"/>
    <xf numFmtId="166" fontId="0" fillId="0" borderId="0" pivotButton="0" quotePrefix="0" xfId="0"/>
    <xf numFmtId="171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DCF provenance</author>
  </authors>
  <commentList>
    <comment ref="B20" authorId="0" shapeId="0">
      <text>
        <t>Opus: 20.0%</t>
      </text>
    </comment>
    <comment ref="C20" authorId="0" shapeId="0">
      <text>
        <t>Opus: 4.0%</t>
      </text>
    </comment>
    <comment ref="B21" authorId="0" shapeId="0">
      <text>
        <t>Opus: -2.0%</t>
      </text>
    </comment>
    <comment ref="C21" authorId="0" shapeId="0">
      <text>
        <t>Opus: 2.5%</t>
      </text>
    </comment>
    <comment ref="B22" authorId="0" shapeId="0">
      <text>
        <t>Opus: -3.0%</t>
      </text>
    </comment>
    <comment ref="C22" authorId="0" shapeId="0">
      <text>
        <t>Opus: 2.0%</t>
      </text>
    </comment>
    <comment ref="B29" authorId="0" shapeId="0">
      <text>
        <t>Opus: 31.0%</t>
      </text>
    </comment>
    <comment ref="B30" authorId="0" shapeId="0">
      <text>
        <t>Opus: 35.0%</t>
      </text>
    </comment>
    <comment ref="B31" authorId="0" shapeId="0">
      <text>
        <t>Opus: 20.0%</t>
      </text>
    </comment>
    <comment ref="B34" authorId="0" shapeId="0">
      <text>
        <t>Opus: —
set from Opus 30% of FY1E revenue; edits not tracked (unit differs from the JSON)</t>
      </text>
    </comment>
    <comment ref="B35" authorId="0" shapeId="0">
      <text>
        <t>Opus: 1.1x</t>
      </text>
    </comment>
    <comment ref="B38" authorId="0" shapeId="0">
      <text>
        <t>Opus: 4.3%</t>
      </text>
    </comment>
    <comment ref="B39" authorId="0" shapeId="0">
      <text>
        <t>Opus: 4.5%</t>
      </text>
    </comment>
    <comment ref="B40" authorId="0" shapeId="0">
      <text>
        <t>Opus: 1.544</t>
      </text>
    </comment>
    <comment ref="B41" authorId="0" shapeId="0">
      <text>
        <t>Opus: 4.5%</t>
      </text>
    </comment>
    <comment ref="B43" authorId="0" shapeId="0">
      <text>
        <t>Opus: Exit multiple</t>
      </text>
    </comment>
    <comment ref="B44" authorId="0" shapeId="0">
      <text>
        <t>Opus: EV/EBITDA</t>
      </text>
    </comment>
    <comment ref="B45" authorId="0" shapeId="0">
      <text>
        <t>Opus: 13.0x</t>
      </text>
    </comment>
    <comment ref="B46" authorId="0" shapeId="0">
      <text>
        <t>Opus: 4.0%</t>
      </text>
    </comment>
    <comment ref="C52" authorId="0" shapeId="0">
      <text>
        <t>seed default</t>
      </text>
    </comment>
    <comment ref="D52" authorId="0" shapeId="0">
      <text>
        <t>seed default</t>
      </text>
    </comment>
    <comment ref="C53" authorId="0" shapeId="0">
      <text>
        <t>seed default</t>
      </text>
    </comment>
    <comment ref="D53" authorId="0" shapeId="0">
      <text>
        <t>seed default</t>
      </text>
    </comment>
    <comment ref="C54" authorId="0" shapeId="0">
      <text>
        <t>seed default</t>
      </text>
    </comment>
    <comment ref="D54" authorId="0" shapeId="0">
      <text>
        <t>seed default</t>
      </text>
    </comment>
    <comment ref="C55" authorId="0" shapeId="0">
      <text>
        <t>seed default</t>
      </text>
    </comment>
    <comment ref="D55" authorId="0" shapeId="0">
      <text>
        <t>seed default</t>
      </text>
    </comment>
    <comment ref="C56" authorId="0" shapeId="0">
      <text>
        <t>seed default</t>
      </text>
    </comment>
    <comment ref="D56" authorId="0" shapeId="0">
      <text>
        <t>seed default</t>
      </text>
    </comment>
    <comment ref="C57" authorId="0" shapeId="0">
      <text>
        <t>seed default</t>
      </text>
    </comment>
    <comment ref="D57" authorId="0" shapeId="0">
      <text>
        <t>seed default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Oracle Corporation (ORCL)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2026-07-06</t>
        </is>
      </c>
    </row>
    <row r="5">
      <c r="A5" s="3" t="inlineStr">
        <is>
          <t>Data pulled (FMP)</t>
        </is>
      </c>
      <c r="B5" s="4" t="inlineStr">
        <is>
          <t>Q3 2026</t>
        </is>
      </c>
    </row>
    <row r="6">
      <c r="A6" s="3" t="inlineStr">
        <is>
          <t>Assumptions by</t>
        </is>
      </c>
      <c r="B6" s="4" t="inlineStr">
        <is>
          <t>Opus 4.8 — values as of 2026-06-11 (provenance seeded)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7">
        <f>Valuation!B36</f>
        <v/>
      </c>
    </row>
    <row r="11">
      <c r="A11" s="4" t="inlineStr">
        <is>
          <t>Current price</t>
        </is>
      </c>
      <c r="B11" s="8">
        <f>Valuation!$B$2</f>
        <v/>
      </c>
    </row>
    <row r="12">
      <c r="A12" s="4" t="inlineStr">
        <is>
          <t>Upside / (downside)</t>
        </is>
      </c>
      <c r="B12" s="9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11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11">
        <f>WACC!B15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13">
        <f>Valuation!$B$8</f>
        <v/>
      </c>
    </row>
    <row r="21">
      <c r="A21" s="4" t="inlineStr">
        <is>
          <t>Terminal growth (g)</t>
        </is>
      </c>
      <c r="B21" s="11">
        <f>Valuation!$B$4</f>
        <v/>
      </c>
    </row>
    <row r="22">
      <c r="A22" s="4" t="inlineStr">
        <is>
          <t>Terminal weight</t>
        </is>
      </c>
      <c r="B22" s="11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Oracle is a mature database/applications franchise re-accelerating on OCI and AI-training capacity, with a record RPO backlog driving the Cloud &amp; License segment to ~20%+ near-term growth while legacy Services and Hardware stagnate or decline. We fade total growth toward a ~4% mature rate as the AI capacity buildout matures and the cloud base gets large; operating margins expand from ~31% toward ~38% on scale and software mix, but the aggressive, partly debt-funded data-center capex ramp (37% of revenue in FY25) keeps near-term FCFF compressed before capex/D&amp;A normalizes to ~1.1x at maturity. The value rests on OCI compounding into a durable cash engine that eventually out-earns its capex.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Oracle Corporation (ORCL)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7">
        <f>Valuation!B36</f>
        <v/>
      </c>
    </row>
    <row r="6">
      <c r="A6" s="4" t="inlineStr">
        <is>
          <t>Current price</t>
        </is>
      </c>
      <c r="B6" s="8">
        <f>Dashboard!$B$48</f>
        <v/>
      </c>
    </row>
    <row r="7">
      <c r="A7" s="4" t="inlineStr">
        <is>
          <t>Upside / (downside)</t>
        </is>
      </c>
      <c r="B7" s="9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11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11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11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11">
        <f>IF(Model!F38&lt;=0,"n/a (neg. capital)",Model!G40-WACC!B15)</f>
        <v/>
      </c>
      <c r="C15" s="10">
        <f>IF(Model!F38&lt;=0,"n/a",IF(Model!G40-WACC!B15&lt;0,"! destroys","creates"))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11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11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Cloud And License Business</t>
        </is>
      </c>
      <c r="B20" s="15" t="n">
        <v>0.2</v>
      </c>
      <c r="C20" s="15" t="n">
        <v>0.04</v>
      </c>
      <c r="D20" s="16" t="n">
        <v>0.2</v>
      </c>
      <c r="E20" s="2" t="inlineStr"/>
    </row>
    <row r="21">
      <c r="A21" s="4" t="inlineStr">
        <is>
          <t>Services Business</t>
        </is>
      </c>
      <c r="B21" s="15" t="n">
        <v>-0.02</v>
      </c>
      <c r="C21" s="15" t="n">
        <v>0.025</v>
      </c>
      <c r="D21" s="16" t="n">
        <v>-0.02</v>
      </c>
      <c r="E21" s="2" t="inlineStr"/>
    </row>
    <row r="22">
      <c r="A22" s="4" t="inlineStr">
        <is>
          <t>Hardware Business</t>
        </is>
      </c>
      <c r="B22" s="15" t="n">
        <v>-0.03</v>
      </c>
      <c r="C22" s="15" t="n">
        <v>0.02</v>
      </c>
      <c r="D22" s="16" t="n">
        <v>-0.03</v>
      </c>
      <c r="E22" s="2" t="inlineStr"/>
    </row>
    <row r="23"/>
    <row r="24"/>
    <row r="25"/>
    <row r="26"/>
    <row r="27"/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15" t="n">
        <v>0.31</v>
      </c>
      <c r="D29" s="16" t="n">
        <v>0.31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15" t="n">
        <v>0.35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15" t="n">
        <v>0.2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20180.6823021</v>
      </c>
      <c r="D34" s="18" t="n">
        <v>20180.6823021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19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15" t="n">
        <v>0.043</v>
      </c>
    </row>
    <row r="39">
      <c r="A39" s="4" t="inlineStr">
        <is>
          <t>Equity risk premium</t>
        </is>
      </c>
      <c r="B39" s="15" t="n">
        <v>0.045</v>
      </c>
    </row>
    <row r="40">
      <c r="A40" s="4" t="inlineStr">
        <is>
          <t>Beta (levered)</t>
        </is>
      </c>
      <c r="B40" s="20" t="n">
        <v>1.544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15" t="n">
        <v>0.045</v>
      </c>
    </row>
    <row r="42">
      <c r="A42" s="3" t="inlineStr">
        <is>
          <t>WACC (computed)</t>
        </is>
      </c>
      <c r="B42" s="21">
        <f>WACC!B15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EV/EBITDA</t>
        </is>
      </c>
    </row>
    <row r="45">
      <c r="A45" s="4" t="inlineStr">
        <is>
          <t>Exit multiple</t>
        </is>
      </c>
      <c r="B45" s="19" t="n">
        <v>13</v>
      </c>
    </row>
    <row r="46">
      <c r="A46" s="4" t="inlineStr">
        <is>
          <t>Terminal growth (g)</t>
        </is>
      </c>
      <c r="B46" s="15" t="n">
        <v>0.04</v>
      </c>
    </row>
    <row r="47">
      <c r="A47" s="4" t="inlineStr">
        <is>
          <t>Country risk premium</t>
        </is>
      </c>
      <c r="B47" s="15" t="n">
        <v>0</v>
      </c>
      <c r="E47" s="2" t="inlineStr">
        <is>
          <t>Damodaran country premiums, revenue-weighted (2026-01); 0 for US/mature</t>
        </is>
      </c>
    </row>
    <row r="48">
      <c r="A48" s="4" t="inlineStr">
        <is>
          <t>Current price</t>
        </is>
      </c>
      <c r="B48" s="23" t="n">
        <v>172.4049987792969</v>
      </c>
    </row>
    <row r="49">
      <c r="A49" s="4" t="inlineStr">
        <is>
          <t>Growth fade curvature</t>
        </is>
      </c>
      <c r="B49" s="20" t="n">
        <v>1</v>
      </c>
      <c r="E49" s="2" t="inlineStr">
        <is>
          <t>convexity of the near-&gt;terminal growth fade, fit to consensus (1.0=linear); higher = faster early deceleration</t>
        </is>
      </c>
    </row>
    <row r="50">
      <c r="A50" s="5" t="inlineStr">
        <is>
          <t xml:space="preserve">  SCENARIOS — Bull / Bear offsets vs Base (edit the yellow Δs)</t>
        </is>
      </c>
      <c r="B50" s="6" t="n"/>
      <c r="C50" s="6" t="n"/>
      <c r="D50" s="6" t="n"/>
      <c r="E50" s="6" t="n"/>
    </row>
    <row r="51">
      <c r="A51" s="3" t="inlineStr">
        <is>
          <t>Scenario lever</t>
        </is>
      </c>
      <c r="B51" s="3" t="inlineStr">
        <is>
          <t>Base</t>
        </is>
      </c>
      <c r="C51" s="3" t="inlineStr">
        <is>
          <t>Bull Δ</t>
        </is>
      </c>
      <c r="D51" s="3" t="inlineStr">
        <is>
          <t>Bear Δ</t>
        </is>
      </c>
    </row>
    <row r="52">
      <c r="A52" s="4" t="inlineStr">
        <is>
          <t>Segment growth, near-term</t>
        </is>
      </c>
      <c r="B52" s="2" t="inlineStr">
        <is>
          <t>per segment</t>
        </is>
      </c>
      <c r="C52" s="24" t="n">
        <v>0.03</v>
      </c>
      <c r="D52" s="24" t="n">
        <v>-0.03</v>
      </c>
    </row>
    <row r="53">
      <c r="A53" s="4" t="inlineStr">
        <is>
          <t>Segment growth, terminal</t>
        </is>
      </c>
      <c r="B53" s="2" t="inlineStr">
        <is>
          <t>per segment</t>
        </is>
      </c>
      <c r="C53" s="24" t="n">
        <v>0.01</v>
      </c>
      <c r="D53" s="24" t="n">
        <v>-0.01</v>
      </c>
    </row>
    <row r="54">
      <c r="A54" s="4" t="inlineStr">
        <is>
          <t>Operating margin, near-term</t>
        </is>
      </c>
      <c r="B54" s="25">
        <f>B29</f>
        <v/>
      </c>
      <c r="C54" s="24" t="n">
        <v>0.01</v>
      </c>
      <c r="D54" s="24" t="n">
        <v>-0.01</v>
      </c>
    </row>
    <row r="55">
      <c r="A55" s="4" t="inlineStr">
        <is>
          <t>Operating margin, terminal</t>
        </is>
      </c>
      <c r="B55" s="25">
        <f>B30</f>
        <v/>
      </c>
      <c r="C55" s="24" t="n">
        <v>0.02</v>
      </c>
      <c r="D55" s="24" t="n">
        <v>-0.02</v>
      </c>
    </row>
    <row r="56">
      <c r="A56" s="4" t="inlineStr">
        <is>
          <t>Exit multiple</t>
        </is>
      </c>
      <c r="B56" s="26">
        <f>B45</f>
        <v/>
      </c>
      <c r="C56" s="27" t="n">
        <v>2</v>
      </c>
      <c r="D56" s="27" t="n">
        <v>-2</v>
      </c>
    </row>
    <row r="57">
      <c r="A57" s="4" t="inlineStr">
        <is>
          <t>Terminal growth (g)</t>
        </is>
      </c>
      <c r="B57" s="25">
        <f>B46</f>
        <v/>
      </c>
      <c r="C57" s="24" t="n">
        <v>0.005</v>
      </c>
      <c r="D57" s="24" t="n">
        <v>-0.005</v>
      </c>
    </row>
    <row r="58">
      <c r="A58" s="3" t="inlineStr">
        <is>
          <t>Fair value / share — Base · Bull · Bear</t>
        </is>
      </c>
      <c r="B58" s="28" t="n">
        <v>112.3274740539119</v>
      </c>
      <c r="C58" s="28" t="n">
        <v>172.4364399712958</v>
      </c>
      <c r="D58" s="28" t="n">
        <v>67.01096733265442</v>
      </c>
    </row>
    <row r="59">
      <c r="A59" s="4" t="inlineStr">
        <is>
          <t>Upside vs current price</t>
        </is>
      </c>
      <c r="B59" s="29">
        <f>IFERROR(B58/$B$48-1,"")</f>
        <v/>
      </c>
      <c r="C59" s="29">
        <f>IFERROR(C58/$B$48-1,"")</f>
        <v/>
      </c>
      <c r="D59" s="29">
        <f>IFERROR(D58/$B$48-1,"")</f>
        <v/>
      </c>
    </row>
    <row r="60">
      <c r="A60" s="2" t="inlineStr">
        <is>
          <t>Bull/Bear = Base shifted by the Δ columns (uniform across segments). Row 58 + the Sensitivity sheet are Python-computed — run refresh_dcf after editing.</t>
        </is>
      </c>
    </row>
    <row r="61">
      <c r="A61" s="2" t="inlineStr">
        <is>
          <t>Scenario probability weights (edit — must sum to 1.0; LLM-set, owner overrides):</t>
        </is>
      </c>
    </row>
    <row r="62">
      <c r="A62" s="4" t="inlineStr">
        <is>
          <t>Probability weight</t>
        </is>
      </c>
      <c r="B62" s="30" t="n">
        <v>0.45</v>
      </c>
      <c r="C62" s="30" t="n">
        <v>0.2</v>
      </c>
      <c r="D62" s="30" t="n">
        <v>0.35</v>
      </c>
    </row>
    <row r="64">
      <c r="A64" s="5" t="inlineStr">
        <is>
          <t xml:space="preserve">  STOCK-BASED COMPENSATION (charged after-tax)</t>
        </is>
      </c>
      <c r="B64" s="6" t="n"/>
      <c r="C64" s="6" t="n"/>
      <c r="D64" s="6" t="n"/>
      <c r="E64" s="6" t="n"/>
    </row>
    <row r="65">
      <c r="A65" s="4" t="inlineStr">
        <is>
          <t>SBC % of revenue — near-term</t>
        </is>
      </c>
      <c r="B65" s="15" t="n">
        <v>0.0814299900695134</v>
      </c>
      <c r="E65" s="2" t="inlineStr">
        <is>
          <t>charged as an after-tax expense; op margin is non-GAAP (SBC-excluded)</t>
        </is>
      </c>
    </row>
    <row r="66">
      <c r="A66" s="4" t="inlineStr">
        <is>
          <t>SBC % of revenue — terminal</t>
        </is>
      </c>
      <c r="B66" s="15" t="n">
        <v>0.04885799404170804</v>
      </c>
      <c r="E66" s="2" t="inlineStr">
        <is>
          <t>fades near-&gt;terminal; also burdens the exit-multiple EBITDA</t>
        </is>
      </c>
    </row>
  </sheetData>
  <conditionalFormatting sqref="B20:B22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12" customWidth="1" min="3" max="3"/>
    <col width="16" customWidth="1" min="4" max="4"/>
    <col width="12" customWidth="1" min="5" max="5"/>
    <col width="52" customWidth="1" min="6" max="6"/>
  </cols>
  <sheetData>
    <row r="1">
      <c r="A1" s="1" t="inlineStr">
        <is>
          <t>ORCL — Assumptions &amp; Reasoning</t>
        </is>
      </c>
    </row>
    <row r="2">
      <c r="A2" s="2" t="inlineStr">
        <is>
          <t>Provenance of every Dashboard input. Read-only — regenerated by each build/refresh. Current is a live link to the Dashboard; Source / Opus value / Note are as of the last refresh_dcf run.</t>
        </is>
      </c>
    </row>
    <row r="4">
      <c r="A4" s="3" t="inlineStr">
        <is>
          <t>Assumptions baseline</t>
        </is>
      </c>
      <c r="B4" t="inlineStr">
        <is>
          <t>seeded 2026-06-11 from the synced assumptions block (pass predates provenance tracking — may already include your edits)</t>
        </is>
      </c>
    </row>
    <row r="6">
      <c r="A6" s="5" t="inlineStr">
        <is>
          <t xml:space="preserve">  THE STORY (Opus narrative)</t>
        </is>
      </c>
      <c r="B6" s="6" t="n"/>
      <c r="C6" s="6" t="n"/>
      <c r="D6" s="6" t="n"/>
      <c r="E6" s="6" t="n"/>
      <c r="F6" s="6" t="n"/>
    </row>
    <row r="7">
      <c r="A7" s="31" t="inlineStr">
        <is>
          <t>Oracle is a mature database/applications franchise re-accelerating on OCI and AI-training capacity, with a record RPO backlog driving the Cloud &amp; License segment to ~20%+ near-term growth while legacy Services and Hardware stagnate or decline. We fade total growth toward a ~4% mature rate as the AI capacity buildout matures and the cloud base gets large; operating margins expand from ~31% toward ~38% on scale and software mix, but the aggressive, partly debt-funded data-center capex ramp (37% of revenue in FY25) keeps near-term FCFF compressed before capex/D&amp;A normalizes to ~1.1x at maturity. The value rests on OCI compounding into a durable cash engine that eventually out-earns its capex.</t>
        </is>
      </c>
    </row>
    <row r="8"/>
    <row r="9"/>
    <row r="10"/>
    <row r="12">
      <c r="A12" s="5" t="inlineStr">
        <is>
          <t xml:space="preserve">  KEY JUDGMENTS (Opus reasoning)</t>
        </is>
      </c>
      <c r="B12" s="6" t="n"/>
      <c r="C12" s="6" t="n"/>
      <c r="D12" s="6" t="n"/>
      <c r="E12" s="6" t="n"/>
      <c r="F12" s="6" t="n"/>
    </row>
    <row r="13">
      <c r="A13" s="31" t="inlineStr">
        <is>
          <t>Key calls: trusting but not fully extrapolating the very steep consensus revenue ramp—I anchor near-term cloud growth high (~22%) but fade hard to terminal because hyperscale AI demand and the RPO backlog are unlikely to sustain 30%+ for a decade. I hold capex elevated in 2026 (~30% of revenue) reflecting the data-center build, then converge to maintenance, and use a 14x EV/EBITDA exit—the metric the market actually applies to ORCL—as a defensible mature multiple consistent with a ~4% perpetuity and high-30s margins.</t>
        </is>
      </c>
    </row>
    <row r="14"/>
    <row r="15"/>
    <row r="16"/>
    <row r="18">
      <c r="A18" s="5" t="inlineStr">
        <is>
          <t xml:space="preserve">  DASHBOARD INPUTS — value · source · reasoning</t>
        </is>
      </c>
      <c r="B18" s="6" t="n"/>
      <c r="C18" s="6" t="n"/>
      <c r="D18" s="6" t="n"/>
      <c r="E18" s="6" t="n"/>
      <c r="F18" s="6" t="n"/>
    </row>
    <row r="19">
      <c r="A19" s="3" t="inlineStr">
        <is>
          <t>Input</t>
        </is>
      </c>
      <c r="B19" s="3" t="inlineStr">
        <is>
          <t>Cell</t>
        </is>
      </c>
      <c r="C19" s="3" t="inlineStr">
        <is>
          <t>Current</t>
        </is>
      </c>
      <c r="D19" s="3" t="inlineStr">
        <is>
          <t>Source</t>
        </is>
      </c>
      <c r="E19" s="3" t="inlineStr">
        <is>
          <t>Opus value</t>
        </is>
      </c>
      <c r="F19" s="3" t="inlineStr">
        <is>
          <t>Note</t>
        </is>
      </c>
    </row>
    <row r="20">
      <c r="A20" t="inlineStr">
        <is>
          <t>Cloud And License Business — near-term growth</t>
        </is>
      </c>
      <c r="B20" t="inlineStr">
        <is>
          <t>B20</t>
        </is>
      </c>
      <c r="C20" s="11">
        <f>Dashboard!B20</f>
        <v/>
      </c>
      <c r="D20" t="inlineStr">
        <is>
          <t>Opus</t>
        </is>
      </c>
      <c r="E20" t="inlineStr">
        <is>
          <t>20.0%</t>
        </is>
      </c>
      <c r="F20" s="31" t="inlineStr"/>
    </row>
    <row r="21">
      <c r="A21" t="inlineStr">
        <is>
          <t>Cloud And License Business — terminal growth</t>
        </is>
      </c>
      <c r="B21" t="inlineStr">
        <is>
          <t>C20</t>
        </is>
      </c>
      <c r="C21" s="11">
        <f>Dashboard!C20</f>
        <v/>
      </c>
      <c r="D21" t="inlineStr">
        <is>
          <t>Opus</t>
        </is>
      </c>
      <c r="E21" t="inlineStr">
        <is>
          <t>4.0%</t>
        </is>
      </c>
      <c r="F21" s="31" t="inlineStr"/>
    </row>
    <row r="22">
      <c r="A22" t="inlineStr">
        <is>
          <t>Services Business — near-term growth</t>
        </is>
      </c>
      <c r="B22" t="inlineStr">
        <is>
          <t>B21</t>
        </is>
      </c>
      <c r="C22" s="11">
        <f>Dashboard!B21</f>
        <v/>
      </c>
      <c r="D22" t="inlineStr">
        <is>
          <t>Opus</t>
        </is>
      </c>
      <c r="E22" t="inlineStr">
        <is>
          <t>-2.0%</t>
        </is>
      </c>
      <c r="F22" s="31" t="inlineStr"/>
    </row>
    <row r="23">
      <c r="A23" t="inlineStr">
        <is>
          <t>Services Business — terminal growth</t>
        </is>
      </c>
      <c r="B23" t="inlineStr">
        <is>
          <t>C21</t>
        </is>
      </c>
      <c r="C23" s="11">
        <f>Dashboard!C21</f>
        <v/>
      </c>
      <c r="D23" t="inlineStr">
        <is>
          <t>Opus</t>
        </is>
      </c>
      <c r="E23" t="inlineStr">
        <is>
          <t>2.5%</t>
        </is>
      </c>
      <c r="F23" s="31" t="inlineStr"/>
    </row>
    <row r="24">
      <c r="A24" t="inlineStr">
        <is>
          <t>Hardware Business — near-term growth</t>
        </is>
      </c>
      <c r="B24" t="inlineStr">
        <is>
          <t>B22</t>
        </is>
      </c>
      <c r="C24" s="11">
        <f>Dashboard!B22</f>
        <v/>
      </c>
      <c r="D24" t="inlineStr">
        <is>
          <t>Opus</t>
        </is>
      </c>
      <c r="E24" t="inlineStr">
        <is>
          <t>-3.0%</t>
        </is>
      </c>
      <c r="F24" s="31" t="inlineStr"/>
    </row>
    <row r="25">
      <c r="A25" t="inlineStr">
        <is>
          <t>Hardware Business — terminal growth</t>
        </is>
      </c>
      <c r="B25" t="inlineStr">
        <is>
          <t>C22</t>
        </is>
      </c>
      <c r="C25" s="11">
        <f>Dashboard!C22</f>
        <v/>
      </c>
      <c r="D25" t="inlineStr">
        <is>
          <t>Opus</t>
        </is>
      </c>
      <c r="E25" t="inlineStr">
        <is>
          <t>2.0%</t>
        </is>
      </c>
      <c r="F25" s="31" t="inlineStr"/>
    </row>
    <row r="26">
      <c r="A26" t="inlineStr">
        <is>
          <t>Near-term operating margin</t>
        </is>
      </c>
      <c r="B26" t="inlineStr">
        <is>
          <t>B29</t>
        </is>
      </c>
      <c r="C26" s="11">
        <f>Dashboard!B29</f>
        <v/>
      </c>
      <c r="D26" t="inlineStr">
        <is>
          <t>Opus</t>
        </is>
      </c>
      <c r="E26" t="inlineStr">
        <is>
          <t>31.0%</t>
        </is>
      </c>
      <c r="F26" s="31" t="inlineStr"/>
    </row>
    <row r="27">
      <c r="A27" t="inlineStr">
        <is>
          <t>Terminal operating margin</t>
        </is>
      </c>
      <c r="B27" t="inlineStr">
        <is>
          <t>B30</t>
        </is>
      </c>
      <c r="C27" s="11">
        <f>Dashboard!B30</f>
        <v/>
      </c>
      <c r="D27" t="inlineStr">
        <is>
          <t>Opus</t>
        </is>
      </c>
      <c r="E27" t="inlineStr">
        <is>
          <t>35.0%</t>
        </is>
      </c>
      <c r="F27" s="31" t="inlineStr"/>
    </row>
    <row r="28">
      <c r="A28" t="inlineStr">
        <is>
          <t>Tax rate</t>
        </is>
      </c>
      <c r="B28" t="inlineStr">
        <is>
          <t>B31</t>
        </is>
      </c>
      <c r="C28" s="11">
        <f>Dashboard!B31</f>
        <v/>
      </c>
      <c r="D28" t="inlineStr">
        <is>
          <t>Opus</t>
        </is>
      </c>
      <c r="E28" t="inlineStr">
        <is>
          <t>20.0%</t>
        </is>
      </c>
      <c r="F28" s="31" t="inlineStr"/>
    </row>
    <row r="29">
      <c r="A29" t="inlineStr">
        <is>
          <t>Terminal capex / D&amp;A</t>
        </is>
      </c>
      <c r="B29" t="inlineStr">
        <is>
          <t>B35</t>
        </is>
      </c>
      <c r="C29" s="13">
        <f>Dashboard!B35</f>
        <v/>
      </c>
      <c r="D29" t="inlineStr">
        <is>
          <t>Opus</t>
        </is>
      </c>
      <c r="E29" t="inlineStr">
        <is>
          <t>1.1x</t>
        </is>
      </c>
      <c r="F29" s="31" t="inlineStr"/>
    </row>
    <row r="30">
      <c r="A30" t="inlineStr">
        <is>
          <t>Risk-free rate (10Y)</t>
        </is>
      </c>
      <c r="B30" t="inlineStr">
        <is>
          <t>B38</t>
        </is>
      </c>
      <c r="C30" s="11">
        <f>Dashboard!B38</f>
        <v/>
      </c>
      <c r="D30" t="inlineStr">
        <is>
          <t>Opus</t>
        </is>
      </c>
      <c r="E30" t="inlineStr">
        <is>
          <t>4.3%</t>
        </is>
      </c>
      <c r="F30" s="31" t="inlineStr"/>
    </row>
    <row r="31">
      <c r="A31" t="inlineStr">
        <is>
          <t>Equity risk premium</t>
        </is>
      </c>
      <c r="B31" t="inlineStr">
        <is>
          <t>B39</t>
        </is>
      </c>
      <c r="C31" s="11">
        <f>Dashboard!B39</f>
        <v/>
      </c>
      <c r="D31" t="inlineStr">
        <is>
          <t>Opus</t>
        </is>
      </c>
      <c r="E31" t="inlineStr">
        <is>
          <t>4.5%</t>
        </is>
      </c>
      <c r="F31" s="31" t="inlineStr"/>
    </row>
    <row r="32">
      <c r="A32" t="inlineStr">
        <is>
          <t>Beta (levered)</t>
        </is>
      </c>
      <c r="B32" t="inlineStr">
        <is>
          <t>B40</t>
        </is>
      </c>
      <c r="C32" s="32">
        <f>Dashboard!B40</f>
        <v/>
      </c>
      <c r="D32" t="inlineStr">
        <is>
          <t>Opus</t>
        </is>
      </c>
      <c r="E32" t="inlineStr">
        <is>
          <t>1.544</t>
        </is>
      </c>
      <c r="F32" s="31" t="inlineStr"/>
    </row>
    <row r="33">
      <c r="A33" t="inlineStr">
        <is>
          <t>Pre-tax cost of debt</t>
        </is>
      </c>
      <c r="B33" t="inlineStr">
        <is>
          <t>B41</t>
        </is>
      </c>
      <c r="C33" s="11">
        <f>Dashboard!B41</f>
        <v/>
      </c>
      <c r="D33" t="inlineStr">
        <is>
          <t>Opus</t>
        </is>
      </c>
      <c r="E33" t="inlineStr">
        <is>
          <t>4.5%</t>
        </is>
      </c>
      <c r="F33" s="31" t="inlineStr"/>
    </row>
    <row r="34">
      <c r="A34" t="inlineStr">
        <is>
          <t>Terminal method</t>
        </is>
      </c>
      <c r="B34" t="inlineStr">
        <is>
          <t>B43</t>
        </is>
      </c>
      <c r="C34" s="12">
        <f>Dashboard!B43</f>
        <v/>
      </c>
      <c r="D34" t="inlineStr">
        <is>
          <t>Opus</t>
        </is>
      </c>
      <c r="E34" t="inlineStr">
        <is>
          <t>Exit multiple</t>
        </is>
      </c>
      <c r="F34" s="31" t="inlineStr"/>
    </row>
    <row r="35">
      <c r="A35" t="inlineStr">
        <is>
          <t>Exit basis</t>
        </is>
      </c>
      <c r="B35" t="inlineStr">
        <is>
          <t>B44</t>
        </is>
      </c>
      <c r="C35" s="12">
        <f>Dashboard!B44</f>
        <v/>
      </c>
      <c r="D35" t="inlineStr">
        <is>
          <t>Opus</t>
        </is>
      </c>
      <c r="E35" t="inlineStr">
        <is>
          <t>EV/EBITDA</t>
        </is>
      </c>
      <c r="F35" s="31" t="inlineStr"/>
    </row>
    <row r="36">
      <c r="A36" t="inlineStr">
        <is>
          <t>Exit multiple</t>
        </is>
      </c>
      <c r="B36" t="inlineStr">
        <is>
          <t>B45</t>
        </is>
      </c>
      <c r="C36" s="13">
        <f>Dashboard!B45</f>
        <v/>
      </c>
      <c r="D36" t="inlineStr">
        <is>
          <t>Opus</t>
        </is>
      </c>
      <c r="E36" t="inlineStr">
        <is>
          <t>13.0x</t>
        </is>
      </c>
      <c r="F36" s="31" t="inlineStr"/>
    </row>
    <row r="37">
      <c r="A37" t="inlineStr">
        <is>
          <t>Terminal growth (g)</t>
        </is>
      </c>
      <c r="B37" t="inlineStr">
        <is>
          <t>B46</t>
        </is>
      </c>
      <c r="C37" s="11">
        <f>Dashboard!B46</f>
        <v/>
      </c>
      <c r="D37" t="inlineStr">
        <is>
          <t>Opus</t>
        </is>
      </c>
      <c r="E37" t="inlineStr">
        <is>
          <t>4.0%</t>
        </is>
      </c>
      <c r="F37" s="31" t="inlineStr"/>
    </row>
    <row r="38">
      <c r="A38" t="inlineStr">
        <is>
          <t>2026 capex ($M)</t>
        </is>
      </c>
      <c r="B38" t="inlineStr">
        <is>
          <t>B34</t>
        </is>
      </c>
      <c r="C38" s="33">
        <f>Dashboard!B34</f>
        <v/>
      </c>
      <c r="D38" t="inlineStr">
        <is>
          <t>Opus</t>
        </is>
      </c>
      <c r="E38" t="inlineStr">
        <is>
          <t>—</t>
        </is>
      </c>
      <c r="F38" s="31" t="inlineStr">
        <is>
          <t>set from Opus 30% of FY1E revenue; edits not tracked (unit differs from the JSON)</t>
        </is>
      </c>
    </row>
    <row r="39">
      <c r="A39" t="inlineStr">
        <is>
          <t>Bull Δ — segment growth, near-term</t>
        </is>
      </c>
      <c r="B39" t="inlineStr">
        <is>
          <t>C52</t>
        </is>
      </c>
      <c r="C39" s="34">
        <f>Dashboard!C52</f>
        <v/>
      </c>
      <c r="D39" t="inlineStr">
        <is>
          <t>seed default</t>
        </is>
      </c>
      <c r="E39" t="inlineStr">
        <is>
          <t>3.0%</t>
        </is>
      </c>
      <c r="F39" s="31" t="inlineStr"/>
    </row>
    <row r="40">
      <c r="A40" t="inlineStr">
        <is>
          <t>Bear Δ — segment growth, near-term</t>
        </is>
      </c>
      <c r="B40" t="inlineStr">
        <is>
          <t>D52</t>
        </is>
      </c>
      <c r="C40" s="34">
        <f>Dashboard!D52</f>
        <v/>
      </c>
      <c r="D40" t="inlineStr">
        <is>
          <t>seed default</t>
        </is>
      </c>
      <c r="E40" t="inlineStr">
        <is>
          <t>-3.0%</t>
        </is>
      </c>
      <c r="F40" s="31" t="inlineStr"/>
    </row>
    <row r="41">
      <c r="A41" t="inlineStr">
        <is>
          <t>Bull Δ — segment growth, terminal</t>
        </is>
      </c>
      <c r="B41" t="inlineStr">
        <is>
          <t>C53</t>
        </is>
      </c>
      <c r="C41" s="34">
        <f>Dashboard!C53</f>
        <v/>
      </c>
      <c r="D41" t="inlineStr">
        <is>
          <t>seed default</t>
        </is>
      </c>
      <c r="E41" t="inlineStr">
        <is>
          <t>1.0%</t>
        </is>
      </c>
      <c r="F41" s="31" t="inlineStr"/>
    </row>
    <row r="42">
      <c r="A42" t="inlineStr">
        <is>
          <t>Bear Δ — segment growth, terminal</t>
        </is>
      </c>
      <c r="B42" t="inlineStr">
        <is>
          <t>D53</t>
        </is>
      </c>
      <c r="C42" s="34">
        <f>Dashboard!D53</f>
        <v/>
      </c>
      <c r="D42" t="inlineStr">
        <is>
          <t>seed default</t>
        </is>
      </c>
      <c r="E42" t="inlineStr">
        <is>
          <t>-1.0%</t>
        </is>
      </c>
      <c r="F42" s="31" t="inlineStr"/>
    </row>
    <row r="43">
      <c r="A43" t="inlineStr">
        <is>
          <t>Bull Δ — operating margin, near-term</t>
        </is>
      </c>
      <c r="B43" t="inlineStr">
        <is>
          <t>C54</t>
        </is>
      </c>
      <c r="C43" s="34">
        <f>Dashboard!C54</f>
        <v/>
      </c>
      <c r="D43" t="inlineStr">
        <is>
          <t>seed default</t>
        </is>
      </c>
      <c r="E43" t="inlineStr">
        <is>
          <t>1.0%</t>
        </is>
      </c>
      <c r="F43" s="31" t="inlineStr"/>
    </row>
    <row r="44">
      <c r="A44" t="inlineStr">
        <is>
          <t>Bear Δ — operating margin, near-term</t>
        </is>
      </c>
      <c r="B44" t="inlineStr">
        <is>
          <t>D54</t>
        </is>
      </c>
      <c r="C44" s="34">
        <f>Dashboard!D54</f>
        <v/>
      </c>
      <c r="D44" t="inlineStr">
        <is>
          <t>seed default</t>
        </is>
      </c>
      <c r="E44" t="inlineStr">
        <is>
          <t>-1.0%</t>
        </is>
      </c>
      <c r="F44" s="31" t="inlineStr"/>
    </row>
    <row r="45">
      <c r="A45" t="inlineStr">
        <is>
          <t>Bull Δ — operating margin, terminal</t>
        </is>
      </c>
      <c r="B45" t="inlineStr">
        <is>
          <t>C55</t>
        </is>
      </c>
      <c r="C45" s="34">
        <f>Dashboard!C55</f>
        <v/>
      </c>
      <c r="D45" t="inlineStr">
        <is>
          <t>seed default</t>
        </is>
      </c>
      <c r="E45" t="inlineStr">
        <is>
          <t>2.0%</t>
        </is>
      </c>
      <c r="F45" s="31" t="inlineStr"/>
    </row>
    <row r="46">
      <c r="A46" t="inlineStr">
        <is>
          <t>Bear Δ — operating margin, terminal</t>
        </is>
      </c>
      <c r="B46" t="inlineStr">
        <is>
          <t>D55</t>
        </is>
      </c>
      <c r="C46" s="34">
        <f>Dashboard!D55</f>
        <v/>
      </c>
      <c r="D46" t="inlineStr">
        <is>
          <t>seed default</t>
        </is>
      </c>
      <c r="E46" t="inlineStr">
        <is>
          <t>-2.0%</t>
        </is>
      </c>
      <c r="F46" s="31" t="inlineStr"/>
    </row>
    <row r="47">
      <c r="A47" t="inlineStr">
        <is>
          <t>Bull Δ — exit multiple</t>
        </is>
      </c>
      <c r="B47" t="inlineStr">
        <is>
          <t>C56</t>
        </is>
      </c>
      <c r="C47" s="35">
        <f>Dashboard!C56</f>
        <v/>
      </c>
      <c r="D47" t="inlineStr">
        <is>
          <t>seed default</t>
        </is>
      </c>
      <c r="E47" t="inlineStr">
        <is>
          <t>2.0x</t>
        </is>
      </c>
      <c r="F47" s="31" t="inlineStr"/>
    </row>
    <row r="48">
      <c r="A48" t="inlineStr">
        <is>
          <t>Bear Δ — exit multiple</t>
        </is>
      </c>
      <c r="B48" t="inlineStr">
        <is>
          <t>D56</t>
        </is>
      </c>
      <c r="C48" s="35">
        <f>Dashboard!D56</f>
        <v/>
      </c>
      <c r="D48" t="inlineStr">
        <is>
          <t>seed default</t>
        </is>
      </c>
      <c r="E48" t="inlineStr">
        <is>
          <t>-2.0x</t>
        </is>
      </c>
      <c r="F48" s="31" t="inlineStr"/>
    </row>
    <row r="49">
      <c r="A49" t="inlineStr">
        <is>
          <t>Bull Δ — terminal growth (g)</t>
        </is>
      </c>
      <c r="B49" t="inlineStr">
        <is>
          <t>C57</t>
        </is>
      </c>
      <c r="C49" s="34">
        <f>Dashboard!C57</f>
        <v/>
      </c>
      <c r="D49" t="inlineStr">
        <is>
          <t>seed default</t>
        </is>
      </c>
      <c r="E49" t="inlineStr">
        <is>
          <t>0.5%</t>
        </is>
      </c>
      <c r="F49" s="31" t="inlineStr"/>
    </row>
    <row r="50">
      <c r="A50" t="inlineStr">
        <is>
          <t>Bear Δ — terminal growth (g)</t>
        </is>
      </c>
      <c r="B50" t="inlineStr">
        <is>
          <t>D57</t>
        </is>
      </c>
      <c r="C50" s="34">
        <f>Dashboard!D57</f>
        <v/>
      </c>
      <c r="D50" t="inlineStr">
        <is>
          <t>seed default</t>
        </is>
      </c>
      <c r="E50" t="inlineStr">
        <is>
          <t>-0.5%</t>
        </is>
      </c>
      <c r="F50" s="31" t="inlineStr"/>
    </row>
  </sheetData>
  <mergeCells count="2">
    <mergeCell ref="A13:F16"/>
    <mergeCell ref="A7:F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36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37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11">
        <f>Dashboard!$B$38</f>
        <v/>
      </c>
    </row>
    <row r="3">
      <c r="A3" s="4" t="inlineStr">
        <is>
          <t>Equity risk premium</t>
        </is>
      </c>
      <c r="B3" s="11">
        <f>Dashboard!$B$39</f>
        <v/>
      </c>
    </row>
    <row r="4">
      <c r="A4" s="4" t="inlineStr">
        <is>
          <t>Beta (levered)</t>
        </is>
      </c>
      <c r="B4" s="32">
        <f>Dashboard!$B$40</f>
        <v/>
      </c>
    </row>
    <row r="5">
      <c r="A5" s="4" t="inlineStr">
        <is>
          <t>Country risk premium</t>
        </is>
      </c>
      <c r="B5" s="11">
        <f>Dashboard!$B$47</f>
        <v/>
      </c>
    </row>
    <row r="6">
      <c r="A6" s="4" t="inlineStr">
        <is>
          <t>Cost of equity (CAPM)</t>
        </is>
      </c>
      <c r="B6" s="25">
        <f>B2+B4*B3+B5</f>
        <v/>
      </c>
    </row>
    <row r="7">
      <c r="A7" s="4" t="inlineStr">
        <is>
          <t>Pre-tax cost of debt</t>
        </is>
      </c>
      <c r="B7" s="11">
        <f>Dashboard!$B$41</f>
        <v/>
      </c>
    </row>
    <row r="8">
      <c r="A8" s="4" t="inlineStr">
        <is>
          <t>Tax rate</t>
        </is>
      </c>
      <c r="B8" s="11">
        <f>Dashboard!$B$31</f>
        <v/>
      </c>
    </row>
    <row r="9">
      <c r="A9" s="4" t="inlineStr">
        <is>
          <t>After-tax cost of debt</t>
        </is>
      </c>
      <c r="B9" s="25">
        <f>B7*(1-B8)</f>
        <v/>
      </c>
    </row>
    <row r="10">
      <c r="A10" s="4" t="inlineStr">
        <is>
          <t>Market cap (E)</t>
        </is>
      </c>
      <c r="B10" s="33">
        <f>Dashboard!$B$48*Financials!AC17</f>
        <v/>
      </c>
    </row>
    <row r="11">
      <c r="A11" s="4" t="inlineStr">
        <is>
          <t>Total debt (D)</t>
        </is>
      </c>
      <c r="B11" s="33">
        <f>Financials!AC44</f>
        <v/>
      </c>
    </row>
    <row r="12">
      <c r="A12" s="4" t="inlineStr">
        <is>
          <t>Equity weight</t>
        </is>
      </c>
      <c r="B12" s="25">
        <f>B10/(B10+B11)</f>
        <v/>
      </c>
    </row>
    <row r="13">
      <c r="A13" s="4" t="inlineStr">
        <is>
          <t>Debt weight</t>
        </is>
      </c>
      <c r="B13" s="25">
        <f>B11/(B10+B11)</f>
        <v/>
      </c>
    </row>
    <row r="15">
      <c r="A15" s="3" t="inlineStr">
        <is>
          <t>WACC</t>
        </is>
      </c>
      <c r="B15" s="38">
        <f>B12*B6+B13*B9</f>
        <v/>
      </c>
    </row>
    <row r="17">
      <c r="A17" s="2" t="inlineStr">
        <is>
          <t>Yellow = edit. CAPM cost of equity (incl. country risk premium); market-value weights. Feeds Valuation!WACC.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$M unless noted</t>
        </is>
      </c>
      <c r="B1" s="39" t="inlineStr">
        <is>
          <t>FY2021A</t>
        </is>
      </c>
      <c r="C1" s="39" t="inlineStr">
        <is>
          <t>FY2022A</t>
        </is>
      </c>
      <c r="D1" s="39" t="inlineStr">
        <is>
          <t>FY2023A</t>
        </is>
      </c>
      <c r="E1" s="39" t="inlineStr">
        <is>
          <t>FY2024A</t>
        </is>
      </c>
      <c r="F1" s="39" t="inlineStr">
        <is>
          <t>FY2025A</t>
        </is>
      </c>
      <c r="G1" s="40" t="inlineStr">
        <is>
          <t>FY2026E</t>
        </is>
      </c>
      <c r="H1" s="40" t="inlineStr">
        <is>
          <t>FY2027E</t>
        </is>
      </c>
      <c r="I1" s="40" t="inlineStr">
        <is>
          <t>FY2028E</t>
        </is>
      </c>
      <c r="J1" s="40" t="inlineStr">
        <is>
          <t>FY2029E</t>
        </is>
      </c>
      <c r="K1" s="40" t="inlineStr">
        <is>
          <t>FY2030E</t>
        </is>
      </c>
      <c r="L1" s="40" t="inlineStr">
        <is>
          <t>FY2031E</t>
        </is>
      </c>
      <c r="M1" s="40" t="inlineStr">
        <is>
          <t>FY2032E</t>
        </is>
      </c>
      <c r="N1" s="40" t="inlineStr">
        <is>
          <t>FY2033E</t>
        </is>
      </c>
      <c r="O1" s="40" t="inlineStr">
        <is>
          <t>FY2034E</t>
        </is>
      </c>
      <c r="P1" s="40" t="inlineStr">
        <is>
          <t>FY2035E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4" t="inlineStr">
        <is>
          <t>Cloud And License Business</t>
        </is>
      </c>
      <c r="B4" s="33">
        <f>SUM(Financials!G19:J19)</f>
        <v/>
      </c>
      <c r="C4" s="33">
        <f>SUM(Financials!K19:N19)</f>
        <v/>
      </c>
      <c r="D4" s="33">
        <f>SUM(Financials!O19:R19)</f>
        <v/>
      </c>
      <c r="E4" s="33">
        <f>SUM(Financials!S19:V19)</f>
        <v/>
      </c>
      <c r="F4" s="33">
        <f>SUM(Financials!W19:Z19)</f>
        <v/>
      </c>
      <c r="G4" s="41">
        <f>F4*(1+G5)</f>
        <v/>
      </c>
      <c r="H4" s="41">
        <f>G4*(1+H5)</f>
        <v/>
      </c>
      <c r="I4" s="41">
        <f>H4*(1+I5)</f>
        <v/>
      </c>
      <c r="J4" s="41">
        <f>I4*(1+J5)</f>
        <v/>
      </c>
      <c r="K4" s="41">
        <f>J4*(1+K5)</f>
        <v/>
      </c>
      <c r="L4" s="41">
        <f>K4*(1+L5)</f>
        <v/>
      </c>
      <c r="M4" s="41">
        <f>L4*(1+M5)</f>
        <v/>
      </c>
      <c r="N4" s="41">
        <f>M4*(1+N5)</f>
        <v/>
      </c>
      <c r="O4" s="41">
        <f>N4*(1+O5)</f>
        <v/>
      </c>
      <c r="P4" s="41">
        <f>O4*(1+P5)</f>
        <v/>
      </c>
    </row>
    <row r="5">
      <c r="A5" s="4" t="inlineStr">
        <is>
          <t xml:space="preserve">    growth % (convex fade; curvature from Dashboard)</t>
        </is>
      </c>
      <c r="C5" s="25">
        <f>IFERROR(C4/B4-1,"")</f>
        <v/>
      </c>
      <c r="D5" s="25">
        <f>IFERROR(D4/C4-1,"")</f>
        <v/>
      </c>
      <c r="E5" s="25">
        <f>IFERROR(E4/D4-1,"")</f>
        <v/>
      </c>
      <c r="F5" s="25">
        <f>IFERROR(F4/E4-1,"")</f>
        <v/>
      </c>
      <c r="G5" s="11">
        <f>Dashboard!$C$20+(Dashboard!$B$20-Dashboard!$C$20)*((9-0)/9)^Dashboard!$B$49</f>
        <v/>
      </c>
      <c r="H5" s="11">
        <f>Dashboard!$C$20+(Dashboard!$B$20-Dashboard!$C$20)*((9-1)/9)^Dashboard!$B$49</f>
        <v/>
      </c>
      <c r="I5" s="11">
        <f>Dashboard!$C$20+(Dashboard!$B$20-Dashboard!$C$20)*((9-2)/9)^Dashboard!$B$49</f>
        <v/>
      </c>
      <c r="J5" s="11">
        <f>Dashboard!$C$20+(Dashboard!$B$20-Dashboard!$C$20)*((9-3)/9)^Dashboard!$B$49</f>
        <v/>
      </c>
      <c r="K5" s="11">
        <f>Dashboard!$C$20+(Dashboard!$B$20-Dashboard!$C$20)*((9-4)/9)^Dashboard!$B$49</f>
        <v/>
      </c>
      <c r="L5" s="11">
        <f>Dashboard!$C$20+(Dashboard!$B$20-Dashboard!$C$20)*((9-5)/9)^Dashboard!$B$49</f>
        <v/>
      </c>
      <c r="M5" s="11">
        <f>Dashboard!$C$20+(Dashboard!$B$20-Dashboard!$C$20)*((9-6)/9)^Dashboard!$B$49</f>
        <v/>
      </c>
      <c r="N5" s="11">
        <f>Dashboard!$C$20+(Dashboard!$B$20-Dashboard!$C$20)*((9-7)/9)^Dashboard!$B$49</f>
        <v/>
      </c>
      <c r="O5" s="11">
        <f>Dashboard!$C$20+(Dashboard!$B$20-Dashboard!$C$20)*((9-8)/9)^Dashboard!$B$49</f>
        <v/>
      </c>
      <c r="P5" s="11">
        <f>Dashboard!$C$20+(Dashboard!$B$20-Dashboard!$C$20)*((9-9)/9)^Dashboard!$B$49</f>
        <v/>
      </c>
    </row>
    <row r="6">
      <c r="A6" s="4" t="inlineStr">
        <is>
          <t>Services Business</t>
        </is>
      </c>
      <c r="B6" s="33">
        <f>SUM(Financials!G22:J22)</f>
        <v/>
      </c>
      <c r="C6" s="33">
        <f>SUM(Financials!K22:N22)</f>
        <v/>
      </c>
      <c r="D6" s="33">
        <f>SUM(Financials!O22:R22)</f>
        <v/>
      </c>
      <c r="E6" s="33">
        <f>SUM(Financials!S22:V22)</f>
        <v/>
      </c>
      <c r="F6" s="33">
        <f>SUM(Financials!W22:Z22)</f>
        <v/>
      </c>
      <c r="G6" s="41">
        <f>F6*(1+G7)</f>
        <v/>
      </c>
      <c r="H6" s="41">
        <f>G6*(1+H7)</f>
        <v/>
      </c>
      <c r="I6" s="41">
        <f>H6*(1+I7)</f>
        <v/>
      </c>
      <c r="J6" s="41">
        <f>I6*(1+J7)</f>
        <v/>
      </c>
      <c r="K6" s="41">
        <f>J6*(1+K7)</f>
        <v/>
      </c>
      <c r="L6" s="41">
        <f>K6*(1+L7)</f>
        <v/>
      </c>
      <c r="M6" s="41">
        <f>L6*(1+M7)</f>
        <v/>
      </c>
      <c r="N6" s="41">
        <f>M6*(1+N7)</f>
        <v/>
      </c>
      <c r="O6" s="41">
        <f>N6*(1+O7)</f>
        <v/>
      </c>
      <c r="P6" s="41">
        <f>O6*(1+P7)</f>
        <v/>
      </c>
    </row>
    <row r="7">
      <c r="A7" s="4" t="inlineStr">
        <is>
          <t xml:space="preserve">    growth % (convex fade; curvature from Dashboard)</t>
        </is>
      </c>
      <c r="C7" s="25">
        <f>IFERROR(C6/B6-1,"")</f>
        <v/>
      </c>
      <c r="D7" s="25">
        <f>IFERROR(D6/C6-1,"")</f>
        <v/>
      </c>
      <c r="E7" s="25">
        <f>IFERROR(E6/D6-1,"")</f>
        <v/>
      </c>
      <c r="F7" s="25">
        <f>IFERROR(F6/E6-1,"")</f>
        <v/>
      </c>
      <c r="G7" s="11">
        <f>Dashboard!$C$21+(Dashboard!$B$21-Dashboard!$C$21)*((9-0)/9)^Dashboard!$B$49</f>
        <v/>
      </c>
      <c r="H7" s="11">
        <f>Dashboard!$C$21+(Dashboard!$B$21-Dashboard!$C$21)*((9-1)/9)^Dashboard!$B$49</f>
        <v/>
      </c>
      <c r="I7" s="11">
        <f>Dashboard!$C$21+(Dashboard!$B$21-Dashboard!$C$21)*((9-2)/9)^Dashboard!$B$49</f>
        <v/>
      </c>
      <c r="J7" s="11">
        <f>Dashboard!$C$21+(Dashboard!$B$21-Dashboard!$C$21)*((9-3)/9)^Dashboard!$B$49</f>
        <v/>
      </c>
      <c r="K7" s="11">
        <f>Dashboard!$C$21+(Dashboard!$B$21-Dashboard!$C$21)*((9-4)/9)^Dashboard!$B$49</f>
        <v/>
      </c>
      <c r="L7" s="11">
        <f>Dashboard!$C$21+(Dashboard!$B$21-Dashboard!$C$21)*((9-5)/9)^Dashboard!$B$49</f>
        <v/>
      </c>
      <c r="M7" s="11">
        <f>Dashboard!$C$21+(Dashboard!$B$21-Dashboard!$C$21)*((9-6)/9)^Dashboard!$B$49</f>
        <v/>
      </c>
      <c r="N7" s="11">
        <f>Dashboard!$C$21+(Dashboard!$B$21-Dashboard!$C$21)*((9-7)/9)^Dashboard!$B$49</f>
        <v/>
      </c>
      <c r="O7" s="11">
        <f>Dashboard!$C$21+(Dashboard!$B$21-Dashboard!$C$21)*((9-8)/9)^Dashboard!$B$49</f>
        <v/>
      </c>
      <c r="P7" s="11">
        <f>Dashboard!$C$21+(Dashboard!$B$21-Dashboard!$C$21)*((9-9)/9)^Dashboard!$B$49</f>
        <v/>
      </c>
    </row>
    <row r="8">
      <c r="A8" s="4" t="inlineStr">
        <is>
          <t>Hardware Business</t>
        </is>
      </c>
      <c r="B8" s="33">
        <f>SUM(Financials!G25:J25)</f>
        <v/>
      </c>
      <c r="C8" s="33">
        <f>SUM(Financials!K25:N25)</f>
        <v/>
      </c>
      <c r="D8" s="33">
        <f>SUM(Financials!O25:R25)</f>
        <v/>
      </c>
      <c r="E8" s="33">
        <f>SUM(Financials!S25:V25)</f>
        <v/>
      </c>
      <c r="F8" s="33">
        <f>SUM(Financials!W25:Z25)</f>
        <v/>
      </c>
      <c r="G8" s="41">
        <f>F8*(1+G9)</f>
        <v/>
      </c>
      <c r="H8" s="41">
        <f>G8*(1+H9)</f>
        <v/>
      </c>
      <c r="I8" s="41">
        <f>H8*(1+I9)</f>
        <v/>
      </c>
      <c r="J8" s="41">
        <f>I8*(1+J9)</f>
        <v/>
      </c>
      <c r="K8" s="41">
        <f>J8*(1+K9)</f>
        <v/>
      </c>
      <c r="L8" s="41">
        <f>K8*(1+L9)</f>
        <v/>
      </c>
      <c r="M8" s="41">
        <f>L8*(1+M9)</f>
        <v/>
      </c>
      <c r="N8" s="41">
        <f>M8*(1+N9)</f>
        <v/>
      </c>
      <c r="O8" s="41">
        <f>N8*(1+O9)</f>
        <v/>
      </c>
      <c r="P8" s="41">
        <f>O8*(1+P9)</f>
        <v/>
      </c>
    </row>
    <row r="9">
      <c r="A9" s="4" t="inlineStr">
        <is>
          <t xml:space="preserve">    growth % (convex fade; curvature from Dashboard)</t>
        </is>
      </c>
      <c r="C9" s="25">
        <f>IFERROR(C8/B8-1,"")</f>
        <v/>
      </c>
      <c r="D9" s="25">
        <f>IFERROR(D8/C8-1,"")</f>
        <v/>
      </c>
      <c r="E9" s="25">
        <f>IFERROR(E8/D8-1,"")</f>
        <v/>
      </c>
      <c r="F9" s="25">
        <f>IFERROR(F8/E8-1,"")</f>
        <v/>
      </c>
      <c r="G9" s="11">
        <f>Dashboard!$C$22+(Dashboard!$B$22-Dashboard!$C$22)*((9-0)/9)^Dashboard!$B$49</f>
        <v/>
      </c>
      <c r="H9" s="11">
        <f>Dashboard!$C$22+(Dashboard!$B$22-Dashboard!$C$22)*((9-1)/9)^Dashboard!$B$49</f>
        <v/>
      </c>
      <c r="I9" s="11">
        <f>Dashboard!$C$22+(Dashboard!$B$22-Dashboard!$C$22)*((9-2)/9)^Dashboard!$B$49</f>
        <v/>
      </c>
      <c r="J9" s="11">
        <f>Dashboard!$C$22+(Dashboard!$B$22-Dashboard!$C$22)*((9-3)/9)^Dashboard!$B$49</f>
        <v/>
      </c>
      <c r="K9" s="11">
        <f>Dashboard!$C$22+(Dashboard!$B$22-Dashboard!$C$22)*((9-4)/9)^Dashboard!$B$49</f>
        <v/>
      </c>
      <c r="L9" s="11">
        <f>Dashboard!$C$22+(Dashboard!$B$22-Dashboard!$C$22)*((9-5)/9)^Dashboard!$B$49</f>
        <v/>
      </c>
      <c r="M9" s="11">
        <f>Dashboard!$C$22+(Dashboard!$B$22-Dashboard!$C$22)*((9-6)/9)^Dashboard!$B$49</f>
        <v/>
      </c>
      <c r="N9" s="11">
        <f>Dashboard!$C$22+(Dashboard!$B$22-Dashboard!$C$22)*((9-7)/9)^Dashboard!$B$49</f>
        <v/>
      </c>
      <c r="O9" s="11">
        <f>Dashboard!$C$22+(Dashboard!$B$22-Dashboard!$C$22)*((9-8)/9)^Dashboard!$B$49</f>
        <v/>
      </c>
      <c r="P9" s="11">
        <f>Dashboard!$C$22+(Dashboard!$B$22-Dashboard!$C$22)*((9-9)/9)^Dashboard!$B$49</f>
        <v/>
      </c>
    </row>
    <row r="10">
      <c r="A10" s="3" t="inlineStr">
        <is>
          <t>Total revenue</t>
        </is>
      </c>
      <c r="B10" s="42">
        <f>B4+B6+B8</f>
        <v/>
      </c>
      <c r="C10" s="42">
        <f>C4+C6+C8</f>
        <v/>
      </c>
      <c r="D10" s="42">
        <f>D4+D6+D8</f>
        <v/>
      </c>
      <c r="E10" s="42">
        <f>E4+E6+E8</f>
        <v/>
      </c>
      <c r="F10" s="42">
        <f>F4+F6+F8</f>
        <v/>
      </c>
      <c r="G10" s="42">
        <f>G4+G6+G8</f>
        <v/>
      </c>
      <c r="H10" s="42">
        <f>H4+H6+H8</f>
        <v/>
      </c>
      <c r="I10" s="42">
        <f>I4+I6+I8</f>
        <v/>
      </c>
      <c r="J10" s="42">
        <f>J4+J6+J8</f>
        <v/>
      </c>
      <c r="K10" s="42">
        <f>K4+K6+K8</f>
        <v/>
      </c>
      <c r="L10" s="42">
        <f>L4+L6+L8</f>
        <v/>
      </c>
      <c r="M10" s="42">
        <f>M4+M6+M8</f>
        <v/>
      </c>
      <c r="N10" s="42">
        <f>N4+N6+N8</f>
        <v/>
      </c>
      <c r="O10" s="42">
        <f>O4+O6+O8</f>
        <v/>
      </c>
      <c r="P10" s="42">
        <f>P4+P6+P8</f>
        <v/>
      </c>
    </row>
    <row r="11">
      <c r="A11" s="4" t="inlineStr">
        <is>
          <t xml:space="preserve">    growth %</t>
        </is>
      </c>
      <c r="C11" s="25">
        <f>IFERROR(C10/B10-1,"")</f>
        <v/>
      </c>
      <c r="D11" s="25">
        <f>IFERROR(D10/C10-1,"")</f>
        <v/>
      </c>
      <c r="E11" s="25">
        <f>IFERROR(E10/D10-1,"")</f>
        <v/>
      </c>
      <c r="F11" s="25">
        <f>IFERROR(F10/E10-1,"")</f>
        <v/>
      </c>
      <c r="G11" s="25">
        <f>IFERROR(G10/F10-1,"")</f>
        <v/>
      </c>
      <c r="H11" s="25">
        <f>IFERROR(H10/G10-1,"")</f>
        <v/>
      </c>
      <c r="I11" s="25">
        <f>IFERROR(I10/H10-1,"")</f>
        <v/>
      </c>
      <c r="J11" s="25">
        <f>IFERROR(J10/I10-1,"")</f>
        <v/>
      </c>
      <c r="K11" s="25">
        <f>IFERROR(K10/J10-1,"")</f>
        <v/>
      </c>
      <c r="L11" s="25">
        <f>IFERROR(L10/K10-1,"")</f>
        <v/>
      </c>
      <c r="M11" s="25">
        <f>IFERROR(M10/L10-1,"")</f>
        <v/>
      </c>
      <c r="N11" s="25">
        <f>IFERROR(N10/M10-1,"")</f>
        <v/>
      </c>
      <c r="O11" s="25">
        <f>IFERROR(O10/N10-1,"")</f>
        <v/>
      </c>
      <c r="P11" s="25">
        <f>IFERROR(P10/O10-1,"")</f>
        <v/>
      </c>
    </row>
    <row r="13">
      <c r="A13" s="5" t="inlineStr">
        <is>
          <t xml:space="preserve">  COST STRUCTURE (yellow = % of revenue)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</row>
    <row r="14">
      <c r="A14" s="4" t="inlineStr">
        <is>
          <t>Cost of revenue</t>
        </is>
      </c>
      <c r="B14" s="33">
        <f>SUM(Financials!G5:J5)</f>
        <v/>
      </c>
      <c r="C14" s="33">
        <f>SUM(Financials!K5:N5)</f>
        <v/>
      </c>
      <c r="D14" s="33">
        <f>SUM(Financials!O5:R5)</f>
        <v/>
      </c>
      <c r="E14" s="33">
        <f>SUM(Financials!S5:V5)</f>
        <v/>
      </c>
      <c r="F14" s="33">
        <f>SUM(Financials!W5:Z5)</f>
        <v/>
      </c>
      <c r="G14" s="41">
        <f>G10*G15</f>
        <v/>
      </c>
      <c r="H14" s="41">
        <f>H10*H15</f>
        <v/>
      </c>
      <c r="I14" s="41">
        <f>I10*I15</f>
        <v/>
      </c>
      <c r="J14" s="41">
        <f>J10*J15</f>
        <v/>
      </c>
      <c r="K14" s="41">
        <f>K10*K15</f>
        <v/>
      </c>
      <c r="L14" s="41">
        <f>L10*L15</f>
        <v/>
      </c>
      <c r="M14" s="41">
        <f>M10*M15</f>
        <v/>
      </c>
      <c r="N14" s="41">
        <f>N10*N15</f>
        <v/>
      </c>
      <c r="O14" s="41">
        <f>O10*O15</f>
        <v/>
      </c>
      <c r="P14" s="41">
        <f>P10*P15</f>
        <v/>
      </c>
    </row>
    <row r="15">
      <c r="A15" s="4" t="inlineStr">
        <is>
          <t xml:space="preserve">    % of revenue</t>
        </is>
      </c>
      <c r="B15" s="25">
        <f>IFERROR(B14/B10,"")</f>
        <v/>
      </c>
      <c r="C15" s="25">
        <f>IFERROR(C14/C10,"")</f>
        <v/>
      </c>
      <c r="D15" s="25">
        <f>IFERROR(D14/D10,"")</f>
        <v/>
      </c>
      <c r="E15" s="25">
        <f>IFERROR(E14/E10,"")</f>
        <v/>
      </c>
      <c r="F15" s="25">
        <f>IFERROR(F14/F10,"")</f>
        <v/>
      </c>
      <c r="G15" s="15" t="n">
        <v>0.2948831861182251</v>
      </c>
      <c r="H15" s="15" t="n">
        <v>0.2948831861182251</v>
      </c>
      <c r="I15" s="15" t="n">
        <v>0.2948831861182251</v>
      </c>
      <c r="J15" s="15" t="n">
        <v>0.2948831861182251</v>
      </c>
      <c r="K15" s="15" t="n">
        <v>0.2948831861182251</v>
      </c>
      <c r="L15" s="15" t="n">
        <v>0.2948831861182251</v>
      </c>
      <c r="M15" s="15" t="n">
        <v>0.2948831861182251</v>
      </c>
      <c r="N15" s="15" t="n">
        <v>0.2948831861182251</v>
      </c>
      <c r="O15" s="15" t="n">
        <v>0.2948831861182251</v>
      </c>
      <c r="P15" s="15" t="n">
        <v>0.2948831861182251</v>
      </c>
    </row>
    <row r="16">
      <c r="A16" s="4" t="inlineStr">
        <is>
          <t>R&amp;D / Technology</t>
        </is>
      </c>
      <c r="B16" s="33">
        <f>SUM(Financials!G7:J7)</f>
        <v/>
      </c>
      <c r="C16" s="33">
        <f>SUM(Financials!K7:N7)</f>
        <v/>
      </c>
      <c r="D16" s="33">
        <f>SUM(Financials!O7:R7)</f>
        <v/>
      </c>
      <c r="E16" s="33">
        <f>SUM(Financials!S7:V7)</f>
        <v/>
      </c>
      <c r="F16" s="33">
        <f>SUM(Financials!W7:Z7)</f>
        <v/>
      </c>
      <c r="G16" s="41">
        <f>G10*G17</f>
        <v/>
      </c>
      <c r="H16" s="41">
        <f>H10*H17</f>
        <v/>
      </c>
      <c r="I16" s="41">
        <f>I10*I17</f>
        <v/>
      </c>
      <c r="J16" s="41">
        <f>J10*J17</f>
        <v/>
      </c>
      <c r="K16" s="41">
        <f>K10*K17</f>
        <v/>
      </c>
      <c r="L16" s="41">
        <f>L10*L17</f>
        <v/>
      </c>
      <c r="M16" s="41">
        <f>M10*M17</f>
        <v/>
      </c>
      <c r="N16" s="41">
        <f>N10*N17</f>
        <v/>
      </c>
      <c r="O16" s="41">
        <f>O10*O17</f>
        <v/>
      </c>
      <c r="P16" s="41">
        <f>P10*P17</f>
        <v/>
      </c>
    </row>
    <row r="17">
      <c r="A17" s="4" t="inlineStr">
        <is>
          <t xml:space="preserve">    % of revenue</t>
        </is>
      </c>
      <c r="B17" s="25">
        <f>IFERROR(B16/B10,"")</f>
        <v/>
      </c>
      <c r="C17" s="25">
        <f>IFERROR(C16/C10,"")</f>
        <v/>
      </c>
      <c r="D17" s="25">
        <f>IFERROR(D16/D10,"")</f>
        <v/>
      </c>
      <c r="E17" s="25">
        <f>IFERROR(E16/E10,"")</f>
        <v/>
      </c>
      <c r="F17" s="25">
        <f>IFERROR(F16/F10,"")</f>
        <v/>
      </c>
      <c r="G17" s="15" t="n">
        <v>0.1717799961671806</v>
      </c>
      <c r="H17" s="15" t="n">
        <v>0.1717799961671806</v>
      </c>
      <c r="I17" s="15" t="n">
        <v>0.1717799961671806</v>
      </c>
      <c r="J17" s="15" t="n">
        <v>0.1717799961671806</v>
      </c>
      <c r="K17" s="15" t="n">
        <v>0.1717799961671806</v>
      </c>
      <c r="L17" s="15" t="n">
        <v>0.1717799961671806</v>
      </c>
      <c r="M17" s="15" t="n">
        <v>0.1717799961671806</v>
      </c>
      <c r="N17" s="15" t="n">
        <v>0.1717799961671806</v>
      </c>
      <c r="O17" s="15" t="n">
        <v>0.1717799961671806</v>
      </c>
      <c r="P17" s="15" t="n">
        <v>0.1717799961671806</v>
      </c>
    </row>
    <row r="18">
      <c r="A18" s="4" t="inlineStr">
        <is>
          <t>SG&amp;A</t>
        </is>
      </c>
      <c r="B18" s="33">
        <f>SUM(Financials!G9:J9)</f>
        <v/>
      </c>
      <c r="C18" s="33">
        <f>SUM(Financials!K9:N9)</f>
        <v/>
      </c>
      <c r="D18" s="33">
        <f>SUM(Financials!O9:R9)</f>
        <v/>
      </c>
      <c r="E18" s="33">
        <f>SUM(Financials!S9:V9)</f>
        <v/>
      </c>
      <c r="F18" s="33">
        <f>SUM(Financials!W9:Z9)</f>
        <v/>
      </c>
      <c r="G18" s="41">
        <f>G10*G19</f>
        <v/>
      </c>
      <c r="H18" s="41">
        <f>H10*H19</f>
        <v/>
      </c>
      <c r="I18" s="41">
        <f>I10*I19</f>
        <v/>
      </c>
      <c r="J18" s="41">
        <f>J10*J19</f>
        <v/>
      </c>
      <c r="K18" s="41">
        <f>K10*K19</f>
        <v/>
      </c>
      <c r="L18" s="41">
        <f>L10*L19</f>
        <v/>
      </c>
      <c r="M18" s="41">
        <f>M10*M19</f>
        <v/>
      </c>
      <c r="N18" s="41">
        <f>N10*N19</f>
        <v/>
      </c>
      <c r="O18" s="41">
        <f>O10*O19</f>
        <v/>
      </c>
      <c r="P18" s="41">
        <f>P10*P19</f>
        <v/>
      </c>
    </row>
    <row r="19">
      <c r="A19" s="4" t="inlineStr">
        <is>
          <t xml:space="preserve">    % of revenue</t>
        </is>
      </c>
      <c r="B19" s="25">
        <f>IFERROR(B18/B10,"")</f>
        <v/>
      </c>
      <c r="C19" s="25">
        <f>IFERROR(C18/C10,"")</f>
        <v/>
      </c>
      <c r="D19" s="25">
        <f>IFERROR(D18/D10,"")</f>
        <v/>
      </c>
      <c r="E19" s="25">
        <f>IFERROR(E18/E10,"")</f>
        <v/>
      </c>
      <c r="F19" s="25">
        <f>IFERROR(F18/F10,"")</f>
        <v/>
      </c>
      <c r="G19" s="15" t="n">
        <v>0.1786268053450409</v>
      </c>
      <c r="H19" s="15" t="n">
        <v>0.1786268053450409</v>
      </c>
      <c r="I19" s="15" t="n">
        <v>0.1786268053450409</v>
      </c>
      <c r="J19" s="15" t="n">
        <v>0.1786268053450409</v>
      </c>
      <c r="K19" s="15" t="n">
        <v>0.1786268053450409</v>
      </c>
      <c r="L19" s="15" t="n">
        <v>0.1786268053450409</v>
      </c>
      <c r="M19" s="15" t="n">
        <v>0.1786268053450409</v>
      </c>
      <c r="N19" s="15" t="n">
        <v>0.1786268053450409</v>
      </c>
      <c r="O19" s="15" t="n">
        <v>0.1786268053450409</v>
      </c>
      <c r="P19" s="15" t="n">
        <v>0.1786268053450409</v>
      </c>
    </row>
    <row r="20">
      <c r="A20" s="4" t="inlineStr">
        <is>
          <t>Other opex (fulfilment, etc.)</t>
        </is>
      </c>
      <c r="B20" s="33">
        <f>B10-(B14+B16+B18)-SUM(Financials!G13:J13)</f>
        <v/>
      </c>
      <c r="C20" s="33">
        <f>C10-(C14+C16+C18)-SUM(Financials!K13:N13)</f>
        <v/>
      </c>
      <c r="D20" s="33">
        <f>D10-(D14+D16+D18)-SUM(Financials!O13:R13)</f>
        <v/>
      </c>
      <c r="E20" s="33">
        <f>E10-(E14+E16+E18)-SUM(Financials!S13:V13)</f>
        <v/>
      </c>
      <c r="F20" s="33">
        <f>F10-(F14+F16+F18)-SUM(Financials!W13:Z13)</f>
        <v/>
      </c>
      <c r="G20" s="33">
        <f>G10*(1-(Dashboard!$B$29+(Dashboard!$B$30-Dashboard!$B$29)*MIN(1,0/4)))-(G14+G16+G18)</f>
        <v/>
      </c>
      <c r="H20" s="33">
        <f>H10*(1-(Dashboard!$B$29+(Dashboard!$B$30-Dashboard!$B$29)*MIN(1,1/4)))-(H14+H16+H18)</f>
        <v/>
      </c>
      <c r="I20" s="33">
        <f>I10*(1-(Dashboard!$B$29+(Dashboard!$B$30-Dashboard!$B$29)*MIN(1,2/4)))-(I14+I16+I18)</f>
        <v/>
      </c>
      <c r="J20" s="33">
        <f>J10*(1-(Dashboard!$B$29+(Dashboard!$B$30-Dashboard!$B$29)*MIN(1,3/4)))-(J14+J16+J18)</f>
        <v/>
      </c>
      <c r="K20" s="33">
        <f>K10*(1-(Dashboard!$B$29+(Dashboard!$B$30-Dashboard!$B$29)*MIN(1,4/4)))-(K14+K16+K18)</f>
        <v/>
      </c>
      <c r="L20" s="33">
        <f>L10*(1-(Dashboard!$B$29+(Dashboard!$B$30-Dashboard!$B$29)*MIN(1,5/4)))-(L14+L16+L18)</f>
        <v/>
      </c>
      <c r="M20" s="33">
        <f>M10*(1-(Dashboard!$B$29+(Dashboard!$B$30-Dashboard!$B$29)*MIN(1,6/4)))-(M14+M16+M18)</f>
        <v/>
      </c>
      <c r="N20" s="33">
        <f>N10*(1-(Dashboard!$B$29+(Dashboard!$B$30-Dashboard!$B$29)*MIN(1,7/4)))-(N14+N16+N18)</f>
        <v/>
      </c>
      <c r="O20" s="33">
        <f>O10*(1-(Dashboard!$B$29+(Dashboard!$B$30-Dashboard!$B$29)*MIN(1,8/4)))-(O14+O16+O18)</f>
        <v/>
      </c>
      <c r="P20" s="33">
        <f>P10*(1-(Dashboard!$B$29+(Dashboard!$B$30-Dashboard!$B$29)*MIN(1,9/4)))-(P14+P16+P18)</f>
        <v/>
      </c>
    </row>
    <row r="21">
      <c r="A21" s="4" t="inlineStr">
        <is>
          <t xml:space="preserve">    % of revenue</t>
        </is>
      </c>
      <c r="B21" s="25">
        <f>IFERROR(B20/B10,"")</f>
        <v/>
      </c>
      <c r="C21" s="25">
        <f>IFERROR(C20/C10,"")</f>
        <v/>
      </c>
      <c r="D21" s="25">
        <f>IFERROR(D20/D10,"")</f>
        <v/>
      </c>
      <c r="E21" s="25">
        <f>IFERROR(E20/E10,"")</f>
        <v/>
      </c>
      <c r="F21" s="25">
        <f>IFERROR(F20/F10,"")</f>
        <v/>
      </c>
      <c r="G21" s="25">
        <f>IFERROR(G20/G10,"")</f>
        <v/>
      </c>
      <c r="H21" s="25">
        <f>IFERROR(H20/H10,"")</f>
        <v/>
      </c>
      <c r="I21" s="25">
        <f>IFERROR(I20/I10,"")</f>
        <v/>
      </c>
      <c r="J21" s="25">
        <f>IFERROR(J20/J10,"")</f>
        <v/>
      </c>
      <c r="K21" s="25">
        <f>IFERROR(K20/K10,"")</f>
        <v/>
      </c>
      <c r="L21" s="25">
        <f>IFERROR(L20/L10,"")</f>
        <v/>
      </c>
      <c r="M21" s="25">
        <f>IFERROR(M20/M10,"")</f>
        <v/>
      </c>
      <c r="N21" s="25">
        <f>IFERROR(N20/N10,"")</f>
        <v/>
      </c>
      <c r="O21" s="25">
        <f>IFERROR(O20/O10,"")</f>
        <v/>
      </c>
      <c r="P21" s="25">
        <f>IFERROR(P20/P10,"")</f>
        <v/>
      </c>
    </row>
    <row r="23">
      <c r="A23" s="3" t="inlineStr">
        <is>
          <t>Operating income (EBIT)</t>
        </is>
      </c>
      <c r="B23" s="42">
        <f>B10-(B14+B16+B18)-B20</f>
        <v/>
      </c>
      <c r="C23" s="42">
        <f>C10-(C14+C16+C18)-C20</f>
        <v/>
      </c>
      <c r="D23" s="42">
        <f>D10-(D14+D16+D18)-D20</f>
        <v/>
      </c>
      <c r="E23" s="42">
        <f>E10-(E14+E16+E18)-E20</f>
        <v/>
      </c>
      <c r="F23" s="42">
        <f>F10-(F14+F16+F18)-F20</f>
        <v/>
      </c>
      <c r="G23" s="42">
        <f>G10-(G14+G16+G18)-G20</f>
        <v/>
      </c>
      <c r="H23" s="42">
        <f>H10-(H14+H16+H18)-H20</f>
        <v/>
      </c>
      <c r="I23" s="42">
        <f>I10-(I14+I16+I18)-I20</f>
        <v/>
      </c>
      <c r="J23" s="42">
        <f>J10-(J14+J16+J18)-J20</f>
        <v/>
      </c>
      <c r="K23" s="42">
        <f>K10-(K14+K16+K18)-K20</f>
        <v/>
      </c>
      <c r="L23" s="42">
        <f>L10-(L14+L16+L18)-L20</f>
        <v/>
      </c>
      <c r="M23" s="42">
        <f>M10-(M14+M16+M18)-M20</f>
        <v/>
      </c>
      <c r="N23" s="42">
        <f>N10-(N14+N16+N18)-N20</f>
        <v/>
      </c>
      <c r="O23" s="42">
        <f>O10-(O14+O16+O18)-O20</f>
        <v/>
      </c>
      <c r="P23" s="42">
        <f>P10-(P14+P16+P18)-P20</f>
        <v/>
      </c>
    </row>
    <row r="24">
      <c r="A24" s="4" t="inlineStr">
        <is>
          <t xml:space="preserve">    operating margin</t>
        </is>
      </c>
      <c r="B24" s="25">
        <f>IFERROR(B23/B10,"")</f>
        <v/>
      </c>
      <c r="C24" s="25">
        <f>IFERROR(C23/C10,"")</f>
        <v/>
      </c>
      <c r="D24" s="25">
        <f>IFERROR(D23/D10,"")</f>
        <v/>
      </c>
      <c r="E24" s="25">
        <f>IFERROR(E23/E10,"")</f>
        <v/>
      </c>
      <c r="F24" s="25">
        <f>IFERROR(F23/F10,"")</f>
        <v/>
      </c>
      <c r="G24" s="25">
        <f>IFERROR(G23/G10,"")</f>
        <v/>
      </c>
      <c r="H24" s="25">
        <f>IFERROR(H23/H10,"")</f>
        <v/>
      </c>
      <c r="I24" s="25">
        <f>IFERROR(I23/I10,"")</f>
        <v/>
      </c>
      <c r="J24" s="25">
        <f>IFERROR(J23/J10,"")</f>
        <v/>
      </c>
      <c r="K24" s="25">
        <f>IFERROR(K23/K10,"")</f>
        <v/>
      </c>
      <c r="L24" s="25">
        <f>IFERROR(L23/L10,"")</f>
        <v/>
      </c>
      <c r="M24" s="25">
        <f>IFERROR(M23/M10,"")</f>
        <v/>
      </c>
      <c r="N24" s="25">
        <f>IFERROR(N23/N10,"")</f>
        <v/>
      </c>
      <c r="O24" s="25">
        <f>IFERROR(O23/O10,"")</f>
        <v/>
      </c>
      <c r="P24" s="25">
        <f>IFERROR(P23/P10,"")</f>
        <v/>
      </c>
    </row>
    <row r="26">
      <c r="A26" s="5" t="inlineStr">
        <is>
          <t xml:space="preserve">  FCF BRIDGE (NOPAT + D&amp;A + SBC - dNWC - Capex)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</row>
    <row r="27">
      <c r="A27" s="4" t="inlineStr">
        <is>
          <t>NOPAT = EBIT x (1 - tax)</t>
        </is>
      </c>
      <c r="B27" s="33">
        <f>B23*(1-Valuation!$B$5)</f>
        <v/>
      </c>
      <c r="C27" s="33">
        <f>C23*(1-Valuation!$B$5)</f>
        <v/>
      </c>
      <c r="D27" s="33">
        <f>D23*(1-Valuation!$B$5)</f>
        <v/>
      </c>
      <c r="E27" s="33">
        <f>E23*(1-Valuation!$B$5)</f>
        <v/>
      </c>
      <c r="F27" s="33">
        <f>F23*(1-Valuation!$B$5)</f>
        <v/>
      </c>
      <c r="G27" s="33">
        <f>G23*(1-Valuation!$B$5)</f>
        <v/>
      </c>
      <c r="H27" s="33">
        <f>H23*(1-Valuation!$B$5)</f>
        <v/>
      </c>
      <c r="I27" s="33">
        <f>I23*(1-Valuation!$B$5)</f>
        <v/>
      </c>
      <c r="J27" s="33">
        <f>J23*(1-Valuation!$B$5)</f>
        <v/>
      </c>
      <c r="K27" s="33">
        <f>K23*(1-Valuation!$B$5)</f>
        <v/>
      </c>
      <c r="L27" s="33">
        <f>L23*(1-Valuation!$B$5)</f>
        <v/>
      </c>
      <c r="M27" s="33">
        <f>M23*(1-Valuation!$B$5)</f>
        <v/>
      </c>
      <c r="N27" s="33">
        <f>N23*(1-Valuation!$B$5)</f>
        <v/>
      </c>
      <c r="O27" s="33">
        <f>O23*(1-Valuation!$B$5)</f>
        <v/>
      </c>
      <c r="P27" s="33">
        <f>P23*(1-Valuation!$B$5)</f>
        <v/>
      </c>
    </row>
    <row r="28">
      <c r="A28" s="4" t="inlineStr">
        <is>
          <t>+ D&amp;A</t>
        </is>
      </c>
      <c r="B28" s="33">
        <f>SUM(Financials!G47:J47)</f>
        <v/>
      </c>
      <c r="C28" s="33">
        <f>SUM(Financials!K47:N47)</f>
        <v/>
      </c>
      <c r="D28" s="33">
        <f>SUM(Financials!O47:R47)</f>
        <v/>
      </c>
      <c r="E28" s="33">
        <f>SUM(Financials!S47:V47)</f>
        <v/>
      </c>
      <c r="F28" s="33">
        <f>SUM(Financials!W47:Z47)</f>
        <v/>
      </c>
      <c r="G28" s="41">
        <f>G10*0.1076</f>
        <v/>
      </c>
      <c r="H28" s="41">
        <f>H10*0.1076</f>
        <v/>
      </c>
      <c r="I28" s="41">
        <f>I10*0.1076</f>
        <v/>
      </c>
      <c r="J28" s="41">
        <f>J10*0.1076</f>
        <v/>
      </c>
      <c r="K28" s="41">
        <f>K10*0.1076</f>
        <v/>
      </c>
      <c r="L28" s="41">
        <f>L10*0.1076</f>
        <v/>
      </c>
      <c r="M28" s="41">
        <f>M10*0.1076</f>
        <v/>
      </c>
      <c r="N28" s="41">
        <f>N10*0.1076</f>
        <v/>
      </c>
      <c r="O28" s="41">
        <f>O10*0.1076</f>
        <v/>
      </c>
      <c r="P28" s="41">
        <f>P10*0.1076</f>
        <v/>
      </c>
    </row>
    <row r="29">
      <c r="A29" s="4" t="inlineStr">
        <is>
          <t>+ SBC (non-cash)</t>
        </is>
      </c>
      <c r="B29" s="33">
        <f>SUM(Financials!G48:J48)</f>
        <v/>
      </c>
      <c r="C29" s="33">
        <f>SUM(Financials!K48:N48)</f>
        <v/>
      </c>
      <c r="D29" s="33">
        <f>SUM(Financials!O48:R48)</f>
        <v/>
      </c>
      <c r="E29" s="33">
        <f>SUM(Financials!S48:V48)</f>
        <v/>
      </c>
      <c r="F29" s="33">
        <f>SUM(Financials!W48:Z48)</f>
        <v/>
      </c>
      <c r="G29" s="33">
        <f>G10*(Dashboard!$B$65+(Dashboard!$B$66-Dashboard!$B$65)*0/9)</f>
        <v/>
      </c>
      <c r="H29" s="33">
        <f>H10*(Dashboard!$B$65+(Dashboard!$B$66-Dashboard!$B$65)*1/9)</f>
        <v/>
      </c>
      <c r="I29" s="33">
        <f>I10*(Dashboard!$B$65+(Dashboard!$B$66-Dashboard!$B$65)*2/9)</f>
        <v/>
      </c>
      <c r="J29" s="33">
        <f>J10*(Dashboard!$B$65+(Dashboard!$B$66-Dashboard!$B$65)*3/9)</f>
        <v/>
      </c>
      <c r="K29" s="33">
        <f>K10*(Dashboard!$B$65+(Dashboard!$B$66-Dashboard!$B$65)*4/9)</f>
        <v/>
      </c>
      <c r="L29" s="33">
        <f>L10*(Dashboard!$B$65+(Dashboard!$B$66-Dashboard!$B$65)*5/9)</f>
        <v/>
      </c>
      <c r="M29" s="33">
        <f>M10*(Dashboard!$B$65+(Dashboard!$B$66-Dashboard!$B$65)*6/9)</f>
        <v/>
      </c>
      <c r="N29" s="33">
        <f>N10*(Dashboard!$B$65+(Dashboard!$B$66-Dashboard!$B$65)*7/9)</f>
        <v/>
      </c>
      <c r="O29" s="33">
        <f>O10*(Dashboard!$B$65+(Dashboard!$B$66-Dashboard!$B$65)*8/9)</f>
        <v/>
      </c>
      <c r="P29" s="33">
        <f>P10*(Dashboard!$B$65+(Dashboard!$B$66-Dashboard!$B$65)*9/9)</f>
        <v/>
      </c>
    </row>
    <row r="30">
      <c r="A30" s="4" t="inlineStr">
        <is>
          <t>- dNWC</t>
        </is>
      </c>
      <c r="G30" s="41">
        <f>(G10-F10)*0.0050</f>
        <v/>
      </c>
      <c r="H30" s="41">
        <f>(H10-G10)*0.0050</f>
        <v/>
      </c>
      <c r="I30" s="41">
        <f>(I10-H10)*0.0050</f>
        <v/>
      </c>
      <c r="J30" s="41">
        <f>(J10-I10)*0.0050</f>
        <v/>
      </c>
      <c r="K30" s="41">
        <f>(K10-J10)*0.0050</f>
        <v/>
      </c>
      <c r="L30" s="41">
        <f>(L10-K10)*0.0050</f>
        <v/>
      </c>
      <c r="M30" s="41">
        <f>(M10-L10)*0.0050</f>
        <v/>
      </c>
      <c r="N30" s="41">
        <f>(N10-M10)*0.0050</f>
        <v/>
      </c>
      <c r="O30" s="41">
        <f>(O10-N10)*0.0050</f>
        <v/>
      </c>
      <c r="P30" s="41">
        <f>(P10-O10)*0.0050</f>
        <v/>
      </c>
    </row>
    <row r="31">
      <c r="A31" s="4" t="inlineStr">
        <is>
          <t>- Capex</t>
        </is>
      </c>
      <c r="B31" s="33">
        <f>-SUM(Financials!G51:J51)</f>
        <v/>
      </c>
      <c r="C31" s="33">
        <f>-SUM(Financials!K51:N51)</f>
        <v/>
      </c>
      <c r="D31" s="33">
        <f>-SUM(Financials!O51:R51)</f>
        <v/>
      </c>
      <c r="E31" s="33">
        <f>-SUM(Financials!S51:V51)</f>
        <v/>
      </c>
      <c r="F31" s="33">
        <f>-SUM(Financials!W51:Z51)</f>
        <v/>
      </c>
      <c r="G31" s="41">
        <f>G28*G32</f>
        <v/>
      </c>
      <c r="H31" s="41">
        <f>H28*H32</f>
        <v/>
      </c>
      <c r="I31" s="41">
        <f>I28*I32</f>
        <v/>
      </c>
      <c r="J31" s="41">
        <f>J28*J32</f>
        <v/>
      </c>
      <c r="K31" s="41">
        <f>K28*K32</f>
        <v/>
      </c>
      <c r="L31" s="41">
        <f>L28*L32</f>
        <v/>
      </c>
      <c r="M31" s="41">
        <f>M28*M32</f>
        <v/>
      </c>
      <c r="N31" s="41">
        <f>N28*N32</f>
        <v/>
      </c>
      <c r="O31" s="41">
        <f>O28*O32</f>
        <v/>
      </c>
      <c r="P31" s="41">
        <f>P28*P32</f>
        <v/>
      </c>
    </row>
    <row r="32">
      <c r="A32" s="4" t="inlineStr">
        <is>
          <t xml:space="preserve">    Capex / D&amp;A  (from Dashboard: $cap'26 -&gt; terminal)</t>
        </is>
      </c>
      <c r="B32" s="26">
        <f>IFERROR(B31/B28,"")</f>
        <v/>
      </c>
      <c r="C32" s="26">
        <f>IFERROR(C31/C28,"")</f>
        <v/>
      </c>
      <c r="D32" s="26">
        <f>IFERROR(D31/D28,"")</f>
        <v/>
      </c>
      <c r="E32" s="26">
        <f>IFERROR(E31/E28,"")</f>
        <v/>
      </c>
      <c r="F32" s="26">
        <f>IFERROR(F31/F28,"")</f>
        <v/>
      </c>
      <c r="G32" s="13">
        <f>(Dashboard!$B$34/G28)+(Dashboard!$B$35-(Dashboard!$B$34/G28))*0/9</f>
        <v/>
      </c>
      <c r="H32" s="13">
        <f>(Dashboard!$B$34/G28)+(Dashboard!$B$35-(Dashboard!$B$34/G28))*1/9</f>
        <v/>
      </c>
      <c r="I32" s="13">
        <f>(Dashboard!$B$34/G28)+(Dashboard!$B$35-(Dashboard!$B$34/G28))*2/9</f>
        <v/>
      </c>
      <c r="J32" s="13">
        <f>(Dashboard!$B$34/G28)+(Dashboard!$B$35-(Dashboard!$B$34/G28))*3/9</f>
        <v/>
      </c>
      <c r="K32" s="13">
        <f>(Dashboard!$B$34/G28)+(Dashboard!$B$35-(Dashboard!$B$34/G28))*4/9</f>
        <v/>
      </c>
      <c r="L32" s="13">
        <f>(Dashboard!$B$34/G28)+(Dashboard!$B$35-(Dashboard!$B$34/G28))*5/9</f>
        <v/>
      </c>
      <c r="M32" s="13">
        <f>(Dashboard!$B$34/G28)+(Dashboard!$B$35-(Dashboard!$B$34/G28))*6/9</f>
        <v/>
      </c>
      <c r="N32" s="13">
        <f>(Dashboard!$B$34/G28)+(Dashboard!$B$35-(Dashboard!$B$34/G28))*7/9</f>
        <v/>
      </c>
      <c r="O32" s="13">
        <f>(Dashboard!$B$34/G28)+(Dashboard!$B$35-(Dashboard!$B$34/G28))*8/9</f>
        <v/>
      </c>
      <c r="P32" s="13">
        <f>(Dashboard!$B$34/G28)+(Dashboard!$B$35-(Dashboard!$B$34/G28))*9/9</f>
        <v/>
      </c>
    </row>
    <row r="34">
      <c r="A34" s="3" t="inlineStr">
        <is>
          <t>FCFF (firm)</t>
        </is>
      </c>
      <c r="B34" s="42">
        <f>B27+B28+B29-B30-B31</f>
        <v/>
      </c>
      <c r="C34" s="42">
        <f>C27+C28+C29-C30-C31</f>
        <v/>
      </c>
      <c r="D34" s="42">
        <f>D27+D28+D29-D30-D31</f>
        <v/>
      </c>
      <c r="E34" s="42">
        <f>E27+E28+E29-E30-E31</f>
        <v/>
      </c>
      <c r="F34" s="42">
        <f>F27+F28+F29-F30-F31</f>
        <v/>
      </c>
      <c r="G34" s="42">
        <f>G27+G28+G29-G30-G31</f>
        <v/>
      </c>
      <c r="H34" s="42">
        <f>H27+H28+H29-H30-H31</f>
        <v/>
      </c>
      <c r="I34" s="42">
        <f>I27+I28+I29-I30-I31</f>
        <v/>
      </c>
      <c r="J34" s="42">
        <f>J27+J28+J29-J30-J31</f>
        <v/>
      </c>
      <c r="K34" s="42">
        <f>K27+K28+K29-K30-K31</f>
        <v/>
      </c>
      <c r="L34" s="42">
        <f>L27+L28+L29-L30-L31</f>
        <v/>
      </c>
      <c r="M34" s="42">
        <f>M27+M28+M29-M30-M31</f>
        <v/>
      </c>
      <c r="N34" s="42">
        <f>N27+N28+N29-N30-N31</f>
        <v/>
      </c>
      <c r="O34" s="42">
        <f>O27+O28+O29-O30-O31</f>
        <v/>
      </c>
      <c r="P34" s="42">
        <f>P27+P28+P29-P30-P31</f>
        <v/>
      </c>
    </row>
    <row r="35">
      <c r="A35" s="3" t="inlineStr">
        <is>
          <t>Valuation FCF (NOPAT + D&amp;A - dNWC - Capex - after-tax SBC)</t>
        </is>
      </c>
      <c r="B35" s="43">
        <f>B34-B29-B29*(1-Valuation!$B$5)</f>
        <v/>
      </c>
      <c r="C35" s="43">
        <f>C34-C29-C29*(1-Valuation!$B$5)</f>
        <v/>
      </c>
      <c r="D35" s="43">
        <f>D34-D29-D29*(1-Valuation!$B$5)</f>
        <v/>
      </c>
      <c r="E35" s="43">
        <f>E34-E29-E29*(1-Valuation!$B$5)</f>
        <v/>
      </c>
      <c r="F35" s="43">
        <f>F34-F29-F29*(1-Valuation!$B$5)</f>
        <v/>
      </c>
      <c r="G35" s="43">
        <f>G34-G29-G29*(1-Valuation!$B$5)</f>
        <v/>
      </c>
      <c r="H35" s="43">
        <f>H34-H29-H29*(1-Valuation!$B$5)</f>
        <v/>
      </c>
      <c r="I35" s="43">
        <f>I34-I29-I29*(1-Valuation!$B$5)</f>
        <v/>
      </c>
      <c r="J35" s="43">
        <f>J34-J29-J29*(1-Valuation!$B$5)</f>
        <v/>
      </c>
      <c r="K35" s="43">
        <f>K34-K29-K29*(1-Valuation!$B$5)</f>
        <v/>
      </c>
      <c r="L35" s="43">
        <f>L34-L29-L29*(1-Valuation!$B$5)</f>
        <v/>
      </c>
      <c r="M35" s="43">
        <f>M34-M29-M29*(1-Valuation!$B$5)</f>
        <v/>
      </c>
      <c r="N35" s="43">
        <f>N34-N29-N29*(1-Valuation!$B$5)</f>
        <v/>
      </c>
      <c r="O35" s="43">
        <f>O34-O29-O29*(1-Valuation!$B$5)</f>
        <v/>
      </c>
      <c r="P35" s="43">
        <f>P34-P29-P29*(1-Valuation!$B$5)</f>
        <v/>
      </c>
    </row>
    <row r="37">
      <c r="A37" s="5" t="inlineStr">
        <is>
          <t xml:space="preserve">  RETURNS ON CAPITAL &amp; EFFICIENCY  (is new revenue/capital earning its keep?)</t>
        </is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</row>
    <row r="38">
      <c r="A38" s="4" t="inlineStr">
        <is>
          <t>Invested capital (debt + equity - cash)</t>
        </is>
      </c>
      <c r="B38" s="33">
        <f>Financials!J45+Financials!J44-Financials!J39</f>
        <v/>
      </c>
      <c r="C38" s="33">
        <f>Financials!N45+Financials!N44-Financials!N39</f>
        <v/>
      </c>
      <c r="D38" s="33">
        <f>Financials!R45+Financials!R44-Financials!R39</f>
        <v/>
      </c>
      <c r="E38" s="33">
        <f>Financials!V45+Financials!V44-Financials!V39</f>
        <v/>
      </c>
      <c r="F38" s="33">
        <f>Financials!Z45+Financials!Z44-Financials!Z39</f>
        <v/>
      </c>
      <c r="G38" s="41">
        <f>F38+G31-G28+G30</f>
        <v/>
      </c>
      <c r="H38" s="41">
        <f>G38+H31-H28+H30</f>
        <v/>
      </c>
      <c r="I38" s="41">
        <f>H38+I31-I28+I30</f>
        <v/>
      </c>
      <c r="J38" s="41">
        <f>I38+J31-J28+J30</f>
        <v/>
      </c>
      <c r="K38" s="41">
        <f>J38+K31-K28+K30</f>
        <v/>
      </c>
      <c r="L38" s="41">
        <f>K38+L31-L28+L30</f>
        <v/>
      </c>
      <c r="M38" s="41">
        <f>L38+M31-M28+M30</f>
        <v/>
      </c>
      <c r="N38" s="41">
        <f>M38+N31-N28+N30</f>
        <v/>
      </c>
      <c r="O38" s="41">
        <f>N38+O31-O28+O30</f>
        <v/>
      </c>
      <c r="P38" s="41">
        <f>O38+P31-P28+P30</f>
        <v/>
      </c>
    </row>
    <row r="39">
      <c r="A39" s="4" t="inlineStr">
        <is>
          <t>Book equity (year-end)</t>
        </is>
      </c>
      <c r="B39" s="33">
        <f>Financials!J45</f>
        <v/>
      </c>
      <c r="C39" s="33">
        <f>Financials!N45</f>
        <v/>
      </c>
      <c r="D39" s="33">
        <f>Financials!R45</f>
        <v/>
      </c>
      <c r="E39" s="33">
        <f>Financials!V45</f>
        <v/>
      </c>
      <c r="F39" s="33">
        <f>Financials!Z45</f>
        <v/>
      </c>
      <c r="G39" s="41">
        <f>F39+G27</f>
        <v/>
      </c>
      <c r="H39" s="41">
        <f>G39+H27</f>
        <v/>
      </c>
      <c r="I39" s="41">
        <f>H39+I27</f>
        <v/>
      </c>
      <c r="J39" s="41">
        <f>I39+J27</f>
        <v/>
      </c>
      <c r="K39" s="41">
        <f>J39+K27</f>
        <v/>
      </c>
      <c r="L39" s="41">
        <f>K39+L27</f>
        <v/>
      </c>
      <c r="M39" s="41">
        <f>L39+M27</f>
        <v/>
      </c>
      <c r="N39" s="41">
        <f>M39+N27</f>
        <v/>
      </c>
      <c r="O39" s="41">
        <f>N39+O27</f>
        <v/>
      </c>
      <c r="P39" s="41">
        <f>O39+P27</f>
        <v/>
      </c>
    </row>
    <row r="40">
      <c r="A40" s="3" t="inlineStr">
        <is>
          <t xml:space="preserve">  ROIC (NOPAT / beg. invested capital)</t>
        </is>
      </c>
      <c r="C40" s="25">
        <f>IFERROR(C27/B38,"")</f>
        <v/>
      </c>
      <c r="D40" s="25">
        <f>IFERROR(D27/C38,"")</f>
        <v/>
      </c>
      <c r="E40" s="25">
        <f>IFERROR(E27/D38,"")</f>
        <v/>
      </c>
      <c r="F40" s="25">
        <f>IFERROR(F27/E38,"")</f>
        <v/>
      </c>
      <c r="G40" s="25">
        <f>IFERROR(G27/F38,"")</f>
        <v/>
      </c>
      <c r="H40" s="25">
        <f>IFERROR(H27/G38,"")</f>
        <v/>
      </c>
      <c r="I40" s="25">
        <f>IFERROR(I27/H38,"")</f>
        <v/>
      </c>
      <c r="J40" s="25">
        <f>IFERROR(J27/I38,"")</f>
        <v/>
      </c>
      <c r="K40" s="25">
        <f>IFERROR(K27/J38,"")</f>
        <v/>
      </c>
      <c r="L40" s="25">
        <f>IFERROR(L27/K38,"")</f>
        <v/>
      </c>
      <c r="M40" s="25">
        <f>IFERROR(M27/L38,"")</f>
        <v/>
      </c>
      <c r="N40" s="25">
        <f>IFERROR(N27/M38,"")</f>
        <v/>
      </c>
      <c r="O40" s="25">
        <f>IFERROR(O27/N38,"")</f>
        <v/>
      </c>
      <c r="P40" s="25">
        <f>IFERROR(P27/O38,"")</f>
        <v/>
      </c>
    </row>
    <row r="41">
      <c r="A41" s="3" t="inlineStr">
        <is>
          <t xml:space="preserve">  ROE (earnings / beg. equity)</t>
        </is>
      </c>
      <c r="C41" s="11">
        <f>IFERROR(SUM(Financials!K15:N15)/B39,"")</f>
        <v/>
      </c>
      <c r="D41" s="11">
        <f>IFERROR(SUM(Financials!O15:R15)/C39,"")</f>
        <v/>
      </c>
      <c r="E41" s="11">
        <f>IFERROR(SUM(Financials!S15:V15)/D39,"")</f>
        <v/>
      </c>
      <c r="F41" s="11">
        <f>IFERROR(SUM(Financials!W15:Z15)/E39,"")</f>
        <v/>
      </c>
      <c r="G41" s="25">
        <f>IFERROR(G27/F39,"")</f>
        <v/>
      </c>
      <c r="H41" s="25">
        <f>IFERROR(H27/G39,"")</f>
        <v/>
      </c>
      <c r="I41" s="25">
        <f>IFERROR(I27/H39,"")</f>
        <v/>
      </c>
      <c r="J41" s="25">
        <f>IFERROR(J27/I39,"")</f>
        <v/>
      </c>
      <c r="K41" s="25">
        <f>IFERROR(K27/J39,"")</f>
        <v/>
      </c>
      <c r="L41" s="25">
        <f>IFERROR(L27/K39,"")</f>
        <v/>
      </c>
      <c r="M41" s="25">
        <f>IFERROR(M27/L39,"")</f>
        <v/>
      </c>
      <c r="N41" s="25">
        <f>IFERROR(N27/M39,"")</f>
        <v/>
      </c>
      <c r="O41" s="25">
        <f>IFERROR(O27/N39,"")</f>
        <v/>
      </c>
      <c r="P41" s="25">
        <f>IFERROR(P27/O39,"")</f>
        <v/>
      </c>
    </row>
    <row r="42">
      <c r="A42" s="4" t="inlineStr">
        <is>
          <t xml:space="preserve">  ROIC - WACC spread (value created)</t>
        </is>
      </c>
      <c r="C42" s="11">
        <f>IFERROR(C40-WACC!$B$15,"")</f>
        <v/>
      </c>
      <c r="D42" s="11">
        <f>IFERROR(D40-WACC!$B$15,"")</f>
        <v/>
      </c>
      <c r="E42" s="11">
        <f>IFERROR(E40-WACC!$B$15,"")</f>
        <v/>
      </c>
      <c r="F42" s="11">
        <f>IFERROR(F40-WACC!$B$15,"")</f>
        <v/>
      </c>
      <c r="G42" s="11">
        <f>IFERROR(G40-WACC!$B$15,"")</f>
        <v/>
      </c>
      <c r="H42" s="11">
        <f>IFERROR(H40-WACC!$B$15,"")</f>
        <v/>
      </c>
      <c r="I42" s="11">
        <f>IFERROR(I40-WACC!$B$15,"")</f>
        <v/>
      </c>
      <c r="J42" s="11">
        <f>IFERROR(J40-WACC!$B$15,"")</f>
        <v/>
      </c>
      <c r="K42" s="11">
        <f>IFERROR(K40-WACC!$B$15,"")</f>
        <v/>
      </c>
      <c r="L42" s="11">
        <f>IFERROR(L40-WACC!$B$15,"")</f>
        <v/>
      </c>
      <c r="M42" s="11">
        <f>IFERROR(M40-WACC!$B$15,"")</f>
        <v/>
      </c>
      <c r="N42" s="11">
        <f>IFERROR(N40-WACC!$B$15,"")</f>
        <v/>
      </c>
      <c r="O42" s="11">
        <f>IFERROR(O40-WACC!$B$15,"")</f>
        <v/>
      </c>
      <c r="P42" s="11">
        <f>IFERROR(P40-WACC!$B$15,"")</f>
        <v/>
      </c>
    </row>
    <row r="43">
      <c r="A43" s="4" t="inlineStr">
        <is>
          <t xml:space="preserve">  Incremental op margin (ΔEBIT / ΔRev)</t>
        </is>
      </c>
      <c r="C43" s="25">
        <f>IFERROR((C23-B23)/(C10-B10),"")</f>
        <v/>
      </c>
      <c r="D43" s="25">
        <f>IFERROR((D23-C23)/(D10-C10),"")</f>
        <v/>
      </c>
      <c r="E43" s="25">
        <f>IFERROR((E23-D23)/(E10-D10),"")</f>
        <v/>
      </c>
      <c r="F43" s="25">
        <f>IFERROR((F23-E23)/(F10-E10),"")</f>
        <v/>
      </c>
      <c r="G43" s="25">
        <f>IFERROR((G23-F23)/(G10-F10),"")</f>
        <v/>
      </c>
      <c r="H43" s="25">
        <f>IFERROR((H23-G23)/(H10-G10),"")</f>
        <v/>
      </c>
      <c r="I43" s="25">
        <f>IFERROR((I23-H23)/(I10-H10),"")</f>
        <v/>
      </c>
      <c r="J43" s="25">
        <f>IFERROR((J23-I23)/(J10-I10),"")</f>
        <v/>
      </c>
      <c r="K43" s="25">
        <f>IFERROR((K23-J23)/(K10-J10),"")</f>
        <v/>
      </c>
      <c r="L43" s="25">
        <f>IFERROR((L23-K23)/(L10-K10),"")</f>
        <v/>
      </c>
      <c r="M43" s="25">
        <f>IFERROR((M23-L23)/(M10-L10),"")</f>
        <v/>
      </c>
      <c r="N43" s="25">
        <f>IFERROR((N23-M23)/(N10-M10),"")</f>
        <v/>
      </c>
      <c r="O43" s="25">
        <f>IFERROR((O23-N23)/(O10-N10),"")</f>
        <v/>
      </c>
      <c r="P43" s="25">
        <f>IFERROR((P23-O23)/(P10-O10),"")</f>
        <v/>
      </c>
    </row>
    <row r="44">
      <c r="A44" s="3" t="inlineStr">
        <is>
          <t xml:space="preserve">  ROIIC (ΔNOPAT / ΔInvested capital)</t>
        </is>
      </c>
      <c r="C44" s="25">
        <f>IFERROR((C27-B27)/(C38-B38),"")</f>
        <v/>
      </c>
      <c r="D44" s="25">
        <f>IFERROR((D27-C27)/(D38-C38),"")</f>
        <v/>
      </c>
      <c r="E44" s="25">
        <f>IFERROR((E27-D27)/(E38-D38),"")</f>
        <v/>
      </c>
      <c r="F44" s="25">
        <f>IFERROR((F27-E27)/(F38-E38),"")</f>
        <v/>
      </c>
      <c r="G44" s="25">
        <f>IFERROR((G27-F27)/(G38-F38),"")</f>
        <v/>
      </c>
      <c r="H44" s="25">
        <f>IFERROR((H27-G27)/(H38-G38),"")</f>
        <v/>
      </c>
      <c r="I44" s="25">
        <f>IFERROR((I27-H27)/(I38-H38),"")</f>
        <v/>
      </c>
      <c r="J44" s="25">
        <f>IFERROR((J27-I27)/(J38-I38),"")</f>
        <v/>
      </c>
      <c r="K44" s="25">
        <f>IFERROR((K27-J27)/(K38-J38),"")</f>
        <v/>
      </c>
      <c r="L44" s="25">
        <f>IFERROR((L27-K27)/(L38-K38),"")</f>
        <v/>
      </c>
      <c r="M44" s="25">
        <f>IFERROR((M27-L27)/(M38-L38),"")</f>
        <v/>
      </c>
      <c r="N44" s="25">
        <f>IFERROR((N27-M27)/(N38-M38),"")</f>
        <v/>
      </c>
      <c r="O44" s="25">
        <f>IFERROR((O27-N27)/(O38-N38),"")</f>
        <v/>
      </c>
      <c r="P44" s="25">
        <f>IFERROR((P27-O27)/(P38-O38),"")</f>
        <v/>
      </c>
    </row>
    <row r="45">
      <c r="A45" s="4" t="inlineStr">
        <is>
          <t xml:space="preserve">  Sales-to-capital (ΔRev / ΔInvested capital)</t>
        </is>
      </c>
      <c r="C45" s="44">
        <f>IFERROR((C10-B10)/(C38-B38),"")</f>
        <v/>
      </c>
      <c r="D45" s="44">
        <f>IFERROR((D10-C10)/(D38-C38),"")</f>
        <v/>
      </c>
      <c r="E45" s="44">
        <f>IFERROR((E10-D10)/(E38-D38),"")</f>
        <v/>
      </c>
      <c r="F45" s="44">
        <f>IFERROR((F10-E10)/(F38-E38),"")</f>
        <v/>
      </c>
      <c r="G45" s="44">
        <f>IFERROR((G10-F10)/(G38-F38),"")</f>
        <v/>
      </c>
      <c r="H45" s="44">
        <f>IFERROR((H10-G10)/(H38-G38),"")</f>
        <v/>
      </c>
      <c r="I45" s="44">
        <f>IFERROR((I10-H10)/(I38-H38),"")</f>
        <v/>
      </c>
      <c r="J45" s="44">
        <f>IFERROR((J10-I10)/(J38-I38),"")</f>
        <v/>
      </c>
      <c r="K45" s="44">
        <f>IFERROR((K10-J10)/(K38-J38),"")</f>
        <v/>
      </c>
      <c r="L45" s="44">
        <f>IFERROR((L10-K10)/(L38-K38),"")</f>
        <v/>
      </c>
      <c r="M45" s="44">
        <f>IFERROR((M10-L10)/(M38-L38),"")</f>
        <v/>
      </c>
      <c r="N45" s="44">
        <f>IFERROR((N10-M10)/(N38-M38),"")</f>
        <v/>
      </c>
      <c r="O45" s="44">
        <f>IFERROR((O10-N10)/(O38-N38),"")</f>
        <v/>
      </c>
      <c r="P45" s="44">
        <f>IFERROR((P10-O10)/(P38-O38),"")</f>
        <v/>
      </c>
    </row>
    <row r="46">
      <c r="A46" s="4" t="inlineStr">
        <is>
          <t xml:space="preserve">  Reinvestment rate (ΔInvested capital / NOPAT)</t>
        </is>
      </c>
      <c r="C46" s="25">
        <f>IFERROR((C38-B38)/C27,"")</f>
        <v/>
      </c>
      <c r="D46" s="25">
        <f>IFERROR((D38-C38)/D27,"")</f>
        <v/>
      </c>
      <c r="E46" s="25">
        <f>IFERROR((E38-D38)/E27,"")</f>
        <v/>
      </c>
      <c r="F46" s="25">
        <f>IFERROR((F38-E38)/F27,"")</f>
        <v/>
      </c>
      <c r="G46" s="25">
        <f>IFERROR((G38-F38)/G27,"")</f>
        <v/>
      </c>
      <c r="H46" s="25">
        <f>IFERROR((H38-G38)/H27,"")</f>
        <v/>
      </c>
      <c r="I46" s="25">
        <f>IFERROR((I38-H38)/I27,"")</f>
        <v/>
      </c>
      <c r="J46" s="25">
        <f>IFERROR((J38-I38)/J27,"")</f>
        <v/>
      </c>
      <c r="K46" s="25">
        <f>IFERROR((K38-J38)/K27,"")</f>
        <v/>
      </c>
      <c r="L46" s="25">
        <f>IFERROR((L38-K38)/L27,"")</f>
        <v/>
      </c>
      <c r="M46" s="25">
        <f>IFERROR((M38-L38)/M27,"")</f>
        <v/>
      </c>
      <c r="N46" s="25">
        <f>IFERROR((N38-M38)/N27,"")</f>
        <v/>
      </c>
      <c r="O46" s="25">
        <f>IFERROR((O38-N38)/O27,"")</f>
        <v/>
      </c>
      <c r="P46" s="25">
        <f>IFERROR((P38-O38)/P27,"")</f>
        <v/>
      </c>
    </row>
    <row r="48">
      <c r="A48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5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3" t="inlineStr">
        <is>
          <t>Line Item ($M)</t>
        </is>
      </c>
      <c r="B1" s="45" t="inlineStr">
        <is>
          <t>Q4 2019</t>
        </is>
      </c>
      <c r="C1" s="45" t="inlineStr">
        <is>
          <t>Q1 2020</t>
        </is>
      </c>
      <c r="D1" s="45" t="inlineStr">
        <is>
          <t>Q2 2020</t>
        </is>
      </c>
      <c r="E1" s="45" t="inlineStr">
        <is>
          <t>Q3 2020</t>
        </is>
      </c>
      <c r="F1" s="45" t="inlineStr">
        <is>
          <t>Q4 2020</t>
        </is>
      </c>
      <c r="G1" s="45" t="inlineStr">
        <is>
          <t>Q1 2021</t>
        </is>
      </c>
      <c r="H1" s="45" t="inlineStr">
        <is>
          <t>Q2 2021</t>
        </is>
      </c>
      <c r="I1" s="45" t="inlineStr">
        <is>
          <t>Q3 2021</t>
        </is>
      </c>
      <c r="J1" s="45" t="inlineStr">
        <is>
          <t>Q4 2021</t>
        </is>
      </c>
      <c r="K1" s="45" t="inlineStr">
        <is>
          <t>Q1 2022</t>
        </is>
      </c>
      <c r="L1" s="45" t="inlineStr">
        <is>
          <t>Q2 2022</t>
        </is>
      </c>
      <c r="M1" s="45" t="inlineStr">
        <is>
          <t>Q3 2022</t>
        </is>
      </c>
      <c r="N1" s="45" t="inlineStr">
        <is>
          <t>Q4 2022</t>
        </is>
      </c>
      <c r="O1" s="45" t="inlineStr">
        <is>
          <t>Q1 2023</t>
        </is>
      </c>
      <c r="P1" s="45" t="inlineStr">
        <is>
          <t>Q2 2023</t>
        </is>
      </c>
      <c r="Q1" s="45" t="inlineStr">
        <is>
          <t>Q3 2023</t>
        </is>
      </c>
      <c r="R1" s="45" t="inlineStr">
        <is>
          <t>Q4 2023</t>
        </is>
      </c>
      <c r="S1" s="45" t="inlineStr">
        <is>
          <t>Q1 2024</t>
        </is>
      </c>
      <c r="T1" s="45" t="inlineStr">
        <is>
          <t>Q2 2024</t>
        </is>
      </c>
      <c r="U1" s="45" t="inlineStr">
        <is>
          <t>Q3 2024</t>
        </is>
      </c>
      <c r="V1" s="45" t="inlineStr">
        <is>
          <t>Q4 2024</t>
        </is>
      </c>
      <c r="W1" s="45" t="inlineStr">
        <is>
          <t>Q1 2025</t>
        </is>
      </c>
      <c r="X1" s="45" t="inlineStr">
        <is>
          <t>Q2 2025</t>
        </is>
      </c>
      <c r="Y1" s="45" t="inlineStr">
        <is>
          <t>Q3 2025</t>
        </is>
      </c>
      <c r="Z1" s="45" t="inlineStr">
        <is>
          <t>Q4 2025</t>
        </is>
      </c>
      <c r="AA1" s="45" t="inlineStr">
        <is>
          <t>Q1 2026</t>
        </is>
      </c>
      <c r="AB1" s="45" t="inlineStr">
        <is>
          <t>Q2 2026</t>
        </is>
      </c>
      <c r="AC1" s="45" t="inlineStr">
        <is>
          <t>Q3 2026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4" t="inlineStr">
        <is>
          <t>Revenue</t>
        </is>
      </c>
      <c r="B3" s="18" t="n">
        <v>11136</v>
      </c>
      <c r="C3" s="18" t="n">
        <v>9218</v>
      </c>
      <c r="D3" s="18" t="n">
        <v>9614</v>
      </c>
      <c r="E3" s="18" t="n">
        <v>9796</v>
      </c>
      <c r="F3" s="18" t="n">
        <v>10439</v>
      </c>
      <c r="G3" s="18" t="n">
        <v>9367</v>
      </c>
      <c r="H3" s="18" t="n">
        <v>9800</v>
      </c>
      <c r="I3" s="18" t="n">
        <v>10085</v>
      </c>
      <c r="J3" s="18" t="n">
        <v>11227</v>
      </c>
      <c r="K3" s="18" t="n">
        <v>9728</v>
      </c>
      <c r="L3" s="18" t="n">
        <v>10360</v>
      </c>
      <c r="M3" s="18" t="n">
        <v>10513</v>
      </c>
      <c r="N3" s="18" t="n">
        <v>11840</v>
      </c>
      <c r="O3" s="18" t="n">
        <v>11445</v>
      </c>
      <c r="P3" s="18" t="n">
        <v>12275</v>
      </c>
      <c r="Q3" s="18" t="n">
        <v>12398</v>
      </c>
      <c r="R3" s="18" t="n">
        <v>13836</v>
      </c>
      <c r="S3" s="18" t="n">
        <v>12453</v>
      </c>
      <c r="T3" s="18" t="n">
        <v>12941</v>
      </c>
      <c r="U3" s="18" t="n">
        <v>13280</v>
      </c>
      <c r="V3" s="18" t="n">
        <v>14287</v>
      </c>
      <c r="W3" s="18" t="n">
        <v>13307</v>
      </c>
      <c r="X3" s="18" t="n">
        <v>14059</v>
      </c>
      <c r="Y3" s="18" t="n">
        <v>14130</v>
      </c>
      <c r="Z3" s="18" t="n">
        <v>15903</v>
      </c>
      <c r="AA3" s="18" t="n">
        <v>14926</v>
      </c>
      <c r="AB3" s="18" t="n">
        <v>16058</v>
      </c>
      <c r="AC3" s="18" t="n">
        <v>17190</v>
      </c>
    </row>
    <row r="4">
      <c r="A4" s="4" t="inlineStr">
        <is>
          <t xml:space="preserve">    % YoY</t>
        </is>
      </c>
      <c r="F4" s="25">
        <f>IFERROR(F3/B3-1,"")</f>
        <v/>
      </c>
      <c r="G4" s="25">
        <f>IFERROR(G3/C3-1,"")</f>
        <v/>
      </c>
      <c r="H4" s="25">
        <f>IFERROR(H3/D3-1,"")</f>
        <v/>
      </c>
      <c r="I4" s="25">
        <f>IFERROR(I3/E3-1,"")</f>
        <v/>
      </c>
      <c r="J4" s="25">
        <f>IFERROR(J3/F3-1,"")</f>
        <v/>
      </c>
      <c r="K4" s="25">
        <f>IFERROR(K3/G3-1,"")</f>
        <v/>
      </c>
      <c r="L4" s="25">
        <f>IFERROR(L3/H3-1,"")</f>
        <v/>
      </c>
      <c r="M4" s="25">
        <f>IFERROR(M3/I3-1,"")</f>
        <v/>
      </c>
      <c r="N4" s="25">
        <f>IFERROR(N3/J3-1,"")</f>
        <v/>
      </c>
      <c r="O4" s="25">
        <f>IFERROR(O3/K3-1,"")</f>
        <v/>
      </c>
      <c r="P4" s="25">
        <f>IFERROR(P3/L3-1,"")</f>
        <v/>
      </c>
      <c r="Q4" s="25">
        <f>IFERROR(Q3/M3-1,"")</f>
        <v/>
      </c>
      <c r="R4" s="25">
        <f>IFERROR(R3/N3-1,"")</f>
        <v/>
      </c>
      <c r="S4" s="25">
        <f>IFERROR(S3/O3-1,"")</f>
        <v/>
      </c>
      <c r="T4" s="25">
        <f>IFERROR(T3/P3-1,"")</f>
        <v/>
      </c>
      <c r="U4" s="25">
        <f>IFERROR(U3/Q3-1,"")</f>
        <v/>
      </c>
      <c r="V4" s="25">
        <f>IFERROR(V3/R3-1,"")</f>
        <v/>
      </c>
      <c r="W4" s="25">
        <f>IFERROR(W3/S3-1,"")</f>
        <v/>
      </c>
      <c r="X4" s="25">
        <f>IFERROR(X3/T3-1,"")</f>
        <v/>
      </c>
      <c r="Y4" s="25">
        <f>IFERROR(Y3/U3-1,"")</f>
        <v/>
      </c>
      <c r="Z4" s="25">
        <f>IFERROR(Z3/V3-1,"")</f>
        <v/>
      </c>
      <c r="AA4" s="25">
        <f>IFERROR(AA3/W3-1,"")</f>
        <v/>
      </c>
      <c r="AB4" s="25">
        <f>IFERROR(AB3/X3-1,"")</f>
        <v/>
      </c>
      <c r="AC4" s="25">
        <f>IFERROR(AC3/Y3-1,"")</f>
        <v/>
      </c>
    </row>
    <row r="5">
      <c r="A5" s="4" t="inlineStr">
        <is>
          <t>Cost of Revenue</t>
        </is>
      </c>
      <c r="B5" s="18" t="n">
        <v>2063</v>
      </c>
      <c r="C5" s="18" t="n">
        <v>1957</v>
      </c>
      <c r="D5" s="18" t="n">
        <v>2048</v>
      </c>
      <c r="E5" s="18" t="n">
        <v>1964</v>
      </c>
      <c r="F5" s="18" t="n">
        <v>1969</v>
      </c>
      <c r="G5" s="18" t="n">
        <v>1880</v>
      </c>
      <c r="H5" s="18" t="n">
        <v>1939</v>
      </c>
      <c r="I5" s="18" t="n">
        <v>1915</v>
      </c>
      <c r="J5" s="18" t="n">
        <v>2122</v>
      </c>
      <c r="K5" s="18" t="n">
        <v>2103</v>
      </c>
      <c r="L5" s="18" t="n">
        <v>2159</v>
      </c>
      <c r="M5" s="18" t="n">
        <v>2218</v>
      </c>
      <c r="N5" s="18" t="n">
        <v>2397</v>
      </c>
      <c r="O5" s="18" t="n">
        <v>3037</v>
      </c>
      <c r="P5" s="18" t="n">
        <v>3358</v>
      </c>
      <c r="Q5" s="18" t="n">
        <v>3439</v>
      </c>
      <c r="R5" s="18" t="n">
        <v>3730</v>
      </c>
      <c r="S5" s="18" t="n">
        <v>3610</v>
      </c>
      <c r="T5" s="18" t="n">
        <v>3740</v>
      </c>
      <c r="U5" s="18" t="n">
        <v>3869</v>
      </c>
      <c r="V5" s="18" t="n">
        <v>3924</v>
      </c>
      <c r="W5" s="18" t="n">
        <v>3906</v>
      </c>
      <c r="X5" s="18" t="n">
        <v>4085</v>
      </c>
      <c r="Y5" s="18" t="n">
        <v>4195</v>
      </c>
      <c r="Z5" s="18" t="n">
        <v>4740</v>
      </c>
      <c r="AA5" s="18" t="n">
        <v>4884</v>
      </c>
      <c r="AB5" s="18" t="n">
        <v>5374</v>
      </c>
      <c r="AC5" s="18" t="n">
        <v>6505</v>
      </c>
    </row>
    <row r="6">
      <c r="A6" s="4" t="inlineStr">
        <is>
          <t xml:space="preserve">    % of revenue</t>
        </is>
      </c>
      <c r="B6" s="25">
        <f>IFERROR(B5/B3,"")</f>
        <v/>
      </c>
      <c r="C6" s="25">
        <f>IFERROR(C5/C3,"")</f>
        <v/>
      </c>
      <c r="D6" s="25">
        <f>IFERROR(D5/D3,"")</f>
        <v/>
      </c>
      <c r="E6" s="25">
        <f>IFERROR(E5/E3,"")</f>
        <v/>
      </c>
      <c r="F6" s="25">
        <f>IFERROR(F5/F3,"")</f>
        <v/>
      </c>
      <c r="G6" s="25">
        <f>IFERROR(G5/G3,"")</f>
        <v/>
      </c>
      <c r="H6" s="25">
        <f>IFERROR(H5/H3,"")</f>
        <v/>
      </c>
      <c r="I6" s="25">
        <f>IFERROR(I5/I3,"")</f>
        <v/>
      </c>
      <c r="J6" s="25">
        <f>IFERROR(J5/J3,"")</f>
        <v/>
      </c>
      <c r="K6" s="25">
        <f>IFERROR(K5/K3,"")</f>
        <v/>
      </c>
      <c r="L6" s="25">
        <f>IFERROR(L5/L3,"")</f>
        <v/>
      </c>
      <c r="M6" s="25">
        <f>IFERROR(M5/M3,"")</f>
        <v/>
      </c>
      <c r="N6" s="25">
        <f>IFERROR(N5/N3,"")</f>
        <v/>
      </c>
      <c r="O6" s="25">
        <f>IFERROR(O5/O3,"")</f>
        <v/>
      </c>
      <c r="P6" s="25">
        <f>IFERROR(P5/P3,"")</f>
        <v/>
      </c>
      <c r="Q6" s="25">
        <f>IFERROR(Q5/Q3,"")</f>
        <v/>
      </c>
      <c r="R6" s="25">
        <f>IFERROR(R5/R3,"")</f>
        <v/>
      </c>
      <c r="S6" s="25">
        <f>IFERROR(S5/S3,"")</f>
        <v/>
      </c>
      <c r="T6" s="25">
        <f>IFERROR(T5/T3,"")</f>
        <v/>
      </c>
      <c r="U6" s="25">
        <f>IFERROR(U5/U3,"")</f>
        <v/>
      </c>
      <c r="V6" s="25">
        <f>IFERROR(V5/V3,"")</f>
        <v/>
      </c>
      <c r="W6" s="25">
        <f>IFERROR(W5/W3,"")</f>
        <v/>
      </c>
      <c r="X6" s="25">
        <f>IFERROR(X5/X3,"")</f>
        <v/>
      </c>
      <c r="Y6" s="25">
        <f>IFERROR(Y5/Y3,"")</f>
        <v/>
      </c>
      <c r="Z6" s="25">
        <f>IFERROR(Z5/Z3,"")</f>
        <v/>
      </c>
      <c r="AA6" s="25">
        <f>IFERROR(AA5/AA3,"")</f>
        <v/>
      </c>
      <c r="AB6" s="25">
        <f>IFERROR(AB5/AB3,"")</f>
        <v/>
      </c>
      <c r="AC6" s="25">
        <f>IFERROR(AC5/AC3,"")</f>
        <v/>
      </c>
    </row>
    <row r="7">
      <c r="A7" s="4" t="inlineStr">
        <is>
          <t>R&amp;D Expense</t>
        </is>
      </c>
      <c r="B7" s="18" t="n">
        <v>1562</v>
      </c>
      <c r="C7" s="18" t="n">
        <v>1557</v>
      </c>
      <c r="D7" s="18" t="n">
        <v>1531</v>
      </c>
      <c r="E7" s="18" t="n">
        <v>1500</v>
      </c>
      <c r="F7" s="18" t="n">
        <v>1479</v>
      </c>
      <c r="G7" s="18" t="n">
        <v>1589</v>
      </c>
      <c r="H7" s="18" t="n">
        <v>1601</v>
      </c>
      <c r="I7" s="18" t="n">
        <v>1621</v>
      </c>
      <c r="J7" s="18" t="n">
        <v>1715</v>
      </c>
      <c r="K7" s="18" t="n">
        <v>1684</v>
      </c>
      <c r="L7" s="18" t="n">
        <v>1754</v>
      </c>
      <c r="M7" s="18" t="n">
        <v>1816</v>
      </c>
      <c r="N7" s="18" t="n">
        <v>1965</v>
      </c>
      <c r="O7" s="18" t="n">
        <v>2093</v>
      </c>
      <c r="P7" s="18" t="n">
        <v>2158</v>
      </c>
      <c r="Q7" s="18" t="n">
        <v>2146</v>
      </c>
      <c r="R7" s="18" t="n">
        <v>2226</v>
      </c>
      <c r="S7" s="18" t="n">
        <v>2216</v>
      </c>
      <c r="T7" s="18" t="n">
        <v>2226</v>
      </c>
      <c r="U7" s="18" t="n">
        <v>2248</v>
      </c>
      <c r="V7" s="18" t="n">
        <v>2226</v>
      </c>
      <c r="W7" s="18" t="n">
        <v>2306</v>
      </c>
      <c r="X7" s="18" t="n">
        <v>2471</v>
      </c>
      <c r="Y7" s="18" t="n">
        <v>2429</v>
      </c>
      <c r="Z7" s="18" t="n">
        <v>2654</v>
      </c>
      <c r="AA7" s="18" t="n">
        <v>2491</v>
      </c>
      <c r="AB7" s="18" t="n">
        <v>2561</v>
      </c>
      <c r="AC7" s="18" t="n">
        <v>2607</v>
      </c>
    </row>
    <row r="8">
      <c r="A8" s="4" t="inlineStr">
        <is>
          <t xml:space="preserve">    % of revenue</t>
        </is>
      </c>
      <c r="B8" s="25">
        <f>IFERROR(B7/B3,"")</f>
        <v/>
      </c>
      <c r="C8" s="25">
        <f>IFERROR(C7/C3,"")</f>
        <v/>
      </c>
      <c r="D8" s="25">
        <f>IFERROR(D7/D3,"")</f>
        <v/>
      </c>
      <c r="E8" s="25">
        <f>IFERROR(E7/E3,"")</f>
        <v/>
      </c>
      <c r="F8" s="25">
        <f>IFERROR(F7/F3,"")</f>
        <v/>
      </c>
      <c r="G8" s="25">
        <f>IFERROR(G7/G3,"")</f>
        <v/>
      </c>
      <c r="H8" s="25">
        <f>IFERROR(H7/H3,"")</f>
        <v/>
      </c>
      <c r="I8" s="25">
        <f>IFERROR(I7/I3,"")</f>
        <v/>
      </c>
      <c r="J8" s="25">
        <f>IFERROR(J7/J3,"")</f>
        <v/>
      </c>
      <c r="K8" s="25">
        <f>IFERROR(K7/K3,"")</f>
        <v/>
      </c>
      <c r="L8" s="25">
        <f>IFERROR(L7/L3,"")</f>
        <v/>
      </c>
      <c r="M8" s="25">
        <f>IFERROR(M7/M3,"")</f>
        <v/>
      </c>
      <c r="N8" s="25">
        <f>IFERROR(N7/N3,"")</f>
        <v/>
      </c>
      <c r="O8" s="25">
        <f>IFERROR(O7/O3,"")</f>
        <v/>
      </c>
      <c r="P8" s="25">
        <f>IFERROR(P7/P3,"")</f>
        <v/>
      </c>
      <c r="Q8" s="25">
        <f>IFERROR(Q7/Q3,"")</f>
        <v/>
      </c>
      <c r="R8" s="25">
        <f>IFERROR(R7/R3,"")</f>
        <v/>
      </c>
      <c r="S8" s="25">
        <f>IFERROR(S7/S3,"")</f>
        <v/>
      </c>
      <c r="T8" s="25">
        <f>IFERROR(T7/T3,"")</f>
        <v/>
      </c>
      <c r="U8" s="25">
        <f>IFERROR(U7/U3,"")</f>
        <v/>
      </c>
      <c r="V8" s="25">
        <f>IFERROR(V7/V3,"")</f>
        <v/>
      </c>
      <c r="W8" s="25">
        <f>IFERROR(W7/W3,"")</f>
        <v/>
      </c>
      <c r="X8" s="25">
        <f>IFERROR(X7/X3,"")</f>
        <v/>
      </c>
      <c r="Y8" s="25">
        <f>IFERROR(Y7/Y3,"")</f>
        <v/>
      </c>
      <c r="Z8" s="25">
        <f>IFERROR(Z7/Z3,"")</f>
        <v/>
      </c>
      <c r="AA8" s="25">
        <f>IFERROR(AA7/AA3,"")</f>
        <v/>
      </c>
      <c r="AB8" s="25">
        <f>IFERROR(AB7/AB3,"")</f>
        <v/>
      </c>
      <c r="AC8" s="25">
        <f>IFERROR(AC7/AC3,"")</f>
        <v/>
      </c>
    </row>
    <row r="9">
      <c r="A9" s="4" t="inlineStr">
        <is>
          <t>SG&amp;A Expense</t>
        </is>
      </c>
      <c r="B9" s="18" t="n">
        <v>2648</v>
      </c>
      <c r="C9" s="18" t="n">
        <v>2310</v>
      </c>
      <c r="D9" s="18" t="n">
        <v>2391</v>
      </c>
      <c r="E9" s="18" t="n">
        <v>2337</v>
      </c>
      <c r="F9" s="18" t="n">
        <v>2237</v>
      </c>
      <c r="G9" s="18" t="n">
        <v>2149</v>
      </c>
      <c r="H9" s="18" t="n">
        <v>2160</v>
      </c>
      <c r="I9" s="18" t="n">
        <v>2245</v>
      </c>
      <c r="J9" s="18" t="n">
        <v>2382</v>
      </c>
      <c r="K9" s="18" t="n">
        <v>2152</v>
      </c>
      <c r="L9" s="18" t="n">
        <v>2273</v>
      </c>
      <c r="M9" s="18" t="n">
        <v>2339</v>
      </c>
      <c r="N9" s="18" t="n">
        <v>2602</v>
      </c>
      <c r="O9" s="18" t="n">
        <v>2588</v>
      </c>
      <c r="P9" s="18" t="n">
        <v>2582</v>
      </c>
      <c r="Q9" s="18" t="n">
        <v>2552</v>
      </c>
      <c r="R9" s="18" t="n">
        <v>2689</v>
      </c>
      <c r="S9" s="18" t="n">
        <v>2419</v>
      </c>
      <c r="T9" s="18" t="n">
        <v>2468</v>
      </c>
      <c r="U9" s="18" t="n">
        <v>2419</v>
      </c>
      <c r="V9" s="18" t="n">
        <v>2515</v>
      </c>
      <c r="W9" s="18" t="n">
        <v>2394</v>
      </c>
      <c r="X9" s="18" t="n">
        <v>2577</v>
      </c>
      <c r="Y9" s="18" t="n">
        <v>2509</v>
      </c>
      <c r="Z9" s="18" t="n">
        <v>2773</v>
      </c>
      <c r="AA9" s="18" t="n">
        <v>2439</v>
      </c>
      <c r="AB9" s="18" t="n">
        <v>2558</v>
      </c>
      <c r="AC9" s="18" t="n">
        <v>2441</v>
      </c>
    </row>
    <row r="10">
      <c r="A10" s="4" t="inlineStr">
        <is>
          <t xml:space="preserve">    % of revenue</t>
        </is>
      </c>
      <c r="B10" s="25">
        <f>IFERROR(B9/B3,"")</f>
        <v/>
      </c>
      <c r="C10" s="25">
        <f>IFERROR(C9/C3,"")</f>
        <v/>
      </c>
      <c r="D10" s="25">
        <f>IFERROR(D9/D3,"")</f>
        <v/>
      </c>
      <c r="E10" s="25">
        <f>IFERROR(E9/E3,"")</f>
        <v/>
      </c>
      <c r="F10" s="25">
        <f>IFERROR(F9/F3,"")</f>
        <v/>
      </c>
      <c r="G10" s="25">
        <f>IFERROR(G9/G3,"")</f>
        <v/>
      </c>
      <c r="H10" s="25">
        <f>IFERROR(H9/H3,"")</f>
        <v/>
      </c>
      <c r="I10" s="25">
        <f>IFERROR(I9/I3,"")</f>
        <v/>
      </c>
      <c r="J10" s="25">
        <f>IFERROR(J9/J3,"")</f>
        <v/>
      </c>
      <c r="K10" s="25">
        <f>IFERROR(K9/K3,"")</f>
        <v/>
      </c>
      <c r="L10" s="25">
        <f>IFERROR(L9/L3,"")</f>
        <v/>
      </c>
      <c r="M10" s="25">
        <f>IFERROR(M9/M3,"")</f>
        <v/>
      </c>
      <c r="N10" s="25">
        <f>IFERROR(N9/N3,"")</f>
        <v/>
      </c>
      <c r="O10" s="25">
        <f>IFERROR(O9/O3,"")</f>
        <v/>
      </c>
      <c r="P10" s="25">
        <f>IFERROR(P9/P3,"")</f>
        <v/>
      </c>
      <c r="Q10" s="25">
        <f>IFERROR(Q9/Q3,"")</f>
        <v/>
      </c>
      <c r="R10" s="25">
        <f>IFERROR(R9/R3,"")</f>
        <v/>
      </c>
      <c r="S10" s="25">
        <f>IFERROR(S9/S3,"")</f>
        <v/>
      </c>
      <c r="T10" s="25">
        <f>IFERROR(T9/T3,"")</f>
        <v/>
      </c>
      <c r="U10" s="25">
        <f>IFERROR(U9/U3,"")</f>
        <v/>
      </c>
      <c r="V10" s="25">
        <f>IFERROR(V9/V3,"")</f>
        <v/>
      </c>
      <c r="W10" s="25">
        <f>IFERROR(W9/W3,"")</f>
        <v/>
      </c>
      <c r="X10" s="25">
        <f>IFERROR(X9/X3,"")</f>
        <v/>
      </c>
      <c r="Y10" s="25">
        <f>IFERROR(Y9/Y3,"")</f>
        <v/>
      </c>
      <c r="Z10" s="25">
        <f>IFERROR(Z9/Z3,"")</f>
        <v/>
      </c>
      <c r="AA10" s="25">
        <f>IFERROR(AA9/AA3,"")</f>
        <v/>
      </c>
      <c r="AB10" s="25">
        <f>IFERROR(AB9/AB3,"")</f>
        <v/>
      </c>
      <c r="AC10" s="25">
        <f>IFERROR(AC9/AC3,"")</f>
        <v/>
      </c>
    </row>
    <row r="11">
      <c r="A11" s="4" t="inlineStr">
        <is>
          <t>Gross Profit</t>
        </is>
      </c>
      <c r="B11" s="18" t="n">
        <v>9073</v>
      </c>
      <c r="C11" s="18" t="n">
        <v>7261</v>
      </c>
      <c r="D11" s="18" t="n">
        <v>7566</v>
      </c>
      <c r="E11" s="18" t="n">
        <v>7832</v>
      </c>
      <c r="F11" s="18" t="n">
        <v>8470</v>
      </c>
      <c r="G11" s="18" t="n">
        <v>7487</v>
      </c>
      <c r="H11" s="18" t="n">
        <v>7861</v>
      </c>
      <c r="I11" s="18" t="n">
        <v>8170</v>
      </c>
      <c r="J11" s="18" t="n">
        <v>9105</v>
      </c>
      <c r="K11" s="18" t="n">
        <v>7625</v>
      </c>
      <c r="L11" s="18" t="n">
        <v>8201</v>
      </c>
      <c r="M11" s="18" t="n">
        <v>8295</v>
      </c>
      <c r="N11" s="18" t="n">
        <v>9444</v>
      </c>
      <c r="O11" s="18" t="n">
        <v>8408</v>
      </c>
      <c r="P11" s="18" t="n">
        <v>8917</v>
      </c>
      <c r="Q11" s="18" t="n">
        <v>8959</v>
      </c>
      <c r="R11" s="18" t="n">
        <v>10106</v>
      </c>
      <c r="S11" s="18" t="n">
        <v>8843</v>
      </c>
      <c r="T11" s="18" t="n">
        <v>9201</v>
      </c>
      <c r="U11" s="18" t="n">
        <v>9411</v>
      </c>
      <c r="V11" s="18" t="n">
        <v>10363</v>
      </c>
      <c r="W11" s="18" t="n">
        <v>9401</v>
      </c>
      <c r="X11" s="18" t="n">
        <v>9974</v>
      </c>
      <c r="Y11" s="18" t="n">
        <v>9935</v>
      </c>
      <c r="Z11" s="18" t="n">
        <v>11162</v>
      </c>
      <c r="AA11" s="18" t="n">
        <v>10042</v>
      </c>
      <c r="AB11" s="18" t="n">
        <v>10684</v>
      </c>
      <c r="AC11" s="18" t="n">
        <v>10685</v>
      </c>
    </row>
    <row r="12">
      <c r="A12" s="4" t="inlineStr">
        <is>
          <t xml:space="preserve">    gross margin</t>
        </is>
      </c>
      <c r="B12" s="25">
        <f>IFERROR(B11/B3,"")</f>
        <v/>
      </c>
      <c r="C12" s="25">
        <f>IFERROR(C11/C3,"")</f>
        <v/>
      </c>
      <c r="D12" s="25">
        <f>IFERROR(D11/D3,"")</f>
        <v/>
      </c>
      <c r="E12" s="25">
        <f>IFERROR(E11/E3,"")</f>
        <v/>
      </c>
      <c r="F12" s="25">
        <f>IFERROR(F11/F3,"")</f>
        <v/>
      </c>
      <c r="G12" s="25">
        <f>IFERROR(G11/G3,"")</f>
        <v/>
      </c>
      <c r="H12" s="25">
        <f>IFERROR(H11/H3,"")</f>
        <v/>
      </c>
      <c r="I12" s="25">
        <f>IFERROR(I11/I3,"")</f>
        <v/>
      </c>
      <c r="J12" s="25">
        <f>IFERROR(J11/J3,"")</f>
        <v/>
      </c>
      <c r="K12" s="25">
        <f>IFERROR(K11/K3,"")</f>
        <v/>
      </c>
      <c r="L12" s="25">
        <f>IFERROR(L11/L3,"")</f>
        <v/>
      </c>
      <c r="M12" s="25">
        <f>IFERROR(M11/M3,"")</f>
        <v/>
      </c>
      <c r="N12" s="25">
        <f>IFERROR(N11/N3,"")</f>
        <v/>
      </c>
      <c r="O12" s="25">
        <f>IFERROR(O11/O3,"")</f>
        <v/>
      </c>
      <c r="P12" s="25">
        <f>IFERROR(P11/P3,"")</f>
        <v/>
      </c>
      <c r="Q12" s="25">
        <f>IFERROR(Q11/Q3,"")</f>
        <v/>
      </c>
      <c r="R12" s="25">
        <f>IFERROR(R11/R3,"")</f>
        <v/>
      </c>
      <c r="S12" s="25">
        <f>IFERROR(S11/S3,"")</f>
        <v/>
      </c>
      <c r="T12" s="25">
        <f>IFERROR(T11/T3,"")</f>
        <v/>
      </c>
      <c r="U12" s="25">
        <f>IFERROR(U11/U3,"")</f>
        <v/>
      </c>
      <c r="V12" s="25">
        <f>IFERROR(V11/V3,"")</f>
        <v/>
      </c>
      <c r="W12" s="25">
        <f>IFERROR(W11/W3,"")</f>
        <v/>
      </c>
      <c r="X12" s="25">
        <f>IFERROR(X11/X3,"")</f>
        <v/>
      </c>
      <c r="Y12" s="25">
        <f>IFERROR(Y11/Y3,"")</f>
        <v/>
      </c>
      <c r="Z12" s="25">
        <f>IFERROR(Z11/Z3,"")</f>
        <v/>
      </c>
      <c r="AA12" s="25">
        <f>IFERROR(AA11/AA3,"")</f>
        <v/>
      </c>
      <c r="AB12" s="25">
        <f>IFERROR(AB11/AB3,"")</f>
        <v/>
      </c>
      <c r="AC12" s="25">
        <f>IFERROR(AC11/AC3,"")</f>
        <v/>
      </c>
    </row>
    <row r="13">
      <c r="A13" s="4" t="inlineStr">
        <is>
          <t>Operating Income</t>
        </is>
      </c>
      <c r="B13" s="18" t="n">
        <v>4257</v>
      </c>
      <c r="C13" s="18" t="n">
        <v>2877</v>
      </c>
      <c r="D13" s="18" t="n">
        <v>3183</v>
      </c>
      <c r="E13" s="18" t="n">
        <v>3528</v>
      </c>
      <c r="F13" s="18" t="n">
        <v>4308</v>
      </c>
      <c r="G13" s="18" t="n">
        <v>3211</v>
      </c>
      <c r="H13" s="18" t="n">
        <v>3583</v>
      </c>
      <c r="I13" s="18" t="n">
        <v>3878</v>
      </c>
      <c r="J13" s="18" t="n">
        <v>4541</v>
      </c>
      <c r="K13" s="18" t="n">
        <v>3427</v>
      </c>
      <c r="L13" s="18" t="n">
        <v>-824</v>
      </c>
      <c r="M13" s="18" t="n">
        <v>3822</v>
      </c>
      <c r="N13" s="18" t="n">
        <v>4503</v>
      </c>
      <c r="O13" s="18" t="n">
        <v>2623</v>
      </c>
      <c r="P13" s="18" t="n">
        <v>3071</v>
      </c>
      <c r="Q13" s="18" t="n">
        <v>3260</v>
      </c>
      <c r="R13" s="18" t="n">
        <v>4140</v>
      </c>
      <c r="S13" s="18" t="n">
        <v>3296</v>
      </c>
      <c r="T13" s="18" t="n">
        <v>3622</v>
      </c>
      <c r="U13" s="18" t="n">
        <v>3750</v>
      </c>
      <c r="V13" s="18" t="n">
        <v>4686</v>
      </c>
      <c r="W13" s="18" t="n">
        <v>3991</v>
      </c>
      <c r="X13" s="18" t="n">
        <v>4220</v>
      </c>
      <c r="Y13" s="18" t="n">
        <v>4358</v>
      </c>
      <c r="Z13" s="18" t="n">
        <v>5109</v>
      </c>
      <c r="AA13" s="18" t="n">
        <v>4277</v>
      </c>
      <c r="AB13" s="18" t="n">
        <v>4731</v>
      </c>
      <c r="AC13" s="18" t="n">
        <v>5637</v>
      </c>
    </row>
    <row r="14">
      <c r="A14" s="4" t="inlineStr">
        <is>
          <t xml:space="preserve">    operating margin</t>
        </is>
      </c>
      <c r="B14" s="25">
        <f>IFERROR(B13/B3,"")</f>
        <v/>
      </c>
      <c r="C14" s="25">
        <f>IFERROR(C13/C3,"")</f>
        <v/>
      </c>
      <c r="D14" s="25">
        <f>IFERROR(D13/D3,"")</f>
        <v/>
      </c>
      <c r="E14" s="25">
        <f>IFERROR(E13/E3,"")</f>
        <v/>
      </c>
      <c r="F14" s="25">
        <f>IFERROR(F13/F3,"")</f>
        <v/>
      </c>
      <c r="G14" s="25">
        <f>IFERROR(G13/G3,"")</f>
        <v/>
      </c>
      <c r="H14" s="25">
        <f>IFERROR(H13/H3,"")</f>
        <v/>
      </c>
      <c r="I14" s="25">
        <f>IFERROR(I13/I3,"")</f>
        <v/>
      </c>
      <c r="J14" s="25">
        <f>IFERROR(J13/J3,"")</f>
        <v/>
      </c>
      <c r="K14" s="25">
        <f>IFERROR(K13/K3,"")</f>
        <v/>
      </c>
      <c r="L14" s="25">
        <f>IFERROR(L13/L3,"")</f>
        <v/>
      </c>
      <c r="M14" s="25">
        <f>IFERROR(M13/M3,"")</f>
        <v/>
      </c>
      <c r="N14" s="25">
        <f>IFERROR(N13/N3,"")</f>
        <v/>
      </c>
      <c r="O14" s="25">
        <f>IFERROR(O13/O3,"")</f>
        <v/>
      </c>
      <c r="P14" s="25">
        <f>IFERROR(P13/P3,"")</f>
        <v/>
      </c>
      <c r="Q14" s="25">
        <f>IFERROR(Q13/Q3,"")</f>
        <v/>
      </c>
      <c r="R14" s="25">
        <f>IFERROR(R13/R3,"")</f>
        <v/>
      </c>
      <c r="S14" s="25">
        <f>IFERROR(S13/S3,"")</f>
        <v/>
      </c>
      <c r="T14" s="25">
        <f>IFERROR(T13/T3,"")</f>
        <v/>
      </c>
      <c r="U14" s="25">
        <f>IFERROR(U13/U3,"")</f>
        <v/>
      </c>
      <c r="V14" s="25">
        <f>IFERROR(V13/V3,"")</f>
        <v/>
      </c>
      <c r="W14" s="25">
        <f>IFERROR(W13/W3,"")</f>
        <v/>
      </c>
      <c r="X14" s="25">
        <f>IFERROR(X13/X3,"")</f>
        <v/>
      </c>
      <c r="Y14" s="25">
        <f>IFERROR(Y13/Y3,"")</f>
        <v/>
      </c>
      <c r="Z14" s="25">
        <f>IFERROR(Z13/Z3,"")</f>
        <v/>
      </c>
      <c r="AA14" s="25">
        <f>IFERROR(AA13/AA3,"")</f>
        <v/>
      </c>
      <c r="AB14" s="25">
        <f>IFERROR(AB13/AB3,"")</f>
        <v/>
      </c>
      <c r="AC14" s="25">
        <f>IFERROR(AC13/AC3,"")</f>
        <v/>
      </c>
    </row>
    <row r="15">
      <c r="A15" s="4" t="inlineStr">
        <is>
          <t>Net Income</t>
        </is>
      </c>
      <c r="B15" s="18" t="n">
        <v>3740</v>
      </c>
      <c r="C15" s="18" t="n">
        <v>2137</v>
      </c>
      <c r="D15" s="18" t="n">
        <v>2311</v>
      </c>
      <c r="E15" s="18" t="n">
        <v>2571</v>
      </c>
      <c r="F15" s="18" t="n">
        <v>3116</v>
      </c>
      <c r="G15" s="18" t="n">
        <v>2251</v>
      </c>
      <c r="H15" s="18" t="n">
        <v>2442</v>
      </c>
      <c r="I15" s="18" t="n">
        <v>5021</v>
      </c>
      <c r="J15" s="18" t="n">
        <v>4033</v>
      </c>
      <c r="K15" s="18" t="n">
        <v>2457</v>
      </c>
      <c r="L15" s="18" t="n">
        <v>-1247</v>
      </c>
      <c r="M15" s="18" t="n">
        <v>2319</v>
      </c>
      <c r="N15" s="18" t="n">
        <v>3189</v>
      </c>
      <c r="O15" s="18" t="n">
        <v>1548</v>
      </c>
      <c r="P15" s="18" t="n">
        <v>1741</v>
      </c>
      <c r="Q15" s="18" t="n">
        <v>1896</v>
      </c>
      <c r="R15" s="18" t="n">
        <v>3319</v>
      </c>
      <c r="S15" s="18" t="n">
        <v>2420</v>
      </c>
      <c r="T15" s="18" t="n">
        <v>2503</v>
      </c>
      <c r="U15" s="18" t="n">
        <v>2401</v>
      </c>
      <c r="V15" s="18" t="n">
        <v>3144</v>
      </c>
      <c r="W15" s="18" t="n">
        <v>2929</v>
      </c>
      <c r="X15" s="18" t="n">
        <v>3151</v>
      </c>
      <c r="Y15" s="18" t="n">
        <v>2936</v>
      </c>
      <c r="Z15" s="18" t="n">
        <v>3427</v>
      </c>
      <c r="AA15" s="18" t="n">
        <v>2927</v>
      </c>
      <c r="AB15" s="18" t="n">
        <v>6135</v>
      </c>
      <c r="AC15" s="18" t="n">
        <v>3721</v>
      </c>
    </row>
    <row r="16">
      <c r="A16" s="4" t="inlineStr">
        <is>
          <t xml:space="preserve">    net margin</t>
        </is>
      </c>
      <c r="B16" s="25">
        <f>IFERROR(B15/B3,"")</f>
        <v/>
      </c>
      <c r="C16" s="25">
        <f>IFERROR(C15/C3,"")</f>
        <v/>
      </c>
      <c r="D16" s="25">
        <f>IFERROR(D15/D3,"")</f>
        <v/>
      </c>
      <c r="E16" s="25">
        <f>IFERROR(E15/E3,"")</f>
        <v/>
      </c>
      <c r="F16" s="25">
        <f>IFERROR(F15/F3,"")</f>
        <v/>
      </c>
      <c r="G16" s="25">
        <f>IFERROR(G15/G3,"")</f>
        <v/>
      </c>
      <c r="H16" s="25">
        <f>IFERROR(H15/H3,"")</f>
        <v/>
      </c>
      <c r="I16" s="25">
        <f>IFERROR(I15/I3,"")</f>
        <v/>
      </c>
      <c r="J16" s="25">
        <f>IFERROR(J15/J3,"")</f>
        <v/>
      </c>
      <c r="K16" s="25">
        <f>IFERROR(K15/K3,"")</f>
        <v/>
      </c>
      <c r="L16" s="25">
        <f>IFERROR(L15/L3,"")</f>
        <v/>
      </c>
      <c r="M16" s="25">
        <f>IFERROR(M15/M3,"")</f>
        <v/>
      </c>
      <c r="N16" s="25">
        <f>IFERROR(N15/N3,"")</f>
        <v/>
      </c>
      <c r="O16" s="25">
        <f>IFERROR(O15/O3,"")</f>
        <v/>
      </c>
      <c r="P16" s="25">
        <f>IFERROR(P15/P3,"")</f>
        <v/>
      </c>
      <c r="Q16" s="25">
        <f>IFERROR(Q15/Q3,"")</f>
        <v/>
      </c>
      <c r="R16" s="25">
        <f>IFERROR(R15/R3,"")</f>
        <v/>
      </c>
      <c r="S16" s="25">
        <f>IFERROR(S15/S3,"")</f>
        <v/>
      </c>
      <c r="T16" s="25">
        <f>IFERROR(T15/T3,"")</f>
        <v/>
      </c>
      <c r="U16" s="25">
        <f>IFERROR(U15/U3,"")</f>
        <v/>
      </c>
      <c r="V16" s="25">
        <f>IFERROR(V15/V3,"")</f>
        <v/>
      </c>
      <c r="W16" s="25">
        <f>IFERROR(W15/W3,"")</f>
        <v/>
      </c>
      <c r="X16" s="25">
        <f>IFERROR(X15/X3,"")</f>
        <v/>
      </c>
      <c r="Y16" s="25">
        <f>IFERROR(Y15/Y3,"")</f>
        <v/>
      </c>
      <c r="Z16" s="25">
        <f>IFERROR(Z15/Z3,"")</f>
        <v/>
      </c>
      <c r="AA16" s="25">
        <f>IFERROR(AA15/AA3,"")</f>
        <v/>
      </c>
      <c r="AB16" s="25">
        <f>IFERROR(AB15/AB3,"")</f>
        <v/>
      </c>
      <c r="AC16" s="25">
        <f>IFERROR(AC15/AC3,"")</f>
        <v/>
      </c>
    </row>
    <row r="17">
      <c r="A17" s="4" t="inlineStr">
        <is>
          <t>Diluted Shares (M)</t>
        </is>
      </c>
      <c r="B17" s="18" t="n">
        <v>3505.49</v>
      </c>
      <c r="C17" s="18" t="n">
        <v>3410</v>
      </c>
      <c r="D17" s="18" t="n">
        <v>3349.275</v>
      </c>
      <c r="E17" s="18" t="n">
        <v>3271</v>
      </c>
      <c r="F17" s="18" t="n">
        <v>3162</v>
      </c>
      <c r="G17" s="18" t="n">
        <v>3126.389</v>
      </c>
      <c r="H17" s="18" t="n">
        <v>3052.5</v>
      </c>
      <c r="I17" s="18" t="n">
        <v>2994</v>
      </c>
      <c r="J17" s="18" t="n">
        <v>2949.007</v>
      </c>
      <c r="K17" s="18" t="n">
        <v>2861</v>
      </c>
      <c r="L17" s="18" t="n">
        <v>2694.003</v>
      </c>
      <c r="M17" s="18" t="n">
        <v>2754</v>
      </c>
      <c r="N17" s="18" t="n">
        <v>2742</v>
      </c>
      <c r="O17" s="18" t="n">
        <v>2747</v>
      </c>
      <c r="P17" s="18" t="n">
        <v>2746</v>
      </c>
      <c r="Q17" s="18" t="n">
        <v>2776</v>
      </c>
      <c r="R17" s="18" t="n">
        <v>2796</v>
      </c>
      <c r="S17" s="18" t="n">
        <v>2823</v>
      </c>
      <c r="T17" s="18" t="n">
        <v>2817</v>
      </c>
      <c r="U17" s="18" t="n">
        <v>2819</v>
      </c>
      <c r="V17" s="18" t="n">
        <v>2834</v>
      </c>
      <c r="W17" s="18" t="n">
        <v>2851</v>
      </c>
      <c r="X17" s="18" t="n">
        <v>2869</v>
      </c>
      <c r="Y17" s="18" t="n">
        <v>2874</v>
      </c>
      <c r="Z17" s="18" t="n">
        <v>2871</v>
      </c>
      <c r="AA17" s="18" t="n">
        <v>2909</v>
      </c>
      <c r="AB17" s="18" t="n">
        <v>2922</v>
      </c>
      <c r="AC17" s="18" t="n">
        <v>2914</v>
      </c>
    </row>
    <row r="18">
      <c r="A18" s="5" t="inlineStr">
        <is>
          <t xml:space="preserve">  REVENUE BY SEGMENT — PRODUCT (% YoY, % of revenue)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</row>
    <row r="19">
      <c r="A19" s="4" t="inlineStr">
        <is>
          <t>Cloud And License Business</t>
        </is>
      </c>
      <c r="B19" s="18" t="n">
        <v>9322</v>
      </c>
      <c r="C19" s="18" t="n">
        <v>7619</v>
      </c>
      <c r="D19" s="18" t="n">
        <v>7938</v>
      </c>
      <c r="E19" s="18" t="n">
        <v>8162</v>
      </c>
      <c r="F19" s="18" t="n">
        <v>8804</v>
      </c>
      <c r="G19" s="18" t="n">
        <v>7834</v>
      </c>
      <c r="H19" s="18" t="n">
        <v>8204</v>
      </c>
      <c r="I19" s="18" t="n">
        <v>8529</v>
      </c>
      <c r="J19" s="18" t="n">
        <v>9534</v>
      </c>
      <c r="K19" s="18" t="n">
        <v>8184</v>
      </c>
      <c r="L19" s="18" t="n">
        <v>8791</v>
      </c>
      <c r="M19" s="18" t="n">
        <v>8926</v>
      </c>
      <c r="N19" s="18" t="n">
        <v>10151</v>
      </c>
      <c r="O19" s="18" t="n">
        <v>9321</v>
      </c>
      <c r="P19" s="18" t="n">
        <v>10033</v>
      </c>
      <c r="Q19" s="18" t="n">
        <v>10211</v>
      </c>
      <c r="R19" s="18" t="n">
        <v>11521</v>
      </c>
      <c r="S19" s="18" t="n">
        <v>10356</v>
      </c>
      <c r="T19" s="18" t="n">
        <v>10817</v>
      </c>
      <c r="U19" s="18" t="n">
        <v>11219</v>
      </c>
      <c r="V19" s="18" t="n">
        <v>12072</v>
      </c>
      <c r="W19" s="18" t="n">
        <v>11389</v>
      </c>
      <c r="X19" s="18" t="n">
        <v>12001</v>
      </c>
      <c r="Y19" s="18" t="n">
        <v>12136</v>
      </c>
      <c r="Z19" s="18" t="n">
        <v>13704</v>
      </c>
      <c r="AA19" s="18" t="n">
        <v>12907</v>
      </c>
      <c r="AC19" s="18" t="n">
        <v>15033</v>
      </c>
    </row>
    <row r="20">
      <c r="A20" s="4" t="inlineStr">
        <is>
          <t xml:space="preserve">    % YoY</t>
        </is>
      </c>
      <c r="F20" s="25">
        <f>IFERROR(F19/B19-1,"")</f>
        <v/>
      </c>
      <c r="G20" s="25">
        <f>IFERROR(G19/C19-1,"")</f>
        <v/>
      </c>
      <c r="H20" s="25">
        <f>IFERROR(H19/D19-1,"")</f>
        <v/>
      </c>
      <c r="I20" s="25">
        <f>IFERROR(I19/E19-1,"")</f>
        <v/>
      </c>
      <c r="J20" s="25">
        <f>IFERROR(J19/F19-1,"")</f>
        <v/>
      </c>
      <c r="K20" s="25">
        <f>IFERROR(K19/G19-1,"")</f>
        <v/>
      </c>
      <c r="L20" s="25">
        <f>IFERROR(L19/H19-1,"")</f>
        <v/>
      </c>
      <c r="M20" s="25">
        <f>IFERROR(M19/I19-1,"")</f>
        <v/>
      </c>
      <c r="N20" s="25">
        <f>IFERROR(N19/J19-1,"")</f>
        <v/>
      </c>
      <c r="O20" s="25">
        <f>IFERROR(O19/K19-1,"")</f>
        <v/>
      </c>
      <c r="P20" s="25">
        <f>IFERROR(P19/L19-1,"")</f>
        <v/>
      </c>
      <c r="Q20" s="25">
        <f>IFERROR(Q19/M19-1,"")</f>
        <v/>
      </c>
      <c r="R20" s="25">
        <f>IFERROR(R19/N19-1,"")</f>
        <v/>
      </c>
      <c r="S20" s="25">
        <f>IFERROR(S19/O19-1,"")</f>
        <v/>
      </c>
      <c r="T20" s="25">
        <f>IFERROR(T19/P19-1,"")</f>
        <v/>
      </c>
      <c r="U20" s="25">
        <f>IFERROR(U19/Q19-1,"")</f>
        <v/>
      </c>
      <c r="V20" s="25">
        <f>IFERROR(V19/R19-1,"")</f>
        <v/>
      </c>
      <c r="W20" s="25">
        <f>IFERROR(W19/S19-1,"")</f>
        <v/>
      </c>
      <c r="X20" s="25">
        <f>IFERROR(X19/T19-1,"")</f>
        <v/>
      </c>
      <c r="Y20" s="25">
        <f>IFERROR(Y19/U19-1,"")</f>
        <v/>
      </c>
      <c r="Z20" s="25">
        <f>IFERROR(Z19/V19-1,"")</f>
        <v/>
      </c>
      <c r="AA20" s="25">
        <f>IFERROR(AA19/W19-1,"")</f>
        <v/>
      </c>
      <c r="AB20" s="25">
        <f>IFERROR(AB19/X19-1,"")</f>
        <v/>
      </c>
      <c r="AC20" s="25">
        <f>IFERROR(AC19/Y19-1,"")</f>
        <v/>
      </c>
    </row>
    <row r="21">
      <c r="A21" s="4" t="inlineStr">
        <is>
          <t xml:space="preserve">    % of revenue</t>
        </is>
      </c>
      <c r="B21" s="25">
        <f>IFERROR(B19/B3,"")</f>
        <v/>
      </c>
      <c r="C21" s="25">
        <f>IFERROR(C19/C3,"")</f>
        <v/>
      </c>
      <c r="D21" s="25">
        <f>IFERROR(D19/D3,"")</f>
        <v/>
      </c>
      <c r="E21" s="25">
        <f>IFERROR(E19/E3,"")</f>
        <v/>
      </c>
      <c r="F21" s="25">
        <f>IFERROR(F19/F3,"")</f>
        <v/>
      </c>
      <c r="G21" s="25">
        <f>IFERROR(G19/G3,"")</f>
        <v/>
      </c>
      <c r="H21" s="25">
        <f>IFERROR(H19/H3,"")</f>
        <v/>
      </c>
      <c r="I21" s="25">
        <f>IFERROR(I19/I3,"")</f>
        <v/>
      </c>
      <c r="J21" s="25">
        <f>IFERROR(J19/J3,"")</f>
        <v/>
      </c>
      <c r="K21" s="25">
        <f>IFERROR(K19/K3,"")</f>
        <v/>
      </c>
      <c r="L21" s="25">
        <f>IFERROR(L19/L3,"")</f>
        <v/>
      </c>
      <c r="M21" s="25">
        <f>IFERROR(M19/M3,"")</f>
        <v/>
      </c>
      <c r="N21" s="25">
        <f>IFERROR(N19/N3,"")</f>
        <v/>
      </c>
      <c r="O21" s="25">
        <f>IFERROR(O19/O3,"")</f>
        <v/>
      </c>
      <c r="P21" s="25">
        <f>IFERROR(P19/P3,"")</f>
        <v/>
      </c>
      <c r="Q21" s="25">
        <f>IFERROR(Q19/Q3,"")</f>
        <v/>
      </c>
      <c r="R21" s="25">
        <f>IFERROR(R19/R3,"")</f>
        <v/>
      </c>
      <c r="S21" s="25">
        <f>IFERROR(S19/S3,"")</f>
        <v/>
      </c>
      <c r="T21" s="25">
        <f>IFERROR(T19/T3,"")</f>
        <v/>
      </c>
      <c r="U21" s="25">
        <f>IFERROR(U19/U3,"")</f>
        <v/>
      </c>
      <c r="V21" s="25">
        <f>IFERROR(V19/V3,"")</f>
        <v/>
      </c>
      <c r="W21" s="25">
        <f>IFERROR(W19/W3,"")</f>
        <v/>
      </c>
      <c r="X21" s="25">
        <f>IFERROR(X19/X3,"")</f>
        <v/>
      </c>
      <c r="Y21" s="25">
        <f>IFERROR(Y19/Y3,"")</f>
        <v/>
      </c>
      <c r="Z21" s="25">
        <f>IFERROR(Z19/Z3,"")</f>
        <v/>
      </c>
      <c r="AA21" s="25">
        <f>IFERROR(AA19/AA3,"")</f>
        <v/>
      </c>
      <c r="AB21" s="25">
        <f>IFERROR(AB19/AB3,"")</f>
        <v/>
      </c>
      <c r="AC21" s="25">
        <f>IFERROR(AC19/AC3,"")</f>
        <v/>
      </c>
    </row>
    <row r="22">
      <c r="A22" s="4" t="inlineStr">
        <is>
          <t>Services Business</t>
        </is>
      </c>
      <c r="B22" s="18" t="n">
        <v>824</v>
      </c>
      <c r="C22" s="18" t="n">
        <v>786</v>
      </c>
      <c r="D22" s="18" t="n">
        <v>806</v>
      </c>
      <c r="E22" s="18" t="n">
        <v>778</v>
      </c>
      <c r="F22" s="18" t="n">
        <v>736</v>
      </c>
      <c r="G22" s="18" t="n">
        <v>720</v>
      </c>
      <c r="H22" s="18" t="n">
        <v>752</v>
      </c>
      <c r="I22" s="18" t="n">
        <v>737</v>
      </c>
      <c r="J22" s="18" t="n">
        <v>812</v>
      </c>
      <c r="K22" s="18" t="n">
        <v>781</v>
      </c>
      <c r="L22" s="18" t="n">
        <v>802</v>
      </c>
      <c r="M22" s="18" t="n">
        <v>789</v>
      </c>
      <c r="N22" s="18" t="n">
        <v>833</v>
      </c>
      <c r="O22" s="18" t="n">
        <v>1361</v>
      </c>
      <c r="P22" s="18" t="n">
        <v>1392</v>
      </c>
      <c r="Q22" s="18" t="n">
        <v>1376</v>
      </c>
      <c r="R22" s="18" t="n">
        <v>1465</v>
      </c>
      <c r="S22" s="18" t="n">
        <v>1383</v>
      </c>
      <c r="T22" s="18" t="n">
        <v>1368</v>
      </c>
      <c r="U22" s="18" t="n">
        <v>1307</v>
      </c>
      <c r="V22" s="18" t="n">
        <v>1373</v>
      </c>
      <c r="W22" s="18" t="n">
        <v>1263</v>
      </c>
      <c r="X22" s="18" t="n">
        <v>1330</v>
      </c>
      <c r="Y22" s="18" t="n">
        <v>1291</v>
      </c>
      <c r="Z22" s="18" t="n">
        <v>1349</v>
      </c>
      <c r="AA22" s="18" t="n">
        <v>1349</v>
      </c>
      <c r="AC22" s="18" t="n">
        <v>1443</v>
      </c>
    </row>
    <row r="23">
      <c r="A23" s="4" t="inlineStr">
        <is>
          <t xml:space="preserve">    % YoY</t>
        </is>
      </c>
      <c r="F23" s="25">
        <f>IFERROR(F22/B22-1,"")</f>
        <v/>
      </c>
      <c r="G23" s="25">
        <f>IFERROR(G22/C22-1,"")</f>
        <v/>
      </c>
      <c r="H23" s="25">
        <f>IFERROR(H22/D22-1,"")</f>
        <v/>
      </c>
      <c r="I23" s="25">
        <f>IFERROR(I22/E22-1,"")</f>
        <v/>
      </c>
      <c r="J23" s="25">
        <f>IFERROR(J22/F22-1,"")</f>
        <v/>
      </c>
      <c r="K23" s="25">
        <f>IFERROR(K22/G22-1,"")</f>
        <v/>
      </c>
      <c r="L23" s="25">
        <f>IFERROR(L22/H22-1,"")</f>
        <v/>
      </c>
      <c r="M23" s="25">
        <f>IFERROR(M22/I22-1,"")</f>
        <v/>
      </c>
      <c r="N23" s="25">
        <f>IFERROR(N22/J22-1,"")</f>
        <v/>
      </c>
      <c r="O23" s="25">
        <f>IFERROR(O22/K22-1,"")</f>
        <v/>
      </c>
      <c r="P23" s="25">
        <f>IFERROR(P22/L22-1,"")</f>
        <v/>
      </c>
      <c r="Q23" s="25">
        <f>IFERROR(Q22/M22-1,"")</f>
        <v/>
      </c>
      <c r="R23" s="25">
        <f>IFERROR(R22/N22-1,"")</f>
        <v/>
      </c>
      <c r="S23" s="25">
        <f>IFERROR(S22/O22-1,"")</f>
        <v/>
      </c>
      <c r="T23" s="25">
        <f>IFERROR(T22/P22-1,"")</f>
        <v/>
      </c>
      <c r="U23" s="25">
        <f>IFERROR(U22/Q22-1,"")</f>
        <v/>
      </c>
      <c r="V23" s="25">
        <f>IFERROR(V22/R22-1,"")</f>
        <v/>
      </c>
      <c r="W23" s="25">
        <f>IFERROR(W22/S22-1,"")</f>
        <v/>
      </c>
      <c r="X23" s="25">
        <f>IFERROR(X22/T22-1,"")</f>
        <v/>
      </c>
      <c r="Y23" s="25">
        <f>IFERROR(Y22/U22-1,"")</f>
        <v/>
      </c>
      <c r="Z23" s="25">
        <f>IFERROR(Z22/V22-1,"")</f>
        <v/>
      </c>
      <c r="AA23" s="25">
        <f>IFERROR(AA22/W22-1,"")</f>
        <v/>
      </c>
      <c r="AB23" s="25">
        <f>IFERROR(AB22/X22-1,"")</f>
        <v/>
      </c>
      <c r="AC23" s="25">
        <f>IFERROR(AC22/Y22-1,"")</f>
        <v/>
      </c>
    </row>
    <row r="24">
      <c r="A24" s="4" t="inlineStr">
        <is>
          <t xml:space="preserve">    % of revenue</t>
        </is>
      </c>
      <c r="B24" s="25">
        <f>IFERROR(B22/B3,"")</f>
        <v/>
      </c>
      <c r="C24" s="25">
        <f>IFERROR(C22/C3,"")</f>
        <v/>
      </c>
      <c r="D24" s="25">
        <f>IFERROR(D22/D3,"")</f>
        <v/>
      </c>
      <c r="E24" s="25">
        <f>IFERROR(E22/E3,"")</f>
        <v/>
      </c>
      <c r="F24" s="25">
        <f>IFERROR(F22/F3,"")</f>
        <v/>
      </c>
      <c r="G24" s="25">
        <f>IFERROR(G22/G3,"")</f>
        <v/>
      </c>
      <c r="H24" s="25">
        <f>IFERROR(H22/H3,"")</f>
        <v/>
      </c>
      <c r="I24" s="25">
        <f>IFERROR(I22/I3,"")</f>
        <v/>
      </c>
      <c r="J24" s="25">
        <f>IFERROR(J22/J3,"")</f>
        <v/>
      </c>
      <c r="K24" s="25">
        <f>IFERROR(K22/K3,"")</f>
        <v/>
      </c>
      <c r="L24" s="25">
        <f>IFERROR(L22/L3,"")</f>
        <v/>
      </c>
      <c r="M24" s="25">
        <f>IFERROR(M22/M3,"")</f>
        <v/>
      </c>
      <c r="N24" s="25">
        <f>IFERROR(N22/N3,"")</f>
        <v/>
      </c>
      <c r="O24" s="25">
        <f>IFERROR(O22/O3,"")</f>
        <v/>
      </c>
      <c r="P24" s="25">
        <f>IFERROR(P22/P3,"")</f>
        <v/>
      </c>
      <c r="Q24" s="25">
        <f>IFERROR(Q22/Q3,"")</f>
        <v/>
      </c>
      <c r="R24" s="25">
        <f>IFERROR(R22/R3,"")</f>
        <v/>
      </c>
      <c r="S24" s="25">
        <f>IFERROR(S22/S3,"")</f>
        <v/>
      </c>
      <c r="T24" s="25">
        <f>IFERROR(T22/T3,"")</f>
        <v/>
      </c>
      <c r="U24" s="25">
        <f>IFERROR(U22/U3,"")</f>
        <v/>
      </c>
      <c r="V24" s="25">
        <f>IFERROR(V22/V3,"")</f>
        <v/>
      </c>
      <c r="W24" s="25">
        <f>IFERROR(W22/W3,"")</f>
        <v/>
      </c>
      <c r="X24" s="25">
        <f>IFERROR(X22/X3,"")</f>
        <v/>
      </c>
      <c r="Y24" s="25">
        <f>IFERROR(Y22/Y3,"")</f>
        <v/>
      </c>
      <c r="Z24" s="25">
        <f>IFERROR(Z22/Z3,"")</f>
        <v/>
      </c>
      <c r="AA24" s="25">
        <f>IFERROR(AA22/AA3,"")</f>
        <v/>
      </c>
      <c r="AB24" s="25">
        <f>IFERROR(AB22/AB3,"")</f>
        <v/>
      </c>
      <c r="AC24" s="25">
        <f>IFERROR(AC22/AC3,"")</f>
        <v/>
      </c>
    </row>
    <row r="25">
      <c r="A25" s="4" t="inlineStr">
        <is>
          <t>Hardware Business</t>
        </is>
      </c>
      <c r="B25" s="18" t="n">
        <v>994</v>
      </c>
      <c r="C25" s="18" t="n">
        <v>815</v>
      </c>
      <c r="D25" s="18" t="n">
        <v>871</v>
      </c>
      <c r="E25" s="18" t="n">
        <v>857</v>
      </c>
      <c r="F25" s="18" t="n">
        <v>900</v>
      </c>
      <c r="G25" s="18" t="n">
        <v>814</v>
      </c>
      <c r="H25" s="18" t="n">
        <v>844</v>
      </c>
      <c r="I25" s="18" t="n">
        <v>820</v>
      </c>
      <c r="J25" s="18" t="n">
        <v>881</v>
      </c>
      <c r="K25" s="18" t="n">
        <v>763</v>
      </c>
      <c r="L25" s="18" t="n">
        <v>767</v>
      </c>
      <c r="M25" s="18" t="n">
        <v>798</v>
      </c>
      <c r="N25" s="18" t="n">
        <v>855</v>
      </c>
      <c r="O25" s="18" t="n">
        <v>763</v>
      </c>
      <c r="P25" s="18" t="n">
        <v>850</v>
      </c>
      <c r="Q25" s="18" t="n">
        <v>811</v>
      </c>
      <c r="R25" s="18" t="n">
        <v>850</v>
      </c>
      <c r="S25" s="18" t="n">
        <v>714</v>
      </c>
      <c r="T25" s="18" t="n">
        <v>756</v>
      </c>
      <c r="U25" s="18" t="n">
        <v>754</v>
      </c>
      <c r="V25" s="18" t="n">
        <v>842</v>
      </c>
      <c r="W25" s="18" t="n">
        <v>655</v>
      </c>
      <c r="X25" s="18" t="n">
        <v>728</v>
      </c>
      <c r="Y25" s="18" t="n">
        <v>703</v>
      </c>
      <c r="Z25" s="18" t="n">
        <v>850</v>
      </c>
      <c r="AA25" s="18" t="n">
        <v>670</v>
      </c>
      <c r="AC25" s="18" t="n">
        <v>714</v>
      </c>
    </row>
    <row r="26">
      <c r="A26" s="4" t="inlineStr">
        <is>
          <t xml:space="preserve">    % YoY</t>
        </is>
      </c>
      <c r="F26" s="25">
        <f>IFERROR(F25/B25-1,"")</f>
        <v/>
      </c>
      <c r="G26" s="25">
        <f>IFERROR(G25/C25-1,"")</f>
        <v/>
      </c>
      <c r="H26" s="25">
        <f>IFERROR(H25/D25-1,"")</f>
        <v/>
      </c>
      <c r="I26" s="25">
        <f>IFERROR(I25/E25-1,"")</f>
        <v/>
      </c>
      <c r="J26" s="25">
        <f>IFERROR(J25/F25-1,"")</f>
        <v/>
      </c>
      <c r="K26" s="25">
        <f>IFERROR(K25/G25-1,"")</f>
        <v/>
      </c>
      <c r="L26" s="25">
        <f>IFERROR(L25/H25-1,"")</f>
        <v/>
      </c>
      <c r="M26" s="25">
        <f>IFERROR(M25/I25-1,"")</f>
        <v/>
      </c>
      <c r="N26" s="25">
        <f>IFERROR(N25/J25-1,"")</f>
        <v/>
      </c>
      <c r="O26" s="25">
        <f>IFERROR(O25/K25-1,"")</f>
        <v/>
      </c>
      <c r="P26" s="25">
        <f>IFERROR(P25/L25-1,"")</f>
        <v/>
      </c>
      <c r="Q26" s="25">
        <f>IFERROR(Q25/M25-1,"")</f>
        <v/>
      </c>
      <c r="R26" s="25">
        <f>IFERROR(R25/N25-1,"")</f>
        <v/>
      </c>
      <c r="S26" s="25">
        <f>IFERROR(S25/O25-1,"")</f>
        <v/>
      </c>
      <c r="T26" s="25">
        <f>IFERROR(T25/P25-1,"")</f>
        <v/>
      </c>
      <c r="U26" s="25">
        <f>IFERROR(U25/Q25-1,"")</f>
        <v/>
      </c>
      <c r="V26" s="25">
        <f>IFERROR(V25/R25-1,"")</f>
        <v/>
      </c>
      <c r="W26" s="25">
        <f>IFERROR(W25/S25-1,"")</f>
        <v/>
      </c>
      <c r="X26" s="25">
        <f>IFERROR(X25/T25-1,"")</f>
        <v/>
      </c>
      <c r="Y26" s="25">
        <f>IFERROR(Y25/U25-1,"")</f>
        <v/>
      </c>
      <c r="Z26" s="25">
        <f>IFERROR(Z25/V25-1,"")</f>
        <v/>
      </c>
      <c r="AA26" s="25">
        <f>IFERROR(AA25/W25-1,"")</f>
        <v/>
      </c>
      <c r="AB26" s="25">
        <f>IFERROR(AB25/X25-1,"")</f>
        <v/>
      </c>
      <c r="AC26" s="25">
        <f>IFERROR(AC25/Y25-1,"")</f>
        <v/>
      </c>
    </row>
    <row r="27">
      <c r="A27" s="4" t="inlineStr">
        <is>
          <t xml:space="preserve">    % of revenue</t>
        </is>
      </c>
      <c r="B27" s="25">
        <f>IFERROR(B25/B3,"")</f>
        <v/>
      </c>
      <c r="C27" s="25">
        <f>IFERROR(C25/C3,"")</f>
        <v/>
      </c>
      <c r="D27" s="25">
        <f>IFERROR(D25/D3,"")</f>
        <v/>
      </c>
      <c r="E27" s="25">
        <f>IFERROR(E25/E3,"")</f>
        <v/>
      </c>
      <c r="F27" s="25">
        <f>IFERROR(F25/F3,"")</f>
        <v/>
      </c>
      <c r="G27" s="25">
        <f>IFERROR(G25/G3,"")</f>
        <v/>
      </c>
      <c r="H27" s="25">
        <f>IFERROR(H25/H3,"")</f>
        <v/>
      </c>
      <c r="I27" s="25">
        <f>IFERROR(I25/I3,"")</f>
        <v/>
      </c>
      <c r="J27" s="25">
        <f>IFERROR(J25/J3,"")</f>
        <v/>
      </c>
      <c r="K27" s="25">
        <f>IFERROR(K25/K3,"")</f>
        <v/>
      </c>
      <c r="L27" s="25">
        <f>IFERROR(L25/L3,"")</f>
        <v/>
      </c>
      <c r="M27" s="25">
        <f>IFERROR(M25/M3,"")</f>
        <v/>
      </c>
      <c r="N27" s="25">
        <f>IFERROR(N25/N3,"")</f>
        <v/>
      </c>
      <c r="O27" s="25">
        <f>IFERROR(O25/O3,"")</f>
        <v/>
      </c>
      <c r="P27" s="25">
        <f>IFERROR(P25/P3,"")</f>
        <v/>
      </c>
      <c r="Q27" s="25">
        <f>IFERROR(Q25/Q3,"")</f>
        <v/>
      </c>
      <c r="R27" s="25">
        <f>IFERROR(R25/R3,"")</f>
        <v/>
      </c>
      <c r="S27" s="25">
        <f>IFERROR(S25/S3,"")</f>
        <v/>
      </c>
      <c r="T27" s="25">
        <f>IFERROR(T25/T3,"")</f>
        <v/>
      </c>
      <c r="U27" s="25">
        <f>IFERROR(U25/U3,"")</f>
        <v/>
      </c>
      <c r="V27" s="25">
        <f>IFERROR(V25/V3,"")</f>
        <v/>
      </c>
      <c r="W27" s="25">
        <f>IFERROR(W25/W3,"")</f>
        <v/>
      </c>
      <c r="X27" s="25">
        <f>IFERROR(X25/X3,"")</f>
        <v/>
      </c>
      <c r="Y27" s="25">
        <f>IFERROR(Y25/Y3,"")</f>
        <v/>
      </c>
      <c r="Z27" s="25">
        <f>IFERROR(Z25/Z3,"")</f>
        <v/>
      </c>
      <c r="AA27" s="25">
        <f>IFERROR(AA25/AA3,"")</f>
        <v/>
      </c>
      <c r="AB27" s="25">
        <f>IFERROR(AB25/AB3,"")</f>
        <v/>
      </c>
      <c r="AC27" s="25">
        <f>IFERROR(AC25/AC3,"")</f>
        <v/>
      </c>
    </row>
    <row r="28">
      <c r="A28" s="5" t="inlineStr">
        <is>
          <t xml:space="preserve">  REVENUE BY SEGMENT — GEOGRAPHY (% YoY, % of revenue)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</row>
    <row r="29">
      <c r="A29" s="4" t="inlineStr">
        <is>
          <t>Americas</t>
        </is>
      </c>
      <c r="B29" s="18" t="n">
        <v>6186</v>
      </c>
      <c r="C29" s="18" t="n">
        <v>5150</v>
      </c>
      <c r="D29" s="18" t="n">
        <v>5304</v>
      </c>
      <c r="E29" s="18" t="n">
        <v>5363</v>
      </c>
      <c r="F29" s="18" t="n">
        <v>5746</v>
      </c>
      <c r="G29" s="18" t="n">
        <v>5068</v>
      </c>
      <c r="H29" s="18" t="n">
        <v>5259</v>
      </c>
      <c r="I29" s="18" t="n">
        <v>5424</v>
      </c>
      <c r="J29" s="18" t="n">
        <v>6077</v>
      </c>
      <c r="K29" s="18" t="n">
        <v>5321</v>
      </c>
      <c r="L29" s="18" t="n">
        <v>5736</v>
      </c>
      <c r="M29" s="18" t="n">
        <v>5849</v>
      </c>
      <c r="N29" s="18" t="n">
        <v>6773</v>
      </c>
      <c r="O29" s="18" t="n">
        <v>7192</v>
      </c>
      <c r="P29" s="18" t="n">
        <v>7786</v>
      </c>
      <c r="Q29" s="18" t="n">
        <v>7671</v>
      </c>
      <c r="R29" s="18" t="n">
        <v>8577</v>
      </c>
      <c r="S29" s="18" t="n">
        <v>7841</v>
      </c>
      <c r="T29" s="18" t="n">
        <v>8067</v>
      </c>
      <c r="U29" s="18" t="n">
        <v>8270</v>
      </c>
      <c r="V29" s="18" t="n">
        <v>8944</v>
      </c>
      <c r="W29" s="18" t="n">
        <v>8372</v>
      </c>
      <c r="X29" s="18" t="n">
        <v>8933</v>
      </c>
      <c r="Y29" s="18" t="n">
        <v>9000</v>
      </c>
      <c r="Z29" s="18" t="n">
        <v>10034</v>
      </c>
      <c r="AA29" s="18" t="n">
        <v>9662</v>
      </c>
      <c r="AC29" s="18" t="n">
        <v>11361</v>
      </c>
    </row>
    <row r="30">
      <c r="A30" s="4" t="inlineStr">
        <is>
          <t xml:space="preserve">    % YoY</t>
        </is>
      </c>
      <c r="F30" s="25">
        <f>IFERROR(F29/B29-1,"")</f>
        <v/>
      </c>
      <c r="G30" s="25">
        <f>IFERROR(G29/C29-1,"")</f>
        <v/>
      </c>
      <c r="H30" s="25">
        <f>IFERROR(H29/D29-1,"")</f>
        <v/>
      </c>
      <c r="I30" s="25">
        <f>IFERROR(I29/E29-1,"")</f>
        <v/>
      </c>
      <c r="J30" s="25">
        <f>IFERROR(J29/F29-1,"")</f>
        <v/>
      </c>
      <c r="K30" s="25">
        <f>IFERROR(K29/G29-1,"")</f>
        <v/>
      </c>
      <c r="L30" s="25">
        <f>IFERROR(L29/H29-1,"")</f>
        <v/>
      </c>
      <c r="M30" s="25">
        <f>IFERROR(M29/I29-1,"")</f>
        <v/>
      </c>
      <c r="N30" s="25">
        <f>IFERROR(N29/J29-1,"")</f>
        <v/>
      </c>
      <c r="O30" s="25">
        <f>IFERROR(O29/K29-1,"")</f>
        <v/>
      </c>
      <c r="P30" s="25">
        <f>IFERROR(P29/L29-1,"")</f>
        <v/>
      </c>
      <c r="Q30" s="25">
        <f>IFERROR(Q29/M29-1,"")</f>
        <v/>
      </c>
      <c r="R30" s="25">
        <f>IFERROR(R29/N29-1,"")</f>
        <v/>
      </c>
      <c r="S30" s="25">
        <f>IFERROR(S29/O29-1,"")</f>
        <v/>
      </c>
      <c r="T30" s="25">
        <f>IFERROR(T29/P29-1,"")</f>
        <v/>
      </c>
      <c r="U30" s="25">
        <f>IFERROR(U29/Q29-1,"")</f>
        <v/>
      </c>
      <c r="V30" s="25">
        <f>IFERROR(V29/R29-1,"")</f>
        <v/>
      </c>
      <c r="W30" s="25">
        <f>IFERROR(W29/S29-1,"")</f>
        <v/>
      </c>
      <c r="X30" s="25">
        <f>IFERROR(X29/T29-1,"")</f>
        <v/>
      </c>
      <c r="Y30" s="25">
        <f>IFERROR(Y29/U29-1,"")</f>
        <v/>
      </c>
      <c r="Z30" s="25">
        <f>IFERROR(Z29/V29-1,"")</f>
        <v/>
      </c>
      <c r="AA30" s="25">
        <f>IFERROR(AA29/W29-1,"")</f>
        <v/>
      </c>
      <c r="AB30" s="25">
        <f>IFERROR(AB29/X29-1,"")</f>
        <v/>
      </c>
      <c r="AC30" s="25">
        <f>IFERROR(AC29/Y29-1,"")</f>
        <v/>
      </c>
    </row>
    <row r="31">
      <c r="A31" s="4" t="inlineStr">
        <is>
          <t xml:space="preserve">    % of revenue</t>
        </is>
      </c>
      <c r="B31" s="25">
        <f>IFERROR(B29/B3,"")</f>
        <v/>
      </c>
      <c r="C31" s="25">
        <f>IFERROR(C29/C3,"")</f>
        <v/>
      </c>
      <c r="D31" s="25">
        <f>IFERROR(D29/D3,"")</f>
        <v/>
      </c>
      <c r="E31" s="25">
        <f>IFERROR(E29/E3,"")</f>
        <v/>
      </c>
      <c r="F31" s="25">
        <f>IFERROR(F29/F3,"")</f>
        <v/>
      </c>
      <c r="G31" s="25">
        <f>IFERROR(G29/G3,"")</f>
        <v/>
      </c>
      <c r="H31" s="25">
        <f>IFERROR(H29/H3,"")</f>
        <v/>
      </c>
      <c r="I31" s="25">
        <f>IFERROR(I29/I3,"")</f>
        <v/>
      </c>
      <c r="J31" s="25">
        <f>IFERROR(J29/J3,"")</f>
        <v/>
      </c>
      <c r="K31" s="25">
        <f>IFERROR(K29/K3,"")</f>
        <v/>
      </c>
      <c r="L31" s="25">
        <f>IFERROR(L29/L3,"")</f>
        <v/>
      </c>
      <c r="M31" s="25">
        <f>IFERROR(M29/M3,"")</f>
        <v/>
      </c>
      <c r="N31" s="25">
        <f>IFERROR(N29/N3,"")</f>
        <v/>
      </c>
      <c r="O31" s="25">
        <f>IFERROR(O29/O3,"")</f>
        <v/>
      </c>
      <c r="P31" s="25">
        <f>IFERROR(P29/P3,"")</f>
        <v/>
      </c>
      <c r="Q31" s="25">
        <f>IFERROR(Q29/Q3,"")</f>
        <v/>
      </c>
      <c r="R31" s="25">
        <f>IFERROR(R29/R3,"")</f>
        <v/>
      </c>
      <c r="S31" s="25">
        <f>IFERROR(S29/S3,"")</f>
        <v/>
      </c>
      <c r="T31" s="25">
        <f>IFERROR(T29/T3,"")</f>
        <v/>
      </c>
      <c r="U31" s="25">
        <f>IFERROR(U29/U3,"")</f>
        <v/>
      </c>
      <c r="V31" s="25">
        <f>IFERROR(V29/V3,"")</f>
        <v/>
      </c>
      <c r="W31" s="25">
        <f>IFERROR(W29/W3,"")</f>
        <v/>
      </c>
      <c r="X31" s="25">
        <f>IFERROR(X29/X3,"")</f>
        <v/>
      </c>
      <c r="Y31" s="25">
        <f>IFERROR(Y29/Y3,"")</f>
        <v/>
      </c>
      <c r="Z31" s="25">
        <f>IFERROR(Z29/Z3,"")</f>
        <v/>
      </c>
      <c r="AA31" s="25">
        <f>IFERROR(AA29/AA3,"")</f>
        <v/>
      </c>
      <c r="AB31" s="25">
        <f>IFERROR(AB29/AB3,"")</f>
        <v/>
      </c>
      <c r="AC31" s="25">
        <f>IFERROR(AC29/AC3,"")</f>
        <v/>
      </c>
    </row>
    <row r="32">
      <c r="A32" s="4" t="inlineStr">
        <is>
          <t>E M E A</t>
        </is>
      </c>
      <c r="B32" s="18" t="n">
        <v>3131</v>
      </c>
      <c r="C32" s="18" t="n">
        <v>2553</v>
      </c>
      <c r="D32" s="18" t="n">
        <v>2695</v>
      </c>
      <c r="E32" s="18" t="n">
        <v>2835</v>
      </c>
      <c r="F32" s="18" t="n">
        <v>2952</v>
      </c>
      <c r="G32" s="18" t="n">
        <v>2738</v>
      </c>
      <c r="H32" s="18" t="n">
        <v>2852</v>
      </c>
      <c r="I32" s="18" t="n">
        <v>2981</v>
      </c>
      <c r="J32" s="18" t="n">
        <v>3323</v>
      </c>
      <c r="K32" s="18" t="n">
        <v>2784</v>
      </c>
      <c r="L32" s="18" t="n">
        <v>2953</v>
      </c>
      <c r="M32" s="18" t="n">
        <v>3014</v>
      </c>
      <c r="N32" s="18" t="n">
        <v>3260</v>
      </c>
      <c r="O32" s="18" t="n">
        <v>2691</v>
      </c>
      <c r="P32" s="18" t="n">
        <v>2895</v>
      </c>
      <c r="Q32" s="18" t="n">
        <v>3067</v>
      </c>
      <c r="R32" s="18" t="n">
        <v>3456</v>
      </c>
      <c r="S32" s="18" t="n">
        <v>3005</v>
      </c>
      <c r="T32" s="18" t="n">
        <v>3170</v>
      </c>
      <c r="U32" s="18" t="n">
        <v>3316</v>
      </c>
      <c r="V32" s="18" t="n">
        <v>3539</v>
      </c>
      <c r="W32" s="18" t="n">
        <v>3228</v>
      </c>
      <c r="X32" s="18" t="n">
        <v>3381</v>
      </c>
      <c r="Y32" s="18" t="n">
        <v>3421</v>
      </c>
      <c r="Z32" s="18" t="n">
        <v>3995</v>
      </c>
      <c r="AA32" s="18" t="n">
        <v>3481</v>
      </c>
      <c r="AC32" s="18" t="n">
        <v>3964</v>
      </c>
    </row>
    <row r="33">
      <c r="A33" s="4" t="inlineStr">
        <is>
          <t xml:space="preserve">    % YoY</t>
        </is>
      </c>
      <c r="F33" s="25">
        <f>IFERROR(F32/B32-1,"")</f>
        <v/>
      </c>
      <c r="G33" s="25">
        <f>IFERROR(G32/C32-1,"")</f>
        <v/>
      </c>
      <c r="H33" s="25">
        <f>IFERROR(H32/D32-1,"")</f>
        <v/>
      </c>
      <c r="I33" s="25">
        <f>IFERROR(I32/E32-1,"")</f>
        <v/>
      </c>
      <c r="J33" s="25">
        <f>IFERROR(J32/F32-1,"")</f>
        <v/>
      </c>
      <c r="K33" s="25">
        <f>IFERROR(K32/G32-1,"")</f>
        <v/>
      </c>
      <c r="L33" s="25">
        <f>IFERROR(L32/H32-1,"")</f>
        <v/>
      </c>
      <c r="M33" s="25">
        <f>IFERROR(M32/I32-1,"")</f>
        <v/>
      </c>
      <c r="N33" s="25">
        <f>IFERROR(N32/J32-1,"")</f>
        <v/>
      </c>
      <c r="O33" s="25">
        <f>IFERROR(O32/K32-1,"")</f>
        <v/>
      </c>
      <c r="P33" s="25">
        <f>IFERROR(P32/L32-1,"")</f>
        <v/>
      </c>
      <c r="Q33" s="25">
        <f>IFERROR(Q32/M32-1,"")</f>
        <v/>
      </c>
      <c r="R33" s="25">
        <f>IFERROR(R32/N32-1,"")</f>
        <v/>
      </c>
      <c r="S33" s="25">
        <f>IFERROR(S32/O32-1,"")</f>
        <v/>
      </c>
      <c r="T33" s="25">
        <f>IFERROR(T32/P32-1,"")</f>
        <v/>
      </c>
      <c r="U33" s="25">
        <f>IFERROR(U32/Q32-1,"")</f>
        <v/>
      </c>
      <c r="V33" s="25">
        <f>IFERROR(V32/R32-1,"")</f>
        <v/>
      </c>
      <c r="W33" s="25">
        <f>IFERROR(W32/S32-1,"")</f>
        <v/>
      </c>
      <c r="X33" s="25">
        <f>IFERROR(X32/T32-1,"")</f>
        <v/>
      </c>
      <c r="Y33" s="25">
        <f>IFERROR(Y32/U32-1,"")</f>
        <v/>
      </c>
      <c r="Z33" s="25">
        <f>IFERROR(Z32/V32-1,"")</f>
        <v/>
      </c>
      <c r="AA33" s="25">
        <f>IFERROR(AA32/W32-1,"")</f>
        <v/>
      </c>
      <c r="AB33" s="25">
        <f>IFERROR(AB32/X32-1,"")</f>
        <v/>
      </c>
      <c r="AC33" s="25">
        <f>IFERROR(AC32/Y32-1,"")</f>
        <v/>
      </c>
    </row>
    <row r="34">
      <c r="A34" s="4" t="inlineStr">
        <is>
          <t xml:space="preserve">    % of revenue</t>
        </is>
      </c>
      <c r="B34" s="25">
        <f>IFERROR(B32/B3,"")</f>
        <v/>
      </c>
      <c r="C34" s="25">
        <f>IFERROR(C32/C3,"")</f>
        <v/>
      </c>
      <c r="D34" s="25">
        <f>IFERROR(D32/D3,"")</f>
        <v/>
      </c>
      <c r="E34" s="25">
        <f>IFERROR(E32/E3,"")</f>
        <v/>
      </c>
      <c r="F34" s="25">
        <f>IFERROR(F32/F3,"")</f>
        <v/>
      </c>
      <c r="G34" s="25">
        <f>IFERROR(G32/G3,"")</f>
        <v/>
      </c>
      <c r="H34" s="25">
        <f>IFERROR(H32/H3,"")</f>
        <v/>
      </c>
      <c r="I34" s="25">
        <f>IFERROR(I32/I3,"")</f>
        <v/>
      </c>
      <c r="J34" s="25">
        <f>IFERROR(J32/J3,"")</f>
        <v/>
      </c>
      <c r="K34" s="25">
        <f>IFERROR(K32/K3,"")</f>
        <v/>
      </c>
      <c r="L34" s="25">
        <f>IFERROR(L32/L3,"")</f>
        <v/>
      </c>
      <c r="M34" s="25">
        <f>IFERROR(M32/M3,"")</f>
        <v/>
      </c>
      <c r="N34" s="25">
        <f>IFERROR(N32/N3,"")</f>
        <v/>
      </c>
      <c r="O34" s="25">
        <f>IFERROR(O32/O3,"")</f>
        <v/>
      </c>
      <c r="P34" s="25">
        <f>IFERROR(P32/P3,"")</f>
        <v/>
      </c>
      <c r="Q34" s="25">
        <f>IFERROR(Q32/Q3,"")</f>
        <v/>
      </c>
      <c r="R34" s="25">
        <f>IFERROR(R32/R3,"")</f>
        <v/>
      </c>
      <c r="S34" s="25">
        <f>IFERROR(S32/S3,"")</f>
        <v/>
      </c>
      <c r="T34" s="25">
        <f>IFERROR(T32/T3,"")</f>
        <v/>
      </c>
      <c r="U34" s="25">
        <f>IFERROR(U32/U3,"")</f>
        <v/>
      </c>
      <c r="V34" s="25">
        <f>IFERROR(V32/V3,"")</f>
        <v/>
      </c>
      <c r="W34" s="25">
        <f>IFERROR(W32/W3,"")</f>
        <v/>
      </c>
      <c r="X34" s="25">
        <f>IFERROR(X32/X3,"")</f>
        <v/>
      </c>
      <c r="Y34" s="25">
        <f>IFERROR(Y32/Y3,"")</f>
        <v/>
      </c>
      <c r="Z34" s="25">
        <f>IFERROR(Z32/Z3,"")</f>
        <v/>
      </c>
      <c r="AA34" s="25">
        <f>IFERROR(AA32/AA3,"")</f>
        <v/>
      </c>
      <c r="AB34" s="25">
        <f>IFERROR(AB32/AB3,"")</f>
        <v/>
      </c>
      <c r="AC34" s="25">
        <f>IFERROR(AC32/AC3,"")</f>
        <v/>
      </c>
    </row>
    <row r="35">
      <c r="A35" s="4" t="inlineStr">
        <is>
          <t>Asia Pacific</t>
        </is>
      </c>
      <c r="B35" s="18" t="n">
        <v>1820</v>
      </c>
      <c r="C35" s="18" t="n">
        <v>1515</v>
      </c>
      <c r="D35" s="18" t="n">
        <v>1615</v>
      </c>
      <c r="E35" s="18" t="n">
        <v>1598</v>
      </c>
      <c r="F35" s="18" t="n">
        <v>1742</v>
      </c>
      <c r="G35" s="18" t="n">
        <v>1561</v>
      </c>
      <c r="H35" s="18" t="n">
        <v>1689</v>
      </c>
      <c r="I35" s="18" t="n">
        <v>1680</v>
      </c>
      <c r="J35" s="18" t="n">
        <v>1827</v>
      </c>
      <c r="K35" s="18" t="n">
        <v>1623</v>
      </c>
      <c r="L35" s="18" t="n">
        <v>1671</v>
      </c>
      <c r="M35" s="18" t="n">
        <v>1650</v>
      </c>
      <c r="N35" s="18" t="n">
        <v>1806</v>
      </c>
      <c r="O35" s="18" t="n">
        <v>1562</v>
      </c>
      <c r="P35" s="18" t="n">
        <v>1594</v>
      </c>
      <c r="Q35" s="18" t="n">
        <v>1660</v>
      </c>
      <c r="R35" s="18" t="n">
        <v>1803</v>
      </c>
      <c r="S35" s="18" t="n">
        <v>1607</v>
      </c>
      <c r="T35" s="18" t="n">
        <v>1704</v>
      </c>
      <c r="U35" s="18" t="n">
        <v>1694</v>
      </c>
      <c r="V35" s="18" t="n">
        <v>1804</v>
      </c>
      <c r="W35" s="18" t="n">
        <v>1707</v>
      </c>
      <c r="X35" s="18" t="n">
        <v>1745</v>
      </c>
      <c r="Y35" s="18" t="n">
        <v>1709</v>
      </c>
      <c r="Z35" s="18" t="n">
        <v>1874</v>
      </c>
      <c r="AA35" s="18" t="n">
        <v>1783</v>
      </c>
      <c r="AC35" s="18" t="n">
        <v>1865</v>
      </c>
    </row>
    <row r="36">
      <c r="A36" s="4" t="inlineStr">
        <is>
          <t xml:space="preserve">    % YoY</t>
        </is>
      </c>
      <c r="F36" s="25">
        <f>IFERROR(F35/B35-1,"")</f>
        <v/>
      </c>
      <c r="G36" s="25">
        <f>IFERROR(G35/C35-1,"")</f>
        <v/>
      </c>
      <c r="H36" s="25">
        <f>IFERROR(H35/D35-1,"")</f>
        <v/>
      </c>
      <c r="I36" s="25">
        <f>IFERROR(I35/E35-1,"")</f>
        <v/>
      </c>
      <c r="J36" s="25">
        <f>IFERROR(J35/F35-1,"")</f>
        <v/>
      </c>
      <c r="K36" s="25">
        <f>IFERROR(K35/G35-1,"")</f>
        <v/>
      </c>
      <c r="L36" s="25">
        <f>IFERROR(L35/H35-1,"")</f>
        <v/>
      </c>
      <c r="M36" s="25">
        <f>IFERROR(M35/I35-1,"")</f>
        <v/>
      </c>
      <c r="N36" s="25">
        <f>IFERROR(N35/J35-1,"")</f>
        <v/>
      </c>
      <c r="O36" s="25">
        <f>IFERROR(O35/K35-1,"")</f>
        <v/>
      </c>
      <c r="P36" s="25">
        <f>IFERROR(P35/L35-1,"")</f>
        <v/>
      </c>
      <c r="Q36" s="25">
        <f>IFERROR(Q35/M35-1,"")</f>
        <v/>
      </c>
      <c r="R36" s="25">
        <f>IFERROR(R35/N35-1,"")</f>
        <v/>
      </c>
      <c r="S36" s="25">
        <f>IFERROR(S35/O35-1,"")</f>
        <v/>
      </c>
      <c r="T36" s="25">
        <f>IFERROR(T35/P35-1,"")</f>
        <v/>
      </c>
      <c r="U36" s="25">
        <f>IFERROR(U35/Q35-1,"")</f>
        <v/>
      </c>
      <c r="V36" s="25">
        <f>IFERROR(V35/R35-1,"")</f>
        <v/>
      </c>
      <c r="W36" s="25">
        <f>IFERROR(W35/S35-1,"")</f>
        <v/>
      </c>
      <c r="X36" s="25">
        <f>IFERROR(X35/T35-1,"")</f>
        <v/>
      </c>
      <c r="Y36" s="25">
        <f>IFERROR(Y35/U35-1,"")</f>
        <v/>
      </c>
      <c r="Z36" s="25">
        <f>IFERROR(Z35/V35-1,"")</f>
        <v/>
      </c>
      <c r="AA36" s="25">
        <f>IFERROR(AA35/W35-1,"")</f>
        <v/>
      </c>
      <c r="AB36" s="25">
        <f>IFERROR(AB35/X35-1,"")</f>
        <v/>
      </c>
      <c r="AC36" s="25">
        <f>IFERROR(AC35/Y35-1,"")</f>
        <v/>
      </c>
    </row>
    <row r="37">
      <c r="A37" s="4" t="inlineStr">
        <is>
          <t xml:space="preserve">    % of revenue</t>
        </is>
      </c>
      <c r="B37" s="25">
        <f>IFERROR(B35/B3,"")</f>
        <v/>
      </c>
      <c r="C37" s="25">
        <f>IFERROR(C35/C3,"")</f>
        <v/>
      </c>
      <c r="D37" s="25">
        <f>IFERROR(D35/D3,"")</f>
        <v/>
      </c>
      <c r="E37" s="25">
        <f>IFERROR(E35/E3,"")</f>
        <v/>
      </c>
      <c r="F37" s="25">
        <f>IFERROR(F35/F3,"")</f>
        <v/>
      </c>
      <c r="G37" s="25">
        <f>IFERROR(G35/G3,"")</f>
        <v/>
      </c>
      <c r="H37" s="25">
        <f>IFERROR(H35/H3,"")</f>
        <v/>
      </c>
      <c r="I37" s="25">
        <f>IFERROR(I35/I3,"")</f>
        <v/>
      </c>
      <c r="J37" s="25">
        <f>IFERROR(J35/J3,"")</f>
        <v/>
      </c>
      <c r="K37" s="25">
        <f>IFERROR(K35/K3,"")</f>
        <v/>
      </c>
      <c r="L37" s="25">
        <f>IFERROR(L35/L3,"")</f>
        <v/>
      </c>
      <c r="M37" s="25">
        <f>IFERROR(M35/M3,"")</f>
        <v/>
      </c>
      <c r="N37" s="25">
        <f>IFERROR(N35/N3,"")</f>
        <v/>
      </c>
      <c r="O37" s="25">
        <f>IFERROR(O35/O3,"")</f>
        <v/>
      </c>
      <c r="P37" s="25">
        <f>IFERROR(P35/P3,"")</f>
        <v/>
      </c>
      <c r="Q37" s="25">
        <f>IFERROR(Q35/Q3,"")</f>
        <v/>
      </c>
      <c r="R37" s="25">
        <f>IFERROR(R35/R3,"")</f>
        <v/>
      </c>
      <c r="S37" s="25">
        <f>IFERROR(S35/S3,"")</f>
        <v/>
      </c>
      <c r="T37" s="25">
        <f>IFERROR(T35/T3,"")</f>
        <v/>
      </c>
      <c r="U37" s="25">
        <f>IFERROR(U35/U3,"")</f>
        <v/>
      </c>
      <c r="V37" s="25">
        <f>IFERROR(V35/V3,"")</f>
        <v/>
      </c>
      <c r="W37" s="25">
        <f>IFERROR(W35/W3,"")</f>
        <v/>
      </c>
      <c r="X37" s="25">
        <f>IFERROR(X35/X3,"")</f>
        <v/>
      </c>
      <c r="Y37" s="25">
        <f>IFERROR(Y35/Y3,"")</f>
        <v/>
      </c>
      <c r="Z37" s="25">
        <f>IFERROR(Z35/Z3,"")</f>
        <v/>
      </c>
      <c r="AA37" s="25">
        <f>IFERROR(AA35/AA3,"")</f>
        <v/>
      </c>
      <c r="AB37" s="25">
        <f>IFERROR(AB35/AB3,"")</f>
        <v/>
      </c>
      <c r="AC37" s="25">
        <f>IFERROR(AC35/AC3,"")</f>
        <v/>
      </c>
    </row>
    <row r="38">
      <c r="A38" s="5" t="inlineStr">
        <is>
          <t xml:space="preserve">  BALANCE SHEET</t>
        </is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</row>
    <row r="39">
      <c r="A39" s="4" t="inlineStr">
        <is>
          <t>Cash &amp; ST Investments</t>
        </is>
      </c>
      <c r="B39" s="18" t="n">
        <v>37827</v>
      </c>
      <c r="C39" s="18" t="n">
        <v>35704</v>
      </c>
      <c r="D39" s="18" t="n">
        <v>27444</v>
      </c>
      <c r="E39" s="18" t="n">
        <v>25858</v>
      </c>
      <c r="F39" s="18" t="n">
        <v>43057</v>
      </c>
      <c r="G39" s="18" t="n">
        <v>42279</v>
      </c>
      <c r="H39" s="18" t="n">
        <v>38593</v>
      </c>
      <c r="I39" s="18" t="n">
        <v>35864</v>
      </c>
      <c r="J39" s="18" t="n">
        <v>46554</v>
      </c>
      <c r="K39" s="18" t="n">
        <v>39310</v>
      </c>
      <c r="L39" s="18" t="n">
        <v>22838</v>
      </c>
      <c r="M39" s="18" t="n">
        <v>23389</v>
      </c>
      <c r="N39" s="18" t="n">
        <v>21902</v>
      </c>
      <c r="O39" s="18" t="n">
        <v>11220</v>
      </c>
      <c r="P39" s="18" t="n">
        <v>7350</v>
      </c>
      <c r="Q39" s="18" t="n">
        <v>8769</v>
      </c>
      <c r="R39" s="18" t="n">
        <v>10187</v>
      </c>
      <c r="S39" s="18" t="n">
        <v>12083</v>
      </c>
      <c r="T39" s="18" t="n">
        <v>8690</v>
      </c>
      <c r="U39" s="18" t="n">
        <v>9904</v>
      </c>
      <c r="V39" s="18" t="n">
        <v>10661</v>
      </c>
      <c r="W39" s="18" t="n">
        <v>10911</v>
      </c>
      <c r="X39" s="18" t="n">
        <v>11311</v>
      </c>
      <c r="Y39" s="18" t="n">
        <v>17823</v>
      </c>
      <c r="Z39" s="18" t="n">
        <v>11203</v>
      </c>
      <c r="AA39" s="18" t="n">
        <v>11005</v>
      </c>
      <c r="AB39" s="18" t="n">
        <v>19766</v>
      </c>
      <c r="AC39" s="18" t="n">
        <v>39132</v>
      </c>
    </row>
    <row r="40">
      <c r="A40" s="4" t="inlineStr">
        <is>
          <t>Total Current Assets</t>
        </is>
      </c>
      <c r="B40" s="18" t="n">
        <v>46386</v>
      </c>
      <c r="C40" s="18" t="n">
        <v>42384</v>
      </c>
      <c r="D40" s="18" t="n">
        <v>34540</v>
      </c>
      <c r="E40" s="18" t="n">
        <v>33442</v>
      </c>
      <c r="F40" s="18" t="n">
        <v>52140</v>
      </c>
      <c r="G40" s="18" t="n">
        <v>49939</v>
      </c>
      <c r="H40" s="18" t="n">
        <v>46251</v>
      </c>
      <c r="I40" s="18" t="n">
        <v>43744</v>
      </c>
      <c r="J40" s="18" t="n">
        <v>55567</v>
      </c>
      <c r="K40" s="18" t="n">
        <v>47117</v>
      </c>
      <c r="L40" s="18" t="n">
        <v>31078</v>
      </c>
      <c r="M40" s="18" t="n">
        <v>31675</v>
      </c>
      <c r="N40" s="18" t="n">
        <v>31633</v>
      </c>
      <c r="O40" s="18" t="n">
        <v>21004</v>
      </c>
      <c r="P40" s="18" t="n">
        <v>17561</v>
      </c>
      <c r="Q40" s="18" t="n">
        <v>18696</v>
      </c>
      <c r="R40" s="18" t="n">
        <v>21004</v>
      </c>
      <c r="S40" s="18" t="n">
        <v>22166</v>
      </c>
      <c r="T40" s="18" t="n">
        <v>19289</v>
      </c>
      <c r="U40" s="18" t="n">
        <v>21063</v>
      </c>
      <c r="V40" s="18" t="n">
        <v>22554</v>
      </c>
      <c r="W40" s="18" t="n">
        <v>23072</v>
      </c>
      <c r="X40" s="18" t="n">
        <v>23503</v>
      </c>
      <c r="Y40" s="18" t="n">
        <v>30116</v>
      </c>
      <c r="Z40" s="18" t="n">
        <v>24579</v>
      </c>
      <c r="AA40" s="18" t="n">
        <v>24634</v>
      </c>
      <c r="AB40" s="18" t="n">
        <v>34366</v>
      </c>
      <c r="AC40" s="18" t="n">
        <v>54874</v>
      </c>
    </row>
    <row r="41">
      <c r="A41" s="4" t="inlineStr">
        <is>
          <t>PP&amp;E (net)</t>
        </is>
      </c>
      <c r="B41" s="18" t="n">
        <v>6252</v>
      </c>
      <c r="C41" s="18" t="n">
        <v>6264</v>
      </c>
      <c r="D41" s="18" t="n">
        <v>6270</v>
      </c>
      <c r="E41" s="18" t="n">
        <v>6248</v>
      </c>
      <c r="F41" s="18" t="n">
        <v>6244</v>
      </c>
      <c r="G41" s="18" t="n">
        <v>6401</v>
      </c>
      <c r="H41" s="18" t="n">
        <v>6627</v>
      </c>
      <c r="I41" s="18" t="n">
        <v>6816</v>
      </c>
      <c r="J41" s="18" t="n">
        <v>7049</v>
      </c>
      <c r="K41" s="18" t="n">
        <v>7610</v>
      </c>
      <c r="L41" s="18" t="n">
        <v>8029</v>
      </c>
      <c r="M41" s="18" t="n">
        <v>8609</v>
      </c>
      <c r="N41" s="18" t="n">
        <v>9716</v>
      </c>
      <c r="O41" s="18" t="n">
        <v>12280</v>
      </c>
      <c r="P41" s="18" t="n">
        <v>14351</v>
      </c>
      <c r="Q41" s="18" t="n">
        <v>16345</v>
      </c>
      <c r="R41" s="18" t="n">
        <v>17069</v>
      </c>
      <c r="S41" s="18" t="n">
        <v>17644</v>
      </c>
      <c r="T41" s="18" t="n">
        <v>18009</v>
      </c>
      <c r="U41" s="18" t="n">
        <v>19117</v>
      </c>
      <c r="V41" s="18" t="n">
        <v>21536</v>
      </c>
      <c r="W41" s="18" t="n">
        <v>23094</v>
      </c>
      <c r="X41" s="18" t="n">
        <v>26432</v>
      </c>
      <c r="Y41" s="18" t="n">
        <v>31970</v>
      </c>
      <c r="Z41" s="18" t="n">
        <v>43522</v>
      </c>
      <c r="AA41" s="18" t="n">
        <v>53194</v>
      </c>
      <c r="AB41" s="18" t="n">
        <v>67875</v>
      </c>
      <c r="AC41" s="18" t="n">
        <v>83617</v>
      </c>
    </row>
    <row r="42">
      <c r="A42" s="4" t="inlineStr">
        <is>
          <t>Total Assets</t>
        </is>
      </c>
      <c r="B42" s="18" t="n">
        <v>108709</v>
      </c>
      <c r="C42" s="18" t="n">
        <v>106229</v>
      </c>
      <c r="D42" s="18" t="n">
        <v>98443</v>
      </c>
      <c r="E42" s="18" t="n">
        <v>96704</v>
      </c>
      <c r="F42" s="18" t="n">
        <v>115438</v>
      </c>
      <c r="G42" s="18" t="n">
        <v>113546</v>
      </c>
      <c r="H42" s="18" t="n">
        <v>110014</v>
      </c>
      <c r="I42" s="18" t="n">
        <v>118109</v>
      </c>
      <c r="J42" s="18" t="n">
        <v>131107</v>
      </c>
      <c r="K42" s="18" t="n">
        <v>122924</v>
      </c>
      <c r="L42" s="18" t="n">
        <v>106897</v>
      </c>
      <c r="M42" s="18" t="n">
        <v>108644</v>
      </c>
      <c r="N42" s="18" t="n">
        <v>109297</v>
      </c>
      <c r="O42" s="18" t="n">
        <v>130309</v>
      </c>
      <c r="P42" s="18" t="n">
        <v>128469</v>
      </c>
      <c r="Q42" s="18" t="n">
        <v>131620</v>
      </c>
      <c r="R42" s="18" t="n">
        <v>134384</v>
      </c>
      <c r="S42" s="18" t="n">
        <v>136662</v>
      </c>
      <c r="T42" s="18" t="n">
        <v>134324</v>
      </c>
      <c r="U42" s="18" t="n">
        <v>137082</v>
      </c>
      <c r="V42" s="18" t="n">
        <v>140976</v>
      </c>
      <c r="W42" s="18" t="n">
        <v>144214</v>
      </c>
      <c r="X42" s="18" t="n">
        <v>148483</v>
      </c>
      <c r="Y42" s="18" t="n">
        <v>161378</v>
      </c>
      <c r="Z42" s="18" t="n">
        <v>168361</v>
      </c>
      <c r="AA42" s="18" t="n">
        <v>180449</v>
      </c>
      <c r="AB42" s="18" t="n">
        <v>204984</v>
      </c>
      <c r="AC42" s="18" t="n">
        <v>245240</v>
      </c>
    </row>
    <row r="43">
      <c r="A43" s="4" t="inlineStr">
        <is>
          <t>Total Current Liabilities</t>
        </is>
      </c>
      <c r="B43" s="18" t="n">
        <v>18630</v>
      </c>
      <c r="C43" s="18" t="n">
        <v>18875</v>
      </c>
      <c r="D43" s="18" t="n">
        <v>14592</v>
      </c>
      <c r="E43" s="18" t="n">
        <v>15740</v>
      </c>
      <c r="F43" s="18" t="n">
        <v>17200</v>
      </c>
      <c r="G43" s="18" t="n">
        <v>18748</v>
      </c>
      <c r="H43" s="18" t="n">
        <v>21347</v>
      </c>
      <c r="I43" s="18" t="n">
        <v>20250</v>
      </c>
      <c r="J43" s="18" t="n">
        <v>24164</v>
      </c>
      <c r="K43" s="18" t="n">
        <v>23071</v>
      </c>
      <c r="L43" s="18" t="n">
        <v>18881</v>
      </c>
      <c r="M43" s="18" t="n">
        <v>20833</v>
      </c>
      <c r="N43" s="18" t="n">
        <v>19511</v>
      </c>
      <c r="O43" s="18" t="n">
        <v>34819</v>
      </c>
      <c r="P43" s="18" t="n">
        <v>27106</v>
      </c>
      <c r="Q43" s="18" t="n">
        <v>22880</v>
      </c>
      <c r="R43" s="18" t="n">
        <v>23090</v>
      </c>
      <c r="S43" s="18" t="n">
        <v>25357</v>
      </c>
      <c r="T43" s="18" t="n">
        <v>24407</v>
      </c>
      <c r="U43" s="18" t="n">
        <v>24885</v>
      </c>
      <c r="V43" s="18" t="n">
        <v>31544</v>
      </c>
      <c r="W43" s="18" t="n">
        <v>32045</v>
      </c>
      <c r="X43" s="18" t="n">
        <v>29052</v>
      </c>
      <c r="Y43" s="18" t="n">
        <v>29623</v>
      </c>
      <c r="Z43" s="18" t="n">
        <v>32643</v>
      </c>
      <c r="AA43" s="18" t="n">
        <v>39874</v>
      </c>
      <c r="AB43" s="18" t="n">
        <v>37795</v>
      </c>
      <c r="AC43" s="18" t="n">
        <v>40737</v>
      </c>
    </row>
    <row r="44">
      <c r="A44" s="4" t="inlineStr">
        <is>
          <t>Long-term Debt</t>
        </is>
      </c>
      <c r="B44" s="18" t="n">
        <v>51673</v>
      </c>
      <c r="C44" s="18" t="n">
        <v>50692</v>
      </c>
      <c r="D44" s="18" t="n">
        <v>50670</v>
      </c>
      <c r="E44" s="18" t="n">
        <v>49320</v>
      </c>
      <c r="F44" s="18" t="n">
        <v>69226</v>
      </c>
      <c r="G44" s="18" t="n">
        <v>67769</v>
      </c>
      <c r="H44" s="18" t="n">
        <v>63531</v>
      </c>
      <c r="I44" s="18" t="n">
        <v>63541</v>
      </c>
      <c r="J44" s="18" t="n">
        <v>75995</v>
      </c>
      <c r="K44" s="18" t="n">
        <v>75970</v>
      </c>
      <c r="L44" s="18" t="n">
        <v>73433</v>
      </c>
      <c r="M44" s="18" t="n">
        <v>72165</v>
      </c>
      <c r="N44" s="18" t="n">
        <v>72110</v>
      </c>
      <c r="O44" s="18" t="n">
        <v>75480</v>
      </c>
      <c r="P44" s="18" t="n">
        <v>81173</v>
      </c>
      <c r="Q44" s="18" t="n">
        <v>86396</v>
      </c>
      <c r="R44" s="18" t="n">
        <v>86420</v>
      </c>
      <c r="S44" s="18" t="n">
        <v>84442</v>
      </c>
      <c r="T44" s="18" t="n">
        <v>82468</v>
      </c>
      <c r="U44" s="18" t="n">
        <v>82470</v>
      </c>
      <c r="V44" s="18" t="n">
        <v>76264</v>
      </c>
      <c r="W44" s="18" t="n">
        <v>75314</v>
      </c>
      <c r="X44" s="18" t="n">
        <v>80462</v>
      </c>
      <c r="Y44" s="18" t="n">
        <v>88109</v>
      </c>
      <c r="Z44" s="18" t="n">
        <v>85297</v>
      </c>
      <c r="AA44" s="18" t="n">
        <v>82236</v>
      </c>
      <c r="AB44" s="18" t="n">
        <v>99984</v>
      </c>
      <c r="AC44" s="18" t="n">
        <v>130429</v>
      </c>
    </row>
    <row r="45">
      <c r="A45" s="4" t="inlineStr">
        <is>
          <t>Total Equity</t>
        </is>
      </c>
      <c r="B45" s="18" t="n">
        <v>21785</v>
      </c>
      <c r="C45" s="18" t="n">
        <v>18433</v>
      </c>
      <c r="D45" s="18" t="n">
        <v>15563</v>
      </c>
      <c r="E45" s="18" t="n">
        <v>14235</v>
      </c>
      <c r="F45" s="18" t="n">
        <v>12074</v>
      </c>
      <c r="G45" s="18" t="n">
        <v>9491</v>
      </c>
      <c r="H45" s="18" t="n">
        <v>7917</v>
      </c>
      <c r="I45" s="18" t="n">
        <v>8900</v>
      </c>
      <c r="J45" s="18" t="n">
        <v>5238</v>
      </c>
      <c r="K45" s="18" t="n">
        <v>-1541</v>
      </c>
      <c r="L45" s="18" t="n">
        <v>-10101</v>
      </c>
      <c r="M45" s="18" t="n">
        <v>-8696</v>
      </c>
      <c r="N45" s="18" t="n">
        <v>-6220</v>
      </c>
      <c r="O45" s="18" t="n">
        <v>-5875</v>
      </c>
      <c r="P45" s="18" t="n">
        <v>-4246</v>
      </c>
      <c r="Q45" s="18" t="n">
        <v>-2421</v>
      </c>
      <c r="R45" s="18" t="n">
        <v>1073</v>
      </c>
      <c r="S45" s="18" t="n">
        <v>2370</v>
      </c>
      <c r="T45" s="18" t="n">
        <v>3866</v>
      </c>
      <c r="U45" s="18" t="n">
        <v>5623</v>
      </c>
      <c r="V45" s="18" t="n">
        <v>8704</v>
      </c>
      <c r="W45" s="18" t="n">
        <v>10816</v>
      </c>
      <c r="X45" s="18" t="n">
        <v>13746</v>
      </c>
      <c r="Y45" s="18" t="n">
        <v>16730</v>
      </c>
      <c r="Z45" s="18" t="n">
        <v>20451</v>
      </c>
      <c r="AA45" s="18" t="n">
        <v>24154</v>
      </c>
      <c r="AB45" s="18" t="n">
        <v>29951</v>
      </c>
      <c r="AC45" s="18" t="n">
        <v>38495</v>
      </c>
    </row>
    <row r="46">
      <c r="A46" s="5" t="inlineStr">
        <is>
          <t xml:space="preserve">  CASH FLOW</t>
        </is>
      </c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</row>
    <row r="47">
      <c r="A47" s="4" t="inlineStr">
        <is>
          <t>D&amp;A</t>
        </is>
      </c>
      <c r="B47" s="18" t="n">
        <v>754</v>
      </c>
      <c r="C47" s="18" t="n">
        <v>750</v>
      </c>
      <c r="D47" s="18" t="n">
        <v>748</v>
      </c>
      <c r="E47" s="18" t="n">
        <v>748</v>
      </c>
      <c r="F47" s="18" t="n">
        <v>722</v>
      </c>
      <c r="G47" s="18" t="n">
        <v>701</v>
      </c>
      <c r="H47" s="18" t="n">
        <v>731</v>
      </c>
      <c r="I47" s="18" t="n">
        <v>732</v>
      </c>
      <c r="J47" s="18" t="n">
        <v>752</v>
      </c>
      <c r="K47" s="18" t="n">
        <v>757</v>
      </c>
      <c r="L47" s="18" t="n">
        <v>759</v>
      </c>
      <c r="M47" s="18" t="n">
        <v>775</v>
      </c>
      <c r="N47" s="18" t="n">
        <v>831</v>
      </c>
      <c r="O47" s="18" t="n">
        <v>1466</v>
      </c>
      <c r="P47" s="18" t="n">
        <v>1498</v>
      </c>
      <c r="Q47" s="18" t="n">
        <v>1558</v>
      </c>
      <c r="R47" s="18" t="n">
        <v>1586</v>
      </c>
      <c r="S47" s="18" t="n">
        <v>1475</v>
      </c>
      <c r="T47" s="18" t="n">
        <v>1553</v>
      </c>
      <c r="U47" s="18" t="n">
        <v>1557</v>
      </c>
      <c r="V47" s="18" t="n">
        <v>1554</v>
      </c>
      <c r="W47" s="18" t="n">
        <v>1428</v>
      </c>
      <c r="X47" s="18" t="n">
        <v>1499</v>
      </c>
      <c r="Y47" s="18" t="n">
        <v>1551</v>
      </c>
      <c r="Z47" s="18" t="n">
        <v>1696</v>
      </c>
      <c r="AA47" s="18" t="n">
        <v>1771</v>
      </c>
      <c r="AB47" s="18" t="n">
        <v>2111</v>
      </c>
      <c r="AC47" s="18" t="n">
        <v>2565</v>
      </c>
    </row>
    <row r="48">
      <c r="A48" s="4" t="inlineStr">
        <is>
          <t>Stock-based Compensation</t>
        </is>
      </c>
      <c r="B48" s="18" t="n">
        <v>394</v>
      </c>
      <c r="C48" s="18" t="n">
        <v>446</v>
      </c>
      <c r="D48" s="18" t="n">
        <v>397</v>
      </c>
      <c r="E48" s="18" t="n">
        <v>361</v>
      </c>
      <c r="F48" s="18" t="n">
        <v>386</v>
      </c>
      <c r="G48" s="18" t="n">
        <v>428</v>
      </c>
      <c r="H48" s="18" t="n">
        <v>488</v>
      </c>
      <c r="I48" s="18" t="n">
        <v>479</v>
      </c>
      <c r="J48" s="18" t="n">
        <v>442</v>
      </c>
      <c r="K48" s="18" t="n">
        <v>545</v>
      </c>
      <c r="L48" s="18" t="n">
        <v>681</v>
      </c>
      <c r="M48" s="18" t="n">
        <v>674</v>
      </c>
      <c r="N48" s="18" t="n">
        <v>713</v>
      </c>
      <c r="O48" s="18" t="n">
        <v>750</v>
      </c>
      <c r="P48" s="18" t="n">
        <v>909</v>
      </c>
      <c r="Q48" s="18" t="n">
        <v>924</v>
      </c>
      <c r="R48" s="18" t="n">
        <v>964</v>
      </c>
      <c r="S48" s="18" t="n">
        <v>849</v>
      </c>
      <c r="T48" s="18" t="n">
        <v>1029</v>
      </c>
      <c r="U48" s="18" t="n">
        <v>1048</v>
      </c>
      <c r="V48" s="18" t="n">
        <v>1047</v>
      </c>
      <c r="W48" s="18" t="n">
        <v>1007</v>
      </c>
      <c r="X48" s="18" t="n">
        <v>1169</v>
      </c>
      <c r="Y48" s="18" t="n">
        <v>1198</v>
      </c>
      <c r="Z48" s="18" t="n">
        <v>1300</v>
      </c>
      <c r="AA48" s="18" t="n">
        <v>1124</v>
      </c>
      <c r="AB48" s="18" t="n">
        <v>0</v>
      </c>
      <c r="AC48" s="18" t="n">
        <v>2484</v>
      </c>
    </row>
    <row r="49">
      <c r="A49" s="4" t="inlineStr">
        <is>
          <t>Change in Working Capital</t>
        </is>
      </c>
      <c r="B49" s="18" t="n">
        <v>-219</v>
      </c>
      <c r="C49" s="18" t="n">
        <v>2621</v>
      </c>
      <c r="D49" s="18" t="n">
        <v>-2751</v>
      </c>
      <c r="E49" s="18" t="n">
        <v>-583</v>
      </c>
      <c r="F49" s="18" t="n">
        <v>-474</v>
      </c>
      <c r="G49" s="18" t="n">
        <v>2322</v>
      </c>
      <c r="H49" s="18" t="n">
        <v>-2163</v>
      </c>
      <c r="I49" s="18" t="n">
        <v>-139</v>
      </c>
      <c r="J49" s="18" t="n">
        <v>-360</v>
      </c>
      <c r="K49" s="18" t="n">
        <v>1674</v>
      </c>
      <c r="L49" s="18" t="n">
        <v>-2920</v>
      </c>
      <c r="M49" s="18" t="n">
        <v>-18</v>
      </c>
      <c r="N49" s="18" t="n">
        <v>-723</v>
      </c>
      <c r="O49" s="18" t="n">
        <v>2818</v>
      </c>
      <c r="P49" s="18" t="n">
        <v>-2924</v>
      </c>
      <c r="Q49" s="18" t="n">
        <v>101</v>
      </c>
      <c r="R49" s="18" t="n">
        <v>518</v>
      </c>
      <c r="S49" s="18" t="n">
        <v>2578</v>
      </c>
      <c r="T49" s="18" t="n">
        <v>-4572</v>
      </c>
      <c r="U49" s="18" t="n">
        <v>875</v>
      </c>
      <c r="V49" s="18" t="n">
        <v>631</v>
      </c>
      <c r="W49" s="18" t="n">
        <v>2084</v>
      </c>
      <c r="X49" s="18" t="n">
        <v>-2084</v>
      </c>
      <c r="Y49" s="18" t="n">
        <v>620</v>
      </c>
      <c r="Z49" s="18" t="n">
        <v>29</v>
      </c>
      <c r="AA49" s="18" t="n">
        <v>1639</v>
      </c>
      <c r="AB49" s="18" t="n">
        <v>-4761</v>
      </c>
      <c r="AC49" s="18" t="n">
        <v>3122</v>
      </c>
    </row>
    <row r="50">
      <c r="A50" s="4" t="inlineStr">
        <is>
          <t>Operating Cash Flow</t>
        </is>
      </c>
      <c r="B50" s="18" t="n">
        <v>4422</v>
      </c>
      <c r="C50" s="18" t="n">
        <v>6000</v>
      </c>
      <c r="D50" s="18" t="n">
        <v>513</v>
      </c>
      <c r="E50" s="18" t="n">
        <v>3012</v>
      </c>
      <c r="F50" s="18" t="n">
        <v>3614</v>
      </c>
      <c r="G50" s="18" t="n">
        <v>5953</v>
      </c>
      <c r="H50" s="18" t="n">
        <v>1388</v>
      </c>
      <c r="I50" s="18" t="n">
        <v>3704</v>
      </c>
      <c r="J50" s="18" t="n">
        <v>4842</v>
      </c>
      <c r="K50" s="18" t="n">
        <v>5391</v>
      </c>
      <c r="L50" s="18" t="n">
        <v>-3682</v>
      </c>
      <c r="M50" s="18" t="n">
        <v>3845</v>
      </c>
      <c r="N50" s="18" t="n">
        <v>3985</v>
      </c>
      <c r="O50" s="18" t="n">
        <v>6394</v>
      </c>
      <c r="P50" s="18" t="n">
        <v>849</v>
      </c>
      <c r="Q50" s="18" t="n">
        <v>4275</v>
      </c>
      <c r="R50" s="18" t="n">
        <v>5647</v>
      </c>
      <c r="S50" s="18" t="n">
        <v>6974</v>
      </c>
      <c r="T50" s="18" t="n">
        <v>143</v>
      </c>
      <c r="U50" s="18" t="n">
        <v>5475</v>
      </c>
      <c r="V50" s="18" t="n">
        <v>6081</v>
      </c>
      <c r="W50" s="18" t="n">
        <v>7427</v>
      </c>
      <c r="X50" s="18" t="n">
        <v>1304</v>
      </c>
      <c r="Y50" s="18" t="n">
        <v>5933</v>
      </c>
      <c r="Z50" s="18" t="n">
        <v>6157</v>
      </c>
      <c r="AA50" s="18" t="n">
        <v>8140</v>
      </c>
      <c r="AB50" s="18" t="n">
        <v>2066</v>
      </c>
      <c r="AC50" s="18" t="n">
        <v>7151</v>
      </c>
    </row>
    <row r="51">
      <c r="A51" s="4" t="inlineStr">
        <is>
          <t>Capex</t>
        </is>
      </c>
      <c r="B51" s="18" t="n">
        <v>-413</v>
      </c>
      <c r="C51" s="18" t="n">
        <v>-386</v>
      </c>
      <c r="D51" s="18" t="n">
        <v>-349</v>
      </c>
      <c r="E51" s="18" t="n">
        <v>-396</v>
      </c>
      <c r="F51" s="18" t="n">
        <v>-433</v>
      </c>
      <c r="G51" s="18" t="n">
        <v>-436</v>
      </c>
      <c r="H51" s="18" t="n">
        <v>-568</v>
      </c>
      <c r="I51" s="18" t="n">
        <v>-414</v>
      </c>
      <c r="J51" s="18" t="n">
        <v>-717</v>
      </c>
      <c r="K51" s="18" t="n">
        <v>-1062</v>
      </c>
      <c r="L51" s="18" t="n">
        <v>-925</v>
      </c>
      <c r="M51" s="18" t="n">
        <v>-1101</v>
      </c>
      <c r="N51" s="18" t="n">
        <v>-1423</v>
      </c>
      <c r="O51" s="18" t="n">
        <v>-1719</v>
      </c>
      <c r="P51" s="18" t="n">
        <v>-2435</v>
      </c>
      <c r="Q51" s="18" t="n">
        <v>-2628</v>
      </c>
      <c r="R51" s="18" t="n">
        <v>-1913</v>
      </c>
      <c r="S51" s="18" t="n">
        <v>-1314</v>
      </c>
      <c r="T51" s="18" t="n">
        <v>-1080</v>
      </c>
      <c r="U51" s="18" t="n">
        <v>-1674</v>
      </c>
      <c r="V51" s="18" t="n">
        <v>-2798</v>
      </c>
      <c r="W51" s="18" t="n">
        <v>-2303</v>
      </c>
      <c r="X51" s="18" t="n">
        <v>-3970</v>
      </c>
      <c r="Y51" s="18" t="n">
        <v>-5862</v>
      </c>
      <c r="Z51" s="18" t="n">
        <v>-9080</v>
      </c>
      <c r="AA51" s="18" t="n">
        <v>-8502</v>
      </c>
      <c r="AB51" s="18" t="n">
        <v>-12033</v>
      </c>
      <c r="AC51" s="18" t="n">
        <v>-18635</v>
      </c>
    </row>
    <row r="52">
      <c r="A52" s="4" t="inlineStr">
        <is>
          <t>Free Cash Flow</t>
        </is>
      </c>
      <c r="B52" s="18" t="n">
        <v>4009</v>
      </c>
      <c r="C52" s="18" t="n">
        <v>5614</v>
      </c>
      <c r="D52" s="18" t="n">
        <v>164</v>
      </c>
      <c r="E52" s="18" t="n">
        <v>2616</v>
      </c>
      <c r="F52" s="18" t="n">
        <v>3181</v>
      </c>
      <c r="G52" s="18" t="n">
        <v>5517</v>
      </c>
      <c r="H52" s="18" t="n">
        <v>820</v>
      </c>
      <c r="I52" s="18" t="n">
        <v>3290</v>
      </c>
      <c r="J52" s="18" t="n">
        <v>4125</v>
      </c>
      <c r="K52" s="18" t="n">
        <v>4329</v>
      </c>
      <c r="L52" s="18" t="n">
        <v>-4607</v>
      </c>
      <c r="M52" s="18" t="n">
        <v>2744</v>
      </c>
      <c r="N52" s="18" t="n">
        <v>2562</v>
      </c>
      <c r="O52" s="18" t="n">
        <v>4675</v>
      </c>
      <c r="P52" s="18" t="n">
        <v>-1586</v>
      </c>
      <c r="Q52" s="18" t="n">
        <v>1647</v>
      </c>
      <c r="R52" s="18" t="n">
        <v>3734</v>
      </c>
      <c r="S52" s="18" t="n">
        <v>5660</v>
      </c>
      <c r="T52" s="18" t="n">
        <v>-937</v>
      </c>
      <c r="U52" s="18" t="n">
        <v>3801</v>
      </c>
      <c r="V52" s="18" t="n">
        <v>3283</v>
      </c>
      <c r="W52" s="18" t="n">
        <v>5124</v>
      </c>
      <c r="X52" s="18" t="n">
        <v>-2666</v>
      </c>
      <c r="Y52" s="18" t="n">
        <v>71</v>
      </c>
      <c r="Z52" s="18" t="n">
        <v>-2923</v>
      </c>
      <c r="AA52" s="18" t="n">
        <v>-362</v>
      </c>
      <c r="AB52" s="18" t="n">
        <v>-9967</v>
      </c>
      <c r="AC52" s="18" t="n">
        <v>-11484</v>
      </c>
    </row>
    <row r="54">
      <c r="A54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45" t="n">
        <v>2026</v>
      </c>
      <c r="C2" s="45" t="n">
        <v>2027</v>
      </c>
      <c r="D2" s="45" t="n">
        <v>2028</v>
      </c>
      <c r="E2" s="45" t="n">
        <v>2029</v>
      </c>
      <c r="F2" s="45" t="n">
        <v>2030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  <c r="E3" s="6" t="n"/>
      <c r="F3" s="6" t="n"/>
    </row>
    <row r="4">
      <c r="A4" s="3" t="inlineStr">
        <is>
          <t>Revenue — consensus</t>
        </is>
      </c>
      <c r="B4" s="18" t="n">
        <v>67268.941007</v>
      </c>
      <c r="C4" s="18" t="n">
        <v>88802.066183</v>
      </c>
      <c r="D4" s="18" t="n">
        <v>129909.120276</v>
      </c>
      <c r="E4" s="18" t="n">
        <v>178502.986821</v>
      </c>
      <c r="F4" s="18" t="n">
        <v>215587.914286</v>
      </c>
    </row>
    <row r="5">
      <c r="A5" s="4" t="inlineStr">
        <is>
          <t xml:space="preserve">  model</t>
        </is>
      </c>
      <c r="B5" s="33">
        <f>Model!G10</f>
        <v/>
      </c>
      <c r="C5" s="33">
        <f>Model!H10</f>
        <v/>
      </c>
      <c r="D5" s="33">
        <f>Model!I10</f>
        <v/>
      </c>
      <c r="E5" s="33">
        <f>Model!J10</f>
        <v/>
      </c>
      <c r="F5" s="33">
        <f>Model!K10</f>
        <v/>
      </c>
    </row>
    <row r="6">
      <c r="A6" s="4" t="inlineStr">
        <is>
          <t xml:space="preserve">  vs consensus</t>
        </is>
      </c>
      <c r="B6" s="46">
        <f>IFERROR(B5/B4-1,"")</f>
        <v/>
      </c>
      <c r="C6" s="46">
        <f>IFERROR(C5/C4-1,"")</f>
        <v/>
      </c>
      <c r="D6" s="46">
        <f>IFERROR(D5/D4-1,"")</f>
        <v/>
      </c>
      <c r="E6" s="46">
        <f>IFERROR(E5/E4-1,"")</f>
        <v/>
      </c>
      <c r="F6" s="46">
        <f>IFERROR(F5/F4-1,"")</f>
        <v/>
      </c>
    </row>
    <row r="8">
      <c r="A8" s="3" t="inlineStr">
        <is>
          <t>EBITDA* — consensus</t>
        </is>
      </c>
      <c r="B8" s="18" t="n">
        <v>26493.368742</v>
      </c>
      <c r="C8" s="18" t="n">
        <v>34974.028864</v>
      </c>
      <c r="D8" s="18" t="n">
        <v>51163.734332</v>
      </c>
      <c r="E8" s="18" t="n">
        <v>70302.064826</v>
      </c>
      <c r="F8" s="18" t="n">
        <v>84907.685837</v>
      </c>
    </row>
    <row r="9">
      <c r="A9" s="4" t="inlineStr">
        <is>
          <t xml:space="preserve">  model</t>
        </is>
      </c>
      <c r="B9" s="33">
        <f>Model!G23+Model!G28</f>
        <v/>
      </c>
      <c r="C9" s="33">
        <f>Model!H23+Model!H28</f>
        <v/>
      </c>
      <c r="D9" s="33">
        <f>Model!I23+Model!I28</f>
        <v/>
      </c>
      <c r="E9" s="33">
        <f>Model!J23+Model!J28</f>
        <v/>
      </c>
      <c r="F9" s="33">
        <f>Model!K23+Model!K28</f>
        <v/>
      </c>
    </row>
    <row r="10">
      <c r="A10" s="4" t="inlineStr">
        <is>
          <t xml:space="preserve">  vs consensus</t>
        </is>
      </c>
      <c r="B10" s="46">
        <f>IFERROR(B9/B8-1,"")</f>
        <v/>
      </c>
      <c r="C10" s="46">
        <f>IFERROR(C9/C8-1,"")</f>
        <v/>
      </c>
      <c r="D10" s="46">
        <f>IFERROR(D9/D8-1,"")</f>
        <v/>
      </c>
      <c r="E10" s="46">
        <f>IFERROR(E9/E8-1,"")</f>
        <v/>
      </c>
      <c r="F10" s="46">
        <f>IFERROR(F9/F8-1,"")</f>
        <v/>
      </c>
    </row>
    <row r="12">
      <c r="A12" s="3" t="inlineStr">
        <is>
          <t>EBIT* — consensus</t>
        </is>
      </c>
      <c r="B12" s="18" t="n">
        <v>19882.838412</v>
      </c>
      <c r="C12" s="18" t="n">
        <v>26247.434642</v>
      </c>
      <c r="D12" s="18" t="n">
        <v>38397.542878</v>
      </c>
      <c r="E12" s="18" t="n">
        <v>52760.545801</v>
      </c>
      <c r="F12" s="18" t="n">
        <v>63721.824651</v>
      </c>
    </row>
    <row r="13">
      <c r="A13" s="4" t="inlineStr">
        <is>
          <t xml:space="preserve">  model</t>
        </is>
      </c>
      <c r="B13" s="33">
        <f>Model!G23</f>
        <v/>
      </c>
      <c r="C13" s="33">
        <f>Model!H23</f>
        <v/>
      </c>
      <c r="D13" s="33">
        <f>Model!I23</f>
        <v/>
      </c>
      <c r="E13" s="33">
        <f>Model!J23</f>
        <v/>
      </c>
      <c r="F13" s="33">
        <f>Model!K23</f>
        <v/>
      </c>
    </row>
    <row r="14">
      <c r="A14" s="4" t="inlineStr">
        <is>
          <t xml:space="preserve">  vs consensus</t>
        </is>
      </c>
      <c r="B14" s="46">
        <f>IFERROR(B13/B12-1,"")</f>
        <v/>
      </c>
      <c r="C14" s="46">
        <f>IFERROR(C13/C12-1,"")</f>
        <v/>
      </c>
      <c r="D14" s="46">
        <f>IFERROR(D13/D12-1,"")</f>
        <v/>
      </c>
      <c r="E14" s="46">
        <f>IFERROR(E13/E12-1,"")</f>
        <v/>
      </c>
      <c r="F14" s="46">
        <f>IFERROR(F13/F12-1,"")</f>
        <v/>
      </c>
    </row>
    <row r="16">
      <c r="A16" s="3" t="inlineStr">
        <is>
          <t>SG&amp;A — consensus</t>
        </is>
      </c>
      <c r="B16" s="18" t="n">
        <v>13640.972535</v>
      </c>
      <c r="C16" s="18" t="n">
        <v>18007.516214</v>
      </c>
      <c r="D16" s="18" t="n">
        <v>26343.312608</v>
      </c>
      <c r="E16" s="18" t="n">
        <v>36197.304495</v>
      </c>
      <c r="F16" s="18" t="n">
        <v>43717.483488</v>
      </c>
    </row>
    <row r="17">
      <c r="A17" s="4" t="inlineStr">
        <is>
          <t xml:space="preserve">  model</t>
        </is>
      </c>
      <c r="B17" s="33">
        <f>Model!G18</f>
        <v/>
      </c>
      <c r="C17" s="33">
        <f>Model!H18</f>
        <v/>
      </c>
      <c r="D17" s="33">
        <f>Model!I18</f>
        <v/>
      </c>
      <c r="E17" s="33">
        <f>Model!J18</f>
        <v/>
      </c>
      <c r="F17" s="33">
        <f>Model!K18</f>
        <v/>
      </c>
    </row>
    <row r="18">
      <c r="A18" s="4" t="inlineStr">
        <is>
          <t xml:space="preserve">  vs consensus</t>
        </is>
      </c>
      <c r="B18" s="46">
        <f>IFERROR(B17/B16-1,"")</f>
        <v/>
      </c>
      <c r="C18" s="46">
        <f>IFERROR(C17/C16-1,"")</f>
        <v/>
      </c>
      <c r="D18" s="46">
        <f>IFERROR(D17/D16-1,"")</f>
        <v/>
      </c>
      <c r="E18" s="46">
        <f>IFERROR(E17/E16-1,"")</f>
        <v/>
      </c>
      <c r="F18" s="46">
        <f>IFERROR(F17/F16-1,"")</f>
        <v/>
      </c>
    </row>
    <row r="20">
      <c r="A20" s="3" t="inlineStr">
        <is>
          <t>Net income (NOPAT) — consensus</t>
        </is>
      </c>
      <c r="B20" s="18" t="n">
        <v>20918.289157</v>
      </c>
      <c r="C20" s="18" t="n">
        <v>22710.7428775</v>
      </c>
      <c r="D20" s="18" t="n">
        <v>27083.66414</v>
      </c>
      <c r="E20" s="18" t="n">
        <v>43398.376355</v>
      </c>
      <c r="F20" s="18" t="n">
        <v>55850.143259</v>
      </c>
    </row>
    <row r="21">
      <c r="A21" s="4" t="inlineStr">
        <is>
          <t xml:space="preserve">  model</t>
        </is>
      </c>
      <c r="B21" s="33">
        <f>Model!G27</f>
        <v/>
      </c>
      <c r="C21" s="33">
        <f>Model!H27</f>
        <v/>
      </c>
      <c r="D21" s="33">
        <f>Model!I27</f>
        <v/>
      </c>
      <c r="E21" s="33">
        <f>Model!J27</f>
        <v/>
      </c>
      <c r="F21" s="33">
        <f>Model!K27</f>
        <v/>
      </c>
    </row>
    <row r="22">
      <c r="A22" s="4" t="inlineStr">
        <is>
          <t xml:space="preserve">  vs consensus</t>
        </is>
      </c>
      <c r="B22" s="46">
        <f>IFERROR(B21/B20-1,"")</f>
        <v/>
      </c>
      <c r="C22" s="46">
        <f>IFERROR(C21/C20-1,"")</f>
        <v/>
      </c>
      <c r="D22" s="46">
        <f>IFERROR(D21/D20-1,"")</f>
        <v/>
      </c>
      <c r="E22" s="46">
        <f>IFERROR(E21/E20-1,"")</f>
        <v/>
      </c>
      <c r="F22" s="46">
        <f>IFERROR(F21/F20-1,"")</f>
        <v/>
      </c>
    </row>
    <row r="24">
      <c r="A24" s="3" t="inlineStr">
        <is>
          <t>EPS — consensus</t>
        </is>
      </c>
      <c r="B24" s="47" t="n">
        <v>7.48438</v>
      </c>
      <c r="C24" s="47" t="n">
        <v>7.99423</v>
      </c>
      <c r="D24" s="47" t="n">
        <v>10.76376</v>
      </c>
      <c r="E24" s="47" t="n">
        <v>15.14249</v>
      </c>
      <c r="F24" s="47" t="n">
        <v>19.48714</v>
      </c>
    </row>
    <row r="25">
      <c r="A25" s="4" t="inlineStr">
        <is>
          <t xml:space="preserve">  model</t>
        </is>
      </c>
      <c r="B25" s="8">
        <f>Model!G27/Financials!AC17</f>
        <v/>
      </c>
      <c r="C25" s="8">
        <f>Model!H27/Financials!AC17</f>
        <v/>
      </c>
      <c r="D25" s="8">
        <f>Model!I27/Financials!AC17</f>
        <v/>
      </c>
      <c r="E25" s="8">
        <f>Model!J27/Financials!AC17</f>
        <v/>
      </c>
      <c r="F25" s="8">
        <f>Model!K27/Financials!AC17</f>
        <v/>
      </c>
    </row>
    <row r="26">
      <c r="A26" s="4" t="inlineStr">
        <is>
          <t xml:space="preserve">  vs consensus</t>
        </is>
      </c>
      <c r="B26" s="46">
        <f>IFERROR(B25/B24-1,"")</f>
        <v/>
      </c>
      <c r="C26" s="46">
        <f>IFERROR(C25/C24-1,"")</f>
        <v/>
      </c>
      <c r="D26" s="46">
        <f>IFERROR(D25/D24-1,"")</f>
        <v/>
      </c>
      <c r="E26" s="46">
        <f>IFERROR(E25/E24-1,"")</f>
        <v/>
      </c>
      <c r="F26" s="46">
        <f>IFERROR(F25/F24-1,"")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Oracle Corporation — DCF Valuation</t>
        </is>
      </c>
    </row>
    <row r="2">
      <c r="A2" s="4" t="inlineStr">
        <is>
          <t>Current price</t>
        </is>
      </c>
      <c r="B2" s="8">
        <f>Dashboard!$B$48</f>
        <v/>
      </c>
    </row>
    <row r="3">
      <c r="A3" s="4" t="inlineStr">
        <is>
          <t>WACC</t>
        </is>
      </c>
      <c r="B3" s="11">
        <f>WACC!B15</f>
        <v/>
      </c>
    </row>
    <row r="4">
      <c r="A4" s="4" t="inlineStr">
        <is>
          <t>Terminal growth (g)</t>
        </is>
      </c>
      <c r="B4" s="11">
        <f>Dashboard!$B$46</f>
        <v/>
      </c>
    </row>
    <row r="5">
      <c r="A5" s="4" t="inlineStr">
        <is>
          <t>Tax rate</t>
        </is>
      </c>
      <c r="B5" s="11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13">
        <f>Dashboard!$B$45</f>
        <v/>
      </c>
    </row>
    <row r="11">
      <c r="A11" s="3" t="inlineStr">
        <is>
          <t>Forecast year</t>
        </is>
      </c>
      <c r="C11" s="45" t="n">
        <v>2026</v>
      </c>
      <c r="D11" s="45" t="n">
        <v>2027</v>
      </c>
      <c r="E11" s="45" t="n">
        <v>2028</v>
      </c>
      <c r="F11" s="45" t="n">
        <v>2029</v>
      </c>
      <c r="G11" s="45" t="n">
        <v>2030</v>
      </c>
      <c r="H11" s="45" t="n">
        <v>2031</v>
      </c>
      <c r="I11" s="45" t="n">
        <v>2032</v>
      </c>
      <c r="J11" s="45" t="n">
        <v>2033</v>
      </c>
      <c r="K11" s="45" t="n">
        <v>2034</v>
      </c>
      <c r="L11" s="45" t="n">
        <v>2035</v>
      </c>
    </row>
    <row r="12">
      <c r="A12" s="4" t="inlineStr">
        <is>
          <t>FCFF ($M)</t>
        </is>
      </c>
      <c r="C12" s="33">
        <f>Model!G35</f>
        <v/>
      </c>
      <c r="D12" s="33">
        <f>Model!H35</f>
        <v/>
      </c>
      <c r="E12" s="33">
        <f>Model!I35</f>
        <v/>
      </c>
      <c r="F12" s="33">
        <f>Model!J35</f>
        <v/>
      </c>
      <c r="G12" s="33">
        <f>Model!K35</f>
        <v/>
      </c>
      <c r="H12" s="33">
        <f>Model!L35</f>
        <v/>
      </c>
      <c r="I12" s="33">
        <f>Model!M35</f>
        <v/>
      </c>
      <c r="J12" s="33">
        <f>Model!N35</f>
        <v/>
      </c>
      <c r="K12" s="33">
        <f>Model!O35</f>
        <v/>
      </c>
      <c r="L12" s="33">
        <f>Model!P35</f>
        <v/>
      </c>
    </row>
    <row r="13">
      <c r="A13" s="4" t="inlineStr">
        <is>
          <t>PV factor</t>
        </is>
      </c>
      <c r="C13" s="48">
        <f>1/(1+$B$3)^1</f>
        <v/>
      </c>
      <c r="D13" s="48">
        <f>1/(1+$B$3)^2</f>
        <v/>
      </c>
      <c r="E13" s="48">
        <f>1/(1+$B$3)^3</f>
        <v/>
      </c>
      <c r="F13" s="48">
        <f>1/(1+$B$3)^4</f>
        <v/>
      </c>
      <c r="G13" s="48">
        <f>1/(1+$B$3)^5</f>
        <v/>
      </c>
      <c r="H13" s="48">
        <f>1/(1+$B$3)^6</f>
        <v/>
      </c>
      <c r="I13" s="48">
        <f>1/(1+$B$3)^7</f>
        <v/>
      </c>
      <c r="J13" s="48">
        <f>1/(1+$B$3)^8</f>
        <v/>
      </c>
      <c r="K13" s="48">
        <f>1/(1+$B$3)^9</f>
        <v/>
      </c>
      <c r="L13" s="48">
        <f>1/(1+$B$3)^10</f>
        <v/>
      </c>
    </row>
    <row r="14">
      <c r="A14" s="4" t="inlineStr">
        <is>
          <t>PV of FCFF ($M)</t>
        </is>
      </c>
      <c r="C14" s="41">
        <f>C12*C13</f>
        <v/>
      </c>
      <c r="D14" s="41">
        <f>D12*D13</f>
        <v/>
      </c>
      <c r="E14" s="41">
        <f>E12*E13</f>
        <v/>
      </c>
      <c r="F14" s="41">
        <f>F12*F13</f>
        <v/>
      </c>
      <c r="G14" s="41">
        <f>G12*G13</f>
        <v/>
      </c>
      <c r="H14" s="41">
        <f>H12*H13</f>
        <v/>
      </c>
      <c r="I14" s="41">
        <f>I12*I13</f>
        <v/>
      </c>
      <c r="J14" s="41">
        <f>J12*J13</f>
        <v/>
      </c>
      <c r="K14" s="41">
        <f>K12*K13</f>
        <v/>
      </c>
      <c r="L14" s="41">
        <f>L12*L13</f>
        <v/>
      </c>
    </row>
    <row r="16">
      <c r="A16" s="3" t="inlineStr">
        <is>
          <t>Sum PV of FCFF</t>
        </is>
      </c>
      <c r="B16" s="42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41">
        <f>L12</f>
        <v/>
      </c>
    </row>
    <row r="20">
      <c r="A20" s="4" t="inlineStr">
        <is>
          <t>Terminal revenue</t>
        </is>
      </c>
      <c r="B20" s="33">
        <f>Model!P10</f>
        <v/>
      </c>
    </row>
    <row r="21">
      <c r="A21" s="4" t="inlineStr">
        <is>
          <t>Terminal EBIT</t>
        </is>
      </c>
      <c r="B21" s="33">
        <f>Model!P23</f>
        <v/>
      </c>
    </row>
    <row r="22">
      <c r="A22" s="4" t="inlineStr">
        <is>
          <t>Terminal EBITDA (SBC-burdened)</t>
        </is>
      </c>
      <c r="B22" s="33">
        <f>Model!P23+Model!P28-Model!P29</f>
        <v/>
      </c>
    </row>
    <row r="23">
      <c r="A23" s="4" t="inlineStr">
        <is>
          <t>Terminal metric (per exit basis)</t>
        </is>
      </c>
      <c r="B23" s="41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41">
        <f>B23*$B$8</f>
        <v/>
      </c>
    </row>
    <row r="25">
      <c r="A25" s="4" t="inlineStr">
        <is>
          <t>PV of TV — exit multiple</t>
        </is>
      </c>
      <c r="B25" s="41">
        <f>B24/(1+$B$3)^10</f>
        <v/>
      </c>
    </row>
    <row r="26">
      <c r="A26" s="4" t="inlineStr">
        <is>
          <t>TV (perpetuity) = FCFF(1+g)/(WACC-g)</t>
        </is>
      </c>
      <c r="B26" s="41">
        <f>B19*(1+$B$4)/($B$3-$B$4)</f>
        <v/>
      </c>
    </row>
    <row r="27">
      <c r="A27" s="4" t="inlineStr">
        <is>
          <t>PV of TV — perpetuity</t>
        </is>
      </c>
      <c r="B27" s="41">
        <f>B26/(1+$B$3)^10</f>
        <v/>
      </c>
    </row>
    <row r="28">
      <c r="A28" s="3" t="inlineStr">
        <is>
          <t>PV of TV — SELECTED</t>
        </is>
      </c>
      <c r="B28" s="42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42">
        <f>B16+B28</f>
        <v/>
      </c>
    </row>
    <row r="32">
      <c r="A32" s="4" t="inlineStr">
        <is>
          <t>+ Cash &amp; ST investments</t>
        </is>
      </c>
      <c r="B32" s="33">
        <f>Financials!AC39</f>
        <v/>
      </c>
    </row>
    <row r="33">
      <c r="A33" s="4" t="inlineStr">
        <is>
          <t>- Long-term debt</t>
        </is>
      </c>
      <c r="B33" s="33">
        <f>-Financials!AC44</f>
        <v/>
      </c>
    </row>
    <row r="34">
      <c r="A34" s="3" t="inlineStr">
        <is>
          <t>Equity value</t>
        </is>
      </c>
      <c r="B34" s="42">
        <f>B31+B32+B33</f>
        <v/>
      </c>
    </row>
    <row r="35">
      <c r="A35" s="4" t="inlineStr">
        <is>
          <t>Diluted shares (M)</t>
        </is>
      </c>
      <c r="B35" s="33">
        <f>Financials!AC17</f>
        <v/>
      </c>
    </row>
    <row r="36">
      <c r="A36" s="3" t="inlineStr">
        <is>
          <t>VALUE / SHARE</t>
        </is>
      </c>
      <c r="B36" s="7">
        <f>B34/B35*1.0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25">
        <f>B28/B31</f>
        <v/>
      </c>
    </row>
    <row r="40">
      <c r="A40" s="4" t="inlineStr">
        <is>
          <t>Implied perpetuity g (from exit multiple)</t>
        </is>
      </c>
      <c r="B40" s="25">
        <f>(B24*$B$3-B19)/(B24+B19)</f>
        <v/>
      </c>
    </row>
    <row r="41">
      <c r="A41" s="4" t="inlineStr">
        <is>
          <t>Implied exit EV/EBITDA (from perpetuity)</t>
        </is>
      </c>
      <c r="B41" s="26">
        <f>B26/B22</f>
        <v/>
      </c>
    </row>
    <row r="42">
      <c r="A42" s="4" t="inlineStr">
        <is>
          <t>Upside / (downside) to fair value</t>
        </is>
      </c>
      <c r="B42" s="29">
        <f>B36/$B$2-1</f>
        <v/>
      </c>
    </row>
    <row r="44">
      <c r="A44" s="4" t="inlineStr">
        <is>
          <t>Owner cashflow / share</t>
        </is>
      </c>
      <c r="B44" s="49">
        <f>-$B$2</f>
        <v/>
      </c>
      <c r="C44" s="50">
        <f>C12/B35</f>
        <v/>
      </c>
      <c r="D44" s="50">
        <f>D12/B35</f>
        <v/>
      </c>
      <c r="E44" s="50">
        <f>E12/B35</f>
        <v/>
      </c>
      <c r="F44" s="50">
        <f>F12/B35</f>
        <v/>
      </c>
      <c r="G44" s="50">
        <f>G12/B35</f>
        <v/>
      </c>
      <c r="H44" s="50">
        <f>H12/B35</f>
        <v/>
      </c>
      <c r="I44" s="50">
        <f>I12/B35</f>
        <v/>
      </c>
      <c r="J44" s="50">
        <f>J12/B35</f>
        <v/>
      </c>
      <c r="K44" s="50">
        <f>K12/B35</f>
        <v/>
      </c>
      <c r="L44" s="50">
        <f>L12/B35+B36</f>
        <v/>
      </c>
    </row>
    <row r="45">
      <c r="A45" s="3" t="inlineStr">
        <is>
          <t>IRR (buy at price, hold 10y)</t>
        </is>
      </c>
      <c r="B45" s="38">
        <f>IRR(B44:L44)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Sensitivity — fair value / share (USD)</t>
        </is>
      </c>
    </row>
    <row r="2">
      <c r="A2" s="2" t="inlineStr">
        <is>
          <t>WACC x exit multiple (EV/EBITDA). Static grid recomputed by every rebuild/refresh — edit the Dashboard, re-run refresh_dcf to update. Shaded = base case; green = above current price.</t>
        </is>
      </c>
    </row>
    <row r="4">
      <c r="A4" s="3" t="inlineStr">
        <is>
          <t>EV/EBITDA x  \  WACC</t>
        </is>
      </c>
      <c r="B4" s="51" t="n">
        <v>0.08171682155136269</v>
      </c>
      <c r="C4" s="51" t="n">
        <v>0.08671682155136269</v>
      </c>
      <c r="D4" s="51" t="n">
        <v>0.09171682155136268</v>
      </c>
      <c r="E4" s="51" t="n">
        <v>0.09671682155136269</v>
      </c>
      <c r="F4" s="51" t="n">
        <v>0.1017168215513627</v>
      </c>
      <c r="G4" s="51" t="n">
        <v>0.1067168215513627</v>
      </c>
      <c r="H4" s="51" t="n">
        <v>0.1117168215513627</v>
      </c>
    </row>
    <row r="5">
      <c r="A5" s="52" t="n">
        <v>10</v>
      </c>
      <c r="B5" s="53" t="n">
        <v>101.7853974164404</v>
      </c>
      <c r="C5" s="53" t="n">
        <v>96.15076762696964</v>
      </c>
      <c r="D5" s="53" t="n">
        <v>90.78479124603624</v>
      </c>
      <c r="E5" s="53" t="n">
        <v>85.67337593718332</v>
      </c>
      <c r="F5" s="53" t="n">
        <v>80.80323210840891</v>
      </c>
      <c r="G5" s="53" t="n">
        <v>76.16182368727777</v>
      </c>
      <c r="H5" s="53" t="n">
        <v>71.7373221241925</v>
      </c>
    </row>
    <row r="6">
      <c r="A6" s="52" t="n">
        <v>11</v>
      </c>
      <c r="B6" s="53" t="n">
        <v>111.9819168490922</v>
      </c>
      <c r="C6" s="53" t="n">
        <v>105.8877388945597</v>
      </c>
      <c r="D6" s="53" t="n">
        <v>100.0848943627927</v>
      </c>
      <c r="E6" s="53" t="n">
        <v>94.55807530942619</v>
      </c>
      <c r="F6" s="53" t="n">
        <v>89.2928468035729</v>
      </c>
      <c r="G6" s="53" t="n">
        <v>84.2755933479594</v>
      </c>
      <c r="H6" s="53" t="n">
        <v>79.49346881512398</v>
      </c>
    </row>
    <row r="7">
      <c r="A7" s="52" t="n">
        <v>12</v>
      </c>
      <c r="B7" s="53" t="n">
        <v>122.178436281744</v>
      </c>
      <c r="C7" s="53" t="n">
        <v>115.6247101621497</v>
      </c>
      <c r="D7" s="53" t="n">
        <v>109.3849974795492</v>
      </c>
      <c r="E7" s="53" t="n">
        <v>103.442774681669</v>
      </c>
      <c r="F7" s="53" t="n">
        <v>97.78246149873689</v>
      </c>
      <c r="G7" s="53" t="n">
        <v>92.38936300864101</v>
      </c>
      <c r="H7" s="53" t="n">
        <v>87.24961550605548</v>
      </c>
    </row>
    <row r="8">
      <c r="A8" s="52" t="n">
        <v>13</v>
      </c>
      <c r="B8" s="53" t="n">
        <v>132.3749557143957</v>
      </c>
      <c r="C8" s="53" t="n">
        <v>125.3616814297397</v>
      </c>
      <c r="D8" s="53" t="n">
        <v>118.6851005963056</v>
      </c>
      <c r="E8" s="54" t="n">
        <v>112.3274740539119</v>
      </c>
      <c r="F8" s="53" t="n">
        <v>106.2720761939009</v>
      </c>
      <c r="G8" s="53" t="n">
        <v>100.5031326693226</v>
      </c>
      <c r="H8" s="53" t="n">
        <v>95.00576219698696</v>
      </c>
    </row>
    <row r="9">
      <c r="A9" s="52" t="n">
        <v>14</v>
      </c>
      <c r="B9" s="53" t="n">
        <v>142.5714751470475</v>
      </c>
      <c r="C9" s="53" t="n">
        <v>135.0986526973297</v>
      </c>
      <c r="D9" s="53" t="n">
        <v>127.9852037130621</v>
      </c>
      <c r="E9" s="53" t="n">
        <v>121.2121734261548</v>
      </c>
      <c r="F9" s="53" t="n">
        <v>114.7616908890649</v>
      </c>
      <c r="G9" s="53" t="n">
        <v>108.6169023300042</v>
      </c>
      <c r="H9" s="53" t="n">
        <v>102.7619088879185</v>
      </c>
    </row>
    <row r="10">
      <c r="A10" s="52" t="n">
        <v>15</v>
      </c>
      <c r="B10" s="53" t="n">
        <v>152.7679945796993</v>
      </c>
      <c r="C10" s="53" t="n">
        <v>144.8356239649197</v>
      </c>
      <c r="D10" s="53" t="n">
        <v>137.2853068298186</v>
      </c>
      <c r="E10" s="53" t="n">
        <v>130.0968727983976</v>
      </c>
      <c r="F10" s="53" t="n">
        <v>123.2513055842289</v>
      </c>
      <c r="G10" s="53" t="n">
        <v>116.7306719906859</v>
      </c>
      <c r="H10" s="53" t="n">
        <v>110.51805557885</v>
      </c>
    </row>
    <row r="11">
      <c r="A11" s="52" t="n">
        <v>16</v>
      </c>
      <c r="B11" s="53" t="n">
        <v>162.964514012351</v>
      </c>
      <c r="C11" s="53" t="n">
        <v>154.5725952325097</v>
      </c>
      <c r="D11" s="53" t="n">
        <v>146.5854099465751</v>
      </c>
      <c r="E11" s="53" t="n">
        <v>138.9815721706405</v>
      </c>
      <c r="F11" s="53" t="n">
        <v>131.7409202793929</v>
      </c>
      <c r="G11" s="53" t="n">
        <v>124.8444416513675</v>
      </c>
      <c r="H11" s="53" t="n">
        <v>118.2742022697814</v>
      </c>
    </row>
    <row r="13">
      <c r="A13" s="3" t="inlineStr">
        <is>
          <t>Current price</t>
        </is>
      </c>
      <c r="B13" s="53" t="n">
        <v>172.4049987792969</v>
      </c>
    </row>
    <row r="14">
      <c r="A14" s="3" t="inlineStr">
        <is>
          <t>Base WACC / multiple</t>
        </is>
      </c>
      <c r="B14" s="55" t="n">
        <v>0.09671682155136269</v>
      </c>
      <c r="C14" s="56" t="n">
        <v>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Model!F10</f>
        <v/>
      </c>
      <c r="K2" s="25">
        <f>MAX(-0.05,NORMINV(RAND(),$C$6,$D$6))</f>
        <v/>
      </c>
      <c r="L2" s="25">
        <f>MAX(0.02,NORMINV(RAND(),$C$7,$D$7))</f>
        <v/>
      </c>
      <c r="M2" s="25">
        <f>MIN(0.16,MAX(0.05,NORMINV(RAND(),$C$8,$D$8)))</f>
        <v/>
      </c>
      <c r="N2" s="26">
        <f>MIN(24,MAX(5,NORMINV(RAND(),$C$9,$D$9)))</f>
        <v/>
      </c>
      <c r="O2" s="49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Model!F24</f>
        <v/>
      </c>
      <c r="K3" s="25">
        <f>MAX(-0.05,NORMINV(RAND(),$C$6,$D$6))</f>
        <v/>
      </c>
      <c r="L3" s="25">
        <f>MAX(0.02,NORMINV(RAND(),$C$7,$D$7))</f>
        <v/>
      </c>
      <c r="M3" s="25">
        <f>MIN(0.16,MAX(0.05,NORMINV(RAND(),$C$8,$D$8)))</f>
        <v/>
      </c>
      <c r="N3" s="26">
        <f>MIN(24,MAX(5,NORMINV(RAND(),$C$9,$D$9)))</f>
        <v/>
      </c>
      <c r="O3" s="49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48" t="n">
        <v>0.1075628495269952</v>
      </c>
      <c r="K4" s="25">
        <f>MAX(-0.05,NORMINV(RAND(),$C$6,$D$6))</f>
        <v/>
      </c>
      <c r="L4" s="25">
        <f>MAX(0.02,NORMINV(RAND(),$C$7,$D$7))</f>
        <v/>
      </c>
      <c r="M4" s="25">
        <f>MIN(0.16,MAX(0.05,NORMINV(RAND(),$C$8,$D$8)))</f>
        <v/>
      </c>
      <c r="N4" s="26">
        <f>MIN(24,MAX(5,NORMINV(RAND(),$C$9,$D$9)))</f>
        <v/>
      </c>
      <c r="O4" s="49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48" t="n">
        <v>2.789067055393586</v>
      </c>
      <c r="K5" s="25">
        <f>MAX(-0.05,NORMINV(RAND(),$C$6,$D$6))</f>
        <v/>
      </c>
      <c r="L5" s="25">
        <f>MAX(0.02,NORMINV(RAND(),$C$7,$D$7))</f>
        <v/>
      </c>
      <c r="M5" s="25">
        <f>MIN(0.16,MAX(0.05,NORMINV(RAND(),$C$8,$D$8)))</f>
        <v/>
      </c>
      <c r="N5" s="26">
        <f>MIN(24,MAX(5,NORMINV(RAND(),$C$9,$D$9)))</f>
        <v/>
      </c>
      <c r="O5" s="49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11">
        <f>(Model!P10/Model!F10)^(1/10)-1</f>
        <v/>
      </c>
      <c r="D6" s="15" t="n">
        <v>0.02525116221935105</v>
      </c>
      <c r="H6" s="4" t="inlineStr">
        <is>
          <t>nwc (% incr revenue)</t>
        </is>
      </c>
      <c r="I6" s="48" t="n">
        <v>0.005</v>
      </c>
      <c r="K6" s="25">
        <f>MAX(-0.05,NORMINV(RAND(),$C$6,$D$6))</f>
        <v/>
      </c>
      <c r="L6" s="25">
        <f>MAX(0.02,NORMINV(RAND(),$C$7,$D$7))</f>
        <v/>
      </c>
      <c r="M6" s="25">
        <f>MIN(0.16,MAX(0.05,NORMINV(RAND(),$C$8,$D$8)))</f>
        <v/>
      </c>
      <c r="N6" s="26">
        <f>MIN(24,MAX(5,NORMINV(RAND(),$C$9,$D$9)))</f>
        <v/>
      </c>
      <c r="O6" s="49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11">
        <f>Dashboard!$B$30</f>
        <v/>
      </c>
      <c r="D7" s="15" t="n">
        <v>0.03</v>
      </c>
      <c r="H7" s="4" t="inlineStr">
        <is>
          <t>tax</t>
        </is>
      </c>
      <c r="I7" s="12">
        <f>Valuation!$B$5</f>
        <v/>
      </c>
      <c r="K7" s="25">
        <f>MAX(-0.05,NORMINV(RAND(),$C$6,$D$6))</f>
        <v/>
      </c>
      <c r="L7" s="25">
        <f>MAX(0.02,NORMINV(RAND(),$C$7,$D$7))</f>
        <v/>
      </c>
      <c r="M7" s="25">
        <f>MIN(0.16,MAX(0.05,NORMINV(RAND(),$C$8,$D$8)))</f>
        <v/>
      </c>
      <c r="N7" s="26">
        <f>MIN(24,MAX(5,NORMINV(RAND(),$C$9,$D$9)))</f>
        <v/>
      </c>
      <c r="O7" s="49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11">
        <f>WACC!B15</f>
        <v/>
      </c>
      <c r="D8" s="15" t="n">
        <v>0.005</v>
      </c>
      <c r="H8" s="4" t="inlineStr">
        <is>
          <t>k (calibration)</t>
        </is>
      </c>
      <c r="I8" s="48" t="n">
        <v>0.8347920359808728</v>
      </c>
      <c r="K8" s="25">
        <f>MAX(-0.05,NORMINV(RAND(),$C$6,$D$6))</f>
        <v/>
      </c>
      <c r="L8" s="25">
        <f>MAX(0.02,NORMINV(RAND(),$C$7,$D$7))</f>
        <v/>
      </c>
      <c r="M8" s="25">
        <f>MIN(0.16,MAX(0.05,NORMINV(RAND(),$C$8,$D$8)))</f>
        <v/>
      </c>
      <c r="N8" s="26">
        <f>MIN(24,MAX(5,NORMINV(RAND(),$C$9,$D$9)))</f>
        <v/>
      </c>
      <c r="O8" s="49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13">
        <f>Dashboard!$B$45</f>
        <v/>
      </c>
      <c r="D9" s="19" t="n">
        <v>1.5</v>
      </c>
      <c r="H9" s="4" t="inlineStr">
        <is>
          <t>cash</t>
        </is>
      </c>
      <c r="I9" s="12">
        <f>Financials!AC39</f>
        <v/>
      </c>
      <c r="K9" s="25">
        <f>MAX(-0.05,NORMINV(RAND(),$C$6,$D$6))</f>
        <v/>
      </c>
      <c r="L9" s="25">
        <f>MAX(0.02,NORMINV(RAND(),$C$7,$D$7))</f>
        <v/>
      </c>
      <c r="M9" s="25">
        <f>MIN(0.16,MAX(0.05,NORMINV(RAND(),$C$8,$D$8)))</f>
        <v/>
      </c>
      <c r="N9" s="26">
        <f>MIN(24,MAX(5,NORMINV(RAND(),$C$9,$D$9)))</f>
        <v/>
      </c>
      <c r="O9" s="49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Financials!AC44</f>
        <v/>
      </c>
      <c r="K10" s="25">
        <f>MAX(-0.05,NORMINV(RAND(),$C$6,$D$6))</f>
        <v/>
      </c>
      <c r="L10" s="25">
        <f>MAX(0.02,NORMINV(RAND(),$C$7,$D$7))</f>
        <v/>
      </c>
      <c r="M10" s="25">
        <f>MIN(0.16,MAX(0.05,NORMINV(RAND(),$C$8,$D$8)))</f>
        <v/>
      </c>
      <c r="N10" s="26">
        <f>MIN(24,MAX(5,NORMINV(RAND(),$C$9,$D$9)))</f>
        <v/>
      </c>
      <c r="O10" s="49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Financials!AC17</f>
        <v/>
      </c>
      <c r="K11" s="25">
        <f>MAX(-0.05,NORMINV(RAND(),$C$6,$D$6))</f>
        <v/>
      </c>
      <c r="L11" s="25">
        <f>MAX(0.02,NORMINV(RAND(),$C$7,$D$7))</f>
        <v/>
      </c>
      <c r="M11" s="25">
        <f>MIN(0.16,MAX(0.05,NORMINV(RAND(),$C$8,$D$8)))</f>
        <v/>
      </c>
      <c r="N11" s="26">
        <f>MIN(24,MAX(5,NORMINV(RAND(),$C$9,$D$9)))</f>
        <v/>
      </c>
      <c r="O11" s="49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49">
        <f>AVERAGE($O$2:$O$1001)</f>
        <v/>
      </c>
      <c r="K12" s="25">
        <f>MAX(-0.05,NORMINV(RAND(),$C$6,$D$6))</f>
        <v/>
      </c>
      <c r="L12" s="25">
        <f>MAX(0.02,NORMINV(RAND(),$C$7,$D$7))</f>
        <v/>
      </c>
      <c r="M12" s="25">
        <f>MIN(0.16,MAX(0.05,NORMINV(RAND(),$C$8,$D$8)))</f>
        <v/>
      </c>
      <c r="N12" s="26">
        <f>MIN(24,MAX(5,NORMINV(RAND(),$C$9,$D$9)))</f>
        <v/>
      </c>
      <c r="O12" s="49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28">
        <f>MEDIAN($O$2:$O$1001)</f>
        <v/>
      </c>
      <c r="K13" s="25">
        <f>MAX(-0.05,NORMINV(RAND(),$C$6,$D$6))</f>
        <v/>
      </c>
      <c r="L13" s="25">
        <f>MAX(0.02,NORMINV(RAND(),$C$7,$D$7))</f>
        <v/>
      </c>
      <c r="M13" s="25">
        <f>MIN(0.16,MAX(0.05,NORMINV(RAND(),$C$8,$D$8)))</f>
        <v/>
      </c>
      <c r="N13" s="26">
        <f>MIN(24,MAX(5,NORMINV(RAND(),$C$9,$D$9)))</f>
        <v/>
      </c>
      <c r="O13" s="49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49">
        <f>STDEV($O$2:$O$1001)</f>
        <v/>
      </c>
      <c r="K14" s="25">
        <f>MAX(-0.05,NORMINV(RAND(),$C$6,$D$6))</f>
        <v/>
      </c>
      <c r="L14" s="25">
        <f>MAX(0.02,NORMINV(RAND(),$C$7,$D$7))</f>
        <v/>
      </c>
      <c r="M14" s="25">
        <f>MIN(0.16,MAX(0.05,NORMINV(RAND(),$C$8,$D$8)))</f>
        <v/>
      </c>
      <c r="N14" s="26">
        <f>MIN(24,MAX(5,NORMINV(RAND(),$C$9,$D$9)))</f>
        <v/>
      </c>
      <c r="O14" s="49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49">
        <f>MIN($O$2:$O$1001)</f>
        <v/>
      </c>
      <c r="K15" s="25">
        <f>MAX(-0.05,NORMINV(RAND(),$C$6,$D$6))</f>
        <v/>
      </c>
      <c r="L15" s="25">
        <f>MAX(0.02,NORMINV(RAND(),$C$7,$D$7))</f>
        <v/>
      </c>
      <c r="M15" s="25">
        <f>MIN(0.16,MAX(0.05,NORMINV(RAND(),$C$8,$D$8)))</f>
        <v/>
      </c>
      <c r="N15" s="26">
        <f>MIN(24,MAX(5,NORMINV(RAND(),$C$9,$D$9)))</f>
        <v/>
      </c>
      <c r="O15" s="49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49">
        <f>MAX($O$2:$O$1001)</f>
        <v/>
      </c>
      <c r="K16" s="25">
        <f>MAX(-0.05,NORMINV(RAND(),$C$6,$D$6))</f>
        <v/>
      </c>
      <c r="L16" s="25">
        <f>MAX(0.02,NORMINV(RAND(),$C$7,$D$7))</f>
        <v/>
      </c>
      <c r="M16" s="25">
        <f>MIN(0.16,MAX(0.05,NORMINV(RAND(),$C$8,$D$8)))</f>
        <v/>
      </c>
      <c r="N16" s="26">
        <f>MIN(24,MAX(5,NORMINV(RAND(),$C$9,$D$9)))</f>
        <v/>
      </c>
      <c r="O16" s="49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8">
        <f>Valuation!$B$2</f>
        <v/>
      </c>
      <c r="K17" s="25">
        <f>MAX(-0.05,NORMINV(RAND(),$C$6,$D$6))</f>
        <v/>
      </c>
      <c r="L17" s="25">
        <f>MAX(0.02,NORMINV(RAND(),$C$7,$D$7))</f>
        <v/>
      </c>
      <c r="M17" s="25">
        <f>MIN(0.16,MAX(0.05,NORMINV(RAND(),$C$8,$D$8)))</f>
        <v/>
      </c>
      <c r="N17" s="26">
        <f>MIN(24,MAX(5,NORMINV(RAND(),$C$9,$D$9)))</f>
        <v/>
      </c>
      <c r="O17" s="49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8">
        <f>Valuation!B36</f>
        <v/>
      </c>
      <c r="K18" s="25">
        <f>MAX(-0.05,NORMINV(RAND(),$C$6,$D$6))</f>
        <v/>
      </c>
      <c r="L18" s="25">
        <f>MAX(0.02,NORMINV(RAND(),$C$7,$D$7))</f>
        <v/>
      </c>
      <c r="M18" s="25">
        <f>MIN(0.16,MAX(0.05,NORMINV(RAND(),$C$8,$D$8)))</f>
        <v/>
      </c>
      <c r="N18" s="26">
        <f>MIN(24,MAX(5,NORMINV(RAND(),$C$9,$D$9)))</f>
        <v/>
      </c>
      <c r="O18" s="49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25">
        <f>MAX(-0.05,NORMINV(RAND(),$C$6,$D$6))</f>
        <v/>
      </c>
      <c r="L19" s="25">
        <f>MAX(0.02,NORMINV(RAND(),$C$7,$D$7))</f>
        <v/>
      </c>
      <c r="M19" s="25">
        <f>MIN(0.16,MAX(0.05,NORMINV(RAND(),$C$8,$D$8)))</f>
        <v/>
      </c>
      <c r="N19" s="26">
        <f>MIN(24,MAX(5,NORMINV(RAND(),$C$9,$D$9)))</f>
        <v/>
      </c>
      <c r="O19" s="49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21">
        <f>COUNTIF($O$2:$O$1001,"&gt;"&amp;Valuation!$B$2)/1000</f>
        <v/>
      </c>
      <c r="K20" s="25">
        <f>MAX(-0.05,NORMINV(RAND(),$C$6,$D$6))</f>
        <v/>
      </c>
      <c r="L20" s="25">
        <f>MAX(0.02,NORMINV(RAND(),$C$7,$D$7))</f>
        <v/>
      </c>
      <c r="M20" s="25">
        <f>MIN(0.16,MAX(0.05,NORMINV(RAND(),$C$8,$D$8)))</f>
        <v/>
      </c>
      <c r="N20" s="26">
        <f>MIN(24,MAX(5,NORMINV(RAND(),$C$9,$D$9)))</f>
        <v/>
      </c>
      <c r="O20" s="49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11">
        <f>COUNTIF($O$2:$O$1001,"&gt;"&amp;Valuation!$B$2*1.2)/1000</f>
        <v/>
      </c>
      <c r="K21" s="25">
        <f>MAX(-0.05,NORMINV(RAND(),$C$6,$D$6))</f>
        <v/>
      </c>
      <c r="L21" s="25">
        <f>MAX(0.02,NORMINV(RAND(),$C$7,$D$7))</f>
        <v/>
      </c>
      <c r="M21" s="25">
        <f>MIN(0.16,MAX(0.05,NORMINV(RAND(),$C$8,$D$8)))</f>
        <v/>
      </c>
      <c r="N21" s="26">
        <f>MIN(24,MAX(5,NORMINV(RAND(),$C$9,$D$9)))</f>
        <v/>
      </c>
      <c r="O21" s="49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25">
        <f>MAX(-0.05,NORMINV(RAND(),$C$6,$D$6))</f>
        <v/>
      </c>
      <c r="L22" s="25">
        <f>MAX(0.02,NORMINV(RAND(),$C$7,$D$7))</f>
        <v/>
      </c>
      <c r="M22" s="25">
        <f>MIN(0.16,MAX(0.05,NORMINV(RAND(),$C$8,$D$8)))</f>
        <v/>
      </c>
      <c r="N22" s="26">
        <f>MIN(24,MAX(5,NORMINV(RAND(),$C$9,$D$9)))</f>
        <v/>
      </c>
      <c r="O22" s="49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25">
        <f>MAX(-0.05,NORMINV(RAND(),$C$6,$D$6))</f>
        <v/>
      </c>
      <c r="L23" s="25">
        <f>MAX(0.02,NORMINV(RAND(),$C$7,$D$7))</f>
        <v/>
      </c>
      <c r="M23" s="25">
        <f>MIN(0.16,MAX(0.05,NORMINV(RAND(),$C$8,$D$8)))</f>
        <v/>
      </c>
      <c r="N23" s="26">
        <f>MIN(24,MAX(5,NORMINV(RAND(),$C$9,$D$9)))</f>
        <v/>
      </c>
      <c r="O23" s="49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49">
        <f>PERCENTILE($O$2:$O$1001,0.05)</f>
        <v/>
      </c>
      <c r="K24" s="25">
        <f>MAX(-0.05,NORMINV(RAND(),$C$6,$D$6))</f>
        <v/>
      </c>
      <c r="L24" s="25">
        <f>MAX(0.02,NORMINV(RAND(),$C$7,$D$7))</f>
        <v/>
      </c>
      <c r="M24" s="25">
        <f>MIN(0.16,MAX(0.05,NORMINV(RAND(),$C$8,$D$8)))</f>
        <v/>
      </c>
      <c r="N24" s="26">
        <f>MIN(24,MAX(5,NORMINV(RAND(),$C$9,$D$9)))</f>
        <v/>
      </c>
      <c r="O24" s="49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49">
        <f>PERCENTILE($O$2:$O$1001,0.1)</f>
        <v/>
      </c>
      <c r="K25" s="25">
        <f>MAX(-0.05,NORMINV(RAND(),$C$6,$D$6))</f>
        <v/>
      </c>
      <c r="L25" s="25">
        <f>MAX(0.02,NORMINV(RAND(),$C$7,$D$7))</f>
        <v/>
      </c>
      <c r="M25" s="25">
        <f>MIN(0.16,MAX(0.05,NORMINV(RAND(),$C$8,$D$8)))</f>
        <v/>
      </c>
      <c r="N25" s="26">
        <f>MIN(24,MAX(5,NORMINV(RAND(),$C$9,$D$9)))</f>
        <v/>
      </c>
      <c r="O25" s="49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49">
        <f>PERCENTILE($O$2:$O$1001,0.25)</f>
        <v/>
      </c>
      <c r="K26" s="25">
        <f>MAX(-0.05,NORMINV(RAND(),$C$6,$D$6))</f>
        <v/>
      </c>
      <c r="L26" s="25">
        <f>MAX(0.02,NORMINV(RAND(),$C$7,$D$7))</f>
        <v/>
      </c>
      <c r="M26" s="25">
        <f>MIN(0.16,MAX(0.05,NORMINV(RAND(),$C$8,$D$8)))</f>
        <v/>
      </c>
      <c r="N26" s="26">
        <f>MIN(24,MAX(5,NORMINV(RAND(),$C$9,$D$9)))</f>
        <v/>
      </c>
      <c r="O26" s="49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49">
        <f>PERCENTILE($O$2:$O$1001,0.5)</f>
        <v/>
      </c>
      <c r="K27" s="25">
        <f>MAX(-0.05,NORMINV(RAND(),$C$6,$D$6))</f>
        <v/>
      </c>
      <c r="L27" s="25">
        <f>MAX(0.02,NORMINV(RAND(),$C$7,$D$7))</f>
        <v/>
      </c>
      <c r="M27" s="25">
        <f>MIN(0.16,MAX(0.05,NORMINV(RAND(),$C$8,$D$8)))</f>
        <v/>
      </c>
      <c r="N27" s="26">
        <f>MIN(24,MAX(5,NORMINV(RAND(),$C$9,$D$9)))</f>
        <v/>
      </c>
      <c r="O27" s="49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49">
        <f>PERCENTILE($O$2:$O$1001,0.75)</f>
        <v/>
      </c>
      <c r="K28" s="25">
        <f>MAX(-0.05,NORMINV(RAND(),$C$6,$D$6))</f>
        <v/>
      </c>
      <c r="L28" s="25">
        <f>MAX(0.02,NORMINV(RAND(),$C$7,$D$7))</f>
        <v/>
      </c>
      <c r="M28" s="25">
        <f>MIN(0.16,MAX(0.05,NORMINV(RAND(),$C$8,$D$8)))</f>
        <v/>
      </c>
      <c r="N28" s="26">
        <f>MIN(24,MAX(5,NORMINV(RAND(),$C$9,$D$9)))</f>
        <v/>
      </c>
      <c r="O28" s="49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49">
        <f>PERCENTILE($O$2:$O$1001,0.9)</f>
        <v/>
      </c>
      <c r="K29" s="25">
        <f>MAX(-0.05,NORMINV(RAND(),$C$6,$D$6))</f>
        <v/>
      </c>
      <c r="L29" s="25">
        <f>MAX(0.02,NORMINV(RAND(),$C$7,$D$7))</f>
        <v/>
      </c>
      <c r="M29" s="25">
        <f>MIN(0.16,MAX(0.05,NORMINV(RAND(),$C$8,$D$8)))</f>
        <v/>
      </c>
      <c r="N29" s="26">
        <f>MIN(24,MAX(5,NORMINV(RAND(),$C$9,$D$9)))</f>
        <v/>
      </c>
      <c r="O29" s="49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49">
        <f>PERCENTILE($O$2:$O$1001,0.95)</f>
        <v/>
      </c>
      <c r="K30" s="25">
        <f>MAX(-0.05,NORMINV(RAND(),$C$6,$D$6))</f>
        <v/>
      </c>
      <c r="L30" s="25">
        <f>MAX(0.02,NORMINV(RAND(),$C$7,$D$7))</f>
        <v/>
      </c>
      <c r="M30" s="25">
        <f>MIN(0.16,MAX(0.05,NORMINV(RAND(),$C$8,$D$8)))</f>
        <v/>
      </c>
      <c r="N30" s="26">
        <f>MIN(24,MAX(5,NORMINV(RAND(),$C$9,$D$9)))</f>
        <v/>
      </c>
      <c r="O30" s="49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25">
        <f>MAX(-0.05,NORMINV(RAND(),$C$6,$D$6))</f>
        <v/>
      </c>
      <c r="L31" s="25">
        <f>MAX(0.02,NORMINV(RAND(),$C$7,$D$7))</f>
        <v/>
      </c>
      <c r="M31" s="25">
        <f>MIN(0.16,MAX(0.05,NORMINV(RAND(),$C$8,$D$8)))</f>
        <v/>
      </c>
      <c r="N31" s="26">
        <f>MIN(24,MAX(5,NORMINV(RAND(),$C$9,$D$9)))</f>
        <v/>
      </c>
      <c r="O31" s="49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25">
        <f>MAX(-0.05,NORMINV(RAND(),$C$6,$D$6))</f>
        <v/>
      </c>
      <c r="L32" s="25">
        <f>MAX(0.02,NORMINV(RAND(),$C$7,$D$7))</f>
        <v/>
      </c>
      <c r="M32" s="25">
        <f>MIN(0.16,MAX(0.05,NORMINV(RAND(),$C$8,$D$8)))</f>
        <v/>
      </c>
      <c r="N32" s="26">
        <f>MIN(24,MAX(5,NORMINV(RAND(),$C$9,$D$9)))</f>
        <v/>
      </c>
      <c r="O32" s="49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25">
        <f>MAX(-0.05,NORMINV(RAND(),$C$6,$D$6))</f>
        <v/>
      </c>
      <c r="L33" s="25">
        <f>MAX(0.02,NORMINV(RAND(),$C$7,$D$7))</f>
        <v/>
      </c>
      <c r="M33" s="25">
        <f>MIN(0.16,MAX(0.05,NORMINV(RAND(),$C$8,$D$8)))</f>
        <v/>
      </c>
      <c r="N33" s="26">
        <f>MIN(24,MAX(5,NORMINV(RAND(),$C$9,$D$9)))</f>
        <v/>
      </c>
      <c r="O33" s="49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57">
        <f>$B$15+0.5*($B$16-$B$15)/15</f>
        <v/>
      </c>
      <c r="B34" s="4">
        <f>COUNTIFS($O$2:$O$1001,"&gt;="&amp;($B$15+0*($B$16-$B$15)/15),$O$2:$O$1001,"&lt;"&amp;($B$15+1*($B$16-$B$15)/15))</f>
        <v/>
      </c>
      <c r="K34" s="25">
        <f>MAX(-0.05,NORMINV(RAND(),$C$6,$D$6))</f>
        <v/>
      </c>
      <c r="L34" s="25">
        <f>MAX(0.02,NORMINV(RAND(),$C$7,$D$7))</f>
        <v/>
      </c>
      <c r="M34" s="25">
        <f>MIN(0.16,MAX(0.05,NORMINV(RAND(),$C$8,$D$8)))</f>
        <v/>
      </c>
      <c r="N34" s="26">
        <f>MIN(24,MAX(5,NORMINV(RAND(),$C$9,$D$9)))</f>
        <v/>
      </c>
      <c r="O34" s="49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57">
        <f>$B$15+1.5*($B$16-$B$15)/15</f>
        <v/>
      </c>
      <c r="B35" s="4">
        <f>COUNTIFS($O$2:$O$1001,"&gt;="&amp;($B$15+1*($B$16-$B$15)/15),$O$2:$O$1001,"&lt;"&amp;($B$15+2*($B$16-$B$15)/15))</f>
        <v/>
      </c>
      <c r="K35" s="25">
        <f>MAX(-0.05,NORMINV(RAND(),$C$6,$D$6))</f>
        <v/>
      </c>
      <c r="L35" s="25">
        <f>MAX(0.02,NORMINV(RAND(),$C$7,$D$7))</f>
        <v/>
      </c>
      <c r="M35" s="25">
        <f>MIN(0.16,MAX(0.05,NORMINV(RAND(),$C$8,$D$8)))</f>
        <v/>
      </c>
      <c r="N35" s="26">
        <f>MIN(24,MAX(5,NORMINV(RAND(),$C$9,$D$9)))</f>
        <v/>
      </c>
      <c r="O35" s="49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57">
        <f>$B$15+2.5*($B$16-$B$15)/15</f>
        <v/>
      </c>
      <c r="B36" s="4">
        <f>COUNTIFS($O$2:$O$1001,"&gt;="&amp;($B$15+2*($B$16-$B$15)/15),$O$2:$O$1001,"&lt;"&amp;($B$15+3*($B$16-$B$15)/15))</f>
        <v/>
      </c>
      <c r="K36" s="25">
        <f>MAX(-0.05,NORMINV(RAND(),$C$6,$D$6))</f>
        <v/>
      </c>
      <c r="L36" s="25">
        <f>MAX(0.02,NORMINV(RAND(),$C$7,$D$7))</f>
        <v/>
      </c>
      <c r="M36" s="25">
        <f>MIN(0.16,MAX(0.05,NORMINV(RAND(),$C$8,$D$8)))</f>
        <v/>
      </c>
      <c r="N36" s="26">
        <f>MIN(24,MAX(5,NORMINV(RAND(),$C$9,$D$9)))</f>
        <v/>
      </c>
      <c r="O36" s="49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57">
        <f>$B$15+3.5*($B$16-$B$15)/15</f>
        <v/>
      </c>
      <c r="B37" s="4">
        <f>COUNTIFS($O$2:$O$1001,"&gt;="&amp;($B$15+3*($B$16-$B$15)/15),$O$2:$O$1001,"&lt;"&amp;($B$15+4*($B$16-$B$15)/15))</f>
        <v/>
      </c>
      <c r="K37" s="25">
        <f>MAX(-0.05,NORMINV(RAND(),$C$6,$D$6))</f>
        <v/>
      </c>
      <c r="L37" s="25">
        <f>MAX(0.02,NORMINV(RAND(),$C$7,$D$7))</f>
        <v/>
      </c>
      <c r="M37" s="25">
        <f>MIN(0.16,MAX(0.05,NORMINV(RAND(),$C$8,$D$8)))</f>
        <v/>
      </c>
      <c r="N37" s="26">
        <f>MIN(24,MAX(5,NORMINV(RAND(),$C$9,$D$9)))</f>
        <v/>
      </c>
      <c r="O37" s="49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57">
        <f>$B$15+4.5*($B$16-$B$15)/15</f>
        <v/>
      </c>
      <c r="B38" s="4">
        <f>COUNTIFS($O$2:$O$1001,"&gt;="&amp;($B$15+4*($B$16-$B$15)/15),$O$2:$O$1001,"&lt;"&amp;($B$15+5*($B$16-$B$15)/15))</f>
        <v/>
      </c>
      <c r="K38" s="25">
        <f>MAX(-0.05,NORMINV(RAND(),$C$6,$D$6))</f>
        <v/>
      </c>
      <c r="L38" s="25">
        <f>MAX(0.02,NORMINV(RAND(),$C$7,$D$7))</f>
        <v/>
      </c>
      <c r="M38" s="25">
        <f>MIN(0.16,MAX(0.05,NORMINV(RAND(),$C$8,$D$8)))</f>
        <v/>
      </c>
      <c r="N38" s="26">
        <f>MIN(24,MAX(5,NORMINV(RAND(),$C$9,$D$9)))</f>
        <v/>
      </c>
      <c r="O38" s="49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57">
        <f>$B$15+5.5*($B$16-$B$15)/15</f>
        <v/>
      </c>
      <c r="B39" s="4">
        <f>COUNTIFS($O$2:$O$1001,"&gt;="&amp;($B$15+5*($B$16-$B$15)/15),$O$2:$O$1001,"&lt;"&amp;($B$15+6*($B$16-$B$15)/15))</f>
        <v/>
      </c>
      <c r="K39" s="25">
        <f>MAX(-0.05,NORMINV(RAND(),$C$6,$D$6))</f>
        <v/>
      </c>
      <c r="L39" s="25">
        <f>MAX(0.02,NORMINV(RAND(),$C$7,$D$7))</f>
        <v/>
      </c>
      <c r="M39" s="25">
        <f>MIN(0.16,MAX(0.05,NORMINV(RAND(),$C$8,$D$8)))</f>
        <v/>
      </c>
      <c r="N39" s="26">
        <f>MIN(24,MAX(5,NORMINV(RAND(),$C$9,$D$9)))</f>
        <v/>
      </c>
      <c r="O39" s="49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57">
        <f>$B$15+6.5*($B$16-$B$15)/15</f>
        <v/>
      </c>
      <c r="B40" s="4">
        <f>COUNTIFS($O$2:$O$1001,"&gt;="&amp;($B$15+6*($B$16-$B$15)/15),$O$2:$O$1001,"&lt;"&amp;($B$15+7*($B$16-$B$15)/15))</f>
        <v/>
      </c>
      <c r="K40" s="25">
        <f>MAX(-0.05,NORMINV(RAND(),$C$6,$D$6))</f>
        <v/>
      </c>
      <c r="L40" s="25">
        <f>MAX(0.02,NORMINV(RAND(),$C$7,$D$7))</f>
        <v/>
      </c>
      <c r="M40" s="25">
        <f>MIN(0.16,MAX(0.05,NORMINV(RAND(),$C$8,$D$8)))</f>
        <v/>
      </c>
      <c r="N40" s="26">
        <f>MIN(24,MAX(5,NORMINV(RAND(),$C$9,$D$9)))</f>
        <v/>
      </c>
      <c r="O40" s="49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57">
        <f>$B$15+7.5*($B$16-$B$15)/15</f>
        <v/>
      </c>
      <c r="B41" s="4">
        <f>COUNTIFS($O$2:$O$1001,"&gt;="&amp;($B$15+7*($B$16-$B$15)/15),$O$2:$O$1001,"&lt;"&amp;($B$15+8*($B$16-$B$15)/15))</f>
        <v/>
      </c>
      <c r="K41" s="25">
        <f>MAX(-0.05,NORMINV(RAND(),$C$6,$D$6))</f>
        <v/>
      </c>
      <c r="L41" s="25">
        <f>MAX(0.02,NORMINV(RAND(),$C$7,$D$7))</f>
        <v/>
      </c>
      <c r="M41" s="25">
        <f>MIN(0.16,MAX(0.05,NORMINV(RAND(),$C$8,$D$8)))</f>
        <v/>
      </c>
      <c r="N41" s="26">
        <f>MIN(24,MAX(5,NORMINV(RAND(),$C$9,$D$9)))</f>
        <v/>
      </c>
      <c r="O41" s="49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57">
        <f>$B$15+8.5*($B$16-$B$15)/15</f>
        <v/>
      </c>
      <c r="B42" s="4">
        <f>COUNTIFS($O$2:$O$1001,"&gt;="&amp;($B$15+8*($B$16-$B$15)/15),$O$2:$O$1001,"&lt;"&amp;($B$15+9*($B$16-$B$15)/15))</f>
        <v/>
      </c>
      <c r="K42" s="25">
        <f>MAX(-0.05,NORMINV(RAND(),$C$6,$D$6))</f>
        <v/>
      </c>
      <c r="L42" s="25">
        <f>MAX(0.02,NORMINV(RAND(),$C$7,$D$7))</f>
        <v/>
      </c>
      <c r="M42" s="25">
        <f>MIN(0.16,MAX(0.05,NORMINV(RAND(),$C$8,$D$8)))</f>
        <v/>
      </c>
      <c r="N42" s="26">
        <f>MIN(24,MAX(5,NORMINV(RAND(),$C$9,$D$9)))</f>
        <v/>
      </c>
      <c r="O42" s="49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57">
        <f>$B$15+9.5*($B$16-$B$15)/15</f>
        <v/>
      </c>
      <c r="B43" s="4">
        <f>COUNTIFS($O$2:$O$1001,"&gt;="&amp;($B$15+9*($B$16-$B$15)/15),$O$2:$O$1001,"&lt;"&amp;($B$15+10*($B$16-$B$15)/15))</f>
        <v/>
      </c>
      <c r="K43" s="25">
        <f>MAX(-0.05,NORMINV(RAND(),$C$6,$D$6))</f>
        <v/>
      </c>
      <c r="L43" s="25">
        <f>MAX(0.02,NORMINV(RAND(),$C$7,$D$7))</f>
        <v/>
      </c>
      <c r="M43" s="25">
        <f>MIN(0.16,MAX(0.05,NORMINV(RAND(),$C$8,$D$8)))</f>
        <v/>
      </c>
      <c r="N43" s="26">
        <f>MIN(24,MAX(5,NORMINV(RAND(),$C$9,$D$9)))</f>
        <v/>
      </c>
      <c r="O43" s="49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57">
        <f>$B$15+10.5*($B$16-$B$15)/15</f>
        <v/>
      </c>
      <c r="B44" s="4">
        <f>COUNTIFS($O$2:$O$1001,"&gt;="&amp;($B$15+10*($B$16-$B$15)/15),$O$2:$O$1001,"&lt;"&amp;($B$15+11*($B$16-$B$15)/15))</f>
        <v/>
      </c>
      <c r="K44" s="25">
        <f>MAX(-0.05,NORMINV(RAND(),$C$6,$D$6))</f>
        <v/>
      </c>
      <c r="L44" s="25">
        <f>MAX(0.02,NORMINV(RAND(),$C$7,$D$7))</f>
        <v/>
      </c>
      <c r="M44" s="25">
        <f>MIN(0.16,MAX(0.05,NORMINV(RAND(),$C$8,$D$8)))</f>
        <v/>
      </c>
      <c r="N44" s="26">
        <f>MIN(24,MAX(5,NORMINV(RAND(),$C$9,$D$9)))</f>
        <v/>
      </c>
      <c r="O44" s="49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57">
        <f>$B$15+11.5*($B$16-$B$15)/15</f>
        <v/>
      </c>
      <c r="B45" s="4">
        <f>COUNTIFS($O$2:$O$1001,"&gt;="&amp;($B$15+11*($B$16-$B$15)/15),$O$2:$O$1001,"&lt;"&amp;($B$15+12*($B$16-$B$15)/15))</f>
        <v/>
      </c>
      <c r="K45" s="25">
        <f>MAX(-0.05,NORMINV(RAND(),$C$6,$D$6))</f>
        <v/>
      </c>
      <c r="L45" s="25">
        <f>MAX(0.02,NORMINV(RAND(),$C$7,$D$7))</f>
        <v/>
      </c>
      <c r="M45" s="25">
        <f>MIN(0.16,MAX(0.05,NORMINV(RAND(),$C$8,$D$8)))</f>
        <v/>
      </c>
      <c r="N45" s="26">
        <f>MIN(24,MAX(5,NORMINV(RAND(),$C$9,$D$9)))</f>
        <v/>
      </c>
      <c r="O45" s="49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57">
        <f>$B$15+12.5*($B$16-$B$15)/15</f>
        <v/>
      </c>
      <c r="B46" s="4">
        <f>COUNTIFS($O$2:$O$1001,"&gt;="&amp;($B$15+12*($B$16-$B$15)/15),$O$2:$O$1001,"&lt;"&amp;($B$15+13*($B$16-$B$15)/15))</f>
        <v/>
      </c>
      <c r="K46" s="25">
        <f>MAX(-0.05,NORMINV(RAND(),$C$6,$D$6))</f>
        <v/>
      </c>
      <c r="L46" s="25">
        <f>MAX(0.02,NORMINV(RAND(),$C$7,$D$7))</f>
        <v/>
      </c>
      <c r="M46" s="25">
        <f>MIN(0.16,MAX(0.05,NORMINV(RAND(),$C$8,$D$8)))</f>
        <v/>
      </c>
      <c r="N46" s="26">
        <f>MIN(24,MAX(5,NORMINV(RAND(),$C$9,$D$9)))</f>
        <v/>
      </c>
      <c r="O46" s="49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57">
        <f>$B$15+13.5*($B$16-$B$15)/15</f>
        <v/>
      </c>
      <c r="B47" s="4">
        <f>COUNTIFS($O$2:$O$1001,"&gt;="&amp;($B$15+13*($B$16-$B$15)/15),$O$2:$O$1001,"&lt;"&amp;($B$15+14*($B$16-$B$15)/15))</f>
        <v/>
      </c>
      <c r="K47" s="25">
        <f>MAX(-0.05,NORMINV(RAND(),$C$6,$D$6))</f>
        <v/>
      </c>
      <c r="L47" s="25">
        <f>MAX(0.02,NORMINV(RAND(),$C$7,$D$7))</f>
        <v/>
      </c>
      <c r="M47" s="25">
        <f>MIN(0.16,MAX(0.05,NORMINV(RAND(),$C$8,$D$8)))</f>
        <v/>
      </c>
      <c r="N47" s="26">
        <f>MIN(24,MAX(5,NORMINV(RAND(),$C$9,$D$9)))</f>
        <v/>
      </c>
      <c r="O47" s="49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57">
        <f>$B$15+14.5*($B$16-$B$15)/15</f>
        <v/>
      </c>
      <c r="B48" s="4">
        <f>COUNTIF($O$2:$O$1001,"&gt;="&amp;($B$15+14*($B$16-$B$15)/15))</f>
        <v/>
      </c>
      <c r="K48" s="25">
        <f>MAX(-0.05,NORMINV(RAND(),$C$6,$D$6))</f>
        <v/>
      </c>
      <c r="L48" s="25">
        <f>MAX(0.02,NORMINV(RAND(),$C$7,$D$7))</f>
        <v/>
      </c>
      <c r="M48" s="25">
        <f>MIN(0.16,MAX(0.05,NORMINV(RAND(),$C$8,$D$8)))</f>
        <v/>
      </c>
      <c r="N48" s="26">
        <f>MIN(24,MAX(5,NORMINV(RAND(),$C$9,$D$9)))</f>
        <v/>
      </c>
      <c r="O48" s="49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25">
        <f>MAX(-0.05,NORMINV(RAND(),$C$6,$D$6))</f>
        <v/>
      </c>
      <c r="L49" s="25">
        <f>MAX(0.02,NORMINV(RAND(),$C$7,$D$7))</f>
        <v/>
      </c>
      <c r="M49" s="25">
        <f>MIN(0.16,MAX(0.05,NORMINV(RAND(),$C$8,$D$8)))</f>
        <v/>
      </c>
      <c r="N49" s="26">
        <f>MIN(24,MAX(5,NORMINV(RAND(),$C$9,$D$9)))</f>
        <v/>
      </c>
      <c r="O49" s="49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25">
        <f>MAX(-0.05,NORMINV(RAND(),$C$6,$D$6))</f>
        <v/>
      </c>
      <c r="L50" s="25">
        <f>MAX(0.02,NORMINV(RAND(),$C$7,$D$7))</f>
        <v/>
      </c>
      <c r="M50" s="25">
        <f>MIN(0.16,MAX(0.05,NORMINV(RAND(),$C$8,$D$8)))</f>
        <v/>
      </c>
      <c r="N50" s="26">
        <f>MIN(24,MAX(5,NORMINV(RAND(),$C$9,$D$9)))</f>
        <v/>
      </c>
      <c r="O50" s="49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25">
        <f>MAX(-0.05,NORMINV(RAND(),$C$6,$D$6))</f>
        <v/>
      </c>
      <c r="L51" s="25">
        <f>MAX(0.02,NORMINV(RAND(),$C$7,$D$7))</f>
        <v/>
      </c>
      <c r="M51" s="25">
        <f>MIN(0.16,MAX(0.05,NORMINV(RAND(),$C$8,$D$8)))</f>
        <v/>
      </c>
      <c r="N51" s="26">
        <f>MIN(24,MAX(5,NORMINV(RAND(),$C$9,$D$9)))</f>
        <v/>
      </c>
      <c r="O51" s="49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25">
        <f>MAX(-0.05,NORMINV(RAND(),$C$6,$D$6))</f>
        <v/>
      </c>
      <c r="L52" s="25">
        <f>MAX(0.02,NORMINV(RAND(),$C$7,$D$7))</f>
        <v/>
      </c>
      <c r="M52" s="25">
        <f>MIN(0.16,MAX(0.05,NORMINV(RAND(),$C$8,$D$8)))</f>
        <v/>
      </c>
      <c r="N52" s="26">
        <f>MIN(24,MAX(5,NORMINV(RAND(),$C$9,$D$9)))</f>
        <v/>
      </c>
      <c r="O52" s="49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25">
        <f>MAX(-0.05,NORMINV(RAND(),$C$6,$D$6))</f>
        <v/>
      </c>
      <c r="L53" s="25">
        <f>MAX(0.02,NORMINV(RAND(),$C$7,$D$7))</f>
        <v/>
      </c>
      <c r="M53" s="25">
        <f>MIN(0.16,MAX(0.05,NORMINV(RAND(),$C$8,$D$8)))</f>
        <v/>
      </c>
      <c r="N53" s="26">
        <f>MIN(24,MAX(5,NORMINV(RAND(),$C$9,$D$9)))</f>
        <v/>
      </c>
      <c r="O53" s="49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25">
        <f>MAX(-0.05,NORMINV(RAND(),$C$6,$D$6))</f>
        <v/>
      </c>
      <c r="L54" s="25">
        <f>MAX(0.02,NORMINV(RAND(),$C$7,$D$7))</f>
        <v/>
      </c>
      <c r="M54" s="25">
        <f>MIN(0.16,MAX(0.05,NORMINV(RAND(),$C$8,$D$8)))</f>
        <v/>
      </c>
      <c r="N54" s="26">
        <f>MIN(24,MAX(5,NORMINV(RAND(),$C$9,$D$9)))</f>
        <v/>
      </c>
      <c r="O54" s="49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25">
        <f>MAX(-0.05,NORMINV(RAND(),$C$6,$D$6))</f>
        <v/>
      </c>
      <c r="L55" s="25">
        <f>MAX(0.02,NORMINV(RAND(),$C$7,$D$7))</f>
        <v/>
      </c>
      <c r="M55" s="25">
        <f>MIN(0.16,MAX(0.05,NORMINV(RAND(),$C$8,$D$8)))</f>
        <v/>
      </c>
      <c r="N55" s="26">
        <f>MIN(24,MAX(5,NORMINV(RAND(),$C$9,$D$9)))</f>
        <v/>
      </c>
      <c r="O55" s="49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25">
        <f>MAX(-0.05,NORMINV(RAND(),$C$6,$D$6))</f>
        <v/>
      </c>
      <c r="L56" s="25">
        <f>MAX(0.02,NORMINV(RAND(),$C$7,$D$7))</f>
        <v/>
      </c>
      <c r="M56" s="25">
        <f>MIN(0.16,MAX(0.05,NORMINV(RAND(),$C$8,$D$8)))</f>
        <v/>
      </c>
      <c r="N56" s="26">
        <f>MIN(24,MAX(5,NORMINV(RAND(),$C$9,$D$9)))</f>
        <v/>
      </c>
      <c r="O56" s="49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25">
        <f>MAX(-0.05,NORMINV(RAND(),$C$6,$D$6))</f>
        <v/>
      </c>
      <c r="L57" s="25">
        <f>MAX(0.02,NORMINV(RAND(),$C$7,$D$7))</f>
        <v/>
      </c>
      <c r="M57" s="25">
        <f>MIN(0.16,MAX(0.05,NORMINV(RAND(),$C$8,$D$8)))</f>
        <v/>
      </c>
      <c r="N57" s="26">
        <f>MIN(24,MAX(5,NORMINV(RAND(),$C$9,$D$9)))</f>
        <v/>
      </c>
      <c r="O57" s="49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25">
        <f>MAX(-0.05,NORMINV(RAND(),$C$6,$D$6))</f>
        <v/>
      </c>
      <c r="L58" s="25">
        <f>MAX(0.02,NORMINV(RAND(),$C$7,$D$7))</f>
        <v/>
      </c>
      <c r="M58" s="25">
        <f>MIN(0.16,MAX(0.05,NORMINV(RAND(),$C$8,$D$8)))</f>
        <v/>
      </c>
      <c r="N58" s="26">
        <f>MIN(24,MAX(5,NORMINV(RAND(),$C$9,$D$9)))</f>
        <v/>
      </c>
      <c r="O58" s="49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25">
        <f>MAX(-0.05,NORMINV(RAND(),$C$6,$D$6))</f>
        <v/>
      </c>
      <c r="L59" s="25">
        <f>MAX(0.02,NORMINV(RAND(),$C$7,$D$7))</f>
        <v/>
      </c>
      <c r="M59" s="25">
        <f>MIN(0.16,MAX(0.05,NORMINV(RAND(),$C$8,$D$8)))</f>
        <v/>
      </c>
      <c r="N59" s="26">
        <f>MIN(24,MAX(5,NORMINV(RAND(),$C$9,$D$9)))</f>
        <v/>
      </c>
      <c r="O59" s="49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25">
        <f>MAX(-0.05,NORMINV(RAND(),$C$6,$D$6))</f>
        <v/>
      </c>
      <c r="L60" s="25">
        <f>MAX(0.02,NORMINV(RAND(),$C$7,$D$7))</f>
        <v/>
      </c>
      <c r="M60" s="25">
        <f>MIN(0.16,MAX(0.05,NORMINV(RAND(),$C$8,$D$8)))</f>
        <v/>
      </c>
      <c r="N60" s="26">
        <f>MIN(24,MAX(5,NORMINV(RAND(),$C$9,$D$9)))</f>
        <v/>
      </c>
      <c r="O60" s="49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25">
        <f>MAX(-0.05,NORMINV(RAND(),$C$6,$D$6))</f>
        <v/>
      </c>
      <c r="L61" s="25">
        <f>MAX(0.02,NORMINV(RAND(),$C$7,$D$7))</f>
        <v/>
      </c>
      <c r="M61" s="25">
        <f>MIN(0.16,MAX(0.05,NORMINV(RAND(),$C$8,$D$8)))</f>
        <v/>
      </c>
      <c r="N61" s="26">
        <f>MIN(24,MAX(5,NORMINV(RAND(),$C$9,$D$9)))</f>
        <v/>
      </c>
      <c r="O61" s="49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25">
        <f>MAX(-0.05,NORMINV(RAND(),$C$6,$D$6))</f>
        <v/>
      </c>
      <c r="L62" s="25">
        <f>MAX(0.02,NORMINV(RAND(),$C$7,$D$7))</f>
        <v/>
      </c>
      <c r="M62" s="25">
        <f>MIN(0.16,MAX(0.05,NORMINV(RAND(),$C$8,$D$8)))</f>
        <v/>
      </c>
      <c r="N62" s="26">
        <f>MIN(24,MAX(5,NORMINV(RAND(),$C$9,$D$9)))</f>
        <v/>
      </c>
      <c r="O62" s="49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25">
        <f>MAX(-0.05,NORMINV(RAND(),$C$6,$D$6))</f>
        <v/>
      </c>
      <c r="L63" s="25">
        <f>MAX(0.02,NORMINV(RAND(),$C$7,$D$7))</f>
        <v/>
      </c>
      <c r="M63" s="25">
        <f>MIN(0.16,MAX(0.05,NORMINV(RAND(),$C$8,$D$8)))</f>
        <v/>
      </c>
      <c r="N63" s="26">
        <f>MIN(24,MAX(5,NORMINV(RAND(),$C$9,$D$9)))</f>
        <v/>
      </c>
      <c r="O63" s="49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25">
        <f>MAX(-0.05,NORMINV(RAND(),$C$6,$D$6))</f>
        <v/>
      </c>
      <c r="L64" s="25">
        <f>MAX(0.02,NORMINV(RAND(),$C$7,$D$7))</f>
        <v/>
      </c>
      <c r="M64" s="25">
        <f>MIN(0.16,MAX(0.05,NORMINV(RAND(),$C$8,$D$8)))</f>
        <v/>
      </c>
      <c r="N64" s="26">
        <f>MIN(24,MAX(5,NORMINV(RAND(),$C$9,$D$9)))</f>
        <v/>
      </c>
      <c r="O64" s="49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25">
        <f>MAX(-0.05,NORMINV(RAND(),$C$6,$D$6))</f>
        <v/>
      </c>
      <c r="L65" s="25">
        <f>MAX(0.02,NORMINV(RAND(),$C$7,$D$7))</f>
        <v/>
      </c>
      <c r="M65" s="25">
        <f>MIN(0.16,MAX(0.05,NORMINV(RAND(),$C$8,$D$8)))</f>
        <v/>
      </c>
      <c r="N65" s="26">
        <f>MIN(24,MAX(5,NORMINV(RAND(),$C$9,$D$9)))</f>
        <v/>
      </c>
      <c r="O65" s="49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25">
        <f>MAX(-0.05,NORMINV(RAND(),$C$6,$D$6))</f>
        <v/>
      </c>
      <c r="L66" s="25">
        <f>MAX(0.02,NORMINV(RAND(),$C$7,$D$7))</f>
        <v/>
      </c>
      <c r="M66" s="25">
        <f>MIN(0.16,MAX(0.05,NORMINV(RAND(),$C$8,$D$8)))</f>
        <v/>
      </c>
      <c r="N66" s="26">
        <f>MIN(24,MAX(5,NORMINV(RAND(),$C$9,$D$9)))</f>
        <v/>
      </c>
      <c r="O66" s="49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25">
        <f>MAX(-0.05,NORMINV(RAND(),$C$6,$D$6))</f>
        <v/>
      </c>
      <c r="L67" s="25">
        <f>MAX(0.02,NORMINV(RAND(),$C$7,$D$7))</f>
        <v/>
      </c>
      <c r="M67" s="25">
        <f>MIN(0.16,MAX(0.05,NORMINV(RAND(),$C$8,$D$8)))</f>
        <v/>
      </c>
      <c r="N67" s="26">
        <f>MIN(24,MAX(5,NORMINV(RAND(),$C$9,$D$9)))</f>
        <v/>
      </c>
      <c r="O67" s="49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25">
        <f>MAX(-0.05,NORMINV(RAND(),$C$6,$D$6))</f>
        <v/>
      </c>
      <c r="L68" s="25">
        <f>MAX(0.02,NORMINV(RAND(),$C$7,$D$7))</f>
        <v/>
      </c>
      <c r="M68" s="25">
        <f>MIN(0.16,MAX(0.05,NORMINV(RAND(),$C$8,$D$8)))</f>
        <v/>
      </c>
      <c r="N68" s="26">
        <f>MIN(24,MAX(5,NORMINV(RAND(),$C$9,$D$9)))</f>
        <v/>
      </c>
      <c r="O68" s="49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25">
        <f>MAX(-0.05,NORMINV(RAND(),$C$6,$D$6))</f>
        <v/>
      </c>
      <c r="L69" s="25">
        <f>MAX(0.02,NORMINV(RAND(),$C$7,$D$7))</f>
        <v/>
      </c>
      <c r="M69" s="25">
        <f>MIN(0.16,MAX(0.05,NORMINV(RAND(),$C$8,$D$8)))</f>
        <v/>
      </c>
      <c r="N69" s="26">
        <f>MIN(24,MAX(5,NORMINV(RAND(),$C$9,$D$9)))</f>
        <v/>
      </c>
      <c r="O69" s="49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25">
        <f>MAX(-0.05,NORMINV(RAND(),$C$6,$D$6))</f>
        <v/>
      </c>
      <c r="L70" s="25">
        <f>MAX(0.02,NORMINV(RAND(),$C$7,$D$7))</f>
        <v/>
      </c>
      <c r="M70" s="25">
        <f>MIN(0.16,MAX(0.05,NORMINV(RAND(),$C$8,$D$8)))</f>
        <v/>
      </c>
      <c r="N70" s="26">
        <f>MIN(24,MAX(5,NORMINV(RAND(),$C$9,$D$9)))</f>
        <v/>
      </c>
      <c r="O70" s="49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25">
        <f>MAX(-0.05,NORMINV(RAND(),$C$6,$D$6))</f>
        <v/>
      </c>
      <c r="L71" s="25">
        <f>MAX(0.02,NORMINV(RAND(),$C$7,$D$7))</f>
        <v/>
      </c>
      <c r="M71" s="25">
        <f>MIN(0.16,MAX(0.05,NORMINV(RAND(),$C$8,$D$8)))</f>
        <v/>
      </c>
      <c r="N71" s="26">
        <f>MIN(24,MAX(5,NORMINV(RAND(),$C$9,$D$9)))</f>
        <v/>
      </c>
      <c r="O71" s="49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25">
        <f>MAX(-0.05,NORMINV(RAND(),$C$6,$D$6))</f>
        <v/>
      </c>
      <c r="L72" s="25">
        <f>MAX(0.02,NORMINV(RAND(),$C$7,$D$7))</f>
        <v/>
      </c>
      <c r="M72" s="25">
        <f>MIN(0.16,MAX(0.05,NORMINV(RAND(),$C$8,$D$8)))</f>
        <v/>
      </c>
      <c r="N72" s="26">
        <f>MIN(24,MAX(5,NORMINV(RAND(),$C$9,$D$9)))</f>
        <v/>
      </c>
      <c r="O72" s="49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25">
        <f>MAX(-0.05,NORMINV(RAND(),$C$6,$D$6))</f>
        <v/>
      </c>
      <c r="L73" s="25">
        <f>MAX(0.02,NORMINV(RAND(),$C$7,$D$7))</f>
        <v/>
      </c>
      <c r="M73" s="25">
        <f>MIN(0.16,MAX(0.05,NORMINV(RAND(),$C$8,$D$8)))</f>
        <v/>
      </c>
      <c r="N73" s="26">
        <f>MIN(24,MAX(5,NORMINV(RAND(),$C$9,$D$9)))</f>
        <v/>
      </c>
      <c r="O73" s="49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25">
        <f>MAX(-0.05,NORMINV(RAND(),$C$6,$D$6))</f>
        <v/>
      </c>
      <c r="L74" s="25">
        <f>MAX(0.02,NORMINV(RAND(),$C$7,$D$7))</f>
        <v/>
      </c>
      <c r="M74" s="25">
        <f>MIN(0.16,MAX(0.05,NORMINV(RAND(),$C$8,$D$8)))</f>
        <v/>
      </c>
      <c r="N74" s="26">
        <f>MIN(24,MAX(5,NORMINV(RAND(),$C$9,$D$9)))</f>
        <v/>
      </c>
      <c r="O74" s="49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25">
        <f>MAX(-0.05,NORMINV(RAND(),$C$6,$D$6))</f>
        <v/>
      </c>
      <c r="L75" s="25">
        <f>MAX(0.02,NORMINV(RAND(),$C$7,$D$7))</f>
        <v/>
      </c>
      <c r="M75" s="25">
        <f>MIN(0.16,MAX(0.05,NORMINV(RAND(),$C$8,$D$8)))</f>
        <v/>
      </c>
      <c r="N75" s="26">
        <f>MIN(24,MAX(5,NORMINV(RAND(),$C$9,$D$9)))</f>
        <v/>
      </c>
      <c r="O75" s="49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25">
        <f>MAX(-0.05,NORMINV(RAND(),$C$6,$D$6))</f>
        <v/>
      </c>
      <c r="L76" s="25">
        <f>MAX(0.02,NORMINV(RAND(),$C$7,$D$7))</f>
        <v/>
      </c>
      <c r="M76" s="25">
        <f>MIN(0.16,MAX(0.05,NORMINV(RAND(),$C$8,$D$8)))</f>
        <v/>
      </c>
      <c r="N76" s="26">
        <f>MIN(24,MAX(5,NORMINV(RAND(),$C$9,$D$9)))</f>
        <v/>
      </c>
      <c r="O76" s="49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25">
        <f>MAX(-0.05,NORMINV(RAND(),$C$6,$D$6))</f>
        <v/>
      </c>
      <c r="L77" s="25">
        <f>MAX(0.02,NORMINV(RAND(),$C$7,$D$7))</f>
        <v/>
      </c>
      <c r="M77" s="25">
        <f>MIN(0.16,MAX(0.05,NORMINV(RAND(),$C$8,$D$8)))</f>
        <v/>
      </c>
      <c r="N77" s="26">
        <f>MIN(24,MAX(5,NORMINV(RAND(),$C$9,$D$9)))</f>
        <v/>
      </c>
      <c r="O77" s="49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25">
        <f>MAX(-0.05,NORMINV(RAND(),$C$6,$D$6))</f>
        <v/>
      </c>
      <c r="L78" s="25">
        <f>MAX(0.02,NORMINV(RAND(),$C$7,$D$7))</f>
        <v/>
      </c>
      <c r="M78" s="25">
        <f>MIN(0.16,MAX(0.05,NORMINV(RAND(),$C$8,$D$8)))</f>
        <v/>
      </c>
      <c r="N78" s="26">
        <f>MIN(24,MAX(5,NORMINV(RAND(),$C$9,$D$9)))</f>
        <v/>
      </c>
      <c r="O78" s="49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25">
        <f>MAX(-0.05,NORMINV(RAND(),$C$6,$D$6))</f>
        <v/>
      </c>
      <c r="L79" s="25">
        <f>MAX(0.02,NORMINV(RAND(),$C$7,$D$7))</f>
        <v/>
      </c>
      <c r="M79" s="25">
        <f>MIN(0.16,MAX(0.05,NORMINV(RAND(),$C$8,$D$8)))</f>
        <v/>
      </c>
      <c r="N79" s="26">
        <f>MIN(24,MAX(5,NORMINV(RAND(),$C$9,$D$9)))</f>
        <v/>
      </c>
      <c r="O79" s="49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25">
        <f>MAX(-0.05,NORMINV(RAND(),$C$6,$D$6))</f>
        <v/>
      </c>
      <c r="L80" s="25">
        <f>MAX(0.02,NORMINV(RAND(),$C$7,$D$7))</f>
        <v/>
      </c>
      <c r="M80" s="25">
        <f>MIN(0.16,MAX(0.05,NORMINV(RAND(),$C$8,$D$8)))</f>
        <v/>
      </c>
      <c r="N80" s="26">
        <f>MIN(24,MAX(5,NORMINV(RAND(),$C$9,$D$9)))</f>
        <v/>
      </c>
      <c r="O80" s="49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25">
        <f>MAX(-0.05,NORMINV(RAND(),$C$6,$D$6))</f>
        <v/>
      </c>
      <c r="L81" s="25">
        <f>MAX(0.02,NORMINV(RAND(),$C$7,$D$7))</f>
        <v/>
      </c>
      <c r="M81" s="25">
        <f>MIN(0.16,MAX(0.05,NORMINV(RAND(),$C$8,$D$8)))</f>
        <v/>
      </c>
      <c r="N81" s="26">
        <f>MIN(24,MAX(5,NORMINV(RAND(),$C$9,$D$9)))</f>
        <v/>
      </c>
      <c r="O81" s="49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25">
        <f>MAX(-0.05,NORMINV(RAND(),$C$6,$D$6))</f>
        <v/>
      </c>
      <c r="L82" s="25">
        <f>MAX(0.02,NORMINV(RAND(),$C$7,$D$7))</f>
        <v/>
      </c>
      <c r="M82" s="25">
        <f>MIN(0.16,MAX(0.05,NORMINV(RAND(),$C$8,$D$8)))</f>
        <v/>
      </c>
      <c r="N82" s="26">
        <f>MIN(24,MAX(5,NORMINV(RAND(),$C$9,$D$9)))</f>
        <v/>
      </c>
      <c r="O82" s="49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25">
        <f>MAX(-0.05,NORMINV(RAND(),$C$6,$D$6))</f>
        <v/>
      </c>
      <c r="L83" s="25">
        <f>MAX(0.02,NORMINV(RAND(),$C$7,$D$7))</f>
        <v/>
      </c>
      <c r="M83" s="25">
        <f>MIN(0.16,MAX(0.05,NORMINV(RAND(),$C$8,$D$8)))</f>
        <v/>
      </c>
      <c r="N83" s="26">
        <f>MIN(24,MAX(5,NORMINV(RAND(),$C$9,$D$9)))</f>
        <v/>
      </c>
      <c r="O83" s="49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25">
        <f>MAX(-0.05,NORMINV(RAND(),$C$6,$D$6))</f>
        <v/>
      </c>
      <c r="L84" s="25">
        <f>MAX(0.02,NORMINV(RAND(),$C$7,$D$7))</f>
        <v/>
      </c>
      <c r="M84" s="25">
        <f>MIN(0.16,MAX(0.05,NORMINV(RAND(),$C$8,$D$8)))</f>
        <v/>
      </c>
      <c r="N84" s="26">
        <f>MIN(24,MAX(5,NORMINV(RAND(),$C$9,$D$9)))</f>
        <v/>
      </c>
      <c r="O84" s="49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25">
        <f>MAX(-0.05,NORMINV(RAND(),$C$6,$D$6))</f>
        <v/>
      </c>
      <c r="L85" s="25">
        <f>MAX(0.02,NORMINV(RAND(),$C$7,$D$7))</f>
        <v/>
      </c>
      <c r="M85" s="25">
        <f>MIN(0.16,MAX(0.05,NORMINV(RAND(),$C$8,$D$8)))</f>
        <v/>
      </c>
      <c r="N85" s="26">
        <f>MIN(24,MAX(5,NORMINV(RAND(),$C$9,$D$9)))</f>
        <v/>
      </c>
      <c r="O85" s="49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25">
        <f>MAX(-0.05,NORMINV(RAND(),$C$6,$D$6))</f>
        <v/>
      </c>
      <c r="L86" s="25">
        <f>MAX(0.02,NORMINV(RAND(),$C$7,$D$7))</f>
        <v/>
      </c>
      <c r="M86" s="25">
        <f>MIN(0.16,MAX(0.05,NORMINV(RAND(),$C$8,$D$8)))</f>
        <v/>
      </c>
      <c r="N86" s="26">
        <f>MIN(24,MAX(5,NORMINV(RAND(),$C$9,$D$9)))</f>
        <v/>
      </c>
      <c r="O86" s="49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25">
        <f>MAX(-0.05,NORMINV(RAND(),$C$6,$D$6))</f>
        <v/>
      </c>
      <c r="L87" s="25">
        <f>MAX(0.02,NORMINV(RAND(),$C$7,$D$7))</f>
        <v/>
      </c>
      <c r="M87" s="25">
        <f>MIN(0.16,MAX(0.05,NORMINV(RAND(),$C$8,$D$8)))</f>
        <v/>
      </c>
      <c r="N87" s="26">
        <f>MIN(24,MAX(5,NORMINV(RAND(),$C$9,$D$9)))</f>
        <v/>
      </c>
      <c r="O87" s="49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25">
        <f>MAX(-0.05,NORMINV(RAND(),$C$6,$D$6))</f>
        <v/>
      </c>
      <c r="L88" s="25">
        <f>MAX(0.02,NORMINV(RAND(),$C$7,$D$7))</f>
        <v/>
      </c>
      <c r="M88" s="25">
        <f>MIN(0.16,MAX(0.05,NORMINV(RAND(),$C$8,$D$8)))</f>
        <v/>
      </c>
      <c r="N88" s="26">
        <f>MIN(24,MAX(5,NORMINV(RAND(),$C$9,$D$9)))</f>
        <v/>
      </c>
      <c r="O88" s="49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25">
        <f>MAX(-0.05,NORMINV(RAND(),$C$6,$D$6))</f>
        <v/>
      </c>
      <c r="L89" s="25">
        <f>MAX(0.02,NORMINV(RAND(),$C$7,$D$7))</f>
        <v/>
      </c>
      <c r="M89" s="25">
        <f>MIN(0.16,MAX(0.05,NORMINV(RAND(),$C$8,$D$8)))</f>
        <v/>
      </c>
      <c r="N89" s="26">
        <f>MIN(24,MAX(5,NORMINV(RAND(),$C$9,$D$9)))</f>
        <v/>
      </c>
      <c r="O89" s="49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25">
        <f>MAX(-0.05,NORMINV(RAND(),$C$6,$D$6))</f>
        <v/>
      </c>
      <c r="L90" s="25">
        <f>MAX(0.02,NORMINV(RAND(),$C$7,$D$7))</f>
        <v/>
      </c>
      <c r="M90" s="25">
        <f>MIN(0.16,MAX(0.05,NORMINV(RAND(),$C$8,$D$8)))</f>
        <v/>
      </c>
      <c r="N90" s="26">
        <f>MIN(24,MAX(5,NORMINV(RAND(),$C$9,$D$9)))</f>
        <v/>
      </c>
      <c r="O90" s="49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25">
        <f>MAX(-0.05,NORMINV(RAND(),$C$6,$D$6))</f>
        <v/>
      </c>
      <c r="L91" s="25">
        <f>MAX(0.02,NORMINV(RAND(),$C$7,$D$7))</f>
        <v/>
      </c>
      <c r="M91" s="25">
        <f>MIN(0.16,MAX(0.05,NORMINV(RAND(),$C$8,$D$8)))</f>
        <v/>
      </c>
      <c r="N91" s="26">
        <f>MIN(24,MAX(5,NORMINV(RAND(),$C$9,$D$9)))</f>
        <v/>
      </c>
      <c r="O91" s="49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25">
        <f>MAX(-0.05,NORMINV(RAND(),$C$6,$D$6))</f>
        <v/>
      </c>
      <c r="L92" s="25">
        <f>MAX(0.02,NORMINV(RAND(),$C$7,$D$7))</f>
        <v/>
      </c>
      <c r="M92" s="25">
        <f>MIN(0.16,MAX(0.05,NORMINV(RAND(),$C$8,$D$8)))</f>
        <v/>
      </c>
      <c r="N92" s="26">
        <f>MIN(24,MAX(5,NORMINV(RAND(),$C$9,$D$9)))</f>
        <v/>
      </c>
      <c r="O92" s="49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25">
        <f>MAX(-0.05,NORMINV(RAND(),$C$6,$D$6))</f>
        <v/>
      </c>
      <c r="L93" s="25">
        <f>MAX(0.02,NORMINV(RAND(),$C$7,$D$7))</f>
        <v/>
      </c>
      <c r="M93" s="25">
        <f>MIN(0.16,MAX(0.05,NORMINV(RAND(),$C$8,$D$8)))</f>
        <v/>
      </c>
      <c r="N93" s="26">
        <f>MIN(24,MAX(5,NORMINV(RAND(),$C$9,$D$9)))</f>
        <v/>
      </c>
      <c r="O93" s="49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25">
        <f>MAX(-0.05,NORMINV(RAND(),$C$6,$D$6))</f>
        <v/>
      </c>
      <c r="L94" s="25">
        <f>MAX(0.02,NORMINV(RAND(),$C$7,$D$7))</f>
        <v/>
      </c>
      <c r="M94" s="25">
        <f>MIN(0.16,MAX(0.05,NORMINV(RAND(),$C$8,$D$8)))</f>
        <v/>
      </c>
      <c r="N94" s="26">
        <f>MIN(24,MAX(5,NORMINV(RAND(),$C$9,$D$9)))</f>
        <v/>
      </c>
      <c r="O94" s="49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25">
        <f>MAX(-0.05,NORMINV(RAND(),$C$6,$D$6))</f>
        <v/>
      </c>
      <c r="L95" s="25">
        <f>MAX(0.02,NORMINV(RAND(),$C$7,$D$7))</f>
        <v/>
      </c>
      <c r="M95" s="25">
        <f>MIN(0.16,MAX(0.05,NORMINV(RAND(),$C$8,$D$8)))</f>
        <v/>
      </c>
      <c r="N95" s="26">
        <f>MIN(24,MAX(5,NORMINV(RAND(),$C$9,$D$9)))</f>
        <v/>
      </c>
      <c r="O95" s="49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25">
        <f>MAX(-0.05,NORMINV(RAND(),$C$6,$D$6))</f>
        <v/>
      </c>
      <c r="L96" s="25">
        <f>MAX(0.02,NORMINV(RAND(),$C$7,$D$7))</f>
        <v/>
      </c>
      <c r="M96" s="25">
        <f>MIN(0.16,MAX(0.05,NORMINV(RAND(),$C$8,$D$8)))</f>
        <v/>
      </c>
      <c r="N96" s="26">
        <f>MIN(24,MAX(5,NORMINV(RAND(),$C$9,$D$9)))</f>
        <v/>
      </c>
      <c r="O96" s="49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25">
        <f>MAX(-0.05,NORMINV(RAND(),$C$6,$D$6))</f>
        <v/>
      </c>
      <c r="L97" s="25">
        <f>MAX(0.02,NORMINV(RAND(),$C$7,$D$7))</f>
        <v/>
      </c>
      <c r="M97" s="25">
        <f>MIN(0.16,MAX(0.05,NORMINV(RAND(),$C$8,$D$8)))</f>
        <v/>
      </c>
      <c r="N97" s="26">
        <f>MIN(24,MAX(5,NORMINV(RAND(),$C$9,$D$9)))</f>
        <v/>
      </c>
      <c r="O97" s="49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25">
        <f>MAX(-0.05,NORMINV(RAND(),$C$6,$D$6))</f>
        <v/>
      </c>
      <c r="L98" s="25">
        <f>MAX(0.02,NORMINV(RAND(),$C$7,$D$7))</f>
        <v/>
      </c>
      <c r="M98" s="25">
        <f>MIN(0.16,MAX(0.05,NORMINV(RAND(),$C$8,$D$8)))</f>
        <v/>
      </c>
      <c r="N98" s="26">
        <f>MIN(24,MAX(5,NORMINV(RAND(),$C$9,$D$9)))</f>
        <v/>
      </c>
      <c r="O98" s="49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25">
        <f>MAX(-0.05,NORMINV(RAND(),$C$6,$D$6))</f>
        <v/>
      </c>
      <c r="L99" s="25">
        <f>MAX(0.02,NORMINV(RAND(),$C$7,$D$7))</f>
        <v/>
      </c>
      <c r="M99" s="25">
        <f>MIN(0.16,MAX(0.05,NORMINV(RAND(),$C$8,$D$8)))</f>
        <v/>
      </c>
      <c r="N99" s="26">
        <f>MIN(24,MAX(5,NORMINV(RAND(),$C$9,$D$9)))</f>
        <v/>
      </c>
      <c r="O99" s="49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25">
        <f>MAX(-0.05,NORMINV(RAND(),$C$6,$D$6))</f>
        <v/>
      </c>
      <c r="L100" s="25">
        <f>MAX(0.02,NORMINV(RAND(),$C$7,$D$7))</f>
        <v/>
      </c>
      <c r="M100" s="25">
        <f>MIN(0.16,MAX(0.05,NORMINV(RAND(),$C$8,$D$8)))</f>
        <v/>
      </c>
      <c r="N100" s="26">
        <f>MIN(24,MAX(5,NORMINV(RAND(),$C$9,$D$9)))</f>
        <v/>
      </c>
      <c r="O100" s="49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25">
        <f>MAX(-0.05,NORMINV(RAND(),$C$6,$D$6))</f>
        <v/>
      </c>
      <c r="L101" s="25">
        <f>MAX(0.02,NORMINV(RAND(),$C$7,$D$7))</f>
        <v/>
      </c>
      <c r="M101" s="25">
        <f>MIN(0.16,MAX(0.05,NORMINV(RAND(),$C$8,$D$8)))</f>
        <v/>
      </c>
      <c r="N101" s="26">
        <f>MIN(24,MAX(5,NORMINV(RAND(),$C$9,$D$9)))</f>
        <v/>
      </c>
      <c r="O101" s="49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25">
        <f>MAX(-0.05,NORMINV(RAND(),$C$6,$D$6))</f>
        <v/>
      </c>
      <c r="L102" s="25">
        <f>MAX(0.02,NORMINV(RAND(),$C$7,$D$7))</f>
        <v/>
      </c>
      <c r="M102" s="25">
        <f>MIN(0.16,MAX(0.05,NORMINV(RAND(),$C$8,$D$8)))</f>
        <v/>
      </c>
      <c r="N102" s="26">
        <f>MIN(24,MAX(5,NORMINV(RAND(),$C$9,$D$9)))</f>
        <v/>
      </c>
      <c r="O102" s="49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25">
        <f>MAX(-0.05,NORMINV(RAND(),$C$6,$D$6))</f>
        <v/>
      </c>
      <c r="L103" s="25">
        <f>MAX(0.02,NORMINV(RAND(),$C$7,$D$7))</f>
        <v/>
      </c>
      <c r="M103" s="25">
        <f>MIN(0.16,MAX(0.05,NORMINV(RAND(),$C$8,$D$8)))</f>
        <v/>
      </c>
      <c r="N103" s="26">
        <f>MIN(24,MAX(5,NORMINV(RAND(),$C$9,$D$9)))</f>
        <v/>
      </c>
      <c r="O103" s="49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25">
        <f>MAX(-0.05,NORMINV(RAND(),$C$6,$D$6))</f>
        <v/>
      </c>
      <c r="L104" s="25">
        <f>MAX(0.02,NORMINV(RAND(),$C$7,$D$7))</f>
        <v/>
      </c>
      <c r="M104" s="25">
        <f>MIN(0.16,MAX(0.05,NORMINV(RAND(),$C$8,$D$8)))</f>
        <v/>
      </c>
      <c r="N104" s="26">
        <f>MIN(24,MAX(5,NORMINV(RAND(),$C$9,$D$9)))</f>
        <v/>
      </c>
      <c r="O104" s="49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25">
        <f>MAX(-0.05,NORMINV(RAND(),$C$6,$D$6))</f>
        <v/>
      </c>
      <c r="L105" s="25">
        <f>MAX(0.02,NORMINV(RAND(),$C$7,$D$7))</f>
        <v/>
      </c>
      <c r="M105" s="25">
        <f>MIN(0.16,MAX(0.05,NORMINV(RAND(),$C$8,$D$8)))</f>
        <v/>
      </c>
      <c r="N105" s="26">
        <f>MIN(24,MAX(5,NORMINV(RAND(),$C$9,$D$9)))</f>
        <v/>
      </c>
      <c r="O105" s="49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25">
        <f>MAX(-0.05,NORMINV(RAND(),$C$6,$D$6))</f>
        <v/>
      </c>
      <c r="L106" s="25">
        <f>MAX(0.02,NORMINV(RAND(),$C$7,$D$7))</f>
        <v/>
      </c>
      <c r="M106" s="25">
        <f>MIN(0.16,MAX(0.05,NORMINV(RAND(),$C$8,$D$8)))</f>
        <v/>
      </c>
      <c r="N106" s="26">
        <f>MIN(24,MAX(5,NORMINV(RAND(),$C$9,$D$9)))</f>
        <v/>
      </c>
      <c r="O106" s="49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25">
        <f>MAX(-0.05,NORMINV(RAND(),$C$6,$D$6))</f>
        <v/>
      </c>
      <c r="L107" s="25">
        <f>MAX(0.02,NORMINV(RAND(),$C$7,$D$7))</f>
        <v/>
      </c>
      <c r="M107" s="25">
        <f>MIN(0.16,MAX(0.05,NORMINV(RAND(),$C$8,$D$8)))</f>
        <v/>
      </c>
      <c r="N107" s="26">
        <f>MIN(24,MAX(5,NORMINV(RAND(),$C$9,$D$9)))</f>
        <v/>
      </c>
      <c r="O107" s="49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25">
        <f>MAX(-0.05,NORMINV(RAND(),$C$6,$D$6))</f>
        <v/>
      </c>
      <c r="L108" s="25">
        <f>MAX(0.02,NORMINV(RAND(),$C$7,$D$7))</f>
        <v/>
      </c>
      <c r="M108" s="25">
        <f>MIN(0.16,MAX(0.05,NORMINV(RAND(),$C$8,$D$8)))</f>
        <v/>
      </c>
      <c r="N108" s="26">
        <f>MIN(24,MAX(5,NORMINV(RAND(),$C$9,$D$9)))</f>
        <v/>
      </c>
      <c r="O108" s="49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25">
        <f>MAX(-0.05,NORMINV(RAND(),$C$6,$D$6))</f>
        <v/>
      </c>
      <c r="L109" s="25">
        <f>MAX(0.02,NORMINV(RAND(),$C$7,$D$7))</f>
        <v/>
      </c>
      <c r="M109" s="25">
        <f>MIN(0.16,MAX(0.05,NORMINV(RAND(),$C$8,$D$8)))</f>
        <v/>
      </c>
      <c r="N109" s="26">
        <f>MIN(24,MAX(5,NORMINV(RAND(),$C$9,$D$9)))</f>
        <v/>
      </c>
      <c r="O109" s="49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25">
        <f>MAX(-0.05,NORMINV(RAND(),$C$6,$D$6))</f>
        <v/>
      </c>
      <c r="L110" s="25">
        <f>MAX(0.02,NORMINV(RAND(),$C$7,$D$7))</f>
        <v/>
      </c>
      <c r="M110" s="25">
        <f>MIN(0.16,MAX(0.05,NORMINV(RAND(),$C$8,$D$8)))</f>
        <v/>
      </c>
      <c r="N110" s="26">
        <f>MIN(24,MAX(5,NORMINV(RAND(),$C$9,$D$9)))</f>
        <v/>
      </c>
      <c r="O110" s="49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25">
        <f>MAX(-0.05,NORMINV(RAND(),$C$6,$D$6))</f>
        <v/>
      </c>
      <c r="L111" s="25">
        <f>MAX(0.02,NORMINV(RAND(),$C$7,$D$7))</f>
        <v/>
      </c>
      <c r="M111" s="25">
        <f>MIN(0.16,MAX(0.05,NORMINV(RAND(),$C$8,$D$8)))</f>
        <v/>
      </c>
      <c r="N111" s="26">
        <f>MIN(24,MAX(5,NORMINV(RAND(),$C$9,$D$9)))</f>
        <v/>
      </c>
      <c r="O111" s="49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25">
        <f>MAX(-0.05,NORMINV(RAND(),$C$6,$D$6))</f>
        <v/>
      </c>
      <c r="L112" s="25">
        <f>MAX(0.02,NORMINV(RAND(),$C$7,$D$7))</f>
        <v/>
      </c>
      <c r="M112" s="25">
        <f>MIN(0.16,MAX(0.05,NORMINV(RAND(),$C$8,$D$8)))</f>
        <v/>
      </c>
      <c r="N112" s="26">
        <f>MIN(24,MAX(5,NORMINV(RAND(),$C$9,$D$9)))</f>
        <v/>
      </c>
      <c r="O112" s="49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25">
        <f>MAX(-0.05,NORMINV(RAND(),$C$6,$D$6))</f>
        <v/>
      </c>
      <c r="L113" s="25">
        <f>MAX(0.02,NORMINV(RAND(),$C$7,$D$7))</f>
        <v/>
      </c>
      <c r="M113" s="25">
        <f>MIN(0.16,MAX(0.05,NORMINV(RAND(),$C$8,$D$8)))</f>
        <v/>
      </c>
      <c r="N113" s="26">
        <f>MIN(24,MAX(5,NORMINV(RAND(),$C$9,$D$9)))</f>
        <v/>
      </c>
      <c r="O113" s="49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25">
        <f>MAX(-0.05,NORMINV(RAND(),$C$6,$D$6))</f>
        <v/>
      </c>
      <c r="L114" s="25">
        <f>MAX(0.02,NORMINV(RAND(),$C$7,$D$7))</f>
        <v/>
      </c>
      <c r="M114" s="25">
        <f>MIN(0.16,MAX(0.05,NORMINV(RAND(),$C$8,$D$8)))</f>
        <v/>
      </c>
      <c r="N114" s="26">
        <f>MIN(24,MAX(5,NORMINV(RAND(),$C$9,$D$9)))</f>
        <v/>
      </c>
      <c r="O114" s="49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25">
        <f>MAX(-0.05,NORMINV(RAND(),$C$6,$D$6))</f>
        <v/>
      </c>
      <c r="L115" s="25">
        <f>MAX(0.02,NORMINV(RAND(),$C$7,$D$7))</f>
        <v/>
      </c>
      <c r="M115" s="25">
        <f>MIN(0.16,MAX(0.05,NORMINV(RAND(),$C$8,$D$8)))</f>
        <v/>
      </c>
      <c r="N115" s="26">
        <f>MIN(24,MAX(5,NORMINV(RAND(),$C$9,$D$9)))</f>
        <v/>
      </c>
      <c r="O115" s="49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25">
        <f>MAX(-0.05,NORMINV(RAND(),$C$6,$D$6))</f>
        <v/>
      </c>
      <c r="L116" s="25">
        <f>MAX(0.02,NORMINV(RAND(),$C$7,$D$7))</f>
        <v/>
      </c>
      <c r="M116" s="25">
        <f>MIN(0.16,MAX(0.05,NORMINV(RAND(),$C$8,$D$8)))</f>
        <v/>
      </c>
      <c r="N116" s="26">
        <f>MIN(24,MAX(5,NORMINV(RAND(),$C$9,$D$9)))</f>
        <v/>
      </c>
      <c r="O116" s="49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25">
        <f>MAX(-0.05,NORMINV(RAND(),$C$6,$D$6))</f>
        <v/>
      </c>
      <c r="L117" s="25">
        <f>MAX(0.02,NORMINV(RAND(),$C$7,$D$7))</f>
        <v/>
      </c>
      <c r="M117" s="25">
        <f>MIN(0.16,MAX(0.05,NORMINV(RAND(),$C$8,$D$8)))</f>
        <v/>
      </c>
      <c r="N117" s="26">
        <f>MIN(24,MAX(5,NORMINV(RAND(),$C$9,$D$9)))</f>
        <v/>
      </c>
      <c r="O117" s="49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25">
        <f>MAX(-0.05,NORMINV(RAND(),$C$6,$D$6))</f>
        <v/>
      </c>
      <c r="L118" s="25">
        <f>MAX(0.02,NORMINV(RAND(),$C$7,$D$7))</f>
        <v/>
      </c>
      <c r="M118" s="25">
        <f>MIN(0.16,MAX(0.05,NORMINV(RAND(),$C$8,$D$8)))</f>
        <v/>
      </c>
      <c r="N118" s="26">
        <f>MIN(24,MAX(5,NORMINV(RAND(),$C$9,$D$9)))</f>
        <v/>
      </c>
      <c r="O118" s="49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25">
        <f>MAX(-0.05,NORMINV(RAND(),$C$6,$D$6))</f>
        <v/>
      </c>
      <c r="L119" s="25">
        <f>MAX(0.02,NORMINV(RAND(),$C$7,$D$7))</f>
        <v/>
      </c>
      <c r="M119" s="25">
        <f>MIN(0.16,MAX(0.05,NORMINV(RAND(),$C$8,$D$8)))</f>
        <v/>
      </c>
      <c r="N119" s="26">
        <f>MIN(24,MAX(5,NORMINV(RAND(),$C$9,$D$9)))</f>
        <v/>
      </c>
      <c r="O119" s="49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25">
        <f>MAX(-0.05,NORMINV(RAND(),$C$6,$D$6))</f>
        <v/>
      </c>
      <c r="L120" s="25">
        <f>MAX(0.02,NORMINV(RAND(),$C$7,$D$7))</f>
        <v/>
      </c>
      <c r="M120" s="25">
        <f>MIN(0.16,MAX(0.05,NORMINV(RAND(),$C$8,$D$8)))</f>
        <v/>
      </c>
      <c r="N120" s="26">
        <f>MIN(24,MAX(5,NORMINV(RAND(),$C$9,$D$9)))</f>
        <v/>
      </c>
      <c r="O120" s="49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25">
        <f>MAX(-0.05,NORMINV(RAND(),$C$6,$D$6))</f>
        <v/>
      </c>
      <c r="L121" s="25">
        <f>MAX(0.02,NORMINV(RAND(),$C$7,$D$7))</f>
        <v/>
      </c>
      <c r="M121" s="25">
        <f>MIN(0.16,MAX(0.05,NORMINV(RAND(),$C$8,$D$8)))</f>
        <v/>
      </c>
      <c r="N121" s="26">
        <f>MIN(24,MAX(5,NORMINV(RAND(),$C$9,$D$9)))</f>
        <v/>
      </c>
      <c r="O121" s="49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25">
        <f>MAX(-0.05,NORMINV(RAND(),$C$6,$D$6))</f>
        <v/>
      </c>
      <c r="L122" s="25">
        <f>MAX(0.02,NORMINV(RAND(),$C$7,$D$7))</f>
        <v/>
      </c>
      <c r="M122" s="25">
        <f>MIN(0.16,MAX(0.05,NORMINV(RAND(),$C$8,$D$8)))</f>
        <v/>
      </c>
      <c r="N122" s="26">
        <f>MIN(24,MAX(5,NORMINV(RAND(),$C$9,$D$9)))</f>
        <v/>
      </c>
      <c r="O122" s="49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25">
        <f>MAX(-0.05,NORMINV(RAND(),$C$6,$D$6))</f>
        <v/>
      </c>
      <c r="L123" s="25">
        <f>MAX(0.02,NORMINV(RAND(),$C$7,$D$7))</f>
        <v/>
      </c>
      <c r="M123" s="25">
        <f>MIN(0.16,MAX(0.05,NORMINV(RAND(),$C$8,$D$8)))</f>
        <v/>
      </c>
      <c r="N123" s="26">
        <f>MIN(24,MAX(5,NORMINV(RAND(),$C$9,$D$9)))</f>
        <v/>
      </c>
      <c r="O123" s="49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25">
        <f>MAX(-0.05,NORMINV(RAND(),$C$6,$D$6))</f>
        <v/>
      </c>
      <c r="L124" s="25">
        <f>MAX(0.02,NORMINV(RAND(),$C$7,$D$7))</f>
        <v/>
      </c>
      <c r="M124" s="25">
        <f>MIN(0.16,MAX(0.05,NORMINV(RAND(),$C$8,$D$8)))</f>
        <v/>
      </c>
      <c r="N124" s="26">
        <f>MIN(24,MAX(5,NORMINV(RAND(),$C$9,$D$9)))</f>
        <v/>
      </c>
      <c r="O124" s="49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25">
        <f>MAX(-0.05,NORMINV(RAND(),$C$6,$D$6))</f>
        <v/>
      </c>
      <c r="L125" s="25">
        <f>MAX(0.02,NORMINV(RAND(),$C$7,$D$7))</f>
        <v/>
      </c>
      <c r="M125" s="25">
        <f>MIN(0.16,MAX(0.05,NORMINV(RAND(),$C$8,$D$8)))</f>
        <v/>
      </c>
      <c r="N125" s="26">
        <f>MIN(24,MAX(5,NORMINV(RAND(),$C$9,$D$9)))</f>
        <v/>
      </c>
      <c r="O125" s="49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25">
        <f>MAX(-0.05,NORMINV(RAND(),$C$6,$D$6))</f>
        <v/>
      </c>
      <c r="L126" s="25">
        <f>MAX(0.02,NORMINV(RAND(),$C$7,$D$7))</f>
        <v/>
      </c>
      <c r="M126" s="25">
        <f>MIN(0.16,MAX(0.05,NORMINV(RAND(),$C$8,$D$8)))</f>
        <v/>
      </c>
      <c r="N126" s="26">
        <f>MIN(24,MAX(5,NORMINV(RAND(),$C$9,$D$9)))</f>
        <v/>
      </c>
      <c r="O126" s="49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25">
        <f>MAX(-0.05,NORMINV(RAND(),$C$6,$D$6))</f>
        <v/>
      </c>
      <c r="L127" s="25">
        <f>MAX(0.02,NORMINV(RAND(),$C$7,$D$7))</f>
        <v/>
      </c>
      <c r="M127" s="25">
        <f>MIN(0.16,MAX(0.05,NORMINV(RAND(),$C$8,$D$8)))</f>
        <v/>
      </c>
      <c r="N127" s="26">
        <f>MIN(24,MAX(5,NORMINV(RAND(),$C$9,$D$9)))</f>
        <v/>
      </c>
      <c r="O127" s="49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25">
        <f>MAX(-0.05,NORMINV(RAND(),$C$6,$D$6))</f>
        <v/>
      </c>
      <c r="L128" s="25">
        <f>MAX(0.02,NORMINV(RAND(),$C$7,$D$7))</f>
        <v/>
      </c>
      <c r="M128" s="25">
        <f>MIN(0.16,MAX(0.05,NORMINV(RAND(),$C$8,$D$8)))</f>
        <v/>
      </c>
      <c r="N128" s="26">
        <f>MIN(24,MAX(5,NORMINV(RAND(),$C$9,$D$9)))</f>
        <v/>
      </c>
      <c r="O128" s="49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25">
        <f>MAX(-0.05,NORMINV(RAND(),$C$6,$D$6))</f>
        <v/>
      </c>
      <c r="L129" s="25">
        <f>MAX(0.02,NORMINV(RAND(),$C$7,$D$7))</f>
        <v/>
      </c>
      <c r="M129" s="25">
        <f>MIN(0.16,MAX(0.05,NORMINV(RAND(),$C$8,$D$8)))</f>
        <v/>
      </c>
      <c r="N129" s="26">
        <f>MIN(24,MAX(5,NORMINV(RAND(),$C$9,$D$9)))</f>
        <v/>
      </c>
      <c r="O129" s="49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25">
        <f>MAX(-0.05,NORMINV(RAND(),$C$6,$D$6))</f>
        <v/>
      </c>
      <c r="L130" s="25">
        <f>MAX(0.02,NORMINV(RAND(),$C$7,$D$7))</f>
        <v/>
      </c>
      <c r="M130" s="25">
        <f>MIN(0.16,MAX(0.05,NORMINV(RAND(),$C$8,$D$8)))</f>
        <v/>
      </c>
      <c r="N130" s="26">
        <f>MIN(24,MAX(5,NORMINV(RAND(),$C$9,$D$9)))</f>
        <v/>
      </c>
      <c r="O130" s="49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25">
        <f>MAX(-0.05,NORMINV(RAND(),$C$6,$D$6))</f>
        <v/>
      </c>
      <c r="L131" s="25">
        <f>MAX(0.02,NORMINV(RAND(),$C$7,$D$7))</f>
        <v/>
      </c>
      <c r="M131" s="25">
        <f>MIN(0.16,MAX(0.05,NORMINV(RAND(),$C$8,$D$8)))</f>
        <v/>
      </c>
      <c r="N131" s="26">
        <f>MIN(24,MAX(5,NORMINV(RAND(),$C$9,$D$9)))</f>
        <v/>
      </c>
      <c r="O131" s="49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25">
        <f>MAX(-0.05,NORMINV(RAND(),$C$6,$D$6))</f>
        <v/>
      </c>
      <c r="L132" s="25">
        <f>MAX(0.02,NORMINV(RAND(),$C$7,$D$7))</f>
        <v/>
      </c>
      <c r="M132" s="25">
        <f>MIN(0.16,MAX(0.05,NORMINV(RAND(),$C$8,$D$8)))</f>
        <v/>
      </c>
      <c r="N132" s="26">
        <f>MIN(24,MAX(5,NORMINV(RAND(),$C$9,$D$9)))</f>
        <v/>
      </c>
      <c r="O132" s="49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25">
        <f>MAX(-0.05,NORMINV(RAND(),$C$6,$D$6))</f>
        <v/>
      </c>
      <c r="L133" s="25">
        <f>MAX(0.02,NORMINV(RAND(),$C$7,$D$7))</f>
        <v/>
      </c>
      <c r="M133" s="25">
        <f>MIN(0.16,MAX(0.05,NORMINV(RAND(),$C$8,$D$8)))</f>
        <v/>
      </c>
      <c r="N133" s="26">
        <f>MIN(24,MAX(5,NORMINV(RAND(),$C$9,$D$9)))</f>
        <v/>
      </c>
      <c r="O133" s="49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25">
        <f>MAX(-0.05,NORMINV(RAND(),$C$6,$D$6))</f>
        <v/>
      </c>
      <c r="L134" s="25">
        <f>MAX(0.02,NORMINV(RAND(),$C$7,$D$7))</f>
        <v/>
      </c>
      <c r="M134" s="25">
        <f>MIN(0.16,MAX(0.05,NORMINV(RAND(),$C$8,$D$8)))</f>
        <v/>
      </c>
      <c r="N134" s="26">
        <f>MIN(24,MAX(5,NORMINV(RAND(),$C$9,$D$9)))</f>
        <v/>
      </c>
      <c r="O134" s="49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25">
        <f>MAX(-0.05,NORMINV(RAND(),$C$6,$D$6))</f>
        <v/>
      </c>
      <c r="L135" s="25">
        <f>MAX(0.02,NORMINV(RAND(),$C$7,$D$7))</f>
        <v/>
      </c>
      <c r="M135" s="25">
        <f>MIN(0.16,MAX(0.05,NORMINV(RAND(),$C$8,$D$8)))</f>
        <v/>
      </c>
      <c r="N135" s="26">
        <f>MIN(24,MAX(5,NORMINV(RAND(),$C$9,$D$9)))</f>
        <v/>
      </c>
      <c r="O135" s="49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25">
        <f>MAX(-0.05,NORMINV(RAND(),$C$6,$D$6))</f>
        <v/>
      </c>
      <c r="L136" s="25">
        <f>MAX(0.02,NORMINV(RAND(),$C$7,$D$7))</f>
        <v/>
      </c>
      <c r="M136" s="25">
        <f>MIN(0.16,MAX(0.05,NORMINV(RAND(),$C$8,$D$8)))</f>
        <v/>
      </c>
      <c r="N136" s="26">
        <f>MIN(24,MAX(5,NORMINV(RAND(),$C$9,$D$9)))</f>
        <v/>
      </c>
      <c r="O136" s="49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25">
        <f>MAX(-0.05,NORMINV(RAND(),$C$6,$D$6))</f>
        <v/>
      </c>
      <c r="L137" s="25">
        <f>MAX(0.02,NORMINV(RAND(),$C$7,$D$7))</f>
        <v/>
      </c>
      <c r="M137" s="25">
        <f>MIN(0.16,MAX(0.05,NORMINV(RAND(),$C$8,$D$8)))</f>
        <v/>
      </c>
      <c r="N137" s="26">
        <f>MIN(24,MAX(5,NORMINV(RAND(),$C$9,$D$9)))</f>
        <v/>
      </c>
      <c r="O137" s="49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25">
        <f>MAX(-0.05,NORMINV(RAND(),$C$6,$D$6))</f>
        <v/>
      </c>
      <c r="L138" s="25">
        <f>MAX(0.02,NORMINV(RAND(),$C$7,$D$7))</f>
        <v/>
      </c>
      <c r="M138" s="25">
        <f>MIN(0.16,MAX(0.05,NORMINV(RAND(),$C$8,$D$8)))</f>
        <v/>
      </c>
      <c r="N138" s="26">
        <f>MIN(24,MAX(5,NORMINV(RAND(),$C$9,$D$9)))</f>
        <v/>
      </c>
      <c r="O138" s="49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25">
        <f>MAX(-0.05,NORMINV(RAND(),$C$6,$D$6))</f>
        <v/>
      </c>
      <c r="L139" s="25">
        <f>MAX(0.02,NORMINV(RAND(),$C$7,$D$7))</f>
        <v/>
      </c>
      <c r="M139" s="25">
        <f>MIN(0.16,MAX(0.05,NORMINV(RAND(),$C$8,$D$8)))</f>
        <v/>
      </c>
      <c r="N139" s="26">
        <f>MIN(24,MAX(5,NORMINV(RAND(),$C$9,$D$9)))</f>
        <v/>
      </c>
      <c r="O139" s="49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25">
        <f>MAX(-0.05,NORMINV(RAND(),$C$6,$D$6))</f>
        <v/>
      </c>
      <c r="L140" s="25">
        <f>MAX(0.02,NORMINV(RAND(),$C$7,$D$7))</f>
        <v/>
      </c>
      <c r="M140" s="25">
        <f>MIN(0.16,MAX(0.05,NORMINV(RAND(),$C$8,$D$8)))</f>
        <v/>
      </c>
      <c r="N140" s="26">
        <f>MIN(24,MAX(5,NORMINV(RAND(),$C$9,$D$9)))</f>
        <v/>
      </c>
      <c r="O140" s="49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25">
        <f>MAX(-0.05,NORMINV(RAND(),$C$6,$D$6))</f>
        <v/>
      </c>
      <c r="L141" s="25">
        <f>MAX(0.02,NORMINV(RAND(),$C$7,$D$7))</f>
        <v/>
      </c>
      <c r="M141" s="25">
        <f>MIN(0.16,MAX(0.05,NORMINV(RAND(),$C$8,$D$8)))</f>
        <v/>
      </c>
      <c r="N141" s="26">
        <f>MIN(24,MAX(5,NORMINV(RAND(),$C$9,$D$9)))</f>
        <v/>
      </c>
      <c r="O141" s="49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25">
        <f>MAX(-0.05,NORMINV(RAND(),$C$6,$D$6))</f>
        <v/>
      </c>
      <c r="L142" s="25">
        <f>MAX(0.02,NORMINV(RAND(),$C$7,$D$7))</f>
        <v/>
      </c>
      <c r="M142" s="25">
        <f>MIN(0.16,MAX(0.05,NORMINV(RAND(),$C$8,$D$8)))</f>
        <v/>
      </c>
      <c r="N142" s="26">
        <f>MIN(24,MAX(5,NORMINV(RAND(),$C$9,$D$9)))</f>
        <v/>
      </c>
      <c r="O142" s="49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25">
        <f>MAX(-0.05,NORMINV(RAND(),$C$6,$D$6))</f>
        <v/>
      </c>
      <c r="L143" s="25">
        <f>MAX(0.02,NORMINV(RAND(),$C$7,$D$7))</f>
        <v/>
      </c>
      <c r="M143" s="25">
        <f>MIN(0.16,MAX(0.05,NORMINV(RAND(),$C$8,$D$8)))</f>
        <v/>
      </c>
      <c r="N143" s="26">
        <f>MIN(24,MAX(5,NORMINV(RAND(),$C$9,$D$9)))</f>
        <v/>
      </c>
      <c r="O143" s="49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25">
        <f>MAX(-0.05,NORMINV(RAND(),$C$6,$D$6))</f>
        <v/>
      </c>
      <c r="L144" s="25">
        <f>MAX(0.02,NORMINV(RAND(),$C$7,$D$7))</f>
        <v/>
      </c>
      <c r="M144" s="25">
        <f>MIN(0.16,MAX(0.05,NORMINV(RAND(),$C$8,$D$8)))</f>
        <v/>
      </c>
      <c r="N144" s="26">
        <f>MIN(24,MAX(5,NORMINV(RAND(),$C$9,$D$9)))</f>
        <v/>
      </c>
      <c r="O144" s="49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25">
        <f>MAX(-0.05,NORMINV(RAND(),$C$6,$D$6))</f>
        <v/>
      </c>
      <c r="L145" s="25">
        <f>MAX(0.02,NORMINV(RAND(),$C$7,$D$7))</f>
        <v/>
      </c>
      <c r="M145" s="25">
        <f>MIN(0.16,MAX(0.05,NORMINV(RAND(),$C$8,$D$8)))</f>
        <v/>
      </c>
      <c r="N145" s="26">
        <f>MIN(24,MAX(5,NORMINV(RAND(),$C$9,$D$9)))</f>
        <v/>
      </c>
      <c r="O145" s="49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25">
        <f>MAX(-0.05,NORMINV(RAND(),$C$6,$D$6))</f>
        <v/>
      </c>
      <c r="L146" s="25">
        <f>MAX(0.02,NORMINV(RAND(),$C$7,$D$7))</f>
        <v/>
      </c>
      <c r="M146" s="25">
        <f>MIN(0.16,MAX(0.05,NORMINV(RAND(),$C$8,$D$8)))</f>
        <v/>
      </c>
      <c r="N146" s="26">
        <f>MIN(24,MAX(5,NORMINV(RAND(),$C$9,$D$9)))</f>
        <v/>
      </c>
      <c r="O146" s="49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25">
        <f>MAX(-0.05,NORMINV(RAND(),$C$6,$D$6))</f>
        <v/>
      </c>
      <c r="L147" s="25">
        <f>MAX(0.02,NORMINV(RAND(),$C$7,$D$7))</f>
        <v/>
      </c>
      <c r="M147" s="25">
        <f>MIN(0.16,MAX(0.05,NORMINV(RAND(),$C$8,$D$8)))</f>
        <v/>
      </c>
      <c r="N147" s="26">
        <f>MIN(24,MAX(5,NORMINV(RAND(),$C$9,$D$9)))</f>
        <v/>
      </c>
      <c r="O147" s="49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25">
        <f>MAX(-0.05,NORMINV(RAND(),$C$6,$D$6))</f>
        <v/>
      </c>
      <c r="L148" s="25">
        <f>MAX(0.02,NORMINV(RAND(),$C$7,$D$7))</f>
        <v/>
      </c>
      <c r="M148" s="25">
        <f>MIN(0.16,MAX(0.05,NORMINV(RAND(),$C$8,$D$8)))</f>
        <v/>
      </c>
      <c r="N148" s="26">
        <f>MIN(24,MAX(5,NORMINV(RAND(),$C$9,$D$9)))</f>
        <v/>
      </c>
      <c r="O148" s="49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25">
        <f>MAX(-0.05,NORMINV(RAND(),$C$6,$D$6))</f>
        <v/>
      </c>
      <c r="L149" s="25">
        <f>MAX(0.02,NORMINV(RAND(),$C$7,$D$7))</f>
        <v/>
      </c>
      <c r="M149" s="25">
        <f>MIN(0.16,MAX(0.05,NORMINV(RAND(),$C$8,$D$8)))</f>
        <v/>
      </c>
      <c r="N149" s="26">
        <f>MIN(24,MAX(5,NORMINV(RAND(),$C$9,$D$9)))</f>
        <v/>
      </c>
      <c r="O149" s="49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25">
        <f>MAX(-0.05,NORMINV(RAND(),$C$6,$D$6))</f>
        <v/>
      </c>
      <c r="L150" s="25">
        <f>MAX(0.02,NORMINV(RAND(),$C$7,$D$7))</f>
        <v/>
      </c>
      <c r="M150" s="25">
        <f>MIN(0.16,MAX(0.05,NORMINV(RAND(),$C$8,$D$8)))</f>
        <v/>
      </c>
      <c r="N150" s="26">
        <f>MIN(24,MAX(5,NORMINV(RAND(),$C$9,$D$9)))</f>
        <v/>
      </c>
      <c r="O150" s="49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25">
        <f>MAX(-0.05,NORMINV(RAND(),$C$6,$D$6))</f>
        <v/>
      </c>
      <c r="L151" s="25">
        <f>MAX(0.02,NORMINV(RAND(),$C$7,$D$7))</f>
        <v/>
      </c>
      <c r="M151" s="25">
        <f>MIN(0.16,MAX(0.05,NORMINV(RAND(),$C$8,$D$8)))</f>
        <v/>
      </c>
      <c r="N151" s="26">
        <f>MIN(24,MAX(5,NORMINV(RAND(),$C$9,$D$9)))</f>
        <v/>
      </c>
      <c r="O151" s="49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25">
        <f>MAX(-0.05,NORMINV(RAND(),$C$6,$D$6))</f>
        <v/>
      </c>
      <c r="L152" s="25">
        <f>MAX(0.02,NORMINV(RAND(),$C$7,$D$7))</f>
        <v/>
      </c>
      <c r="M152" s="25">
        <f>MIN(0.16,MAX(0.05,NORMINV(RAND(),$C$8,$D$8)))</f>
        <v/>
      </c>
      <c r="N152" s="26">
        <f>MIN(24,MAX(5,NORMINV(RAND(),$C$9,$D$9)))</f>
        <v/>
      </c>
      <c r="O152" s="49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25">
        <f>MAX(-0.05,NORMINV(RAND(),$C$6,$D$6))</f>
        <v/>
      </c>
      <c r="L153" s="25">
        <f>MAX(0.02,NORMINV(RAND(),$C$7,$D$7))</f>
        <v/>
      </c>
      <c r="M153" s="25">
        <f>MIN(0.16,MAX(0.05,NORMINV(RAND(),$C$8,$D$8)))</f>
        <v/>
      </c>
      <c r="N153" s="26">
        <f>MIN(24,MAX(5,NORMINV(RAND(),$C$9,$D$9)))</f>
        <v/>
      </c>
      <c r="O153" s="49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25">
        <f>MAX(-0.05,NORMINV(RAND(),$C$6,$D$6))</f>
        <v/>
      </c>
      <c r="L154" s="25">
        <f>MAX(0.02,NORMINV(RAND(),$C$7,$D$7))</f>
        <v/>
      </c>
      <c r="M154" s="25">
        <f>MIN(0.16,MAX(0.05,NORMINV(RAND(),$C$8,$D$8)))</f>
        <v/>
      </c>
      <c r="N154" s="26">
        <f>MIN(24,MAX(5,NORMINV(RAND(),$C$9,$D$9)))</f>
        <v/>
      </c>
      <c r="O154" s="49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25">
        <f>MAX(-0.05,NORMINV(RAND(),$C$6,$D$6))</f>
        <v/>
      </c>
      <c r="L155" s="25">
        <f>MAX(0.02,NORMINV(RAND(),$C$7,$D$7))</f>
        <v/>
      </c>
      <c r="M155" s="25">
        <f>MIN(0.16,MAX(0.05,NORMINV(RAND(),$C$8,$D$8)))</f>
        <v/>
      </c>
      <c r="N155" s="26">
        <f>MIN(24,MAX(5,NORMINV(RAND(),$C$9,$D$9)))</f>
        <v/>
      </c>
      <c r="O155" s="49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25">
        <f>MAX(-0.05,NORMINV(RAND(),$C$6,$D$6))</f>
        <v/>
      </c>
      <c r="L156" s="25">
        <f>MAX(0.02,NORMINV(RAND(),$C$7,$D$7))</f>
        <v/>
      </c>
      <c r="M156" s="25">
        <f>MIN(0.16,MAX(0.05,NORMINV(RAND(),$C$8,$D$8)))</f>
        <v/>
      </c>
      <c r="N156" s="26">
        <f>MIN(24,MAX(5,NORMINV(RAND(),$C$9,$D$9)))</f>
        <v/>
      </c>
      <c r="O156" s="49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25">
        <f>MAX(-0.05,NORMINV(RAND(),$C$6,$D$6))</f>
        <v/>
      </c>
      <c r="L157" s="25">
        <f>MAX(0.02,NORMINV(RAND(),$C$7,$D$7))</f>
        <v/>
      </c>
      <c r="M157" s="25">
        <f>MIN(0.16,MAX(0.05,NORMINV(RAND(),$C$8,$D$8)))</f>
        <v/>
      </c>
      <c r="N157" s="26">
        <f>MIN(24,MAX(5,NORMINV(RAND(),$C$9,$D$9)))</f>
        <v/>
      </c>
      <c r="O157" s="49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25">
        <f>MAX(-0.05,NORMINV(RAND(),$C$6,$D$6))</f>
        <v/>
      </c>
      <c r="L158" s="25">
        <f>MAX(0.02,NORMINV(RAND(),$C$7,$D$7))</f>
        <v/>
      </c>
      <c r="M158" s="25">
        <f>MIN(0.16,MAX(0.05,NORMINV(RAND(),$C$8,$D$8)))</f>
        <v/>
      </c>
      <c r="N158" s="26">
        <f>MIN(24,MAX(5,NORMINV(RAND(),$C$9,$D$9)))</f>
        <v/>
      </c>
      <c r="O158" s="49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25">
        <f>MAX(-0.05,NORMINV(RAND(),$C$6,$D$6))</f>
        <v/>
      </c>
      <c r="L159" s="25">
        <f>MAX(0.02,NORMINV(RAND(),$C$7,$D$7))</f>
        <v/>
      </c>
      <c r="M159" s="25">
        <f>MIN(0.16,MAX(0.05,NORMINV(RAND(),$C$8,$D$8)))</f>
        <v/>
      </c>
      <c r="N159" s="26">
        <f>MIN(24,MAX(5,NORMINV(RAND(),$C$9,$D$9)))</f>
        <v/>
      </c>
      <c r="O159" s="49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25">
        <f>MAX(-0.05,NORMINV(RAND(),$C$6,$D$6))</f>
        <v/>
      </c>
      <c r="L160" s="25">
        <f>MAX(0.02,NORMINV(RAND(),$C$7,$D$7))</f>
        <v/>
      </c>
      <c r="M160" s="25">
        <f>MIN(0.16,MAX(0.05,NORMINV(RAND(),$C$8,$D$8)))</f>
        <v/>
      </c>
      <c r="N160" s="26">
        <f>MIN(24,MAX(5,NORMINV(RAND(),$C$9,$D$9)))</f>
        <v/>
      </c>
      <c r="O160" s="49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25">
        <f>MAX(-0.05,NORMINV(RAND(),$C$6,$D$6))</f>
        <v/>
      </c>
      <c r="L161" s="25">
        <f>MAX(0.02,NORMINV(RAND(),$C$7,$D$7))</f>
        <v/>
      </c>
      <c r="M161" s="25">
        <f>MIN(0.16,MAX(0.05,NORMINV(RAND(),$C$8,$D$8)))</f>
        <v/>
      </c>
      <c r="N161" s="26">
        <f>MIN(24,MAX(5,NORMINV(RAND(),$C$9,$D$9)))</f>
        <v/>
      </c>
      <c r="O161" s="49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25">
        <f>MAX(-0.05,NORMINV(RAND(),$C$6,$D$6))</f>
        <v/>
      </c>
      <c r="L162" s="25">
        <f>MAX(0.02,NORMINV(RAND(),$C$7,$D$7))</f>
        <v/>
      </c>
      <c r="M162" s="25">
        <f>MIN(0.16,MAX(0.05,NORMINV(RAND(),$C$8,$D$8)))</f>
        <v/>
      </c>
      <c r="N162" s="26">
        <f>MIN(24,MAX(5,NORMINV(RAND(),$C$9,$D$9)))</f>
        <v/>
      </c>
      <c r="O162" s="49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25">
        <f>MAX(-0.05,NORMINV(RAND(),$C$6,$D$6))</f>
        <v/>
      </c>
      <c r="L163" s="25">
        <f>MAX(0.02,NORMINV(RAND(),$C$7,$D$7))</f>
        <v/>
      </c>
      <c r="M163" s="25">
        <f>MIN(0.16,MAX(0.05,NORMINV(RAND(),$C$8,$D$8)))</f>
        <v/>
      </c>
      <c r="N163" s="26">
        <f>MIN(24,MAX(5,NORMINV(RAND(),$C$9,$D$9)))</f>
        <v/>
      </c>
      <c r="O163" s="49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25">
        <f>MAX(-0.05,NORMINV(RAND(),$C$6,$D$6))</f>
        <v/>
      </c>
      <c r="L164" s="25">
        <f>MAX(0.02,NORMINV(RAND(),$C$7,$D$7))</f>
        <v/>
      </c>
      <c r="M164" s="25">
        <f>MIN(0.16,MAX(0.05,NORMINV(RAND(),$C$8,$D$8)))</f>
        <v/>
      </c>
      <c r="N164" s="26">
        <f>MIN(24,MAX(5,NORMINV(RAND(),$C$9,$D$9)))</f>
        <v/>
      </c>
      <c r="O164" s="49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25">
        <f>MAX(-0.05,NORMINV(RAND(),$C$6,$D$6))</f>
        <v/>
      </c>
      <c r="L165" s="25">
        <f>MAX(0.02,NORMINV(RAND(),$C$7,$D$7))</f>
        <v/>
      </c>
      <c r="M165" s="25">
        <f>MIN(0.16,MAX(0.05,NORMINV(RAND(),$C$8,$D$8)))</f>
        <v/>
      </c>
      <c r="N165" s="26">
        <f>MIN(24,MAX(5,NORMINV(RAND(),$C$9,$D$9)))</f>
        <v/>
      </c>
      <c r="O165" s="49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25">
        <f>MAX(-0.05,NORMINV(RAND(),$C$6,$D$6))</f>
        <v/>
      </c>
      <c r="L166" s="25">
        <f>MAX(0.02,NORMINV(RAND(),$C$7,$D$7))</f>
        <v/>
      </c>
      <c r="M166" s="25">
        <f>MIN(0.16,MAX(0.05,NORMINV(RAND(),$C$8,$D$8)))</f>
        <v/>
      </c>
      <c r="N166" s="26">
        <f>MIN(24,MAX(5,NORMINV(RAND(),$C$9,$D$9)))</f>
        <v/>
      </c>
      <c r="O166" s="49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25">
        <f>MAX(-0.05,NORMINV(RAND(),$C$6,$D$6))</f>
        <v/>
      </c>
      <c r="L167" s="25">
        <f>MAX(0.02,NORMINV(RAND(),$C$7,$D$7))</f>
        <v/>
      </c>
      <c r="M167" s="25">
        <f>MIN(0.16,MAX(0.05,NORMINV(RAND(),$C$8,$D$8)))</f>
        <v/>
      </c>
      <c r="N167" s="26">
        <f>MIN(24,MAX(5,NORMINV(RAND(),$C$9,$D$9)))</f>
        <v/>
      </c>
      <c r="O167" s="49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25">
        <f>MAX(-0.05,NORMINV(RAND(),$C$6,$D$6))</f>
        <v/>
      </c>
      <c r="L168" s="25">
        <f>MAX(0.02,NORMINV(RAND(),$C$7,$D$7))</f>
        <v/>
      </c>
      <c r="M168" s="25">
        <f>MIN(0.16,MAX(0.05,NORMINV(RAND(),$C$8,$D$8)))</f>
        <v/>
      </c>
      <c r="N168" s="26">
        <f>MIN(24,MAX(5,NORMINV(RAND(),$C$9,$D$9)))</f>
        <v/>
      </c>
      <c r="O168" s="49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25">
        <f>MAX(-0.05,NORMINV(RAND(),$C$6,$D$6))</f>
        <v/>
      </c>
      <c r="L169" s="25">
        <f>MAX(0.02,NORMINV(RAND(),$C$7,$D$7))</f>
        <v/>
      </c>
      <c r="M169" s="25">
        <f>MIN(0.16,MAX(0.05,NORMINV(RAND(),$C$8,$D$8)))</f>
        <v/>
      </c>
      <c r="N169" s="26">
        <f>MIN(24,MAX(5,NORMINV(RAND(),$C$9,$D$9)))</f>
        <v/>
      </c>
      <c r="O169" s="49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25">
        <f>MAX(-0.05,NORMINV(RAND(),$C$6,$D$6))</f>
        <v/>
      </c>
      <c r="L170" s="25">
        <f>MAX(0.02,NORMINV(RAND(),$C$7,$D$7))</f>
        <v/>
      </c>
      <c r="M170" s="25">
        <f>MIN(0.16,MAX(0.05,NORMINV(RAND(),$C$8,$D$8)))</f>
        <v/>
      </c>
      <c r="N170" s="26">
        <f>MIN(24,MAX(5,NORMINV(RAND(),$C$9,$D$9)))</f>
        <v/>
      </c>
      <c r="O170" s="49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25">
        <f>MAX(-0.05,NORMINV(RAND(),$C$6,$D$6))</f>
        <v/>
      </c>
      <c r="L171" s="25">
        <f>MAX(0.02,NORMINV(RAND(),$C$7,$D$7))</f>
        <v/>
      </c>
      <c r="M171" s="25">
        <f>MIN(0.16,MAX(0.05,NORMINV(RAND(),$C$8,$D$8)))</f>
        <v/>
      </c>
      <c r="N171" s="26">
        <f>MIN(24,MAX(5,NORMINV(RAND(),$C$9,$D$9)))</f>
        <v/>
      </c>
      <c r="O171" s="49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25">
        <f>MAX(-0.05,NORMINV(RAND(),$C$6,$D$6))</f>
        <v/>
      </c>
      <c r="L172" s="25">
        <f>MAX(0.02,NORMINV(RAND(),$C$7,$D$7))</f>
        <v/>
      </c>
      <c r="M172" s="25">
        <f>MIN(0.16,MAX(0.05,NORMINV(RAND(),$C$8,$D$8)))</f>
        <v/>
      </c>
      <c r="N172" s="26">
        <f>MIN(24,MAX(5,NORMINV(RAND(),$C$9,$D$9)))</f>
        <v/>
      </c>
      <c r="O172" s="49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25">
        <f>MAX(-0.05,NORMINV(RAND(),$C$6,$D$6))</f>
        <v/>
      </c>
      <c r="L173" s="25">
        <f>MAX(0.02,NORMINV(RAND(),$C$7,$D$7))</f>
        <v/>
      </c>
      <c r="M173" s="25">
        <f>MIN(0.16,MAX(0.05,NORMINV(RAND(),$C$8,$D$8)))</f>
        <v/>
      </c>
      <c r="N173" s="26">
        <f>MIN(24,MAX(5,NORMINV(RAND(),$C$9,$D$9)))</f>
        <v/>
      </c>
      <c r="O173" s="49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25">
        <f>MAX(-0.05,NORMINV(RAND(),$C$6,$D$6))</f>
        <v/>
      </c>
      <c r="L174" s="25">
        <f>MAX(0.02,NORMINV(RAND(),$C$7,$D$7))</f>
        <v/>
      </c>
      <c r="M174" s="25">
        <f>MIN(0.16,MAX(0.05,NORMINV(RAND(),$C$8,$D$8)))</f>
        <v/>
      </c>
      <c r="N174" s="26">
        <f>MIN(24,MAX(5,NORMINV(RAND(),$C$9,$D$9)))</f>
        <v/>
      </c>
      <c r="O174" s="49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25">
        <f>MAX(-0.05,NORMINV(RAND(),$C$6,$D$6))</f>
        <v/>
      </c>
      <c r="L175" s="25">
        <f>MAX(0.02,NORMINV(RAND(),$C$7,$D$7))</f>
        <v/>
      </c>
      <c r="M175" s="25">
        <f>MIN(0.16,MAX(0.05,NORMINV(RAND(),$C$8,$D$8)))</f>
        <v/>
      </c>
      <c r="N175" s="26">
        <f>MIN(24,MAX(5,NORMINV(RAND(),$C$9,$D$9)))</f>
        <v/>
      </c>
      <c r="O175" s="49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25">
        <f>MAX(-0.05,NORMINV(RAND(),$C$6,$D$6))</f>
        <v/>
      </c>
      <c r="L176" s="25">
        <f>MAX(0.02,NORMINV(RAND(),$C$7,$D$7))</f>
        <v/>
      </c>
      <c r="M176" s="25">
        <f>MIN(0.16,MAX(0.05,NORMINV(RAND(),$C$8,$D$8)))</f>
        <v/>
      </c>
      <c r="N176" s="26">
        <f>MIN(24,MAX(5,NORMINV(RAND(),$C$9,$D$9)))</f>
        <v/>
      </c>
      <c r="O176" s="49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25">
        <f>MAX(-0.05,NORMINV(RAND(),$C$6,$D$6))</f>
        <v/>
      </c>
      <c r="L177" s="25">
        <f>MAX(0.02,NORMINV(RAND(),$C$7,$D$7))</f>
        <v/>
      </c>
      <c r="M177" s="25">
        <f>MIN(0.16,MAX(0.05,NORMINV(RAND(),$C$8,$D$8)))</f>
        <v/>
      </c>
      <c r="N177" s="26">
        <f>MIN(24,MAX(5,NORMINV(RAND(),$C$9,$D$9)))</f>
        <v/>
      </c>
      <c r="O177" s="49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25">
        <f>MAX(-0.05,NORMINV(RAND(),$C$6,$D$6))</f>
        <v/>
      </c>
      <c r="L178" s="25">
        <f>MAX(0.02,NORMINV(RAND(),$C$7,$D$7))</f>
        <v/>
      </c>
      <c r="M178" s="25">
        <f>MIN(0.16,MAX(0.05,NORMINV(RAND(),$C$8,$D$8)))</f>
        <v/>
      </c>
      <c r="N178" s="26">
        <f>MIN(24,MAX(5,NORMINV(RAND(),$C$9,$D$9)))</f>
        <v/>
      </c>
      <c r="O178" s="49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25">
        <f>MAX(-0.05,NORMINV(RAND(),$C$6,$D$6))</f>
        <v/>
      </c>
      <c r="L179" s="25">
        <f>MAX(0.02,NORMINV(RAND(),$C$7,$D$7))</f>
        <v/>
      </c>
      <c r="M179" s="25">
        <f>MIN(0.16,MAX(0.05,NORMINV(RAND(),$C$8,$D$8)))</f>
        <v/>
      </c>
      <c r="N179" s="26">
        <f>MIN(24,MAX(5,NORMINV(RAND(),$C$9,$D$9)))</f>
        <v/>
      </c>
      <c r="O179" s="49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25">
        <f>MAX(-0.05,NORMINV(RAND(),$C$6,$D$6))</f>
        <v/>
      </c>
      <c r="L180" s="25">
        <f>MAX(0.02,NORMINV(RAND(),$C$7,$D$7))</f>
        <v/>
      </c>
      <c r="M180" s="25">
        <f>MIN(0.16,MAX(0.05,NORMINV(RAND(),$C$8,$D$8)))</f>
        <v/>
      </c>
      <c r="N180" s="26">
        <f>MIN(24,MAX(5,NORMINV(RAND(),$C$9,$D$9)))</f>
        <v/>
      </c>
      <c r="O180" s="49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25">
        <f>MAX(-0.05,NORMINV(RAND(),$C$6,$D$6))</f>
        <v/>
      </c>
      <c r="L181" s="25">
        <f>MAX(0.02,NORMINV(RAND(),$C$7,$D$7))</f>
        <v/>
      </c>
      <c r="M181" s="25">
        <f>MIN(0.16,MAX(0.05,NORMINV(RAND(),$C$8,$D$8)))</f>
        <v/>
      </c>
      <c r="N181" s="26">
        <f>MIN(24,MAX(5,NORMINV(RAND(),$C$9,$D$9)))</f>
        <v/>
      </c>
      <c r="O181" s="49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25">
        <f>MAX(-0.05,NORMINV(RAND(),$C$6,$D$6))</f>
        <v/>
      </c>
      <c r="L182" s="25">
        <f>MAX(0.02,NORMINV(RAND(),$C$7,$D$7))</f>
        <v/>
      </c>
      <c r="M182" s="25">
        <f>MIN(0.16,MAX(0.05,NORMINV(RAND(),$C$8,$D$8)))</f>
        <v/>
      </c>
      <c r="N182" s="26">
        <f>MIN(24,MAX(5,NORMINV(RAND(),$C$9,$D$9)))</f>
        <v/>
      </c>
      <c r="O182" s="49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25">
        <f>MAX(-0.05,NORMINV(RAND(),$C$6,$D$6))</f>
        <v/>
      </c>
      <c r="L183" s="25">
        <f>MAX(0.02,NORMINV(RAND(),$C$7,$D$7))</f>
        <v/>
      </c>
      <c r="M183" s="25">
        <f>MIN(0.16,MAX(0.05,NORMINV(RAND(),$C$8,$D$8)))</f>
        <v/>
      </c>
      <c r="N183" s="26">
        <f>MIN(24,MAX(5,NORMINV(RAND(),$C$9,$D$9)))</f>
        <v/>
      </c>
      <c r="O183" s="49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25">
        <f>MAX(-0.05,NORMINV(RAND(),$C$6,$D$6))</f>
        <v/>
      </c>
      <c r="L184" s="25">
        <f>MAX(0.02,NORMINV(RAND(),$C$7,$D$7))</f>
        <v/>
      </c>
      <c r="M184" s="25">
        <f>MIN(0.16,MAX(0.05,NORMINV(RAND(),$C$8,$D$8)))</f>
        <v/>
      </c>
      <c r="N184" s="26">
        <f>MIN(24,MAX(5,NORMINV(RAND(),$C$9,$D$9)))</f>
        <v/>
      </c>
      <c r="O184" s="49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25">
        <f>MAX(-0.05,NORMINV(RAND(),$C$6,$D$6))</f>
        <v/>
      </c>
      <c r="L185" s="25">
        <f>MAX(0.02,NORMINV(RAND(),$C$7,$D$7))</f>
        <v/>
      </c>
      <c r="M185" s="25">
        <f>MIN(0.16,MAX(0.05,NORMINV(RAND(),$C$8,$D$8)))</f>
        <v/>
      </c>
      <c r="N185" s="26">
        <f>MIN(24,MAX(5,NORMINV(RAND(),$C$9,$D$9)))</f>
        <v/>
      </c>
      <c r="O185" s="49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25">
        <f>MAX(-0.05,NORMINV(RAND(),$C$6,$D$6))</f>
        <v/>
      </c>
      <c r="L186" s="25">
        <f>MAX(0.02,NORMINV(RAND(),$C$7,$D$7))</f>
        <v/>
      </c>
      <c r="M186" s="25">
        <f>MIN(0.16,MAX(0.05,NORMINV(RAND(),$C$8,$D$8)))</f>
        <v/>
      </c>
      <c r="N186" s="26">
        <f>MIN(24,MAX(5,NORMINV(RAND(),$C$9,$D$9)))</f>
        <v/>
      </c>
      <c r="O186" s="49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25">
        <f>MAX(-0.05,NORMINV(RAND(),$C$6,$D$6))</f>
        <v/>
      </c>
      <c r="L187" s="25">
        <f>MAX(0.02,NORMINV(RAND(),$C$7,$D$7))</f>
        <v/>
      </c>
      <c r="M187" s="25">
        <f>MIN(0.16,MAX(0.05,NORMINV(RAND(),$C$8,$D$8)))</f>
        <v/>
      </c>
      <c r="N187" s="26">
        <f>MIN(24,MAX(5,NORMINV(RAND(),$C$9,$D$9)))</f>
        <v/>
      </c>
      <c r="O187" s="49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25">
        <f>MAX(-0.05,NORMINV(RAND(),$C$6,$D$6))</f>
        <v/>
      </c>
      <c r="L188" s="25">
        <f>MAX(0.02,NORMINV(RAND(),$C$7,$D$7))</f>
        <v/>
      </c>
      <c r="M188" s="25">
        <f>MIN(0.16,MAX(0.05,NORMINV(RAND(),$C$8,$D$8)))</f>
        <v/>
      </c>
      <c r="N188" s="26">
        <f>MIN(24,MAX(5,NORMINV(RAND(),$C$9,$D$9)))</f>
        <v/>
      </c>
      <c r="O188" s="49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25">
        <f>MAX(-0.05,NORMINV(RAND(),$C$6,$D$6))</f>
        <v/>
      </c>
      <c r="L189" s="25">
        <f>MAX(0.02,NORMINV(RAND(),$C$7,$D$7))</f>
        <v/>
      </c>
      <c r="M189" s="25">
        <f>MIN(0.16,MAX(0.05,NORMINV(RAND(),$C$8,$D$8)))</f>
        <v/>
      </c>
      <c r="N189" s="26">
        <f>MIN(24,MAX(5,NORMINV(RAND(),$C$9,$D$9)))</f>
        <v/>
      </c>
      <c r="O189" s="49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25">
        <f>MAX(-0.05,NORMINV(RAND(),$C$6,$D$6))</f>
        <v/>
      </c>
      <c r="L190" s="25">
        <f>MAX(0.02,NORMINV(RAND(),$C$7,$D$7))</f>
        <v/>
      </c>
      <c r="M190" s="25">
        <f>MIN(0.16,MAX(0.05,NORMINV(RAND(),$C$8,$D$8)))</f>
        <v/>
      </c>
      <c r="N190" s="26">
        <f>MIN(24,MAX(5,NORMINV(RAND(),$C$9,$D$9)))</f>
        <v/>
      </c>
      <c r="O190" s="49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25">
        <f>MAX(-0.05,NORMINV(RAND(),$C$6,$D$6))</f>
        <v/>
      </c>
      <c r="L191" s="25">
        <f>MAX(0.02,NORMINV(RAND(),$C$7,$D$7))</f>
        <v/>
      </c>
      <c r="M191" s="25">
        <f>MIN(0.16,MAX(0.05,NORMINV(RAND(),$C$8,$D$8)))</f>
        <v/>
      </c>
      <c r="N191" s="26">
        <f>MIN(24,MAX(5,NORMINV(RAND(),$C$9,$D$9)))</f>
        <v/>
      </c>
      <c r="O191" s="49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25">
        <f>MAX(-0.05,NORMINV(RAND(),$C$6,$D$6))</f>
        <v/>
      </c>
      <c r="L192" s="25">
        <f>MAX(0.02,NORMINV(RAND(),$C$7,$D$7))</f>
        <v/>
      </c>
      <c r="M192" s="25">
        <f>MIN(0.16,MAX(0.05,NORMINV(RAND(),$C$8,$D$8)))</f>
        <v/>
      </c>
      <c r="N192" s="26">
        <f>MIN(24,MAX(5,NORMINV(RAND(),$C$9,$D$9)))</f>
        <v/>
      </c>
      <c r="O192" s="49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25">
        <f>MAX(-0.05,NORMINV(RAND(),$C$6,$D$6))</f>
        <v/>
      </c>
      <c r="L193" s="25">
        <f>MAX(0.02,NORMINV(RAND(),$C$7,$D$7))</f>
        <v/>
      </c>
      <c r="M193" s="25">
        <f>MIN(0.16,MAX(0.05,NORMINV(RAND(),$C$8,$D$8)))</f>
        <v/>
      </c>
      <c r="N193" s="26">
        <f>MIN(24,MAX(5,NORMINV(RAND(),$C$9,$D$9)))</f>
        <v/>
      </c>
      <c r="O193" s="49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25">
        <f>MAX(-0.05,NORMINV(RAND(),$C$6,$D$6))</f>
        <v/>
      </c>
      <c r="L194" s="25">
        <f>MAX(0.02,NORMINV(RAND(),$C$7,$D$7))</f>
        <v/>
      </c>
      <c r="M194" s="25">
        <f>MIN(0.16,MAX(0.05,NORMINV(RAND(),$C$8,$D$8)))</f>
        <v/>
      </c>
      <c r="N194" s="26">
        <f>MIN(24,MAX(5,NORMINV(RAND(),$C$9,$D$9)))</f>
        <v/>
      </c>
      <c r="O194" s="49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25">
        <f>MAX(-0.05,NORMINV(RAND(),$C$6,$D$6))</f>
        <v/>
      </c>
      <c r="L195" s="25">
        <f>MAX(0.02,NORMINV(RAND(),$C$7,$D$7))</f>
        <v/>
      </c>
      <c r="M195" s="25">
        <f>MIN(0.16,MAX(0.05,NORMINV(RAND(),$C$8,$D$8)))</f>
        <v/>
      </c>
      <c r="N195" s="26">
        <f>MIN(24,MAX(5,NORMINV(RAND(),$C$9,$D$9)))</f>
        <v/>
      </c>
      <c r="O195" s="49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25">
        <f>MAX(-0.05,NORMINV(RAND(),$C$6,$D$6))</f>
        <v/>
      </c>
      <c r="L196" s="25">
        <f>MAX(0.02,NORMINV(RAND(),$C$7,$D$7))</f>
        <v/>
      </c>
      <c r="M196" s="25">
        <f>MIN(0.16,MAX(0.05,NORMINV(RAND(),$C$8,$D$8)))</f>
        <v/>
      </c>
      <c r="N196" s="26">
        <f>MIN(24,MAX(5,NORMINV(RAND(),$C$9,$D$9)))</f>
        <v/>
      </c>
      <c r="O196" s="49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25">
        <f>MAX(-0.05,NORMINV(RAND(),$C$6,$D$6))</f>
        <v/>
      </c>
      <c r="L197" s="25">
        <f>MAX(0.02,NORMINV(RAND(),$C$7,$D$7))</f>
        <v/>
      </c>
      <c r="M197" s="25">
        <f>MIN(0.16,MAX(0.05,NORMINV(RAND(),$C$8,$D$8)))</f>
        <v/>
      </c>
      <c r="N197" s="26">
        <f>MIN(24,MAX(5,NORMINV(RAND(),$C$9,$D$9)))</f>
        <v/>
      </c>
      <c r="O197" s="49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25">
        <f>MAX(-0.05,NORMINV(RAND(),$C$6,$D$6))</f>
        <v/>
      </c>
      <c r="L198" s="25">
        <f>MAX(0.02,NORMINV(RAND(),$C$7,$D$7))</f>
        <v/>
      </c>
      <c r="M198" s="25">
        <f>MIN(0.16,MAX(0.05,NORMINV(RAND(),$C$8,$D$8)))</f>
        <v/>
      </c>
      <c r="N198" s="26">
        <f>MIN(24,MAX(5,NORMINV(RAND(),$C$9,$D$9)))</f>
        <v/>
      </c>
      <c r="O198" s="49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25">
        <f>MAX(-0.05,NORMINV(RAND(),$C$6,$D$6))</f>
        <v/>
      </c>
      <c r="L199" s="25">
        <f>MAX(0.02,NORMINV(RAND(),$C$7,$D$7))</f>
        <v/>
      </c>
      <c r="M199" s="25">
        <f>MIN(0.16,MAX(0.05,NORMINV(RAND(),$C$8,$D$8)))</f>
        <v/>
      </c>
      <c r="N199" s="26">
        <f>MIN(24,MAX(5,NORMINV(RAND(),$C$9,$D$9)))</f>
        <v/>
      </c>
      <c r="O199" s="49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25">
        <f>MAX(-0.05,NORMINV(RAND(),$C$6,$D$6))</f>
        <v/>
      </c>
      <c r="L200" s="25">
        <f>MAX(0.02,NORMINV(RAND(),$C$7,$D$7))</f>
        <v/>
      </c>
      <c r="M200" s="25">
        <f>MIN(0.16,MAX(0.05,NORMINV(RAND(),$C$8,$D$8)))</f>
        <v/>
      </c>
      <c r="N200" s="26">
        <f>MIN(24,MAX(5,NORMINV(RAND(),$C$9,$D$9)))</f>
        <v/>
      </c>
      <c r="O200" s="49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25">
        <f>MAX(-0.05,NORMINV(RAND(),$C$6,$D$6))</f>
        <v/>
      </c>
      <c r="L201" s="25">
        <f>MAX(0.02,NORMINV(RAND(),$C$7,$D$7))</f>
        <v/>
      </c>
      <c r="M201" s="25">
        <f>MIN(0.16,MAX(0.05,NORMINV(RAND(),$C$8,$D$8)))</f>
        <v/>
      </c>
      <c r="N201" s="26">
        <f>MIN(24,MAX(5,NORMINV(RAND(),$C$9,$D$9)))</f>
        <v/>
      </c>
      <c r="O201" s="49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25">
        <f>MAX(-0.05,NORMINV(RAND(),$C$6,$D$6))</f>
        <v/>
      </c>
      <c r="L202" s="25">
        <f>MAX(0.02,NORMINV(RAND(),$C$7,$D$7))</f>
        <v/>
      </c>
      <c r="M202" s="25">
        <f>MIN(0.16,MAX(0.05,NORMINV(RAND(),$C$8,$D$8)))</f>
        <v/>
      </c>
      <c r="N202" s="26">
        <f>MIN(24,MAX(5,NORMINV(RAND(),$C$9,$D$9)))</f>
        <v/>
      </c>
      <c r="O202" s="49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25">
        <f>MAX(-0.05,NORMINV(RAND(),$C$6,$D$6))</f>
        <v/>
      </c>
      <c r="L203" s="25">
        <f>MAX(0.02,NORMINV(RAND(),$C$7,$D$7))</f>
        <v/>
      </c>
      <c r="M203" s="25">
        <f>MIN(0.16,MAX(0.05,NORMINV(RAND(),$C$8,$D$8)))</f>
        <v/>
      </c>
      <c r="N203" s="26">
        <f>MIN(24,MAX(5,NORMINV(RAND(),$C$9,$D$9)))</f>
        <v/>
      </c>
      <c r="O203" s="49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25">
        <f>MAX(-0.05,NORMINV(RAND(),$C$6,$D$6))</f>
        <v/>
      </c>
      <c r="L204" s="25">
        <f>MAX(0.02,NORMINV(RAND(),$C$7,$D$7))</f>
        <v/>
      </c>
      <c r="M204" s="25">
        <f>MIN(0.16,MAX(0.05,NORMINV(RAND(),$C$8,$D$8)))</f>
        <v/>
      </c>
      <c r="N204" s="26">
        <f>MIN(24,MAX(5,NORMINV(RAND(),$C$9,$D$9)))</f>
        <v/>
      </c>
      <c r="O204" s="49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25">
        <f>MAX(-0.05,NORMINV(RAND(),$C$6,$D$6))</f>
        <v/>
      </c>
      <c r="L205" s="25">
        <f>MAX(0.02,NORMINV(RAND(),$C$7,$D$7))</f>
        <v/>
      </c>
      <c r="M205" s="25">
        <f>MIN(0.16,MAX(0.05,NORMINV(RAND(),$C$8,$D$8)))</f>
        <v/>
      </c>
      <c r="N205" s="26">
        <f>MIN(24,MAX(5,NORMINV(RAND(),$C$9,$D$9)))</f>
        <v/>
      </c>
      <c r="O205" s="49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25">
        <f>MAX(-0.05,NORMINV(RAND(),$C$6,$D$6))</f>
        <v/>
      </c>
      <c r="L206" s="25">
        <f>MAX(0.02,NORMINV(RAND(),$C$7,$D$7))</f>
        <v/>
      </c>
      <c r="M206" s="25">
        <f>MIN(0.16,MAX(0.05,NORMINV(RAND(),$C$8,$D$8)))</f>
        <v/>
      </c>
      <c r="N206" s="26">
        <f>MIN(24,MAX(5,NORMINV(RAND(),$C$9,$D$9)))</f>
        <v/>
      </c>
      <c r="O206" s="49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25">
        <f>MAX(-0.05,NORMINV(RAND(),$C$6,$D$6))</f>
        <v/>
      </c>
      <c r="L207" s="25">
        <f>MAX(0.02,NORMINV(RAND(),$C$7,$D$7))</f>
        <v/>
      </c>
      <c r="M207" s="25">
        <f>MIN(0.16,MAX(0.05,NORMINV(RAND(),$C$8,$D$8)))</f>
        <v/>
      </c>
      <c r="N207" s="26">
        <f>MIN(24,MAX(5,NORMINV(RAND(),$C$9,$D$9)))</f>
        <v/>
      </c>
      <c r="O207" s="49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25">
        <f>MAX(-0.05,NORMINV(RAND(),$C$6,$D$6))</f>
        <v/>
      </c>
      <c r="L208" s="25">
        <f>MAX(0.02,NORMINV(RAND(),$C$7,$D$7))</f>
        <v/>
      </c>
      <c r="M208" s="25">
        <f>MIN(0.16,MAX(0.05,NORMINV(RAND(),$C$8,$D$8)))</f>
        <v/>
      </c>
      <c r="N208" s="26">
        <f>MIN(24,MAX(5,NORMINV(RAND(),$C$9,$D$9)))</f>
        <v/>
      </c>
      <c r="O208" s="49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25">
        <f>MAX(-0.05,NORMINV(RAND(),$C$6,$D$6))</f>
        <v/>
      </c>
      <c r="L209" s="25">
        <f>MAX(0.02,NORMINV(RAND(),$C$7,$D$7))</f>
        <v/>
      </c>
      <c r="M209" s="25">
        <f>MIN(0.16,MAX(0.05,NORMINV(RAND(),$C$8,$D$8)))</f>
        <v/>
      </c>
      <c r="N209" s="26">
        <f>MIN(24,MAX(5,NORMINV(RAND(),$C$9,$D$9)))</f>
        <v/>
      </c>
      <c r="O209" s="49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25">
        <f>MAX(-0.05,NORMINV(RAND(),$C$6,$D$6))</f>
        <v/>
      </c>
      <c r="L210" s="25">
        <f>MAX(0.02,NORMINV(RAND(),$C$7,$D$7))</f>
        <v/>
      </c>
      <c r="M210" s="25">
        <f>MIN(0.16,MAX(0.05,NORMINV(RAND(),$C$8,$D$8)))</f>
        <v/>
      </c>
      <c r="N210" s="26">
        <f>MIN(24,MAX(5,NORMINV(RAND(),$C$9,$D$9)))</f>
        <v/>
      </c>
      <c r="O210" s="49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25">
        <f>MAX(-0.05,NORMINV(RAND(),$C$6,$D$6))</f>
        <v/>
      </c>
      <c r="L211" s="25">
        <f>MAX(0.02,NORMINV(RAND(),$C$7,$D$7))</f>
        <v/>
      </c>
      <c r="M211" s="25">
        <f>MIN(0.16,MAX(0.05,NORMINV(RAND(),$C$8,$D$8)))</f>
        <v/>
      </c>
      <c r="N211" s="26">
        <f>MIN(24,MAX(5,NORMINV(RAND(),$C$9,$D$9)))</f>
        <v/>
      </c>
      <c r="O211" s="49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25">
        <f>MAX(-0.05,NORMINV(RAND(),$C$6,$D$6))</f>
        <v/>
      </c>
      <c r="L212" s="25">
        <f>MAX(0.02,NORMINV(RAND(),$C$7,$D$7))</f>
        <v/>
      </c>
      <c r="M212" s="25">
        <f>MIN(0.16,MAX(0.05,NORMINV(RAND(),$C$8,$D$8)))</f>
        <v/>
      </c>
      <c r="N212" s="26">
        <f>MIN(24,MAX(5,NORMINV(RAND(),$C$9,$D$9)))</f>
        <v/>
      </c>
      <c r="O212" s="49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25">
        <f>MAX(-0.05,NORMINV(RAND(),$C$6,$D$6))</f>
        <v/>
      </c>
      <c r="L213" s="25">
        <f>MAX(0.02,NORMINV(RAND(),$C$7,$D$7))</f>
        <v/>
      </c>
      <c r="M213" s="25">
        <f>MIN(0.16,MAX(0.05,NORMINV(RAND(),$C$8,$D$8)))</f>
        <v/>
      </c>
      <c r="N213" s="26">
        <f>MIN(24,MAX(5,NORMINV(RAND(),$C$9,$D$9)))</f>
        <v/>
      </c>
      <c r="O213" s="49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25">
        <f>MAX(-0.05,NORMINV(RAND(),$C$6,$D$6))</f>
        <v/>
      </c>
      <c r="L214" s="25">
        <f>MAX(0.02,NORMINV(RAND(),$C$7,$D$7))</f>
        <v/>
      </c>
      <c r="M214" s="25">
        <f>MIN(0.16,MAX(0.05,NORMINV(RAND(),$C$8,$D$8)))</f>
        <v/>
      </c>
      <c r="N214" s="26">
        <f>MIN(24,MAX(5,NORMINV(RAND(),$C$9,$D$9)))</f>
        <v/>
      </c>
      <c r="O214" s="49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25">
        <f>MAX(-0.05,NORMINV(RAND(),$C$6,$D$6))</f>
        <v/>
      </c>
      <c r="L215" s="25">
        <f>MAX(0.02,NORMINV(RAND(),$C$7,$D$7))</f>
        <v/>
      </c>
      <c r="M215" s="25">
        <f>MIN(0.16,MAX(0.05,NORMINV(RAND(),$C$8,$D$8)))</f>
        <v/>
      </c>
      <c r="N215" s="26">
        <f>MIN(24,MAX(5,NORMINV(RAND(),$C$9,$D$9)))</f>
        <v/>
      </c>
      <c r="O215" s="49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25">
        <f>MAX(-0.05,NORMINV(RAND(),$C$6,$D$6))</f>
        <v/>
      </c>
      <c r="L216" s="25">
        <f>MAX(0.02,NORMINV(RAND(),$C$7,$D$7))</f>
        <v/>
      </c>
      <c r="M216" s="25">
        <f>MIN(0.16,MAX(0.05,NORMINV(RAND(),$C$8,$D$8)))</f>
        <v/>
      </c>
      <c r="N216" s="26">
        <f>MIN(24,MAX(5,NORMINV(RAND(),$C$9,$D$9)))</f>
        <v/>
      </c>
      <c r="O216" s="49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25">
        <f>MAX(-0.05,NORMINV(RAND(),$C$6,$D$6))</f>
        <v/>
      </c>
      <c r="L217" s="25">
        <f>MAX(0.02,NORMINV(RAND(),$C$7,$D$7))</f>
        <v/>
      </c>
      <c r="M217" s="25">
        <f>MIN(0.16,MAX(0.05,NORMINV(RAND(),$C$8,$D$8)))</f>
        <v/>
      </c>
      <c r="N217" s="26">
        <f>MIN(24,MAX(5,NORMINV(RAND(),$C$9,$D$9)))</f>
        <v/>
      </c>
      <c r="O217" s="49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25">
        <f>MAX(-0.05,NORMINV(RAND(),$C$6,$D$6))</f>
        <v/>
      </c>
      <c r="L218" s="25">
        <f>MAX(0.02,NORMINV(RAND(),$C$7,$D$7))</f>
        <v/>
      </c>
      <c r="M218" s="25">
        <f>MIN(0.16,MAX(0.05,NORMINV(RAND(),$C$8,$D$8)))</f>
        <v/>
      </c>
      <c r="N218" s="26">
        <f>MIN(24,MAX(5,NORMINV(RAND(),$C$9,$D$9)))</f>
        <v/>
      </c>
      <c r="O218" s="49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25">
        <f>MAX(-0.05,NORMINV(RAND(),$C$6,$D$6))</f>
        <v/>
      </c>
      <c r="L219" s="25">
        <f>MAX(0.02,NORMINV(RAND(),$C$7,$D$7))</f>
        <v/>
      </c>
      <c r="M219" s="25">
        <f>MIN(0.16,MAX(0.05,NORMINV(RAND(),$C$8,$D$8)))</f>
        <v/>
      </c>
      <c r="N219" s="26">
        <f>MIN(24,MAX(5,NORMINV(RAND(),$C$9,$D$9)))</f>
        <v/>
      </c>
      <c r="O219" s="49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25">
        <f>MAX(-0.05,NORMINV(RAND(),$C$6,$D$6))</f>
        <v/>
      </c>
      <c r="L220" s="25">
        <f>MAX(0.02,NORMINV(RAND(),$C$7,$D$7))</f>
        <v/>
      </c>
      <c r="M220" s="25">
        <f>MIN(0.16,MAX(0.05,NORMINV(RAND(),$C$8,$D$8)))</f>
        <v/>
      </c>
      <c r="N220" s="26">
        <f>MIN(24,MAX(5,NORMINV(RAND(),$C$9,$D$9)))</f>
        <v/>
      </c>
      <c r="O220" s="49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25">
        <f>MAX(-0.05,NORMINV(RAND(),$C$6,$D$6))</f>
        <v/>
      </c>
      <c r="L221" s="25">
        <f>MAX(0.02,NORMINV(RAND(),$C$7,$D$7))</f>
        <v/>
      </c>
      <c r="M221" s="25">
        <f>MIN(0.16,MAX(0.05,NORMINV(RAND(),$C$8,$D$8)))</f>
        <v/>
      </c>
      <c r="N221" s="26">
        <f>MIN(24,MAX(5,NORMINV(RAND(),$C$9,$D$9)))</f>
        <v/>
      </c>
      <c r="O221" s="49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25">
        <f>MAX(-0.05,NORMINV(RAND(),$C$6,$D$6))</f>
        <v/>
      </c>
      <c r="L222" s="25">
        <f>MAX(0.02,NORMINV(RAND(),$C$7,$D$7))</f>
        <v/>
      </c>
      <c r="M222" s="25">
        <f>MIN(0.16,MAX(0.05,NORMINV(RAND(),$C$8,$D$8)))</f>
        <v/>
      </c>
      <c r="N222" s="26">
        <f>MIN(24,MAX(5,NORMINV(RAND(),$C$9,$D$9)))</f>
        <v/>
      </c>
      <c r="O222" s="49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25">
        <f>MAX(-0.05,NORMINV(RAND(),$C$6,$D$6))</f>
        <v/>
      </c>
      <c r="L223" s="25">
        <f>MAX(0.02,NORMINV(RAND(),$C$7,$D$7))</f>
        <v/>
      </c>
      <c r="M223" s="25">
        <f>MIN(0.16,MAX(0.05,NORMINV(RAND(),$C$8,$D$8)))</f>
        <v/>
      </c>
      <c r="N223" s="26">
        <f>MIN(24,MAX(5,NORMINV(RAND(),$C$9,$D$9)))</f>
        <v/>
      </c>
      <c r="O223" s="49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25">
        <f>MAX(-0.05,NORMINV(RAND(),$C$6,$D$6))</f>
        <v/>
      </c>
      <c r="L224" s="25">
        <f>MAX(0.02,NORMINV(RAND(),$C$7,$D$7))</f>
        <v/>
      </c>
      <c r="M224" s="25">
        <f>MIN(0.16,MAX(0.05,NORMINV(RAND(),$C$8,$D$8)))</f>
        <v/>
      </c>
      <c r="N224" s="26">
        <f>MIN(24,MAX(5,NORMINV(RAND(),$C$9,$D$9)))</f>
        <v/>
      </c>
      <c r="O224" s="49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25">
        <f>MAX(-0.05,NORMINV(RAND(),$C$6,$D$6))</f>
        <v/>
      </c>
      <c r="L225" s="25">
        <f>MAX(0.02,NORMINV(RAND(),$C$7,$D$7))</f>
        <v/>
      </c>
      <c r="M225" s="25">
        <f>MIN(0.16,MAX(0.05,NORMINV(RAND(),$C$8,$D$8)))</f>
        <v/>
      </c>
      <c r="N225" s="26">
        <f>MIN(24,MAX(5,NORMINV(RAND(),$C$9,$D$9)))</f>
        <v/>
      </c>
      <c r="O225" s="49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25">
        <f>MAX(-0.05,NORMINV(RAND(),$C$6,$D$6))</f>
        <v/>
      </c>
      <c r="L226" s="25">
        <f>MAX(0.02,NORMINV(RAND(),$C$7,$D$7))</f>
        <v/>
      </c>
      <c r="M226" s="25">
        <f>MIN(0.16,MAX(0.05,NORMINV(RAND(),$C$8,$D$8)))</f>
        <v/>
      </c>
      <c r="N226" s="26">
        <f>MIN(24,MAX(5,NORMINV(RAND(),$C$9,$D$9)))</f>
        <v/>
      </c>
      <c r="O226" s="49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25">
        <f>MAX(-0.05,NORMINV(RAND(),$C$6,$D$6))</f>
        <v/>
      </c>
      <c r="L227" s="25">
        <f>MAX(0.02,NORMINV(RAND(),$C$7,$D$7))</f>
        <v/>
      </c>
      <c r="M227" s="25">
        <f>MIN(0.16,MAX(0.05,NORMINV(RAND(),$C$8,$D$8)))</f>
        <v/>
      </c>
      <c r="N227" s="26">
        <f>MIN(24,MAX(5,NORMINV(RAND(),$C$9,$D$9)))</f>
        <v/>
      </c>
      <c r="O227" s="49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25">
        <f>MAX(-0.05,NORMINV(RAND(),$C$6,$D$6))</f>
        <v/>
      </c>
      <c r="L228" s="25">
        <f>MAX(0.02,NORMINV(RAND(),$C$7,$D$7))</f>
        <v/>
      </c>
      <c r="M228" s="25">
        <f>MIN(0.16,MAX(0.05,NORMINV(RAND(),$C$8,$D$8)))</f>
        <v/>
      </c>
      <c r="N228" s="26">
        <f>MIN(24,MAX(5,NORMINV(RAND(),$C$9,$D$9)))</f>
        <v/>
      </c>
      <c r="O228" s="49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25">
        <f>MAX(-0.05,NORMINV(RAND(),$C$6,$D$6))</f>
        <v/>
      </c>
      <c r="L229" s="25">
        <f>MAX(0.02,NORMINV(RAND(),$C$7,$D$7))</f>
        <v/>
      </c>
      <c r="M229" s="25">
        <f>MIN(0.16,MAX(0.05,NORMINV(RAND(),$C$8,$D$8)))</f>
        <v/>
      </c>
      <c r="N229" s="26">
        <f>MIN(24,MAX(5,NORMINV(RAND(),$C$9,$D$9)))</f>
        <v/>
      </c>
      <c r="O229" s="49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25">
        <f>MAX(-0.05,NORMINV(RAND(),$C$6,$D$6))</f>
        <v/>
      </c>
      <c r="L230" s="25">
        <f>MAX(0.02,NORMINV(RAND(),$C$7,$D$7))</f>
        <v/>
      </c>
      <c r="M230" s="25">
        <f>MIN(0.16,MAX(0.05,NORMINV(RAND(),$C$8,$D$8)))</f>
        <v/>
      </c>
      <c r="N230" s="26">
        <f>MIN(24,MAX(5,NORMINV(RAND(),$C$9,$D$9)))</f>
        <v/>
      </c>
      <c r="O230" s="49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25">
        <f>MAX(-0.05,NORMINV(RAND(),$C$6,$D$6))</f>
        <v/>
      </c>
      <c r="L231" s="25">
        <f>MAX(0.02,NORMINV(RAND(),$C$7,$D$7))</f>
        <v/>
      </c>
      <c r="M231" s="25">
        <f>MIN(0.16,MAX(0.05,NORMINV(RAND(),$C$8,$D$8)))</f>
        <v/>
      </c>
      <c r="N231" s="26">
        <f>MIN(24,MAX(5,NORMINV(RAND(),$C$9,$D$9)))</f>
        <v/>
      </c>
      <c r="O231" s="49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25">
        <f>MAX(-0.05,NORMINV(RAND(),$C$6,$D$6))</f>
        <v/>
      </c>
      <c r="L232" s="25">
        <f>MAX(0.02,NORMINV(RAND(),$C$7,$D$7))</f>
        <v/>
      </c>
      <c r="M232" s="25">
        <f>MIN(0.16,MAX(0.05,NORMINV(RAND(),$C$8,$D$8)))</f>
        <v/>
      </c>
      <c r="N232" s="26">
        <f>MIN(24,MAX(5,NORMINV(RAND(),$C$9,$D$9)))</f>
        <v/>
      </c>
      <c r="O232" s="49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25">
        <f>MAX(-0.05,NORMINV(RAND(),$C$6,$D$6))</f>
        <v/>
      </c>
      <c r="L233" s="25">
        <f>MAX(0.02,NORMINV(RAND(),$C$7,$D$7))</f>
        <v/>
      </c>
      <c r="M233" s="25">
        <f>MIN(0.16,MAX(0.05,NORMINV(RAND(),$C$8,$D$8)))</f>
        <v/>
      </c>
      <c r="N233" s="26">
        <f>MIN(24,MAX(5,NORMINV(RAND(),$C$9,$D$9)))</f>
        <v/>
      </c>
      <c r="O233" s="49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25">
        <f>MAX(-0.05,NORMINV(RAND(),$C$6,$D$6))</f>
        <v/>
      </c>
      <c r="L234" s="25">
        <f>MAX(0.02,NORMINV(RAND(),$C$7,$D$7))</f>
        <v/>
      </c>
      <c r="M234" s="25">
        <f>MIN(0.16,MAX(0.05,NORMINV(RAND(),$C$8,$D$8)))</f>
        <v/>
      </c>
      <c r="N234" s="26">
        <f>MIN(24,MAX(5,NORMINV(RAND(),$C$9,$D$9)))</f>
        <v/>
      </c>
      <c r="O234" s="49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25">
        <f>MAX(-0.05,NORMINV(RAND(),$C$6,$D$6))</f>
        <v/>
      </c>
      <c r="L235" s="25">
        <f>MAX(0.02,NORMINV(RAND(),$C$7,$D$7))</f>
        <v/>
      </c>
      <c r="M235" s="25">
        <f>MIN(0.16,MAX(0.05,NORMINV(RAND(),$C$8,$D$8)))</f>
        <v/>
      </c>
      <c r="N235" s="26">
        <f>MIN(24,MAX(5,NORMINV(RAND(),$C$9,$D$9)))</f>
        <v/>
      </c>
      <c r="O235" s="49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25">
        <f>MAX(-0.05,NORMINV(RAND(),$C$6,$D$6))</f>
        <v/>
      </c>
      <c r="L236" s="25">
        <f>MAX(0.02,NORMINV(RAND(),$C$7,$D$7))</f>
        <v/>
      </c>
      <c r="M236" s="25">
        <f>MIN(0.16,MAX(0.05,NORMINV(RAND(),$C$8,$D$8)))</f>
        <v/>
      </c>
      <c r="N236" s="26">
        <f>MIN(24,MAX(5,NORMINV(RAND(),$C$9,$D$9)))</f>
        <v/>
      </c>
      <c r="O236" s="49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25">
        <f>MAX(-0.05,NORMINV(RAND(),$C$6,$D$6))</f>
        <v/>
      </c>
      <c r="L237" s="25">
        <f>MAX(0.02,NORMINV(RAND(),$C$7,$D$7))</f>
        <v/>
      </c>
      <c r="M237" s="25">
        <f>MIN(0.16,MAX(0.05,NORMINV(RAND(),$C$8,$D$8)))</f>
        <v/>
      </c>
      <c r="N237" s="26">
        <f>MIN(24,MAX(5,NORMINV(RAND(),$C$9,$D$9)))</f>
        <v/>
      </c>
      <c r="O237" s="49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25">
        <f>MAX(-0.05,NORMINV(RAND(),$C$6,$D$6))</f>
        <v/>
      </c>
      <c r="L238" s="25">
        <f>MAX(0.02,NORMINV(RAND(),$C$7,$D$7))</f>
        <v/>
      </c>
      <c r="M238" s="25">
        <f>MIN(0.16,MAX(0.05,NORMINV(RAND(),$C$8,$D$8)))</f>
        <v/>
      </c>
      <c r="N238" s="26">
        <f>MIN(24,MAX(5,NORMINV(RAND(),$C$9,$D$9)))</f>
        <v/>
      </c>
      <c r="O238" s="49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25">
        <f>MAX(-0.05,NORMINV(RAND(),$C$6,$D$6))</f>
        <v/>
      </c>
      <c r="L239" s="25">
        <f>MAX(0.02,NORMINV(RAND(),$C$7,$D$7))</f>
        <v/>
      </c>
      <c r="M239" s="25">
        <f>MIN(0.16,MAX(0.05,NORMINV(RAND(),$C$8,$D$8)))</f>
        <v/>
      </c>
      <c r="N239" s="26">
        <f>MIN(24,MAX(5,NORMINV(RAND(),$C$9,$D$9)))</f>
        <v/>
      </c>
      <c r="O239" s="49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25">
        <f>MAX(-0.05,NORMINV(RAND(),$C$6,$D$6))</f>
        <v/>
      </c>
      <c r="L240" s="25">
        <f>MAX(0.02,NORMINV(RAND(),$C$7,$D$7))</f>
        <v/>
      </c>
      <c r="M240" s="25">
        <f>MIN(0.16,MAX(0.05,NORMINV(RAND(),$C$8,$D$8)))</f>
        <v/>
      </c>
      <c r="N240" s="26">
        <f>MIN(24,MAX(5,NORMINV(RAND(),$C$9,$D$9)))</f>
        <v/>
      </c>
      <c r="O240" s="49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25">
        <f>MAX(-0.05,NORMINV(RAND(),$C$6,$D$6))</f>
        <v/>
      </c>
      <c r="L241" s="25">
        <f>MAX(0.02,NORMINV(RAND(),$C$7,$D$7))</f>
        <v/>
      </c>
      <c r="M241" s="25">
        <f>MIN(0.16,MAX(0.05,NORMINV(RAND(),$C$8,$D$8)))</f>
        <v/>
      </c>
      <c r="N241" s="26">
        <f>MIN(24,MAX(5,NORMINV(RAND(),$C$9,$D$9)))</f>
        <v/>
      </c>
      <c r="O241" s="49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25">
        <f>MAX(-0.05,NORMINV(RAND(),$C$6,$D$6))</f>
        <v/>
      </c>
      <c r="L242" s="25">
        <f>MAX(0.02,NORMINV(RAND(),$C$7,$D$7))</f>
        <v/>
      </c>
      <c r="M242" s="25">
        <f>MIN(0.16,MAX(0.05,NORMINV(RAND(),$C$8,$D$8)))</f>
        <v/>
      </c>
      <c r="N242" s="26">
        <f>MIN(24,MAX(5,NORMINV(RAND(),$C$9,$D$9)))</f>
        <v/>
      </c>
      <c r="O242" s="49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25">
        <f>MAX(-0.05,NORMINV(RAND(),$C$6,$D$6))</f>
        <v/>
      </c>
      <c r="L243" s="25">
        <f>MAX(0.02,NORMINV(RAND(),$C$7,$D$7))</f>
        <v/>
      </c>
      <c r="M243" s="25">
        <f>MIN(0.16,MAX(0.05,NORMINV(RAND(),$C$8,$D$8)))</f>
        <v/>
      </c>
      <c r="N243" s="26">
        <f>MIN(24,MAX(5,NORMINV(RAND(),$C$9,$D$9)))</f>
        <v/>
      </c>
      <c r="O243" s="49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25">
        <f>MAX(-0.05,NORMINV(RAND(),$C$6,$D$6))</f>
        <v/>
      </c>
      <c r="L244" s="25">
        <f>MAX(0.02,NORMINV(RAND(),$C$7,$D$7))</f>
        <v/>
      </c>
      <c r="M244" s="25">
        <f>MIN(0.16,MAX(0.05,NORMINV(RAND(),$C$8,$D$8)))</f>
        <v/>
      </c>
      <c r="N244" s="26">
        <f>MIN(24,MAX(5,NORMINV(RAND(),$C$9,$D$9)))</f>
        <v/>
      </c>
      <c r="O244" s="49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25">
        <f>MAX(-0.05,NORMINV(RAND(),$C$6,$D$6))</f>
        <v/>
      </c>
      <c r="L245" s="25">
        <f>MAX(0.02,NORMINV(RAND(),$C$7,$D$7))</f>
        <v/>
      </c>
      <c r="M245" s="25">
        <f>MIN(0.16,MAX(0.05,NORMINV(RAND(),$C$8,$D$8)))</f>
        <v/>
      </c>
      <c r="N245" s="26">
        <f>MIN(24,MAX(5,NORMINV(RAND(),$C$9,$D$9)))</f>
        <v/>
      </c>
      <c r="O245" s="49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25">
        <f>MAX(-0.05,NORMINV(RAND(),$C$6,$D$6))</f>
        <v/>
      </c>
      <c r="L246" s="25">
        <f>MAX(0.02,NORMINV(RAND(),$C$7,$D$7))</f>
        <v/>
      </c>
      <c r="M246" s="25">
        <f>MIN(0.16,MAX(0.05,NORMINV(RAND(),$C$8,$D$8)))</f>
        <v/>
      </c>
      <c r="N246" s="26">
        <f>MIN(24,MAX(5,NORMINV(RAND(),$C$9,$D$9)))</f>
        <v/>
      </c>
      <c r="O246" s="49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25">
        <f>MAX(-0.05,NORMINV(RAND(),$C$6,$D$6))</f>
        <v/>
      </c>
      <c r="L247" s="25">
        <f>MAX(0.02,NORMINV(RAND(),$C$7,$D$7))</f>
        <v/>
      </c>
      <c r="M247" s="25">
        <f>MIN(0.16,MAX(0.05,NORMINV(RAND(),$C$8,$D$8)))</f>
        <v/>
      </c>
      <c r="N247" s="26">
        <f>MIN(24,MAX(5,NORMINV(RAND(),$C$9,$D$9)))</f>
        <v/>
      </c>
      <c r="O247" s="49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25">
        <f>MAX(-0.05,NORMINV(RAND(),$C$6,$D$6))</f>
        <v/>
      </c>
      <c r="L248" s="25">
        <f>MAX(0.02,NORMINV(RAND(),$C$7,$D$7))</f>
        <v/>
      </c>
      <c r="M248" s="25">
        <f>MIN(0.16,MAX(0.05,NORMINV(RAND(),$C$8,$D$8)))</f>
        <v/>
      </c>
      <c r="N248" s="26">
        <f>MIN(24,MAX(5,NORMINV(RAND(),$C$9,$D$9)))</f>
        <v/>
      </c>
      <c r="O248" s="49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25">
        <f>MAX(-0.05,NORMINV(RAND(),$C$6,$D$6))</f>
        <v/>
      </c>
      <c r="L249" s="25">
        <f>MAX(0.02,NORMINV(RAND(),$C$7,$D$7))</f>
        <v/>
      </c>
      <c r="M249" s="25">
        <f>MIN(0.16,MAX(0.05,NORMINV(RAND(),$C$8,$D$8)))</f>
        <v/>
      </c>
      <c r="N249" s="26">
        <f>MIN(24,MAX(5,NORMINV(RAND(),$C$9,$D$9)))</f>
        <v/>
      </c>
      <c r="O249" s="49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25">
        <f>MAX(-0.05,NORMINV(RAND(),$C$6,$D$6))</f>
        <v/>
      </c>
      <c r="L250" s="25">
        <f>MAX(0.02,NORMINV(RAND(),$C$7,$D$7))</f>
        <v/>
      </c>
      <c r="M250" s="25">
        <f>MIN(0.16,MAX(0.05,NORMINV(RAND(),$C$8,$D$8)))</f>
        <v/>
      </c>
      <c r="N250" s="26">
        <f>MIN(24,MAX(5,NORMINV(RAND(),$C$9,$D$9)))</f>
        <v/>
      </c>
      <c r="O250" s="49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25">
        <f>MAX(-0.05,NORMINV(RAND(),$C$6,$D$6))</f>
        <v/>
      </c>
      <c r="L251" s="25">
        <f>MAX(0.02,NORMINV(RAND(),$C$7,$D$7))</f>
        <v/>
      </c>
      <c r="M251" s="25">
        <f>MIN(0.16,MAX(0.05,NORMINV(RAND(),$C$8,$D$8)))</f>
        <v/>
      </c>
      <c r="N251" s="26">
        <f>MIN(24,MAX(5,NORMINV(RAND(),$C$9,$D$9)))</f>
        <v/>
      </c>
      <c r="O251" s="49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25">
        <f>MAX(-0.05,NORMINV(RAND(),$C$6,$D$6))</f>
        <v/>
      </c>
      <c r="L252" s="25">
        <f>MAX(0.02,NORMINV(RAND(),$C$7,$D$7))</f>
        <v/>
      </c>
      <c r="M252" s="25">
        <f>MIN(0.16,MAX(0.05,NORMINV(RAND(),$C$8,$D$8)))</f>
        <v/>
      </c>
      <c r="N252" s="26">
        <f>MIN(24,MAX(5,NORMINV(RAND(),$C$9,$D$9)))</f>
        <v/>
      </c>
      <c r="O252" s="49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25">
        <f>MAX(-0.05,NORMINV(RAND(),$C$6,$D$6))</f>
        <v/>
      </c>
      <c r="L253" s="25">
        <f>MAX(0.02,NORMINV(RAND(),$C$7,$D$7))</f>
        <v/>
      </c>
      <c r="M253" s="25">
        <f>MIN(0.16,MAX(0.05,NORMINV(RAND(),$C$8,$D$8)))</f>
        <v/>
      </c>
      <c r="N253" s="26">
        <f>MIN(24,MAX(5,NORMINV(RAND(),$C$9,$D$9)))</f>
        <v/>
      </c>
      <c r="O253" s="49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25">
        <f>MAX(-0.05,NORMINV(RAND(),$C$6,$D$6))</f>
        <v/>
      </c>
      <c r="L254" s="25">
        <f>MAX(0.02,NORMINV(RAND(),$C$7,$D$7))</f>
        <v/>
      </c>
      <c r="M254" s="25">
        <f>MIN(0.16,MAX(0.05,NORMINV(RAND(),$C$8,$D$8)))</f>
        <v/>
      </c>
      <c r="N254" s="26">
        <f>MIN(24,MAX(5,NORMINV(RAND(),$C$9,$D$9)))</f>
        <v/>
      </c>
      <c r="O254" s="49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25">
        <f>MAX(-0.05,NORMINV(RAND(),$C$6,$D$6))</f>
        <v/>
      </c>
      <c r="L255" s="25">
        <f>MAX(0.02,NORMINV(RAND(),$C$7,$D$7))</f>
        <v/>
      </c>
      <c r="M255" s="25">
        <f>MIN(0.16,MAX(0.05,NORMINV(RAND(),$C$8,$D$8)))</f>
        <v/>
      </c>
      <c r="N255" s="26">
        <f>MIN(24,MAX(5,NORMINV(RAND(),$C$9,$D$9)))</f>
        <v/>
      </c>
      <c r="O255" s="49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25">
        <f>MAX(-0.05,NORMINV(RAND(),$C$6,$D$6))</f>
        <v/>
      </c>
      <c r="L256" s="25">
        <f>MAX(0.02,NORMINV(RAND(),$C$7,$D$7))</f>
        <v/>
      </c>
      <c r="M256" s="25">
        <f>MIN(0.16,MAX(0.05,NORMINV(RAND(),$C$8,$D$8)))</f>
        <v/>
      </c>
      <c r="N256" s="26">
        <f>MIN(24,MAX(5,NORMINV(RAND(),$C$9,$D$9)))</f>
        <v/>
      </c>
      <c r="O256" s="49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25">
        <f>MAX(-0.05,NORMINV(RAND(),$C$6,$D$6))</f>
        <v/>
      </c>
      <c r="L257" s="25">
        <f>MAX(0.02,NORMINV(RAND(),$C$7,$D$7))</f>
        <v/>
      </c>
      <c r="M257" s="25">
        <f>MIN(0.16,MAX(0.05,NORMINV(RAND(),$C$8,$D$8)))</f>
        <v/>
      </c>
      <c r="N257" s="26">
        <f>MIN(24,MAX(5,NORMINV(RAND(),$C$9,$D$9)))</f>
        <v/>
      </c>
      <c r="O257" s="49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25">
        <f>MAX(-0.05,NORMINV(RAND(),$C$6,$D$6))</f>
        <v/>
      </c>
      <c r="L258" s="25">
        <f>MAX(0.02,NORMINV(RAND(),$C$7,$D$7))</f>
        <v/>
      </c>
      <c r="M258" s="25">
        <f>MIN(0.16,MAX(0.05,NORMINV(RAND(),$C$8,$D$8)))</f>
        <v/>
      </c>
      <c r="N258" s="26">
        <f>MIN(24,MAX(5,NORMINV(RAND(),$C$9,$D$9)))</f>
        <v/>
      </c>
      <c r="O258" s="49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25">
        <f>MAX(-0.05,NORMINV(RAND(),$C$6,$D$6))</f>
        <v/>
      </c>
      <c r="L259" s="25">
        <f>MAX(0.02,NORMINV(RAND(),$C$7,$D$7))</f>
        <v/>
      </c>
      <c r="M259" s="25">
        <f>MIN(0.16,MAX(0.05,NORMINV(RAND(),$C$8,$D$8)))</f>
        <v/>
      </c>
      <c r="N259" s="26">
        <f>MIN(24,MAX(5,NORMINV(RAND(),$C$9,$D$9)))</f>
        <v/>
      </c>
      <c r="O259" s="49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25">
        <f>MAX(-0.05,NORMINV(RAND(),$C$6,$D$6))</f>
        <v/>
      </c>
      <c r="L260" s="25">
        <f>MAX(0.02,NORMINV(RAND(),$C$7,$D$7))</f>
        <v/>
      </c>
      <c r="M260" s="25">
        <f>MIN(0.16,MAX(0.05,NORMINV(RAND(),$C$8,$D$8)))</f>
        <v/>
      </c>
      <c r="N260" s="26">
        <f>MIN(24,MAX(5,NORMINV(RAND(),$C$9,$D$9)))</f>
        <v/>
      </c>
      <c r="O260" s="49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25">
        <f>MAX(-0.05,NORMINV(RAND(),$C$6,$D$6))</f>
        <v/>
      </c>
      <c r="L261" s="25">
        <f>MAX(0.02,NORMINV(RAND(),$C$7,$D$7))</f>
        <v/>
      </c>
      <c r="M261" s="25">
        <f>MIN(0.16,MAX(0.05,NORMINV(RAND(),$C$8,$D$8)))</f>
        <v/>
      </c>
      <c r="N261" s="26">
        <f>MIN(24,MAX(5,NORMINV(RAND(),$C$9,$D$9)))</f>
        <v/>
      </c>
      <c r="O261" s="49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25">
        <f>MAX(-0.05,NORMINV(RAND(),$C$6,$D$6))</f>
        <v/>
      </c>
      <c r="L262" s="25">
        <f>MAX(0.02,NORMINV(RAND(),$C$7,$D$7))</f>
        <v/>
      </c>
      <c r="M262" s="25">
        <f>MIN(0.16,MAX(0.05,NORMINV(RAND(),$C$8,$D$8)))</f>
        <v/>
      </c>
      <c r="N262" s="26">
        <f>MIN(24,MAX(5,NORMINV(RAND(),$C$9,$D$9)))</f>
        <v/>
      </c>
      <c r="O262" s="49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25">
        <f>MAX(-0.05,NORMINV(RAND(),$C$6,$D$6))</f>
        <v/>
      </c>
      <c r="L263" s="25">
        <f>MAX(0.02,NORMINV(RAND(),$C$7,$D$7))</f>
        <v/>
      </c>
      <c r="M263" s="25">
        <f>MIN(0.16,MAX(0.05,NORMINV(RAND(),$C$8,$D$8)))</f>
        <v/>
      </c>
      <c r="N263" s="26">
        <f>MIN(24,MAX(5,NORMINV(RAND(),$C$9,$D$9)))</f>
        <v/>
      </c>
      <c r="O263" s="49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25">
        <f>MAX(-0.05,NORMINV(RAND(),$C$6,$D$6))</f>
        <v/>
      </c>
      <c r="L264" s="25">
        <f>MAX(0.02,NORMINV(RAND(),$C$7,$D$7))</f>
        <v/>
      </c>
      <c r="M264" s="25">
        <f>MIN(0.16,MAX(0.05,NORMINV(RAND(),$C$8,$D$8)))</f>
        <v/>
      </c>
      <c r="N264" s="26">
        <f>MIN(24,MAX(5,NORMINV(RAND(),$C$9,$D$9)))</f>
        <v/>
      </c>
      <c r="O264" s="49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25">
        <f>MAX(-0.05,NORMINV(RAND(),$C$6,$D$6))</f>
        <v/>
      </c>
      <c r="L265" s="25">
        <f>MAX(0.02,NORMINV(RAND(),$C$7,$D$7))</f>
        <v/>
      </c>
      <c r="M265" s="25">
        <f>MIN(0.16,MAX(0.05,NORMINV(RAND(),$C$8,$D$8)))</f>
        <v/>
      </c>
      <c r="N265" s="26">
        <f>MIN(24,MAX(5,NORMINV(RAND(),$C$9,$D$9)))</f>
        <v/>
      </c>
      <c r="O265" s="49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25">
        <f>MAX(-0.05,NORMINV(RAND(),$C$6,$D$6))</f>
        <v/>
      </c>
      <c r="L266" s="25">
        <f>MAX(0.02,NORMINV(RAND(),$C$7,$D$7))</f>
        <v/>
      </c>
      <c r="M266" s="25">
        <f>MIN(0.16,MAX(0.05,NORMINV(RAND(),$C$8,$D$8)))</f>
        <v/>
      </c>
      <c r="N266" s="26">
        <f>MIN(24,MAX(5,NORMINV(RAND(),$C$9,$D$9)))</f>
        <v/>
      </c>
      <c r="O266" s="49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25">
        <f>MAX(-0.05,NORMINV(RAND(),$C$6,$D$6))</f>
        <v/>
      </c>
      <c r="L267" s="25">
        <f>MAX(0.02,NORMINV(RAND(),$C$7,$D$7))</f>
        <v/>
      </c>
      <c r="M267" s="25">
        <f>MIN(0.16,MAX(0.05,NORMINV(RAND(),$C$8,$D$8)))</f>
        <v/>
      </c>
      <c r="N267" s="26">
        <f>MIN(24,MAX(5,NORMINV(RAND(),$C$9,$D$9)))</f>
        <v/>
      </c>
      <c r="O267" s="49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25">
        <f>MAX(-0.05,NORMINV(RAND(),$C$6,$D$6))</f>
        <v/>
      </c>
      <c r="L268" s="25">
        <f>MAX(0.02,NORMINV(RAND(),$C$7,$D$7))</f>
        <v/>
      </c>
      <c r="M268" s="25">
        <f>MIN(0.16,MAX(0.05,NORMINV(RAND(),$C$8,$D$8)))</f>
        <v/>
      </c>
      <c r="N268" s="26">
        <f>MIN(24,MAX(5,NORMINV(RAND(),$C$9,$D$9)))</f>
        <v/>
      </c>
      <c r="O268" s="49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25">
        <f>MAX(-0.05,NORMINV(RAND(),$C$6,$D$6))</f>
        <v/>
      </c>
      <c r="L269" s="25">
        <f>MAX(0.02,NORMINV(RAND(),$C$7,$D$7))</f>
        <v/>
      </c>
      <c r="M269" s="25">
        <f>MIN(0.16,MAX(0.05,NORMINV(RAND(),$C$8,$D$8)))</f>
        <v/>
      </c>
      <c r="N269" s="26">
        <f>MIN(24,MAX(5,NORMINV(RAND(),$C$9,$D$9)))</f>
        <v/>
      </c>
      <c r="O269" s="49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25">
        <f>MAX(-0.05,NORMINV(RAND(),$C$6,$D$6))</f>
        <v/>
      </c>
      <c r="L270" s="25">
        <f>MAX(0.02,NORMINV(RAND(),$C$7,$D$7))</f>
        <v/>
      </c>
      <c r="M270" s="25">
        <f>MIN(0.16,MAX(0.05,NORMINV(RAND(),$C$8,$D$8)))</f>
        <v/>
      </c>
      <c r="N270" s="26">
        <f>MIN(24,MAX(5,NORMINV(RAND(),$C$9,$D$9)))</f>
        <v/>
      </c>
      <c r="O270" s="49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25">
        <f>MAX(-0.05,NORMINV(RAND(),$C$6,$D$6))</f>
        <v/>
      </c>
      <c r="L271" s="25">
        <f>MAX(0.02,NORMINV(RAND(),$C$7,$D$7))</f>
        <v/>
      </c>
      <c r="M271" s="25">
        <f>MIN(0.16,MAX(0.05,NORMINV(RAND(),$C$8,$D$8)))</f>
        <v/>
      </c>
      <c r="N271" s="26">
        <f>MIN(24,MAX(5,NORMINV(RAND(),$C$9,$D$9)))</f>
        <v/>
      </c>
      <c r="O271" s="49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25">
        <f>MAX(-0.05,NORMINV(RAND(),$C$6,$D$6))</f>
        <v/>
      </c>
      <c r="L272" s="25">
        <f>MAX(0.02,NORMINV(RAND(),$C$7,$D$7))</f>
        <v/>
      </c>
      <c r="M272" s="25">
        <f>MIN(0.16,MAX(0.05,NORMINV(RAND(),$C$8,$D$8)))</f>
        <v/>
      </c>
      <c r="N272" s="26">
        <f>MIN(24,MAX(5,NORMINV(RAND(),$C$9,$D$9)))</f>
        <v/>
      </c>
      <c r="O272" s="49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25">
        <f>MAX(-0.05,NORMINV(RAND(),$C$6,$D$6))</f>
        <v/>
      </c>
      <c r="L273" s="25">
        <f>MAX(0.02,NORMINV(RAND(),$C$7,$D$7))</f>
        <v/>
      </c>
      <c r="M273" s="25">
        <f>MIN(0.16,MAX(0.05,NORMINV(RAND(),$C$8,$D$8)))</f>
        <v/>
      </c>
      <c r="N273" s="26">
        <f>MIN(24,MAX(5,NORMINV(RAND(),$C$9,$D$9)))</f>
        <v/>
      </c>
      <c r="O273" s="49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25">
        <f>MAX(-0.05,NORMINV(RAND(),$C$6,$D$6))</f>
        <v/>
      </c>
      <c r="L274" s="25">
        <f>MAX(0.02,NORMINV(RAND(),$C$7,$D$7))</f>
        <v/>
      </c>
      <c r="M274" s="25">
        <f>MIN(0.16,MAX(0.05,NORMINV(RAND(),$C$8,$D$8)))</f>
        <v/>
      </c>
      <c r="N274" s="26">
        <f>MIN(24,MAX(5,NORMINV(RAND(),$C$9,$D$9)))</f>
        <v/>
      </c>
      <c r="O274" s="49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25">
        <f>MAX(-0.05,NORMINV(RAND(),$C$6,$D$6))</f>
        <v/>
      </c>
      <c r="L275" s="25">
        <f>MAX(0.02,NORMINV(RAND(),$C$7,$D$7))</f>
        <v/>
      </c>
      <c r="M275" s="25">
        <f>MIN(0.16,MAX(0.05,NORMINV(RAND(),$C$8,$D$8)))</f>
        <v/>
      </c>
      <c r="N275" s="26">
        <f>MIN(24,MAX(5,NORMINV(RAND(),$C$9,$D$9)))</f>
        <v/>
      </c>
      <c r="O275" s="49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25">
        <f>MAX(-0.05,NORMINV(RAND(),$C$6,$D$6))</f>
        <v/>
      </c>
      <c r="L276" s="25">
        <f>MAX(0.02,NORMINV(RAND(),$C$7,$D$7))</f>
        <v/>
      </c>
      <c r="M276" s="25">
        <f>MIN(0.16,MAX(0.05,NORMINV(RAND(),$C$8,$D$8)))</f>
        <v/>
      </c>
      <c r="N276" s="26">
        <f>MIN(24,MAX(5,NORMINV(RAND(),$C$9,$D$9)))</f>
        <v/>
      </c>
      <c r="O276" s="49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25">
        <f>MAX(-0.05,NORMINV(RAND(),$C$6,$D$6))</f>
        <v/>
      </c>
      <c r="L277" s="25">
        <f>MAX(0.02,NORMINV(RAND(),$C$7,$D$7))</f>
        <v/>
      </c>
      <c r="M277" s="25">
        <f>MIN(0.16,MAX(0.05,NORMINV(RAND(),$C$8,$D$8)))</f>
        <v/>
      </c>
      <c r="N277" s="26">
        <f>MIN(24,MAX(5,NORMINV(RAND(),$C$9,$D$9)))</f>
        <v/>
      </c>
      <c r="O277" s="49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25">
        <f>MAX(-0.05,NORMINV(RAND(),$C$6,$D$6))</f>
        <v/>
      </c>
      <c r="L278" s="25">
        <f>MAX(0.02,NORMINV(RAND(),$C$7,$D$7))</f>
        <v/>
      </c>
      <c r="M278" s="25">
        <f>MIN(0.16,MAX(0.05,NORMINV(RAND(),$C$8,$D$8)))</f>
        <v/>
      </c>
      <c r="N278" s="26">
        <f>MIN(24,MAX(5,NORMINV(RAND(),$C$9,$D$9)))</f>
        <v/>
      </c>
      <c r="O278" s="49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25">
        <f>MAX(-0.05,NORMINV(RAND(),$C$6,$D$6))</f>
        <v/>
      </c>
      <c r="L279" s="25">
        <f>MAX(0.02,NORMINV(RAND(),$C$7,$D$7))</f>
        <v/>
      </c>
      <c r="M279" s="25">
        <f>MIN(0.16,MAX(0.05,NORMINV(RAND(),$C$8,$D$8)))</f>
        <v/>
      </c>
      <c r="N279" s="26">
        <f>MIN(24,MAX(5,NORMINV(RAND(),$C$9,$D$9)))</f>
        <v/>
      </c>
      <c r="O279" s="49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25">
        <f>MAX(-0.05,NORMINV(RAND(),$C$6,$D$6))</f>
        <v/>
      </c>
      <c r="L280" s="25">
        <f>MAX(0.02,NORMINV(RAND(),$C$7,$D$7))</f>
        <v/>
      </c>
      <c r="M280" s="25">
        <f>MIN(0.16,MAX(0.05,NORMINV(RAND(),$C$8,$D$8)))</f>
        <v/>
      </c>
      <c r="N280" s="26">
        <f>MIN(24,MAX(5,NORMINV(RAND(),$C$9,$D$9)))</f>
        <v/>
      </c>
      <c r="O280" s="49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25">
        <f>MAX(-0.05,NORMINV(RAND(),$C$6,$D$6))</f>
        <v/>
      </c>
      <c r="L281" s="25">
        <f>MAX(0.02,NORMINV(RAND(),$C$7,$D$7))</f>
        <v/>
      </c>
      <c r="M281" s="25">
        <f>MIN(0.16,MAX(0.05,NORMINV(RAND(),$C$8,$D$8)))</f>
        <v/>
      </c>
      <c r="N281" s="26">
        <f>MIN(24,MAX(5,NORMINV(RAND(),$C$9,$D$9)))</f>
        <v/>
      </c>
      <c r="O281" s="49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25">
        <f>MAX(-0.05,NORMINV(RAND(),$C$6,$D$6))</f>
        <v/>
      </c>
      <c r="L282" s="25">
        <f>MAX(0.02,NORMINV(RAND(),$C$7,$D$7))</f>
        <v/>
      </c>
      <c r="M282" s="25">
        <f>MIN(0.16,MAX(0.05,NORMINV(RAND(),$C$8,$D$8)))</f>
        <v/>
      </c>
      <c r="N282" s="26">
        <f>MIN(24,MAX(5,NORMINV(RAND(),$C$9,$D$9)))</f>
        <v/>
      </c>
      <c r="O282" s="49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25">
        <f>MAX(-0.05,NORMINV(RAND(),$C$6,$D$6))</f>
        <v/>
      </c>
      <c r="L283" s="25">
        <f>MAX(0.02,NORMINV(RAND(),$C$7,$D$7))</f>
        <v/>
      </c>
      <c r="M283" s="25">
        <f>MIN(0.16,MAX(0.05,NORMINV(RAND(),$C$8,$D$8)))</f>
        <v/>
      </c>
      <c r="N283" s="26">
        <f>MIN(24,MAX(5,NORMINV(RAND(),$C$9,$D$9)))</f>
        <v/>
      </c>
      <c r="O283" s="49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25">
        <f>MAX(-0.05,NORMINV(RAND(),$C$6,$D$6))</f>
        <v/>
      </c>
      <c r="L284" s="25">
        <f>MAX(0.02,NORMINV(RAND(),$C$7,$D$7))</f>
        <v/>
      </c>
      <c r="M284" s="25">
        <f>MIN(0.16,MAX(0.05,NORMINV(RAND(),$C$8,$D$8)))</f>
        <v/>
      </c>
      <c r="N284" s="26">
        <f>MIN(24,MAX(5,NORMINV(RAND(),$C$9,$D$9)))</f>
        <v/>
      </c>
      <c r="O284" s="49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25">
        <f>MAX(-0.05,NORMINV(RAND(),$C$6,$D$6))</f>
        <v/>
      </c>
      <c r="L285" s="25">
        <f>MAX(0.02,NORMINV(RAND(),$C$7,$D$7))</f>
        <v/>
      </c>
      <c r="M285" s="25">
        <f>MIN(0.16,MAX(0.05,NORMINV(RAND(),$C$8,$D$8)))</f>
        <v/>
      </c>
      <c r="N285" s="26">
        <f>MIN(24,MAX(5,NORMINV(RAND(),$C$9,$D$9)))</f>
        <v/>
      </c>
      <c r="O285" s="49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25">
        <f>MAX(-0.05,NORMINV(RAND(),$C$6,$D$6))</f>
        <v/>
      </c>
      <c r="L286" s="25">
        <f>MAX(0.02,NORMINV(RAND(),$C$7,$D$7))</f>
        <v/>
      </c>
      <c r="M286" s="25">
        <f>MIN(0.16,MAX(0.05,NORMINV(RAND(),$C$8,$D$8)))</f>
        <v/>
      </c>
      <c r="N286" s="26">
        <f>MIN(24,MAX(5,NORMINV(RAND(),$C$9,$D$9)))</f>
        <v/>
      </c>
      <c r="O286" s="49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25">
        <f>MAX(-0.05,NORMINV(RAND(),$C$6,$D$6))</f>
        <v/>
      </c>
      <c r="L287" s="25">
        <f>MAX(0.02,NORMINV(RAND(),$C$7,$D$7))</f>
        <v/>
      </c>
      <c r="M287" s="25">
        <f>MIN(0.16,MAX(0.05,NORMINV(RAND(),$C$8,$D$8)))</f>
        <v/>
      </c>
      <c r="N287" s="26">
        <f>MIN(24,MAX(5,NORMINV(RAND(),$C$9,$D$9)))</f>
        <v/>
      </c>
      <c r="O287" s="49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25">
        <f>MAX(-0.05,NORMINV(RAND(),$C$6,$D$6))</f>
        <v/>
      </c>
      <c r="L288" s="25">
        <f>MAX(0.02,NORMINV(RAND(),$C$7,$D$7))</f>
        <v/>
      </c>
      <c r="M288" s="25">
        <f>MIN(0.16,MAX(0.05,NORMINV(RAND(),$C$8,$D$8)))</f>
        <v/>
      </c>
      <c r="N288" s="26">
        <f>MIN(24,MAX(5,NORMINV(RAND(),$C$9,$D$9)))</f>
        <v/>
      </c>
      <c r="O288" s="49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25">
        <f>MAX(-0.05,NORMINV(RAND(),$C$6,$D$6))</f>
        <v/>
      </c>
      <c r="L289" s="25">
        <f>MAX(0.02,NORMINV(RAND(),$C$7,$D$7))</f>
        <v/>
      </c>
      <c r="M289" s="25">
        <f>MIN(0.16,MAX(0.05,NORMINV(RAND(),$C$8,$D$8)))</f>
        <v/>
      </c>
      <c r="N289" s="26">
        <f>MIN(24,MAX(5,NORMINV(RAND(),$C$9,$D$9)))</f>
        <v/>
      </c>
      <c r="O289" s="49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25">
        <f>MAX(-0.05,NORMINV(RAND(),$C$6,$D$6))</f>
        <v/>
      </c>
      <c r="L290" s="25">
        <f>MAX(0.02,NORMINV(RAND(),$C$7,$D$7))</f>
        <v/>
      </c>
      <c r="M290" s="25">
        <f>MIN(0.16,MAX(0.05,NORMINV(RAND(),$C$8,$D$8)))</f>
        <v/>
      </c>
      <c r="N290" s="26">
        <f>MIN(24,MAX(5,NORMINV(RAND(),$C$9,$D$9)))</f>
        <v/>
      </c>
      <c r="O290" s="49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25">
        <f>MAX(-0.05,NORMINV(RAND(),$C$6,$D$6))</f>
        <v/>
      </c>
      <c r="L291" s="25">
        <f>MAX(0.02,NORMINV(RAND(),$C$7,$D$7))</f>
        <v/>
      </c>
      <c r="M291" s="25">
        <f>MIN(0.16,MAX(0.05,NORMINV(RAND(),$C$8,$D$8)))</f>
        <v/>
      </c>
      <c r="N291" s="26">
        <f>MIN(24,MAX(5,NORMINV(RAND(),$C$9,$D$9)))</f>
        <v/>
      </c>
      <c r="O291" s="49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25">
        <f>MAX(-0.05,NORMINV(RAND(),$C$6,$D$6))</f>
        <v/>
      </c>
      <c r="L292" s="25">
        <f>MAX(0.02,NORMINV(RAND(),$C$7,$D$7))</f>
        <v/>
      </c>
      <c r="M292" s="25">
        <f>MIN(0.16,MAX(0.05,NORMINV(RAND(),$C$8,$D$8)))</f>
        <v/>
      </c>
      <c r="N292" s="26">
        <f>MIN(24,MAX(5,NORMINV(RAND(),$C$9,$D$9)))</f>
        <v/>
      </c>
      <c r="O292" s="49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25">
        <f>MAX(-0.05,NORMINV(RAND(),$C$6,$D$6))</f>
        <v/>
      </c>
      <c r="L293" s="25">
        <f>MAX(0.02,NORMINV(RAND(),$C$7,$D$7))</f>
        <v/>
      </c>
      <c r="M293" s="25">
        <f>MIN(0.16,MAX(0.05,NORMINV(RAND(),$C$8,$D$8)))</f>
        <v/>
      </c>
      <c r="N293" s="26">
        <f>MIN(24,MAX(5,NORMINV(RAND(),$C$9,$D$9)))</f>
        <v/>
      </c>
      <c r="O293" s="49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25">
        <f>MAX(-0.05,NORMINV(RAND(),$C$6,$D$6))</f>
        <v/>
      </c>
      <c r="L294" s="25">
        <f>MAX(0.02,NORMINV(RAND(),$C$7,$D$7))</f>
        <v/>
      </c>
      <c r="M294" s="25">
        <f>MIN(0.16,MAX(0.05,NORMINV(RAND(),$C$8,$D$8)))</f>
        <v/>
      </c>
      <c r="N294" s="26">
        <f>MIN(24,MAX(5,NORMINV(RAND(),$C$9,$D$9)))</f>
        <v/>
      </c>
      <c r="O294" s="49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25">
        <f>MAX(-0.05,NORMINV(RAND(),$C$6,$D$6))</f>
        <v/>
      </c>
      <c r="L295" s="25">
        <f>MAX(0.02,NORMINV(RAND(),$C$7,$D$7))</f>
        <v/>
      </c>
      <c r="M295" s="25">
        <f>MIN(0.16,MAX(0.05,NORMINV(RAND(),$C$8,$D$8)))</f>
        <v/>
      </c>
      <c r="N295" s="26">
        <f>MIN(24,MAX(5,NORMINV(RAND(),$C$9,$D$9)))</f>
        <v/>
      </c>
      <c r="O295" s="49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25">
        <f>MAX(-0.05,NORMINV(RAND(),$C$6,$D$6))</f>
        <v/>
      </c>
      <c r="L296" s="25">
        <f>MAX(0.02,NORMINV(RAND(),$C$7,$D$7))</f>
        <v/>
      </c>
      <c r="M296" s="25">
        <f>MIN(0.16,MAX(0.05,NORMINV(RAND(),$C$8,$D$8)))</f>
        <v/>
      </c>
      <c r="N296" s="26">
        <f>MIN(24,MAX(5,NORMINV(RAND(),$C$9,$D$9)))</f>
        <v/>
      </c>
      <c r="O296" s="49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25">
        <f>MAX(-0.05,NORMINV(RAND(),$C$6,$D$6))</f>
        <v/>
      </c>
      <c r="L297" s="25">
        <f>MAX(0.02,NORMINV(RAND(),$C$7,$D$7))</f>
        <v/>
      </c>
      <c r="M297" s="25">
        <f>MIN(0.16,MAX(0.05,NORMINV(RAND(),$C$8,$D$8)))</f>
        <v/>
      </c>
      <c r="N297" s="26">
        <f>MIN(24,MAX(5,NORMINV(RAND(),$C$9,$D$9)))</f>
        <v/>
      </c>
      <c r="O297" s="49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25">
        <f>MAX(-0.05,NORMINV(RAND(),$C$6,$D$6))</f>
        <v/>
      </c>
      <c r="L298" s="25">
        <f>MAX(0.02,NORMINV(RAND(),$C$7,$D$7))</f>
        <v/>
      </c>
      <c r="M298" s="25">
        <f>MIN(0.16,MAX(0.05,NORMINV(RAND(),$C$8,$D$8)))</f>
        <v/>
      </c>
      <c r="N298" s="26">
        <f>MIN(24,MAX(5,NORMINV(RAND(),$C$9,$D$9)))</f>
        <v/>
      </c>
      <c r="O298" s="49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25">
        <f>MAX(-0.05,NORMINV(RAND(),$C$6,$D$6))</f>
        <v/>
      </c>
      <c r="L299" s="25">
        <f>MAX(0.02,NORMINV(RAND(),$C$7,$D$7))</f>
        <v/>
      </c>
      <c r="M299" s="25">
        <f>MIN(0.16,MAX(0.05,NORMINV(RAND(),$C$8,$D$8)))</f>
        <v/>
      </c>
      <c r="N299" s="26">
        <f>MIN(24,MAX(5,NORMINV(RAND(),$C$9,$D$9)))</f>
        <v/>
      </c>
      <c r="O299" s="49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25">
        <f>MAX(-0.05,NORMINV(RAND(),$C$6,$D$6))</f>
        <v/>
      </c>
      <c r="L300" s="25">
        <f>MAX(0.02,NORMINV(RAND(),$C$7,$D$7))</f>
        <v/>
      </c>
      <c r="M300" s="25">
        <f>MIN(0.16,MAX(0.05,NORMINV(RAND(),$C$8,$D$8)))</f>
        <v/>
      </c>
      <c r="N300" s="26">
        <f>MIN(24,MAX(5,NORMINV(RAND(),$C$9,$D$9)))</f>
        <v/>
      </c>
      <c r="O300" s="49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25">
        <f>MAX(-0.05,NORMINV(RAND(),$C$6,$D$6))</f>
        <v/>
      </c>
      <c r="L301" s="25">
        <f>MAX(0.02,NORMINV(RAND(),$C$7,$D$7))</f>
        <v/>
      </c>
      <c r="M301" s="25">
        <f>MIN(0.16,MAX(0.05,NORMINV(RAND(),$C$8,$D$8)))</f>
        <v/>
      </c>
      <c r="N301" s="26">
        <f>MIN(24,MAX(5,NORMINV(RAND(),$C$9,$D$9)))</f>
        <v/>
      </c>
      <c r="O301" s="49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25">
        <f>MAX(-0.05,NORMINV(RAND(),$C$6,$D$6))</f>
        <v/>
      </c>
      <c r="L302" s="25">
        <f>MAX(0.02,NORMINV(RAND(),$C$7,$D$7))</f>
        <v/>
      </c>
      <c r="M302" s="25">
        <f>MIN(0.16,MAX(0.05,NORMINV(RAND(),$C$8,$D$8)))</f>
        <v/>
      </c>
      <c r="N302" s="26">
        <f>MIN(24,MAX(5,NORMINV(RAND(),$C$9,$D$9)))</f>
        <v/>
      </c>
      <c r="O302" s="49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25">
        <f>MAX(-0.05,NORMINV(RAND(),$C$6,$D$6))</f>
        <v/>
      </c>
      <c r="L303" s="25">
        <f>MAX(0.02,NORMINV(RAND(),$C$7,$D$7))</f>
        <v/>
      </c>
      <c r="M303" s="25">
        <f>MIN(0.16,MAX(0.05,NORMINV(RAND(),$C$8,$D$8)))</f>
        <v/>
      </c>
      <c r="N303" s="26">
        <f>MIN(24,MAX(5,NORMINV(RAND(),$C$9,$D$9)))</f>
        <v/>
      </c>
      <c r="O303" s="49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25">
        <f>MAX(-0.05,NORMINV(RAND(),$C$6,$D$6))</f>
        <v/>
      </c>
      <c r="L304" s="25">
        <f>MAX(0.02,NORMINV(RAND(),$C$7,$D$7))</f>
        <v/>
      </c>
      <c r="M304" s="25">
        <f>MIN(0.16,MAX(0.05,NORMINV(RAND(),$C$8,$D$8)))</f>
        <v/>
      </c>
      <c r="N304" s="26">
        <f>MIN(24,MAX(5,NORMINV(RAND(),$C$9,$D$9)))</f>
        <v/>
      </c>
      <c r="O304" s="49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25">
        <f>MAX(-0.05,NORMINV(RAND(),$C$6,$D$6))</f>
        <v/>
      </c>
      <c r="L305" s="25">
        <f>MAX(0.02,NORMINV(RAND(),$C$7,$D$7))</f>
        <v/>
      </c>
      <c r="M305" s="25">
        <f>MIN(0.16,MAX(0.05,NORMINV(RAND(),$C$8,$D$8)))</f>
        <v/>
      </c>
      <c r="N305" s="26">
        <f>MIN(24,MAX(5,NORMINV(RAND(),$C$9,$D$9)))</f>
        <v/>
      </c>
      <c r="O305" s="49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25">
        <f>MAX(-0.05,NORMINV(RAND(),$C$6,$D$6))</f>
        <v/>
      </c>
      <c r="L306" s="25">
        <f>MAX(0.02,NORMINV(RAND(),$C$7,$D$7))</f>
        <v/>
      </c>
      <c r="M306" s="25">
        <f>MIN(0.16,MAX(0.05,NORMINV(RAND(),$C$8,$D$8)))</f>
        <v/>
      </c>
      <c r="N306" s="26">
        <f>MIN(24,MAX(5,NORMINV(RAND(),$C$9,$D$9)))</f>
        <v/>
      </c>
      <c r="O306" s="49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25">
        <f>MAX(-0.05,NORMINV(RAND(),$C$6,$D$6))</f>
        <v/>
      </c>
      <c r="L307" s="25">
        <f>MAX(0.02,NORMINV(RAND(),$C$7,$D$7))</f>
        <v/>
      </c>
      <c r="M307" s="25">
        <f>MIN(0.16,MAX(0.05,NORMINV(RAND(),$C$8,$D$8)))</f>
        <v/>
      </c>
      <c r="N307" s="26">
        <f>MIN(24,MAX(5,NORMINV(RAND(),$C$9,$D$9)))</f>
        <v/>
      </c>
      <c r="O307" s="49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25">
        <f>MAX(-0.05,NORMINV(RAND(),$C$6,$D$6))</f>
        <v/>
      </c>
      <c r="L308" s="25">
        <f>MAX(0.02,NORMINV(RAND(),$C$7,$D$7))</f>
        <v/>
      </c>
      <c r="M308" s="25">
        <f>MIN(0.16,MAX(0.05,NORMINV(RAND(),$C$8,$D$8)))</f>
        <v/>
      </c>
      <c r="N308" s="26">
        <f>MIN(24,MAX(5,NORMINV(RAND(),$C$9,$D$9)))</f>
        <v/>
      </c>
      <c r="O308" s="49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25">
        <f>MAX(-0.05,NORMINV(RAND(),$C$6,$D$6))</f>
        <v/>
      </c>
      <c r="L309" s="25">
        <f>MAX(0.02,NORMINV(RAND(),$C$7,$D$7))</f>
        <v/>
      </c>
      <c r="M309" s="25">
        <f>MIN(0.16,MAX(0.05,NORMINV(RAND(),$C$8,$D$8)))</f>
        <v/>
      </c>
      <c r="N309" s="26">
        <f>MIN(24,MAX(5,NORMINV(RAND(),$C$9,$D$9)))</f>
        <v/>
      </c>
      <c r="O309" s="49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25">
        <f>MAX(-0.05,NORMINV(RAND(),$C$6,$D$6))</f>
        <v/>
      </c>
      <c r="L310" s="25">
        <f>MAX(0.02,NORMINV(RAND(),$C$7,$D$7))</f>
        <v/>
      </c>
      <c r="M310" s="25">
        <f>MIN(0.16,MAX(0.05,NORMINV(RAND(),$C$8,$D$8)))</f>
        <v/>
      </c>
      <c r="N310" s="26">
        <f>MIN(24,MAX(5,NORMINV(RAND(),$C$9,$D$9)))</f>
        <v/>
      </c>
      <c r="O310" s="49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25">
        <f>MAX(-0.05,NORMINV(RAND(),$C$6,$D$6))</f>
        <v/>
      </c>
      <c r="L311" s="25">
        <f>MAX(0.02,NORMINV(RAND(),$C$7,$D$7))</f>
        <v/>
      </c>
      <c r="M311" s="25">
        <f>MIN(0.16,MAX(0.05,NORMINV(RAND(),$C$8,$D$8)))</f>
        <v/>
      </c>
      <c r="N311" s="26">
        <f>MIN(24,MAX(5,NORMINV(RAND(),$C$9,$D$9)))</f>
        <v/>
      </c>
      <c r="O311" s="49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25">
        <f>MAX(-0.05,NORMINV(RAND(),$C$6,$D$6))</f>
        <v/>
      </c>
      <c r="L312" s="25">
        <f>MAX(0.02,NORMINV(RAND(),$C$7,$D$7))</f>
        <v/>
      </c>
      <c r="M312" s="25">
        <f>MIN(0.16,MAX(0.05,NORMINV(RAND(),$C$8,$D$8)))</f>
        <v/>
      </c>
      <c r="N312" s="26">
        <f>MIN(24,MAX(5,NORMINV(RAND(),$C$9,$D$9)))</f>
        <v/>
      </c>
      <c r="O312" s="49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25">
        <f>MAX(-0.05,NORMINV(RAND(),$C$6,$D$6))</f>
        <v/>
      </c>
      <c r="L313" s="25">
        <f>MAX(0.02,NORMINV(RAND(),$C$7,$D$7))</f>
        <v/>
      </c>
      <c r="M313" s="25">
        <f>MIN(0.16,MAX(0.05,NORMINV(RAND(),$C$8,$D$8)))</f>
        <v/>
      </c>
      <c r="N313" s="26">
        <f>MIN(24,MAX(5,NORMINV(RAND(),$C$9,$D$9)))</f>
        <v/>
      </c>
      <c r="O313" s="49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25">
        <f>MAX(-0.05,NORMINV(RAND(),$C$6,$D$6))</f>
        <v/>
      </c>
      <c r="L314" s="25">
        <f>MAX(0.02,NORMINV(RAND(),$C$7,$D$7))</f>
        <v/>
      </c>
      <c r="M314" s="25">
        <f>MIN(0.16,MAX(0.05,NORMINV(RAND(),$C$8,$D$8)))</f>
        <v/>
      </c>
      <c r="N314" s="26">
        <f>MIN(24,MAX(5,NORMINV(RAND(),$C$9,$D$9)))</f>
        <v/>
      </c>
      <c r="O314" s="49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25">
        <f>MAX(-0.05,NORMINV(RAND(),$C$6,$D$6))</f>
        <v/>
      </c>
      <c r="L315" s="25">
        <f>MAX(0.02,NORMINV(RAND(),$C$7,$D$7))</f>
        <v/>
      </c>
      <c r="M315" s="25">
        <f>MIN(0.16,MAX(0.05,NORMINV(RAND(),$C$8,$D$8)))</f>
        <v/>
      </c>
      <c r="N315" s="26">
        <f>MIN(24,MAX(5,NORMINV(RAND(),$C$9,$D$9)))</f>
        <v/>
      </c>
      <c r="O315" s="49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25">
        <f>MAX(-0.05,NORMINV(RAND(),$C$6,$D$6))</f>
        <v/>
      </c>
      <c r="L316" s="25">
        <f>MAX(0.02,NORMINV(RAND(),$C$7,$D$7))</f>
        <v/>
      </c>
      <c r="M316" s="25">
        <f>MIN(0.16,MAX(0.05,NORMINV(RAND(),$C$8,$D$8)))</f>
        <v/>
      </c>
      <c r="N316" s="26">
        <f>MIN(24,MAX(5,NORMINV(RAND(),$C$9,$D$9)))</f>
        <v/>
      </c>
      <c r="O316" s="49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25">
        <f>MAX(-0.05,NORMINV(RAND(),$C$6,$D$6))</f>
        <v/>
      </c>
      <c r="L317" s="25">
        <f>MAX(0.02,NORMINV(RAND(),$C$7,$D$7))</f>
        <v/>
      </c>
      <c r="M317" s="25">
        <f>MIN(0.16,MAX(0.05,NORMINV(RAND(),$C$8,$D$8)))</f>
        <v/>
      </c>
      <c r="N317" s="26">
        <f>MIN(24,MAX(5,NORMINV(RAND(),$C$9,$D$9)))</f>
        <v/>
      </c>
      <c r="O317" s="49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25">
        <f>MAX(-0.05,NORMINV(RAND(),$C$6,$D$6))</f>
        <v/>
      </c>
      <c r="L318" s="25">
        <f>MAX(0.02,NORMINV(RAND(),$C$7,$D$7))</f>
        <v/>
      </c>
      <c r="M318" s="25">
        <f>MIN(0.16,MAX(0.05,NORMINV(RAND(),$C$8,$D$8)))</f>
        <v/>
      </c>
      <c r="N318" s="26">
        <f>MIN(24,MAX(5,NORMINV(RAND(),$C$9,$D$9)))</f>
        <v/>
      </c>
      <c r="O318" s="49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25">
        <f>MAX(-0.05,NORMINV(RAND(),$C$6,$D$6))</f>
        <v/>
      </c>
      <c r="L319" s="25">
        <f>MAX(0.02,NORMINV(RAND(),$C$7,$D$7))</f>
        <v/>
      </c>
      <c r="M319" s="25">
        <f>MIN(0.16,MAX(0.05,NORMINV(RAND(),$C$8,$D$8)))</f>
        <v/>
      </c>
      <c r="N319" s="26">
        <f>MIN(24,MAX(5,NORMINV(RAND(),$C$9,$D$9)))</f>
        <v/>
      </c>
      <c r="O319" s="49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25">
        <f>MAX(-0.05,NORMINV(RAND(),$C$6,$D$6))</f>
        <v/>
      </c>
      <c r="L320" s="25">
        <f>MAX(0.02,NORMINV(RAND(),$C$7,$D$7))</f>
        <v/>
      </c>
      <c r="M320" s="25">
        <f>MIN(0.16,MAX(0.05,NORMINV(RAND(),$C$8,$D$8)))</f>
        <v/>
      </c>
      <c r="N320" s="26">
        <f>MIN(24,MAX(5,NORMINV(RAND(),$C$9,$D$9)))</f>
        <v/>
      </c>
      <c r="O320" s="49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25">
        <f>MAX(-0.05,NORMINV(RAND(),$C$6,$D$6))</f>
        <v/>
      </c>
      <c r="L321" s="25">
        <f>MAX(0.02,NORMINV(RAND(),$C$7,$D$7))</f>
        <v/>
      </c>
      <c r="M321" s="25">
        <f>MIN(0.16,MAX(0.05,NORMINV(RAND(),$C$8,$D$8)))</f>
        <v/>
      </c>
      <c r="N321" s="26">
        <f>MIN(24,MAX(5,NORMINV(RAND(),$C$9,$D$9)))</f>
        <v/>
      </c>
      <c r="O321" s="49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25">
        <f>MAX(-0.05,NORMINV(RAND(),$C$6,$D$6))</f>
        <v/>
      </c>
      <c r="L322" s="25">
        <f>MAX(0.02,NORMINV(RAND(),$C$7,$D$7))</f>
        <v/>
      </c>
      <c r="M322" s="25">
        <f>MIN(0.16,MAX(0.05,NORMINV(RAND(),$C$8,$D$8)))</f>
        <v/>
      </c>
      <c r="N322" s="26">
        <f>MIN(24,MAX(5,NORMINV(RAND(),$C$9,$D$9)))</f>
        <v/>
      </c>
      <c r="O322" s="49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25">
        <f>MAX(-0.05,NORMINV(RAND(),$C$6,$D$6))</f>
        <v/>
      </c>
      <c r="L323" s="25">
        <f>MAX(0.02,NORMINV(RAND(),$C$7,$D$7))</f>
        <v/>
      </c>
      <c r="M323" s="25">
        <f>MIN(0.16,MAX(0.05,NORMINV(RAND(),$C$8,$D$8)))</f>
        <v/>
      </c>
      <c r="N323" s="26">
        <f>MIN(24,MAX(5,NORMINV(RAND(),$C$9,$D$9)))</f>
        <v/>
      </c>
      <c r="O323" s="49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25">
        <f>MAX(-0.05,NORMINV(RAND(),$C$6,$D$6))</f>
        <v/>
      </c>
      <c r="L324" s="25">
        <f>MAX(0.02,NORMINV(RAND(),$C$7,$D$7))</f>
        <v/>
      </c>
      <c r="M324" s="25">
        <f>MIN(0.16,MAX(0.05,NORMINV(RAND(),$C$8,$D$8)))</f>
        <v/>
      </c>
      <c r="N324" s="26">
        <f>MIN(24,MAX(5,NORMINV(RAND(),$C$9,$D$9)))</f>
        <v/>
      </c>
      <c r="O324" s="49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25">
        <f>MAX(-0.05,NORMINV(RAND(),$C$6,$D$6))</f>
        <v/>
      </c>
      <c r="L325" s="25">
        <f>MAX(0.02,NORMINV(RAND(),$C$7,$D$7))</f>
        <v/>
      </c>
      <c r="M325" s="25">
        <f>MIN(0.16,MAX(0.05,NORMINV(RAND(),$C$8,$D$8)))</f>
        <v/>
      </c>
      <c r="N325" s="26">
        <f>MIN(24,MAX(5,NORMINV(RAND(),$C$9,$D$9)))</f>
        <v/>
      </c>
      <c r="O325" s="49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25">
        <f>MAX(-0.05,NORMINV(RAND(),$C$6,$D$6))</f>
        <v/>
      </c>
      <c r="L326" s="25">
        <f>MAX(0.02,NORMINV(RAND(),$C$7,$D$7))</f>
        <v/>
      </c>
      <c r="M326" s="25">
        <f>MIN(0.16,MAX(0.05,NORMINV(RAND(),$C$8,$D$8)))</f>
        <v/>
      </c>
      <c r="N326" s="26">
        <f>MIN(24,MAX(5,NORMINV(RAND(),$C$9,$D$9)))</f>
        <v/>
      </c>
      <c r="O326" s="49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25">
        <f>MAX(-0.05,NORMINV(RAND(),$C$6,$D$6))</f>
        <v/>
      </c>
      <c r="L327" s="25">
        <f>MAX(0.02,NORMINV(RAND(),$C$7,$D$7))</f>
        <v/>
      </c>
      <c r="M327" s="25">
        <f>MIN(0.16,MAX(0.05,NORMINV(RAND(),$C$8,$D$8)))</f>
        <v/>
      </c>
      <c r="N327" s="26">
        <f>MIN(24,MAX(5,NORMINV(RAND(),$C$9,$D$9)))</f>
        <v/>
      </c>
      <c r="O327" s="49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25">
        <f>MAX(-0.05,NORMINV(RAND(),$C$6,$D$6))</f>
        <v/>
      </c>
      <c r="L328" s="25">
        <f>MAX(0.02,NORMINV(RAND(),$C$7,$D$7))</f>
        <v/>
      </c>
      <c r="M328" s="25">
        <f>MIN(0.16,MAX(0.05,NORMINV(RAND(),$C$8,$D$8)))</f>
        <v/>
      </c>
      <c r="N328" s="26">
        <f>MIN(24,MAX(5,NORMINV(RAND(),$C$9,$D$9)))</f>
        <v/>
      </c>
      <c r="O328" s="49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25">
        <f>MAX(-0.05,NORMINV(RAND(),$C$6,$D$6))</f>
        <v/>
      </c>
      <c r="L329" s="25">
        <f>MAX(0.02,NORMINV(RAND(),$C$7,$D$7))</f>
        <v/>
      </c>
      <c r="M329" s="25">
        <f>MIN(0.16,MAX(0.05,NORMINV(RAND(),$C$8,$D$8)))</f>
        <v/>
      </c>
      <c r="N329" s="26">
        <f>MIN(24,MAX(5,NORMINV(RAND(),$C$9,$D$9)))</f>
        <v/>
      </c>
      <c r="O329" s="49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25">
        <f>MAX(-0.05,NORMINV(RAND(),$C$6,$D$6))</f>
        <v/>
      </c>
      <c r="L330" s="25">
        <f>MAX(0.02,NORMINV(RAND(),$C$7,$D$7))</f>
        <v/>
      </c>
      <c r="M330" s="25">
        <f>MIN(0.16,MAX(0.05,NORMINV(RAND(),$C$8,$D$8)))</f>
        <v/>
      </c>
      <c r="N330" s="26">
        <f>MIN(24,MAX(5,NORMINV(RAND(),$C$9,$D$9)))</f>
        <v/>
      </c>
      <c r="O330" s="49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25">
        <f>MAX(-0.05,NORMINV(RAND(),$C$6,$D$6))</f>
        <v/>
      </c>
      <c r="L331" s="25">
        <f>MAX(0.02,NORMINV(RAND(),$C$7,$D$7))</f>
        <v/>
      </c>
      <c r="M331" s="25">
        <f>MIN(0.16,MAX(0.05,NORMINV(RAND(),$C$8,$D$8)))</f>
        <v/>
      </c>
      <c r="N331" s="26">
        <f>MIN(24,MAX(5,NORMINV(RAND(),$C$9,$D$9)))</f>
        <v/>
      </c>
      <c r="O331" s="49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25">
        <f>MAX(-0.05,NORMINV(RAND(),$C$6,$D$6))</f>
        <v/>
      </c>
      <c r="L332" s="25">
        <f>MAX(0.02,NORMINV(RAND(),$C$7,$D$7))</f>
        <v/>
      </c>
      <c r="M332" s="25">
        <f>MIN(0.16,MAX(0.05,NORMINV(RAND(),$C$8,$D$8)))</f>
        <v/>
      </c>
      <c r="N332" s="26">
        <f>MIN(24,MAX(5,NORMINV(RAND(),$C$9,$D$9)))</f>
        <v/>
      </c>
      <c r="O332" s="49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25">
        <f>MAX(-0.05,NORMINV(RAND(),$C$6,$D$6))</f>
        <v/>
      </c>
      <c r="L333" s="25">
        <f>MAX(0.02,NORMINV(RAND(),$C$7,$D$7))</f>
        <v/>
      </c>
      <c r="M333" s="25">
        <f>MIN(0.16,MAX(0.05,NORMINV(RAND(),$C$8,$D$8)))</f>
        <v/>
      </c>
      <c r="N333" s="26">
        <f>MIN(24,MAX(5,NORMINV(RAND(),$C$9,$D$9)))</f>
        <v/>
      </c>
      <c r="O333" s="49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25">
        <f>MAX(-0.05,NORMINV(RAND(),$C$6,$D$6))</f>
        <v/>
      </c>
      <c r="L334" s="25">
        <f>MAX(0.02,NORMINV(RAND(),$C$7,$D$7))</f>
        <v/>
      </c>
      <c r="M334" s="25">
        <f>MIN(0.16,MAX(0.05,NORMINV(RAND(),$C$8,$D$8)))</f>
        <v/>
      </c>
      <c r="N334" s="26">
        <f>MIN(24,MAX(5,NORMINV(RAND(),$C$9,$D$9)))</f>
        <v/>
      </c>
      <c r="O334" s="49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25">
        <f>MAX(-0.05,NORMINV(RAND(),$C$6,$D$6))</f>
        <v/>
      </c>
      <c r="L335" s="25">
        <f>MAX(0.02,NORMINV(RAND(),$C$7,$D$7))</f>
        <v/>
      </c>
      <c r="M335" s="25">
        <f>MIN(0.16,MAX(0.05,NORMINV(RAND(),$C$8,$D$8)))</f>
        <v/>
      </c>
      <c r="N335" s="26">
        <f>MIN(24,MAX(5,NORMINV(RAND(),$C$9,$D$9)))</f>
        <v/>
      </c>
      <c r="O335" s="49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25">
        <f>MAX(-0.05,NORMINV(RAND(),$C$6,$D$6))</f>
        <v/>
      </c>
      <c r="L336" s="25">
        <f>MAX(0.02,NORMINV(RAND(),$C$7,$D$7))</f>
        <v/>
      </c>
      <c r="M336" s="25">
        <f>MIN(0.16,MAX(0.05,NORMINV(RAND(),$C$8,$D$8)))</f>
        <v/>
      </c>
      <c r="N336" s="26">
        <f>MIN(24,MAX(5,NORMINV(RAND(),$C$9,$D$9)))</f>
        <v/>
      </c>
      <c r="O336" s="49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25">
        <f>MAX(-0.05,NORMINV(RAND(),$C$6,$D$6))</f>
        <v/>
      </c>
      <c r="L337" s="25">
        <f>MAX(0.02,NORMINV(RAND(),$C$7,$D$7))</f>
        <v/>
      </c>
      <c r="M337" s="25">
        <f>MIN(0.16,MAX(0.05,NORMINV(RAND(),$C$8,$D$8)))</f>
        <v/>
      </c>
      <c r="N337" s="26">
        <f>MIN(24,MAX(5,NORMINV(RAND(),$C$9,$D$9)))</f>
        <v/>
      </c>
      <c r="O337" s="49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25">
        <f>MAX(-0.05,NORMINV(RAND(),$C$6,$D$6))</f>
        <v/>
      </c>
      <c r="L338" s="25">
        <f>MAX(0.02,NORMINV(RAND(),$C$7,$D$7))</f>
        <v/>
      </c>
      <c r="M338" s="25">
        <f>MIN(0.16,MAX(0.05,NORMINV(RAND(),$C$8,$D$8)))</f>
        <v/>
      </c>
      <c r="N338" s="26">
        <f>MIN(24,MAX(5,NORMINV(RAND(),$C$9,$D$9)))</f>
        <v/>
      </c>
      <c r="O338" s="49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25">
        <f>MAX(-0.05,NORMINV(RAND(),$C$6,$D$6))</f>
        <v/>
      </c>
      <c r="L339" s="25">
        <f>MAX(0.02,NORMINV(RAND(),$C$7,$D$7))</f>
        <v/>
      </c>
      <c r="M339" s="25">
        <f>MIN(0.16,MAX(0.05,NORMINV(RAND(),$C$8,$D$8)))</f>
        <v/>
      </c>
      <c r="N339" s="26">
        <f>MIN(24,MAX(5,NORMINV(RAND(),$C$9,$D$9)))</f>
        <v/>
      </c>
      <c r="O339" s="49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25">
        <f>MAX(-0.05,NORMINV(RAND(),$C$6,$D$6))</f>
        <v/>
      </c>
      <c r="L340" s="25">
        <f>MAX(0.02,NORMINV(RAND(),$C$7,$D$7))</f>
        <v/>
      </c>
      <c r="M340" s="25">
        <f>MIN(0.16,MAX(0.05,NORMINV(RAND(),$C$8,$D$8)))</f>
        <v/>
      </c>
      <c r="N340" s="26">
        <f>MIN(24,MAX(5,NORMINV(RAND(),$C$9,$D$9)))</f>
        <v/>
      </c>
      <c r="O340" s="49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25">
        <f>MAX(-0.05,NORMINV(RAND(),$C$6,$D$6))</f>
        <v/>
      </c>
      <c r="L341" s="25">
        <f>MAX(0.02,NORMINV(RAND(),$C$7,$D$7))</f>
        <v/>
      </c>
      <c r="M341" s="25">
        <f>MIN(0.16,MAX(0.05,NORMINV(RAND(),$C$8,$D$8)))</f>
        <v/>
      </c>
      <c r="N341" s="26">
        <f>MIN(24,MAX(5,NORMINV(RAND(),$C$9,$D$9)))</f>
        <v/>
      </c>
      <c r="O341" s="49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25">
        <f>MAX(-0.05,NORMINV(RAND(),$C$6,$D$6))</f>
        <v/>
      </c>
      <c r="L342" s="25">
        <f>MAX(0.02,NORMINV(RAND(),$C$7,$D$7))</f>
        <v/>
      </c>
      <c r="M342" s="25">
        <f>MIN(0.16,MAX(0.05,NORMINV(RAND(),$C$8,$D$8)))</f>
        <v/>
      </c>
      <c r="N342" s="26">
        <f>MIN(24,MAX(5,NORMINV(RAND(),$C$9,$D$9)))</f>
        <v/>
      </c>
      <c r="O342" s="49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25">
        <f>MAX(-0.05,NORMINV(RAND(),$C$6,$D$6))</f>
        <v/>
      </c>
      <c r="L343" s="25">
        <f>MAX(0.02,NORMINV(RAND(),$C$7,$D$7))</f>
        <v/>
      </c>
      <c r="M343" s="25">
        <f>MIN(0.16,MAX(0.05,NORMINV(RAND(),$C$8,$D$8)))</f>
        <v/>
      </c>
      <c r="N343" s="26">
        <f>MIN(24,MAX(5,NORMINV(RAND(),$C$9,$D$9)))</f>
        <v/>
      </c>
      <c r="O343" s="49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25">
        <f>MAX(-0.05,NORMINV(RAND(),$C$6,$D$6))</f>
        <v/>
      </c>
      <c r="L344" s="25">
        <f>MAX(0.02,NORMINV(RAND(),$C$7,$D$7))</f>
        <v/>
      </c>
      <c r="M344" s="25">
        <f>MIN(0.16,MAX(0.05,NORMINV(RAND(),$C$8,$D$8)))</f>
        <v/>
      </c>
      <c r="N344" s="26">
        <f>MIN(24,MAX(5,NORMINV(RAND(),$C$9,$D$9)))</f>
        <v/>
      </c>
      <c r="O344" s="49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25">
        <f>MAX(-0.05,NORMINV(RAND(),$C$6,$D$6))</f>
        <v/>
      </c>
      <c r="L345" s="25">
        <f>MAX(0.02,NORMINV(RAND(),$C$7,$D$7))</f>
        <v/>
      </c>
      <c r="M345" s="25">
        <f>MIN(0.16,MAX(0.05,NORMINV(RAND(),$C$8,$D$8)))</f>
        <v/>
      </c>
      <c r="N345" s="26">
        <f>MIN(24,MAX(5,NORMINV(RAND(),$C$9,$D$9)))</f>
        <v/>
      </c>
      <c r="O345" s="49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25">
        <f>MAX(-0.05,NORMINV(RAND(),$C$6,$D$6))</f>
        <v/>
      </c>
      <c r="L346" s="25">
        <f>MAX(0.02,NORMINV(RAND(),$C$7,$D$7))</f>
        <v/>
      </c>
      <c r="M346" s="25">
        <f>MIN(0.16,MAX(0.05,NORMINV(RAND(),$C$8,$D$8)))</f>
        <v/>
      </c>
      <c r="N346" s="26">
        <f>MIN(24,MAX(5,NORMINV(RAND(),$C$9,$D$9)))</f>
        <v/>
      </c>
      <c r="O346" s="49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25">
        <f>MAX(-0.05,NORMINV(RAND(),$C$6,$D$6))</f>
        <v/>
      </c>
      <c r="L347" s="25">
        <f>MAX(0.02,NORMINV(RAND(),$C$7,$D$7))</f>
        <v/>
      </c>
      <c r="M347" s="25">
        <f>MIN(0.16,MAX(0.05,NORMINV(RAND(),$C$8,$D$8)))</f>
        <v/>
      </c>
      <c r="N347" s="26">
        <f>MIN(24,MAX(5,NORMINV(RAND(),$C$9,$D$9)))</f>
        <v/>
      </c>
      <c r="O347" s="49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25">
        <f>MAX(-0.05,NORMINV(RAND(),$C$6,$D$6))</f>
        <v/>
      </c>
      <c r="L348" s="25">
        <f>MAX(0.02,NORMINV(RAND(),$C$7,$D$7))</f>
        <v/>
      </c>
      <c r="M348" s="25">
        <f>MIN(0.16,MAX(0.05,NORMINV(RAND(),$C$8,$D$8)))</f>
        <v/>
      </c>
      <c r="N348" s="26">
        <f>MIN(24,MAX(5,NORMINV(RAND(),$C$9,$D$9)))</f>
        <v/>
      </c>
      <c r="O348" s="49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25">
        <f>MAX(-0.05,NORMINV(RAND(),$C$6,$D$6))</f>
        <v/>
      </c>
      <c r="L349" s="25">
        <f>MAX(0.02,NORMINV(RAND(),$C$7,$D$7))</f>
        <v/>
      </c>
      <c r="M349" s="25">
        <f>MIN(0.16,MAX(0.05,NORMINV(RAND(),$C$8,$D$8)))</f>
        <v/>
      </c>
      <c r="N349" s="26">
        <f>MIN(24,MAX(5,NORMINV(RAND(),$C$9,$D$9)))</f>
        <v/>
      </c>
      <c r="O349" s="49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25">
        <f>MAX(-0.05,NORMINV(RAND(),$C$6,$D$6))</f>
        <v/>
      </c>
      <c r="L350" s="25">
        <f>MAX(0.02,NORMINV(RAND(),$C$7,$D$7))</f>
        <v/>
      </c>
      <c r="M350" s="25">
        <f>MIN(0.16,MAX(0.05,NORMINV(RAND(),$C$8,$D$8)))</f>
        <v/>
      </c>
      <c r="N350" s="26">
        <f>MIN(24,MAX(5,NORMINV(RAND(),$C$9,$D$9)))</f>
        <v/>
      </c>
      <c r="O350" s="49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25">
        <f>MAX(-0.05,NORMINV(RAND(),$C$6,$D$6))</f>
        <v/>
      </c>
      <c r="L351" s="25">
        <f>MAX(0.02,NORMINV(RAND(),$C$7,$D$7))</f>
        <v/>
      </c>
      <c r="M351" s="25">
        <f>MIN(0.16,MAX(0.05,NORMINV(RAND(),$C$8,$D$8)))</f>
        <v/>
      </c>
      <c r="N351" s="26">
        <f>MIN(24,MAX(5,NORMINV(RAND(),$C$9,$D$9)))</f>
        <v/>
      </c>
      <c r="O351" s="49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25">
        <f>MAX(-0.05,NORMINV(RAND(),$C$6,$D$6))</f>
        <v/>
      </c>
      <c r="L352" s="25">
        <f>MAX(0.02,NORMINV(RAND(),$C$7,$D$7))</f>
        <v/>
      </c>
      <c r="M352" s="25">
        <f>MIN(0.16,MAX(0.05,NORMINV(RAND(),$C$8,$D$8)))</f>
        <v/>
      </c>
      <c r="N352" s="26">
        <f>MIN(24,MAX(5,NORMINV(RAND(),$C$9,$D$9)))</f>
        <v/>
      </c>
      <c r="O352" s="49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25">
        <f>MAX(-0.05,NORMINV(RAND(),$C$6,$D$6))</f>
        <v/>
      </c>
      <c r="L353" s="25">
        <f>MAX(0.02,NORMINV(RAND(),$C$7,$D$7))</f>
        <v/>
      </c>
      <c r="M353" s="25">
        <f>MIN(0.16,MAX(0.05,NORMINV(RAND(),$C$8,$D$8)))</f>
        <v/>
      </c>
      <c r="N353" s="26">
        <f>MIN(24,MAX(5,NORMINV(RAND(),$C$9,$D$9)))</f>
        <v/>
      </c>
      <c r="O353" s="49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25">
        <f>MAX(-0.05,NORMINV(RAND(),$C$6,$D$6))</f>
        <v/>
      </c>
      <c r="L354" s="25">
        <f>MAX(0.02,NORMINV(RAND(),$C$7,$D$7))</f>
        <v/>
      </c>
      <c r="M354" s="25">
        <f>MIN(0.16,MAX(0.05,NORMINV(RAND(),$C$8,$D$8)))</f>
        <v/>
      </c>
      <c r="N354" s="26">
        <f>MIN(24,MAX(5,NORMINV(RAND(),$C$9,$D$9)))</f>
        <v/>
      </c>
      <c r="O354" s="49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25">
        <f>MAX(-0.05,NORMINV(RAND(),$C$6,$D$6))</f>
        <v/>
      </c>
      <c r="L355" s="25">
        <f>MAX(0.02,NORMINV(RAND(),$C$7,$D$7))</f>
        <v/>
      </c>
      <c r="M355" s="25">
        <f>MIN(0.16,MAX(0.05,NORMINV(RAND(),$C$8,$D$8)))</f>
        <v/>
      </c>
      <c r="N355" s="26">
        <f>MIN(24,MAX(5,NORMINV(RAND(),$C$9,$D$9)))</f>
        <v/>
      </c>
      <c r="O355" s="49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25">
        <f>MAX(-0.05,NORMINV(RAND(),$C$6,$D$6))</f>
        <v/>
      </c>
      <c r="L356" s="25">
        <f>MAX(0.02,NORMINV(RAND(),$C$7,$D$7))</f>
        <v/>
      </c>
      <c r="M356" s="25">
        <f>MIN(0.16,MAX(0.05,NORMINV(RAND(),$C$8,$D$8)))</f>
        <v/>
      </c>
      <c r="N356" s="26">
        <f>MIN(24,MAX(5,NORMINV(RAND(),$C$9,$D$9)))</f>
        <v/>
      </c>
      <c r="O356" s="49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25">
        <f>MAX(-0.05,NORMINV(RAND(),$C$6,$D$6))</f>
        <v/>
      </c>
      <c r="L357" s="25">
        <f>MAX(0.02,NORMINV(RAND(),$C$7,$D$7))</f>
        <v/>
      </c>
      <c r="M357" s="25">
        <f>MIN(0.16,MAX(0.05,NORMINV(RAND(),$C$8,$D$8)))</f>
        <v/>
      </c>
      <c r="N357" s="26">
        <f>MIN(24,MAX(5,NORMINV(RAND(),$C$9,$D$9)))</f>
        <v/>
      </c>
      <c r="O357" s="49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25">
        <f>MAX(-0.05,NORMINV(RAND(),$C$6,$D$6))</f>
        <v/>
      </c>
      <c r="L358" s="25">
        <f>MAX(0.02,NORMINV(RAND(),$C$7,$D$7))</f>
        <v/>
      </c>
      <c r="M358" s="25">
        <f>MIN(0.16,MAX(0.05,NORMINV(RAND(),$C$8,$D$8)))</f>
        <v/>
      </c>
      <c r="N358" s="26">
        <f>MIN(24,MAX(5,NORMINV(RAND(),$C$9,$D$9)))</f>
        <v/>
      </c>
      <c r="O358" s="49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25">
        <f>MAX(-0.05,NORMINV(RAND(),$C$6,$D$6))</f>
        <v/>
      </c>
      <c r="L359" s="25">
        <f>MAX(0.02,NORMINV(RAND(),$C$7,$D$7))</f>
        <v/>
      </c>
      <c r="M359" s="25">
        <f>MIN(0.16,MAX(0.05,NORMINV(RAND(),$C$8,$D$8)))</f>
        <v/>
      </c>
      <c r="N359" s="26">
        <f>MIN(24,MAX(5,NORMINV(RAND(),$C$9,$D$9)))</f>
        <v/>
      </c>
      <c r="O359" s="49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25">
        <f>MAX(-0.05,NORMINV(RAND(),$C$6,$D$6))</f>
        <v/>
      </c>
      <c r="L360" s="25">
        <f>MAX(0.02,NORMINV(RAND(),$C$7,$D$7))</f>
        <v/>
      </c>
      <c r="M360" s="25">
        <f>MIN(0.16,MAX(0.05,NORMINV(RAND(),$C$8,$D$8)))</f>
        <v/>
      </c>
      <c r="N360" s="26">
        <f>MIN(24,MAX(5,NORMINV(RAND(),$C$9,$D$9)))</f>
        <v/>
      </c>
      <c r="O360" s="49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25">
        <f>MAX(-0.05,NORMINV(RAND(),$C$6,$D$6))</f>
        <v/>
      </c>
      <c r="L361" s="25">
        <f>MAX(0.02,NORMINV(RAND(),$C$7,$D$7))</f>
        <v/>
      </c>
      <c r="M361" s="25">
        <f>MIN(0.16,MAX(0.05,NORMINV(RAND(),$C$8,$D$8)))</f>
        <v/>
      </c>
      <c r="N361" s="26">
        <f>MIN(24,MAX(5,NORMINV(RAND(),$C$9,$D$9)))</f>
        <v/>
      </c>
      <c r="O361" s="49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25">
        <f>MAX(-0.05,NORMINV(RAND(),$C$6,$D$6))</f>
        <v/>
      </c>
      <c r="L362" s="25">
        <f>MAX(0.02,NORMINV(RAND(),$C$7,$D$7))</f>
        <v/>
      </c>
      <c r="M362" s="25">
        <f>MIN(0.16,MAX(0.05,NORMINV(RAND(),$C$8,$D$8)))</f>
        <v/>
      </c>
      <c r="N362" s="26">
        <f>MIN(24,MAX(5,NORMINV(RAND(),$C$9,$D$9)))</f>
        <v/>
      </c>
      <c r="O362" s="49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25">
        <f>MAX(-0.05,NORMINV(RAND(),$C$6,$D$6))</f>
        <v/>
      </c>
      <c r="L363" s="25">
        <f>MAX(0.02,NORMINV(RAND(),$C$7,$D$7))</f>
        <v/>
      </c>
      <c r="M363" s="25">
        <f>MIN(0.16,MAX(0.05,NORMINV(RAND(),$C$8,$D$8)))</f>
        <v/>
      </c>
      <c r="N363" s="26">
        <f>MIN(24,MAX(5,NORMINV(RAND(),$C$9,$D$9)))</f>
        <v/>
      </c>
      <c r="O363" s="49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25">
        <f>MAX(-0.05,NORMINV(RAND(),$C$6,$D$6))</f>
        <v/>
      </c>
      <c r="L364" s="25">
        <f>MAX(0.02,NORMINV(RAND(),$C$7,$D$7))</f>
        <v/>
      </c>
      <c r="M364" s="25">
        <f>MIN(0.16,MAX(0.05,NORMINV(RAND(),$C$8,$D$8)))</f>
        <v/>
      </c>
      <c r="N364" s="26">
        <f>MIN(24,MAX(5,NORMINV(RAND(),$C$9,$D$9)))</f>
        <v/>
      </c>
      <c r="O364" s="49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25">
        <f>MAX(-0.05,NORMINV(RAND(),$C$6,$D$6))</f>
        <v/>
      </c>
      <c r="L365" s="25">
        <f>MAX(0.02,NORMINV(RAND(),$C$7,$D$7))</f>
        <v/>
      </c>
      <c r="M365" s="25">
        <f>MIN(0.16,MAX(0.05,NORMINV(RAND(),$C$8,$D$8)))</f>
        <v/>
      </c>
      <c r="N365" s="26">
        <f>MIN(24,MAX(5,NORMINV(RAND(),$C$9,$D$9)))</f>
        <v/>
      </c>
      <c r="O365" s="49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25">
        <f>MAX(-0.05,NORMINV(RAND(),$C$6,$D$6))</f>
        <v/>
      </c>
      <c r="L366" s="25">
        <f>MAX(0.02,NORMINV(RAND(),$C$7,$D$7))</f>
        <v/>
      </c>
      <c r="M366" s="25">
        <f>MIN(0.16,MAX(0.05,NORMINV(RAND(),$C$8,$D$8)))</f>
        <v/>
      </c>
      <c r="N366" s="26">
        <f>MIN(24,MAX(5,NORMINV(RAND(),$C$9,$D$9)))</f>
        <v/>
      </c>
      <c r="O366" s="49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25">
        <f>MAX(-0.05,NORMINV(RAND(),$C$6,$D$6))</f>
        <v/>
      </c>
      <c r="L367" s="25">
        <f>MAX(0.02,NORMINV(RAND(),$C$7,$D$7))</f>
        <v/>
      </c>
      <c r="M367" s="25">
        <f>MIN(0.16,MAX(0.05,NORMINV(RAND(),$C$8,$D$8)))</f>
        <v/>
      </c>
      <c r="N367" s="26">
        <f>MIN(24,MAX(5,NORMINV(RAND(),$C$9,$D$9)))</f>
        <v/>
      </c>
      <c r="O367" s="49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25">
        <f>MAX(-0.05,NORMINV(RAND(),$C$6,$D$6))</f>
        <v/>
      </c>
      <c r="L368" s="25">
        <f>MAX(0.02,NORMINV(RAND(),$C$7,$D$7))</f>
        <v/>
      </c>
      <c r="M368" s="25">
        <f>MIN(0.16,MAX(0.05,NORMINV(RAND(),$C$8,$D$8)))</f>
        <v/>
      </c>
      <c r="N368" s="26">
        <f>MIN(24,MAX(5,NORMINV(RAND(),$C$9,$D$9)))</f>
        <v/>
      </c>
      <c r="O368" s="49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25">
        <f>MAX(-0.05,NORMINV(RAND(),$C$6,$D$6))</f>
        <v/>
      </c>
      <c r="L369" s="25">
        <f>MAX(0.02,NORMINV(RAND(),$C$7,$D$7))</f>
        <v/>
      </c>
      <c r="M369" s="25">
        <f>MIN(0.16,MAX(0.05,NORMINV(RAND(),$C$8,$D$8)))</f>
        <v/>
      </c>
      <c r="N369" s="26">
        <f>MIN(24,MAX(5,NORMINV(RAND(),$C$9,$D$9)))</f>
        <v/>
      </c>
      <c r="O369" s="49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25">
        <f>MAX(-0.05,NORMINV(RAND(),$C$6,$D$6))</f>
        <v/>
      </c>
      <c r="L370" s="25">
        <f>MAX(0.02,NORMINV(RAND(),$C$7,$D$7))</f>
        <v/>
      </c>
      <c r="M370" s="25">
        <f>MIN(0.16,MAX(0.05,NORMINV(RAND(),$C$8,$D$8)))</f>
        <v/>
      </c>
      <c r="N370" s="26">
        <f>MIN(24,MAX(5,NORMINV(RAND(),$C$9,$D$9)))</f>
        <v/>
      </c>
      <c r="O370" s="49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25">
        <f>MAX(-0.05,NORMINV(RAND(),$C$6,$D$6))</f>
        <v/>
      </c>
      <c r="L371" s="25">
        <f>MAX(0.02,NORMINV(RAND(),$C$7,$D$7))</f>
        <v/>
      </c>
      <c r="M371" s="25">
        <f>MIN(0.16,MAX(0.05,NORMINV(RAND(),$C$8,$D$8)))</f>
        <v/>
      </c>
      <c r="N371" s="26">
        <f>MIN(24,MAX(5,NORMINV(RAND(),$C$9,$D$9)))</f>
        <v/>
      </c>
      <c r="O371" s="49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25">
        <f>MAX(-0.05,NORMINV(RAND(),$C$6,$D$6))</f>
        <v/>
      </c>
      <c r="L372" s="25">
        <f>MAX(0.02,NORMINV(RAND(),$C$7,$D$7))</f>
        <v/>
      </c>
      <c r="M372" s="25">
        <f>MIN(0.16,MAX(0.05,NORMINV(RAND(),$C$8,$D$8)))</f>
        <v/>
      </c>
      <c r="N372" s="26">
        <f>MIN(24,MAX(5,NORMINV(RAND(),$C$9,$D$9)))</f>
        <v/>
      </c>
      <c r="O372" s="49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25">
        <f>MAX(-0.05,NORMINV(RAND(),$C$6,$D$6))</f>
        <v/>
      </c>
      <c r="L373" s="25">
        <f>MAX(0.02,NORMINV(RAND(),$C$7,$D$7))</f>
        <v/>
      </c>
      <c r="M373" s="25">
        <f>MIN(0.16,MAX(0.05,NORMINV(RAND(),$C$8,$D$8)))</f>
        <v/>
      </c>
      <c r="N373" s="26">
        <f>MIN(24,MAX(5,NORMINV(RAND(),$C$9,$D$9)))</f>
        <v/>
      </c>
      <c r="O373" s="49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25">
        <f>MAX(-0.05,NORMINV(RAND(),$C$6,$D$6))</f>
        <v/>
      </c>
      <c r="L374" s="25">
        <f>MAX(0.02,NORMINV(RAND(),$C$7,$D$7))</f>
        <v/>
      </c>
      <c r="M374" s="25">
        <f>MIN(0.16,MAX(0.05,NORMINV(RAND(),$C$8,$D$8)))</f>
        <v/>
      </c>
      <c r="N374" s="26">
        <f>MIN(24,MAX(5,NORMINV(RAND(),$C$9,$D$9)))</f>
        <v/>
      </c>
      <c r="O374" s="49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25">
        <f>MAX(-0.05,NORMINV(RAND(),$C$6,$D$6))</f>
        <v/>
      </c>
      <c r="L375" s="25">
        <f>MAX(0.02,NORMINV(RAND(),$C$7,$D$7))</f>
        <v/>
      </c>
      <c r="M375" s="25">
        <f>MIN(0.16,MAX(0.05,NORMINV(RAND(),$C$8,$D$8)))</f>
        <v/>
      </c>
      <c r="N375" s="26">
        <f>MIN(24,MAX(5,NORMINV(RAND(),$C$9,$D$9)))</f>
        <v/>
      </c>
      <c r="O375" s="49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25">
        <f>MAX(-0.05,NORMINV(RAND(),$C$6,$D$6))</f>
        <v/>
      </c>
      <c r="L376" s="25">
        <f>MAX(0.02,NORMINV(RAND(),$C$7,$D$7))</f>
        <v/>
      </c>
      <c r="M376" s="25">
        <f>MIN(0.16,MAX(0.05,NORMINV(RAND(),$C$8,$D$8)))</f>
        <v/>
      </c>
      <c r="N376" s="26">
        <f>MIN(24,MAX(5,NORMINV(RAND(),$C$9,$D$9)))</f>
        <v/>
      </c>
      <c r="O376" s="49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25">
        <f>MAX(-0.05,NORMINV(RAND(),$C$6,$D$6))</f>
        <v/>
      </c>
      <c r="L377" s="25">
        <f>MAX(0.02,NORMINV(RAND(),$C$7,$D$7))</f>
        <v/>
      </c>
      <c r="M377" s="25">
        <f>MIN(0.16,MAX(0.05,NORMINV(RAND(),$C$8,$D$8)))</f>
        <v/>
      </c>
      <c r="N377" s="26">
        <f>MIN(24,MAX(5,NORMINV(RAND(),$C$9,$D$9)))</f>
        <v/>
      </c>
      <c r="O377" s="49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25">
        <f>MAX(-0.05,NORMINV(RAND(),$C$6,$D$6))</f>
        <v/>
      </c>
      <c r="L378" s="25">
        <f>MAX(0.02,NORMINV(RAND(),$C$7,$D$7))</f>
        <v/>
      </c>
      <c r="M378" s="25">
        <f>MIN(0.16,MAX(0.05,NORMINV(RAND(),$C$8,$D$8)))</f>
        <v/>
      </c>
      <c r="N378" s="26">
        <f>MIN(24,MAX(5,NORMINV(RAND(),$C$9,$D$9)))</f>
        <v/>
      </c>
      <c r="O378" s="49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25">
        <f>MAX(-0.05,NORMINV(RAND(),$C$6,$D$6))</f>
        <v/>
      </c>
      <c r="L379" s="25">
        <f>MAX(0.02,NORMINV(RAND(),$C$7,$D$7))</f>
        <v/>
      </c>
      <c r="M379" s="25">
        <f>MIN(0.16,MAX(0.05,NORMINV(RAND(),$C$8,$D$8)))</f>
        <v/>
      </c>
      <c r="N379" s="26">
        <f>MIN(24,MAX(5,NORMINV(RAND(),$C$9,$D$9)))</f>
        <v/>
      </c>
      <c r="O379" s="49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25">
        <f>MAX(-0.05,NORMINV(RAND(),$C$6,$D$6))</f>
        <v/>
      </c>
      <c r="L380" s="25">
        <f>MAX(0.02,NORMINV(RAND(),$C$7,$D$7))</f>
        <v/>
      </c>
      <c r="M380" s="25">
        <f>MIN(0.16,MAX(0.05,NORMINV(RAND(),$C$8,$D$8)))</f>
        <v/>
      </c>
      <c r="N380" s="26">
        <f>MIN(24,MAX(5,NORMINV(RAND(),$C$9,$D$9)))</f>
        <v/>
      </c>
      <c r="O380" s="49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25">
        <f>MAX(-0.05,NORMINV(RAND(),$C$6,$D$6))</f>
        <v/>
      </c>
      <c r="L381" s="25">
        <f>MAX(0.02,NORMINV(RAND(),$C$7,$D$7))</f>
        <v/>
      </c>
      <c r="M381" s="25">
        <f>MIN(0.16,MAX(0.05,NORMINV(RAND(),$C$8,$D$8)))</f>
        <v/>
      </c>
      <c r="N381" s="26">
        <f>MIN(24,MAX(5,NORMINV(RAND(),$C$9,$D$9)))</f>
        <v/>
      </c>
      <c r="O381" s="49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25">
        <f>MAX(-0.05,NORMINV(RAND(),$C$6,$D$6))</f>
        <v/>
      </c>
      <c r="L382" s="25">
        <f>MAX(0.02,NORMINV(RAND(),$C$7,$D$7))</f>
        <v/>
      </c>
      <c r="M382" s="25">
        <f>MIN(0.16,MAX(0.05,NORMINV(RAND(),$C$8,$D$8)))</f>
        <v/>
      </c>
      <c r="N382" s="26">
        <f>MIN(24,MAX(5,NORMINV(RAND(),$C$9,$D$9)))</f>
        <v/>
      </c>
      <c r="O382" s="49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25">
        <f>MAX(-0.05,NORMINV(RAND(),$C$6,$D$6))</f>
        <v/>
      </c>
      <c r="L383" s="25">
        <f>MAX(0.02,NORMINV(RAND(),$C$7,$D$7))</f>
        <v/>
      </c>
      <c r="M383" s="25">
        <f>MIN(0.16,MAX(0.05,NORMINV(RAND(),$C$8,$D$8)))</f>
        <v/>
      </c>
      <c r="N383" s="26">
        <f>MIN(24,MAX(5,NORMINV(RAND(),$C$9,$D$9)))</f>
        <v/>
      </c>
      <c r="O383" s="49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25">
        <f>MAX(-0.05,NORMINV(RAND(),$C$6,$D$6))</f>
        <v/>
      </c>
      <c r="L384" s="25">
        <f>MAX(0.02,NORMINV(RAND(),$C$7,$D$7))</f>
        <v/>
      </c>
      <c r="M384" s="25">
        <f>MIN(0.16,MAX(0.05,NORMINV(RAND(),$C$8,$D$8)))</f>
        <v/>
      </c>
      <c r="N384" s="26">
        <f>MIN(24,MAX(5,NORMINV(RAND(),$C$9,$D$9)))</f>
        <v/>
      </c>
      <c r="O384" s="49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25">
        <f>MAX(-0.05,NORMINV(RAND(),$C$6,$D$6))</f>
        <v/>
      </c>
      <c r="L385" s="25">
        <f>MAX(0.02,NORMINV(RAND(),$C$7,$D$7))</f>
        <v/>
      </c>
      <c r="M385" s="25">
        <f>MIN(0.16,MAX(0.05,NORMINV(RAND(),$C$8,$D$8)))</f>
        <v/>
      </c>
      <c r="N385" s="26">
        <f>MIN(24,MAX(5,NORMINV(RAND(),$C$9,$D$9)))</f>
        <v/>
      </c>
      <c r="O385" s="49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25">
        <f>MAX(-0.05,NORMINV(RAND(),$C$6,$D$6))</f>
        <v/>
      </c>
      <c r="L386" s="25">
        <f>MAX(0.02,NORMINV(RAND(),$C$7,$D$7))</f>
        <v/>
      </c>
      <c r="M386" s="25">
        <f>MIN(0.16,MAX(0.05,NORMINV(RAND(),$C$8,$D$8)))</f>
        <v/>
      </c>
      <c r="N386" s="26">
        <f>MIN(24,MAX(5,NORMINV(RAND(),$C$9,$D$9)))</f>
        <v/>
      </c>
      <c r="O386" s="49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25">
        <f>MAX(-0.05,NORMINV(RAND(),$C$6,$D$6))</f>
        <v/>
      </c>
      <c r="L387" s="25">
        <f>MAX(0.02,NORMINV(RAND(),$C$7,$D$7))</f>
        <v/>
      </c>
      <c r="M387" s="25">
        <f>MIN(0.16,MAX(0.05,NORMINV(RAND(),$C$8,$D$8)))</f>
        <v/>
      </c>
      <c r="N387" s="26">
        <f>MIN(24,MAX(5,NORMINV(RAND(),$C$9,$D$9)))</f>
        <v/>
      </c>
      <c r="O387" s="49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25">
        <f>MAX(-0.05,NORMINV(RAND(),$C$6,$D$6))</f>
        <v/>
      </c>
      <c r="L388" s="25">
        <f>MAX(0.02,NORMINV(RAND(),$C$7,$D$7))</f>
        <v/>
      </c>
      <c r="M388" s="25">
        <f>MIN(0.16,MAX(0.05,NORMINV(RAND(),$C$8,$D$8)))</f>
        <v/>
      </c>
      <c r="N388" s="26">
        <f>MIN(24,MAX(5,NORMINV(RAND(),$C$9,$D$9)))</f>
        <v/>
      </c>
      <c r="O388" s="49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25">
        <f>MAX(-0.05,NORMINV(RAND(),$C$6,$D$6))</f>
        <v/>
      </c>
      <c r="L389" s="25">
        <f>MAX(0.02,NORMINV(RAND(),$C$7,$D$7))</f>
        <v/>
      </c>
      <c r="M389" s="25">
        <f>MIN(0.16,MAX(0.05,NORMINV(RAND(),$C$8,$D$8)))</f>
        <v/>
      </c>
      <c r="N389" s="26">
        <f>MIN(24,MAX(5,NORMINV(RAND(),$C$9,$D$9)))</f>
        <v/>
      </c>
      <c r="O389" s="49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25">
        <f>MAX(-0.05,NORMINV(RAND(),$C$6,$D$6))</f>
        <v/>
      </c>
      <c r="L390" s="25">
        <f>MAX(0.02,NORMINV(RAND(),$C$7,$D$7))</f>
        <v/>
      </c>
      <c r="M390" s="25">
        <f>MIN(0.16,MAX(0.05,NORMINV(RAND(),$C$8,$D$8)))</f>
        <v/>
      </c>
      <c r="N390" s="26">
        <f>MIN(24,MAX(5,NORMINV(RAND(),$C$9,$D$9)))</f>
        <v/>
      </c>
      <c r="O390" s="49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25">
        <f>MAX(-0.05,NORMINV(RAND(),$C$6,$D$6))</f>
        <v/>
      </c>
      <c r="L391" s="25">
        <f>MAX(0.02,NORMINV(RAND(),$C$7,$D$7))</f>
        <v/>
      </c>
      <c r="M391" s="25">
        <f>MIN(0.16,MAX(0.05,NORMINV(RAND(),$C$8,$D$8)))</f>
        <v/>
      </c>
      <c r="N391" s="26">
        <f>MIN(24,MAX(5,NORMINV(RAND(),$C$9,$D$9)))</f>
        <v/>
      </c>
      <c r="O391" s="49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25">
        <f>MAX(-0.05,NORMINV(RAND(),$C$6,$D$6))</f>
        <v/>
      </c>
      <c r="L392" s="25">
        <f>MAX(0.02,NORMINV(RAND(),$C$7,$D$7))</f>
        <v/>
      </c>
      <c r="M392" s="25">
        <f>MIN(0.16,MAX(0.05,NORMINV(RAND(),$C$8,$D$8)))</f>
        <v/>
      </c>
      <c r="N392" s="26">
        <f>MIN(24,MAX(5,NORMINV(RAND(),$C$9,$D$9)))</f>
        <v/>
      </c>
      <c r="O392" s="49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25">
        <f>MAX(-0.05,NORMINV(RAND(),$C$6,$D$6))</f>
        <v/>
      </c>
      <c r="L393" s="25">
        <f>MAX(0.02,NORMINV(RAND(),$C$7,$D$7))</f>
        <v/>
      </c>
      <c r="M393" s="25">
        <f>MIN(0.16,MAX(0.05,NORMINV(RAND(),$C$8,$D$8)))</f>
        <v/>
      </c>
      <c r="N393" s="26">
        <f>MIN(24,MAX(5,NORMINV(RAND(),$C$9,$D$9)))</f>
        <v/>
      </c>
      <c r="O393" s="49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25">
        <f>MAX(-0.05,NORMINV(RAND(),$C$6,$D$6))</f>
        <v/>
      </c>
      <c r="L394" s="25">
        <f>MAX(0.02,NORMINV(RAND(),$C$7,$D$7))</f>
        <v/>
      </c>
      <c r="M394" s="25">
        <f>MIN(0.16,MAX(0.05,NORMINV(RAND(),$C$8,$D$8)))</f>
        <v/>
      </c>
      <c r="N394" s="26">
        <f>MIN(24,MAX(5,NORMINV(RAND(),$C$9,$D$9)))</f>
        <v/>
      </c>
      <c r="O394" s="49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25">
        <f>MAX(-0.05,NORMINV(RAND(),$C$6,$D$6))</f>
        <v/>
      </c>
      <c r="L395" s="25">
        <f>MAX(0.02,NORMINV(RAND(),$C$7,$D$7))</f>
        <v/>
      </c>
      <c r="M395" s="25">
        <f>MIN(0.16,MAX(0.05,NORMINV(RAND(),$C$8,$D$8)))</f>
        <v/>
      </c>
      <c r="N395" s="26">
        <f>MIN(24,MAX(5,NORMINV(RAND(),$C$9,$D$9)))</f>
        <v/>
      </c>
      <c r="O395" s="49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25">
        <f>MAX(-0.05,NORMINV(RAND(),$C$6,$D$6))</f>
        <v/>
      </c>
      <c r="L396" s="25">
        <f>MAX(0.02,NORMINV(RAND(),$C$7,$D$7))</f>
        <v/>
      </c>
      <c r="M396" s="25">
        <f>MIN(0.16,MAX(0.05,NORMINV(RAND(),$C$8,$D$8)))</f>
        <v/>
      </c>
      <c r="N396" s="26">
        <f>MIN(24,MAX(5,NORMINV(RAND(),$C$9,$D$9)))</f>
        <v/>
      </c>
      <c r="O396" s="49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25">
        <f>MAX(-0.05,NORMINV(RAND(),$C$6,$D$6))</f>
        <v/>
      </c>
      <c r="L397" s="25">
        <f>MAX(0.02,NORMINV(RAND(),$C$7,$D$7))</f>
        <v/>
      </c>
      <c r="M397" s="25">
        <f>MIN(0.16,MAX(0.05,NORMINV(RAND(),$C$8,$D$8)))</f>
        <v/>
      </c>
      <c r="N397" s="26">
        <f>MIN(24,MAX(5,NORMINV(RAND(),$C$9,$D$9)))</f>
        <v/>
      </c>
      <c r="O397" s="49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25">
        <f>MAX(-0.05,NORMINV(RAND(),$C$6,$D$6))</f>
        <v/>
      </c>
      <c r="L398" s="25">
        <f>MAX(0.02,NORMINV(RAND(),$C$7,$D$7))</f>
        <v/>
      </c>
      <c r="M398" s="25">
        <f>MIN(0.16,MAX(0.05,NORMINV(RAND(),$C$8,$D$8)))</f>
        <v/>
      </c>
      <c r="N398" s="26">
        <f>MIN(24,MAX(5,NORMINV(RAND(),$C$9,$D$9)))</f>
        <v/>
      </c>
      <c r="O398" s="49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25">
        <f>MAX(-0.05,NORMINV(RAND(),$C$6,$D$6))</f>
        <v/>
      </c>
      <c r="L399" s="25">
        <f>MAX(0.02,NORMINV(RAND(),$C$7,$D$7))</f>
        <v/>
      </c>
      <c r="M399" s="25">
        <f>MIN(0.16,MAX(0.05,NORMINV(RAND(),$C$8,$D$8)))</f>
        <v/>
      </c>
      <c r="N399" s="26">
        <f>MIN(24,MAX(5,NORMINV(RAND(),$C$9,$D$9)))</f>
        <v/>
      </c>
      <c r="O399" s="49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25">
        <f>MAX(-0.05,NORMINV(RAND(),$C$6,$D$6))</f>
        <v/>
      </c>
      <c r="L400" s="25">
        <f>MAX(0.02,NORMINV(RAND(),$C$7,$D$7))</f>
        <v/>
      </c>
      <c r="M400" s="25">
        <f>MIN(0.16,MAX(0.05,NORMINV(RAND(),$C$8,$D$8)))</f>
        <v/>
      </c>
      <c r="N400" s="26">
        <f>MIN(24,MAX(5,NORMINV(RAND(),$C$9,$D$9)))</f>
        <v/>
      </c>
      <c r="O400" s="49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25">
        <f>MAX(-0.05,NORMINV(RAND(),$C$6,$D$6))</f>
        <v/>
      </c>
      <c r="L401" s="25">
        <f>MAX(0.02,NORMINV(RAND(),$C$7,$D$7))</f>
        <v/>
      </c>
      <c r="M401" s="25">
        <f>MIN(0.16,MAX(0.05,NORMINV(RAND(),$C$8,$D$8)))</f>
        <v/>
      </c>
      <c r="N401" s="26">
        <f>MIN(24,MAX(5,NORMINV(RAND(),$C$9,$D$9)))</f>
        <v/>
      </c>
      <c r="O401" s="49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25">
        <f>MAX(-0.05,NORMINV(RAND(),$C$6,$D$6))</f>
        <v/>
      </c>
      <c r="L402" s="25">
        <f>MAX(0.02,NORMINV(RAND(),$C$7,$D$7))</f>
        <v/>
      </c>
      <c r="M402" s="25">
        <f>MIN(0.16,MAX(0.05,NORMINV(RAND(),$C$8,$D$8)))</f>
        <v/>
      </c>
      <c r="N402" s="26">
        <f>MIN(24,MAX(5,NORMINV(RAND(),$C$9,$D$9)))</f>
        <v/>
      </c>
      <c r="O402" s="49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25">
        <f>MAX(-0.05,NORMINV(RAND(),$C$6,$D$6))</f>
        <v/>
      </c>
      <c r="L403" s="25">
        <f>MAX(0.02,NORMINV(RAND(),$C$7,$D$7))</f>
        <v/>
      </c>
      <c r="M403" s="25">
        <f>MIN(0.16,MAX(0.05,NORMINV(RAND(),$C$8,$D$8)))</f>
        <v/>
      </c>
      <c r="N403" s="26">
        <f>MIN(24,MAX(5,NORMINV(RAND(),$C$9,$D$9)))</f>
        <v/>
      </c>
      <c r="O403" s="49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25">
        <f>MAX(-0.05,NORMINV(RAND(),$C$6,$D$6))</f>
        <v/>
      </c>
      <c r="L404" s="25">
        <f>MAX(0.02,NORMINV(RAND(),$C$7,$D$7))</f>
        <v/>
      </c>
      <c r="M404" s="25">
        <f>MIN(0.16,MAX(0.05,NORMINV(RAND(),$C$8,$D$8)))</f>
        <v/>
      </c>
      <c r="N404" s="26">
        <f>MIN(24,MAX(5,NORMINV(RAND(),$C$9,$D$9)))</f>
        <v/>
      </c>
      <c r="O404" s="49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25">
        <f>MAX(-0.05,NORMINV(RAND(),$C$6,$D$6))</f>
        <v/>
      </c>
      <c r="L405" s="25">
        <f>MAX(0.02,NORMINV(RAND(),$C$7,$D$7))</f>
        <v/>
      </c>
      <c r="M405" s="25">
        <f>MIN(0.16,MAX(0.05,NORMINV(RAND(),$C$8,$D$8)))</f>
        <v/>
      </c>
      <c r="N405" s="26">
        <f>MIN(24,MAX(5,NORMINV(RAND(),$C$9,$D$9)))</f>
        <v/>
      </c>
      <c r="O405" s="49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25">
        <f>MAX(-0.05,NORMINV(RAND(),$C$6,$D$6))</f>
        <v/>
      </c>
      <c r="L406" s="25">
        <f>MAX(0.02,NORMINV(RAND(),$C$7,$D$7))</f>
        <v/>
      </c>
      <c r="M406" s="25">
        <f>MIN(0.16,MAX(0.05,NORMINV(RAND(),$C$8,$D$8)))</f>
        <v/>
      </c>
      <c r="N406" s="26">
        <f>MIN(24,MAX(5,NORMINV(RAND(),$C$9,$D$9)))</f>
        <v/>
      </c>
      <c r="O406" s="49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25">
        <f>MAX(-0.05,NORMINV(RAND(),$C$6,$D$6))</f>
        <v/>
      </c>
      <c r="L407" s="25">
        <f>MAX(0.02,NORMINV(RAND(),$C$7,$D$7))</f>
        <v/>
      </c>
      <c r="M407" s="25">
        <f>MIN(0.16,MAX(0.05,NORMINV(RAND(),$C$8,$D$8)))</f>
        <v/>
      </c>
      <c r="N407" s="26">
        <f>MIN(24,MAX(5,NORMINV(RAND(),$C$9,$D$9)))</f>
        <v/>
      </c>
      <c r="O407" s="49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25">
        <f>MAX(-0.05,NORMINV(RAND(),$C$6,$D$6))</f>
        <v/>
      </c>
      <c r="L408" s="25">
        <f>MAX(0.02,NORMINV(RAND(),$C$7,$D$7))</f>
        <v/>
      </c>
      <c r="M408" s="25">
        <f>MIN(0.16,MAX(0.05,NORMINV(RAND(),$C$8,$D$8)))</f>
        <v/>
      </c>
      <c r="N408" s="26">
        <f>MIN(24,MAX(5,NORMINV(RAND(),$C$9,$D$9)))</f>
        <v/>
      </c>
      <c r="O408" s="49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25">
        <f>MAX(-0.05,NORMINV(RAND(),$C$6,$D$6))</f>
        <v/>
      </c>
      <c r="L409" s="25">
        <f>MAX(0.02,NORMINV(RAND(),$C$7,$D$7))</f>
        <v/>
      </c>
      <c r="M409" s="25">
        <f>MIN(0.16,MAX(0.05,NORMINV(RAND(),$C$8,$D$8)))</f>
        <v/>
      </c>
      <c r="N409" s="26">
        <f>MIN(24,MAX(5,NORMINV(RAND(),$C$9,$D$9)))</f>
        <v/>
      </c>
      <c r="O409" s="49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25">
        <f>MAX(-0.05,NORMINV(RAND(),$C$6,$D$6))</f>
        <v/>
      </c>
      <c r="L410" s="25">
        <f>MAX(0.02,NORMINV(RAND(),$C$7,$D$7))</f>
        <v/>
      </c>
      <c r="M410" s="25">
        <f>MIN(0.16,MAX(0.05,NORMINV(RAND(),$C$8,$D$8)))</f>
        <v/>
      </c>
      <c r="N410" s="26">
        <f>MIN(24,MAX(5,NORMINV(RAND(),$C$9,$D$9)))</f>
        <v/>
      </c>
      <c r="O410" s="49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25">
        <f>MAX(-0.05,NORMINV(RAND(),$C$6,$D$6))</f>
        <v/>
      </c>
      <c r="L411" s="25">
        <f>MAX(0.02,NORMINV(RAND(),$C$7,$D$7))</f>
        <v/>
      </c>
      <c r="M411" s="25">
        <f>MIN(0.16,MAX(0.05,NORMINV(RAND(),$C$8,$D$8)))</f>
        <v/>
      </c>
      <c r="N411" s="26">
        <f>MIN(24,MAX(5,NORMINV(RAND(),$C$9,$D$9)))</f>
        <v/>
      </c>
      <c r="O411" s="49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25">
        <f>MAX(-0.05,NORMINV(RAND(),$C$6,$D$6))</f>
        <v/>
      </c>
      <c r="L412" s="25">
        <f>MAX(0.02,NORMINV(RAND(),$C$7,$D$7))</f>
        <v/>
      </c>
      <c r="M412" s="25">
        <f>MIN(0.16,MAX(0.05,NORMINV(RAND(),$C$8,$D$8)))</f>
        <v/>
      </c>
      <c r="N412" s="26">
        <f>MIN(24,MAX(5,NORMINV(RAND(),$C$9,$D$9)))</f>
        <v/>
      </c>
      <c r="O412" s="49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25">
        <f>MAX(-0.05,NORMINV(RAND(),$C$6,$D$6))</f>
        <v/>
      </c>
      <c r="L413" s="25">
        <f>MAX(0.02,NORMINV(RAND(),$C$7,$D$7))</f>
        <v/>
      </c>
      <c r="M413" s="25">
        <f>MIN(0.16,MAX(0.05,NORMINV(RAND(),$C$8,$D$8)))</f>
        <v/>
      </c>
      <c r="N413" s="26">
        <f>MIN(24,MAX(5,NORMINV(RAND(),$C$9,$D$9)))</f>
        <v/>
      </c>
      <c r="O413" s="49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25">
        <f>MAX(-0.05,NORMINV(RAND(),$C$6,$D$6))</f>
        <v/>
      </c>
      <c r="L414" s="25">
        <f>MAX(0.02,NORMINV(RAND(),$C$7,$D$7))</f>
        <v/>
      </c>
      <c r="M414" s="25">
        <f>MIN(0.16,MAX(0.05,NORMINV(RAND(),$C$8,$D$8)))</f>
        <v/>
      </c>
      <c r="N414" s="26">
        <f>MIN(24,MAX(5,NORMINV(RAND(),$C$9,$D$9)))</f>
        <v/>
      </c>
      <c r="O414" s="49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25">
        <f>MAX(-0.05,NORMINV(RAND(),$C$6,$D$6))</f>
        <v/>
      </c>
      <c r="L415" s="25">
        <f>MAX(0.02,NORMINV(RAND(),$C$7,$D$7))</f>
        <v/>
      </c>
      <c r="M415" s="25">
        <f>MIN(0.16,MAX(0.05,NORMINV(RAND(),$C$8,$D$8)))</f>
        <v/>
      </c>
      <c r="N415" s="26">
        <f>MIN(24,MAX(5,NORMINV(RAND(),$C$9,$D$9)))</f>
        <v/>
      </c>
      <c r="O415" s="49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25">
        <f>MAX(-0.05,NORMINV(RAND(),$C$6,$D$6))</f>
        <v/>
      </c>
      <c r="L416" s="25">
        <f>MAX(0.02,NORMINV(RAND(),$C$7,$D$7))</f>
        <v/>
      </c>
      <c r="M416" s="25">
        <f>MIN(0.16,MAX(0.05,NORMINV(RAND(),$C$8,$D$8)))</f>
        <v/>
      </c>
      <c r="N416" s="26">
        <f>MIN(24,MAX(5,NORMINV(RAND(),$C$9,$D$9)))</f>
        <v/>
      </c>
      <c r="O416" s="49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25">
        <f>MAX(-0.05,NORMINV(RAND(),$C$6,$D$6))</f>
        <v/>
      </c>
      <c r="L417" s="25">
        <f>MAX(0.02,NORMINV(RAND(),$C$7,$D$7))</f>
        <v/>
      </c>
      <c r="M417" s="25">
        <f>MIN(0.16,MAX(0.05,NORMINV(RAND(),$C$8,$D$8)))</f>
        <v/>
      </c>
      <c r="N417" s="26">
        <f>MIN(24,MAX(5,NORMINV(RAND(),$C$9,$D$9)))</f>
        <v/>
      </c>
      <c r="O417" s="49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25">
        <f>MAX(-0.05,NORMINV(RAND(),$C$6,$D$6))</f>
        <v/>
      </c>
      <c r="L418" s="25">
        <f>MAX(0.02,NORMINV(RAND(),$C$7,$D$7))</f>
        <v/>
      </c>
      <c r="M418" s="25">
        <f>MIN(0.16,MAX(0.05,NORMINV(RAND(),$C$8,$D$8)))</f>
        <v/>
      </c>
      <c r="N418" s="26">
        <f>MIN(24,MAX(5,NORMINV(RAND(),$C$9,$D$9)))</f>
        <v/>
      </c>
      <c r="O418" s="49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25">
        <f>MAX(-0.05,NORMINV(RAND(),$C$6,$D$6))</f>
        <v/>
      </c>
      <c r="L419" s="25">
        <f>MAX(0.02,NORMINV(RAND(),$C$7,$D$7))</f>
        <v/>
      </c>
      <c r="M419" s="25">
        <f>MIN(0.16,MAX(0.05,NORMINV(RAND(),$C$8,$D$8)))</f>
        <v/>
      </c>
      <c r="N419" s="26">
        <f>MIN(24,MAX(5,NORMINV(RAND(),$C$9,$D$9)))</f>
        <v/>
      </c>
      <c r="O419" s="49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25">
        <f>MAX(-0.05,NORMINV(RAND(),$C$6,$D$6))</f>
        <v/>
      </c>
      <c r="L420" s="25">
        <f>MAX(0.02,NORMINV(RAND(),$C$7,$D$7))</f>
        <v/>
      </c>
      <c r="M420" s="25">
        <f>MIN(0.16,MAX(0.05,NORMINV(RAND(),$C$8,$D$8)))</f>
        <v/>
      </c>
      <c r="N420" s="26">
        <f>MIN(24,MAX(5,NORMINV(RAND(),$C$9,$D$9)))</f>
        <v/>
      </c>
      <c r="O420" s="49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25">
        <f>MAX(-0.05,NORMINV(RAND(),$C$6,$D$6))</f>
        <v/>
      </c>
      <c r="L421" s="25">
        <f>MAX(0.02,NORMINV(RAND(),$C$7,$D$7))</f>
        <v/>
      </c>
      <c r="M421" s="25">
        <f>MIN(0.16,MAX(0.05,NORMINV(RAND(),$C$8,$D$8)))</f>
        <v/>
      </c>
      <c r="N421" s="26">
        <f>MIN(24,MAX(5,NORMINV(RAND(),$C$9,$D$9)))</f>
        <v/>
      </c>
      <c r="O421" s="49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25">
        <f>MAX(-0.05,NORMINV(RAND(),$C$6,$D$6))</f>
        <v/>
      </c>
      <c r="L422" s="25">
        <f>MAX(0.02,NORMINV(RAND(),$C$7,$D$7))</f>
        <v/>
      </c>
      <c r="M422" s="25">
        <f>MIN(0.16,MAX(0.05,NORMINV(RAND(),$C$8,$D$8)))</f>
        <v/>
      </c>
      <c r="N422" s="26">
        <f>MIN(24,MAX(5,NORMINV(RAND(),$C$9,$D$9)))</f>
        <v/>
      </c>
      <c r="O422" s="49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25">
        <f>MAX(-0.05,NORMINV(RAND(),$C$6,$D$6))</f>
        <v/>
      </c>
      <c r="L423" s="25">
        <f>MAX(0.02,NORMINV(RAND(),$C$7,$D$7))</f>
        <v/>
      </c>
      <c r="M423" s="25">
        <f>MIN(0.16,MAX(0.05,NORMINV(RAND(),$C$8,$D$8)))</f>
        <v/>
      </c>
      <c r="N423" s="26">
        <f>MIN(24,MAX(5,NORMINV(RAND(),$C$9,$D$9)))</f>
        <v/>
      </c>
      <c r="O423" s="49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25">
        <f>MAX(-0.05,NORMINV(RAND(),$C$6,$D$6))</f>
        <v/>
      </c>
      <c r="L424" s="25">
        <f>MAX(0.02,NORMINV(RAND(),$C$7,$D$7))</f>
        <v/>
      </c>
      <c r="M424" s="25">
        <f>MIN(0.16,MAX(0.05,NORMINV(RAND(),$C$8,$D$8)))</f>
        <v/>
      </c>
      <c r="N424" s="26">
        <f>MIN(24,MAX(5,NORMINV(RAND(),$C$9,$D$9)))</f>
        <v/>
      </c>
      <c r="O424" s="49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25">
        <f>MAX(-0.05,NORMINV(RAND(),$C$6,$D$6))</f>
        <v/>
      </c>
      <c r="L425" s="25">
        <f>MAX(0.02,NORMINV(RAND(),$C$7,$D$7))</f>
        <v/>
      </c>
      <c r="M425" s="25">
        <f>MIN(0.16,MAX(0.05,NORMINV(RAND(),$C$8,$D$8)))</f>
        <v/>
      </c>
      <c r="N425" s="26">
        <f>MIN(24,MAX(5,NORMINV(RAND(),$C$9,$D$9)))</f>
        <v/>
      </c>
      <c r="O425" s="49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25">
        <f>MAX(-0.05,NORMINV(RAND(),$C$6,$D$6))</f>
        <v/>
      </c>
      <c r="L426" s="25">
        <f>MAX(0.02,NORMINV(RAND(),$C$7,$D$7))</f>
        <v/>
      </c>
      <c r="M426" s="25">
        <f>MIN(0.16,MAX(0.05,NORMINV(RAND(),$C$8,$D$8)))</f>
        <v/>
      </c>
      <c r="N426" s="26">
        <f>MIN(24,MAX(5,NORMINV(RAND(),$C$9,$D$9)))</f>
        <v/>
      </c>
      <c r="O426" s="49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25">
        <f>MAX(-0.05,NORMINV(RAND(),$C$6,$D$6))</f>
        <v/>
      </c>
      <c r="L427" s="25">
        <f>MAX(0.02,NORMINV(RAND(),$C$7,$D$7))</f>
        <v/>
      </c>
      <c r="M427" s="25">
        <f>MIN(0.16,MAX(0.05,NORMINV(RAND(),$C$8,$D$8)))</f>
        <v/>
      </c>
      <c r="N427" s="26">
        <f>MIN(24,MAX(5,NORMINV(RAND(),$C$9,$D$9)))</f>
        <v/>
      </c>
      <c r="O427" s="49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25">
        <f>MAX(-0.05,NORMINV(RAND(),$C$6,$D$6))</f>
        <v/>
      </c>
      <c r="L428" s="25">
        <f>MAX(0.02,NORMINV(RAND(),$C$7,$D$7))</f>
        <v/>
      </c>
      <c r="M428" s="25">
        <f>MIN(0.16,MAX(0.05,NORMINV(RAND(),$C$8,$D$8)))</f>
        <v/>
      </c>
      <c r="N428" s="26">
        <f>MIN(24,MAX(5,NORMINV(RAND(),$C$9,$D$9)))</f>
        <v/>
      </c>
      <c r="O428" s="49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25">
        <f>MAX(-0.05,NORMINV(RAND(),$C$6,$D$6))</f>
        <v/>
      </c>
      <c r="L429" s="25">
        <f>MAX(0.02,NORMINV(RAND(),$C$7,$D$7))</f>
        <v/>
      </c>
      <c r="M429" s="25">
        <f>MIN(0.16,MAX(0.05,NORMINV(RAND(),$C$8,$D$8)))</f>
        <v/>
      </c>
      <c r="N429" s="26">
        <f>MIN(24,MAX(5,NORMINV(RAND(),$C$9,$D$9)))</f>
        <v/>
      </c>
      <c r="O429" s="49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25">
        <f>MAX(-0.05,NORMINV(RAND(),$C$6,$D$6))</f>
        <v/>
      </c>
      <c r="L430" s="25">
        <f>MAX(0.02,NORMINV(RAND(),$C$7,$D$7))</f>
        <v/>
      </c>
      <c r="M430" s="25">
        <f>MIN(0.16,MAX(0.05,NORMINV(RAND(),$C$8,$D$8)))</f>
        <v/>
      </c>
      <c r="N430" s="26">
        <f>MIN(24,MAX(5,NORMINV(RAND(),$C$9,$D$9)))</f>
        <v/>
      </c>
      <c r="O430" s="49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25">
        <f>MAX(-0.05,NORMINV(RAND(),$C$6,$D$6))</f>
        <v/>
      </c>
      <c r="L431" s="25">
        <f>MAX(0.02,NORMINV(RAND(),$C$7,$D$7))</f>
        <v/>
      </c>
      <c r="M431" s="25">
        <f>MIN(0.16,MAX(0.05,NORMINV(RAND(),$C$8,$D$8)))</f>
        <v/>
      </c>
      <c r="N431" s="26">
        <f>MIN(24,MAX(5,NORMINV(RAND(),$C$9,$D$9)))</f>
        <v/>
      </c>
      <c r="O431" s="49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25">
        <f>MAX(-0.05,NORMINV(RAND(),$C$6,$D$6))</f>
        <v/>
      </c>
      <c r="L432" s="25">
        <f>MAX(0.02,NORMINV(RAND(),$C$7,$D$7))</f>
        <v/>
      </c>
      <c r="M432" s="25">
        <f>MIN(0.16,MAX(0.05,NORMINV(RAND(),$C$8,$D$8)))</f>
        <v/>
      </c>
      <c r="N432" s="26">
        <f>MIN(24,MAX(5,NORMINV(RAND(),$C$9,$D$9)))</f>
        <v/>
      </c>
      <c r="O432" s="49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25">
        <f>MAX(-0.05,NORMINV(RAND(),$C$6,$D$6))</f>
        <v/>
      </c>
      <c r="L433" s="25">
        <f>MAX(0.02,NORMINV(RAND(),$C$7,$D$7))</f>
        <v/>
      </c>
      <c r="M433" s="25">
        <f>MIN(0.16,MAX(0.05,NORMINV(RAND(),$C$8,$D$8)))</f>
        <v/>
      </c>
      <c r="N433" s="26">
        <f>MIN(24,MAX(5,NORMINV(RAND(),$C$9,$D$9)))</f>
        <v/>
      </c>
      <c r="O433" s="49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25">
        <f>MAX(-0.05,NORMINV(RAND(),$C$6,$D$6))</f>
        <v/>
      </c>
      <c r="L434" s="25">
        <f>MAX(0.02,NORMINV(RAND(),$C$7,$D$7))</f>
        <v/>
      </c>
      <c r="M434" s="25">
        <f>MIN(0.16,MAX(0.05,NORMINV(RAND(),$C$8,$D$8)))</f>
        <v/>
      </c>
      <c r="N434" s="26">
        <f>MIN(24,MAX(5,NORMINV(RAND(),$C$9,$D$9)))</f>
        <v/>
      </c>
      <c r="O434" s="49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25">
        <f>MAX(-0.05,NORMINV(RAND(),$C$6,$D$6))</f>
        <v/>
      </c>
      <c r="L435" s="25">
        <f>MAX(0.02,NORMINV(RAND(),$C$7,$D$7))</f>
        <v/>
      </c>
      <c r="M435" s="25">
        <f>MIN(0.16,MAX(0.05,NORMINV(RAND(),$C$8,$D$8)))</f>
        <v/>
      </c>
      <c r="N435" s="26">
        <f>MIN(24,MAX(5,NORMINV(RAND(),$C$9,$D$9)))</f>
        <v/>
      </c>
      <c r="O435" s="49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25">
        <f>MAX(-0.05,NORMINV(RAND(),$C$6,$D$6))</f>
        <v/>
      </c>
      <c r="L436" s="25">
        <f>MAX(0.02,NORMINV(RAND(),$C$7,$D$7))</f>
        <v/>
      </c>
      <c r="M436" s="25">
        <f>MIN(0.16,MAX(0.05,NORMINV(RAND(),$C$8,$D$8)))</f>
        <v/>
      </c>
      <c r="N436" s="26">
        <f>MIN(24,MAX(5,NORMINV(RAND(),$C$9,$D$9)))</f>
        <v/>
      </c>
      <c r="O436" s="49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25">
        <f>MAX(-0.05,NORMINV(RAND(),$C$6,$D$6))</f>
        <v/>
      </c>
      <c r="L437" s="25">
        <f>MAX(0.02,NORMINV(RAND(),$C$7,$D$7))</f>
        <v/>
      </c>
      <c r="M437" s="25">
        <f>MIN(0.16,MAX(0.05,NORMINV(RAND(),$C$8,$D$8)))</f>
        <v/>
      </c>
      <c r="N437" s="26">
        <f>MIN(24,MAX(5,NORMINV(RAND(),$C$9,$D$9)))</f>
        <v/>
      </c>
      <c r="O437" s="49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25">
        <f>MAX(-0.05,NORMINV(RAND(),$C$6,$D$6))</f>
        <v/>
      </c>
      <c r="L438" s="25">
        <f>MAX(0.02,NORMINV(RAND(),$C$7,$D$7))</f>
        <v/>
      </c>
      <c r="M438" s="25">
        <f>MIN(0.16,MAX(0.05,NORMINV(RAND(),$C$8,$D$8)))</f>
        <v/>
      </c>
      <c r="N438" s="26">
        <f>MIN(24,MAX(5,NORMINV(RAND(),$C$9,$D$9)))</f>
        <v/>
      </c>
      <c r="O438" s="49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25">
        <f>MAX(-0.05,NORMINV(RAND(),$C$6,$D$6))</f>
        <v/>
      </c>
      <c r="L439" s="25">
        <f>MAX(0.02,NORMINV(RAND(),$C$7,$D$7))</f>
        <v/>
      </c>
      <c r="M439" s="25">
        <f>MIN(0.16,MAX(0.05,NORMINV(RAND(),$C$8,$D$8)))</f>
        <v/>
      </c>
      <c r="N439" s="26">
        <f>MIN(24,MAX(5,NORMINV(RAND(),$C$9,$D$9)))</f>
        <v/>
      </c>
      <c r="O439" s="49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25">
        <f>MAX(-0.05,NORMINV(RAND(),$C$6,$D$6))</f>
        <v/>
      </c>
      <c r="L440" s="25">
        <f>MAX(0.02,NORMINV(RAND(),$C$7,$D$7))</f>
        <v/>
      </c>
      <c r="M440" s="25">
        <f>MIN(0.16,MAX(0.05,NORMINV(RAND(),$C$8,$D$8)))</f>
        <v/>
      </c>
      <c r="N440" s="26">
        <f>MIN(24,MAX(5,NORMINV(RAND(),$C$9,$D$9)))</f>
        <v/>
      </c>
      <c r="O440" s="49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25">
        <f>MAX(-0.05,NORMINV(RAND(),$C$6,$D$6))</f>
        <v/>
      </c>
      <c r="L441" s="25">
        <f>MAX(0.02,NORMINV(RAND(),$C$7,$D$7))</f>
        <v/>
      </c>
      <c r="M441" s="25">
        <f>MIN(0.16,MAX(0.05,NORMINV(RAND(),$C$8,$D$8)))</f>
        <v/>
      </c>
      <c r="N441" s="26">
        <f>MIN(24,MAX(5,NORMINV(RAND(),$C$9,$D$9)))</f>
        <v/>
      </c>
      <c r="O441" s="49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25">
        <f>MAX(-0.05,NORMINV(RAND(),$C$6,$D$6))</f>
        <v/>
      </c>
      <c r="L442" s="25">
        <f>MAX(0.02,NORMINV(RAND(),$C$7,$D$7))</f>
        <v/>
      </c>
      <c r="M442" s="25">
        <f>MIN(0.16,MAX(0.05,NORMINV(RAND(),$C$8,$D$8)))</f>
        <v/>
      </c>
      <c r="N442" s="26">
        <f>MIN(24,MAX(5,NORMINV(RAND(),$C$9,$D$9)))</f>
        <v/>
      </c>
      <c r="O442" s="49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25">
        <f>MAX(-0.05,NORMINV(RAND(),$C$6,$D$6))</f>
        <v/>
      </c>
      <c r="L443" s="25">
        <f>MAX(0.02,NORMINV(RAND(),$C$7,$D$7))</f>
        <v/>
      </c>
      <c r="M443" s="25">
        <f>MIN(0.16,MAX(0.05,NORMINV(RAND(),$C$8,$D$8)))</f>
        <v/>
      </c>
      <c r="N443" s="26">
        <f>MIN(24,MAX(5,NORMINV(RAND(),$C$9,$D$9)))</f>
        <v/>
      </c>
      <c r="O443" s="49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25">
        <f>MAX(-0.05,NORMINV(RAND(),$C$6,$D$6))</f>
        <v/>
      </c>
      <c r="L444" s="25">
        <f>MAX(0.02,NORMINV(RAND(),$C$7,$D$7))</f>
        <v/>
      </c>
      <c r="M444" s="25">
        <f>MIN(0.16,MAX(0.05,NORMINV(RAND(),$C$8,$D$8)))</f>
        <v/>
      </c>
      <c r="N444" s="26">
        <f>MIN(24,MAX(5,NORMINV(RAND(),$C$9,$D$9)))</f>
        <v/>
      </c>
      <c r="O444" s="49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25">
        <f>MAX(-0.05,NORMINV(RAND(),$C$6,$D$6))</f>
        <v/>
      </c>
      <c r="L445" s="25">
        <f>MAX(0.02,NORMINV(RAND(),$C$7,$D$7))</f>
        <v/>
      </c>
      <c r="M445" s="25">
        <f>MIN(0.16,MAX(0.05,NORMINV(RAND(),$C$8,$D$8)))</f>
        <v/>
      </c>
      <c r="N445" s="26">
        <f>MIN(24,MAX(5,NORMINV(RAND(),$C$9,$D$9)))</f>
        <v/>
      </c>
      <c r="O445" s="49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25">
        <f>MAX(-0.05,NORMINV(RAND(),$C$6,$D$6))</f>
        <v/>
      </c>
      <c r="L446" s="25">
        <f>MAX(0.02,NORMINV(RAND(),$C$7,$D$7))</f>
        <v/>
      </c>
      <c r="M446" s="25">
        <f>MIN(0.16,MAX(0.05,NORMINV(RAND(),$C$8,$D$8)))</f>
        <v/>
      </c>
      <c r="N446" s="26">
        <f>MIN(24,MAX(5,NORMINV(RAND(),$C$9,$D$9)))</f>
        <v/>
      </c>
      <c r="O446" s="49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25">
        <f>MAX(-0.05,NORMINV(RAND(),$C$6,$D$6))</f>
        <v/>
      </c>
      <c r="L447" s="25">
        <f>MAX(0.02,NORMINV(RAND(),$C$7,$D$7))</f>
        <v/>
      </c>
      <c r="M447" s="25">
        <f>MIN(0.16,MAX(0.05,NORMINV(RAND(),$C$8,$D$8)))</f>
        <v/>
      </c>
      <c r="N447" s="26">
        <f>MIN(24,MAX(5,NORMINV(RAND(),$C$9,$D$9)))</f>
        <v/>
      </c>
      <c r="O447" s="49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25">
        <f>MAX(-0.05,NORMINV(RAND(),$C$6,$D$6))</f>
        <v/>
      </c>
      <c r="L448" s="25">
        <f>MAX(0.02,NORMINV(RAND(),$C$7,$D$7))</f>
        <v/>
      </c>
      <c r="M448" s="25">
        <f>MIN(0.16,MAX(0.05,NORMINV(RAND(),$C$8,$D$8)))</f>
        <v/>
      </c>
      <c r="N448" s="26">
        <f>MIN(24,MAX(5,NORMINV(RAND(),$C$9,$D$9)))</f>
        <v/>
      </c>
      <c r="O448" s="49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25">
        <f>MAX(-0.05,NORMINV(RAND(),$C$6,$D$6))</f>
        <v/>
      </c>
      <c r="L449" s="25">
        <f>MAX(0.02,NORMINV(RAND(),$C$7,$D$7))</f>
        <v/>
      </c>
      <c r="M449" s="25">
        <f>MIN(0.16,MAX(0.05,NORMINV(RAND(),$C$8,$D$8)))</f>
        <v/>
      </c>
      <c r="N449" s="26">
        <f>MIN(24,MAX(5,NORMINV(RAND(),$C$9,$D$9)))</f>
        <v/>
      </c>
      <c r="O449" s="49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25">
        <f>MAX(-0.05,NORMINV(RAND(),$C$6,$D$6))</f>
        <v/>
      </c>
      <c r="L450" s="25">
        <f>MAX(0.02,NORMINV(RAND(),$C$7,$D$7))</f>
        <v/>
      </c>
      <c r="M450" s="25">
        <f>MIN(0.16,MAX(0.05,NORMINV(RAND(),$C$8,$D$8)))</f>
        <v/>
      </c>
      <c r="N450" s="26">
        <f>MIN(24,MAX(5,NORMINV(RAND(),$C$9,$D$9)))</f>
        <v/>
      </c>
      <c r="O450" s="49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25">
        <f>MAX(-0.05,NORMINV(RAND(),$C$6,$D$6))</f>
        <v/>
      </c>
      <c r="L451" s="25">
        <f>MAX(0.02,NORMINV(RAND(),$C$7,$D$7))</f>
        <v/>
      </c>
      <c r="M451" s="25">
        <f>MIN(0.16,MAX(0.05,NORMINV(RAND(),$C$8,$D$8)))</f>
        <v/>
      </c>
      <c r="N451" s="26">
        <f>MIN(24,MAX(5,NORMINV(RAND(),$C$9,$D$9)))</f>
        <v/>
      </c>
      <c r="O451" s="49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25">
        <f>MAX(-0.05,NORMINV(RAND(),$C$6,$D$6))</f>
        <v/>
      </c>
      <c r="L452" s="25">
        <f>MAX(0.02,NORMINV(RAND(),$C$7,$D$7))</f>
        <v/>
      </c>
      <c r="M452" s="25">
        <f>MIN(0.16,MAX(0.05,NORMINV(RAND(),$C$8,$D$8)))</f>
        <v/>
      </c>
      <c r="N452" s="26">
        <f>MIN(24,MAX(5,NORMINV(RAND(),$C$9,$D$9)))</f>
        <v/>
      </c>
      <c r="O452" s="49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25">
        <f>MAX(-0.05,NORMINV(RAND(),$C$6,$D$6))</f>
        <v/>
      </c>
      <c r="L453" s="25">
        <f>MAX(0.02,NORMINV(RAND(),$C$7,$D$7))</f>
        <v/>
      </c>
      <c r="M453" s="25">
        <f>MIN(0.16,MAX(0.05,NORMINV(RAND(),$C$8,$D$8)))</f>
        <v/>
      </c>
      <c r="N453" s="26">
        <f>MIN(24,MAX(5,NORMINV(RAND(),$C$9,$D$9)))</f>
        <v/>
      </c>
      <c r="O453" s="49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25">
        <f>MAX(-0.05,NORMINV(RAND(),$C$6,$D$6))</f>
        <v/>
      </c>
      <c r="L454" s="25">
        <f>MAX(0.02,NORMINV(RAND(),$C$7,$D$7))</f>
        <v/>
      </c>
      <c r="M454" s="25">
        <f>MIN(0.16,MAX(0.05,NORMINV(RAND(),$C$8,$D$8)))</f>
        <v/>
      </c>
      <c r="N454" s="26">
        <f>MIN(24,MAX(5,NORMINV(RAND(),$C$9,$D$9)))</f>
        <v/>
      </c>
      <c r="O454" s="49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25">
        <f>MAX(-0.05,NORMINV(RAND(),$C$6,$D$6))</f>
        <v/>
      </c>
      <c r="L455" s="25">
        <f>MAX(0.02,NORMINV(RAND(),$C$7,$D$7))</f>
        <v/>
      </c>
      <c r="M455" s="25">
        <f>MIN(0.16,MAX(0.05,NORMINV(RAND(),$C$8,$D$8)))</f>
        <v/>
      </c>
      <c r="N455" s="26">
        <f>MIN(24,MAX(5,NORMINV(RAND(),$C$9,$D$9)))</f>
        <v/>
      </c>
      <c r="O455" s="49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25">
        <f>MAX(-0.05,NORMINV(RAND(),$C$6,$D$6))</f>
        <v/>
      </c>
      <c r="L456" s="25">
        <f>MAX(0.02,NORMINV(RAND(),$C$7,$D$7))</f>
        <v/>
      </c>
      <c r="M456" s="25">
        <f>MIN(0.16,MAX(0.05,NORMINV(RAND(),$C$8,$D$8)))</f>
        <v/>
      </c>
      <c r="N456" s="26">
        <f>MIN(24,MAX(5,NORMINV(RAND(),$C$9,$D$9)))</f>
        <v/>
      </c>
      <c r="O456" s="49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25">
        <f>MAX(-0.05,NORMINV(RAND(),$C$6,$D$6))</f>
        <v/>
      </c>
      <c r="L457" s="25">
        <f>MAX(0.02,NORMINV(RAND(),$C$7,$D$7))</f>
        <v/>
      </c>
      <c r="M457" s="25">
        <f>MIN(0.16,MAX(0.05,NORMINV(RAND(),$C$8,$D$8)))</f>
        <v/>
      </c>
      <c r="N457" s="26">
        <f>MIN(24,MAX(5,NORMINV(RAND(),$C$9,$D$9)))</f>
        <v/>
      </c>
      <c r="O457" s="49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25">
        <f>MAX(-0.05,NORMINV(RAND(),$C$6,$D$6))</f>
        <v/>
      </c>
      <c r="L458" s="25">
        <f>MAX(0.02,NORMINV(RAND(),$C$7,$D$7))</f>
        <v/>
      </c>
      <c r="M458" s="25">
        <f>MIN(0.16,MAX(0.05,NORMINV(RAND(),$C$8,$D$8)))</f>
        <v/>
      </c>
      <c r="N458" s="26">
        <f>MIN(24,MAX(5,NORMINV(RAND(),$C$9,$D$9)))</f>
        <v/>
      </c>
      <c r="O458" s="49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25">
        <f>MAX(-0.05,NORMINV(RAND(),$C$6,$D$6))</f>
        <v/>
      </c>
      <c r="L459" s="25">
        <f>MAX(0.02,NORMINV(RAND(),$C$7,$D$7))</f>
        <v/>
      </c>
      <c r="M459" s="25">
        <f>MIN(0.16,MAX(0.05,NORMINV(RAND(),$C$8,$D$8)))</f>
        <v/>
      </c>
      <c r="N459" s="26">
        <f>MIN(24,MAX(5,NORMINV(RAND(),$C$9,$D$9)))</f>
        <v/>
      </c>
      <c r="O459" s="49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25">
        <f>MAX(-0.05,NORMINV(RAND(),$C$6,$D$6))</f>
        <v/>
      </c>
      <c r="L460" s="25">
        <f>MAX(0.02,NORMINV(RAND(),$C$7,$D$7))</f>
        <v/>
      </c>
      <c r="M460" s="25">
        <f>MIN(0.16,MAX(0.05,NORMINV(RAND(),$C$8,$D$8)))</f>
        <v/>
      </c>
      <c r="N460" s="26">
        <f>MIN(24,MAX(5,NORMINV(RAND(),$C$9,$D$9)))</f>
        <v/>
      </c>
      <c r="O460" s="49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25">
        <f>MAX(-0.05,NORMINV(RAND(),$C$6,$D$6))</f>
        <v/>
      </c>
      <c r="L461" s="25">
        <f>MAX(0.02,NORMINV(RAND(),$C$7,$D$7))</f>
        <v/>
      </c>
      <c r="M461" s="25">
        <f>MIN(0.16,MAX(0.05,NORMINV(RAND(),$C$8,$D$8)))</f>
        <v/>
      </c>
      <c r="N461" s="26">
        <f>MIN(24,MAX(5,NORMINV(RAND(),$C$9,$D$9)))</f>
        <v/>
      </c>
      <c r="O461" s="49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25">
        <f>MAX(-0.05,NORMINV(RAND(),$C$6,$D$6))</f>
        <v/>
      </c>
      <c r="L462" s="25">
        <f>MAX(0.02,NORMINV(RAND(),$C$7,$D$7))</f>
        <v/>
      </c>
      <c r="M462" s="25">
        <f>MIN(0.16,MAX(0.05,NORMINV(RAND(),$C$8,$D$8)))</f>
        <v/>
      </c>
      <c r="N462" s="26">
        <f>MIN(24,MAX(5,NORMINV(RAND(),$C$9,$D$9)))</f>
        <v/>
      </c>
      <c r="O462" s="49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25">
        <f>MAX(-0.05,NORMINV(RAND(),$C$6,$D$6))</f>
        <v/>
      </c>
      <c r="L463" s="25">
        <f>MAX(0.02,NORMINV(RAND(),$C$7,$D$7))</f>
        <v/>
      </c>
      <c r="M463" s="25">
        <f>MIN(0.16,MAX(0.05,NORMINV(RAND(),$C$8,$D$8)))</f>
        <v/>
      </c>
      <c r="N463" s="26">
        <f>MIN(24,MAX(5,NORMINV(RAND(),$C$9,$D$9)))</f>
        <v/>
      </c>
      <c r="O463" s="49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25">
        <f>MAX(-0.05,NORMINV(RAND(),$C$6,$D$6))</f>
        <v/>
      </c>
      <c r="L464" s="25">
        <f>MAX(0.02,NORMINV(RAND(),$C$7,$D$7))</f>
        <v/>
      </c>
      <c r="M464" s="25">
        <f>MIN(0.16,MAX(0.05,NORMINV(RAND(),$C$8,$D$8)))</f>
        <v/>
      </c>
      <c r="N464" s="26">
        <f>MIN(24,MAX(5,NORMINV(RAND(),$C$9,$D$9)))</f>
        <v/>
      </c>
      <c r="O464" s="49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25">
        <f>MAX(-0.05,NORMINV(RAND(),$C$6,$D$6))</f>
        <v/>
      </c>
      <c r="L465" s="25">
        <f>MAX(0.02,NORMINV(RAND(),$C$7,$D$7))</f>
        <v/>
      </c>
      <c r="M465" s="25">
        <f>MIN(0.16,MAX(0.05,NORMINV(RAND(),$C$8,$D$8)))</f>
        <v/>
      </c>
      <c r="N465" s="26">
        <f>MIN(24,MAX(5,NORMINV(RAND(),$C$9,$D$9)))</f>
        <v/>
      </c>
      <c r="O465" s="49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25">
        <f>MAX(-0.05,NORMINV(RAND(),$C$6,$D$6))</f>
        <v/>
      </c>
      <c r="L466" s="25">
        <f>MAX(0.02,NORMINV(RAND(),$C$7,$D$7))</f>
        <v/>
      </c>
      <c r="M466" s="25">
        <f>MIN(0.16,MAX(0.05,NORMINV(RAND(),$C$8,$D$8)))</f>
        <v/>
      </c>
      <c r="N466" s="26">
        <f>MIN(24,MAX(5,NORMINV(RAND(),$C$9,$D$9)))</f>
        <v/>
      </c>
      <c r="O466" s="49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25">
        <f>MAX(-0.05,NORMINV(RAND(),$C$6,$D$6))</f>
        <v/>
      </c>
      <c r="L467" s="25">
        <f>MAX(0.02,NORMINV(RAND(),$C$7,$D$7))</f>
        <v/>
      </c>
      <c r="M467" s="25">
        <f>MIN(0.16,MAX(0.05,NORMINV(RAND(),$C$8,$D$8)))</f>
        <v/>
      </c>
      <c r="N467" s="26">
        <f>MIN(24,MAX(5,NORMINV(RAND(),$C$9,$D$9)))</f>
        <v/>
      </c>
      <c r="O467" s="49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25">
        <f>MAX(-0.05,NORMINV(RAND(),$C$6,$D$6))</f>
        <v/>
      </c>
      <c r="L468" s="25">
        <f>MAX(0.02,NORMINV(RAND(),$C$7,$D$7))</f>
        <v/>
      </c>
      <c r="M468" s="25">
        <f>MIN(0.16,MAX(0.05,NORMINV(RAND(),$C$8,$D$8)))</f>
        <v/>
      </c>
      <c r="N468" s="26">
        <f>MIN(24,MAX(5,NORMINV(RAND(),$C$9,$D$9)))</f>
        <v/>
      </c>
      <c r="O468" s="49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25">
        <f>MAX(-0.05,NORMINV(RAND(),$C$6,$D$6))</f>
        <v/>
      </c>
      <c r="L469" s="25">
        <f>MAX(0.02,NORMINV(RAND(),$C$7,$D$7))</f>
        <v/>
      </c>
      <c r="M469" s="25">
        <f>MIN(0.16,MAX(0.05,NORMINV(RAND(),$C$8,$D$8)))</f>
        <v/>
      </c>
      <c r="N469" s="26">
        <f>MIN(24,MAX(5,NORMINV(RAND(),$C$9,$D$9)))</f>
        <v/>
      </c>
      <c r="O469" s="49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25">
        <f>MAX(-0.05,NORMINV(RAND(),$C$6,$D$6))</f>
        <v/>
      </c>
      <c r="L470" s="25">
        <f>MAX(0.02,NORMINV(RAND(),$C$7,$D$7))</f>
        <v/>
      </c>
      <c r="M470" s="25">
        <f>MIN(0.16,MAX(0.05,NORMINV(RAND(),$C$8,$D$8)))</f>
        <v/>
      </c>
      <c r="N470" s="26">
        <f>MIN(24,MAX(5,NORMINV(RAND(),$C$9,$D$9)))</f>
        <v/>
      </c>
      <c r="O470" s="49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25">
        <f>MAX(-0.05,NORMINV(RAND(),$C$6,$D$6))</f>
        <v/>
      </c>
      <c r="L471" s="25">
        <f>MAX(0.02,NORMINV(RAND(),$C$7,$D$7))</f>
        <v/>
      </c>
      <c r="M471" s="25">
        <f>MIN(0.16,MAX(0.05,NORMINV(RAND(),$C$8,$D$8)))</f>
        <v/>
      </c>
      <c r="N471" s="26">
        <f>MIN(24,MAX(5,NORMINV(RAND(),$C$9,$D$9)))</f>
        <v/>
      </c>
      <c r="O471" s="49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25">
        <f>MAX(-0.05,NORMINV(RAND(),$C$6,$D$6))</f>
        <v/>
      </c>
      <c r="L472" s="25">
        <f>MAX(0.02,NORMINV(RAND(),$C$7,$D$7))</f>
        <v/>
      </c>
      <c r="M472" s="25">
        <f>MIN(0.16,MAX(0.05,NORMINV(RAND(),$C$8,$D$8)))</f>
        <v/>
      </c>
      <c r="N472" s="26">
        <f>MIN(24,MAX(5,NORMINV(RAND(),$C$9,$D$9)))</f>
        <v/>
      </c>
      <c r="O472" s="49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25">
        <f>MAX(-0.05,NORMINV(RAND(),$C$6,$D$6))</f>
        <v/>
      </c>
      <c r="L473" s="25">
        <f>MAX(0.02,NORMINV(RAND(),$C$7,$D$7))</f>
        <v/>
      </c>
      <c r="M473" s="25">
        <f>MIN(0.16,MAX(0.05,NORMINV(RAND(),$C$8,$D$8)))</f>
        <v/>
      </c>
      <c r="N473" s="26">
        <f>MIN(24,MAX(5,NORMINV(RAND(),$C$9,$D$9)))</f>
        <v/>
      </c>
      <c r="O473" s="49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25">
        <f>MAX(-0.05,NORMINV(RAND(),$C$6,$D$6))</f>
        <v/>
      </c>
      <c r="L474" s="25">
        <f>MAX(0.02,NORMINV(RAND(),$C$7,$D$7))</f>
        <v/>
      </c>
      <c r="M474" s="25">
        <f>MIN(0.16,MAX(0.05,NORMINV(RAND(),$C$8,$D$8)))</f>
        <v/>
      </c>
      <c r="N474" s="26">
        <f>MIN(24,MAX(5,NORMINV(RAND(),$C$9,$D$9)))</f>
        <v/>
      </c>
      <c r="O474" s="49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25">
        <f>MAX(-0.05,NORMINV(RAND(),$C$6,$D$6))</f>
        <v/>
      </c>
      <c r="L475" s="25">
        <f>MAX(0.02,NORMINV(RAND(),$C$7,$D$7))</f>
        <v/>
      </c>
      <c r="M475" s="25">
        <f>MIN(0.16,MAX(0.05,NORMINV(RAND(),$C$8,$D$8)))</f>
        <v/>
      </c>
      <c r="N475" s="26">
        <f>MIN(24,MAX(5,NORMINV(RAND(),$C$9,$D$9)))</f>
        <v/>
      </c>
      <c r="O475" s="49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25">
        <f>MAX(-0.05,NORMINV(RAND(),$C$6,$D$6))</f>
        <v/>
      </c>
      <c r="L476" s="25">
        <f>MAX(0.02,NORMINV(RAND(),$C$7,$D$7))</f>
        <v/>
      </c>
      <c r="M476" s="25">
        <f>MIN(0.16,MAX(0.05,NORMINV(RAND(),$C$8,$D$8)))</f>
        <v/>
      </c>
      <c r="N476" s="26">
        <f>MIN(24,MAX(5,NORMINV(RAND(),$C$9,$D$9)))</f>
        <v/>
      </c>
      <c r="O476" s="49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25">
        <f>MAX(-0.05,NORMINV(RAND(),$C$6,$D$6))</f>
        <v/>
      </c>
      <c r="L477" s="25">
        <f>MAX(0.02,NORMINV(RAND(),$C$7,$D$7))</f>
        <v/>
      </c>
      <c r="M477" s="25">
        <f>MIN(0.16,MAX(0.05,NORMINV(RAND(),$C$8,$D$8)))</f>
        <v/>
      </c>
      <c r="N477" s="26">
        <f>MIN(24,MAX(5,NORMINV(RAND(),$C$9,$D$9)))</f>
        <v/>
      </c>
      <c r="O477" s="49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25">
        <f>MAX(-0.05,NORMINV(RAND(),$C$6,$D$6))</f>
        <v/>
      </c>
      <c r="L478" s="25">
        <f>MAX(0.02,NORMINV(RAND(),$C$7,$D$7))</f>
        <v/>
      </c>
      <c r="M478" s="25">
        <f>MIN(0.16,MAX(0.05,NORMINV(RAND(),$C$8,$D$8)))</f>
        <v/>
      </c>
      <c r="N478" s="26">
        <f>MIN(24,MAX(5,NORMINV(RAND(),$C$9,$D$9)))</f>
        <v/>
      </c>
      <c r="O478" s="49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25">
        <f>MAX(-0.05,NORMINV(RAND(),$C$6,$D$6))</f>
        <v/>
      </c>
      <c r="L479" s="25">
        <f>MAX(0.02,NORMINV(RAND(),$C$7,$D$7))</f>
        <v/>
      </c>
      <c r="M479" s="25">
        <f>MIN(0.16,MAX(0.05,NORMINV(RAND(),$C$8,$D$8)))</f>
        <v/>
      </c>
      <c r="N479" s="26">
        <f>MIN(24,MAX(5,NORMINV(RAND(),$C$9,$D$9)))</f>
        <v/>
      </c>
      <c r="O479" s="49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25">
        <f>MAX(-0.05,NORMINV(RAND(),$C$6,$D$6))</f>
        <v/>
      </c>
      <c r="L480" s="25">
        <f>MAX(0.02,NORMINV(RAND(),$C$7,$D$7))</f>
        <v/>
      </c>
      <c r="M480" s="25">
        <f>MIN(0.16,MAX(0.05,NORMINV(RAND(),$C$8,$D$8)))</f>
        <v/>
      </c>
      <c r="N480" s="26">
        <f>MIN(24,MAX(5,NORMINV(RAND(),$C$9,$D$9)))</f>
        <v/>
      </c>
      <c r="O480" s="49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25">
        <f>MAX(-0.05,NORMINV(RAND(),$C$6,$D$6))</f>
        <v/>
      </c>
      <c r="L481" s="25">
        <f>MAX(0.02,NORMINV(RAND(),$C$7,$D$7))</f>
        <v/>
      </c>
      <c r="M481" s="25">
        <f>MIN(0.16,MAX(0.05,NORMINV(RAND(),$C$8,$D$8)))</f>
        <v/>
      </c>
      <c r="N481" s="26">
        <f>MIN(24,MAX(5,NORMINV(RAND(),$C$9,$D$9)))</f>
        <v/>
      </c>
      <c r="O481" s="49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25">
        <f>MAX(-0.05,NORMINV(RAND(),$C$6,$D$6))</f>
        <v/>
      </c>
      <c r="L482" s="25">
        <f>MAX(0.02,NORMINV(RAND(),$C$7,$D$7))</f>
        <v/>
      </c>
      <c r="M482" s="25">
        <f>MIN(0.16,MAX(0.05,NORMINV(RAND(),$C$8,$D$8)))</f>
        <v/>
      </c>
      <c r="N482" s="26">
        <f>MIN(24,MAX(5,NORMINV(RAND(),$C$9,$D$9)))</f>
        <v/>
      </c>
      <c r="O482" s="49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25">
        <f>MAX(-0.05,NORMINV(RAND(),$C$6,$D$6))</f>
        <v/>
      </c>
      <c r="L483" s="25">
        <f>MAX(0.02,NORMINV(RAND(),$C$7,$D$7))</f>
        <v/>
      </c>
      <c r="M483" s="25">
        <f>MIN(0.16,MAX(0.05,NORMINV(RAND(),$C$8,$D$8)))</f>
        <v/>
      </c>
      <c r="N483" s="26">
        <f>MIN(24,MAX(5,NORMINV(RAND(),$C$9,$D$9)))</f>
        <v/>
      </c>
      <c r="O483" s="49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25">
        <f>MAX(-0.05,NORMINV(RAND(),$C$6,$D$6))</f>
        <v/>
      </c>
      <c r="L484" s="25">
        <f>MAX(0.02,NORMINV(RAND(),$C$7,$D$7))</f>
        <v/>
      </c>
      <c r="M484" s="25">
        <f>MIN(0.16,MAX(0.05,NORMINV(RAND(),$C$8,$D$8)))</f>
        <v/>
      </c>
      <c r="N484" s="26">
        <f>MIN(24,MAX(5,NORMINV(RAND(),$C$9,$D$9)))</f>
        <v/>
      </c>
      <c r="O484" s="49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25">
        <f>MAX(-0.05,NORMINV(RAND(),$C$6,$D$6))</f>
        <v/>
      </c>
      <c r="L485" s="25">
        <f>MAX(0.02,NORMINV(RAND(),$C$7,$D$7))</f>
        <v/>
      </c>
      <c r="M485" s="25">
        <f>MIN(0.16,MAX(0.05,NORMINV(RAND(),$C$8,$D$8)))</f>
        <v/>
      </c>
      <c r="N485" s="26">
        <f>MIN(24,MAX(5,NORMINV(RAND(),$C$9,$D$9)))</f>
        <v/>
      </c>
      <c r="O485" s="49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25">
        <f>MAX(-0.05,NORMINV(RAND(),$C$6,$D$6))</f>
        <v/>
      </c>
      <c r="L486" s="25">
        <f>MAX(0.02,NORMINV(RAND(),$C$7,$D$7))</f>
        <v/>
      </c>
      <c r="M486" s="25">
        <f>MIN(0.16,MAX(0.05,NORMINV(RAND(),$C$8,$D$8)))</f>
        <v/>
      </c>
      <c r="N486" s="26">
        <f>MIN(24,MAX(5,NORMINV(RAND(),$C$9,$D$9)))</f>
        <v/>
      </c>
      <c r="O486" s="49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25">
        <f>MAX(-0.05,NORMINV(RAND(),$C$6,$D$6))</f>
        <v/>
      </c>
      <c r="L487" s="25">
        <f>MAX(0.02,NORMINV(RAND(),$C$7,$D$7))</f>
        <v/>
      </c>
      <c r="M487" s="25">
        <f>MIN(0.16,MAX(0.05,NORMINV(RAND(),$C$8,$D$8)))</f>
        <v/>
      </c>
      <c r="N487" s="26">
        <f>MIN(24,MAX(5,NORMINV(RAND(),$C$9,$D$9)))</f>
        <v/>
      </c>
      <c r="O487" s="49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25">
        <f>MAX(-0.05,NORMINV(RAND(),$C$6,$D$6))</f>
        <v/>
      </c>
      <c r="L488" s="25">
        <f>MAX(0.02,NORMINV(RAND(),$C$7,$D$7))</f>
        <v/>
      </c>
      <c r="M488" s="25">
        <f>MIN(0.16,MAX(0.05,NORMINV(RAND(),$C$8,$D$8)))</f>
        <v/>
      </c>
      <c r="N488" s="26">
        <f>MIN(24,MAX(5,NORMINV(RAND(),$C$9,$D$9)))</f>
        <v/>
      </c>
      <c r="O488" s="49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25">
        <f>MAX(-0.05,NORMINV(RAND(),$C$6,$D$6))</f>
        <v/>
      </c>
      <c r="L489" s="25">
        <f>MAX(0.02,NORMINV(RAND(),$C$7,$D$7))</f>
        <v/>
      </c>
      <c r="M489" s="25">
        <f>MIN(0.16,MAX(0.05,NORMINV(RAND(),$C$8,$D$8)))</f>
        <v/>
      </c>
      <c r="N489" s="26">
        <f>MIN(24,MAX(5,NORMINV(RAND(),$C$9,$D$9)))</f>
        <v/>
      </c>
      <c r="O489" s="49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25">
        <f>MAX(-0.05,NORMINV(RAND(),$C$6,$D$6))</f>
        <v/>
      </c>
      <c r="L490" s="25">
        <f>MAX(0.02,NORMINV(RAND(),$C$7,$D$7))</f>
        <v/>
      </c>
      <c r="M490" s="25">
        <f>MIN(0.16,MAX(0.05,NORMINV(RAND(),$C$8,$D$8)))</f>
        <v/>
      </c>
      <c r="N490" s="26">
        <f>MIN(24,MAX(5,NORMINV(RAND(),$C$9,$D$9)))</f>
        <v/>
      </c>
      <c r="O490" s="49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25">
        <f>MAX(-0.05,NORMINV(RAND(),$C$6,$D$6))</f>
        <v/>
      </c>
      <c r="L491" s="25">
        <f>MAX(0.02,NORMINV(RAND(),$C$7,$D$7))</f>
        <v/>
      </c>
      <c r="M491" s="25">
        <f>MIN(0.16,MAX(0.05,NORMINV(RAND(),$C$8,$D$8)))</f>
        <v/>
      </c>
      <c r="N491" s="26">
        <f>MIN(24,MAX(5,NORMINV(RAND(),$C$9,$D$9)))</f>
        <v/>
      </c>
      <c r="O491" s="49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25">
        <f>MAX(-0.05,NORMINV(RAND(),$C$6,$D$6))</f>
        <v/>
      </c>
      <c r="L492" s="25">
        <f>MAX(0.02,NORMINV(RAND(),$C$7,$D$7))</f>
        <v/>
      </c>
      <c r="M492" s="25">
        <f>MIN(0.16,MAX(0.05,NORMINV(RAND(),$C$8,$D$8)))</f>
        <v/>
      </c>
      <c r="N492" s="26">
        <f>MIN(24,MAX(5,NORMINV(RAND(),$C$9,$D$9)))</f>
        <v/>
      </c>
      <c r="O492" s="49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25">
        <f>MAX(-0.05,NORMINV(RAND(),$C$6,$D$6))</f>
        <v/>
      </c>
      <c r="L493" s="25">
        <f>MAX(0.02,NORMINV(RAND(),$C$7,$D$7))</f>
        <v/>
      </c>
      <c r="M493" s="25">
        <f>MIN(0.16,MAX(0.05,NORMINV(RAND(),$C$8,$D$8)))</f>
        <v/>
      </c>
      <c r="N493" s="26">
        <f>MIN(24,MAX(5,NORMINV(RAND(),$C$9,$D$9)))</f>
        <v/>
      </c>
      <c r="O493" s="49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25">
        <f>MAX(-0.05,NORMINV(RAND(),$C$6,$D$6))</f>
        <v/>
      </c>
      <c r="L494" s="25">
        <f>MAX(0.02,NORMINV(RAND(),$C$7,$D$7))</f>
        <v/>
      </c>
      <c r="M494" s="25">
        <f>MIN(0.16,MAX(0.05,NORMINV(RAND(),$C$8,$D$8)))</f>
        <v/>
      </c>
      <c r="N494" s="26">
        <f>MIN(24,MAX(5,NORMINV(RAND(),$C$9,$D$9)))</f>
        <v/>
      </c>
      <c r="O494" s="49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25">
        <f>MAX(-0.05,NORMINV(RAND(),$C$6,$D$6))</f>
        <v/>
      </c>
      <c r="L495" s="25">
        <f>MAX(0.02,NORMINV(RAND(),$C$7,$D$7))</f>
        <v/>
      </c>
      <c r="M495" s="25">
        <f>MIN(0.16,MAX(0.05,NORMINV(RAND(),$C$8,$D$8)))</f>
        <v/>
      </c>
      <c r="N495" s="26">
        <f>MIN(24,MAX(5,NORMINV(RAND(),$C$9,$D$9)))</f>
        <v/>
      </c>
      <c r="O495" s="49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25">
        <f>MAX(-0.05,NORMINV(RAND(),$C$6,$D$6))</f>
        <v/>
      </c>
      <c r="L496" s="25">
        <f>MAX(0.02,NORMINV(RAND(),$C$7,$D$7))</f>
        <v/>
      </c>
      <c r="M496" s="25">
        <f>MIN(0.16,MAX(0.05,NORMINV(RAND(),$C$8,$D$8)))</f>
        <v/>
      </c>
      <c r="N496" s="26">
        <f>MIN(24,MAX(5,NORMINV(RAND(),$C$9,$D$9)))</f>
        <v/>
      </c>
      <c r="O496" s="49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25">
        <f>MAX(-0.05,NORMINV(RAND(),$C$6,$D$6))</f>
        <v/>
      </c>
      <c r="L497" s="25">
        <f>MAX(0.02,NORMINV(RAND(),$C$7,$D$7))</f>
        <v/>
      </c>
      <c r="M497" s="25">
        <f>MIN(0.16,MAX(0.05,NORMINV(RAND(),$C$8,$D$8)))</f>
        <v/>
      </c>
      <c r="N497" s="26">
        <f>MIN(24,MAX(5,NORMINV(RAND(),$C$9,$D$9)))</f>
        <v/>
      </c>
      <c r="O497" s="49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25">
        <f>MAX(-0.05,NORMINV(RAND(),$C$6,$D$6))</f>
        <v/>
      </c>
      <c r="L498" s="25">
        <f>MAX(0.02,NORMINV(RAND(),$C$7,$D$7))</f>
        <v/>
      </c>
      <c r="M498" s="25">
        <f>MIN(0.16,MAX(0.05,NORMINV(RAND(),$C$8,$D$8)))</f>
        <v/>
      </c>
      <c r="N498" s="26">
        <f>MIN(24,MAX(5,NORMINV(RAND(),$C$9,$D$9)))</f>
        <v/>
      </c>
      <c r="O498" s="49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25">
        <f>MAX(-0.05,NORMINV(RAND(),$C$6,$D$6))</f>
        <v/>
      </c>
      <c r="L499" s="25">
        <f>MAX(0.02,NORMINV(RAND(),$C$7,$D$7))</f>
        <v/>
      </c>
      <c r="M499" s="25">
        <f>MIN(0.16,MAX(0.05,NORMINV(RAND(),$C$8,$D$8)))</f>
        <v/>
      </c>
      <c r="N499" s="26">
        <f>MIN(24,MAX(5,NORMINV(RAND(),$C$9,$D$9)))</f>
        <v/>
      </c>
      <c r="O499" s="49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25">
        <f>MAX(-0.05,NORMINV(RAND(),$C$6,$D$6))</f>
        <v/>
      </c>
      <c r="L500" s="25">
        <f>MAX(0.02,NORMINV(RAND(),$C$7,$D$7))</f>
        <v/>
      </c>
      <c r="M500" s="25">
        <f>MIN(0.16,MAX(0.05,NORMINV(RAND(),$C$8,$D$8)))</f>
        <v/>
      </c>
      <c r="N500" s="26">
        <f>MIN(24,MAX(5,NORMINV(RAND(),$C$9,$D$9)))</f>
        <v/>
      </c>
      <c r="O500" s="49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25">
        <f>MAX(-0.05,NORMINV(RAND(),$C$6,$D$6))</f>
        <v/>
      </c>
      <c r="L501" s="25">
        <f>MAX(0.02,NORMINV(RAND(),$C$7,$D$7))</f>
        <v/>
      </c>
      <c r="M501" s="25">
        <f>MIN(0.16,MAX(0.05,NORMINV(RAND(),$C$8,$D$8)))</f>
        <v/>
      </c>
      <c r="N501" s="26">
        <f>MIN(24,MAX(5,NORMINV(RAND(),$C$9,$D$9)))</f>
        <v/>
      </c>
      <c r="O501" s="49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25">
        <f>MAX(-0.05,NORMINV(RAND(),$C$6,$D$6))</f>
        <v/>
      </c>
      <c r="L502" s="25">
        <f>MAX(0.02,NORMINV(RAND(),$C$7,$D$7))</f>
        <v/>
      </c>
      <c r="M502" s="25">
        <f>MIN(0.16,MAX(0.05,NORMINV(RAND(),$C$8,$D$8)))</f>
        <v/>
      </c>
      <c r="N502" s="26">
        <f>MIN(24,MAX(5,NORMINV(RAND(),$C$9,$D$9)))</f>
        <v/>
      </c>
      <c r="O502" s="49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25">
        <f>MAX(-0.05,NORMINV(RAND(),$C$6,$D$6))</f>
        <v/>
      </c>
      <c r="L503" s="25">
        <f>MAX(0.02,NORMINV(RAND(),$C$7,$D$7))</f>
        <v/>
      </c>
      <c r="M503" s="25">
        <f>MIN(0.16,MAX(0.05,NORMINV(RAND(),$C$8,$D$8)))</f>
        <v/>
      </c>
      <c r="N503" s="26">
        <f>MIN(24,MAX(5,NORMINV(RAND(),$C$9,$D$9)))</f>
        <v/>
      </c>
      <c r="O503" s="49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25">
        <f>MAX(-0.05,NORMINV(RAND(),$C$6,$D$6))</f>
        <v/>
      </c>
      <c r="L504" s="25">
        <f>MAX(0.02,NORMINV(RAND(),$C$7,$D$7))</f>
        <v/>
      </c>
      <c r="M504" s="25">
        <f>MIN(0.16,MAX(0.05,NORMINV(RAND(),$C$8,$D$8)))</f>
        <v/>
      </c>
      <c r="N504" s="26">
        <f>MIN(24,MAX(5,NORMINV(RAND(),$C$9,$D$9)))</f>
        <v/>
      </c>
      <c r="O504" s="49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25">
        <f>MAX(-0.05,NORMINV(RAND(),$C$6,$D$6))</f>
        <v/>
      </c>
      <c r="L505" s="25">
        <f>MAX(0.02,NORMINV(RAND(),$C$7,$D$7))</f>
        <v/>
      </c>
      <c r="M505" s="25">
        <f>MIN(0.16,MAX(0.05,NORMINV(RAND(),$C$8,$D$8)))</f>
        <v/>
      </c>
      <c r="N505" s="26">
        <f>MIN(24,MAX(5,NORMINV(RAND(),$C$9,$D$9)))</f>
        <v/>
      </c>
      <c r="O505" s="49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25">
        <f>MAX(-0.05,NORMINV(RAND(),$C$6,$D$6))</f>
        <v/>
      </c>
      <c r="L506" s="25">
        <f>MAX(0.02,NORMINV(RAND(),$C$7,$D$7))</f>
        <v/>
      </c>
      <c r="M506" s="25">
        <f>MIN(0.16,MAX(0.05,NORMINV(RAND(),$C$8,$D$8)))</f>
        <v/>
      </c>
      <c r="N506" s="26">
        <f>MIN(24,MAX(5,NORMINV(RAND(),$C$9,$D$9)))</f>
        <v/>
      </c>
      <c r="O506" s="49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25">
        <f>MAX(-0.05,NORMINV(RAND(),$C$6,$D$6))</f>
        <v/>
      </c>
      <c r="L507" s="25">
        <f>MAX(0.02,NORMINV(RAND(),$C$7,$D$7))</f>
        <v/>
      </c>
      <c r="M507" s="25">
        <f>MIN(0.16,MAX(0.05,NORMINV(RAND(),$C$8,$D$8)))</f>
        <v/>
      </c>
      <c r="N507" s="26">
        <f>MIN(24,MAX(5,NORMINV(RAND(),$C$9,$D$9)))</f>
        <v/>
      </c>
      <c r="O507" s="49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25">
        <f>MAX(-0.05,NORMINV(RAND(),$C$6,$D$6))</f>
        <v/>
      </c>
      <c r="L508" s="25">
        <f>MAX(0.02,NORMINV(RAND(),$C$7,$D$7))</f>
        <v/>
      </c>
      <c r="M508" s="25">
        <f>MIN(0.16,MAX(0.05,NORMINV(RAND(),$C$8,$D$8)))</f>
        <v/>
      </c>
      <c r="N508" s="26">
        <f>MIN(24,MAX(5,NORMINV(RAND(),$C$9,$D$9)))</f>
        <v/>
      </c>
      <c r="O508" s="49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25">
        <f>MAX(-0.05,NORMINV(RAND(),$C$6,$D$6))</f>
        <v/>
      </c>
      <c r="L509" s="25">
        <f>MAX(0.02,NORMINV(RAND(),$C$7,$D$7))</f>
        <v/>
      </c>
      <c r="M509" s="25">
        <f>MIN(0.16,MAX(0.05,NORMINV(RAND(),$C$8,$D$8)))</f>
        <v/>
      </c>
      <c r="N509" s="26">
        <f>MIN(24,MAX(5,NORMINV(RAND(),$C$9,$D$9)))</f>
        <v/>
      </c>
      <c r="O509" s="49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25">
        <f>MAX(-0.05,NORMINV(RAND(),$C$6,$D$6))</f>
        <v/>
      </c>
      <c r="L510" s="25">
        <f>MAX(0.02,NORMINV(RAND(),$C$7,$D$7))</f>
        <v/>
      </c>
      <c r="M510" s="25">
        <f>MIN(0.16,MAX(0.05,NORMINV(RAND(),$C$8,$D$8)))</f>
        <v/>
      </c>
      <c r="N510" s="26">
        <f>MIN(24,MAX(5,NORMINV(RAND(),$C$9,$D$9)))</f>
        <v/>
      </c>
      <c r="O510" s="49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25">
        <f>MAX(-0.05,NORMINV(RAND(),$C$6,$D$6))</f>
        <v/>
      </c>
      <c r="L511" s="25">
        <f>MAX(0.02,NORMINV(RAND(),$C$7,$D$7))</f>
        <v/>
      </c>
      <c r="M511" s="25">
        <f>MIN(0.16,MAX(0.05,NORMINV(RAND(),$C$8,$D$8)))</f>
        <v/>
      </c>
      <c r="N511" s="26">
        <f>MIN(24,MAX(5,NORMINV(RAND(),$C$9,$D$9)))</f>
        <v/>
      </c>
      <c r="O511" s="49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25">
        <f>MAX(-0.05,NORMINV(RAND(),$C$6,$D$6))</f>
        <v/>
      </c>
      <c r="L512" s="25">
        <f>MAX(0.02,NORMINV(RAND(),$C$7,$D$7))</f>
        <v/>
      </c>
      <c r="M512" s="25">
        <f>MIN(0.16,MAX(0.05,NORMINV(RAND(),$C$8,$D$8)))</f>
        <v/>
      </c>
      <c r="N512" s="26">
        <f>MIN(24,MAX(5,NORMINV(RAND(),$C$9,$D$9)))</f>
        <v/>
      </c>
      <c r="O512" s="49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25">
        <f>MAX(-0.05,NORMINV(RAND(),$C$6,$D$6))</f>
        <v/>
      </c>
      <c r="L513" s="25">
        <f>MAX(0.02,NORMINV(RAND(),$C$7,$D$7))</f>
        <v/>
      </c>
      <c r="M513" s="25">
        <f>MIN(0.16,MAX(0.05,NORMINV(RAND(),$C$8,$D$8)))</f>
        <v/>
      </c>
      <c r="N513" s="26">
        <f>MIN(24,MAX(5,NORMINV(RAND(),$C$9,$D$9)))</f>
        <v/>
      </c>
      <c r="O513" s="49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25">
        <f>MAX(-0.05,NORMINV(RAND(),$C$6,$D$6))</f>
        <v/>
      </c>
      <c r="L514" s="25">
        <f>MAX(0.02,NORMINV(RAND(),$C$7,$D$7))</f>
        <v/>
      </c>
      <c r="M514" s="25">
        <f>MIN(0.16,MAX(0.05,NORMINV(RAND(),$C$8,$D$8)))</f>
        <v/>
      </c>
      <c r="N514" s="26">
        <f>MIN(24,MAX(5,NORMINV(RAND(),$C$9,$D$9)))</f>
        <v/>
      </c>
      <c r="O514" s="49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25">
        <f>MAX(-0.05,NORMINV(RAND(),$C$6,$D$6))</f>
        <v/>
      </c>
      <c r="L515" s="25">
        <f>MAX(0.02,NORMINV(RAND(),$C$7,$D$7))</f>
        <v/>
      </c>
      <c r="M515" s="25">
        <f>MIN(0.16,MAX(0.05,NORMINV(RAND(),$C$8,$D$8)))</f>
        <v/>
      </c>
      <c r="N515" s="26">
        <f>MIN(24,MAX(5,NORMINV(RAND(),$C$9,$D$9)))</f>
        <v/>
      </c>
      <c r="O515" s="49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25">
        <f>MAX(-0.05,NORMINV(RAND(),$C$6,$D$6))</f>
        <v/>
      </c>
      <c r="L516" s="25">
        <f>MAX(0.02,NORMINV(RAND(),$C$7,$D$7))</f>
        <v/>
      </c>
      <c r="M516" s="25">
        <f>MIN(0.16,MAX(0.05,NORMINV(RAND(),$C$8,$D$8)))</f>
        <v/>
      </c>
      <c r="N516" s="26">
        <f>MIN(24,MAX(5,NORMINV(RAND(),$C$9,$D$9)))</f>
        <v/>
      </c>
      <c r="O516" s="49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25">
        <f>MAX(-0.05,NORMINV(RAND(),$C$6,$D$6))</f>
        <v/>
      </c>
      <c r="L517" s="25">
        <f>MAX(0.02,NORMINV(RAND(),$C$7,$D$7))</f>
        <v/>
      </c>
      <c r="M517" s="25">
        <f>MIN(0.16,MAX(0.05,NORMINV(RAND(),$C$8,$D$8)))</f>
        <v/>
      </c>
      <c r="N517" s="26">
        <f>MIN(24,MAX(5,NORMINV(RAND(),$C$9,$D$9)))</f>
        <v/>
      </c>
      <c r="O517" s="49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25">
        <f>MAX(-0.05,NORMINV(RAND(),$C$6,$D$6))</f>
        <v/>
      </c>
      <c r="L518" s="25">
        <f>MAX(0.02,NORMINV(RAND(),$C$7,$D$7))</f>
        <v/>
      </c>
      <c r="M518" s="25">
        <f>MIN(0.16,MAX(0.05,NORMINV(RAND(),$C$8,$D$8)))</f>
        <v/>
      </c>
      <c r="N518" s="26">
        <f>MIN(24,MAX(5,NORMINV(RAND(),$C$9,$D$9)))</f>
        <v/>
      </c>
      <c r="O518" s="49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25">
        <f>MAX(-0.05,NORMINV(RAND(),$C$6,$D$6))</f>
        <v/>
      </c>
      <c r="L519" s="25">
        <f>MAX(0.02,NORMINV(RAND(),$C$7,$D$7))</f>
        <v/>
      </c>
      <c r="M519" s="25">
        <f>MIN(0.16,MAX(0.05,NORMINV(RAND(),$C$8,$D$8)))</f>
        <v/>
      </c>
      <c r="N519" s="26">
        <f>MIN(24,MAX(5,NORMINV(RAND(),$C$9,$D$9)))</f>
        <v/>
      </c>
      <c r="O519" s="49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25">
        <f>MAX(-0.05,NORMINV(RAND(),$C$6,$D$6))</f>
        <v/>
      </c>
      <c r="L520" s="25">
        <f>MAX(0.02,NORMINV(RAND(),$C$7,$D$7))</f>
        <v/>
      </c>
      <c r="M520" s="25">
        <f>MIN(0.16,MAX(0.05,NORMINV(RAND(),$C$8,$D$8)))</f>
        <v/>
      </c>
      <c r="N520" s="26">
        <f>MIN(24,MAX(5,NORMINV(RAND(),$C$9,$D$9)))</f>
        <v/>
      </c>
      <c r="O520" s="49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25">
        <f>MAX(-0.05,NORMINV(RAND(),$C$6,$D$6))</f>
        <v/>
      </c>
      <c r="L521" s="25">
        <f>MAX(0.02,NORMINV(RAND(),$C$7,$D$7))</f>
        <v/>
      </c>
      <c r="M521" s="25">
        <f>MIN(0.16,MAX(0.05,NORMINV(RAND(),$C$8,$D$8)))</f>
        <v/>
      </c>
      <c r="N521" s="26">
        <f>MIN(24,MAX(5,NORMINV(RAND(),$C$9,$D$9)))</f>
        <v/>
      </c>
      <c r="O521" s="49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25">
        <f>MAX(-0.05,NORMINV(RAND(),$C$6,$D$6))</f>
        <v/>
      </c>
      <c r="L522" s="25">
        <f>MAX(0.02,NORMINV(RAND(),$C$7,$D$7))</f>
        <v/>
      </c>
      <c r="M522" s="25">
        <f>MIN(0.16,MAX(0.05,NORMINV(RAND(),$C$8,$D$8)))</f>
        <v/>
      </c>
      <c r="N522" s="26">
        <f>MIN(24,MAX(5,NORMINV(RAND(),$C$9,$D$9)))</f>
        <v/>
      </c>
      <c r="O522" s="49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25">
        <f>MAX(-0.05,NORMINV(RAND(),$C$6,$D$6))</f>
        <v/>
      </c>
      <c r="L523" s="25">
        <f>MAX(0.02,NORMINV(RAND(),$C$7,$D$7))</f>
        <v/>
      </c>
      <c r="M523" s="25">
        <f>MIN(0.16,MAX(0.05,NORMINV(RAND(),$C$8,$D$8)))</f>
        <v/>
      </c>
      <c r="N523" s="26">
        <f>MIN(24,MAX(5,NORMINV(RAND(),$C$9,$D$9)))</f>
        <v/>
      </c>
      <c r="O523" s="49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25">
        <f>MAX(-0.05,NORMINV(RAND(),$C$6,$D$6))</f>
        <v/>
      </c>
      <c r="L524" s="25">
        <f>MAX(0.02,NORMINV(RAND(),$C$7,$D$7))</f>
        <v/>
      </c>
      <c r="M524" s="25">
        <f>MIN(0.16,MAX(0.05,NORMINV(RAND(),$C$8,$D$8)))</f>
        <v/>
      </c>
      <c r="N524" s="26">
        <f>MIN(24,MAX(5,NORMINV(RAND(),$C$9,$D$9)))</f>
        <v/>
      </c>
      <c r="O524" s="49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25">
        <f>MAX(-0.05,NORMINV(RAND(),$C$6,$D$6))</f>
        <v/>
      </c>
      <c r="L525" s="25">
        <f>MAX(0.02,NORMINV(RAND(),$C$7,$D$7))</f>
        <v/>
      </c>
      <c r="M525" s="25">
        <f>MIN(0.16,MAX(0.05,NORMINV(RAND(),$C$8,$D$8)))</f>
        <v/>
      </c>
      <c r="N525" s="26">
        <f>MIN(24,MAX(5,NORMINV(RAND(),$C$9,$D$9)))</f>
        <v/>
      </c>
      <c r="O525" s="49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25">
        <f>MAX(-0.05,NORMINV(RAND(),$C$6,$D$6))</f>
        <v/>
      </c>
      <c r="L526" s="25">
        <f>MAX(0.02,NORMINV(RAND(),$C$7,$D$7))</f>
        <v/>
      </c>
      <c r="M526" s="25">
        <f>MIN(0.16,MAX(0.05,NORMINV(RAND(),$C$8,$D$8)))</f>
        <v/>
      </c>
      <c r="N526" s="26">
        <f>MIN(24,MAX(5,NORMINV(RAND(),$C$9,$D$9)))</f>
        <v/>
      </c>
      <c r="O526" s="49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25">
        <f>MAX(-0.05,NORMINV(RAND(),$C$6,$D$6))</f>
        <v/>
      </c>
      <c r="L527" s="25">
        <f>MAX(0.02,NORMINV(RAND(),$C$7,$D$7))</f>
        <v/>
      </c>
      <c r="M527" s="25">
        <f>MIN(0.16,MAX(0.05,NORMINV(RAND(),$C$8,$D$8)))</f>
        <v/>
      </c>
      <c r="N527" s="26">
        <f>MIN(24,MAX(5,NORMINV(RAND(),$C$9,$D$9)))</f>
        <v/>
      </c>
      <c r="O527" s="49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25">
        <f>MAX(-0.05,NORMINV(RAND(),$C$6,$D$6))</f>
        <v/>
      </c>
      <c r="L528" s="25">
        <f>MAX(0.02,NORMINV(RAND(),$C$7,$D$7))</f>
        <v/>
      </c>
      <c r="M528" s="25">
        <f>MIN(0.16,MAX(0.05,NORMINV(RAND(),$C$8,$D$8)))</f>
        <v/>
      </c>
      <c r="N528" s="26">
        <f>MIN(24,MAX(5,NORMINV(RAND(),$C$9,$D$9)))</f>
        <v/>
      </c>
      <c r="O528" s="49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25">
        <f>MAX(-0.05,NORMINV(RAND(),$C$6,$D$6))</f>
        <v/>
      </c>
      <c r="L529" s="25">
        <f>MAX(0.02,NORMINV(RAND(),$C$7,$D$7))</f>
        <v/>
      </c>
      <c r="M529" s="25">
        <f>MIN(0.16,MAX(0.05,NORMINV(RAND(),$C$8,$D$8)))</f>
        <v/>
      </c>
      <c r="N529" s="26">
        <f>MIN(24,MAX(5,NORMINV(RAND(),$C$9,$D$9)))</f>
        <v/>
      </c>
      <c r="O529" s="49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25">
        <f>MAX(-0.05,NORMINV(RAND(),$C$6,$D$6))</f>
        <v/>
      </c>
      <c r="L530" s="25">
        <f>MAX(0.02,NORMINV(RAND(),$C$7,$D$7))</f>
        <v/>
      </c>
      <c r="M530" s="25">
        <f>MIN(0.16,MAX(0.05,NORMINV(RAND(),$C$8,$D$8)))</f>
        <v/>
      </c>
      <c r="N530" s="26">
        <f>MIN(24,MAX(5,NORMINV(RAND(),$C$9,$D$9)))</f>
        <v/>
      </c>
      <c r="O530" s="49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25">
        <f>MAX(-0.05,NORMINV(RAND(),$C$6,$D$6))</f>
        <v/>
      </c>
      <c r="L531" s="25">
        <f>MAX(0.02,NORMINV(RAND(),$C$7,$D$7))</f>
        <v/>
      </c>
      <c r="M531" s="25">
        <f>MIN(0.16,MAX(0.05,NORMINV(RAND(),$C$8,$D$8)))</f>
        <v/>
      </c>
      <c r="N531" s="26">
        <f>MIN(24,MAX(5,NORMINV(RAND(),$C$9,$D$9)))</f>
        <v/>
      </c>
      <c r="O531" s="49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25">
        <f>MAX(-0.05,NORMINV(RAND(),$C$6,$D$6))</f>
        <v/>
      </c>
      <c r="L532" s="25">
        <f>MAX(0.02,NORMINV(RAND(),$C$7,$D$7))</f>
        <v/>
      </c>
      <c r="M532" s="25">
        <f>MIN(0.16,MAX(0.05,NORMINV(RAND(),$C$8,$D$8)))</f>
        <v/>
      </c>
      <c r="N532" s="26">
        <f>MIN(24,MAX(5,NORMINV(RAND(),$C$9,$D$9)))</f>
        <v/>
      </c>
      <c r="O532" s="49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25">
        <f>MAX(-0.05,NORMINV(RAND(),$C$6,$D$6))</f>
        <v/>
      </c>
      <c r="L533" s="25">
        <f>MAX(0.02,NORMINV(RAND(),$C$7,$D$7))</f>
        <v/>
      </c>
      <c r="M533" s="25">
        <f>MIN(0.16,MAX(0.05,NORMINV(RAND(),$C$8,$D$8)))</f>
        <v/>
      </c>
      <c r="N533" s="26">
        <f>MIN(24,MAX(5,NORMINV(RAND(),$C$9,$D$9)))</f>
        <v/>
      </c>
      <c r="O533" s="49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25">
        <f>MAX(-0.05,NORMINV(RAND(),$C$6,$D$6))</f>
        <v/>
      </c>
      <c r="L534" s="25">
        <f>MAX(0.02,NORMINV(RAND(),$C$7,$D$7))</f>
        <v/>
      </c>
      <c r="M534" s="25">
        <f>MIN(0.16,MAX(0.05,NORMINV(RAND(),$C$8,$D$8)))</f>
        <v/>
      </c>
      <c r="N534" s="26">
        <f>MIN(24,MAX(5,NORMINV(RAND(),$C$9,$D$9)))</f>
        <v/>
      </c>
      <c r="O534" s="49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25">
        <f>MAX(-0.05,NORMINV(RAND(),$C$6,$D$6))</f>
        <v/>
      </c>
      <c r="L535" s="25">
        <f>MAX(0.02,NORMINV(RAND(),$C$7,$D$7))</f>
        <v/>
      </c>
      <c r="M535" s="25">
        <f>MIN(0.16,MAX(0.05,NORMINV(RAND(),$C$8,$D$8)))</f>
        <v/>
      </c>
      <c r="N535" s="26">
        <f>MIN(24,MAX(5,NORMINV(RAND(),$C$9,$D$9)))</f>
        <v/>
      </c>
      <c r="O535" s="49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25">
        <f>MAX(-0.05,NORMINV(RAND(),$C$6,$D$6))</f>
        <v/>
      </c>
      <c r="L536" s="25">
        <f>MAX(0.02,NORMINV(RAND(),$C$7,$D$7))</f>
        <v/>
      </c>
      <c r="M536" s="25">
        <f>MIN(0.16,MAX(0.05,NORMINV(RAND(),$C$8,$D$8)))</f>
        <v/>
      </c>
      <c r="N536" s="26">
        <f>MIN(24,MAX(5,NORMINV(RAND(),$C$9,$D$9)))</f>
        <v/>
      </c>
      <c r="O536" s="49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25">
        <f>MAX(-0.05,NORMINV(RAND(),$C$6,$D$6))</f>
        <v/>
      </c>
      <c r="L537" s="25">
        <f>MAX(0.02,NORMINV(RAND(),$C$7,$D$7))</f>
        <v/>
      </c>
      <c r="M537" s="25">
        <f>MIN(0.16,MAX(0.05,NORMINV(RAND(),$C$8,$D$8)))</f>
        <v/>
      </c>
      <c r="N537" s="26">
        <f>MIN(24,MAX(5,NORMINV(RAND(),$C$9,$D$9)))</f>
        <v/>
      </c>
      <c r="O537" s="49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25">
        <f>MAX(-0.05,NORMINV(RAND(),$C$6,$D$6))</f>
        <v/>
      </c>
      <c r="L538" s="25">
        <f>MAX(0.02,NORMINV(RAND(),$C$7,$D$7))</f>
        <v/>
      </c>
      <c r="M538" s="25">
        <f>MIN(0.16,MAX(0.05,NORMINV(RAND(),$C$8,$D$8)))</f>
        <v/>
      </c>
      <c r="N538" s="26">
        <f>MIN(24,MAX(5,NORMINV(RAND(),$C$9,$D$9)))</f>
        <v/>
      </c>
      <c r="O538" s="49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25">
        <f>MAX(-0.05,NORMINV(RAND(),$C$6,$D$6))</f>
        <v/>
      </c>
      <c r="L539" s="25">
        <f>MAX(0.02,NORMINV(RAND(),$C$7,$D$7))</f>
        <v/>
      </c>
      <c r="M539" s="25">
        <f>MIN(0.16,MAX(0.05,NORMINV(RAND(),$C$8,$D$8)))</f>
        <v/>
      </c>
      <c r="N539" s="26">
        <f>MIN(24,MAX(5,NORMINV(RAND(),$C$9,$D$9)))</f>
        <v/>
      </c>
      <c r="O539" s="49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25">
        <f>MAX(-0.05,NORMINV(RAND(),$C$6,$D$6))</f>
        <v/>
      </c>
      <c r="L540" s="25">
        <f>MAX(0.02,NORMINV(RAND(),$C$7,$D$7))</f>
        <v/>
      </c>
      <c r="M540" s="25">
        <f>MIN(0.16,MAX(0.05,NORMINV(RAND(),$C$8,$D$8)))</f>
        <v/>
      </c>
      <c r="N540" s="26">
        <f>MIN(24,MAX(5,NORMINV(RAND(),$C$9,$D$9)))</f>
        <v/>
      </c>
      <c r="O540" s="49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25">
        <f>MAX(-0.05,NORMINV(RAND(),$C$6,$D$6))</f>
        <v/>
      </c>
      <c r="L541" s="25">
        <f>MAX(0.02,NORMINV(RAND(),$C$7,$D$7))</f>
        <v/>
      </c>
      <c r="M541" s="25">
        <f>MIN(0.16,MAX(0.05,NORMINV(RAND(),$C$8,$D$8)))</f>
        <v/>
      </c>
      <c r="N541" s="26">
        <f>MIN(24,MAX(5,NORMINV(RAND(),$C$9,$D$9)))</f>
        <v/>
      </c>
      <c r="O541" s="49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25">
        <f>MAX(-0.05,NORMINV(RAND(),$C$6,$D$6))</f>
        <v/>
      </c>
      <c r="L542" s="25">
        <f>MAX(0.02,NORMINV(RAND(),$C$7,$D$7))</f>
        <v/>
      </c>
      <c r="M542" s="25">
        <f>MIN(0.16,MAX(0.05,NORMINV(RAND(),$C$8,$D$8)))</f>
        <v/>
      </c>
      <c r="N542" s="26">
        <f>MIN(24,MAX(5,NORMINV(RAND(),$C$9,$D$9)))</f>
        <v/>
      </c>
      <c r="O542" s="49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25">
        <f>MAX(-0.05,NORMINV(RAND(),$C$6,$D$6))</f>
        <v/>
      </c>
      <c r="L543" s="25">
        <f>MAX(0.02,NORMINV(RAND(),$C$7,$D$7))</f>
        <v/>
      </c>
      <c r="M543" s="25">
        <f>MIN(0.16,MAX(0.05,NORMINV(RAND(),$C$8,$D$8)))</f>
        <v/>
      </c>
      <c r="N543" s="26">
        <f>MIN(24,MAX(5,NORMINV(RAND(),$C$9,$D$9)))</f>
        <v/>
      </c>
      <c r="O543" s="49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25">
        <f>MAX(-0.05,NORMINV(RAND(),$C$6,$D$6))</f>
        <v/>
      </c>
      <c r="L544" s="25">
        <f>MAX(0.02,NORMINV(RAND(),$C$7,$D$7))</f>
        <v/>
      </c>
      <c r="M544" s="25">
        <f>MIN(0.16,MAX(0.05,NORMINV(RAND(),$C$8,$D$8)))</f>
        <v/>
      </c>
      <c r="N544" s="26">
        <f>MIN(24,MAX(5,NORMINV(RAND(),$C$9,$D$9)))</f>
        <v/>
      </c>
      <c r="O544" s="49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25">
        <f>MAX(-0.05,NORMINV(RAND(),$C$6,$D$6))</f>
        <v/>
      </c>
      <c r="L545" s="25">
        <f>MAX(0.02,NORMINV(RAND(),$C$7,$D$7))</f>
        <v/>
      </c>
      <c r="M545" s="25">
        <f>MIN(0.16,MAX(0.05,NORMINV(RAND(),$C$8,$D$8)))</f>
        <v/>
      </c>
      <c r="N545" s="26">
        <f>MIN(24,MAX(5,NORMINV(RAND(),$C$9,$D$9)))</f>
        <v/>
      </c>
      <c r="O545" s="49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25">
        <f>MAX(-0.05,NORMINV(RAND(),$C$6,$D$6))</f>
        <v/>
      </c>
      <c r="L546" s="25">
        <f>MAX(0.02,NORMINV(RAND(),$C$7,$D$7))</f>
        <v/>
      </c>
      <c r="M546" s="25">
        <f>MIN(0.16,MAX(0.05,NORMINV(RAND(),$C$8,$D$8)))</f>
        <v/>
      </c>
      <c r="N546" s="26">
        <f>MIN(24,MAX(5,NORMINV(RAND(),$C$9,$D$9)))</f>
        <v/>
      </c>
      <c r="O546" s="49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25">
        <f>MAX(-0.05,NORMINV(RAND(),$C$6,$D$6))</f>
        <v/>
      </c>
      <c r="L547" s="25">
        <f>MAX(0.02,NORMINV(RAND(),$C$7,$D$7))</f>
        <v/>
      </c>
      <c r="M547" s="25">
        <f>MIN(0.16,MAX(0.05,NORMINV(RAND(),$C$8,$D$8)))</f>
        <v/>
      </c>
      <c r="N547" s="26">
        <f>MIN(24,MAX(5,NORMINV(RAND(),$C$9,$D$9)))</f>
        <v/>
      </c>
      <c r="O547" s="49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25">
        <f>MAX(-0.05,NORMINV(RAND(),$C$6,$D$6))</f>
        <v/>
      </c>
      <c r="L548" s="25">
        <f>MAX(0.02,NORMINV(RAND(),$C$7,$D$7))</f>
        <v/>
      </c>
      <c r="M548" s="25">
        <f>MIN(0.16,MAX(0.05,NORMINV(RAND(),$C$8,$D$8)))</f>
        <v/>
      </c>
      <c r="N548" s="26">
        <f>MIN(24,MAX(5,NORMINV(RAND(),$C$9,$D$9)))</f>
        <v/>
      </c>
      <c r="O548" s="49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25">
        <f>MAX(-0.05,NORMINV(RAND(),$C$6,$D$6))</f>
        <v/>
      </c>
      <c r="L549" s="25">
        <f>MAX(0.02,NORMINV(RAND(),$C$7,$D$7))</f>
        <v/>
      </c>
      <c r="M549" s="25">
        <f>MIN(0.16,MAX(0.05,NORMINV(RAND(),$C$8,$D$8)))</f>
        <v/>
      </c>
      <c r="N549" s="26">
        <f>MIN(24,MAX(5,NORMINV(RAND(),$C$9,$D$9)))</f>
        <v/>
      </c>
      <c r="O549" s="49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25">
        <f>MAX(-0.05,NORMINV(RAND(),$C$6,$D$6))</f>
        <v/>
      </c>
      <c r="L550" s="25">
        <f>MAX(0.02,NORMINV(RAND(),$C$7,$D$7))</f>
        <v/>
      </c>
      <c r="M550" s="25">
        <f>MIN(0.16,MAX(0.05,NORMINV(RAND(),$C$8,$D$8)))</f>
        <v/>
      </c>
      <c r="N550" s="26">
        <f>MIN(24,MAX(5,NORMINV(RAND(),$C$9,$D$9)))</f>
        <v/>
      </c>
      <c r="O550" s="49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25">
        <f>MAX(-0.05,NORMINV(RAND(),$C$6,$D$6))</f>
        <v/>
      </c>
      <c r="L551" s="25">
        <f>MAX(0.02,NORMINV(RAND(),$C$7,$D$7))</f>
        <v/>
      </c>
      <c r="M551" s="25">
        <f>MIN(0.16,MAX(0.05,NORMINV(RAND(),$C$8,$D$8)))</f>
        <v/>
      </c>
      <c r="N551" s="26">
        <f>MIN(24,MAX(5,NORMINV(RAND(),$C$9,$D$9)))</f>
        <v/>
      </c>
      <c r="O551" s="49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25">
        <f>MAX(-0.05,NORMINV(RAND(),$C$6,$D$6))</f>
        <v/>
      </c>
      <c r="L552" s="25">
        <f>MAX(0.02,NORMINV(RAND(),$C$7,$D$7))</f>
        <v/>
      </c>
      <c r="M552" s="25">
        <f>MIN(0.16,MAX(0.05,NORMINV(RAND(),$C$8,$D$8)))</f>
        <v/>
      </c>
      <c r="N552" s="26">
        <f>MIN(24,MAX(5,NORMINV(RAND(),$C$9,$D$9)))</f>
        <v/>
      </c>
      <c r="O552" s="49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25">
        <f>MAX(-0.05,NORMINV(RAND(),$C$6,$D$6))</f>
        <v/>
      </c>
      <c r="L553" s="25">
        <f>MAX(0.02,NORMINV(RAND(),$C$7,$D$7))</f>
        <v/>
      </c>
      <c r="M553" s="25">
        <f>MIN(0.16,MAX(0.05,NORMINV(RAND(),$C$8,$D$8)))</f>
        <v/>
      </c>
      <c r="N553" s="26">
        <f>MIN(24,MAX(5,NORMINV(RAND(),$C$9,$D$9)))</f>
        <v/>
      </c>
      <c r="O553" s="49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25">
        <f>MAX(-0.05,NORMINV(RAND(),$C$6,$D$6))</f>
        <v/>
      </c>
      <c r="L554" s="25">
        <f>MAX(0.02,NORMINV(RAND(),$C$7,$D$7))</f>
        <v/>
      </c>
      <c r="M554" s="25">
        <f>MIN(0.16,MAX(0.05,NORMINV(RAND(),$C$8,$D$8)))</f>
        <v/>
      </c>
      <c r="N554" s="26">
        <f>MIN(24,MAX(5,NORMINV(RAND(),$C$9,$D$9)))</f>
        <v/>
      </c>
      <c r="O554" s="49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25">
        <f>MAX(-0.05,NORMINV(RAND(),$C$6,$D$6))</f>
        <v/>
      </c>
      <c r="L555" s="25">
        <f>MAX(0.02,NORMINV(RAND(),$C$7,$D$7))</f>
        <v/>
      </c>
      <c r="M555" s="25">
        <f>MIN(0.16,MAX(0.05,NORMINV(RAND(),$C$8,$D$8)))</f>
        <v/>
      </c>
      <c r="N555" s="26">
        <f>MIN(24,MAX(5,NORMINV(RAND(),$C$9,$D$9)))</f>
        <v/>
      </c>
      <c r="O555" s="49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25">
        <f>MAX(-0.05,NORMINV(RAND(),$C$6,$D$6))</f>
        <v/>
      </c>
      <c r="L556" s="25">
        <f>MAX(0.02,NORMINV(RAND(),$C$7,$D$7))</f>
        <v/>
      </c>
      <c r="M556" s="25">
        <f>MIN(0.16,MAX(0.05,NORMINV(RAND(),$C$8,$D$8)))</f>
        <v/>
      </c>
      <c r="N556" s="26">
        <f>MIN(24,MAX(5,NORMINV(RAND(),$C$9,$D$9)))</f>
        <v/>
      </c>
      <c r="O556" s="49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25">
        <f>MAX(-0.05,NORMINV(RAND(),$C$6,$D$6))</f>
        <v/>
      </c>
      <c r="L557" s="25">
        <f>MAX(0.02,NORMINV(RAND(),$C$7,$D$7))</f>
        <v/>
      </c>
      <c r="M557" s="25">
        <f>MIN(0.16,MAX(0.05,NORMINV(RAND(),$C$8,$D$8)))</f>
        <v/>
      </c>
      <c r="N557" s="26">
        <f>MIN(24,MAX(5,NORMINV(RAND(),$C$9,$D$9)))</f>
        <v/>
      </c>
      <c r="O557" s="49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25">
        <f>MAX(-0.05,NORMINV(RAND(),$C$6,$D$6))</f>
        <v/>
      </c>
      <c r="L558" s="25">
        <f>MAX(0.02,NORMINV(RAND(),$C$7,$D$7))</f>
        <v/>
      </c>
      <c r="M558" s="25">
        <f>MIN(0.16,MAX(0.05,NORMINV(RAND(),$C$8,$D$8)))</f>
        <v/>
      </c>
      <c r="N558" s="26">
        <f>MIN(24,MAX(5,NORMINV(RAND(),$C$9,$D$9)))</f>
        <v/>
      </c>
      <c r="O558" s="49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25">
        <f>MAX(-0.05,NORMINV(RAND(),$C$6,$D$6))</f>
        <v/>
      </c>
      <c r="L559" s="25">
        <f>MAX(0.02,NORMINV(RAND(),$C$7,$D$7))</f>
        <v/>
      </c>
      <c r="M559" s="25">
        <f>MIN(0.16,MAX(0.05,NORMINV(RAND(),$C$8,$D$8)))</f>
        <v/>
      </c>
      <c r="N559" s="26">
        <f>MIN(24,MAX(5,NORMINV(RAND(),$C$9,$D$9)))</f>
        <v/>
      </c>
      <c r="O559" s="49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25">
        <f>MAX(-0.05,NORMINV(RAND(),$C$6,$D$6))</f>
        <v/>
      </c>
      <c r="L560" s="25">
        <f>MAX(0.02,NORMINV(RAND(),$C$7,$D$7))</f>
        <v/>
      </c>
      <c r="M560" s="25">
        <f>MIN(0.16,MAX(0.05,NORMINV(RAND(),$C$8,$D$8)))</f>
        <v/>
      </c>
      <c r="N560" s="26">
        <f>MIN(24,MAX(5,NORMINV(RAND(),$C$9,$D$9)))</f>
        <v/>
      </c>
      <c r="O560" s="49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25">
        <f>MAX(-0.05,NORMINV(RAND(),$C$6,$D$6))</f>
        <v/>
      </c>
      <c r="L561" s="25">
        <f>MAX(0.02,NORMINV(RAND(),$C$7,$D$7))</f>
        <v/>
      </c>
      <c r="M561" s="25">
        <f>MIN(0.16,MAX(0.05,NORMINV(RAND(),$C$8,$D$8)))</f>
        <v/>
      </c>
      <c r="N561" s="26">
        <f>MIN(24,MAX(5,NORMINV(RAND(),$C$9,$D$9)))</f>
        <v/>
      </c>
      <c r="O561" s="49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25">
        <f>MAX(-0.05,NORMINV(RAND(),$C$6,$D$6))</f>
        <v/>
      </c>
      <c r="L562" s="25">
        <f>MAX(0.02,NORMINV(RAND(),$C$7,$D$7))</f>
        <v/>
      </c>
      <c r="M562" s="25">
        <f>MIN(0.16,MAX(0.05,NORMINV(RAND(),$C$8,$D$8)))</f>
        <v/>
      </c>
      <c r="N562" s="26">
        <f>MIN(24,MAX(5,NORMINV(RAND(),$C$9,$D$9)))</f>
        <v/>
      </c>
      <c r="O562" s="49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25">
        <f>MAX(-0.05,NORMINV(RAND(),$C$6,$D$6))</f>
        <v/>
      </c>
      <c r="L563" s="25">
        <f>MAX(0.02,NORMINV(RAND(),$C$7,$D$7))</f>
        <v/>
      </c>
      <c r="M563" s="25">
        <f>MIN(0.16,MAX(0.05,NORMINV(RAND(),$C$8,$D$8)))</f>
        <v/>
      </c>
      <c r="N563" s="26">
        <f>MIN(24,MAX(5,NORMINV(RAND(),$C$9,$D$9)))</f>
        <v/>
      </c>
      <c r="O563" s="49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25">
        <f>MAX(-0.05,NORMINV(RAND(),$C$6,$D$6))</f>
        <v/>
      </c>
      <c r="L564" s="25">
        <f>MAX(0.02,NORMINV(RAND(),$C$7,$D$7))</f>
        <v/>
      </c>
      <c r="M564" s="25">
        <f>MIN(0.16,MAX(0.05,NORMINV(RAND(),$C$8,$D$8)))</f>
        <v/>
      </c>
      <c r="N564" s="26">
        <f>MIN(24,MAX(5,NORMINV(RAND(),$C$9,$D$9)))</f>
        <v/>
      </c>
      <c r="O564" s="49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25">
        <f>MAX(-0.05,NORMINV(RAND(),$C$6,$D$6))</f>
        <v/>
      </c>
      <c r="L565" s="25">
        <f>MAX(0.02,NORMINV(RAND(),$C$7,$D$7))</f>
        <v/>
      </c>
      <c r="M565" s="25">
        <f>MIN(0.16,MAX(0.05,NORMINV(RAND(),$C$8,$D$8)))</f>
        <v/>
      </c>
      <c r="N565" s="26">
        <f>MIN(24,MAX(5,NORMINV(RAND(),$C$9,$D$9)))</f>
        <v/>
      </c>
      <c r="O565" s="49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25">
        <f>MAX(-0.05,NORMINV(RAND(),$C$6,$D$6))</f>
        <v/>
      </c>
      <c r="L566" s="25">
        <f>MAX(0.02,NORMINV(RAND(),$C$7,$D$7))</f>
        <v/>
      </c>
      <c r="M566" s="25">
        <f>MIN(0.16,MAX(0.05,NORMINV(RAND(),$C$8,$D$8)))</f>
        <v/>
      </c>
      <c r="N566" s="26">
        <f>MIN(24,MAX(5,NORMINV(RAND(),$C$9,$D$9)))</f>
        <v/>
      </c>
      <c r="O566" s="49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25">
        <f>MAX(-0.05,NORMINV(RAND(),$C$6,$D$6))</f>
        <v/>
      </c>
      <c r="L567" s="25">
        <f>MAX(0.02,NORMINV(RAND(),$C$7,$D$7))</f>
        <v/>
      </c>
      <c r="M567" s="25">
        <f>MIN(0.16,MAX(0.05,NORMINV(RAND(),$C$8,$D$8)))</f>
        <v/>
      </c>
      <c r="N567" s="26">
        <f>MIN(24,MAX(5,NORMINV(RAND(),$C$9,$D$9)))</f>
        <v/>
      </c>
      <c r="O567" s="49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25">
        <f>MAX(-0.05,NORMINV(RAND(),$C$6,$D$6))</f>
        <v/>
      </c>
      <c r="L568" s="25">
        <f>MAX(0.02,NORMINV(RAND(),$C$7,$D$7))</f>
        <v/>
      </c>
      <c r="M568" s="25">
        <f>MIN(0.16,MAX(0.05,NORMINV(RAND(),$C$8,$D$8)))</f>
        <v/>
      </c>
      <c r="N568" s="26">
        <f>MIN(24,MAX(5,NORMINV(RAND(),$C$9,$D$9)))</f>
        <v/>
      </c>
      <c r="O568" s="49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25">
        <f>MAX(-0.05,NORMINV(RAND(),$C$6,$D$6))</f>
        <v/>
      </c>
      <c r="L569" s="25">
        <f>MAX(0.02,NORMINV(RAND(),$C$7,$D$7))</f>
        <v/>
      </c>
      <c r="M569" s="25">
        <f>MIN(0.16,MAX(0.05,NORMINV(RAND(),$C$8,$D$8)))</f>
        <v/>
      </c>
      <c r="N569" s="26">
        <f>MIN(24,MAX(5,NORMINV(RAND(),$C$9,$D$9)))</f>
        <v/>
      </c>
      <c r="O569" s="49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25">
        <f>MAX(-0.05,NORMINV(RAND(),$C$6,$D$6))</f>
        <v/>
      </c>
      <c r="L570" s="25">
        <f>MAX(0.02,NORMINV(RAND(),$C$7,$D$7))</f>
        <v/>
      </c>
      <c r="M570" s="25">
        <f>MIN(0.16,MAX(0.05,NORMINV(RAND(),$C$8,$D$8)))</f>
        <v/>
      </c>
      <c r="N570" s="26">
        <f>MIN(24,MAX(5,NORMINV(RAND(),$C$9,$D$9)))</f>
        <v/>
      </c>
      <c r="O570" s="49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25">
        <f>MAX(-0.05,NORMINV(RAND(),$C$6,$D$6))</f>
        <v/>
      </c>
      <c r="L571" s="25">
        <f>MAX(0.02,NORMINV(RAND(),$C$7,$D$7))</f>
        <v/>
      </c>
      <c r="M571" s="25">
        <f>MIN(0.16,MAX(0.05,NORMINV(RAND(),$C$8,$D$8)))</f>
        <v/>
      </c>
      <c r="N571" s="26">
        <f>MIN(24,MAX(5,NORMINV(RAND(),$C$9,$D$9)))</f>
        <v/>
      </c>
      <c r="O571" s="49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25">
        <f>MAX(-0.05,NORMINV(RAND(),$C$6,$D$6))</f>
        <v/>
      </c>
      <c r="L572" s="25">
        <f>MAX(0.02,NORMINV(RAND(),$C$7,$D$7))</f>
        <v/>
      </c>
      <c r="M572" s="25">
        <f>MIN(0.16,MAX(0.05,NORMINV(RAND(),$C$8,$D$8)))</f>
        <v/>
      </c>
      <c r="N572" s="26">
        <f>MIN(24,MAX(5,NORMINV(RAND(),$C$9,$D$9)))</f>
        <v/>
      </c>
      <c r="O572" s="49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25">
        <f>MAX(-0.05,NORMINV(RAND(),$C$6,$D$6))</f>
        <v/>
      </c>
      <c r="L573" s="25">
        <f>MAX(0.02,NORMINV(RAND(),$C$7,$D$7))</f>
        <v/>
      </c>
      <c r="M573" s="25">
        <f>MIN(0.16,MAX(0.05,NORMINV(RAND(),$C$8,$D$8)))</f>
        <v/>
      </c>
      <c r="N573" s="26">
        <f>MIN(24,MAX(5,NORMINV(RAND(),$C$9,$D$9)))</f>
        <v/>
      </c>
      <c r="O573" s="49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25">
        <f>MAX(-0.05,NORMINV(RAND(),$C$6,$D$6))</f>
        <v/>
      </c>
      <c r="L574" s="25">
        <f>MAX(0.02,NORMINV(RAND(),$C$7,$D$7))</f>
        <v/>
      </c>
      <c r="M574" s="25">
        <f>MIN(0.16,MAX(0.05,NORMINV(RAND(),$C$8,$D$8)))</f>
        <v/>
      </c>
      <c r="N574" s="26">
        <f>MIN(24,MAX(5,NORMINV(RAND(),$C$9,$D$9)))</f>
        <v/>
      </c>
      <c r="O574" s="49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25">
        <f>MAX(-0.05,NORMINV(RAND(),$C$6,$D$6))</f>
        <v/>
      </c>
      <c r="L575" s="25">
        <f>MAX(0.02,NORMINV(RAND(),$C$7,$D$7))</f>
        <v/>
      </c>
      <c r="M575" s="25">
        <f>MIN(0.16,MAX(0.05,NORMINV(RAND(),$C$8,$D$8)))</f>
        <v/>
      </c>
      <c r="N575" s="26">
        <f>MIN(24,MAX(5,NORMINV(RAND(),$C$9,$D$9)))</f>
        <v/>
      </c>
      <c r="O575" s="49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25">
        <f>MAX(-0.05,NORMINV(RAND(),$C$6,$D$6))</f>
        <v/>
      </c>
      <c r="L576" s="25">
        <f>MAX(0.02,NORMINV(RAND(),$C$7,$D$7))</f>
        <v/>
      </c>
      <c r="M576" s="25">
        <f>MIN(0.16,MAX(0.05,NORMINV(RAND(),$C$8,$D$8)))</f>
        <v/>
      </c>
      <c r="N576" s="26">
        <f>MIN(24,MAX(5,NORMINV(RAND(),$C$9,$D$9)))</f>
        <v/>
      </c>
      <c r="O576" s="49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25">
        <f>MAX(-0.05,NORMINV(RAND(),$C$6,$D$6))</f>
        <v/>
      </c>
      <c r="L577" s="25">
        <f>MAX(0.02,NORMINV(RAND(),$C$7,$D$7))</f>
        <v/>
      </c>
      <c r="M577" s="25">
        <f>MIN(0.16,MAX(0.05,NORMINV(RAND(),$C$8,$D$8)))</f>
        <v/>
      </c>
      <c r="N577" s="26">
        <f>MIN(24,MAX(5,NORMINV(RAND(),$C$9,$D$9)))</f>
        <v/>
      </c>
      <c r="O577" s="49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25">
        <f>MAX(-0.05,NORMINV(RAND(),$C$6,$D$6))</f>
        <v/>
      </c>
      <c r="L578" s="25">
        <f>MAX(0.02,NORMINV(RAND(),$C$7,$D$7))</f>
        <v/>
      </c>
      <c r="M578" s="25">
        <f>MIN(0.16,MAX(0.05,NORMINV(RAND(),$C$8,$D$8)))</f>
        <v/>
      </c>
      <c r="N578" s="26">
        <f>MIN(24,MAX(5,NORMINV(RAND(),$C$9,$D$9)))</f>
        <v/>
      </c>
      <c r="O578" s="49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25">
        <f>MAX(-0.05,NORMINV(RAND(),$C$6,$D$6))</f>
        <v/>
      </c>
      <c r="L579" s="25">
        <f>MAX(0.02,NORMINV(RAND(),$C$7,$D$7))</f>
        <v/>
      </c>
      <c r="M579" s="25">
        <f>MIN(0.16,MAX(0.05,NORMINV(RAND(),$C$8,$D$8)))</f>
        <v/>
      </c>
      <c r="N579" s="26">
        <f>MIN(24,MAX(5,NORMINV(RAND(),$C$9,$D$9)))</f>
        <v/>
      </c>
      <c r="O579" s="49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25">
        <f>MAX(-0.05,NORMINV(RAND(),$C$6,$D$6))</f>
        <v/>
      </c>
      <c r="L580" s="25">
        <f>MAX(0.02,NORMINV(RAND(),$C$7,$D$7))</f>
        <v/>
      </c>
      <c r="M580" s="25">
        <f>MIN(0.16,MAX(0.05,NORMINV(RAND(),$C$8,$D$8)))</f>
        <v/>
      </c>
      <c r="N580" s="26">
        <f>MIN(24,MAX(5,NORMINV(RAND(),$C$9,$D$9)))</f>
        <v/>
      </c>
      <c r="O580" s="49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25">
        <f>MAX(-0.05,NORMINV(RAND(),$C$6,$D$6))</f>
        <v/>
      </c>
      <c r="L581" s="25">
        <f>MAX(0.02,NORMINV(RAND(),$C$7,$D$7))</f>
        <v/>
      </c>
      <c r="M581" s="25">
        <f>MIN(0.16,MAX(0.05,NORMINV(RAND(),$C$8,$D$8)))</f>
        <v/>
      </c>
      <c r="N581" s="26">
        <f>MIN(24,MAX(5,NORMINV(RAND(),$C$9,$D$9)))</f>
        <v/>
      </c>
      <c r="O581" s="49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25">
        <f>MAX(-0.05,NORMINV(RAND(),$C$6,$D$6))</f>
        <v/>
      </c>
      <c r="L582" s="25">
        <f>MAX(0.02,NORMINV(RAND(),$C$7,$D$7))</f>
        <v/>
      </c>
      <c r="M582" s="25">
        <f>MIN(0.16,MAX(0.05,NORMINV(RAND(),$C$8,$D$8)))</f>
        <v/>
      </c>
      <c r="N582" s="26">
        <f>MIN(24,MAX(5,NORMINV(RAND(),$C$9,$D$9)))</f>
        <v/>
      </c>
      <c r="O582" s="49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25">
        <f>MAX(-0.05,NORMINV(RAND(),$C$6,$D$6))</f>
        <v/>
      </c>
      <c r="L583" s="25">
        <f>MAX(0.02,NORMINV(RAND(),$C$7,$D$7))</f>
        <v/>
      </c>
      <c r="M583" s="25">
        <f>MIN(0.16,MAX(0.05,NORMINV(RAND(),$C$8,$D$8)))</f>
        <v/>
      </c>
      <c r="N583" s="26">
        <f>MIN(24,MAX(5,NORMINV(RAND(),$C$9,$D$9)))</f>
        <v/>
      </c>
      <c r="O583" s="49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25">
        <f>MAX(-0.05,NORMINV(RAND(),$C$6,$D$6))</f>
        <v/>
      </c>
      <c r="L584" s="25">
        <f>MAX(0.02,NORMINV(RAND(),$C$7,$D$7))</f>
        <v/>
      </c>
      <c r="M584" s="25">
        <f>MIN(0.16,MAX(0.05,NORMINV(RAND(),$C$8,$D$8)))</f>
        <v/>
      </c>
      <c r="N584" s="26">
        <f>MIN(24,MAX(5,NORMINV(RAND(),$C$9,$D$9)))</f>
        <v/>
      </c>
      <c r="O584" s="49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25">
        <f>MAX(-0.05,NORMINV(RAND(),$C$6,$D$6))</f>
        <v/>
      </c>
      <c r="L585" s="25">
        <f>MAX(0.02,NORMINV(RAND(),$C$7,$D$7))</f>
        <v/>
      </c>
      <c r="M585" s="25">
        <f>MIN(0.16,MAX(0.05,NORMINV(RAND(),$C$8,$D$8)))</f>
        <v/>
      </c>
      <c r="N585" s="26">
        <f>MIN(24,MAX(5,NORMINV(RAND(),$C$9,$D$9)))</f>
        <v/>
      </c>
      <c r="O585" s="49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25">
        <f>MAX(-0.05,NORMINV(RAND(),$C$6,$D$6))</f>
        <v/>
      </c>
      <c r="L586" s="25">
        <f>MAX(0.02,NORMINV(RAND(),$C$7,$D$7))</f>
        <v/>
      </c>
      <c r="M586" s="25">
        <f>MIN(0.16,MAX(0.05,NORMINV(RAND(),$C$8,$D$8)))</f>
        <v/>
      </c>
      <c r="N586" s="26">
        <f>MIN(24,MAX(5,NORMINV(RAND(),$C$9,$D$9)))</f>
        <v/>
      </c>
      <c r="O586" s="49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25">
        <f>MAX(-0.05,NORMINV(RAND(),$C$6,$D$6))</f>
        <v/>
      </c>
      <c r="L587" s="25">
        <f>MAX(0.02,NORMINV(RAND(),$C$7,$D$7))</f>
        <v/>
      </c>
      <c r="M587" s="25">
        <f>MIN(0.16,MAX(0.05,NORMINV(RAND(),$C$8,$D$8)))</f>
        <v/>
      </c>
      <c r="N587" s="26">
        <f>MIN(24,MAX(5,NORMINV(RAND(),$C$9,$D$9)))</f>
        <v/>
      </c>
      <c r="O587" s="49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25">
        <f>MAX(-0.05,NORMINV(RAND(),$C$6,$D$6))</f>
        <v/>
      </c>
      <c r="L588" s="25">
        <f>MAX(0.02,NORMINV(RAND(),$C$7,$D$7))</f>
        <v/>
      </c>
      <c r="M588" s="25">
        <f>MIN(0.16,MAX(0.05,NORMINV(RAND(),$C$8,$D$8)))</f>
        <v/>
      </c>
      <c r="N588" s="26">
        <f>MIN(24,MAX(5,NORMINV(RAND(),$C$9,$D$9)))</f>
        <v/>
      </c>
      <c r="O588" s="49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25">
        <f>MAX(-0.05,NORMINV(RAND(),$C$6,$D$6))</f>
        <v/>
      </c>
      <c r="L589" s="25">
        <f>MAX(0.02,NORMINV(RAND(),$C$7,$D$7))</f>
        <v/>
      </c>
      <c r="M589" s="25">
        <f>MIN(0.16,MAX(0.05,NORMINV(RAND(),$C$8,$D$8)))</f>
        <v/>
      </c>
      <c r="N589" s="26">
        <f>MIN(24,MAX(5,NORMINV(RAND(),$C$9,$D$9)))</f>
        <v/>
      </c>
      <c r="O589" s="49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25">
        <f>MAX(-0.05,NORMINV(RAND(),$C$6,$D$6))</f>
        <v/>
      </c>
      <c r="L590" s="25">
        <f>MAX(0.02,NORMINV(RAND(),$C$7,$D$7))</f>
        <v/>
      </c>
      <c r="M590" s="25">
        <f>MIN(0.16,MAX(0.05,NORMINV(RAND(),$C$8,$D$8)))</f>
        <v/>
      </c>
      <c r="N590" s="26">
        <f>MIN(24,MAX(5,NORMINV(RAND(),$C$9,$D$9)))</f>
        <v/>
      </c>
      <c r="O590" s="49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25">
        <f>MAX(-0.05,NORMINV(RAND(),$C$6,$D$6))</f>
        <v/>
      </c>
      <c r="L591" s="25">
        <f>MAX(0.02,NORMINV(RAND(),$C$7,$D$7))</f>
        <v/>
      </c>
      <c r="M591" s="25">
        <f>MIN(0.16,MAX(0.05,NORMINV(RAND(),$C$8,$D$8)))</f>
        <v/>
      </c>
      <c r="N591" s="26">
        <f>MIN(24,MAX(5,NORMINV(RAND(),$C$9,$D$9)))</f>
        <v/>
      </c>
      <c r="O591" s="49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25">
        <f>MAX(-0.05,NORMINV(RAND(),$C$6,$D$6))</f>
        <v/>
      </c>
      <c r="L592" s="25">
        <f>MAX(0.02,NORMINV(RAND(),$C$7,$D$7))</f>
        <v/>
      </c>
      <c r="M592" s="25">
        <f>MIN(0.16,MAX(0.05,NORMINV(RAND(),$C$8,$D$8)))</f>
        <v/>
      </c>
      <c r="N592" s="26">
        <f>MIN(24,MAX(5,NORMINV(RAND(),$C$9,$D$9)))</f>
        <v/>
      </c>
      <c r="O592" s="49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25">
        <f>MAX(-0.05,NORMINV(RAND(),$C$6,$D$6))</f>
        <v/>
      </c>
      <c r="L593" s="25">
        <f>MAX(0.02,NORMINV(RAND(),$C$7,$D$7))</f>
        <v/>
      </c>
      <c r="M593" s="25">
        <f>MIN(0.16,MAX(0.05,NORMINV(RAND(),$C$8,$D$8)))</f>
        <v/>
      </c>
      <c r="N593" s="26">
        <f>MIN(24,MAX(5,NORMINV(RAND(),$C$9,$D$9)))</f>
        <v/>
      </c>
      <c r="O593" s="49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25">
        <f>MAX(-0.05,NORMINV(RAND(),$C$6,$D$6))</f>
        <v/>
      </c>
      <c r="L594" s="25">
        <f>MAX(0.02,NORMINV(RAND(),$C$7,$D$7))</f>
        <v/>
      </c>
      <c r="M594" s="25">
        <f>MIN(0.16,MAX(0.05,NORMINV(RAND(),$C$8,$D$8)))</f>
        <v/>
      </c>
      <c r="N594" s="26">
        <f>MIN(24,MAX(5,NORMINV(RAND(),$C$9,$D$9)))</f>
        <v/>
      </c>
      <c r="O594" s="49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25">
        <f>MAX(-0.05,NORMINV(RAND(),$C$6,$D$6))</f>
        <v/>
      </c>
      <c r="L595" s="25">
        <f>MAX(0.02,NORMINV(RAND(),$C$7,$D$7))</f>
        <v/>
      </c>
      <c r="M595" s="25">
        <f>MIN(0.16,MAX(0.05,NORMINV(RAND(),$C$8,$D$8)))</f>
        <v/>
      </c>
      <c r="N595" s="26">
        <f>MIN(24,MAX(5,NORMINV(RAND(),$C$9,$D$9)))</f>
        <v/>
      </c>
      <c r="O595" s="49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25">
        <f>MAX(-0.05,NORMINV(RAND(),$C$6,$D$6))</f>
        <v/>
      </c>
      <c r="L596" s="25">
        <f>MAX(0.02,NORMINV(RAND(),$C$7,$D$7))</f>
        <v/>
      </c>
      <c r="M596" s="25">
        <f>MIN(0.16,MAX(0.05,NORMINV(RAND(),$C$8,$D$8)))</f>
        <v/>
      </c>
      <c r="N596" s="26">
        <f>MIN(24,MAX(5,NORMINV(RAND(),$C$9,$D$9)))</f>
        <v/>
      </c>
      <c r="O596" s="49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25">
        <f>MAX(-0.05,NORMINV(RAND(),$C$6,$D$6))</f>
        <v/>
      </c>
      <c r="L597" s="25">
        <f>MAX(0.02,NORMINV(RAND(),$C$7,$D$7))</f>
        <v/>
      </c>
      <c r="M597" s="25">
        <f>MIN(0.16,MAX(0.05,NORMINV(RAND(),$C$8,$D$8)))</f>
        <v/>
      </c>
      <c r="N597" s="26">
        <f>MIN(24,MAX(5,NORMINV(RAND(),$C$9,$D$9)))</f>
        <v/>
      </c>
      <c r="O597" s="49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25">
        <f>MAX(-0.05,NORMINV(RAND(),$C$6,$D$6))</f>
        <v/>
      </c>
      <c r="L598" s="25">
        <f>MAX(0.02,NORMINV(RAND(),$C$7,$D$7))</f>
        <v/>
      </c>
      <c r="M598" s="25">
        <f>MIN(0.16,MAX(0.05,NORMINV(RAND(),$C$8,$D$8)))</f>
        <v/>
      </c>
      <c r="N598" s="26">
        <f>MIN(24,MAX(5,NORMINV(RAND(),$C$9,$D$9)))</f>
        <v/>
      </c>
      <c r="O598" s="49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25">
        <f>MAX(-0.05,NORMINV(RAND(),$C$6,$D$6))</f>
        <v/>
      </c>
      <c r="L599" s="25">
        <f>MAX(0.02,NORMINV(RAND(),$C$7,$D$7))</f>
        <v/>
      </c>
      <c r="M599" s="25">
        <f>MIN(0.16,MAX(0.05,NORMINV(RAND(),$C$8,$D$8)))</f>
        <v/>
      </c>
      <c r="N599" s="26">
        <f>MIN(24,MAX(5,NORMINV(RAND(),$C$9,$D$9)))</f>
        <v/>
      </c>
      <c r="O599" s="49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25">
        <f>MAX(-0.05,NORMINV(RAND(),$C$6,$D$6))</f>
        <v/>
      </c>
      <c r="L600" s="25">
        <f>MAX(0.02,NORMINV(RAND(),$C$7,$D$7))</f>
        <v/>
      </c>
      <c r="M600" s="25">
        <f>MIN(0.16,MAX(0.05,NORMINV(RAND(),$C$8,$D$8)))</f>
        <v/>
      </c>
      <c r="N600" s="26">
        <f>MIN(24,MAX(5,NORMINV(RAND(),$C$9,$D$9)))</f>
        <v/>
      </c>
      <c r="O600" s="49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25">
        <f>MAX(-0.05,NORMINV(RAND(),$C$6,$D$6))</f>
        <v/>
      </c>
      <c r="L601" s="25">
        <f>MAX(0.02,NORMINV(RAND(),$C$7,$D$7))</f>
        <v/>
      </c>
      <c r="M601" s="25">
        <f>MIN(0.16,MAX(0.05,NORMINV(RAND(),$C$8,$D$8)))</f>
        <v/>
      </c>
      <c r="N601" s="26">
        <f>MIN(24,MAX(5,NORMINV(RAND(),$C$9,$D$9)))</f>
        <v/>
      </c>
      <c r="O601" s="49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25">
        <f>MAX(-0.05,NORMINV(RAND(),$C$6,$D$6))</f>
        <v/>
      </c>
      <c r="L602" s="25">
        <f>MAX(0.02,NORMINV(RAND(),$C$7,$D$7))</f>
        <v/>
      </c>
      <c r="M602" s="25">
        <f>MIN(0.16,MAX(0.05,NORMINV(RAND(),$C$8,$D$8)))</f>
        <v/>
      </c>
      <c r="N602" s="26">
        <f>MIN(24,MAX(5,NORMINV(RAND(),$C$9,$D$9)))</f>
        <v/>
      </c>
      <c r="O602" s="49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25">
        <f>MAX(-0.05,NORMINV(RAND(),$C$6,$D$6))</f>
        <v/>
      </c>
      <c r="L603" s="25">
        <f>MAX(0.02,NORMINV(RAND(),$C$7,$D$7))</f>
        <v/>
      </c>
      <c r="M603" s="25">
        <f>MIN(0.16,MAX(0.05,NORMINV(RAND(),$C$8,$D$8)))</f>
        <v/>
      </c>
      <c r="N603" s="26">
        <f>MIN(24,MAX(5,NORMINV(RAND(),$C$9,$D$9)))</f>
        <v/>
      </c>
      <c r="O603" s="49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25">
        <f>MAX(-0.05,NORMINV(RAND(),$C$6,$D$6))</f>
        <v/>
      </c>
      <c r="L604" s="25">
        <f>MAX(0.02,NORMINV(RAND(),$C$7,$D$7))</f>
        <v/>
      </c>
      <c r="M604" s="25">
        <f>MIN(0.16,MAX(0.05,NORMINV(RAND(),$C$8,$D$8)))</f>
        <v/>
      </c>
      <c r="N604" s="26">
        <f>MIN(24,MAX(5,NORMINV(RAND(),$C$9,$D$9)))</f>
        <v/>
      </c>
      <c r="O604" s="49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25">
        <f>MAX(-0.05,NORMINV(RAND(),$C$6,$D$6))</f>
        <v/>
      </c>
      <c r="L605" s="25">
        <f>MAX(0.02,NORMINV(RAND(),$C$7,$D$7))</f>
        <v/>
      </c>
      <c r="M605" s="25">
        <f>MIN(0.16,MAX(0.05,NORMINV(RAND(),$C$8,$D$8)))</f>
        <v/>
      </c>
      <c r="N605" s="26">
        <f>MIN(24,MAX(5,NORMINV(RAND(),$C$9,$D$9)))</f>
        <v/>
      </c>
      <c r="O605" s="49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25">
        <f>MAX(-0.05,NORMINV(RAND(),$C$6,$D$6))</f>
        <v/>
      </c>
      <c r="L606" s="25">
        <f>MAX(0.02,NORMINV(RAND(),$C$7,$D$7))</f>
        <v/>
      </c>
      <c r="M606" s="25">
        <f>MIN(0.16,MAX(0.05,NORMINV(RAND(),$C$8,$D$8)))</f>
        <v/>
      </c>
      <c r="N606" s="26">
        <f>MIN(24,MAX(5,NORMINV(RAND(),$C$9,$D$9)))</f>
        <v/>
      </c>
      <c r="O606" s="49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25">
        <f>MAX(-0.05,NORMINV(RAND(),$C$6,$D$6))</f>
        <v/>
      </c>
      <c r="L607" s="25">
        <f>MAX(0.02,NORMINV(RAND(),$C$7,$D$7))</f>
        <v/>
      </c>
      <c r="M607" s="25">
        <f>MIN(0.16,MAX(0.05,NORMINV(RAND(),$C$8,$D$8)))</f>
        <v/>
      </c>
      <c r="N607" s="26">
        <f>MIN(24,MAX(5,NORMINV(RAND(),$C$9,$D$9)))</f>
        <v/>
      </c>
      <c r="O607" s="49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25">
        <f>MAX(-0.05,NORMINV(RAND(),$C$6,$D$6))</f>
        <v/>
      </c>
      <c r="L608" s="25">
        <f>MAX(0.02,NORMINV(RAND(),$C$7,$D$7))</f>
        <v/>
      </c>
      <c r="M608" s="25">
        <f>MIN(0.16,MAX(0.05,NORMINV(RAND(),$C$8,$D$8)))</f>
        <v/>
      </c>
      <c r="N608" s="26">
        <f>MIN(24,MAX(5,NORMINV(RAND(),$C$9,$D$9)))</f>
        <v/>
      </c>
      <c r="O608" s="49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25">
        <f>MAX(-0.05,NORMINV(RAND(),$C$6,$D$6))</f>
        <v/>
      </c>
      <c r="L609" s="25">
        <f>MAX(0.02,NORMINV(RAND(),$C$7,$D$7))</f>
        <v/>
      </c>
      <c r="M609" s="25">
        <f>MIN(0.16,MAX(0.05,NORMINV(RAND(),$C$8,$D$8)))</f>
        <v/>
      </c>
      <c r="N609" s="26">
        <f>MIN(24,MAX(5,NORMINV(RAND(),$C$9,$D$9)))</f>
        <v/>
      </c>
      <c r="O609" s="49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25">
        <f>MAX(-0.05,NORMINV(RAND(),$C$6,$D$6))</f>
        <v/>
      </c>
      <c r="L610" s="25">
        <f>MAX(0.02,NORMINV(RAND(),$C$7,$D$7))</f>
        <v/>
      </c>
      <c r="M610" s="25">
        <f>MIN(0.16,MAX(0.05,NORMINV(RAND(),$C$8,$D$8)))</f>
        <v/>
      </c>
      <c r="N610" s="26">
        <f>MIN(24,MAX(5,NORMINV(RAND(),$C$9,$D$9)))</f>
        <v/>
      </c>
      <c r="O610" s="49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25">
        <f>MAX(-0.05,NORMINV(RAND(),$C$6,$D$6))</f>
        <v/>
      </c>
      <c r="L611" s="25">
        <f>MAX(0.02,NORMINV(RAND(),$C$7,$D$7))</f>
        <v/>
      </c>
      <c r="M611" s="25">
        <f>MIN(0.16,MAX(0.05,NORMINV(RAND(),$C$8,$D$8)))</f>
        <v/>
      </c>
      <c r="N611" s="26">
        <f>MIN(24,MAX(5,NORMINV(RAND(),$C$9,$D$9)))</f>
        <v/>
      </c>
      <c r="O611" s="49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25">
        <f>MAX(-0.05,NORMINV(RAND(),$C$6,$D$6))</f>
        <v/>
      </c>
      <c r="L612" s="25">
        <f>MAX(0.02,NORMINV(RAND(),$C$7,$D$7))</f>
        <v/>
      </c>
      <c r="M612" s="25">
        <f>MIN(0.16,MAX(0.05,NORMINV(RAND(),$C$8,$D$8)))</f>
        <v/>
      </c>
      <c r="N612" s="26">
        <f>MIN(24,MAX(5,NORMINV(RAND(),$C$9,$D$9)))</f>
        <v/>
      </c>
      <c r="O612" s="49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25">
        <f>MAX(-0.05,NORMINV(RAND(),$C$6,$D$6))</f>
        <v/>
      </c>
      <c r="L613" s="25">
        <f>MAX(0.02,NORMINV(RAND(),$C$7,$D$7))</f>
        <v/>
      </c>
      <c r="M613" s="25">
        <f>MIN(0.16,MAX(0.05,NORMINV(RAND(),$C$8,$D$8)))</f>
        <v/>
      </c>
      <c r="N613" s="26">
        <f>MIN(24,MAX(5,NORMINV(RAND(),$C$9,$D$9)))</f>
        <v/>
      </c>
      <c r="O613" s="49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25">
        <f>MAX(-0.05,NORMINV(RAND(),$C$6,$D$6))</f>
        <v/>
      </c>
      <c r="L614" s="25">
        <f>MAX(0.02,NORMINV(RAND(),$C$7,$D$7))</f>
        <v/>
      </c>
      <c r="M614" s="25">
        <f>MIN(0.16,MAX(0.05,NORMINV(RAND(),$C$8,$D$8)))</f>
        <v/>
      </c>
      <c r="N614" s="26">
        <f>MIN(24,MAX(5,NORMINV(RAND(),$C$9,$D$9)))</f>
        <v/>
      </c>
      <c r="O614" s="49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25">
        <f>MAX(-0.05,NORMINV(RAND(),$C$6,$D$6))</f>
        <v/>
      </c>
      <c r="L615" s="25">
        <f>MAX(0.02,NORMINV(RAND(),$C$7,$D$7))</f>
        <v/>
      </c>
      <c r="M615" s="25">
        <f>MIN(0.16,MAX(0.05,NORMINV(RAND(),$C$8,$D$8)))</f>
        <v/>
      </c>
      <c r="N615" s="26">
        <f>MIN(24,MAX(5,NORMINV(RAND(),$C$9,$D$9)))</f>
        <v/>
      </c>
      <c r="O615" s="49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25">
        <f>MAX(-0.05,NORMINV(RAND(),$C$6,$D$6))</f>
        <v/>
      </c>
      <c r="L616" s="25">
        <f>MAX(0.02,NORMINV(RAND(),$C$7,$D$7))</f>
        <v/>
      </c>
      <c r="M616" s="25">
        <f>MIN(0.16,MAX(0.05,NORMINV(RAND(),$C$8,$D$8)))</f>
        <v/>
      </c>
      <c r="N616" s="26">
        <f>MIN(24,MAX(5,NORMINV(RAND(),$C$9,$D$9)))</f>
        <v/>
      </c>
      <c r="O616" s="49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25">
        <f>MAX(-0.05,NORMINV(RAND(),$C$6,$D$6))</f>
        <v/>
      </c>
      <c r="L617" s="25">
        <f>MAX(0.02,NORMINV(RAND(),$C$7,$D$7))</f>
        <v/>
      </c>
      <c r="M617" s="25">
        <f>MIN(0.16,MAX(0.05,NORMINV(RAND(),$C$8,$D$8)))</f>
        <v/>
      </c>
      <c r="N617" s="26">
        <f>MIN(24,MAX(5,NORMINV(RAND(),$C$9,$D$9)))</f>
        <v/>
      </c>
      <c r="O617" s="49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25">
        <f>MAX(-0.05,NORMINV(RAND(),$C$6,$D$6))</f>
        <v/>
      </c>
      <c r="L618" s="25">
        <f>MAX(0.02,NORMINV(RAND(),$C$7,$D$7))</f>
        <v/>
      </c>
      <c r="M618" s="25">
        <f>MIN(0.16,MAX(0.05,NORMINV(RAND(),$C$8,$D$8)))</f>
        <v/>
      </c>
      <c r="N618" s="26">
        <f>MIN(24,MAX(5,NORMINV(RAND(),$C$9,$D$9)))</f>
        <v/>
      </c>
      <c r="O618" s="49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25">
        <f>MAX(-0.05,NORMINV(RAND(),$C$6,$D$6))</f>
        <v/>
      </c>
      <c r="L619" s="25">
        <f>MAX(0.02,NORMINV(RAND(),$C$7,$D$7))</f>
        <v/>
      </c>
      <c r="M619" s="25">
        <f>MIN(0.16,MAX(0.05,NORMINV(RAND(),$C$8,$D$8)))</f>
        <v/>
      </c>
      <c r="N619" s="26">
        <f>MIN(24,MAX(5,NORMINV(RAND(),$C$9,$D$9)))</f>
        <v/>
      </c>
      <c r="O619" s="49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25">
        <f>MAX(-0.05,NORMINV(RAND(),$C$6,$D$6))</f>
        <v/>
      </c>
      <c r="L620" s="25">
        <f>MAX(0.02,NORMINV(RAND(),$C$7,$D$7))</f>
        <v/>
      </c>
      <c r="M620" s="25">
        <f>MIN(0.16,MAX(0.05,NORMINV(RAND(),$C$8,$D$8)))</f>
        <v/>
      </c>
      <c r="N620" s="26">
        <f>MIN(24,MAX(5,NORMINV(RAND(),$C$9,$D$9)))</f>
        <v/>
      </c>
      <c r="O620" s="49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25">
        <f>MAX(-0.05,NORMINV(RAND(),$C$6,$D$6))</f>
        <v/>
      </c>
      <c r="L621" s="25">
        <f>MAX(0.02,NORMINV(RAND(),$C$7,$D$7))</f>
        <v/>
      </c>
      <c r="M621" s="25">
        <f>MIN(0.16,MAX(0.05,NORMINV(RAND(),$C$8,$D$8)))</f>
        <v/>
      </c>
      <c r="N621" s="26">
        <f>MIN(24,MAX(5,NORMINV(RAND(),$C$9,$D$9)))</f>
        <v/>
      </c>
      <c r="O621" s="49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25">
        <f>MAX(-0.05,NORMINV(RAND(),$C$6,$D$6))</f>
        <v/>
      </c>
      <c r="L622" s="25">
        <f>MAX(0.02,NORMINV(RAND(),$C$7,$D$7))</f>
        <v/>
      </c>
      <c r="M622" s="25">
        <f>MIN(0.16,MAX(0.05,NORMINV(RAND(),$C$8,$D$8)))</f>
        <v/>
      </c>
      <c r="N622" s="26">
        <f>MIN(24,MAX(5,NORMINV(RAND(),$C$9,$D$9)))</f>
        <v/>
      </c>
      <c r="O622" s="49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25">
        <f>MAX(-0.05,NORMINV(RAND(),$C$6,$D$6))</f>
        <v/>
      </c>
      <c r="L623" s="25">
        <f>MAX(0.02,NORMINV(RAND(),$C$7,$D$7))</f>
        <v/>
      </c>
      <c r="M623" s="25">
        <f>MIN(0.16,MAX(0.05,NORMINV(RAND(),$C$8,$D$8)))</f>
        <v/>
      </c>
      <c r="N623" s="26">
        <f>MIN(24,MAX(5,NORMINV(RAND(),$C$9,$D$9)))</f>
        <v/>
      </c>
      <c r="O623" s="49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25">
        <f>MAX(-0.05,NORMINV(RAND(),$C$6,$D$6))</f>
        <v/>
      </c>
      <c r="L624" s="25">
        <f>MAX(0.02,NORMINV(RAND(),$C$7,$D$7))</f>
        <v/>
      </c>
      <c r="M624" s="25">
        <f>MIN(0.16,MAX(0.05,NORMINV(RAND(),$C$8,$D$8)))</f>
        <v/>
      </c>
      <c r="N624" s="26">
        <f>MIN(24,MAX(5,NORMINV(RAND(),$C$9,$D$9)))</f>
        <v/>
      </c>
      <c r="O624" s="49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25">
        <f>MAX(-0.05,NORMINV(RAND(),$C$6,$D$6))</f>
        <v/>
      </c>
      <c r="L625" s="25">
        <f>MAX(0.02,NORMINV(RAND(),$C$7,$D$7))</f>
        <v/>
      </c>
      <c r="M625" s="25">
        <f>MIN(0.16,MAX(0.05,NORMINV(RAND(),$C$8,$D$8)))</f>
        <v/>
      </c>
      <c r="N625" s="26">
        <f>MIN(24,MAX(5,NORMINV(RAND(),$C$9,$D$9)))</f>
        <v/>
      </c>
      <c r="O625" s="49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25">
        <f>MAX(-0.05,NORMINV(RAND(),$C$6,$D$6))</f>
        <v/>
      </c>
      <c r="L626" s="25">
        <f>MAX(0.02,NORMINV(RAND(),$C$7,$D$7))</f>
        <v/>
      </c>
      <c r="M626" s="25">
        <f>MIN(0.16,MAX(0.05,NORMINV(RAND(),$C$8,$D$8)))</f>
        <v/>
      </c>
      <c r="N626" s="26">
        <f>MIN(24,MAX(5,NORMINV(RAND(),$C$9,$D$9)))</f>
        <v/>
      </c>
      <c r="O626" s="49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25">
        <f>MAX(-0.05,NORMINV(RAND(),$C$6,$D$6))</f>
        <v/>
      </c>
      <c r="L627" s="25">
        <f>MAX(0.02,NORMINV(RAND(),$C$7,$D$7))</f>
        <v/>
      </c>
      <c r="M627" s="25">
        <f>MIN(0.16,MAX(0.05,NORMINV(RAND(),$C$8,$D$8)))</f>
        <v/>
      </c>
      <c r="N627" s="26">
        <f>MIN(24,MAX(5,NORMINV(RAND(),$C$9,$D$9)))</f>
        <v/>
      </c>
      <c r="O627" s="49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25">
        <f>MAX(-0.05,NORMINV(RAND(),$C$6,$D$6))</f>
        <v/>
      </c>
      <c r="L628" s="25">
        <f>MAX(0.02,NORMINV(RAND(),$C$7,$D$7))</f>
        <v/>
      </c>
      <c r="M628" s="25">
        <f>MIN(0.16,MAX(0.05,NORMINV(RAND(),$C$8,$D$8)))</f>
        <v/>
      </c>
      <c r="N628" s="26">
        <f>MIN(24,MAX(5,NORMINV(RAND(),$C$9,$D$9)))</f>
        <v/>
      </c>
      <c r="O628" s="49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25">
        <f>MAX(-0.05,NORMINV(RAND(),$C$6,$D$6))</f>
        <v/>
      </c>
      <c r="L629" s="25">
        <f>MAX(0.02,NORMINV(RAND(),$C$7,$D$7))</f>
        <v/>
      </c>
      <c r="M629" s="25">
        <f>MIN(0.16,MAX(0.05,NORMINV(RAND(),$C$8,$D$8)))</f>
        <v/>
      </c>
      <c r="N629" s="26">
        <f>MIN(24,MAX(5,NORMINV(RAND(),$C$9,$D$9)))</f>
        <v/>
      </c>
      <c r="O629" s="49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25">
        <f>MAX(-0.05,NORMINV(RAND(),$C$6,$D$6))</f>
        <v/>
      </c>
      <c r="L630" s="25">
        <f>MAX(0.02,NORMINV(RAND(),$C$7,$D$7))</f>
        <v/>
      </c>
      <c r="M630" s="25">
        <f>MIN(0.16,MAX(0.05,NORMINV(RAND(),$C$8,$D$8)))</f>
        <v/>
      </c>
      <c r="N630" s="26">
        <f>MIN(24,MAX(5,NORMINV(RAND(),$C$9,$D$9)))</f>
        <v/>
      </c>
      <c r="O630" s="49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25">
        <f>MAX(-0.05,NORMINV(RAND(),$C$6,$D$6))</f>
        <v/>
      </c>
      <c r="L631" s="25">
        <f>MAX(0.02,NORMINV(RAND(),$C$7,$D$7))</f>
        <v/>
      </c>
      <c r="M631" s="25">
        <f>MIN(0.16,MAX(0.05,NORMINV(RAND(),$C$8,$D$8)))</f>
        <v/>
      </c>
      <c r="N631" s="26">
        <f>MIN(24,MAX(5,NORMINV(RAND(),$C$9,$D$9)))</f>
        <v/>
      </c>
      <c r="O631" s="49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25">
        <f>MAX(-0.05,NORMINV(RAND(),$C$6,$D$6))</f>
        <v/>
      </c>
      <c r="L632" s="25">
        <f>MAX(0.02,NORMINV(RAND(),$C$7,$D$7))</f>
        <v/>
      </c>
      <c r="M632" s="25">
        <f>MIN(0.16,MAX(0.05,NORMINV(RAND(),$C$8,$D$8)))</f>
        <v/>
      </c>
      <c r="N632" s="26">
        <f>MIN(24,MAX(5,NORMINV(RAND(),$C$9,$D$9)))</f>
        <v/>
      </c>
      <c r="O632" s="49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25">
        <f>MAX(-0.05,NORMINV(RAND(),$C$6,$D$6))</f>
        <v/>
      </c>
      <c r="L633" s="25">
        <f>MAX(0.02,NORMINV(RAND(),$C$7,$D$7))</f>
        <v/>
      </c>
      <c r="M633" s="25">
        <f>MIN(0.16,MAX(0.05,NORMINV(RAND(),$C$8,$D$8)))</f>
        <v/>
      </c>
      <c r="N633" s="26">
        <f>MIN(24,MAX(5,NORMINV(RAND(),$C$9,$D$9)))</f>
        <v/>
      </c>
      <c r="O633" s="49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25">
        <f>MAX(-0.05,NORMINV(RAND(),$C$6,$D$6))</f>
        <v/>
      </c>
      <c r="L634" s="25">
        <f>MAX(0.02,NORMINV(RAND(),$C$7,$D$7))</f>
        <v/>
      </c>
      <c r="M634" s="25">
        <f>MIN(0.16,MAX(0.05,NORMINV(RAND(),$C$8,$D$8)))</f>
        <v/>
      </c>
      <c r="N634" s="26">
        <f>MIN(24,MAX(5,NORMINV(RAND(),$C$9,$D$9)))</f>
        <v/>
      </c>
      <c r="O634" s="49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25">
        <f>MAX(-0.05,NORMINV(RAND(),$C$6,$D$6))</f>
        <v/>
      </c>
      <c r="L635" s="25">
        <f>MAX(0.02,NORMINV(RAND(),$C$7,$D$7))</f>
        <v/>
      </c>
      <c r="M635" s="25">
        <f>MIN(0.16,MAX(0.05,NORMINV(RAND(),$C$8,$D$8)))</f>
        <v/>
      </c>
      <c r="N635" s="26">
        <f>MIN(24,MAX(5,NORMINV(RAND(),$C$9,$D$9)))</f>
        <v/>
      </c>
      <c r="O635" s="49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25">
        <f>MAX(-0.05,NORMINV(RAND(),$C$6,$D$6))</f>
        <v/>
      </c>
      <c r="L636" s="25">
        <f>MAX(0.02,NORMINV(RAND(),$C$7,$D$7))</f>
        <v/>
      </c>
      <c r="M636" s="25">
        <f>MIN(0.16,MAX(0.05,NORMINV(RAND(),$C$8,$D$8)))</f>
        <v/>
      </c>
      <c r="N636" s="26">
        <f>MIN(24,MAX(5,NORMINV(RAND(),$C$9,$D$9)))</f>
        <v/>
      </c>
      <c r="O636" s="49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25">
        <f>MAX(-0.05,NORMINV(RAND(),$C$6,$D$6))</f>
        <v/>
      </c>
      <c r="L637" s="25">
        <f>MAX(0.02,NORMINV(RAND(),$C$7,$D$7))</f>
        <v/>
      </c>
      <c r="M637" s="25">
        <f>MIN(0.16,MAX(0.05,NORMINV(RAND(),$C$8,$D$8)))</f>
        <v/>
      </c>
      <c r="N637" s="26">
        <f>MIN(24,MAX(5,NORMINV(RAND(),$C$9,$D$9)))</f>
        <v/>
      </c>
      <c r="O637" s="49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25">
        <f>MAX(-0.05,NORMINV(RAND(),$C$6,$D$6))</f>
        <v/>
      </c>
      <c r="L638" s="25">
        <f>MAX(0.02,NORMINV(RAND(),$C$7,$D$7))</f>
        <v/>
      </c>
      <c r="M638" s="25">
        <f>MIN(0.16,MAX(0.05,NORMINV(RAND(),$C$8,$D$8)))</f>
        <v/>
      </c>
      <c r="N638" s="26">
        <f>MIN(24,MAX(5,NORMINV(RAND(),$C$9,$D$9)))</f>
        <v/>
      </c>
      <c r="O638" s="49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25">
        <f>MAX(-0.05,NORMINV(RAND(),$C$6,$D$6))</f>
        <v/>
      </c>
      <c r="L639" s="25">
        <f>MAX(0.02,NORMINV(RAND(),$C$7,$D$7))</f>
        <v/>
      </c>
      <c r="M639" s="25">
        <f>MIN(0.16,MAX(0.05,NORMINV(RAND(),$C$8,$D$8)))</f>
        <v/>
      </c>
      <c r="N639" s="26">
        <f>MIN(24,MAX(5,NORMINV(RAND(),$C$9,$D$9)))</f>
        <v/>
      </c>
      <c r="O639" s="49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25">
        <f>MAX(-0.05,NORMINV(RAND(),$C$6,$D$6))</f>
        <v/>
      </c>
      <c r="L640" s="25">
        <f>MAX(0.02,NORMINV(RAND(),$C$7,$D$7))</f>
        <v/>
      </c>
      <c r="M640" s="25">
        <f>MIN(0.16,MAX(0.05,NORMINV(RAND(),$C$8,$D$8)))</f>
        <v/>
      </c>
      <c r="N640" s="26">
        <f>MIN(24,MAX(5,NORMINV(RAND(),$C$9,$D$9)))</f>
        <v/>
      </c>
      <c r="O640" s="49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25">
        <f>MAX(-0.05,NORMINV(RAND(),$C$6,$D$6))</f>
        <v/>
      </c>
      <c r="L641" s="25">
        <f>MAX(0.02,NORMINV(RAND(),$C$7,$D$7))</f>
        <v/>
      </c>
      <c r="M641" s="25">
        <f>MIN(0.16,MAX(0.05,NORMINV(RAND(),$C$8,$D$8)))</f>
        <v/>
      </c>
      <c r="N641" s="26">
        <f>MIN(24,MAX(5,NORMINV(RAND(),$C$9,$D$9)))</f>
        <v/>
      </c>
      <c r="O641" s="49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25">
        <f>MAX(-0.05,NORMINV(RAND(),$C$6,$D$6))</f>
        <v/>
      </c>
      <c r="L642" s="25">
        <f>MAX(0.02,NORMINV(RAND(),$C$7,$D$7))</f>
        <v/>
      </c>
      <c r="M642" s="25">
        <f>MIN(0.16,MAX(0.05,NORMINV(RAND(),$C$8,$D$8)))</f>
        <v/>
      </c>
      <c r="N642" s="26">
        <f>MIN(24,MAX(5,NORMINV(RAND(),$C$9,$D$9)))</f>
        <v/>
      </c>
      <c r="O642" s="49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25">
        <f>MAX(-0.05,NORMINV(RAND(),$C$6,$D$6))</f>
        <v/>
      </c>
      <c r="L643" s="25">
        <f>MAX(0.02,NORMINV(RAND(),$C$7,$D$7))</f>
        <v/>
      </c>
      <c r="M643" s="25">
        <f>MIN(0.16,MAX(0.05,NORMINV(RAND(),$C$8,$D$8)))</f>
        <v/>
      </c>
      <c r="N643" s="26">
        <f>MIN(24,MAX(5,NORMINV(RAND(),$C$9,$D$9)))</f>
        <v/>
      </c>
      <c r="O643" s="49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25">
        <f>MAX(-0.05,NORMINV(RAND(),$C$6,$D$6))</f>
        <v/>
      </c>
      <c r="L644" s="25">
        <f>MAX(0.02,NORMINV(RAND(),$C$7,$D$7))</f>
        <v/>
      </c>
      <c r="M644" s="25">
        <f>MIN(0.16,MAX(0.05,NORMINV(RAND(),$C$8,$D$8)))</f>
        <v/>
      </c>
      <c r="N644" s="26">
        <f>MIN(24,MAX(5,NORMINV(RAND(),$C$9,$D$9)))</f>
        <v/>
      </c>
      <c r="O644" s="49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25">
        <f>MAX(-0.05,NORMINV(RAND(),$C$6,$D$6))</f>
        <v/>
      </c>
      <c r="L645" s="25">
        <f>MAX(0.02,NORMINV(RAND(),$C$7,$D$7))</f>
        <v/>
      </c>
      <c r="M645" s="25">
        <f>MIN(0.16,MAX(0.05,NORMINV(RAND(),$C$8,$D$8)))</f>
        <v/>
      </c>
      <c r="N645" s="26">
        <f>MIN(24,MAX(5,NORMINV(RAND(),$C$9,$D$9)))</f>
        <v/>
      </c>
      <c r="O645" s="49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25">
        <f>MAX(-0.05,NORMINV(RAND(),$C$6,$D$6))</f>
        <v/>
      </c>
      <c r="L646" s="25">
        <f>MAX(0.02,NORMINV(RAND(),$C$7,$D$7))</f>
        <v/>
      </c>
      <c r="M646" s="25">
        <f>MIN(0.16,MAX(0.05,NORMINV(RAND(),$C$8,$D$8)))</f>
        <v/>
      </c>
      <c r="N646" s="26">
        <f>MIN(24,MAX(5,NORMINV(RAND(),$C$9,$D$9)))</f>
        <v/>
      </c>
      <c r="O646" s="49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25">
        <f>MAX(-0.05,NORMINV(RAND(),$C$6,$D$6))</f>
        <v/>
      </c>
      <c r="L647" s="25">
        <f>MAX(0.02,NORMINV(RAND(),$C$7,$D$7))</f>
        <v/>
      </c>
      <c r="M647" s="25">
        <f>MIN(0.16,MAX(0.05,NORMINV(RAND(),$C$8,$D$8)))</f>
        <v/>
      </c>
      <c r="N647" s="26">
        <f>MIN(24,MAX(5,NORMINV(RAND(),$C$9,$D$9)))</f>
        <v/>
      </c>
      <c r="O647" s="49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25">
        <f>MAX(-0.05,NORMINV(RAND(),$C$6,$D$6))</f>
        <v/>
      </c>
      <c r="L648" s="25">
        <f>MAX(0.02,NORMINV(RAND(),$C$7,$D$7))</f>
        <v/>
      </c>
      <c r="M648" s="25">
        <f>MIN(0.16,MAX(0.05,NORMINV(RAND(),$C$8,$D$8)))</f>
        <v/>
      </c>
      <c r="N648" s="26">
        <f>MIN(24,MAX(5,NORMINV(RAND(),$C$9,$D$9)))</f>
        <v/>
      </c>
      <c r="O648" s="49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25">
        <f>MAX(-0.05,NORMINV(RAND(),$C$6,$D$6))</f>
        <v/>
      </c>
      <c r="L649" s="25">
        <f>MAX(0.02,NORMINV(RAND(),$C$7,$D$7))</f>
        <v/>
      </c>
      <c r="M649" s="25">
        <f>MIN(0.16,MAX(0.05,NORMINV(RAND(),$C$8,$D$8)))</f>
        <v/>
      </c>
      <c r="N649" s="26">
        <f>MIN(24,MAX(5,NORMINV(RAND(),$C$9,$D$9)))</f>
        <v/>
      </c>
      <c r="O649" s="49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25">
        <f>MAX(-0.05,NORMINV(RAND(),$C$6,$D$6))</f>
        <v/>
      </c>
      <c r="L650" s="25">
        <f>MAX(0.02,NORMINV(RAND(),$C$7,$D$7))</f>
        <v/>
      </c>
      <c r="M650" s="25">
        <f>MIN(0.16,MAX(0.05,NORMINV(RAND(),$C$8,$D$8)))</f>
        <v/>
      </c>
      <c r="N650" s="26">
        <f>MIN(24,MAX(5,NORMINV(RAND(),$C$9,$D$9)))</f>
        <v/>
      </c>
      <c r="O650" s="49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25">
        <f>MAX(-0.05,NORMINV(RAND(),$C$6,$D$6))</f>
        <v/>
      </c>
      <c r="L651" s="25">
        <f>MAX(0.02,NORMINV(RAND(),$C$7,$D$7))</f>
        <v/>
      </c>
      <c r="M651" s="25">
        <f>MIN(0.16,MAX(0.05,NORMINV(RAND(),$C$8,$D$8)))</f>
        <v/>
      </c>
      <c r="N651" s="26">
        <f>MIN(24,MAX(5,NORMINV(RAND(),$C$9,$D$9)))</f>
        <v/>
      </c>
      <c r="O651" s="49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25">
        <f>MAX(-0.05,NORMINV(RAND(),$C$6,$D$6))</f>
        <v/>
      </c>
      <c r="L652" s="25">
        <f>MAX(0.02,NORMINV(RAND(),$C$7,$D$7))</f>
        <v/>
      </c>
      <c r="M652" s="25">
        <f>MIN(0.16,MAX(0.05,NORMINV(RAND(),$C$8,$D$8)))</f>
        <v/>
      </c>
      <c r="N652" s="26">
        <f>MIN(24,MAX(5,NORMINV(RAND(),$C$9,$D$9)))</f>
        <v/>
      </c>
      <c r="O652" s="49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25">
        <f>MAX(-0.05,NORMINV(RAND(),$C$6,$D$6))</f>
        <v/>
      </c>
      <c r="L653" s="25">
        <f>MAX(0.02,NORMINV(RAND(),$C$7,$D$7))</f>
        <v/>
      </c>
      <c r="M653" s="25">
        <f>MIN(0.16,MAX(0.05,NORMINV(RAND(),$C$8,$D$8)))</f>
        <v/>
      </c>
      <c r="N653" s="26">
        <f>MIN(24,MAX(5,NORMINV(RAND(),$C$9,$D$9)))</f>
        <v/>
      </c>
      <c r="O653" s="49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25">
        <f>MAX(-0.05,NORMINV(RAND(),$C$6,$D$6))</f>
        <v/>
      </c>
      <c r="L654" s="25">
        <f>MAX(0.02,NORMINV(RAND(),$C$7,$D$7))</f>
        <v/>
      </c>
      <c r="M654" s="25">
        <f>MIN(0.16,MAX(0.05,NORMINV(RAND(),$C$8,$D$8)))</f>
        <v/>
      </c>
      <c r="N654" s="26">
        <f>MIN(24,MAX(5,NORMINV(RAND(),$C$9,$D$9)))</f>
        <v/>
      </c>
      <c r="O654" s="49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25">
        <f>MAX(-0.05,NORMINV(RAND(),$C$6,$D$6))</f>
        <v/>
      </c>
      <c r="L655" s="25">
        <f>MAX(0.02,NORMINV(RAND(),$C$7,$D$7))</f>
        <v/>
      </c>
      <c r="M655" s="25">
        <f>MIN(0.16,MAX(0.05,NORMINV(RAND(),$C$8,$D$8)))</f>
        <v/>
      </c>
      <c r="N655" s="26">
        <f>MIN(24,MAX(5,NORMINV(RAND(),$C$9,$D$9)))</f>
        <v/>
      </c>
      <c r="O655" s="49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25">
        <f>MAX(-0.05,NORMINV(RAND(),$C$6,$D$6))</f>
        <v/>
      </c>
      <c r="L656" s="25">
        <f>MAX(0.02,NORMINV(RAND(),$C$7,$D$7))</f>
        <v/>
      </c>
      <c r="M656" s="25">
        <f>MIN(0.16,MAX(0.05,NORMINV(RAND(),$C$8,$D$8)))</f>
        <v/>
      </c>
      <c r="N656" s="26">
        <f>MIN(24,MAX(5,NORMINV(RAND(),$C$9,$D$9)))</f>
        <v/>
      </c>
      <c r="O656" s="49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25">
        <f>MAX(-0.05,NORMINV(RAND(),$C$6,$D$6))</f>
        <v/>
      </c>
      <c r="L657" s="25">
        <f>MAX(0.02,NORMINV(RAND(),$C$7,$D$7))</f>
        <v/>
      </c>
      <c r="M657" s="25">
        <f>MIN(0.16,MAX(0.05,NORMINV(RAND(),$C$8,$D$8)))</f>
        <v/>
      </c>
      <c r="N657" s="26">
        <f>MIN(24,MAX(5,NORMINV(RAND(),$C$9,$D$9)))</f>
        <v/>
      </c>
      <c r="O657" s="49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25">
        <f>MAX(-0.05,NORMINV(RAND(),$C$6,$D$6))</f>
        <v/>
      </c>
      <c r="L658" s="25">
        <f>MAX(0.02,NORMINV(RAND(),$C$7,$D$7))</f>
        <v/>
      </c>
      <c r="M658" s="25">
        <f>MIN(0.16,MAX(0.05,NORMINV(RAND(),$C$8,$D$8)))</f>
        <v/>
      </c>
      <c r="N658" s="26">
        <f>MIN(24,MAX(5,NORMINV(RAND(),$C$9,$D$9)))</f>
        <v/>
      </c>
      <c r="O658" s="49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25">
        <f>MAX(-0.05,NORMINV(RAND(),$C$6,$D$6))</f>
        <v/>
      </c>
      <c r="L659" s="25">
        <f>MAX(0.02,NORMINV(RAND(),$C$7,$D$7))</f>
        <v/>
      </c>
      <c r="M659" s="25">
        <f>MIN(0.16,MAX(0.05,NORMINV(RAND(),$C$8,$D$8)))</f>
        <v/>
      </c>
      <c r="N659" s="26">
        <f>MIN(24,MAX(5,NORMINV(RAND(),$C$9,$D$9)))</f>
        <v/>
      </c>
      <c r="O659" s="49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25">
        <f>MAX(-0.05,NORMINV(RAND(),$C$6,$D$6))</f>
        <v/>
      </c>
      <c r="L660" s="25">
        <f>MAX(0.02,NORMINV(RAND(),$C$7,$D$7))</f>
        <v/>
      </c>
      <c r="M660" s="25">
        <f>MIN(0.16,MAX(0.05,NORMINV(RAND(),$C$8,$D$8)))</f>
        <v/>
      </c>
      <c r="N660" s="26">
        <f>MIN(24,MAX(5,NORMINV(RAND(),$C$9,$D$9)))</f>
        <v/>
      </c>
      <c r="O660" s="49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25">
        <f>MAX(-0.05,NORMINV(RAND(),$C$6,$D$6))</f>
        <v/>
      </c>
      <c r="L661" s="25">
        <f>MAX(0.02,NORMINV(RAND(),$C$7,$D$7))</f>
        <v/>
      </c>
      <c r="M661" s="25">
        <f>MIN(0.16,MAX(0.05,NORMINV(RAND(),$C$8,$D$8)))</f>
        <v/>
      </c>
      <c r="N661" s="26">
        <f>MIN(24,MAX(5,NORMINV(RAND(),$C$9,$D$9)))</f>
        <v/>
      </c>
      <c r="O661" s="49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25">
        <f>MAX(-0.05,NORMINV(RAND(),$C$6,$D$6))</f>
        <v/>
      </c>
      <c r="L662" s="25">
        <f>MAX(0.02,NORMINV(RAND(),$C$7,$D$7))</f>
        <v/>
      </c>
      <c r="M662" s="25">
        <f>MIN(0.16,MAX(0.05,NORMINV(RAND(),$C$8,$D$8)))</f>
        <v/>
      </c>
      <c r="N662" s="26">
        <f>MIN(24,MAX(5,NORMINV(RAND(),$C$9,$D$9)))</f>
        <v/>
      </c>
      <c r="O662" s="49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25">
        <f>MAX(-0.05,NORMINV(RAND(),$C$6,$D$6))</f>
        <v/>
      </c>
      <c r="L663" s="25">
        <f>MAX(0.02,NORMINV(RAND(),$C$7,$D$7))</f>
        <v/>
      </c>
      <c r="M663" s="25">
        <f>MIN(0.16,MAX(0.05,NORMINV(RAND(),$C$8,$D$8)))</f>
        <v/>
      </c>
      <c r="N663" s="26">
        <f>MIN(24,MAX(5,NORMINV(RAND(),$C$9,$D$9)))</f>
        <v/>
      </c>
      <c r="O663" s="49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25">
        <f>MAX(-0.05,NORMINV(RAND(),$C$6,$D$6))</f>
        <v/>
      </c>
      <c r="L664" s="25">
        <f>MAX(0.02,NORMINV(RAND(),$C$7,$D$7))</f>
        <v/>
      </c>
      <c r="M664" s="25">
        <f>MIN(0.16,MAX(0.05,NORMINV(RAND(),$C$8,$D$8)))</f>
        <v/>
      </c>
      <c r="N664" s="26">
        <f>MIN(24,MAX(5,NORMINV(RAND(),$C$9,$D$9)))</f>
        <v/>
      </c>
      <c r="O664" s="49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25">
        <f>MAX(-0.05,NORMINV(RAND(),$C$6,$D$6))</f>
        <v/>
      </c>
      <c r="L665" s="25">
        <f>MAX(0.02,NORMINV(RAND(),$C$7,$D$7))</f>
        <v/>
      </c>
      <c r="M665" s="25">
        <f>MIN(0.16,MAX(0.05,NORMINV(RAND(),$C$8,$D$8)))</f>
        <v/>
      </c>
      <c r="N665" s="26">
        <f>MIN(24,MAX(5,NORMINV(RAND(),$C$9,$D$9)))</f>
        <v/>
      </c>
      <c r="O665" s="49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25">
        <f>MAX(-0.05,NORMINV(RAND(),$C$6,$D$6))</f>
        <v/>
      </c>
      <c r="L666" s="25">
        <f>MAX(0.02,NORMINV(RAND(),$C$7,$D$7))</f>
        <v/>
      </c>
      <c r="M666" s="25">
        <f>MIN(0.16,MAX(0.05,NORMINV(RAND(),$C$8,$D$8)))</f>
        <v/>
      </c>
      <c r="N666" s="26">
        <f>MIN(24,MAX(5,NORMINV(RAND(),$C$9,$D$9)))</f>
        <v/>
      </c>
      <c r="O666" s="49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25">
        <f>MAX(-0.05,NORMINV(RAND(),$C$6,$D$6))</f>
        <v/>
      </c>
      <c r="L667" s="25">
        <f>MAX(0.02,NORMINV(RAND(),$C$7,$D$7))</f>
        <v/>
      </c>
      <c r="M667" s="25">
        <f>MIN(0.16,MAX(0.05,NORMINV(RAND(),$C$8,$D$8)))</f>
        <v/>
      </c>
      <c r="N667" s="26">
        <f>MIN(24,MAX(5,NORMINV(RAND(),$C$9,$D$9)))</f>
        <v/>
      </c>
      <c r="O667" s="49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25">
        <f>MAX(-0.05,NORMINV(RAND(),$C$6,$D$6))</f>
        <v/>
      </c>
      <c r="L668" s="25">
        <f>MAX(0.02,NORMINV(RAND(),$C$7,$D$7))</f>
        <v/>
      </c>
      <c r="M668" s="25">
        <f>MIN(0.16,MAX(0.05,NORMINV(RAND(),$C$8,$D$8)))</f>
        <v/>
      </c>
      <c r="N668" s="26">
        <f>MIN(24,MAX(5,NORMINV(RAND(),$C$9,$D$9)))</f>
        <v/>
      </c>
      <c r="O668" s="49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25">
        <f>MAX(-0.05,NORMINV(RAND(),$C$6,$D$6))</f>
        <v/>
      </c>
      <c r="L669" s="25">
        <f>MAX(0.02,NORMINV(RAND(),$C$7,$D$7))</f>
        <v/>
      </c>
      <c r="M669" s="25">
        <f>MIN(0.16,MAX(0.05,NORMINV(RAND(),$C$8,$D$8)))</f>
        <v/>
      </c>
      <c r="N669" s="26">
        <f>MIN(24,MAX(5,NORMINV(RAND(),$C$9,$D$9)))</f>
        <v/>
      </c>
      <c r="O669" s="49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25">
        <f>MAX(-0.05,NORMINV(RAND(),$C$6,$D$6))</f>
        <v/>
      </c>
      <c r="L670" s="25">
        <f>MAX(0.02,NORMINV(RAND(),$C$7,$D$7))</f>
        <v/>
      </c>
      <c r="M670" s="25">
        <f>MIN(0.16,MAX(0.05,NORMINV(RAND(),$C$8,$D$8)))</f>
        <v/>
      </c>
      <c r="N670" s="26">
        <f>MIN(24,MAX(5,NORMINV(RAND(),$C$9,$D$9)))</f>
        <v/>
      </c>
      <c r="O670" s="49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25">
        <f>MAX(-0.05,NORMINV(RAND(),$C$6,$D$6))</f>
        <v/>
      </c>
      <c r="L671" s="25">
        <f>MAX(0.02,NORMINV(RAND(),$C$7,$D$7))</f>
        <v/>
      </c>
      <c r="M671" s="25">
        <f>MIN(0.16,MAX(0.05,NORMINV(RAND(),$C$8,$D$8)))</f>
        <v/>
      </c>
      <c r="N671" s="26">
        <f>MIN(24,MAX(5,NORMINV(RAND(),$C$9,$D$9)))</f>
        <v/>
      </c>
      <c r="O671" s="49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25">
        <f>MAX(-0.05,NORMINV(RAND(),$C$6,$D$6))</f>
        <v/>
      </c>
      <c r="L672" s="25">
        <f>MAX(0.02,NORMINV(RAND(),$C$7,$D$7))</f>
        <v/>
      </c>
      <c r="M672" s="25">
        <f>MIN(0.16,MAX(0.05,NORMINV(RAND(),$C$8,$D$8)))</f>
        <v/>
      </c>
      <c r="N672" s="26">
        <f>MIN(24,MAX(5,NORMINV(RAND(),$C$9,$D$9)))</f>
        <v/>
      </c>
      <c r="O672" s="49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25">
        <f>MAX(-0.05,NORMINV(RAND(),$C$6,$D$6))</f>
        <v/>
      </c>
      <c r="L673" s="25">
        <f>MAX(0.02,NORMINV(RAND(),$C$7,$D$7))</f>
        <v/>
      </c>
      <c r="M673" s="25">
        <f>MIN(0.16,MAX(0.05,NORMINV(RAND(),$C$8,$D$8)))</f>
        <v/>
      </c>
      <c r="N673" s="26">
        <f>MIN(24,MAX(5,NORMINV(RAND(),$C$9,$D$9)))</f>
        <v/>
      </c>
      <c r="O673" s="49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25">
        <f>MAX(-0.05,NORMINV(RAND(),$C$6,$D$6))</f>
        <v/>
      </c>
      <c r="L674" s="25">
        <f>MAX(0.02,NORMINV(RAND(),$C$7,$D$7))</f>
        <v/>
      </c>
      <c r="M674" s="25">
        <f>MIN(0.16,MAX(0.05,NORMINV(RAND(),$C$8,$D$8)))</f>
        <v/>
      </c>
      <c r="N674" s="26">
        <f>MIN(24,MAX(5,NORMINV(RAND(),$C$9,$D$9)))</f>
        <v/>
      </c>
      <c r="O674" s="49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25">
        <f>MAX(-0.05,NORMINV(RAND(),$C$6,$D$6))</f>
        <v/>
      </c>
      <c r="L675" s="25">
        <f>MAX(0.02,NORMINV(RAND(),$C$7,$D$7))</f>
        <v/>
      </c>
      <c r="M675" s="25">
        <f>MIN(0.16,MAX(0.05,NORMINV(RAND(),$C$8,$D$8)))</f>
        <v/>
      </c>
      <c r="N675" s="26">
        <f>MIN(24,MAX(5,NORMINV(RAND(),$C$9,$D$9)))</f>
        <v/>
      </c>
      <c r="O675" s="49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25">
        <f>MAX(-0.05,NORMINV(RAND(),$C$6,$D$6))</f>
        <v/>
      </c>
      <c r="L676" s="25">
        <f>MAX(0.02,NORMINV(RAND(),$C$7,$D$7))</f>
        <v/>
      </c>
      <c r="M676" s="25">
        <f>MIN(0.16,MAX(0.05,NORMINV(RAND(),$C$8,$D$8)))</f>
        <v/>
      </c>
      <c r="N676" s="26">
        <f>MIN(24,MAX(5,NORMINV(RAND(),$C$9,$D$9)))</f>
        <v/>
      </c>
      <c r="O676" s="49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25">
        <f>MAX(-0.05,NORMINV(RAND(),$C$6,$D$6))</f>
        <v/>
      </c>
      <c r="L677" s="25">
        <f>MAX(0.02,NORMINV(RAND(),$C$7,$D$7))</f>
        <v/>
      </c>
      <c r="M677" s="25">
        <f>MIN(0.16,MAX(0.05,NORMINV(RAND(),$C$8,$D$8)))</f>
        <v/>
      </c>
      <c r="N677" s="26">
        <f>MIN(24,MAX(5,NORMINV(RAND(),$C$9,$D$9)))</f>
        <v/>
      </c>
      <c r="O677" s="49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25">
        <f>MAX(-0.05,NORMINV(RAND(),$C$6,$D$6))</f>
        <v/>
      </c>
      <c r="L678" s="25">
        <f>MAX(0.02,NORMINV(RAND(),$C$7,$D$7))</f>
        <v/>
      </c>
      <c r="M678" s="25">
        <f>MIN(0.16,MAX(0.05,NORMINV(RAND(),$C$8,$D$8)))</f>
        <v/>
      </c>
      <c r="N678" s="26">
        <f>MIN(24,MAX(5,NORMINV(RAND(),$C$9,$D$9)))</f>
        <v/>
      </c>
      <c r="O678" s="49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25">
        <f>MAX(-0.05,NORMINV(RAND(),$C$6,$D$6))</f>
        <v/>
      </c>
      <c r="L679" s="25">
        <f>MAX(0.02,NORMINV(RAND(),$C$7,$D$7))</f>
        <v/>
      </c>
      <c r="M679" s="25">
        <f>MIN(0.16,MAX(0.05,NORMINV(RAND(),$C$8,$D$8)))</f>
        <v/>
      </c>
      <c r="N679" s="26">
        <f>MIN(24,MAX(5,NORMINV(RAND(),$C$9,$D$9)))</f>
        <v/>
      </c>
      <c r="O679" s="49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25">
        <f>MAX(-0.05,NORMINV(RAND(),$C$6,$D$6))</f>
        <v/>
      </c>
      <c r="L680" s="25">
        <f>MAX(0.02,NORMINV(RAND(),$C$7,$D$7))</f>
        <v/>
      </c>
      <c r="M680" s="25">
        <f>MIN(0.16,MAX(0.05,NORMINV(RAND(),$C$8,$D$8)))</f>
        <v/>
      </c>
      <c r="N680" s="26">
        <f>MIN(24,MAX(5,NORMINV(RAND(),$C$9,$D$9)))</f>
        <v/>
      </c>
      <c r="O680" s="49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25">
        <f>MAX(-0.05,NORMINV(RAND(),$C$6,$D$6))</f>
        <v/>
      </c>
      <c r="L681" s="25">
        <f>MAX(0.02,NORMINV(RAND(),$C$7,$D$7))</f>
        <v/>
      </c>
      <c r="M681" s="25">
        <f>MIN(0.16,MAX(0.05,NORMINV(RAND(),$C$8,$D$8)))</f>
        <v/>
      </c>
      <c r="N681" s="26">
        <f>MIN(24,MAX(5,NORMINV(RAND(),$C$9,$D$9)))</f>
        <v/>
      </c>
      <c r="O681" s="49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25">
        <f>MAX(-0.05,NORMINV(RAND(),$C$6,$D$6))</f>
        <v/>
      </c>
      <c r="L682" s="25">
        <f>MAX(0.02,NORMINV(RAND(),$C$7,$D$7))</f>
        <v/>
      </c>
      <c r="M682" s="25">
        <f>MIN(0.16,MAX(0.05,NORMINV(RAND(),$C$8,$D$8)))</f>
        <v/>
      </c>
      <c r="N682" s="26">
        <f>MIN(24,MAX(5,NORMINV(RAND(),$C$9,$D$9)))</f>
        <v/>
      </c>
      <c r="O682" s="49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25">
        <f>MAX(-0.05,NORMINV(RAND(),$C$6,$D$6))</f>
        <v/>
      </c>
      <c r="L683" s="25">
        <f>MAX(0.02,NORMINV(RAND(),$C$7,$D$7))</f>
        <v/>
      </c>
      <c r="M683" s="25">
        <f>MIN(0.16,MAX(0.05,NORMINV(RAND(),$C$8,$D$8)))</f>
        <v/>
      </c>
      <c r="N683" s="26">
        <f>MIN(24,MAX(5,NORMINV(RAND(),$C$9,$D$9)))</f>
        <v/>
      </c>
      <c r="O683" s="49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25">
        <f>MAX(-0.05,NORMINV(RAND(),$C$6,$D$6))</f>
        <v/>
      </c>
      <c r="L684" s="25">
        <f>MAX(0.02,NORMINV(RAND(),$C$7,$D$7))</f>
        <v/>
      </c>
      <c r="M684" s="25">
        <f>MIN(0.16,MAX(0.05,NORMINV(RAND(),$C$8,$D$8)))</f>
        <v/>
      </c>
      <c r="N684" s="26">
        <f>MIN(24,MAX(5,NORMINV(RAND(),$C$9,$D$9)))</f>
        <v/>
      </c>
      <c r="O684" s="49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25">
        <f>MAX(-0.05,NORMINV(RAND(),$C$6,$D$6))</f>
        <v/>
      </c>
      <c r="L685" s="25">
        <f>MAX(0.02,NORMINV(RAND(),$C$7,$D$7))</f>
        <v/>
      </c>
      <c r="M685" s="25">
        <f>MIN(0.16,MAX(0.05,NORMINV(RAND(),$C$8,$D$8)))</f>
        <v/>
      </c>
      <c r="N685" s="26">
        <f>MIN(24,MAX(5,NORMINV(RAND(),$C$9,$D$9)))</f>
        <v/>
      </c>
      <c r="O685" s="49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25">
        <f>MAX(-0.05,NORMINV(RAND(),$C$6,$D$6))</f>
        <v/>
      </c>
      <c r="L686" s="25">
        <f>MAX(0.02,NORMINV(RAND(),$C$7,$D$7))</f>
        <v/>
      </c>
      <c r="M686" s="25">
        <f>MIN(0.16,MAX(0.05,NORMINV(RAND(),$C$8,$D$8)))</f>
        <v/>
      </c>
      <c r="N686" s="26">
        <f>MIN(24,MAX(5,NORMINV(RAND(),$C$9,$D$9)))</f>
        <v/>
      </c>
      <c r="O686" s="49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25">
        <f>MAX(-0.05,NORMINV(RAND(),$C$6,$D$6))</f>
        <v/>
      </c>
      <c r="L687" s="25">
        <f>MAX(0.02,NORMINV(RAND(),$C$7,$D$7))</f>
        <v/>
      </c>
      <c r="M687" s="25">
        <f>MIN(0.16,MAX(0.05,NORMINV(RAND(),$C$8,$D$8)))</f>
        <v/>
      </c>
      <c r="N687" s="26">
        <f>MIN(24,MAX(5,NORMINV(RAND(),$C$9,$D$9)))</f>
        <v/>
      </c>
      <c r="O687" s="49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25">
        <f>MAX(-0.05,NORMINV(RAND(),$C$6,$D$6))</f>
        <v/>
      </c>
      <c r="L688" s="25">
        <f>MAX(0.02,NORMINV(RAND(),$C$7,$D$7))</f>
        <v/>
      </c>
      <c r="M688" s="25">
        <f>MIN(0.16,MAX(0.05,NORMINV(RAND(),$C$8,$D$8)))</f>
        <v/>
      </c>
      <c r="N688" s="26">
        <f>MIN(24,MAX(5,NORMINV(RAND(),$C$9,$D$9)))</f>
        <v/>
      </c>
      <c r="O688" s="49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25">
        <f>MAX(-0.05,NORMINV(RAND(),$C$6,$D$6))</f>
        <v/>
      </c>
      <c r="L689" s="25">
        <f>MAX(0.02,NORMINV(RAND(),$C$7,$D$7))</f>
        <v/>
      </c>
      <c r="M689" s="25">
        <f>MIN(0.16,MAX(0.05,NORMINV(RAND(),$C$8,$D$8)))</f>
        <v/>
      </c>
      <c r="N689" s="26">
        <f>MIN(24,MAX(5,NORMINV(RAND(),$C$9,$D$9)))</f>
        <v/>
      </c>
      <c r="O689" s="49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25">
        <f>MAX(-0.05,NORMINV(RAND(),$C$6,$D$6))</f>
        <v/>
      </c>
      <c r="L690" s="25">
        <f>MAX(0.02,NORMINV(RAND(),$C$7,$D$7))</f>
        <v/>
      </c>
      <c r="M690" s="25">
        <f>MIN(0.16,MAX(0.05,NORMINV(RAND(),$C$8,$D$8)))</f>
        <v/>
      </c>
      <c r="N690" s="26">
        <f>MIN(24,MAX(5,NORMINV(RAND(),$C$9,$D$9)))</f>
        <v/>
      </c>
      <c r="O690" s="49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25">
        <f>MAX(-0.05,NORMINV(RAND(),$C$6,$D$6))</f>
        <v/>
      </c>
      <c r="L691" s="25">
        <f>MAX(0.02,NORMINV(RAND(),$C$7,$D$7))</f>
        <v/>
      </c>
      <c r="M691" s="25">
        <f>MIN(0.16,MAX(0.05,NORMINV(RAND(),$C$8,$D$8)))</f>
        <v/>
      </c>
      <c r="N691" s="26">
        <f>MIN(24,MAX(5,NORMINV(RAND(),$C$9,$D$9)))</f>
        <v/>
      </c>
      <c r="O691" s="49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25">
        <f>MAX(-0.05,NORMINV(RAND(),$C$6,$D$6))</f>
        <v/>
      </c>
      <c r="L692" s="25">
        <f>MAX(0.02,NORMINV(RAND(),$C$7,$D$7))</f>
        <v/>
      </c>
      <c r="M692" s="25">
        <f>MIN(0.16,MAX(0.05,NORMINV(RAND(),$C$8,$D$8)))</f>
        <v/>
      </c>
      <c r="N692" s="26">
        <f>MIN(24,MAX(5,NORMINV(RAND(),$C$9,$D$9)))</f>
        <v/>
      </c>
      <c r="O692" s="49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25">
        <f>MAX(-0.05,NORMINV(RAND(),$C$6,$D$6))</f>
        <v/>
      </c>
      <c r="L693" s="25">
        <f>MAX(0.02,NORMINV(RAND(),$C$7,$D$7))</f>
        <v/>
      </c>
      <c r="M693" s="25">
        <f>MIN(0.16,MAX(0.05,NORMINV(RAND(),$C$8,$D$8)))</f>
        <v/>
      </c>
      <c r="N693" s="26">
        <f>MIN(24,MAX(5,NORMINV(RAND(),$C$9,$D$9)))</f>
        <v/>
      </c>
      <c r="O693" s="49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25">
        <f>MAX(-0.05,NORMINV(RAND(),$C$6,$D$6))</f>
        <v/>
      </c>
      <c r="L694" s="25">
        <f>MAX(0.02,NORMINV(RAND(),$C$7,$D$7))</f>
        <v/>
      </c>
      <c r="M694" s="25">
        <f>MIN(0.16,MAX(0.05,NORMINV(RAND(),$C$8,$D$8)))</f>
        <v/>
      </c>
      <c r="N694" s="26">
        <f>MIN(24,MAX(5,NORMINV(RAND(),$C$9,$D$9)))</f>
        <v/>
      </c>
      <c r="O694" s="49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25">
        <f>MAX(-0.05,NORMINV(RAND(),$C$6,$D$6))</f>
        <v/>
      </c>
      <c r="L695" s="25">
        <f>MAX(0.02,NORMINV(RAND(),$C$7,$D$7))</f>
        <v/>
      </c>
      <c r="M695" s="25">
        <f>MIN(0.16,MAX(0.05,NORMINV(RAND(),$C$8,$D$8)))</f>
        <v/>
      </c>
      <c r="N695" s="26">
        <f>MIN(24,MAX(5,NORMINV(RAND(),$C$9,$D$9)))</f>
        <v/>
      </c>
      <c r="O695" s="49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25">
        <f>MAX(-0.05,NORMINV(RAND(),$C$6,$D$6))</f>
        <v/>
      </c>
      <c r="L696" s="25">
        <f>MAX(0.02,NORMINV(RAND(),$C$7,$D$7))</f>
        <v/>
      </c>
      <c r="M696" s="25">
        <f>MIN(0.16,MAX(0.05,NORMINV(RAND(),$C$8,$D$8)))</f>
        <v/>
      </c>
      <c r="N696" s="26">
        <f>MIN(24,MAX(5,NORMINV(RAND(),$C$9,$D$9)))</f>
        <v/>
      </c>
      <c r="O696" s="49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25">
        <f>MAX(-0.05,NORMINV(RAND(),$C$6,$D$6))</f>
        <v/>
      </c>
      <c r="L697" s="25">
        <f>MAX(0.02,NORMINV(RAND(),$C$7,$D$7))</f>
        <v/>
      </c>
      <c r="M697" s="25">
        <f>MIN(0.16,MAX(0.05,NORMINV(RAND(),$C$8,$D$8)))</f>
        <v/>
      </c>
      <c r="N697" s="26">
        <f>MIN(24,MAX(5,NORMINV(RAND(),$C$9,$D$9)))</f>
        <v/>
      </c>
      <c r="O697" s="49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25">
        <f>MAX(-0.05,NORMINV(RAND(),$C$6,$D$6))</f>
        <v/>
      </c>
      <c r="L698" s="25">
        <f>MAX(0.02,NORMINV(RAND(),$C$7,$D$7))</f>
        <v/>
      </c>
      <c r="M698" s="25">
        <f>MIN(0.16,MAX(0.05,NORMINV(RAND(),$C$8,$D$8)))</f>
        <v/>
      </c>
      <c r="N698" s="26">
        <f>MIN(24,MAX(5,NORMINV(RAND(),$C$9,$D$9)))</f>
        <v/>
      </c>
      <c r="O698" s="49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25">
        <f>MAX(-0.05,NORMINV(RAND(),$C$6,$D$6))</f>
        <v/>
      </c>
      <c r="L699" s="25">
        <f>MAX(0.02,NORMINV(RAND(),$C$7,$D$7))</f>
        <v/>
      </c>
      <c r="M699" s="25">
        <f>MIN(0.16,MAX(0.05,NORMINV(RAND(),$C$8,$D$8)))</f>
        <v/>
      </c>
      <c r="N699" s="26">
        <f>MIN(24,MAX(5,NORMINV(RAND(),$C$9,$D$9)))</f>
        <v/>
      </c>
      <c r="O699" s="49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25">
        <f>MAX(-0.05,NORMINV(RAND(),$C$6,$D$6))</f>
        <v/>
      </c>
      <c r="L700" s="25">
        <f>MAX(0.02,NORMINV(RAND(),$C$7,$D$7))</f>
        <v/>
      </c>
      <c r="M700" s="25">
        <f>MIN(0.16,MAX(0.05,NORMINV(RAND(),$C$8,$D$8)))</f>
        <v/>
      </c>
      <c r="N700" s="26">
        <f>MIN(24,MAX(5,NORMINV(RAND(),$C$9,$D$9)))</f>
        <v/>
      </c>
      <c r="O700" s="49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25">
        <f>MAX(-0.05,NORMINV(RAND(),$C$6,$D$6))</f>
        <v/>
      </c>
      <c r="L701" s="25">
        <f>MAX(0.02,NORMINV(RAND(),$C$7,$D$7))</f>
        <v/>
      </c>
      <c r="M701" s="25">
        <f>MIN(0.16,MAX(0.05,NORMINV(RAND(),$C$8,$D$8)))</f>
        <v/>
      </c>
      <c r="N701" s="26">
        <f>MIN(24,MAX(5,NORMINV(RAND(),$C$9,$D$9)))</f>
        <v/>
      </c>
      <c r="O701" s="49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25">
        <f>MAX(-0.05,NORMINV(RAND(),$C$6,$D$6))</f>
        <v/>
      </c>
      <c r="L702" s="25">
        <f>MAX(0.02,NORMINV(RAND(),$C$7,$D$7))</f>
        <v/>
      </c>
      <c r="M702" s="25">
        <f>MIN(0.16,MAX(0.05,NORMINV(RAND(),$C$8,$D$8)))</f>
        <v/>
      </c>
      <c r="N702" s="26">
        <f>MIN(24,MAX(5,NORMINV(RAND(),$C$9,$D$9)))</f>
        <v/>
      </c>
      <c r="O702" s="49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25">
        <f>MAX(-0.05,NORMINV(RAND(),$C$6,$D$6))</f>
        <v/>
      </c>
      <c r="L703" s="25">
        <f>MAX(0.02,NORMINV(RAND(),$C$7,$D$7))</f>
        <v/>
      </c>
      <c r="M703" s="25">
        <f>MIN(0.16,MAX(0.05,NORMINV(RAND(),$C$8,$D$8)))</f>
        <v/>
      </c>
      <c r="N703" s="26">
        <f>MIN(24,MAX(5,NORMINV(RAND(),$C$9,$D$9)))</f>
        <v/>
      </c>
      <c r="O703" s="49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25">
        <f>MAX(-0.05,NORMINV(RAND(),$C$6,$D$6))</f>
        <v/>
      </c>
      <c r="L704" s="25">
        <f>MAX(0.02,NORMINV(RAND(),$C$7,$D$7))</f>
        <v/>
      </c>
      <c r="M704" s="25">
        <f>MIN(0.16,MAX(0.05,NORMINV(RAND(),$C$8,$D$8)))</f>
        <v/>
      </c>
      <c r="N704" s="26">
        <f>MIN(24,MAX(5,NORMINV(RAND(),$C$9,$D$9)))</f>
        <v/>
      </c>
      <c r="O704" s="49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25">
        <f>MAX(-0.05,NORMINV(RAND(),$C$6,$D$6))</f>
        <v/>
      </c>
      <c r="L705" s="25">
        <f>MAX(0.02,NORMINV(RAND(),$C$7,$D$7))</f>
        <v/>
      </c>
      <c r="M705" s="25">
        <f>MIN(0.16,MAX(0.05,NORMINV(RAND(),$C$8,$D$8)))</f>
        <v/>
      </c>
      <c r="N705" s="26">
        <f>MIN(24,MAX(5,NORMINV(RAND(),$C$9,$D$9)))</f>
        <v/>
      </c>
      <c r="O705" s="49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25">
        <f>MAX(-0.05,NORMINV(RAND(),$C$6,$D$6))</f>
        <v/>
      </c>
      <c r="L706" s="25">
        <f>MAX(0.02,NORMINV(RAND(),$C$7,$D$7))</f>
        <v/>
      </c>
      <c r="M706" s="25">
        <f>MIN(0.16,MAX(0.05,NORMINV(RAND(),$C$8,$D$8)))</f>
        <v/>
      </c>
      <c r="N706" s="26">
        <f>MIN(24,MAX(5,NORMINV(RAND(),$C$9,$D$9)))</f>
        <v/>
      </c>
      <c r="O706" s="49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25">
        <f>MAX(-0.05,NORMINV(RAND(),$C$6,$D$6))</f>
        <v/>
      </c>
      <c r="L707" s="25">
        <f>MAX(0.02,NORMINV(RAND(),$C$7,$D$7))</f>
        <v/>
      </c>
      <c r="M707" s="25">
        <f>MIN(0.16,MAX(0.05,NORMINV(RAND(),$C$8,$D$8)))</f>
        <v/>
      </c>
      <c r="N707" s="26">
        <f>MIN(24,MAX(5,NORMINV(RAND(),$C$9,$D$9)))</f>
        <v/>
      </c>
      <c r="O707" s="49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25">
        <f>MAX(-0.05,NORMINV(RAND(),$C$6,$D$6))</f>
        <v/>
      </c>
      <c r="L708" s="25">
        <f>MAX(0.02,NORMINV(RAND(),$C$7,$D$7))</f>
        <v/>
      </c>
      <c r="M708" s="25">
        <f>MIN(0.16,MAX(0.05,NORMINV(RAND(),$C$8,$D$8)))</f>
        <v/>
      </c>
      <c r="N708" s="26">
        <f>MIN(24,MAX(5,NORMINV(RAND(),$C$9,$D$9)))</f>
        <v/>
      </c>
      <c r="O708" s="49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25">
        <f>MAX(-0.05,NORMINV(RAND(),$C$6,$D$6))</f>
        <v/>
      </c>
      <c r="L709" s="25">
        <f>MAX(0.02,NORMINV(RAND(),$C$7,$D$7))</f>
        <v/>
      </c>
      <c r="M709" s="25">
        <f>MIN(0.16,MAX(0.05,NORMINV(RAND(),$C$8,$D$8)))</f>
        <v/>
      </c>
      <c r="N709" s="26">
        <f>MIN(24,MAX(5,NORMINV(RAND(),$C$9,$D$9)))</f>
        <v/>
      </c>
      <c r="O709" s="49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25">
        <f>MAX(-0.05,NORMINV(RAND(),$C$6,$D$6))</f>
        <v/>
      </c>
      <c r="L710" s="25">
        <f>MAX(0.02,NORMINV(RAND(),$C$7,$D$7))</f>
        <v/>
      </c>
      <c r="M710" s="25">
        <f>MIN(0.16,MAX(0.05,NORMINV(RAND(),$C$8,$D$8)))</f>
        <v/>
      </c>
      <c r="N710" s="26">
        <f>MIN(24,MAX(5,NORMINV(RAND(),$C$9,$D$9)))</f>
        <v/>
      </c>
      <c r="O710" s="49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25">
        <f>MAX(-0.05,NORMINV(RAND(),$C$6,$D$6))</f>
        <v/>
      </c>
      <c r="L711" s="25">
        <f>MAX(0.02,NORMINV(RAND(),$C$7,$D$7))</f>
        <v/>
      </c>
      <c r="M711" s="25">
        <f>MIN(0.16,MAX(0.05,NORMINV(RAND(),$C$8,$D$8)))</f>
        <v/>
      </c>
      <c r="N711" s="26">
        <f>MIN(24,MAX(5,NORMINV(RAND(),$C$9,$D$9)))</f>
        <v/>
      </c>
      <c r="O711" s="49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25">
        <f>MAX(-0.05,NORMINV(RAND(),$C$6,$D$6))</f>
        <v/>
      </c>
      <c r="L712" s="25">
        <f>MAX(0.02,NORMINV(RAND(),$C$7,$D$7))</f>
        <v/>
      </c>
      <c r="M712" s="25">
        <f>MIN(0.16,MAX(0.05,NORMINV(RAND(),$C$8,$D$8)))</f>
        <v/>
      </c>
      <c r="N712" s="26">
        <f>MIN(24,MAX(5,NORMINV(RAND(),$C$9,$D$9)))</f>
        <v/>
      </c>
      <c r="O712" s="49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25">
        <f>MAX(-0.05,NORMINV(RAND(),$C$6,$D$6))</f>
        <v/>
      </c>
      <c r="L713" s="25">
        <f>MAX(0.02,NORMINV(RAND(),$C$7,$D$7))</f>
        <v/>
      </c>
      <c r="M713" s="25">
        <f>MIN(0.16,MAX(0.05,NORMINV(RAND(),$C$8,$D$8)))</f>
        <v/>
      </c>
      <c r="N713" s="26">
        <f>MIN(24,MAX(5,NORMINV(RAND(),$C$9,$D$9)))</f>
        <v/>
      </c>
      <c r="O713" s="49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25">
        <f>MAX(-0.05,NORMINV(RAND(),$C$6,$D$6))</f>
        <v/>
      </c>
      <c r="L714" s="25">
        <f>MAX(0.02,NORMINV(RAND(),$C$7,$D$7))</f>
        <v/>
      </c>
      <c r="M714" s="25">
        <f>MIN(0.16,MAX(0.05,NORMINV(RAND(),$C$8,$D$8)))</f>
        <v/>
      </c>
      <c r="N714" s="26">
        <f>MIN(24,MAX(5,NORMINV(RAND(),$C$9,$D$9)))</f>
        <v/>
      </c>
      <c r="O714" s="49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25">
        <f>MAX(-0.05,NORMINV(RAND(),$C$6,$D$6))</f>
        <v/>
      </c>
      <c r="L715" s="25">
        <f>MAX(0.02,NORMINV(RAND(),$C$7,$D$7))</f>
        <v/>
      </c>
      <c r="M715" s="25">
        <f>MIN(0.16,MAX(0.05,NORMINV(RAND(),$C$8,$D$8)))</f>
        <v/>
      </c>
      <c r="N715" s="26">
        <f>MIN(24,MAX(5,NORMINV(RAND(),$C$9,$D$9)))</f>
        <v/>
      </c>
      <c r="O715" s="49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25">
        <f>MAX(-0.05,NORMINV(RAND(),$C$6,$D$6))</f>
        <v/>
      </c>
      <c r="L716" s="25">
        <f>MAX(0.02,NORMINV(RAND(),$C$7,$D$7))</f>
        <v/>
      </c>
      <c r="M716" s="25">
        <f>MIN(0.16,MAX(0.05,NORMINV(RAND(),$C$8,$D$8)))</f>
        <v/>
      </c>
      <c r="N716" s="26">
        <f>MIN(24,MAX(5,NORMINV(RAND(),$C$9,$D$9)))</f>
        <v/>
      </c>
      <c r="O716" s="49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25">
        <f>MAX(-0.05,NORMINV(RAND(),$C$6,$D$6))</f>
        <v/>
      </c>
      <c r="L717" s="25">
        <f>MAX(0.02,NORMINV(RAND(),$C$7,$D$7))</f>
        <v/>
      </c>
      <c r="M717" s="25">
        <f>MIN(0.16,MAX(0.05,NORMINV(RAND(),$C$8,$D$8)))</f>
        <v/>
      </c>
      <c r="N717" s="26">
        <f>MIN(24,MAX(5,NORMINV(RAND(),$C$9,$D$9)))</f>
        <v/>
      </c>
      <c r="O717" s="49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25">
        <f>MAX(-0.05,NORMINV(RAND(),$C$6,$D$6))</f>
        <v/>
      </c>
      <c r="L718" s="25">
        <f>MAX(0.02,NORMINV(RAND(),$C$7,$D$7))</f>
        <v/>
      </c>
      <c r="M718" s="25">
        <f>MIN(0.16,MAX(0.05,NORMINV(RAND(),$C$8,$D$8)))</f>
        <v/>
      </c>
      <c r="N718" s="26">
        <f>MIN(24,MAX(5,NORMINV(RAND(),$C$9,$D$9)))</f>
        <v/>
      </c>
      <c r="O718" s="49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25">
        <f>MAX(-0.05,NORMINV(RAND(),$C$6,$D$6))</f>
        <v/>
      </c>
      <c r="L719" s="25">
        <f>MAX(0.02,NORMINV(RAND(),$C$7,$D$7))</f>
        <v/>
      </c>
      <c r="M719" s="25">
        <f>MIN(0.16,MAX(0.05,NORMINV(RAND(),$C$8,$D$8)))</f>
        <v/>
      </c>
      <c r="N719" s="26">
        <f>MIN(24,MAX(5,NORMINV(RAND(),$C$9,$D$9)))</f>
        <v/>
      </c>
      <c r="O719" s="49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25">
        <f>MAX(-0.05,NORMINV(RAND(),$C$6,$D$6))</f>
        <v/>
      </c>
      <c r="L720" s="25">
        <f>MAX(0.02,NORMINV(RAND(),$C$7,$D$7))</f>
        <v/>
      </c>
      <c r="M720" s="25">
        <f>MIN(0.16,MAX(0.05,NORMINV(RAND(),$C$8,$D$8)))</f>
        <v/>
      </c>
      <c r="N720" s="26">
        <f>MIN(24,MAX(5,NORMINV(RAND(),$C$9,$D$9)))</f>
        <v/>
      </c>
      <c r="O720" s="49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25">
        <f>MAX(-0.05,NORMINV(RAND(),$C$6,$D$6))</f>
        <v/>
      </c>
      <c r="L721" s="25">
        <f>MAX(0.02,NORMINV(RAND(),$C$7,$D$7))</f>
        <v/>
      </c>
      <c r="M721" s="25">
        <f>MIN(0.16,MAX(0.05,NORMINV(RAND(),$C$8,$D$8)))</f>
        <v/>
      </c>
      <c r="N721" s="26">
        <f>MIN(24,MAX(5,NORMINV(RAND(),$C$9,$D$9)))</f>
        <v/>
      </c>
      <c r="O721" s="49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25">
        <f>MAX(-0.05,NORMINV(RAND(),$C$6,$D$6))</f>
        <v/>
      </c>
      <c r="L722" s="25">
        <f>MAX(0.02,NORMINV(RAND(),$C$7,$D$7))</f>
        <v/>
      </c>
      <c r="M722" s="25">
        <f>MIN(0.16,MAX(0.05,NORMINV(RAND(),$C$8,$D$8)))</f>
        <v/>
      </c>
      <c r="N722" s="26">
        <f>MIN(24,MAX(5,NORMINV(RAND(),$C$9,$D$9)))</f>
        <v/>
      </c>
      <c r="O722" s="49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25">
        <f>MAX(-0.05,NORMINV(RAND(),$C$6,$D$6))</f>
        <v/>
      </c>
      <c r="L723" s="25">
        <f>MAX(0.02,NORMINV(RAND(),$C$7,$D$7))</f>
        <v/>
      </c>
      <c r="M723" s="25">
        <f>MIN(0.16,MAX(0.05,NORMINV(RAND(),$C$8,$D$8)))</f>
        <v/>
      </c>
      <c r="N723" s="26">
        <f>MIN(24,MAX(5,NORMINV(RAND(),$C$9,$D$9)))</f>
        <v/>
      </c>
      <c r="O723" s="49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25">
        <f>MAX(-0.05,NORMINV(RAND(),$C$6,$D$6))</f>
        <v/>
      </c>
      <c r="L724" s="25">
        <f>MAX(0.02,NORMINV(RAND(),$C$7,$D$7))</f>
        <v/>
      </c>
      <c r="M724" s="25">
        <f>MIN(0.16,MAX(0.05,NORMINV(RAND(),$C$8,$D$8)))</f>
        <v/>
      </c>
      <c r="N724" s="26">
        <f>MIN(24,MAX(5,NORMINV(RAND(),$C$9,$D$9)))</f>
        <v/>
      </c>
      <c r="O724" s="49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25">
        <f>MAX(-0.05,NORMINV(RAND(),$C$6,$D$6))</f>
        <v/>
      </c>
      <c r="L725" s="25">
        <f>MAX(0.02,NORMINV(RAND(),$C$7,$D$7))</f>
        <v/>
      </c>
      <c r="M725" s="25">
        <f>MIN(0.16,MAX(0.05,NORMINV(RAND(),$C$8,$D$8)))</f>
        <v/>
      </c>
      <c r="N725" s="26">
        <f>MIN(24,MAX(5,NORMINV(RAND(),$C$9,$D$9)))</f>
        <v/>
      </c>
      <c r="O725" s="49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25">
        <f>MAX(-0.05,NORMINV(RAND(),$C$6,$D$6))</f>
        <v/>
      </c>
      <c r="L726" s="25">
        <f>MAX(0.02,NORMINV(RAND(),$C$7,$D$7))</f>
        <v/>
      </c>
      <c r="M726" s="25">
        <f>MIN(0.16,MAX(0.05,NORMINV(RAND(),$C$8,$D$8)))</f>
        <v/>
      </c>
      <c r="N726" s="26">
        <f>MIN(24,MAX(5,NORMINV(RAND(),$C$9,$D$9)))</f>
        <v/>
      </c>
      <c r="O726" s="49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25">
        <f>MAX(-0.05,NORMINV(RAND(),$C$6,$D$6))</f>
        <v/>
      </c>
      <c r="L727" s="25">
        <f>MAX(0.02,NORMINV(RAND(),$C$7,$D$7))</f>
        <v/>
      </c>
      <c r="M727" s="25">
        <f>MIN(0.16,MAX(0.05,NORMINV(RAND(),$C$8,$D$8)))</f>
        <v/>
      </c>
      <c r="N727" s="26">
        <f>MIN(24,MAX(5,NORMINV(RAND(),$C$9,$D$9)))</f>
        <v/>
      </c>
      <c r="O727" s="49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25">
        <f>MAX(-0.05,NORMINV(RAND(),$C$6,$D$6))</f>
        <v/>
      </c>
      <c r="L728" s="25">
        <f>MAX(0.02,NORMINV(RAND(),$C$7,$D$7))</f>
        <v/>
      </c>
      <c r="M728" s="25">
        <f>MIN(0.16,MAX(0.05,NORMINV(RAND(),$C$8,$D$8)))</f>
        <v/>
      </c>
      <c r="N728" s="26">
        <f>MIN(24,MAX(5,NORMINV(RAND(),$C$9,$D$9)))</f>
        <v/>
      </c>
      <c r="O728" s="49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25">
        <f>MAX(-0.05,NORMINV(RAND(),$C$6,$D$6))</f>
        <v/>
      </c>
      <c r="L729" s="25">
        <f>MAX(0.02,NORMINV(RAND(),$C$7,$D$7))</f>
        <v/>
      </c>
      <c r="M729" s="25">
        <f>MIN(0.16,MAX(0.05,NORMINV(RAND(),$C$8,$D$8)))</f>
        <v/>
      </c>
      <c r="N729" s="26">
        <f>MIN(24,MAX(5,NORMINV(RAND(),$C$9,$D$9)))</f>
        <v/>
      </c>
      <c r="O729" s="49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25">
        <f>MAX(-0.05,NORMINV(RAND(),$C$6,$D$6))</f>
        <v/>
      </c>
      <c r="L730" s="25">
        <f>MAX(0.02,NORMINV(RAND(),$C$7,$D$7))</f>
        <v/>
      </c>
      <c r="M730" s="25">
        <f>MIN(0.16,MAX(0.05,NORMINV(RAND(),$C$8,$D$8)))</f>
        <v/>
      </c>
      <c r="N730" s="26">
        <f>MIN(24,MAX(5,NORMINV(RAND(),$C$9,$D$9)))</f>
        <v/>
      </c>
      <c r="O730" s="49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25">
        <f>MAX(-0.05,NORMINV(RAND(),$C$6,$D$6))</f>
        <v/>
      </c>
      <c r="L731" s="25">
        <f>MAX(0.02,NORMINV(RAND(),$C$7,$D$7))</f>
        <v/>
      </c>
      <c r="M731" s="25">
        <f>MIN(0.16,MAX(0.05,NORMINV(RAND(),$C$8,$D$8)))</f>
        <v/>
      </c>
      <c r="N731" s="26">
        <f>MIN(24,MAX(5,NORMINV(RAND(),$C$9,$D$9)))</f>
        <v/>
      </c>
      <c r="O731" s="49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25">
        <f>MAX(-0.05,NORMINV(RAND(),$C$6,$D$6))</f>
        <v/>
      </c>
      <c r="L732" s="25">
        <f>MAX(0.02,NORMINV(RAND(),$C$7,$D$7))</f>
        <v/>
      </c>
      <c r="M732" s="25">
        <f>MIN(0.16,MAX(0.05,NORMINV(RAND(),$C$8,$D$8)))</f>
        <v/>
      </c>
      <c r="N732" s="26">
        <f>MIN(24,MAX(5,NORMINV(RAND(),$C$9,$D$9)))</f>
        <v/>
      </c>
      <c r="O732" s="49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25">
        <f>MAX(-0.05,NORMINV(RAND(),$C$6,$D$6))</f>
        <v/>
      </c>
      <c r="L733" s="25">
        <f>MAX(0.02,NORMINV(RAND(),$C$7,$D$7))</f>
        <v/>
      </c>
      <c r="M733" s="25">
        <f>MIN(0.16,MAX(0.05,NORMINV(RAND(),$C$8,$D$8)))</f>
        <v/>
      </c>
      <c r="N733" s="26">
        <f>MIN(24,MAX(5,NORMINV(RAND(),$C$9,$D$9)))</f>
        <v/>
      </c>
      <c r="O733" s="49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25">
        <f>MAX(-0.05,NORMINV(RAND(),$C$6,$D$6))</f>
        <v/>
      </c>
      <c r="L734" s="25">
        <f>MAX(0.02,NORMINV(RAND(),$C$7,$D$7))</f>
        <v/>
      </c>
      <c r="M734" s="25">
        <f>MIN(0.16,MAX(0.05,NORMINV(RAND(),$C$8,$D$8)))</f>
        <v/>
      </c>
      <c r="N734" s="26">
        <f>MIN(24,MAX(5,NORMINV(RAND(),$C$9,$D$9)))</f>
        <v/>
      </c>
      <c r="O734" s="49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25">
        <f>MAX(-0.05,NORMINV(RAND(),$C$6,$D$6))</f>
        <v/>
      </c>
      <c r="L735" s="25">
        <f>MAX(0.02,NORMINV(RAND(),$C$7,$D$7))</f>
        <v/>
      </c>
      <c r="M735" s="25">
        <f>MIN(0.16,MAX(0.05,NORMINV(RAND(),$C$8,$D$8)))</f>
        <v/>
      </c>
      <c r="N735" s="26">
        <f>MIN(24,MAX(5,NORMINV(RAND(),$C$9,$D$9)))</f>
        <v/>
      </c>
      <c r="O735" s="49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25">
        <f>MAX(-0.05,NORMINV(RAND(),$C$6,$D$6))</f>
        <v/>
      </c>
      <c r="L736" s="25">
        <f>MAX(0.02,NORMINV(RAND(),$C$7,$D$7))</f>
        <v/>
      </c>
      <c r="M736" s="25">
        <f>MIN(0.16,MAX(0.05,NORMINV(RAND(),$C$8,$D$8)))</f>
        <v/>
      </c>
      <c r="N736" s="26">
        <f>MIN(24,MAX(5,NORMINV(RAND(),$C$9,$D$9)))</f>
        <v/>
      </c>
      <c r="O736" s="49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25">
        <f>MAX(-0.05,NORMINV(RAND(),$C$6,$D$6))</f>
        <v/>
      </c>
      <c r="L737" s="25">
        <f>MAX(0.02,NORMINV(RAND(),$C$7,$D$7))</f>
        <v/>
      </c>
      <c r="M737" s="25">
        <f>MIN(0.16,MAX(0.05,NORMINV(RAND(),$C$8,$D$8)))</f>
        <v/>
      </c>
      <c r="N737" s="26">
        <f>MIN(24,MAX(5,NORMINV(RAND(),$C$9,$D$9)))</f>
        <v/>
      </c>
      <c r="O737" s="49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25">
        <f>MAX(-0.05,NORMINV(RAND(),$C$6,$D$6))</f>
        <v/>
      </c>
      <c r="L738" s="25">
        <f>MAX(0.02,NORMINV(RAND(),$C$7,$D$7))</f>
        <v/>
      </c>
      <c r="M738" s="25">
        <f>MIN(0.16,MAX(0.05,NORMINV(RAND(),$C$8,$D$8)))</f>
        <v/>
      </c>
      <c r="N738" s="26">
        <f>MIN(24,MAX(5,NORMINV(RAND(),$C$9,$D$9)))</f>
        <v/>
      </c>
      <c r="O738" s="49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25">
        <f>MAX(-0.05,NORMINV(RAND(),$C$6,$D$6))</f>
        <v/>
      </c>
      <c r="L739" s="25">
        <f>MAX(0.02,NORMINV(RAND(),$C$7,$D$7))</f>
        <v/>
      </c>
      <c r="M739" s="25">
        <f>MIN(0.16,MAX(0.05,NORMINV(RAND(),$C$8,$D$8)))</f>
        <v/>
      </c>
      <c r="N739" s="26">
        <f>MIN(24,MAX(5,NORMINV(RAND(),$C$9,$D$9)))</f>
        <v/>
      </c>
      <c r="O739" s="49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25">
        <f>MAX(-0.05,NORMINV(RAND(),$C$6,$D$6))</f>
        <v/>
      </c>
      <c r="L740" s="25">
        <f>MAX(0.02,NORMINV(RAND(),$C$7,$D$7))</f>
        <v/>
      </c>
      <c r="M740" s="25">
        <f>MIN(0.16,MAX(0.05,NORMINV(RAND(),$C$8,$D$8)))</f>
        <v/>
      </c>
      <c r="N740" s="26">
        <f>MIN(24,MAX(5,NORMINV(RAND(),$C$9,$D$9)))</f>
        <v/>
      </c>
      <c r="O740" s="49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25">
        <f>MAX(-0.05,NORMINV(RAND(),$C$6,$D$6))</f>
        <v/>
      </c>
      <c r="L741" s="25">
        <f>MAX(0.02,NORMINV(RAND(),$C$7,$D$7))</f>
        <v/>
      </c>
      <c r="M741" s="25">
        <f>MIN(0.16,MAX(0.05,NORMINV(RAND(),$C$8,$D$8)))</f>
        <v/>
      </c>
      <c r="N741" s="26">
        <f>MIN(24,MAX(5,NORMINV(RAND(),$C$9,$D$9)))</f>
        <v/>
      </c>
      <c r="O741" s="49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25">
        <f>MAX(-0.05,NORMINV(RAND(),$C$6,$D$6))</f>
        <v/>
      </c>
      <c r="L742" s="25">
        <f>MAX(0.02,NORMINV(RAND(),$C$7,$D$7))</f>
        <v/>
      </c>
      <c r="M742" s="25">
        <f>MIN(0.16,MAX(0.05,NORMINV(RAND(),$C$8,$D$8)))</f>
        <v/>
      </c>
      <c r="N742" s="26">
        <f>MIN(24,MAX(5,NORMINV(RAND(),$C$9,$D$9)))</f>
        <v/>
      </c>
      <c r="O742" s="49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25">
        <f>MAX(-0.05,NORMINV(RAND(),$C$6,$D$6))</f>
        <v/>
      </c>
      <c r="L743" s="25">
        <f>MAX(0.02,NORMINV(RAND(),$C$7,$D$7))</f>
        <v/>
      </c>
      <c r="M743" s="25">
        <f>MIN(0.16,MAX(0.05,NORMINV(RAND(),$C$8,$D$8)))</f>
        <v/>
      </c>
      <c r="N743" s="26">
        <f>MIN(24,MAX(5,NORMINV(RAND(),$C$9,$D$9)))</f>
        <v/>
      </c>
      <c r="O743" s="49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25">
        <f>MAX(-0.05,NORMINV(RAND(),$C$6,$D$6))</f>
        <v/>
      </c>
      <c r="L744" s="25">
        <f>MAX(0.02,NORMINV(RAND(),$C$7,$D$7))</f>
        <v/>
      </c>
      <c r="M744" s="25">
        <f>MIN(0.16,MAX(0.05,NORMINV(RAND(),$C$8,$D$8)))</f>
        <v/>
      </c>
      <c r="N744" s="26">
        <f>MIN(24,MAX(5,NORMINV(RAND(),$C$9,$D$9)))</f>
        <v/>
      </c>
      <c r="O744" s="49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25">
        <f>MAX(-0.05,NORMINV(RAND(),$C$6,$D$6))</f>
        <v/>
      </c>
      <c r="L745" s="25">
        <f>MAX(0.02,NORMINV(RAND(),$C$7,$D$7))</f>
        <v/>
      </c>
      <c r="M745" s="25">
        <f>MIN(0.16,MAX(0.05,NORMINV(RAND(),$C$8,$D$8)))</f>
        <v/>
      </c>
      <c r="N745" s="26">
        <f>MIN(24,MAX(5,NORMINV(RAND(),$C$9,$D$9)))</f>
        <v/>
      </c>
      <c r="O745" s="49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25">
        <f>MAX(-0.05,NORMINV(RAND(),$C$6,$D$6))</f>
        <v/>
      </c>
      <c r="L746" s="25">
        <f>MAX(0.02,NORMINV(RAND(),$C$7,$D$7))</f>
        <v/>
      </c>
      <c r="M746" s="25">
        <f>MIN(0.16,MAX(0.05,NORMINV(RAND(),$C$8,$D$8)))</f>
        <v/>
      </c>
      <c r="N746" s="26">
        <f>MIN(24,MAX(5,NORMINV(RAND(),$C$9,$D$9)))</f>
        <v/>
      </c>
      <c r="O746" s="49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25">
        <f>MAX(-0.05,NORMINV(RAND(),$C$6,$D$6))</f>
        <v/>
      </c>
      <c r="L747" s="25">
        <f>MAX(0.02,NORMINV(RAND(),$C$7,$D$7))</f>
        <v/>
      </c>
      <c r="M747" s="25">
        <f>MIN(0.16,MAX(0.05,NORMINV(RAND(),$C$8,$D$8)))</f>
        <v/>
      </c>
      <c r="N747" s="26">
        <f>MIN(24,MAX(5,NORMINV(RAND(),$C$9,$D$9)))</f>
        <v/>
      </c>
      <c r="O747" s="49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25">
        <f>MAX(-0.05,NORMINV(RAND(),$C$6,$D$6))</f>
        <v/>
      </c>
      <c r="L748" s="25">
        <f>MAX(0.02,NORMINV(RAND(),$C$7,$D$7))</f>
        <v/>
      </c>
      <c r="M748" s="25">
        <f>MIN(0.16,MAX(0.05,NORMINV(RAND(),$C$8,$D$8)))</f>
        <v/>
      </c>
      <c r="N748" s="26">
        <f>MIN(24,MAX(5,NORMINV(RAND(),$C$9,$D$9)))</f>
        <v/>
      </c>
      <c r="O748" s="49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25">
        <f>MAX(-0.05,NORMINV(RAND(),$C$6,$D$6))</f>
        <v/>
      </c>
      <c r="L749" s="25">
        <f>MAX(0.02,NORMINV(RAND(),$C$7,$D$7))</f>
        <v/>
      </c>
      <c r="M749" s="25">
        <f>MIN(0.16,MAX(0.05,NORMINV(RAND(),$C$8,$D$8)))</f>
        <v/>
      </c>
      <c r="N749" s="26">
        <f>MIN(24,MAX(5,NORMINV(RAND(),$C$9,$D$9)))</f>
        <v/>
      </c>
      <c r="O749" s="49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25">
        <f>MAX(-0.05,NORMINV(RAND(),$C$6,$D$6))</f>
        <v/>
      </c>
      <c r="L750" s="25">
        <f>MAX(0.02,NORMINV(RAND(),$C$7,$D$7))</f>
        <v/>
      </c>
      <c r="M750" s="25">
        <f>MIN(0.16,MAX(0.05,NORMINV(RAND(),$C$8,$D$8)))</f>
        <v/>
      </c>
      <c r="N750" s="26">
        <f>MIN(24,MAX(5,NORMINV(RAND(),$C$9,$D$9)))</f>
        <v/>
      </c>
      <c r="O750" s="49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25">
        <f>MAX(-0.05,NORMINV(RAND(),$C$6,$D$6))</f>
        <v/>
      </c>
      <c r="L751" s="25">
        <f>MAX(0.02,NORMINV(RAND(),$C$7,$D$7))</f>
        <v/>
      </c>
      <c r="M751" s="25">
        <f>MIN(0.16,MAX(0.05,NORMINV(RAND(),$C$8,$D$8)))</f>
        <v/>
      </c>
      <c r="N751" s="26">
        <f>MIN(24,MAX(5,NORMINV(RAND(),$C$9,$D$9)))</f>
        <v/>
      </c>
      <c r="O751" s="49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25">
        <f>MAX(-0.05,NORMINV(RAND(),$C$6,$D$6))</f>
        <v/>
      </c>
      <c r="L752" s="25">
        <f>MAX(0.02,NORMINV(RAND(),$C$7,$D$7))</f>
        <v/>
      </c>
      <c r="M752" s="25">
        <f>MIN(0.16,MAX(0.05,NORMINV(RAND(),$C$8,$D$8)))</f>
        <v/>
      </c>
      <c r="N752" s="26">
        <f>MIN(24,MAX(5,NORMINV(RAND(),$C$9,$D$9)))</f>
        <v/>
      </c>
      <c r="O752" s="49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25">
        <f>MAX(-0.05,NORMINV(RAND(),$C$6,$D$6))</f>
        <v/>
      </c>
      <c r="L753" s="25">
        <f>MAX(0.02,NORMINV(RAND(),$C$7,$D$7))</f>
        <v/>
      </c>
      <c r="M753" s="25">
        <f>MIN(0.16,MAX(0.05,NORMINV(RAND(),$C$8,$D$8)))</f>
        <v/>
      </c>
      <c r="N753" s="26">
        <f>MIN(24,MAX(5,NORMINV(RAND(),$C$9,$D$9)))</f>
        <v/>
      </c>
      <c r="O753" s="49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25">
        <f>MAX(-0.05,NORMINV(RAND(),$C$6,$D$6))</f>
        <v/>
      </c>
      <c r="L754" s="25">
        <f>MAX(0.02,NORMINV(RAND(),$C$7,$D$7))</f>
        <v/>
      </c>
      <c r="M754" s="25">
        <f>MIN(0.16,MAX(0.05,NORMINV(RAND(),$C$8,$D$8)))</f>
        <v/>
      </c>
      <c r="N754" s="26">
        <f>MIN(24,MAX(5,NORMINV(RAND(),$C$9,$D$9)))</f>
        <v/>
      </c>
      <c r="O754" s="49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25">
        <f>MAX(-0.05,NORMINV(RAND(),$C$6,$D$6))</f>
        <v/>
      </c>
      <c r="L755" s="25">
        <f>MAX(0.02,NORMINV(RAND(),$C$7,$D$7))</f>
        <v/>
      </c>
      <c r="M755" s="25">
        <f>MIN(0.16,MAX(0.05,NORMINV(RAND(),$C$8,$D$8)))</f>
        <v/>
      </c>
      <c r="N755" s="26">
        <f>MIN(24,MAX(5,NORMINV(RAND(),$C$9,$D$9)))</f>
        <v/>
      </c>
      <c r="O755" s="49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25">
        <f>MAX(-0.05,NORMINV(RAND(),$C$6,$D$6))</f>
        <v/>
      </c>
      <c r="L756" s="25">
        <f>MAX(0.02,NORMINV(RAND(),$C$7,$D$7))</f>
        <v/>
      </c>
      <c r="M756" s="25">
        <f>MIN(0.16,MAX(0.05,NORMINV(RAND(),$C$8,$D$8)))</f>
        <v/>
      </c>
      <c r="N756" s="26">
        <f>MIN(24,MAX(5,NORMINV(RAND(),$C$9,$D$9)))</f>
        <v/>
      </c>
      <c r="O756" s="49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25">
        <f>MAX(-0.05,NORMINV(RAND(),$C$6,$D$6))</f>
        <v/>
      </c>
      <c r="L757" s="25">
        <f>MAX(0.02,NORMINV(RAND(),$C$7,$D$7))</f>
        <v/>
      </c>
      <c r="M757" s="25">
        <f>MIN(0.16,MAX(0.05,NORMINV(RAND(),$C$8,$D$8)))</f>
        <v/>
      </c>
      <c r="N757" s="26">
        <f>MIN(24,MAX(5,NORMINV(RAND(),$C$9,$D$9)))</f>
        <v/>
      </c>
      <c r="O757" s="49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25">
        <f>MAX(-0.05,NORMINV(RAND(),$C$6,$D$6))</f>
        <v/>
      </c>
      <c r="L758" s="25">
        <f>MAX(0.02,NORMINV(RAND(),$C$7,$D$7))</f>
        <v/>
      </c>
      <c r="M758" s="25">
        <f>MIN(0.16,MAX(0.05,NORMINV(RAND(),$C$8,$D$8)))</f>
        <v/>
      </c>
      <c r="N758" s="26">
        <f>MIN(24,MAX(5,NORMINV(RAND(),$C$9,$D$9)))</f>
        <v/>
      </c>
      <c r="O758" s="49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25">
        <f>MAX(-0.05,NORMINV(RAND(),$C$6,$D$6))</f>
        <v/>
      </c>
      <c r="L759" s="25">
        <f>MAX(0.02,NORMINV(RAND(),$C$7,$D$7))</f>
        <v/>
      </c>
      <c r="M759" s="25">
        <f>MIN(0.16,MAX(0.05,NORMINV(RAND(),$C$8,$D$8)))</f>
        <v/>
      </c>
      <c r="N759" s="26">
        <f>MIN(24,MAX(5,NORMINV(RAND(),$C$9,$D$9)))</f>
        <v/>
      </c>
      <c r="O759" s="49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25">
        <f>MAX(-0.05,NORMINV(RAND(),$C$6,$D$6))</f>
        <v/>
      </c>
      <c r="L760" s="25">
        <f>MAX(0.02,NORMINV(RAND(),$C$7,$D$7))</f>
        <v/>
      </c>
      <c r="M760" s="25">
        <f>MIN(0.16,MAX(0.05,NORMINV(RAND(),$C$8,$D$8)))</f>
        <v/>
      </c>
      <c r="N760" s="26">
        <f>MIN(24,MAX(5,NORMINV(RAND(),$C$9,$D$9)))</f>
        <v/>
      </c>
      <c r="O760" s="49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25">
        <f>MAX(-0.05,NORMINV(RAND(),$C$6,$D$6))</f>
        <v/>
      </c>
      <c r="L761" s="25">
        <f>MAX(0.02,NORMINV(RAND(),$C$7,$D$7))</f>
        <v/>
      </c>
      <c r="M761" s="25">
        <f>MIN(0.16,MAX(0.05,NORMINV(RAND(),$C$8,$D$8)))</f>
        <v/>
      </c>
      <c r="N761" s="26">
        <f>MIN(24,MAX(5,NORMINV(RAND(),$C$9,$D$9)))</f>
        <v/>
      </c>
      <c r="O761" s="49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25">
        <f>MAX(-0.05,NORMINV(RAND(),$C$6,$D$6))</f>
        <v/>
      </c>
      <c r="L762" s="25">
        <f>MAX(0.02,NORMINV(RAND(),$C$7,$D$7))</f>
        <v/>
      </c>
      <c r="M762" s="25">
        <f>MIN(0.16,MAX(0.05,NORMINV(RAND(),$C$8,$D$8)))</f>
        <v/>
      </c>
      <c r="N762" s="26">
        <f>MIN(24,MAX(5,NORMINV(RAND(),$C$9,$D$9)))</f>
        <v/>
      </c>
      <c r="O762" s="49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25">
        <f>MAX(-0.05,NORMINV(RAND(),$C$6,$D$6))</f>
        <v/>
      </c>
      <c r="L763" s="25">
        <f>MAX(0.02,NORMINV(RAND(),$C$7,$D$7))</f>
        <v/>
      </c>
      <c r="M763" s="25">
        <f>MIN(0.16,MAX(0.05,NORMINV(RAND(),$C$8,$D$8)))</f>
        <v/>
      </c>
      <c r="N763" s="26">
        <f>MIN(24,MAX(5,NORMINV(RAND(),$C$9,$D$9)))</f>
        <v/>
      </c>
      <c r="O763" s="49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25">
        <f>MAX(-0.05,NORMINV(RAND(),$C$6,$D$6))</f>
        <v/>
      </c>
      <c r="L764" s="25">
        <f>MAX(0.02,NORMINV(RAND(),$C$7,$D$7))</f>
        <v/>
      </c>
      <c r="M764" s="25">
        <f>MIN(0.16,MAX(0.05,NORMINV(RAND(),$C$8,$D$8)))</f>
        <v/>
      </c>
      <c r="N764" s="26">
        <f>MIN(24,MAX(5,NORMINV(RAND(),$C$9,$D$9)))</f>
        <v/>
      </c>
      <c r="O764" s="49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25">
        <f>MAX(-0.05,NORMINV(RAND(),$C$6,$D$6))</f>
        <v/>
      </c>
      <c r="L765" s="25">
        <f>MAX(0.02,NORMINV(RAND(),$C$7,$D$7))</f>
        <v/>
      </c>
      <c r="M765" s="25">
        <f>MIN(0.16,MAX(0.05,NORMINV(RAND(),$C$8,$D$8)))</f>
        <v/>
      </c>
      <c r="N765" s="26">
        <f>MIN(24,MAX(5,NORMINV(RAND(),$C$9,$D$9)))</f>
        <v/>
      </c>
      <c r="O765" s="49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25">
        <f>MAX(-0.05,NORMINV(RAND(),$C$6,$D$6))</f>
        <v/>
      </c>
      <c r="L766" s="25">
        <f>MAX(0.02,NORMINV(RAND(),$C$7,$D$7))</f>
        <v/>
      </c>
      <c r="M766" s="25">
        <f>MIN(0.16,MAX(0.05,NORMINV(RAND(),$C$8,$D$8)))</f>
        <v/>
      </c>
      <c r="N766" s="26">
        <f>MIN(24,MAX(5,NORMINV(RAND(),$C$9,$D$9)))</f>
        <v/>
      </c>
      <c r="O766" s="49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25">
        <f>MAX(-0.05,NORMINV(RAND(),$C$6,$D$6))</f>
        <v/>
      </c>
      <c r="L767" s="25">
        <f>MAX(0.02,NORMINV(RAND(),$C$7,$D$7))</f>
        <v/>
      </c>
      <c r="M767" s="25">
        <f>MIN(0.16,MAX(0.05,NORMINV(RAND(),$C$8,$D$8)))</f>
        <v/>
      </c>
      <c r="N767" s="26">
        <f>MIN(24,MAX(5,NORMINV(RAND(),$C$9,$D$9)))</f>
        <v/>
      </c>
      <c r="O767" s="49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25">
        <f>MAX(-0.05,NORMINV(RAND(),$C$6,$D$6))</f>
        <v/>
      </c>
      <c r="L768" s="25">
        <f>MAX(0.02,NORMINV(RAND(),$C$7,$D$7))</f>
        <v/>
      </c>
      <c r="M768" s="25">
        <f>MIN(0.16,MAX(0.05,NORMINV(RAND(),$C$8,$D$8)))</f>
        <v/>
      </c>
      <c r="N768" s="26">
        <f>MIN(24,MAX(5,NORMINV(RAND(),$C$9,$D$9)))</f>
        <v/>
      </c>
      <c r="O768" s="49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25">
        <f>MAX(-0.05,NORMINV(RAND(),$C$6,$D$6))</f>
        <v/>
      </c>
      <c r="L769" s="25">
        <f>MAX(0.02,NORMINV(RAND(),$C$7,$D$7))</f>
        <v/>
      </c>
      <c r="M769" s="25">
        <f>MIN(0.16,MAX(0.05,NORMINV(RAND(),$C$8,$D$8)))</f>
        <v/>
      </c>
      <c r="N769" s="26">
        <f>MIN(24,MAX(5,NORMINV(RAND(),$C$9,$D$9)))</f>
        <v/>
      </c>
      <c r="O769" s="49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25">
        <f>MAX(-0.05,NORMINV(RAND(),$C$6,$D$6))</f>
        <v/>
      </c>
      <c r="L770" s="25">
        <f>MAX(0.02,NORMINV(RAND(),$C$7,$D$7))</f>
        <v/>
      </c>
      <c r="M770" s="25">
        <f>MIN(0.16,MAX(0.05,NORMINV(RAND(),$C$8,$D$8)))</f>
        <v/>
      </c>
      <c r="N770" s="26">
        <f>MIN(24,MAX(5,NORMINV(RAND(),$C$9,$D$9)))</f>
        <v/>
      </c>
      <c r="O770" s="49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25">
        <f>MAX(-0.05,NORMINV(RAND(),$C$6,$D$6))</f>
        <v/>
      </c>
      <c r="L771" s="25">
        <f>MAX(0.02,NORMINV(RAND(),$C$7,$D$7))</f>
        <v/>
      </c>
      <c r="M771" s="25">
        <f>MIN(0.16,MAX(0.05,NORMINV(RAND(),$C$8,$D$8)))</f>
        <v/>
      </c>
      <c r="N771" s="26">
        <f>MIN(24,MAX(5,NORMINV(RAND(),$C$9,$D$9)))</f>
        <v/>
      </c>
      <c r="O771" s="49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25">
        <f>MAX(-0.05,NORMINV(RAND(),$C$6,$D$6))</f>
        <v/>
      </c>
      <c r="L772" s="25">
        <f>MAX(0.02,NORMINV(RAND(),$C$7,$D$7))</f>
        <v/>
      </c>
      <c r="M772" s="25">
        <f>MIN(0.16,MAX(0.05,NORMINV(RAND(),$C$8,$D$8)))</f>
        <v/>
      </c>
      <c r="N772" s="26">
        <f>MIN(24,MAX(5,NORMINV(RAND(),$C$9,$D$9)))</f>
        <v/>
      </c>
      <c r="O772" s="49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25">
        <f>MAX(-0.05,NORMINV(RAND(),$C$6,$D$6))</f>
        <v/>
      </c>
      <c r="L773" s="25">
        <f>MAX(0.02,NORMINV(RAND(),$C$7,$D$7))</f>
        <v/>
      </c>
      <c r="M773" s="25">
        <f>MIN(0.16,MAX(0.05,NORMINV(RAND(),$C$8,$D$8)))</f>
        <v/>
      </c>
      <c r="N773" s="26">
        <f>MIN(24,MAX(5,NORMINV(RAND(),$C$9,$D$9)))</f>
        <v/>
      </c>
      <c r="O773" s="49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25">
        <f>MAX(-0.05,NORMINV(RAND(),$C$6,$D$6))</f>
        <v/>
      </c>
      <c r="L774" s="25">
        <f>MAX(0.02,NORMINV(RAND(),$C$7,$D$7))</f>
        <v/>
      </c>
      <c r="M774" s="25">
        <f>MIN(0.16,MAX(0.05,NORMINV(RAND(),$C$8,$D$8)))</f>
        <v/>
      </c>
      <c r="N774" s="26">
        <f>MIN(24,MAX(5,NORMINV(RAND(),$C$9,$D$9)))</f>
        <v/>
      </c>
      <c r="O774" s="49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25">
        <f>MAX(-0.05,NORMINV(RAND(),$C$6,$D$6))</f>
        <v/>
      </c>
      <c r="L775" s="25">
        <f>MAX(0.02,NORMINV(RAND(),$C$7,$D$7))</f>
        <v/>
      </c>
      <c r="M775" s="25">
        <f>MIN(0.16,MAX(0.05,NORMINV(RAND(),$C$8,$D$8)))</f>
        <v/>
      </c>
      <c r="N775" s="26">
        <f>MIN(24,MAX(5,NORMINV(RAND(),$C$9,$D$9)))</f>
        <v/>
      </c>
      <c r="O775" s="49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25">
        <f>MAX(-0.05,NORMINV(RAND(),$C$6,$D$6))</f>
        <v/>
      </c>
      <c r="L776" s="25">
        <f>MAX(0.02,NORMINV(RAND(),$C$7,$D$7))</f>
        <v/>
      </c>
      <c r="M776" s="25">
        <f>MIN(0.16,MAX(0.05,NORMINV(RAND(),$C$8,$D$8)))</f>
        <v/>
      </c>
      <c r="N776" s="26">
        <f>MIN(24,MAX(5,NORMINV(RAND(),$C$9,$D$9)))</f>
        <v/>
      </c>
      <c r="O776" s="49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25">
        <f>MAX(-0.05,NORMINV(RAND(),$C$6,$D$6))</f>
        <v/>
      </c>
      <c r="L777" s="25">
        <f>MAX(0.02,NORMINV(RAND(),$C$7,$D$7))</f>
        <v/>
      </c>
      <c r="M777" s="25">
        <f>MIN(0.16,MAX(0.05,NORMINV(RAND(),$C$8,$D$8)))</f>
        <v/>
      </c>
      <c r="N777" s="26">
        <f>MIN(24,MAX(5,NORMINV(RAND(),$C$9,$D$9)))</f>
        <v/>
      </c>
      <c r="O777" s="49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25">
        <f>MAX(-0.05,NORMINV(RAND(),$C$6,$D$6))</f>
        <v/>
      </c>
      <c r="L778" s="25">
        <f>MAX(0.02,NORMINV(RAND(),$C$7,$D$7))</f>
        <v/>
      </c>
      <c r="M778" s="25">
        <f>MIN(0.16,MAX(0.05,NORMINV(RAND(),$C$8,$D$8)))</f>
        <v/>
      </c>
      <c r="N778" s="26">
        <f>MIN(24,MAX(5,NORMINV(RAND(),$C$9,$D$9)))</f>
        <v/>
      </c>
      <c r="O778" s="49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25">
        <f>MAX(-0.05,NORMINV(RAND(),$C$6,$D$6))</f>
        <v/>
      </c>
      <c r="L779" s="25">
        <f>MAX(0.02,NORMINV(RAND(),$C$7,$D$7))</f>
        <v/>
      </c>
      <c r="M779" s="25">
        <f>MIN(0.16,MAX(0.05,NORMINV(RAND(),$C$8,$D$8)))</f>
        <v/>
      </c>
      <c r="N779" s="26">
        <f>MIN(24,MAX(5,NORMINV(RAND(),$C$9,$D$9)))</f>
        <v/>
      </c>
      <c r="O779" s="49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25">
        <f>MAX(-0.05,NORMINV(RAND(),$C$6,$D$6))</f>
        <v/>
      </c>
      <c r="L780" s="25">
        <f>MAX(0.02,NORMINV(RAND(),$C$7,$D$7))</f>
        <v/>
      </c>
      <c r="M780" s="25">
        <f>MIN(0.16,MAX(0.05,NORMINV(RAND(),$C$8,$D$8)))</f>
        <v/>
      </c>
      <c r="N780" s="26">
        <f>MIN(24,MAX(5,NORMINV(RAND(),$C$9,$D$9)))</f>
        <v/>
      </c>
      <c r="O780" s="49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25">
        <f>MAX(-0.05,NORMINV(RAND(),$C$6,$D$6))</f>
        <v/>
      </c>
      <c r="L781" s="25">
        <f>MAX(0.02,NORMINV(RAND(),$C$7,$D$7))</f>
        <v/>
      </c>
      <c r="M781" s="25">
        <f>MIN(0.16,MAX(0.05,NORMINV(RAND(),$C$8,$D$8)))</f>
        <v/>
      </c>
      <c r="N781" s="26">
        <f>MIN(24,MAX(5,NORMINV(RAND(),$C$9,$D$9)))</f>
        <v/>
      </c>
      <c r="O781" s="49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25">
        <f>MAX(-0.05,NORMINV(RAND(),$C$6,$D$6))</f>
        <v/>
      </c>
      <c r="L782" s="25">
        <f>MAX(0.02,NORMINV(RAND(),$C$7,$D$7))</f>
        <v/>
      </c>
      <c r="M782" s="25">
        <f>MIN(0.16,MAX(0.05,NORMINV(RAND(),$C$8,$D$8)))</f>
        <v/>
      </c>
      <c r="N782" s="26">
        <f>MIN(24,MAX(5,NORMINV(RAND(),$C$9,$D$9)))</f>
        <v/>
      </c>
      <c r="O782" s="49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25">
        <f>MAX(-0.05,NORMINV(RAND(),$C$6,$D$6))</f>
        <v/>
      </c>
      <c r="L783" s="25">
        <f>MAX(0.02,NORMINV(RAND(),$C$7,$D$7))</f>
        <v/>
      </c>
      <c r="M783" s="25">
        <f>MIN(0.16,MAX(0.05,NORMINV(RAND(),$C$8,$D$8)))</f>
        <v/>
      </c>
      <c r="N783" s="26">
        <f>MIN(24,MAX(5,NORMINV(RAND(),$C$9,$D$9)))</f>
        <v/>
      </c>
      <c r="O783" s="49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25">
        <f>MAX(-0.05,NORMINV(RAND(),$C$6,$D$6))</f>
        <v/>
      </c>
      <c r="L784" s="25">
        <f>MAX(0.02,NORMINV(RAND(),$C$7,$D$7))</f>
        <v/>
      </c>
      <c r="M784" s="25">
        <f>MIN(0.16,MAX(0.05,NORMINV(RAND(),$C$8,$D$8)))</f>
        <v/>
      </c>
      <c r="N784" s="26">
        <f>MIN(24,MAX(5,NORMINV(RAND(),$C$9,$D$9)))</f>
        <v/>
      </c>
      <c r="O784" s="49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25">
        <f>MAX(-0.05,NORMINV(RAND(),$C$6,$D$6))</f>
        <v/>
      </c>
      <c r="L785" s="25">
        <f>MAX(0.02,NORMINV(RAND(),$C$7,$D$7))</f>
        <v/>
      </c>
      <c r="M785" s="25">
        <f>MIN(0.16,MAX(0.05,NORMINV(RAND(),$C$8,$D$8)))</f>
        <v/>
      </c>
      <c r="N785" s="26">
        <f>MIN(24,MAX(5,NORMINV(RAND(),$C$9,$D$9)))</f>
        <v/>
      </c>
      <c r="O785" s="49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25">
        <f>MAX(-0.05,NORMINV(RAND(),$C$6,$D$6))</f>
        <v/>
      </c>
      <c r="L786" s="25">
        <f>MAX(0.02,NORMINV(RAND(),$C$7,$D$7))</f>
        <v/>
      </c>
      <c r="M786" s="25">
        <f>MIN(0.16,MAX(0.05,NORMINV(RAND(),$C$8,$D$8)))</f>
        <v/>
      </c>
      <c r="N786" s="26">
        <f>MIN(24,MAX(5,NORMINV(RAND(),$C$9,$D$9)))</f>
        <v/>
      </c>
      <c r="O786" s="49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25">
        <f>MAX(-0.05,NORMINV(RAND(),$C$6,$D$6))</f>
        <v/>
      </c>
      <c r="L787" s="25">
        <f>MAX(0.02,NORMINV(RAND(),$C$7,$D$7))</f>
        <v/>
      </c>
      <c r="M787" s="25">
        <f>MIN(0.16,MAX(0.05,NORMINV(RAND(),$C$8,$D$8)))</f>
        <v/>
      </c>
      <c r="N787" s="26">
        <f>MIN(24,MAX(5,NORMINV(RAND(),$C$9,$D$9)))</f>
        <v/>
      </c>
      <c r="O787" s="49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25">
        <f>MAX(-0.05,NORMINV(RAND(),$C$6,$D$6))</f>
        <v/>
      </c>
      <c r="L788" s="25">
        <f>MAX(0.02,NORMINV(RAND(),$C$7,$D$7))</f>
        <v/>
      </c>
      <c r="M788" s="25">
        <f>MIN(0.16,MAX(0.05,NORMINV(RAND(),$C$8,$D$8)))</f>
        <v/>
      </c>
      <c r="N788" s="26">
        <f>MIN(24,MAX(5,NORMINV(RAND(),$C$9,$D$9)))</f>
        <v/>
      </c>
      <c r="O788" s="49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25">
        <f>MAX(-0.05,NORMINV(RAND(),$C$6,$D$6))</f>
        <v/>
      </c>
      <c r="L789" s="25">
        <f>MAX(0.02,NORMINV(RAND(),$C$7,$D$7))</f>
        <v/>
      </c>
      <c r="M789" s="25">
        <f>MIN(0.16,MAX(0.05,NORMINV(RAND(),$C$8,$D$8)))</f>
        <v/>
      </c>
      <c r="N789" s="26">
        <f>MIN(24,MAX(5,NORMINV(RAND(),$C$9,$D$9)))</f>
        <v/>
      </c>
      <c r="O789" s="49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25">
        <f>MAX(-0.05,NORMINV(RAND(),$C$6,$D$6))</f>
        <v/>
      </c>
      <c r="L790" s="25">
        <f>MAX(0.02,NORMINV(RAND(),$C$7,$D$7))</f>
        <v/>
      </c>
      <c r="M790" s="25">
        <f>MIN(0.16,MAX(0.05,NORMINV(RAND(),$C$8,$D$8)))</f>
        <v/>
      </c>
      <c r="N790" s="26">
        <f>MIN(24,MAX(5,NORMINV(RAND(),$C$9,$D$9)))</f>
        <v/>
      </c>
      <c r="O790" s="49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25">
        <f>MAX(-0.05,NORMINV(RAND(),$C$6,$D$6))</f>
        <v/>
      </c>
      <c r="L791" s="25">
        <f>MAX(0.02,NORMINV(RAND(),$C$7,$D$7))</f>
        <v/>
      </c>
      <c r="M791" s="25">
        <f>MIN(0.16,MAX(0.05,NORMINV(RAND(),$C$8,$D$8)))</f>
        <v/>
      </c>
      <c r="N791" s="26">
        <f>MIN(24,MAX(5,NORMINV(RAND(),$C$9,$D$9)))</f>
        <v/>
      </c>
      <c r="O791" s="49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25">
        <f>MAX(-0.05,NORMINV(RAND(),$C$6,$D$6))</f>
        <v/>
      </c>
      <c r="L792" s="25">
        <f>MAX(0.02,NORMINV(RAND(),$C$7,$D$7))</f>
        <v/>
      </c>
      <c r="M792" s="25">
        <f>MIN(0.16,MAX(0.05,NORMINV(RAND(),$C$8,$D$8)))</f>
        <v/>
      </c>
      <c r="N792" s="26">
        <f>MIN(24,MAX(5,NORMINV(RAND(),$C$9,$D$9)))</f>
        <v/>
      </c>
      <c r="O792" s="49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25">
        <f>MAX(-0.05,NORMINV(RAND(),$C$6,$D$6))</f>
        <v/>
      </c>
      <c r="L793" s="25">
        <f>MAX(0.02,NORMINV(RAND(),$C$7,$D$7))</f>
        <v/>
      </c>
      <c r="M793" s="25">
        <f>MIN(0.16,MAX(0.05,NORMINV(RAND(),$C$8,$D$8)))</f>
        <v/>
      </c>
      <c r="N793" s="26">
        <f>MIN(24,MAX(5,NORMINV(RAND(),$C$9,$D$9)))</f>
        <v/>
      </c>
      <c r="O793" s="49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25">
        <f>MAX(-0.05,NORMINV(RAND(),$C$6,$D$6))</f>
        <v/>
      </c>
      <c r="L794" s="25">
        <f>MAX(0.02,NORMINV(RAND(),$C$7,$D$7))</f>
        <v/>
      </c>
      <c r="M794" s="25">
        <f>MIN(0.16,MAX(0.05,NORMINV(RAND(),$C$8,$D$8)))</f>
        <v/>
      </c>
      <c r="N794" s="26">
        <f>MIN(24,MAX(5,NORMINV(RAND(),$C$9,$D$9)))</f>
        <v/>
      </c>
      <c r="O794" s="49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25">
        <f>MAX(-0.05,NORMINV(RAND(),$C$6,$D$6))</f>
        <v/>
      </c>
      <c r="L795" s="25">
        <f>MAX(0.02,NORMINV(RAND(),$C$7,$D$7))</f>
        <v/>
      </c>
      <c r="M795" s="25">
        <f>MIN(0.16,MAX(0.05,NORMINV(RAND(),$C$8,$D$8)))</f>
        <v/>
      </c>
      <c r="N795" s="26">
        <f>MIN(24,MAX(5,NORMINV(RAND(),$C$9,$D$9)))</f>
        <v/>
      </c>
      <c r="O795" s="49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25">
        <f>MAX(-0.05,NORMINV(RAND(),$C$6,$D$6))</f>
        <v/>
      </c>
      <c r="L796" s="25">
        <f>MAX(0.02,NORMINV(RAND(),$C$7,$D$7))</f>
        <v/>
      </c>
      <c r="M796" s="25">
        <f>MIN(0.16,MAX(0.05,NORMINV(RAND(),$C$8,$D$8)))</f>
        <v/>
      </c>
      <c r="N796" s="26">
        <f>MIN(24,MAX(5,NORMINV(RAND(),$C$9,$D$9)))</f>
        <v/>
      </c>
      <c r="O796" s="49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25">
        <f>MAX(-0.05,NORMINV(RAND(),$C$6,$D$6))</f>
        <v/>
      </c>
      <c r="L797" s="25">
        <f>MAX(0.02,NORMINV(RAND(),$C$7,$D$7))</f>
        <v/>
      </c>
      <c r="M797" s="25">
        <f>MIN(0.16,MAX(0.05,NORMINV(RAND(),$C$8,$D$8)))</f>
        <v/>
      </c>
      <c r="N797" s="26">
        <f>MIN(24,MAX(5,NORMINV(RAND(),$C$9,$D$9)))</f>
        <v/>
      </c>
      <c r="O797" s="49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25">
        <f>MAX(-0.05,NORMINV(RAND(),$C$6,$D$6))</f>
        <v/>
      </c>
      <c r="L798" s="25">
        <f>MAX(0.02,NORMINV(RAND(),$C$7,$D$7))</f>
        <v/>
      </c>
      <c r="M798" s="25">
        <f>MIN(0.16,MAX(0.05,NORMINV(RAND(),$C$8,$D$8)))</f>
        <v/>
      </c>
      <c r="N798" s="26">
        <f>MIN(24,MAX(5,NORMINV(RAND(),$C$9,$D$9)))</f>
        <v/>
      </c>
      <c r="O798" s="49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25">
        <f>MAX(-0.05,NORMINV(RAND(),$C$6,$D$6))</f>
        <v/>
      </c>
      <c r="L799" s="25">
        <f>MAX(0.02,NORMINV(RAND(),$C$7,$D$7))</f>
        <v/>
      </c>
      <c r="M799" s="25">
        <f>MIN(0.16,MAX(0.05,NORMINV(RAND(),$C$8,$D$8)))</f>
        <v/>
      </c>
      <c r="N799" s="26">
        <f>MIN(24,MAX(5,NORMINV(RAND(),$C$9,$D$9)))</f>
        <v/>
      </c>
      <c r="O799" s="49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25">
        <f>MAX(-0.05,NORMINV(RAND(),$C$6,$D$6))</f>
        <v/>
      </c>
      <c r="L800" s="25">
        <f>MAX(0.02,NORMINV(RAND(),$C$7,$D$7))</f>
        <v/>
      </c>
      <c r="M800" s="25">
        <f>MIN(0.16,MAX(0.05,NORMINV(RAND(),$C$8,$D$8)))</f>
        <v/>
      </c>
      <c r="N800" s="26">
        <f>MIN(24,MAX(5,NORMINV(RAND(),$C$9,$D$9)))</f>
        <v/>
      </c>
      <c r="O800" s="49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25">
        <f>MAX(-0.05,NORMINV(RAND(),$C$6,$D$6))</f>
        <v/>
      </c>
      <c r="L801" s="25">
        <f>MAX(0.02,NORMINV(RAND(),$C$7,$D$7))</f>
        <v/>
      </c>
      <c r="M801" s="25">
        <f>MIN(0.16,MAX(0.05,NORMINV(RAND(),$C$8,$D$8)))</f>
        <v/>
      </c>
      <c r="N801" s="26">
        <f>MIN(24,MAX(5,NORMINV(RAND(),$C$9,$D$9)))</f>
        <v/>
      </c>
      <c r="O801" s="49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25">
        <f>MAX(-0.05,NORMINV(RAND(),$C$6,$D$6))</f>
        <v/>
      </c>
      <c r="L802" s="25">
        <f>MAX(0.02,NORMINV(RAND(),$C$7,$D$7))</f>
        <v/>
      </c>
      <c r="M802" s="25">
        <f>MIN(0.16,MAX(0.05,NORMINV(RAND(),$C$8,$D$8)))</f>
        <v/>
      </c>
      <c r="N802" s="26">
        <f>MIN(24,MAX(5,NORMINV(RAND(),$C$9,$D$9)))</f>
        <v/>
      </c>
      <c r="O802" s="49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25">
        <f>MAX(-0.05,NORMINV(RAND(),$C$6,$D$6))</f>
        <v/>
      </c>
      <c r="L803" s="25">
        <f>MAX(0.02,NORMINV(RAND(),$C$7,$D$7))</f>
        <v/>
      </c>
      <c r="M803" s="25">
        <f>MIN(0.16,MAX(0.05,NORMINV(RAND(),$C$8,$D$8)))</f>
        <v/>
      </c>
      <c r="N803" s="26">
        <f>MIN(24,MAX(5,NORMINV(RAND(),$C$9,$D$9)))</f>
        <v/>
      </c>
      <c r="O803" s="49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25">
        <f>MAX(-0.05,NORMINV(RAND(),$C$6,$D$6))</f>
        <v/>
      </c>
      <c r="L804" s="25">
        <f>MAX(0.02,NORMINV(RAND(),$C$7,$D$7))</f>
        <v/>
      </c>
      <c r="M804" s="25">
        <f>MIN(0.16,MAX(0.05,NORMINV(RAND(),$C$8,$D$8)))</f>
        <v/>
      </c>
      <c r="N804" s="26">
        <f>MIN(24,MAX(5,NORMINV(RAND(),$C$9,$D$9)))</f>
        <v/>
      </c>
      <c r="O804" s="49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25">
        <f>MAX(-0.05,NORMINV(RAND(),$C$6,$D$6))</f>
        <v/>
      </c>
      <c r="L805" s="25">
        <f>MAX(0.02,NORMINV(RAND(),$C$7,$D$7))</f>
        <v/>
      </c>
      <c r="M805" s="25">
        <f>MIN(0.16,MAX(0.05,NORMINV(RAND(),$C$8,$D$8)))</f>
        <v/>
      </c>
      <c r="N805" s="26">
        <f>MIN(24,MAX(5,NORMINV(RAND(),$C$9,$D$9)))</f>
        <v/>
      </c>
      <c r="O805" s="49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25">
        <f>MAX(-0.05,NORMINV(RAND(),$C$6,$D$6))</f>
        <v/>
      </c>
      <c r="L806" s="25">
        <f>MAX(0.02,NORMINV(RAND(),$C$7,$D$7))</f>
        <v/>
      </c>
      <c r="M806" s="25">
        <f>MIN(0.16,MAX(0.05,NORMINV(RAND(),$C$8,$D$8)))</f>
        <v/>
      </c>
      <c r="N806" s="26">
        <f>MIN(24,MAX(5,NORMINV(RAND(),$C$9,$D$9)))</f>
        <v/>
      </c>
      <c r="O806" s="49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25">
        <f>MAX(-0.05,NORMINV(RAND(),$C$6,$D$6))</f>
        <v/>
      </c>
      <c r="L807" s="25">
        <f>MAX(0.02,NORMINV(RAND(),$C$7,$D$7))</f>
        <v/>
      </c>
      <c r="M807" s="25">
        <f>MIN(0.16,MAX(0.05,NORMINV(RAND(),$C$8,$D$8)))</f>
        <v/>
      </c>
      <c r="N807" s="26">
        <f>MIN(24,MAX(5,NORMINV(RAND(),$C$9,$D$9)))</f>
        <v/>
      </c>
      <c r="O807" s="49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25">
        <f>MAX(-0.05,NORMINV(RAND(),$C$6,$D$6))</f>
        <v/>
      </c>
      <c r="L808" s="25">
        <f>MAX(0.02,NORMINV(RAND(),$C$7,$D$7))</f>
        <v/>
      </c>
      <c r="M808" s="25">
        <f>MIN(0.16,MAX(0.05,NORMINV(RAND(),$C$8,$D$8)))</f>
        <v/>
      </c>
      <c r="N808" s="26">
        <f>MIN(24,MAX(5,NORMINV(RAND(),$C$9,$D$9)))</f>
        <v/>
      </c>
      <c r="O808" s="49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25">
        <f>MAX(-0.05,NORMINV(RAND(),$C$6,$D$6))</f>
        <v/>
      </c>
      <c r="L809" s="25">
        <f>MAX(0.02,NORMINV(RAND(),$C$7,$D$7))</f>
        <v/>
      </c>
      <c r="M809" s="25">
        <f>MIN(0.16,MAX(0.05,NORMINV(RAND(),$C$8,$D$8)))</f>
        <v/>
      </c>
      <c r="N809" s="26">
        <f>MIN(24,MAX(5,NORMINV(RAND(),$C$9,$D$9)))</f>
        <v/>
      </c>
      <c r="O809" s="49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25">
        <f>MAX(-0.05,NORMINV(RAND(),$C$6,$D$6))</f>
        <v/>
      </c>
      <c r="L810" s="25">
        <f>MAX(0.02,NORMINV(RAND(),$C$7,$D$7))</f>
        <v/>
      </c>
      <c r="M810" s="25">
        <f>MIN(0.16,MAX(0.05,NORMINV(RAND(),$C$8,$D$8)))</f>
        <v/>
      </c>
      <c r="N810" s="26">
        <f>MIN(24,MAX(5,NORMINV(RAND(),$C$9,$D$9)))</f>
        <v/>
      </c>
      <c r="O810" s="49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25">
        <f>MAX(-0.05,NORMINV(RAND(),$C$6,$D$6))</f>
        <v/>
      </c>
      <c r="L811" s="25">
        <f>MAX(0.02,NORMINV(RAND(),$C$7,$D$7))</f>
        <v/>
      </c>
      <c r="M811" s="25">
        <f>MIN(0.16,MAX(0.05,NORMINV(RAND(),$C$8,$D$8)))</f>
        <v/>
      </c>
      <c r="N811" s="26">
        <f>MIN(24,MAX(5,NORMINV(RAND(),$C$9,$D$9)))</f>
        <v/>
      </c>
      <c r="O811" s="49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25">
        <f>MAX(-0.05,NORMINV(RAND(),$C$6,$D$6))</f>
        <v/>
      </c>
      <c r="L812" s="25">
        <f>MAX(0.02,NORMINV(RAND(),$C$7,$D$7))</f>
        <v/>
      </c>
      <c r="M812" s="25">
        <f>MIN(0.16,MAX(0.05,NORMINV(RAND(),$C$8,$D$8)))</f>
        <v/>
      </c>
      <c r="N812" s="26">
        <f>MIN(24,MAX(5,NORMINV(RAND(),$C$9,$D$9)))</f>
        <v/>
      </c>
      <c r="O812" s="49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25">
        <f>MAX(-0.05,NORMINV(RAND(),$C$6,$D$6))</f>
        <v/>
      </c>
      <c r="L813" s="25">
        <f>MAX(0.02,NORMINV(RAND(),$C$7,$D$7))</f>
        <v/>
      </c>
      <c r="M813" s="25">
        <f>MIN(0.16,MAX(0.05,NORMINV(RAND(),$C$8,$D$8)))</f>
        <v/>
      </c>
      <c r="N813" s="26">
        <f>MIN(24,MAX(5,NORMINV(RAND(),$C$9,$D$9)))</f>
        <v/>
      </c>
      <c r="O813" s="49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25">
        <f>MAX(-0.05,NORMINV(RAND(),$C$6,$D$6))</f>
        <v/>
      </c>
      <c r="L814" s="25">
        <f>MAX(0.02,NORMINV(RAND(),$C$7,$D$7))</f>
        <v/>
      </c>
      <c r="M814" s="25">
        <f>MIN(0.16,MAX(0.05,NORMINV(RAND(),$C$8,$D$8)))</f>
        <v/>
      </c>
      <c r="N814" s="26">
        <f>MIN(24,MAX(5,NORMINV(RAND(),$C$9,$D$9)))</f>
        <v/>
      </c>
      <c r="O814" s="49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25">
        <f>MAX(-0.05,NORMINV(RAND(),$C$6,$D$6))</f>
        <v/>
      </c>
      <c r="L815" s="25">
        <f>MAX(0.02,NORMINV(RAND(),$C$7,$D$7))</f>
        <v/>
      </c>
      <c r="M815" s="25">
        <f>MIN(0.16,MAX(0.05,NORMINV(RAND(),$C$8,$D$8)))</f>
        <v/>
      </c>
      <c r="N815" s="26">
        <f>MIN(24,MAX(5,NORMINV(RAND(),$C$9,$D$9)))</f>
        <v/>
      </c>
      <c r="O815" s="49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25">
        <f>MAX(-0.05,NORMINV(RAND(),$C$6,$D$6))</f>
        <v/>
      </c>
      <c r="L816" s="25">
        <f>MAX(0.02,NORMINV(RAND(),$C$7,$D$7))</f>
        <v/>
      </c>
      <c r="M816" s="25">
        <f>MIN(0.16,MAX(0.05,NORMINV(RAND(),$C$8,$D$8)))</f>
        <v/>
      </c>
      <c r="N816" s="26">
        <f>MIN(24,MAX(5,NORMINV(RAND(),$C$9,$D$9)))</f>
        <v/>
      </c>
      <c r="O816" s="49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25">
        <f>MAX(-0.05,NORMINV(RAND(),$C$6,$D$6))</f>
        <v/>
      </c>
      <c r="L817" s="25">
        <f>MAX(0.02,NORMINV(RAND(),$C$7,$D$7))</f>
        <v/>
      </c>
      <c r="M817" s="25">
        <f>MIN(0.16,MAX(0.05,NORMINV(RAND(),$C$8,$D$8)))</f>
        <v/>
      </c>
      <c r="N817" s="26">
        <f>MIN(24,MAX(5,NORMINV(RAND(),$C$9,$D$9)))</f>
        <v/>
      </c>
      <c r="O817" s="49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25">
        <f>MAX(-0.05,NORMINV(RAND(),$C$6,$D$6))</f>
        <v/>
      </c>
      <c r="L818" s="25">
        <f>MAX(0.02,NORMINV(RAND(),$C$7,$D$7))</f>
        <v/>
      </c>
      <c r="M818" s="25">
        <f>MIN(0.16,MAX(0.05,NORMINV(RAND(),$C$8,$D$8)))</f>
        <v/>
      </c>
      <c r="N818" s="26">
        <f>MIN(24,MAX(5,NORMINV(RAND(),$C$9,$D$9)))</f>
        <v/>
      </c>
      <c r="O818" s="49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25">
        <f>MAX(-0.05,NORMINV(RAND(),$C$6,$D$6))</f>
        <v/>
      </c>
      <c r="L819" s="25">
        <f>MAX(0.02,NORMINV(RAND(),$C$7,$D$7))</f>
        <v/>
      </c>
      <c r="M819" s="25">
        <f>MIN(0.16,MAX(0.05,NORMINV(RAND(),$C$8,$D$8)))</f>
        <v/>
      </c>
      <c r="N819" s="26">
        <f>MIN(24,MAX(5,NORMINV(RAND(),$C$9,$D$9)))</f>
        <v/>
      </c>
      <c r="O819" s="49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25">
        <f>MAX(-0.05,NORMINV(RAND(),$C$6,$D$6))</f>
        <v/>
      </c>
      <c r="L820" s="25">
        <f>MAX(0.02,NORMINV(RAND(),$C$7,$D$7))</f>
        <v/>
      </c>
      <c r="M820" s="25">
        <f>MIN(0.16,MAX(0.05,NORMINV(RAND(),$C$8,$D$8)))</f>
        <v/>
      </c>
      <c r="N820" s="26">
        <f>MIN(24,MAX(5,NORMINV(RAND(),$C$9,$D$9)))</f>
        <v/>
      </c>
      <c r="O820" s="49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25">
        <f>MAX(-0.05,NORMINV(RAND(),$C$6,$D$6))</f>
        <v/>
      </c>
      <c r="L821" s="25">
        <f>MAX(0.02,NORMINV(RAND(),$C$7,$D$7))</f>
        <v/>
      </c>
      <c r="M821" s="25">
        <f>MIN(0.16,MAX(0.05,NORMINV(RAND(),$C$8,$D$8)))</f>
        <v/>
      </c>
      <c r="N821" s="26">
        <f>MIN(24,MAX(5,NORMINV(RAND(),$C$9,$D$9)))</f>
        <v/>
      </c>
      <c r="O821" s="49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25">
        <f>MAX(-0.05,NORMINV(RAND(),$C$6,$D$6))</f>
        <v/>
      </c>
      <c r="L822" s="25">
        <f>MAX(0.02,NORMINV(RAND(),$C$7,$D$7))</f>
        <v/>
      </c>
      <c r="M822" s="25">
        <f>MIN(0.16,MAX(0.05,NORMINV(RAND(),$C$8,$D$8)))</f>
        <v/>
      </c>
      <c r="N822" s="26">
        <f>MIN(24,MAX(5,NORMINV(RAND(),$C$9,$D$9)))</f>
        <v/>
      </c>
      <c r="O822" s="49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25">
        <f>MAX(-0.05,NORMINV(RAND(),$C$6,$D$6))</f>
        <v/>
      </c>
      <c r="L823" s="25">
        <f>MAX(0.02,NORMINV(RAND(),$C$7,$D$7))</f>
        <v/>
      </c>
      <c r="M823" s="25">
        <f>MIN(0.16,MAX(0.05,NORMINV(RAND(),$C$8,$D$8)))</f>
        <v/>
      </c>
      <c r="N823" s="26">
        <f>MIN(24,MAX(5,NORMINV(RAND(),$C$9,$D$9)))</f>
        <v/>
      </c>
      <c r="O823" s="49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25">
        <f>MAX(-0.05,NORMINV(RAND(),$C$6,$D$6))</f>
        <v/>
      </c>
      <c r="L824" s="25">
        <f>MAX(0.02,NORMINV(RAND(),$C$7,$D$7))</f>
        <v/>
      </c>
      <c r="M824" s="25">
        <f>MIN(0.16,MAX(0.05,NORMINV(RAND(),$C$8,$D$8)))</f>
        <v/>
      </c>
      <c r="N824" s="26">
        <f>MIN(24,MAX(5,NORMINV(RAND(),$C$9,$D$9)))</f>
        <v/>
      </c>
      <c r="O824" s="49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25">
        <f>MAX(-0.05,NORMINV(RAND(),$C$6,$D$6))</f>
        <v/>
      </c>
      <c r="L825" s="25">
        <f>MAX(0.02,NORMINV(RAND(),$C$7,$D$7))</f>
        <v/>
      </c>
      <c r="M825" s="25">
        <f>MIN(0.16,MAX(0.05,NORMINV(RAND(),$C$8,$D$8)))</f>
        <v/>
      </c>
      <c r="N825" s="26">
        <f>MIN(24,MAX(5,NORMINV(RAND(),$C$9,$D$9)))</f>
        <v/>
      </c>
      <c r="O825" s="49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25">
        <f>MAX(-0.05,NORMINV(RAND(),$C$6,$D$6))</f>
        <v/>
      </c>
      <c r="L826" s="25">
        <f>MAX(0.02,NORMINV(RAND(),$C$7,$D$7))</f>
        <v/>
      </c>
      <c r="M826" s="25">
        <f>MIN(0.16,MAX(0.05,NORMINV(RAND(),$C$8,$D$8)))</f>
        <v/>
      </c>
      <c r="N826" s="26">
        <f>MIN(24,MAX(5,NORMINV(RAND(),$C$9,$D$9)))</f>
        <v/>
      </c>
      <c r="O826" s="49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25">
        <f>MAX(-0.05,NORMINV(RAND(),$C$6,$D$6))</f>
        <v/>
      </c>
      <c r="L827" s="25">
        <f>MAX(0.02,NORMINV(RAND(),$C$7,$D$7))</f>
        <v/>
      </c>
      <c r="M827" s="25">
        <f>MIN(0.16,MAX(0.05,NORMINV(RAND(),$C$8,$D$8)))</f>
        <v/>
      </c>
      <c r="N827" s="26">
        <f>MIN(24,MAX(5,NORMINV(RAND(),$C$9,$D$9)))</f>
        <v/>
      </c>
      <c r="O827" s="49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25">
        <f>MAX(-0.05,NORMINV(RAND(),$C$6,$D$6))</f>
        <v/>
      </c>
      <c r="L828" s="25">
        <f>MAX(0.02,NORMINV(RAND(),$C$7,$D$7))</f>
        <v/>
      </c>
      <c r="M828" s="25">
        <f>MIN(0.16,MAX(0.05,NORMINV(RAND(),$C$8,$D$8)))</f>
        <v/>
      </c>
      <c r="N828" s="26">
        <f>MIN(24,MAX(5,NORMINV(RAND(),$C$9,$D$9)))</f>
        <v/>
      </c>
      <c r="O828" s="49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25">
        <f>MAX(-0.05,NORMINV(RAND(),$C$6,$D$6))</f>
        <v/>
      </c>
      <c r="L829" s="25">
        <f>MAX(0.02,NORMINV(RAND(),$C$7,$D$7))</f>
        <v/>
      </c>
      <c r="M829" s="25">
        <f>MIN(0.16,MAX(0.05,NORMINV(RAND(),$C$8,$D$8)))</f>
        <v/>
      </c>
      <c r="N829" s="26">
        <f>MIN(24,MAX(5,NORMINV(RAND(),$C$9,$D$9)))</f>
        <v/>
      </c>
      <c r="O829" s="49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25">
        <f>MAX(-0.05,NORMINV(RAND(),$C$6,$D$6))</f>
        <v/>
      </c>
      <c r="L830" s="25">
        <f>MAX(0.02,NORMINV(RAND(),$C$7,$D$7))</f>
        <v/>
      </c>
      <c r="M830" s="25">
        <f>MIN(0.16,MAX(0.05,NORMINV(RAND(),$C$8,$D$8)))</f>
        <v/>
      </c>
      <c r="N830" s="26">
        <f>MIN(24,MAX(5,NORMINV(RAND(),$C$9,$D$9)))</f>
        <v/>
      </c>
      <c r="O830" s="49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25">
        <f>MAX(-0.05,NORMINV(RAND(),$C$6,$D$6))</f>
        <v/>
      </c>
      <c r="L831" s="25">
        <f>MAX(0.02,NORMINV(RAND(),$C$7,$D$7))</f>
        <v/>
      </c>
      <c r="M831" s="25">
        <f>MIN(0.16,MAX(0.05,NORMINV(RAND(),$C$8,$D$8)))</f>
        <v/>
      </c>
      <c r="N831" s="26">
        <f>MIN(24,MAX(5,NORMINV(RAND(),$C$9,$D$9)))</f>
        <v/>
      </c>
      <c r="O831" s="49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25">
        <f>MAX(-0.05,NORMINV(RAND(),$C$6,$D$6))</f>
        <v/>
      </c>
      <c r="L832" s="25">
        <f>MAX(0.02,NORMINV(RAND(),$C$7,$D$7))</f>
        <v/>
      </c>
      <c r="M832" s="25">
        <f>MIN(0.16,MAX(0.05,NORMINV(RAND(),$C$8,$D$8)))</f>
        <v/>
      </c>
      <c r="N832" s="26">
        <f>MIN(24,MAX(5,NORMINV(RAND(),$C$9,$D$9)))</f>
        <v/>
      </c>
      <c r="O832" s="49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25">
        <f>MAX(-0.05,NORMINV(RAND(),$C$6,$D$6))</f>
        <v/>
      </c>
      <c r="L833" s="25">
        <f>MAX(0.02,NORMINV(RAND(),$C$7,$D$7))</f>
        <v/>
      </c>
      <c r="M833" s="25">
        <f>MIN(0.16,MAX(0.05,NORMINV(RAND(),$C$8,$D$8)))</f>
        <v/>
      </c>
      <c r="N833" s="26">
        <f>MIN(24,MAX(5,NORMINV(RAND(),$C$9,$D$9)))</f>
        <v/>
      </c>
      <c r="O833" s="49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25">
        <f>MAX(-0.05,NORMINV(RAND(),$C$6,$D$6))</f>
        <v/>
      </c>
      <c r="L834" s="25">
        <f>MAX(0.02,NORMINV(RAND(),$C$7,$D$7))</f>
        <v/>
      </c>
      <c r="M834" s="25">
        <f>MIN(0.16,MAX(0.05,NORMINV(RAND(),$C$8,$D$8)))</f>
        <v/>
      </c>
      <c r="N834" s="26">
        <f>MIN(24,MAX(5,NORMINV(RAND(),$C$9,$D$9)))</f>
        <v/>
      </c>
      <c r="O834" s="49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25">
        <f>MAX(-0.05,NORMINV(RAND(),$C$6,$D$6))</f>
        <v/>
      </c>
      <c r="L835" s="25">
        <f>MAX(0.02,NORMINV(RAND(),$C$7,$D$7))</f>
        <v/>
      </c>
      <c r="M835" s="25">
        <f>MIN(0.16,MAX(0.05,NORMINV(RAND(),$C$8,$D$8)))</f>
        <v/>
      </c>
      <c r="N835" s="26">
        <f>MIN(24,MAX(5,NORMINV(RAND(),$C$9,$D$9)))</f>
        <v/>
      </c>
      <c r="O835" s="49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25">
        <f>MAX(-0.05,NORMINV(RAND(),$C$6,$D$6))</f>
        <v/>
      </c>
      <c r="L836" s="25">
        <f>MAX(0.02,NORMINV(RAND(),$C$7,$D$7))</f>
        <v/>
      </c>
      <c r="M836" s="25">
        <f>MIN(0.16,MAX(0.05,NORMINV(RAND(),$C$8,$D$8)))</f>
        <v/>
      </c>
      <c r="N836" s="26">
        <f>MIN(24,MAX(5,NORMINV(RAND(),$C$9,$D$9)))</f>
        <v/>
      </c>
      <c r="O836" s="49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25">
        <f>MAX(-0.05,NORMINV(RAND(),$C$6,$D$6))</f>
        <v/>
      </c>
      <c r="L837" s="25">
        <f>MAX(0.02,NORMINV(RAND(),$C$7,$D$7))</f>
        <v/>
      </c>
      <c r="M837" s="25">
        <f>MIN(0.16,MAX(0.05,NORMINV(RAND(),$C$8,$D$8)))</f>
        <v/>
      </c>
      <c r="N837" s="26">
        <f>MIN(24,MAX(5,NORMINV(RAND(),$C$9,$D$9)))</f>
        <v/>
      </c>
      <c r="O837" s="49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25">
        <f>MAX(-0.05,NORMINV(RAND(),$C$6,$D$6))</f>
        <v/>
      </c>
      <c r="L838" s="25">
        <f>MAX(0.02,NORMINV(RAND(),$C$7,$D$7))</f>
        <v/>
      </c>
      <c r="M838" s="25">
        <f>MIN(0.16,MAX(0.05,NORMINV(RAND(),$C$8,$D$8)))</f>
        <v/>
      </c>
      <c r="N838" s="26">
        <f>MIN(24,MAX(5,NORMINV(RAND(),$C$9,$D$9)))</f>
        <v/>
      </c>
      <c r="O838" s="49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25">
        <f>MAX(-0.05,NORMINV(RAND(),$C$6,$D$6))</f>
        <v/>
      </c>
      <c r="L839" s="25">
        <f>MAX(0.02,NORMINV(RAND(),$C$7,$D$7))</f>
        <v/>
      </c>
      <c r="M839" s="25">
        <f>MIN(0.16,MAX(0.05,NORMINV(RAND(),$C$8,$D$8)))</f>
        <v/>
      </c>
      <c r="N839" s="26">
        <f>MIN(24,MAX(5,NORMINV(RAND(),$C$9,$D$9)))</f>
        <v/>
      </c>
      <c r="O839" s="49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25">
        <f>MAX(-0.05,NORMINV(RAND(),$C$6,$D$6))</f>
        <v/>
      </c>
      <c r="L840" s="25">
        <f>MAX(0.02,NORMINV(RAND(),$C$7,$D$7))</f>
        <v/>
      </c>
      <c r="M840" s="25">
        <f>MIN(0.16,MAX(0.05,NORMINV(RAND(),$C$8,$D$8)))</f>
        <v/>
      </c>
      <c r="N840" s="26">
        <f>MIN(24,MAX(5,NORMINV(RAND(),$C$9,$D$9)))</f>
        <v/>
      </c>
      <c r="O840" s="49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25">
        <f>MAX(-0.05,NORMINV(RAND(),$C$6,$D$6))</f>
        <v/>
      </c>
      <c r="L841" s="25">
        <f>MAX(0.02,NORMINV(RAND(),$C$7,$D$7))</f>
        <v/>
      </c>
      <c r="M841" s="25">
        <f>MIN(0.16,MAX(0.05,NORMINV(RAND(),$C$8,$D$8)))</f>
        <v/>
      </c>
      <c r="N841" s="26">
        <f>MIN(24,MAX(5,NORMINV(RAND(),$C$9,$D$9)))</f>
        <v/>
      </c>
      <c r="O841" s="49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25">
        <f>MAX(-0.05,NORMINV(RAND(),$C$6,$D$6))</f>
        <v/>
      </c>
      <c r="L842" s="25">
        <f>MAX(0.02,NORMINV(RAND(),$C$7,$D$7))</f>
        <v/>
      </c>
      <c r="M842" s="25">
        <f>MIN(0.16,MAX(0.05,NORMINV(RAND(),$C$8,$D$8)))</f>
        <v/>
      </c>
      <c r="N842" s="26">
        <f>MIN(24,MAX(5,NORMINV(RAND(),$C$9,$D$9)))</f>
        <v/>
      </c>
      <c r="O842" s="49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25">
        <f>MAX(-0.05,NORMINV(RAND(),$C$6,$D$6))</f>
        <v/>
      </c>
      <c r="L843" s="25">
        <f>MAX(0.02,NORMINV(RAND(),$C$7,$D$7))</f>
        <v/>
      </c>
      <c r="M843" s="25">
        <f>MIN(0.16,MAX(0.05,NORMINV(RAND(),$C$8,$D$8)))</f>
        <v/>
      </c>
      <c r="N843" s="26">
        <f>MIN(24,MAX(5,NORMINV(RAND(),$C$9,$D$9)))</f>
        <v/>
      </c>
      <c r="O843" s="49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25">
        <f>MAX(-0.05,NORMINV(RAND(),$C$6,$D$6))</f>
        <v/>
      </c>
      <c r="L844" s="25">
        <f>MAX(0.02,NORMINV(RAND(),$C$7,$D$7))</f>
        <v/>
      </c>
      <c r="M844" s="25">
        <f>MIN(0.16,MAX(0.05,NORMINV(RAND(),$C$8,$D$8)))</f>
        <v/>
      </c>
      <c r="N844" s="26">
        <f>MIN(24,MAX(5,NORMINV(RAND(),$C$9,$D$9)))</f>
        <v/>
      </c>
      <c r="O844" s="49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25">
        <f>MAX(-0.05,NORMINV(RAND(),$C$6,$D$6))</f>
        <v/>
      </c>
      <c r="L845" s="25">
        <f>MAX(0.02,NORMINV(RAND(),$C$7,$D$7))</f>
        <v/>
      </c>
      <c r="M845" s="25">
        <f>MIN(0.16,MAX(0.05,NORMINV(RAND(),$C$8,$D$8)))</f>
        <v/>
      </c>
      <c r="N845" s="26">
        <f>MIN(24,MAX(5,NORMINV(RAND(),$C$9,$D$9)))</f>
        <v/>
      </c>
      <c r="O845" s="49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25">
        <f>MAX(-0.05,NORMINV(RAND(),$C$6,$D$6))</f>
        <v/>
      </c>
      <c r="L846" s="25">
        <f>MAX(0.02,NORMINV(RAND(),$C$7,$D$7))</f>
        <v/>
      </c>
      <c r="M846" s="25">
        <f>MIN(0.16,MAX(0.05,NORMINV(RAND(),$C$8,$D$8)))</f>
        <v/>
      </c>
      <c r="N846" s="26">
        <f>MIN(24,MAX(5,NORMINV(RAND(),$C$9,$D$9)))</f>
        <v/>
      </c>
      <c r="O846" s="49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25">
        <f>MAX(-0.05,NORMINV(RAND(),$C$6,$D$6))</f>
        <v/>
      </c>
      <c r="L847" s="25">
        <f>MAX(0.02,NORMINV(RAND(),$C$7,$D$7))</f>
        <v/>
      </c>
      <c r="M847" s="25">
        <f>MIN(0.16,MAX(0.05,NORMINV(RAND(),$C$8,$D$8)))</f>
        <v/>
      </c>
      <c r="N847" s="26">
        <f>MIN(24,MAX(5,NORMINV(RAND(),$C$9,$D$9)))</f>
        <v/>
      </c>
      <c r="O847" s="49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25">
        <f>MAX(-0.05,NORMINV(RAND(),$C$6,$D$6))</f>
        <v/>
      </c>
      <c r="L848" s="25">
        <f>MAX(0.02,NORMINV(RAND(),$C$7,$D$7))</f>
        <v/>
      </c>
      <c r="M848" s="25">
        <f>MIN(0.16,MAX(0.05,NORMINV(RAND(),$C$8,$D$8)))</f>
        <v/>
      </c>
      <c r="N848" s="26">
        <f>MIN(24,MAX(5,NORMINV(RAND(),$C$9,$D$9)))</f>
        <v/>
      </c>
      <c r="O848" s="49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25">
        <f>MAX(-0.05,NORMINV(RAND(),$C$6,$D$6))</f>
        <v/>
      </c>
      <c r="L849" s="25">
        <f>MAX(0.02,NORMINV(RAND(),$C$7,$D$7))</f>
        <v/>
      </c>
      <c r="M849" s="25">
        <f>MIN(0.16,MAX(0.05,NORMINV(RAND(),$C$8,$D$8)))</f>
        <v/>
      </c>
      <c r="N849" s="26">
        <f>MIN(24,MAX(5,NORMINV(RAND(),$C$9,$D$9)))</f>
        <v/>
      </c>
      <c r="O849" s="49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25">
        <f>MAX(-0.05,NORMINV(RAND(),$C$6,$D$6))</f>
        <v/>
      </c>
      <c r="L850" s="25">
        <f>MAX(0.02,NORMINV(RAND(),$C$7,$D$7))</f>
        <v/>
      </c>
      <c r="M850" s="25">
        <f>MIN(0.16,MAX(0.05,NORMINV(RAND(),$C$8,$D$8)))</f>
        <v/>
      </c>
      <c r="N850" s="26">
        <f>MIN(24,MAX(5,NORMINV(RAND(),$C$9,$D$9)))</f>
        <v/>
      </c>
      <c r="O850" s="49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25">
        <f>MAX(-0.05,NORMINV(RAND(),$C$6,$D$6))</f>
        <v/>
      </c>
      <c r="L851" s="25">
        <f>MAX(0.02,NORMINV(RAND(),$C$7,$D$7))</f>
        <v/>
      </c>
      <c r="M851" s="25">
        <f>MIN(0.16,MAX(0.05,NORMINV(RAND(),$C$8,$D$8)))</f>
        <v/>
      </c>
      <c r="N851" s="26">
        <f>MIN(24,MAX(5,NORMINV(RAND(),$C$9,$D$9)))</f>
        <v/>
      </c>
      <c r="O851" s="49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25">
        <f>MAX(-0.05,NORMINV(RAND(),$C$6,$D$6))</f>
        <v/>
      </c>
      <c r="L852" s="25">
        <f>MAX(0.02,NORMINV(RAND(),$C$7,$D$7))</f>
        <v/>
      </c>
      <c r="M852" s="25">
        <f>MIN(0.16,MAX(0.05,NORMINV(RAND(),$C$8,$D$8)))</f>
        <v/>
      </c>
      <c r="N852" s="26">
        <f>MIN(24,MAX(5,NORMINV(RAND(),$C$9,$D$9)))</f>
        <v/>
      </c>
      <c r="O852" s="49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25">
        <f>MAX(-0.05,NORMINV(RAND(),$C$6,$D$6))</f>
        <v/>
      </c>
      <c r="L853" s="25">
        <f>MAX(0.02,NORMINV(RAND(),$C$7,$D$7))</f>
        <v/>
      </c>
      <c r="M853" s="25">
        <f>MIN(0.16,MAX(0.05,NORMINV(RAND(),$C$8,$D$8)))</f>
        <v/>
      </c>
      <c r="N853" s="26">
        <f>MIN(24,MAX(5,NORMINV(RAND(),$C$9,$D$9)))</f>
        <v/>
      </c>
      <c r="O853" s="49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25">
        <f>MAX(-0.05,NORMINV(RAND(),$C$6,$D$6))</f>
        <v/>
      </c>
      <c r="L854" s="25">
        <f>MAX(0.02,NORMINV(RAND(),$C$7,$D$7))</f>
        <v/>
      </c>
      <c r="M854" s="25">
        <f>MIN(0.16,MAX(0.05,NORMINV(RAND(),$C$8,$D$8)))</f>
        <v/>
      </c>
      <c r="N854" s="26">
        <f>MIN(24,MAX(5,NORMINV(RAND(),$C$9,$D$9)))</f>
        <v/>
      </c>
      <c r="O854" s="49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25">
        <f>MAX(-0.05,NORMINV(RAND(),$C$6,$D$6))</f>
        <v/>
      </c>
      <c r="L855" s="25">
        <f>MAX(0.02,NORMINV(RAND(),$C$7,$D$7))</f>
        <v/>
      </c>
      <c r="M855" s="25">
        <f>MIN(0.16,MAX(0.05,NORMINV(RAND(),$C$8,$D$8)))</f>
        <v/>
      </c>
      <c r="N855" s="26">
        <f>MIN(24,MAX(5,NORMINV(RAND(),$C$9,$D$9)))</f>
        <v/>
      </c>
      <c r="O855" s="49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25">
        <f>MAX(-0.05,NORMINV(RAND(),$C$6,$D$6))</f>
        <v/>
      </c>
      <c r="L856" s="25">
        <f>MAX(0.02,NORMINV(RAND(),$C$7,$D$7))</f>
        <v/>
      </c>
      <c r="M856" s="25">
        <f>MIN(0.16,MAX(0.05,NORMINV(RAND(),$C$8,$D$8)))</f>
        <v/>
      </c>
      <c r="N856" s="26">
        <f>MIN(24,MAX(5,NORMINV(RAND(),$C$9,$D$9)))</f>
        <v/>
      </c>
      <c r="O856" s="49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25">
        <f>MAX(-0.05,NORMINV(RAND(),$C$6,$D$6))</f>
        <v/>
      </c>
      <c r="L857" s="25">
        <f>MAX(0.02,NORMINV(RAND(),$C$7,$D$7))</f>
        <v/>
      </c>
      <c r="M857" s="25">
        <f>MIN(0.16,MAX(0.05,NORMINV(RAND(),$C$8,$D$8)))</f>
        <v/>
      </c>
      <c r="N857" s="26">
        <f>MIN(24,MAX(5,NORMINV(RAND(),$C$9,$D$9)))</f>
        <v/>
      </c>
      <c r="O857" s="49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25">
        <f>MAX(-0.05,NORMINV(RAND(),$C$6,$D$6))</f>
        <v/>
      </c>
      <c r="L858" s="25">
        <f>MAX(0.02,NORMINV(RAND(),$C$7,$D$7))</f>
        <v/>
      </c>
      <c r="M858" s="25">
        <f>MIN(0.16,MAX(0.05,NORMINV(RAND(),$C$8,$D$8)))</f>
        <v/>
      </c>
      <c r="N858" s="26">
        <f>MIN(24,MAX(5,NORMINV(RAND(),$C$9,$D$9)))</f>
        <v/>
      </c>
      <c r="O858" s="49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25">
        <f>MAX(-0.05,NORMINV(RAND(),$C$6,$D$6))</f>
        <v/>
      </c>
      <c r="L859" s="25">
        <f>MAX(0.02,NORMINV(RAND(),$C$7,$D$7))</f>
        <v/>
      </c>
      <c r="M859" s="25">
        <f>MIN(0.16,MAX(0.05,NORMINV(RAND(),$C$8,$D$8)))</f>
        <v/>
      </c>
      <c r="N859" s="26">
        <f>MIN(24,MAX(5,NORMINV(RAND(),$C$9,$D$9)))</f>
        <v/>
      </c>
      <c r="O859" s="49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25">
        <f>MAX(-0.05,NORMINV(RAND(),$C$6,$D$6))</f>
        <v/>
      </c>
      <c r="L860" s="25">
        <f>MAX(0.02,NORMINV(RAND(),$C$7,$D$7))</f>
        <v/>
      </c>
      <c r="M860" s="25">
        <f>MIN(0.16,MAX(0.05,NORMINV(RAND(),$C$8,$D$8)))</f>
        <v/>
      </c>
      <c r="N860" s="26">
        <f>MIN(24,MAX(5,NORMINV(RAND(),$C$9,$D$9)))</f>
        <v/>
      </c>
      <c r="O860" s="49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25">
        <f>MAX(-0.05,NORMINV(RAND(),$C$6,$D$6))</f>
        <v/>
      </c>
      <c r="L861" s="25">
        <f>MAX(0.02,NORMINV(RAND(),$C$7,$D$7))</f>
        <v/>
      </c>
      <c r="M861" s="25">
        <f>MIN(0.16,MAX(0.05,NORMINV(RAND(),$C$8,$D$8)))</f>
        <v/>
      </c>
      <c r="N861" s="26">
        <f>MIN(24,MAX(5,NORMINV(RAND(),$C$9,$D$9)))</f>
        <v/>
      </c>
      <c r="O861" s="49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25">
        <f>MAX(-0.05,NORMINV(RAND(),$C$6,$D$6))</f>
        <v/>
      </c>
      <c r="L862" s="25">
        <f>MAX(0.02,NORMINV(RAND(),$C$7,$D$7))</f>
        <v/>
      </c>
      <c r="M862" s="25">
        <f>MIN(0.16,MAX(0.05,NORMINV(RAND(),$C$8,$D$8)))</f>
        <v/>
      </c>
      <c r="N862" s="26">
        <f>MIN(24,MAX(5,NORMINV(RAND(),$C$9,$D$9)))</f>
        <v/>
      </c>
      <c r="O862" s="49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25">
        <f>MAX(-0.05,NORMINV(RAND(),$C$6,$D$6))</f>
        <v/>
      </c>
      <c r="L863" s="25">
        <f>MAX(0.02,NORMINV(RAND(),$C$7,$D$7))</f>
        <v/>
      </c>
      <c r="M863" s="25">
        <f>MIN(0.16,MAX(0.05,NORMINV(RAND(),$C$8,$D$8)))</f>
        <v/>
      </c>
      <c r="N863" s="26">
        <f>MIN(24,MAX(5,NORMINV(RAND(),$C$9,$D$9)))</f>
        <v/>
      </c>
      <c r="O863" s="49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25">
        <f>MAX(-0.05,NORMINV(RAND(),$C$6,$D$6))</f>
        <v/>
      </c>
      <c r="L864" s="25">
        <f>MAX(0.02,NORMINV(RAND(),$C$7,$D$7))</f>
        <v/>
      </c>
      <c r="M864" s="25">
        <f>MIN(0.16,MAX(0.05,NORMINV(RAND(),$C$8,$D$8)))</f>
        <v/>
      </c>
      <c r="N864" s="26">
        <f>MIN(24,MAX(5,NORMINV(RAND(),$C$9,$D$9)))</f>
        <v/>
      </c>
      <c r="O864" s="49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25">
        <f>MAX(-0.05,NORMINV(RAND(),$C$6,$D$6))</f>
        <v/>
      </c>
      <c r="L865" s="25">
        <f>MAX(0.02,NORMINV(RAND(),$C$7,$D$7))</f>
        <v/>
      </c>
      <c r="M865" s="25">
        <f>MIN(0.16,MAX(0.05,NORMINV(RAND(),$C$8,$D$8)))</f>
        <v/>
      </c>
      <c r="N865" s="26">
        <f>MIN(24,MAX(5,NORMINV(RAND(),$C$9,$D$9)))</f>
        <v/>
      </c>
      <c r="O865" s="49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25">
        <f>MAX(-0.05,NORMINV(RAND(),$C$6,$D$6))</f>
        <v/>
      </c>
      <c r="L866" s="25">
        <f>MAX(0.02,NORMINV(RAND(),$C$7,$D$7))</f>
        <v/>
      </c>
      <c r="M866" s="25">
        <f>MIN(0.16,MAX(0.05,NORMINV(RAND(),$C$8,$D$8)))</f>
        <v/>
      </c>
      <c r="N866" s="26">
        <f>MIN(24,MAX(5,NORMINV(RAND(),$C$9,$D$9)))</f>
        <v/>
      </c>
      <c r="O866" s="49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25">
        <f>MAX(-0.05,NORMINV(RAND(),$C$6,$D$6))</f>
        <v/>
      </c>
      <c r="L867" s="25">
        <f>MAX(0.02,NORMINV(RAND(),$C$7,$D$7))</f>
        <v/>
      </c>
      <c r="M867" s="25">
        <f>MIN(0.16,MAX(0.05,NORMINV(RAND(),$C$8,$D$8)))</f>
        <v/>
      </c>
      <c r="N867" s="26">
        <f>MIN(24,MAX(5,NORMINV(RAND(),$C$9,$D$9)))</f>
        <v/>
      </c>
      <c r="O867" s="49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25">
        <f>MAX(-0.05,NORMINV(RAND(),$C$6,$D$6))</f>
        <v/>
      </c>
      <c r="L868" s="25">
        <f>MAX(0.02,NORMINV(RAND(),$C$7,$D$7))</f>
        <v/>
      </c>
      <c r="M868" s="25">
        <f>MIN(0.16,MAX(0.05,NORMINV(RAND(),$C$8,$D$8)))</f>
        <v/>
      </c>
      <c r="N868" s="26">
        <f>MIN(24,MAX(5,NORMINV(RAND(),$C$9,$D$9)))</f>
        <v/>
      </c>
      <c r="O868" s="49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25">
        <f>MAX(-0.05,NORMINV(RAND(),$C$6,$D$6))</f>
        <v/>
      </c>
      <c r="L869" s="25">
        <f>MAX(0.02,NORMINV(RAND(),$C$7,$D$7))</f>
        <v/>
      </c>
      <c r="M869" s="25">
        <f>MIN(0.16,MAX(0.05,NORMINV(RAND(),$C$8,$D$8)))</f>
        <v/>
      </c>
      <c r="N869" s="26">
        <f>MIN(24,MAX(5,NORMINV(RAND(),$C$9,$D$9)))</f>
        <v/>
      </c>
      <c r="O869" s="49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25">
        <f>MAX(-0.05,NORMINV(RAND(),$C$6,$D$6))</f>
        <v/>
      </c>
      <c r="L870" s="25">
        <f>MAX(0.02,NORMINV(RAND(),$C$7,$D$7))</f>
        <v/>
      </c>
      <c r="M870" s="25">
        <f>MIN(0.16,MAX(0.05,NORMINV(RAND(),$C$8,$D$8)))</f>
        <v/>
      </c>
      <c r="N870" s="26">
        <f>MIN(24,MAX(5,NORMINV(RAND(),$C$9,$D$9)))</f>
        <v/>
      </c>
      <c r="O870" s="49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25">
        <f>MAX(-0.05,NORMINV(RAND(),$C$6,$D$6))</f>
        <v/>
      </c>
      <c r="L871" s="25">
        <f>MAX(0.02,NORMINV(RAND(),$C$7,$D$7))</f>
        <v/>
      </c>
      <c r="M871" s="25">
        <f>MIN(0.16,MAX(0.05,NORMINV(RAND(),$C$8,$D$8)))</f>
        <v/>
      </c>
      <c r="N871" s="26">
        <f>MIN(24,MAX(5,NORMINV(RAND(),$C$9,$D$9)))</f>
        <v/>
      </c>
      <c r="O871" s="49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25">
        <f>MAX(-0.05,NORMINV(RAND(),$C$6,$D$6))</f>
        <v/>
      </c>
      <c r="L872" s="25">
        <f>MAX(0.02,NORMINV(RAND(),$C$7,$D$7))</f>
        <v/>
      </c>
      <c r="M872" s="25">
        <f>MIN(0.16,MAX(0.05,NORMINV(RAND(),$C$8,$D$8)))</f>
        <v/>
      </c>
      <c r="N872" s="26">
        <f>MIN(24,MAX(5,NORMINV(RAND(),$C$9,$D$9)))</f>
        <v/>
      </c>
      <c r="O872" s="49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25">
        <f>MAX(-0.05,NORMINV(RAND(),$C$6,$D$6))</f>
        <v/>
      </c>
      <c r="L873" s="25">
        <f>MAX(0.02,NORMINV(RAND(),$C$7,$D$7))</f>
        <v/>
      </c>
      <c r="M873" s="25">
        <f>MIN(0.16,MAX(0.05,NORMINV(RAND(),$C$8,$D$8)))</f>
        <v/>
      </c>
      <c r="N873" s="26">
        <f>MIN(24,MAX(5,NORMINV(RAND(),$C$9,$D$9)))</f>
        <v/>
      </c>
      <c r="O873" s="49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25">
        <f>MAX(-0.05,NORMINV(RAND(),$C$6,$D$6))</f>
        <v/>
      </c>
      <c r="L874" s="25">
        <f>MAX(0.02,NORMINV(RAND(),$C$7,$D$7))</f>
        <v/>
      </c>
      <c r="M874" s="25">
        <f>MIN(0.16,MAX(0.05,NORMINV(RAND(),$C$8,$D$8)))</f>
        <v/>
      </c>
      <c r="N874" s="26">
        <f>MIN(24,MAX(5,NORMINV(RAND(),$C$9,$D$9)))</f>
        <v/>
      </c>
      <c r="O874" s="49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25">
        <f>MAX(-0.05,NORMINV(RAND(),$C$6,$D$6))</f>
        <v/>
      </c>
      <c r="L875" s="25">
        <f>MAX(0.02,NORMINV(RAND(),$C$7,$D$7))</f>
        <v/>
      </c>
      <c r="M875" s="25">
        <f>MIN(0.16,MAX(0.05,NORMINV(RAND(),$C$8,$D$8)))</f>
        <v/>
      </c>
      <c r="N875" s="26">
        <f>MIN(24,MAX(5,NORMINV(RAND(),$C$9,$D$9)))</f>
        <v/>
      </c>
      <c r="O875" s="49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25">
        <f>MAX(-0.05,NORMINV(RAND(),$C$6,$D$6))</f>
        <v/>
      </c>
      <c r="L876" s="25">
        <f>MAX(0.02,NORMINV(RAND(),$C$7,$D$7))</f>
        <v/>
      </c>
      <c r="M876" s="25">
        <f>MIN(0.16,MAX(0.05,NORMINV(RAND(),$C$8,$D$8)))</f>
        <v/>
      </c>
      <c r="N876" s="26">
        <f>MIN(24,MAX(5,NORMINV(RAND(),$C$9,$D$9)))</f>
        <v/>
      </c>
      <c r="O876" s="49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25">
        <f>MAX(-0.05,NORMINV(RAND(),$C$6,$D$6))</f>
        <v/>
      </c>
      <c r="L877" s="25">
        <f>MAX(0.02,NORMINV(RAND(),$C$7,$D$7))</f>
        <v/>
      </c>
      <c r="M877" s="25">
        <f>MIN(0.16,MAX(0.05,NORMINV(RAND(),$C$8,$D$8)))</f>
        <v/>
      </c>
      <c r="N877" s="26">
        <f>MIN(24,MAX(5,NORMINV(RAND(),$C$9,$D$9)))</f>
        <v/>
      </c>
      <c r="O877" s="49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25">
        <f>MAX(-0.05,NORMINV(RAND(),$C$6,$D$6))</f>
        <v/>
      </c>
      <c r="L878" s="25">
        <f>MAX(0.02,NORMINV(RAND(),$C$7,$D$7))</f>
        <v/>
      </c>
      <c r="M878" s="25">
        <f>MIN(0.16,MAX(0.05,NORMINV(RAND(),$C$8,$D$8)))</f>
        <v/>
      </c>
      <c r="N878" s="26">
        <f>MIN(24,MAX(5,NORMINV(RAND(),$C$9,$D$9)))</f>
        <v/>
      </c>
      <c r="O878" s="49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25">
        <f>MAX(-0.05,NORMINV(RAND(),$C$6,$D$6))</f>
        <v/>
      </c>
      <c r="L879" s="25">
        <f>MAX(0.02,NORMINV(RAND(),$C$7,$D$7))</f>
        <v/>
      </c>
      <c r="M879" s="25">
        <f>MIN(0.16,MAX(0.05,NORMINV(RAND(),$C$8,$D$8)))</f>
        <v/>
      </c>
      <c r="N879" s="26">
        <f>MIN(24,MAX(5,NORMINV(RAND(),$C$9,$D$9)))</f>
        <v/>
      </c>
      <c r="O879" s="49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25">
        <f>MAX(-0.05,NORMINV(RAND(),$C$6,$D$6))</f>
        <v/>
      </c>
      <c r="L880" s="25">
        <f>MAX(0.02,NORMINV(RAND(),$C$7,$D$7))</f>
        <v/>
      </c>
      <c r="M880" s="25">
        <f>MIN(0.16,MAX(0.05,NORMINV(RAND(),$C$8,$D$8)))</f>
        <v/>
      </c>
      <c r="N880" s="26">
        <f>MIN(24,MAX(5,NORMINV(RAND(),$C$9,$D$9)))</f>
        <v/>
      </c>
      <c r="O880" s="49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25">
        <f>MAX(-0.05,NORMINV(RAND(),$C$6,$D$6))</f>
        <v/>
      </c>
      <c r="L881" s="25">
        <f>MAX(0.02,NORMINV(RAND(),$C$7,$D$7))</f>
        <v/>
      </c>
      <c r="M881" s="25">
        <f>MIN(0.16,MAX(0.05,NORMINV(RAND(),$C$8,$D$8)))</f>
        <v/>
      </c>
      <c r="N881" s="26">
        <f>MIN(24,MAX(5,NORMINV(RAND(),$C$9,$D$9)))</f>
        <v/>
      </c>
      <c r="O881" s="49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25">
        <f>MAX(-0.05,NORMINV(RAND(),$C$6,$D$6))</f>
        <v/>
      </c>
      <c r="L882" s="25">
        <f>MAX(0.02,NORMINV(RAND(),$C$7,$D$7))</f>
        <v/>
      </c>
      <c r="M882" s="25">
        <f>MIN(0.16,MAX(0.05,NORMINV(RAND(),$C$8,$D$8)))</f>
        <v/>
      </c>
      <c r="N882" s="26">
        <f>MIN(24,MAX(5,NORMINV(RAND(),$C$9,$D$9)))</f>
        <v/>
      </c>
      <c r="O882" s="49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25">
        <f>MAX(-0.05,NORMINV(RAND(),$C$6,$D$6))</f>
        <v/>
      </c>
      <c r="L883" s="25">
        <f>MAX(0.02,NORMINV(RAND(),$C$7,$D$7))</f>
        <v/>
      </c>
      <c r="M883" s="25">
        <f>MIN(0.16,MAX(0.05,NORMINV(RAND(),$C$8,$D$8)))</f>
        <v/>
      </c>
      <c r="N883" s="26">
        <f>MIN(24,MAX(5,NORMINV(RAND(),$C$9,$D$9)))</f>
        <v/>
      </c>
      <c r="O883" s="49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25">
        <f>MAX(-0.05,NORMINV(RAND(),$C$6,$D$6))</f>
        <v/>
      </c>
      <c r="L884" s="25">
        <f>MAX(0.02,NORMINV(RAND(),$C$7,$D$7))</f>
        <v/>
      </c>
      <c r="M884" s="25">
        <f>MIN(0.16,MAX(0.05,NORMINV(RAND(),$C$8,$D$8)))</f>
        <v/>
      </c>
      <c r="N884" s="26">
        <f>MIN(24,MAX(5,NORMINV(RAND(),$C$9,$D$9)))</f>
        <v/>
      </c>
      <c r="O884" s="49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25">
        <f>MAX(-0.05,NORMINV(RAND(),$C$6,$D$6))</f>
        <v/>
      </c>
      <c r="L885" s="25">
        <f>MAX(0.02,NORMINV(RAND(),$C$7,$D$7))</f>
        <v/>
      </c>
      <c r="M885" s="25">
        <f>MIN(0.16,MAX(0.05,NORMINV(RAND(),$C$8,$D$8)))</f>
        <v/>
      </c>
      <c r="N885" s="26">
        <f>MIN(24,MAX(5,NORMINV(RAND(),$C$9,$D$9)))</f>
        <v/>
      </c>
      <c r="O885" s="49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25">
        <f>MAX(-0.05,NORMINV(RAND(),$C$6,$D$6))</f>
        <v/>
      </c>
      <c r="L886" s="25">
        <f>MAX(0.02,NORMINV(RAND(),$C$7,$D$7))</f>
        <v/>
      </c>
      <c r="M886" s="25">
        <f>MIN(0.16,MAX(0.05,NORMINV(RAND(),$C$8,$D$8)))</f>
        <v/>
      </c>
      <c r="N886" s="26">
        <f>MIN(24,MAX(5,NORMINV(RAND(),$C$9,$D$9)))</f>
        <v/>
      </c>
      <c r="O886" s="49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25">
        <f>MAX(-0.05,NORMINV(RAND(),$C$6,$D$6))</f>
        <v/>
      </c>
      <c r="L887" s="25">
        <f>MAX(0.02,NORMINV(RAND(),$C$7,$D$7))</f>
        <v/>
      </c>
      <c r="M887" s="25">
        <f>MIN(0.16,MAX(0.05,NORMINV(RAND(),$C$8,$D$8)))</f>
        <v/>
      </c>
      <c r="N887" s="26">
        <f>MIN(24,MAX(5,NORMINV(RAND(),$C$9,$D$9)))</f>
        <v/>
      </c>
      <c r="O887" s="49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25">
        <f>MAX(-0.05,NORMINV(RAND(),$C$6,$D$6))</f>
        <v/>
      </c>
      <c r="L888" s="25">
        <f>MAX(0.02,NORMINV(RAND(),$C$7,$D$7))</f>
        <v/>
      </c>
      <c r="M888" s="25">
        <f>MIN(0.16,MAX(0.05,NORMINV(RAND(),$C$8,$D$8)))</f>
        <v/>
      </c>
      <c r="N888" s="26">
        <f>MIN(24,MAX(5,NORMINV(RAND(),$C$9,$D$9)))</f>
        <v/>
      </c>
      <c r="O888" s="49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25">
        <f>MAX(-0.05,NORMINV(RAND(),$C$6,$D$6))</f>
        <v/>
      </c>
      <c r="L889" s="25">
        <f>MAX(0.02,NORMINV(RAND(),$C$7,$D$7))</f>
        <v/>
      </c>
      <c r="M889" s="25">
        <f>MIN(0.16,MAX(0.05,NORMINV(RAND(),$C$8,$D$8)))</f>
        <v/>
      </c>
      <c r="N889" s="26">
        <f>MIN(24,MAX(5,NORMINV(RAND(),$C$9,$D$9)))</f>
        <v/>
      </c>
      <c r="O889" s="49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25">
        <f>MAX(-0.05,NORMINV(RAND(),$C$6,$D$6))</f>
        <v/>
      </c>
      <c r="L890" s="25">
        <f>MAX(0.02,NORMINV(RAND(),$C$7,$D$7))</f>
        <v/>
      </c>
      <c r="M890" s="25">
        <f>MIN(0.16,MAX(0.05,NORMINV(RAND(),$C$8,$D$8)))</f>
        <v/>
      </c>
      <c r="N890" s="26">
        <f>MIN(24,MAX(5,NORMINV(RAND(),$C$9,$D$9)))</f>
        <v/>
      </c>
      <c r="O890" s="49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25">
        <f>MAX(-0.05,NORMINV(RAND(),$C$6,$D$6))</f>
        <v/>
      </c>
      <c r="L891" s="25">
        <f>MAX(0.02,NORMINV(RAND(),$C$7,$D$7))</f>
        <v/>
      </c>
      <c r="M891" s="25">
        <f>MIN(0.16,MAX(0.05,NORMINV(RAND(),$C$8,$D$8)))</f>
        <v/>
      </c>
      <c r="N891" s="26">
        <f>MIN(24,MAX(5,NORMINV(RAND(),$C$9,$D$9)))</f>
        <v/>
      </c>
      <c r="O891" s="49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25">
        <f>MAX(-0.05,NORMINV(RAND(),$C$6,$D$6))</f>
        <v/>
      </c>
      <c r="L892" s="25">
        <f>MAX(0.02,NORMINV(RAND(),$C$7,$D$7))</f>
        <v/>
      </c>
      <c r="M892" s="25">
        <f>MIN(0.16,MAX(0.05,NORMINV(RAND(),$C$8,$D$8)))</f>
        <v/>
      </c>
      <c r="N892" s="26">
        <f>MIN(24,MAX(5,NORMINV(RAND(),$C$9,$D$9)))</f>
        <v/>
      </c>
      <c r="O892" s="49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25">
        <f>MAX(-0.05,NORMINV(RAND(),$C$6,$D$6))</f>
        <v/>
      </c>
      <c r="L893" s="25">
        <f>MAX(0.02,NORMINV(RAND(),$C$7,$D$7))</f>
        <v/>
      </c>
      <c r="M893" s="25">
        <f>MIN(0.16,MAX(0.05,NORMINV(RAND(),$C$8,$D$8)))</f>
        <v/>
      </c>
      <c r="N893" s="26">
        <f>MIN(24,MAX(5,NORMINV(RAND(),$C$9,$D$9)))</f>
        <v/>
      </c>
      <c r="O893" s="49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25">
        <f>MAX(-0.05,NORMINV(RAND(),$C$6,$D$6))</f>
        <v/>
      </c>
      <c r="L894" s="25">
        <f>MAX(0.02,NORMINV(RAND(),$C$7,$D$7))</f>
        <v/>
      </c>
      <c r="M894" s="25">
        <f>MIN(0.16,MAX(0.05,NORMINV(RAND(),$C$8,$D$8)))</f>
        <v/>
      </c>
      <c r="N894" s="26">
        <f>MIN(24,MAX(5,NORMINV(RAND(),$C$9,$D$9)))</f>
        <v/>
      </c>
      <c r="O894" s="49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25">
        <f>MAX(-0.05,NORMINV(RAND(),$C$6,$D$6))</f>
        <v/>
      </c>
      <c r="L895" s="25">
        <f>MAX(0.02,NORMINV(RAND(),$C$7,$D$7))</f>
        <v/>
      </c>
      <c r="M895" s="25">
        <f>MIN(0.16,MAX(0.05,NORMINV(RAND(),$C$8,$D$8)))</f>
        <v/>
      </c>
      <c r="N895" s="26">
        <f>MIN(24,MAX(5,NORMINV(RAND(),$C$9,$D$9)))</f>
        <v/>
      </c>
      <c r="O895" s="49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25">
        <f>MAX(-0.05,NORMINV(RAND(),$C$6,$D$6))</f>
        <v/>
      </c>
      <c r="L896" s="25">
        <f>MAX(0.02,NORMINV(RAND(),$C$7,$D$7))</f>
        <v/>
      </c>
      <c r="M896" s="25">
        <f>MIN(0.16,MAX(0.05,NORMINV(RAND(),$C$8,$D$8)))</f>
        <v/>
      </c>
      <c r="N896" s="26">
        <f>MIN(24,MAX(5,NORMINV(RAND(),$C$9,$D$9)))</f>
        <v/>
      </c>
      <c r="O896" s="49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25">
        <f>MAX(-0.05,NORMINV(RAND(),$C$6,$D$6))</f>
        <v/>
      </c>
      <c r="L897" s="25">
        <f>MAX(0.02,NORMINV(RAND(),$C$7,$D$7))</f>
        <v/>
      </c>
      <c r="M897" s="25">
        <f>MIN(0.16,MAX(0.05,NORMINV(RAND(),$C$8,$D$8)))</f>
        <v/>
      </c>
      <c r="N897" s="26">
        <f>MIN(24,MAX(5,NORMINV(RAND(),$C$9,$D$9)))</f>
        <v/>
      </c>
      <c r="O897" s="49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25">
        <f>MAX(-0.05,NORMINV(RAND(),$C$6,$D$6))</f>
        <v/>
      </c>
      <c r="L898" s="25">
        <f>MAX(0.02,NORMINV(RAND(),$C$7,$D$7))</f>
        <v/>
      </c>
      <c r="M898" s="25">
        <f>MIN(0.16,MAX(0.05,NORMINV(RAND(),$C$8,$D$8)))</f>
        <v/>
      </c>
      <c r="N898" s="26">
        <f>MIN(24,MAX(5,NORMINV(RAND(),$C$9,$D$9)))</f>
        <v/>
      </c>
      <c r="O898" s="49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25">
        <f>MAX(-0.05,NORMINV(RAND(),$C$6,$D$6))</f>
        <v/>
      </c>
      <c r="L899" s="25">
        <f>MAX(0.02,NORMINV(RAND(),$C$7,$D$7))</f>
        <v/>
      </c>
      <c r="M899" s="25">
        <f>MIN(0.16,MAX(0.05,NORMINV(RAND(),$C$8,$D$8)))</f>
        <v/>
      </c>
      <c r="N899" s="26">
        <f>MIN(24,MAX(5,NORMINV(RAND(),$C$9,$D$9)))</f>
        <v/>
      </c>
      <c r="O899" s="49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25">
        <f>MAX(-0.05,NORMINV(RAND(),$C$6,$D$6))</f>
        <v/>
      </c>
      <c r="L900" s="25">
        <f>MAX(0.02,NORMINV(RAND(),$C$7,$D$7))</f>
        <v/>
      </c>
      <c r="M900" s="25">
        <f>MIN(0.16,MAX(0.05,NORMINV(RAND(),$C$8,$D$8)))</f>
        <v/>
      </c>
      <c r="N900" s="26">
        <f>MIN(24,MAX(5,NORMINV(RAND(),$C$9,$D$9)))</f>
        <v/>
      </c>
      <c r="O900" s="49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25">
        <f>MAX(-0.05,NORMINV(RAND(),$C$6,$D$6))</f>
        <v/>
      </c>
      <c r="L901" s="25">
        <f>MAX(0.02,NORMINV(RAND(),$C$7,$D$7))</f>
        <v/>
      </c>
      <c r="M901" s="25">
        <f>MIN(0.16,MAX(0.05,NORMINV(RAND(),$C$8,$D$8)))</f>
        <v/>
      </c>
      <c r="N901" s="26">
        <f>MIN(24,MAX(5,NORMINV(RAND(),$C$9,$D$9)))</f>
        <v/>
      </c>
      <c r="O901" s="49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25">
        <f>MAX(-0.05,NORMINV(RAND(),$C$6,$D$6))</f>
        <v/>
      </c>
      <c r="L902" s="25">
        <f>MAX(0.02,NORMINV(RAND(),$C$7,$D$7))</f>
        <v/>
      </c>
      <c r="M902" s="25">
        <f>MIN(0.16,MAX(0.05,NORMINV(RAND(),$C$8,$D$8)))</f>
        <v/>
      </c>
      <c r="N902" s="26">
        <f>MIN(24,MAX(5,NORMINV(RAND(),$C$9,$D$9)))</f>
        <v/>
      </c>
      <c r="O902" s="49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25">
        <f>MAX(-0.05,NORMINV(RAND(),$C$6,$D$6))</f>
        <v/>
      </c>
      <c r="L903" s="25">
        <f>MAX(0.02,NORMINV(RAND(),$C$7,$D$7))</f>
        <v/>
      </c>
      <c r="M903" s="25">
        <f>MIN(0.16,MAX(0.05,NORMINV(RAND(),$C$8,$D$8)))</f>
        <v/>
      </c>
      <c r="N903" s="26">
        <f>MIN(24,MAX(5,NORMINV(RAND(),$C$9,$D$9)))</f>
        <v/>
      </c>
      <c r="O903" s="49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25">
        <f>MAX(-0.05,NORMINV(RAND(),$C$6,$D$6))</f>
        <v/>
      </c>
      <c r="L904" s="25">
        <f>MAX(0.02,NORMINV(RAND(),$C$7,$D$7))</f>
        <v/>
      </c>
      <c r="M904" s="25">
        <f>MIN(0.16,MAX(0.05,NORMINV(RAND(),$C$8,$D$8)))</f>
        <v/>
      </c>
      <c r="N904" s="26">
        <f>MIN(24,MAX(5,NORMINV(RAND(),$C$9,$D$9)))</f>
        <v/>
      </c>
      <c r="O904" s="49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25">
        <f>MAX(-0.05,NORMINV(RAND(),$C$6,$D$6))</f>
        <v/>
      </c>
      <c r="L905" s="25">
        <f>MAX(0.02,NORMINV(RAND(),$C$7,$D$7))</f>
        <v/>
      </c>
      <c r="M905" s="25">
        <f>MIN(0.16,MAX(0.05,NORMINV(RAND(),$C$8,$D$8)))</f>
        <v/>
      </c>
      <c r="N905" s="26">
        <f>MIN(24,MAX(5,NORMINV(RAND(),$C$9,$D$9)))</f>
        <v/>
      </c>
      <c r="O905" s="49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25">
        <f>MAX(-0.05,NORMINV(RAND(),$C$6,$D$6))</f>
        <v/>
      </c>
      <c r="L906" s="25">
        <f>MAX(0.02,NORMINV(RAND(),$C$7,$D$7))</f>
        <v/>
      </c>
      <c r="M906" s="25">
        <f>MIN(0.16,MAX(0.05,NORMINV(RAND(),$C$8,$D$8)))</f>
        <v/>
      </c>
      <c r="N906" s="26">
        <f>MIN(24,MAX(5,NORMINV(RAND(),$C$9,$D$9)))</f>
        <v/>
      </c>
      <c r="O906" s="49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25">
        <f>MAX(-0.05,NORMINV(RAND(),$C$6,$D$6))</f>
        <v/>
      </c>
      <c r="L907" s="25">
        <f>MAX(0.02,NORMINV(RAND(),$C$7,$D$7))</f>
        <v/>
      </c>
      <c r="M907" s="25">
        <f>MIN(0.16,MAX(0.05,NORMINV(RAND(),$C$8,$D$8)))</f>
        <v/>
      </c>
      <c r="N907" s="26">
        <f>MIN(24,MAX(5,NORMINV(RAND(),$C$9,$D$9)))</f>
        <v/>
      </c>
      <c r="O907" s="49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25">
        <f>MAX(-0.05,NORMINV(RAND(),$C$6,$D$6))</f>
        <v/>
      </c>
      <c r="L908" s="25">
        <f>MAX(0.02,NORMINV(RAND(),$C$7,$D$7))</f>
        <v/>
      </c>
      <c r="M908" s="25">
        <f>MIN(0.16,MAX(0.05,NORMINV(RAND(),$C$8,$D$8)))</f>
        <v/>
      </c>
      <c r="N908" s="26">
        <f>MIN(24,MAX(5,NORMINV(RAND(),$C$9,$D$9)))</f>
        <v/>
      </c>
      <c r="O908" s="49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25">
        <f>MAX(-0.05,NORMINV(RAND(),$C$6,$D$6))</f>
        <v/>
      </c>
      <c r="L909" s="25">
        <f>MAX(0.02,NORMINV(RAND(),$C$7,$D$7))</f>
        <v/>
      </c>
      <c r="M909" s="25">
        <f>MIN(0.16,MAX(0.05,NORMINV(RAND(),$C$8,$D$8)))</f>
        <v/>
      </c>
      <c r="N909" s="26">
        <f>MIN(24,MAX(5,NORMINV(RAND(),$C$9,$D$9)))</f>
        <v/>
      </c>
      <c r="O909" s="49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25">
        <f>MAX(-0.05,NORMINV(RAND(),$C$6,$D$6))</f>
        <v/>
      </c>
      <c r="L910" s="25">
        <f>MAX(0.02,NORMINV(RAND(),$C$7,$D$7))</f>
        <v/>
      </c>
      <c r="M910" s="25">
        <f>MIN(0.16,MAX(0.05,NORMINV(RAND(),$C$8,$D$8)))</f>
        <v/>
      </c>
      <c r="N910" s="26">
        <f>MIN(24,MAX(5,NORMINV(RAND(),$C$9,$D$9)))</f>
        <v/>
      </c>
      <c r="O910" s="49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25">
        <f>MAX(-0.05,NORMINV(RAND(),$C$6,$D$6))</f>
        <v/>
      </c>
      <c r="L911" s="25">
        <f>MAX(0.02,NORMINV(RAND(),$C$7,$D$7))</f>
        <v/>
      </c>
      <c r="M911" s="25">
        <f>MIN(0.16,MAX(0.05,NORMINV(RAND(),$C$8,$D$8)))</f>
        <v/>
      </c>
      <c r="N911" s="26">
        <f>MIN(24,MAX(5,NORMINV(RAND(),$C$9,$D$9)))</f>
        <v/>
      </c>
      <c r="O911" s="49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25">
        <f>MAX(-0.05,NORMINV(RAND(),$C$6,$D$6))</f>
        <v/>
      </c>
      <c r="L912" s="25">
        <f>MAX(0.02,NORMINV(RAND(),$C$7,$D$7))</f>
        <v/>
      </c>
      <c r="M912" s="25">
        <f>MIN(0.16,MAX(0.05,NORMINV(RAND(),$C$8,$D$8)))</f>
        <v/>
      </c>
      <c r="N912" s="26">
        <f>MIN(24,MAX(5,NORMINV(RAND(),$C$9,$D$9)))</f>
        <v/>
      </c>
      <c r="O912" s="49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25">
        <f>MAX(-0.05,NORMINV(RAND(),$C$6,$D$6))</f>
        <v/>
      </c>
      <c r="L913" s="25">
        <f>MAX(0.02,NORMINV(RAND(),$C$7,$D$7))</f>
        <v/>
      </c>
      <c r="M913" s="25">
        <f>MIN(0.16,MAX(0.05,NORMINV(RAND(),$C$8,$D$8)))</f>
        <v/>
      </c>
      <c r="N913" s="26">
        <f>MIN(24,MAX(5,NORMINV(RAND(),$C$9,$D$9)))</f>
        <v/>
      </c>
      <c r="O913" s="49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25">
        <f>MAX(-0.05,NORMINV(RAND(),$C$6,$D$6))</f>
        <v/>
      </c>
      <c r="L914" s="25">
        <f>MAX(0.02,NORMINV(RAND(),$C$7,$D$7))</f>
        <v/>
      </c>
      <c r="M914" s="25">
        <f>MIN(0.16,MAX(0.05,NORMINV(RAND(),$C$8,$D$8)))</f>
        <v/>
      </c>
      <c r="N914" s="26">
        <f>MIN(24,MAX(5,NORMINV(RAND(),$C$9,$D$9)))</f>
        <v/>
      </c>
      <c r="O914" s="49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25">
        <f>MAX(-0.05,NORMINV(RAND(),$C$6,$D$6))</f>
        <v/>
      </c>
      <c r="L915" s="25">
        <f>MAX(0.02,NORMINV(RAND(),$C$7,$D$7))</f>
        <v/>
      </c>
      <c r="M915" s="25">
        <f>MIN(0.16,MAX(0.05,NORMINV(RAND(),$C$8,$D$8)))</f>
        <v/>
      </c>
      <c r="N915" s="26">
        <f>MIN(24,MAX(5,NORMINV(RAND(),$C$9,$D$9)))</f>
        <v/>
      </c>
      <c r="O915" s="49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25">
        <f>MAX(-0.05,NORMINV(RAND(),$C$6,$D$6))</f>
        <v/>
      </c>
      <c r="L916" s="25">
        <f>MAX(0.02,NORMINV(RAND(),$C$7,$D$7))</f>
        <v/>
      </c>
      <c r="M916" s="25">
        <f>MIN(0.16,MAX(0.05,NORMINV(RAND(),$C$8,$D$8)))</f>
        <v/>
      </c>
      <c r="N916" s="26">
        <f>MIN(24,MAX(5,NORMINV(RAND(),$C$9,$D$9)))</f>
        <v/>
      </c>
      <c r="O916" s="49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25">
        <f>MAX(-0.05,NORMINV(RAND(),$C$6,$D$6))</f>
        <v/>
      </c>
      <c r="L917" s="25">
        <f>MAX(0.02,NORMINV(RAND(),$C$7,$D$7))</f>
        <v/>
      </c>
      <c r="M917" s="25">
        <f>MIN(0.16,MAX(0.05,NORMINV(RAND(),$C$8,$D$8)))</f>
        <v/>
      </c>
      <c r="N917" s="26">
        <f>MIN(24,MAX(5,NORMINV(RAND(),$C$9,$D$9)))</f>
        <v/>
      </c>
      <c r="O917" s="49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25">
        <f>MAX(-0.05,NORMINV(RAND(),$C$6,$D$6))</f>
        <v/>
      </c>
      <c r="L918" s="25">
        <f>MAX(0.02,NORMINV(RAND(),$C$7,$D$7))</f>
        <v/>
      </c>
      <c r="M918" s="25">
        <f>MIN(0.16,MAX(0.05,NORMINV(RAND(),$C$8,$D$8)))</f>
        <v/>
      </c>
      <c r="N918" s="26">
        <f>MIN(24,MAX(5,NORMINV(RAND(),$C$9,$D$9)))</f>
        <v/>
      </c>
      <c r="O918" s="49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25">
        <f>MAX(-0.05,NORMINV(RAND(),$C$6,$D$6))</f>
        <v/>
      </c>
      <c r="L919" s="25">
        <f>MAX(0.02,NORMINV(RAND(),$C$7,$D$7))</f>
        <v/>
      </c>
      <c r="M919" s="25">
        <f>MIN(0.16,MAX(0.05,NORMINV(RAND(),$C$8,$D$8)))</f>
        <v/>
      </c>
      <c r="N919" s="26">
        <f>MIN(24,MAX(5,NORMINV(RAND(),$C$9,$D$9)))</f>
        <v/>
      </c>
      <c r="O919" s="49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25">
        <f>MAX(-0.05,NORMINV(RAND(),$C$6,$D$6))</f>
        <v/>
      </c>
      <c r="L920" s="25">
        <f>MAX(0.02,NORMINV(RAND(),$C$7,$D$7))</f>
        <v/>
      </c>
      <c r="M920" s="25">
        <f>MIN(0.16,MAX(0.05,NORMINV(RAND(),$C$8,$D$8)))</f>
        <v/>
      </c>
      <c r="N920" s="26">
        <f>MIN(24,MAX(5,NORMINV(RAND(),$C$9,$D$9)))</f>
        <v/>
      </c>
      <c r="O920" s="49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25">
        <f>MAX(-0.05,NORMINV(RAND(),$C$6,$D$6))</f>
        <v/>
      </c>
      <c r="L921" s="25">
        <f>MAX(0.02,NORMINV(RAND(),$C$7,$D$7))</f>
        <v/>
      </c>
      <c r="M921" s="25">
        <f>MIN(0.16,MAX(0.05,NORMINV(RAND(),$C$8,$D$8)))</f>
        <v/>
      </c>
      <c r="N921" s="26">
        <f>MIN(24,MAX(5,NORMINV(RAND(),$C$9,$D$9)))</f>
        <v/>
      </c>
      <c r="O921" s="49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25">
        <f>MAX(-0.05,NORMINV(RAND(),$C$6,$D$6))</f>
        <v/>
      </c>
      <c r="L922" s="25">
        <f>MAX(0.02,NORMINV(RAND(),$C$7,$D$7))</f>
        <v/>
      </c>
      <c r="M922" s="25">
        <f>MIN(0.16,MAX(0.05,NORMINV(RAND(),$C$8,$D$8)))</f>
        <v/>
      </c>
      <c r="N922" s="26">
        <f>MIN(24,MAX(5,NORMINV(RAND(),$C$9,$D$9)))</f>
        <v/>
      </c>
      <c r="O922" s="49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25">
        <f>MAX(-0.05,NORMINV(RAND(),$C$6,$D$6))</f>
        <v/>
      </c>
      <c r="L923" s="25">
        <f>MAX(0.02,NORMINV(RAND(),$C$7,$D$7))</f>
        <v/>
      </c>
      <c r="M923" s="25">
        <f>MIN(0.16,MAX(0.05,NORMINV(RAND(),$C$8,$D$8)))</f>
        <v/>
      </c>
      <c r="N923" s="26">
        <f>MIN(24,MAX(5,NORMINV(RAND(),$C$9,$D$9)))</f>
        <v/>
      </c>
      <c r="O923" s="49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25">
        <f>MAX(-0.05,NORMINV(RAND(),$C$6,$D$6))</f>
        <v/>
      </c>
      <c r="L924" s="25">
        <f>MAX(0.02,NORMINV(RAND(),$C$7,$D$7))</f>
        <v/>
      </c>
      <c r="M924" s="25">
        <f>MIN(0.16,MAX(0.05,NORMINV(RAND(),$C$8,$D$8)))</f>
        <v/>
      </c>
      <c r="N924" s="26">
        <f>MIN(24,MAX(5,NORMINV(RAND(),$C$9,$D$9)))</f>
        <v/>
      </c>
      <c r="O924" s="49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25">
        <f>MAX(-0.05,NORMINV(RAND(),$C$6,$D$6))</f>
        <v/>
      </c>
      <c r="L925" s="25">
        <f>MAX(0.02,NORMINV(RAND(),$C$7,$D$7))</f>
        <v/>
      </c>
      <c r="M925" s="25">
        <f>MIN(0.16,MAX(0.05,NORMINV(RAND(),$C$8,$D$8)))</f>
        <v/>
      </c>
      <c r="N925" s="26">
        <f>MIN(24,MAX(5,NORMINV(RAND(),$C$9,$D$9)))</f>
        <v/>
      </c>
      <c r="O925" s="49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25">
        <f>MAX(-0.05,NORMINV(RAND(),$C$6,$D$6))</f>
        <v/>
      </c>
      <c r="L926" s="25">
        <f>MAX(0.02,NORMINV(RAND(),$C$7,$D$7))</f>
        <v/>
      </c>
      <c r="M926" s="25">
        <f>MIN(0.16,MAX(0.05,NORMINV(RAND(),$C$8,$D$8)))</f>
        <v/>
      </c>
      <c r="N926" s="26">
        <f>MIN(24,MAX(5,NORMINV(RAND(),$C$9,$D$9)))</f>
        <v/>
      </c>
      <c r="O926" s="49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25">
        <f>MAX(-0.05,NORMINV(RAND(),$C$6,$D$6))</f>
        <v/>
      </c>
      <c r="L927" s="25">
        <f>MAX(0.02,NORMINV(RAND(),$C$7,$D$7))</f>
        <v/>
      </c>
      <c r="M927" s="25">
        <f>MIN(0.16,MAX(0.05,NORMINV(RAND(),$C$8,$D$8)))</f>
        <v/>
      </c>
      <c r="N927" s="26">
        <f>MIN(24,MAX(5,NORMINV(RAND(),$C$9,$D$9)))</f>
        <v/>
      </c>
      <c r="O927" s="49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25">
        <f>MAX(-0.05,NORMINV(RAND(),$C$6,$D$6))</f>
        <v/>
      </c>
      <c r="L928" s="25">
        <f>MAX(0.02,NORMINV(RAND(),$C$7,$D$7))</f>
        <v/>
      </c>
      <c r="M928" s="25">
        <f>MIN(0.16,MAX(0.05,NORMINV(RAND(),$C$8,$D$8)))</f>
        <v/>
      </c>
      <c r="N928" s="26">
        <f>MIN(24,MAX(5,NORMINV(RAND(),$C$9,$D$9)))</f>
        <v/>
      </c>
      <c r="O928" s="49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25">
        <f>MAX(-0.05,NORMINV(RAND(),$C$6,$D$6))</f>
        <v/>
      </c>
      <c r="L929" s="25">
        <f>MAX(0.02,NORMINV(RAND(),$C$7,$D$7))</f>
        <v/>
      </c>
      <c r="M929" s="25">
        <f>MIN(0.16,MAX(0.05,NORMINV(RAND(),$C$8,$D$8)))</f>
        <v/>
      </c>
      <c r="N929" s="26">
        <f>MIN(24,MAX(5,NORMINV(RAND(),$C$9,$D$9)))</f>
        <v/>
      </c>
      <c r="O929" s="49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25">
        <f>MAX(-0.05,NORMINV(RAND(),$C$6,$D$6))</f>
        <v/>
      </c>
      <c r="L930" s="25">
        <f>MAX(0.02,NORMINV(RAND(),$C$7,$D$7))</f>
        <v/>
      </c>
      <c r="M930" s="25">
        <f>MIN(0.16,MAX(0.05,NORMINV(RAND(),$C$8,$D$8)))</f>
        <v/>
      </c>
      <c r="N930" s="26">
        <f>MIN(24,MAX(5,NORMINV(RAND(),$C$9,$D$9)))</f>
        <v/>
      </c>
      <c r="O930" s="49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25">
        <f>MAX(-0.05,NORMINV(RAND(),$C$6,$D$6))</f>
        <v/>
      </c>
      <c r="L931" s="25">
        <f>MAX(0.02,NORMINV(RAND(),$C$7,$D$7))</f>
        <v/>
      </c>
      <c r="M931" s="25">
        <f>MIN(0.16,MAX(0.05,NORMINV(RAND(),$C$8,$D$8)))</f>
        <v/>
      </c>
      <c r="N931" s="26">
        <f>MIN(24,MAX(5,NORMINV(RAND(),$C$9,$D$9)))</f>
        <v/>
      </c>
      <c r="O931" s="49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25">
        <f>MAX(-0.05,NORMINV(RAND(),$C$6,$D$6))</f>
        <v/>
      </c>
      <c r="L932" s="25">
        <f>MAX(0.02,NORMINV(RAND(),$C$7,$D$7))</f>
        <v/>
      </c>
      <c r="M932" s="25">
        <f>MIN(0.16,MAX(0.05,NORMINV(RAND(),$C$8,$D$8)))</f>
        <v/>
      </c>
      <c r="N932" s="26">
        <f>MIN(24,MAX(5,NORMINV(RAND(),$C$9,$D$9)))</f>
        <v/>
      </c>
      <c r="O932" s="49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25">
        <f>MAX(-0.05,NORMINV(RAND(),$C$6,$D$6))</f>
        <v/>
      </c>
      <c r="L933" s="25">
        <f>MAX(0.02,NORMINV(RAND(),$C$7,$D$7))</f>
        <v/>
      </c>
      <c r="M933" s="25">
        <f>MIN(0.16,MAX(0.05,NORMINV(RAND(),$C$8,$D$8)))</f>
        <v/>
      </c>
      <c r="N933" s="26">
        <f>MIN(24,MAX(5,NORMINV(RAND(),$C$9,$D$9)))</f>
        <v/>
      </c>
      <c r="O933" s="49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25">
        <f>MAX(-0.05,NORMINV(RAND(),$C$6,$D$6))</f>
        <v/>
      </c>
      <c r="L934" s="25">
        <f>MAX(0.02,NORMINV(RAND(),$C$7,$D$7))</f>
        <v/>
      </c>
      <c r="M934" s="25">
        <f>MIN(0.16,MAX(0.05,NORMINV(RAND(),$C$8,$D$8)))</f>
        <v/>
      </c>
      <c r="N934" s="26">
        <f>MIN(24,MAX(5,NORMINV(RAND(),$C$9,$D$9)))</f>
        <v/>
      </c>
      <c r="O934" s="49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25">
        <f>MAX(-0.05,NORMINV(RAND(),$C$6,$D$6))</f>
        <v/>
      </c>
      <c r="L935" s="25">
        <f>MAX(0.02,NORMINV(RAND(),$C$7,$D$7))</f>
        <v/>
      </c>
      <c r="M935" s="25">
        <f>MIN(0.16,MAX(0.05,NORMINV(RAND(),$C$8,$D$8)))</f>
        <v/>
      </c>
      <c r="N935" s="26">
        <f>MIN(24,MAX(5,NORMINV(RAND(),$C$9,$D$9)))</f>
        <v/>
      </c>
      <c r="O935" s="49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25">
        <f>MAX(-0.05,NORMINV(RAND(),$C$6,$D$6))</f>
        <v/>
      </c>
      <c r="L936" s="25">
        <f>MAX(0.02,NORMINV(RAND(),$C$7,$D$7))</f>
        <v/>
      </c>
      <c r="M936" s="25">
        <f>MIN(0.16,MAX(0.05,NORMINV(RAND(),$C$8,$D$8)))</f>
        <v/>
      </c>
      <c r="N936" s="26">
        <f>MIN(24,MAX(5,NORMINV(RAND(),$C$9,$D$9)))</f>
        <v/>
      </c>
      <c r="O936" s="49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25">
        <f>MAX(-0.05,NORMINV(RAND(),$C$6,$D$6))</f>
        <v/>
      </c>
      <c r="L937" s="25">
        <f>MAX(0.02,NORMINV(RAND(),$C$7,$D$7))</f>
        <v/>
      </c>
      <c r="M937" s="25">
        <f>MIN(0.16,MAX(0.05,NORMINV(RAND(),$C$8,$D$8)))</f>
        <v/>
      </c>
      <c r="N937" s="26">
        <f>MIN(24,MAX(5,NORMINV(RAND(),$C$9,$D$9)))</f>
        <v/>
      </c>
      <c r="O937" s="49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25">
        <f>MAX(-0.05,NORMINV(RAND(),$C$6,$D$6))</f>
        <v/>
      </c>
      <c r="L938" s="25">
        <f>MAX(0.02,NORMINV(RAND(),$C$7,$D$7))</f>
        <v/>
      </c>
      <c r="M938" s="25">
        <f>MIN(0.16,MAX(0.05,NORMINV(RAND(),$C$8,$D$8)))</f>
        <v/>
      </c>
      <c r="N938" s="26">
        <f>MIN(24,MAX(5,NORMINV(RAND(),$C$9,$D$9)))</f>
        <v/>
      </c>
      <c r="O938" s="49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25">
        <f>MAX(-0.05,NORMINV(RAND(),$C$6,$D$6))</f>
        <v/>
      </c>
      <c r="L939" s="25">
        <f>MAX(0.02,NORMINV(RAND(),$C$7,$D$7))</f>
        <v/>
      </c>
      <c r="M939" s="25">
        <f>MIN(0.16,MAX(0.05,NORMINV(RAND(),$C$8,$D$8)))</f>
        <v/>
      </c>
      <c r="N939" s="26">
        <f>MIN(24,MAX(5,NORMINV(RAND(),$C$9,$D$9)))</f>
        <v/>
      </c>
      <c r="O939" s="49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25">
        <f>MAX(-0.05,NORMINV(RAND(),$C$6,$D$6))</f>
        <v/>
      </c>
      <c r="L940" s="25">
        <f>MAX(0.02,NORMINV(RAND(),$C$7,$D$7))</f>
        <v/>
      </c>
      <c r="M940" s="25">
        <f>MIN(0.16,MAX(0.05,NORMINV(RAND(),$C$8,$D$8)))</f>
        <v/>
      </c>
      <c r="N940" s="26">
        <f>MIN(24,MAX(5,NORMINV(RAND(),$C$9,$D$9)))</f>
        <v/>
      </c>
      <c r="O940" s="49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25">
        <f>MAX(-0.05,NORMINV(RAND(),$C$6,$D$6))</f>
        <v/>
      </c>
      <c r="L941" s="25">
        <f>MAX(0.02,NORMINV(RAND(),$C$7,$D$7))</f>
        <v/>
      </c>
      <c r="M941" s="25">
        <f>MIN(0.16,MAX(0.05,NORMINV(RAND(),$C$8,$D$8)))</f>
        <v/>
      </c>
      <c r="N941" s="26">
        <f>MIN(24,MAX(5,NORMINV(RAND(),$C$9,$D$9)))</f>
        <v/>
      </c>
      <c r="O941" s="49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25">
        <f>MAX(-0.05,NORMINV(RAND(),$C$6,$D$6))</f>
        <v/>
      </c>
      <c r="L942" s="25">
        <f>MAX(0.02,NORMINV(RAND(),$C$7,$D$7))</f>
        <v/>
      </c>
      <c r="M942" s="25">
        <f>MIN(0.16,MAX(0.05,NORMINV(RAND(),$C$8,$D$8)))</f>
        <v/>
      </c>
      <c r="N942" s="26">
        <f>MIN(24,MAX(5,NORMINV(RAND(),$C$9,$D$9)))</f>
        <v/>
      </c>
      <c r="O942" s="49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25">
        <f>MAX(-0.05,NORMINV(RAND(),$C$6,$D$6))</f>
        <v/>
      </c>
      <c r="L943" s="25">
        <f>MAX(0.02,NORMINV(RAND(),$C$7,$D$7))</f>
        <v/>
      </c>
      <c r="M943" s="25">
        <f>MIN(0.16,MAX(0.05,NORMINV(RAND(),$C$8,$D$8)))</f>
        <v/>
      </c>
      <c r="N943" s="26">
        <f>MIN(24,MAX(5,NORMINV(RAND(),$C$9,$D$9)))</f>
        <v/>
      </c>
      <c r="O943" s="49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25">
        <f>MAX(-0.05,NORMINV(RAND(),$C$6,$D$6))</f>
        <v/>
      </c>
      <c r="L944" s="25">
        <f>MAX(0.02,NORMINV(RAND(),$C$7,$D$7))</f>
        <v/>
      </c>
      <c r="M944" s="25">
        <f>MIN(0.16,MAX(0.05,NORMINV(RAND(),$C$8,$D$8)))</f>
        <v/>
      </c>
      <c r="N944" s="26">
        <f>MIN(24,MAX(5,NORMINV(RAND(),$C$9,$D$9)))</f>
        <v/>
      </c>
      <c r="O944" s="49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25">
        <f>MAX(-0.05,NORMINV(RAND(),$C$6,$D$6))</f>
        <v/>
      </c>
      <c r="L945" s="25">
        <f>MAX(0.02,NORMINV(RAND(),$C$7,$D$7))</f>
        <v/>
      </c>
      <c r="M945" s="25">
        <f>MIN(0.16,MAX(0.05,NORMINV(RAND(),$C$8,$D$8)))</f>
        <v/>
      </c>
      <c r="N945" s="26">
        <f>MIN(24,MAX(5,NORMINV(RAND(),$C$9,$D$9)))</f>
        <v/>
      </c>
      <c r="O945" s="49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25">
        <f>MAX(-0.05,NORMINV(RAND(),$C$6,$D$6))</f>
        <v/>
      </c>
      <c r="L946" s="25">
        <f>MAX(0.02,NORMINV(RAND(),$C$7,$D$7))</f>
        <v/>
      </c>
      <c r="M946" s="25">
        <f>MIN(0.16,MAX(0.05,NORMINV(RAND(),$C$8,$D$8)))</f>
        <v/>
      </c>
      <c r="N946" s="26">
        <f>MIN(24,MAX(5,NORMINV(RAND(),$C$9,$D$9)))</f>
        <v/>
      </c>
      <c r="O946" s="49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25">
        <f>MAX(-0.05,NORMINV(RAND(),$C$6,$D$6))</f>
        <v/>
      </c>
      <c r="L947" s="25">
        <f>MAX(0.02,NORMINV(RAND(),$C$7,$D$7))</f>
        <v/>
      </c>
      <c r="M947" s="25">
        <f>MIN(0.16,MAX(0.05,NORMINV(RAND(),$C$8,$D$8)))</f>
        <v/>
      </c>
      <c r="N947" s="26">
        <f>MIN(24,MAX(5,NORMINV(RAND(),$C$9,$D$9)))</f>
        <v/>
      </c>
      <c r="O947" s="49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25">
        <f>MAX(-0.05,NORMINV(RAND(),$C$6,$D$6))</f>
        <v/>
      </c>
      <c r="L948" s="25">
        <f>MAX(0.02,NORMINV(RAND(),$C$7,$D$7))</f>
        <v/>
      </c>
      <c r="M948" s="25">
        <f>MIN(0.16,MAX(0.05,NORMINV(RAND(),$C$8,$D$8)))</f>
        <v/>
      </c>
      <c r="N948" s="26">
        <f>MIN(24,MAX(5,NORMINV(RAND(),$C$9,$D$9)))</f>
        <v/>
      </c>
      <c r="O948" s="49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25">
        <f>MAX(-0.05,NORMINV(RAND(),$C$6,$D$6))</f>
        <v/>
      </c>
      <c r="L949" s="25">
        <f>MAX(0.02,NORMINV(RAND(),$C$7,$D$7))</f>
        <v/>
      </c>
      <c r="M949" s="25">
        <f>MIN(0.16,MAX(0.05,NORMINV(RAND(),$C$8,$D$8)))</f>
        <v/>
      </c>
      <c r="N949" s="26">
        <f>MIN(24,MAX(5,NORMINV(RAND(),$C$9,$D$9)))</f>
        <v/>
      </c>
      <c r="O949" s="49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25">
        <f>MAX(-0.05,NORMINV(RAND(),$C$6,$D$6))</f>
        <v/>
      </c>
      <c r="L950" s="25">
        <f>MAX(0.02,NORMINV(RAND(),$C$7,$D$7))</f>
        <v/>
      </c>
      <c r="M950" s="25">
        <f>MIN(0.16,MAX(0.05,NORMINV(RAND(),$C$8,$D$8)))</f>
        <v/>
      </c>
      <c r="N950" s="26">
        <f>MIN(24,MAX(5,NORMINV(RAND(),$C$9,$D$9)))</f>
        <v/>
      </c>
      <c r="O950" s="49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25">
        <f>MAX(-0.05,NORMINV(RAND(),$C$6,$D$6))</f>
        <v/>
      </c>
      <c r="L951" s="25">
        <f>MAX(0.02,NORMINV(RAND(),$C$7,$D$7))</f>
        <v/>
      </c>
      <c r="M951" s="25">
        <f>MIN(0.16,MAX(0.05,NORMINV(RAND(),$C$8,$D$8)))</f>
        <v/>
      </c>
      <c r="N951" s="26">
        <f>MIN(24,MAX(5,NORMINV(RAND(),$C$9,$D$9)))</f>
        <v/>
      </c>
      <c r="O951" s="49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25">
        <f>MAX(-0.05,NORMINV(RAND(),$C$6,$D$6))</f>
        <v/>
      </c>
      <c r="L952" s="25">
        <f>MAX(0.02,NORMINV(RAND(),$C$7,$D$7))</f>
        <v/>
      </c>
      <c r="M952" s="25">
        <f>MIN(0.16,MAX(0.05,NORMINV(RAND(),$C$8,$D$8)))</f>
        <v/>
      </c>
      <c r="N952" s="26">
        <f>MIN(24,MAX(5,NORMINV(RAND(),$C$9,$D$9)))</f>
        <v/>
      </c>
      <c r="O952" s="49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25">
        <f>MAX(-0.05,NORMINV(RAND(),$C$6,$D$6))</f>
        <v/>
      </c>
      <c r="L953" s="25">
        <f>MAX(0.02,NORMINV(RAND(),$C$7,$D$7))</f>
        <v/>
      </c>
      <c r="M953" s="25">
        <f>MIN(0.16,MAX(0.05,NORMINV(RAND(),$C$8,$D$8)))</f>
        <v/>
      </c>
      <c r="N953" s="26">
        <f>MIN(24,MAX(5,NORMINV(RAND(),$C$9,$D$9)))</f>
        <v/>
      </c>
      <c r="O953" s="49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25">
        <f>MAX(-0.05,NORMINV(RAND(),$C$6,$D$6))</f>
        <v/>
      </c>
      <c r="L954" s="25">
        <f>MAX(0.02,NORMINV(RAND(),$C$7,$D$7))</f>
        <v/>
      </c>
      <c r="M954" s="25">
        <f>MIN(0.16,MAX(0.05,NORMINV(RAND(),$C$8,$D$8)))</f>
        <v/>
      </c>
      <c r="N954" s="26">
        <f>MIN(24,MAX(5,NORMINV(RAND(),$C$9,$D$9)))</f>
        <v/>
      </c>
      <c r="O954" s="49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25">
        <f>MAX(-0.05,NORMINV(RAND(),$C$6,$D$6))</f>
        <v/>
      </c>
      <c r="L955" s="25">
        <f>MAX(0.02,NORMINV(RAND(),$C$7,$D$7))</f>
        <v/>
      </c>
      <c r="M955" s="25">
        <f>MIN(0.16,MAX(0.05,NORMINV(RAND(),$C$8,$D$8)))</f>
        <v/>
      </c>
      <c r="N955" s="26">
        <f>MIN(24,MAX(5,NORMINV(RAND(),$C$9,$D$9)))</f>
        <v/>
      </c>
      <c r="O955" s="49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25">
        <f>MAX(-0.05,NORMINV(RAND(),$C$6,$D$6))</f>
        <v/>
      </c>
      <c r="L956" s="25">
        <f>MAX(0.02,NORMINV(RAND(),$C$7,$D$7))</f>
        <v/>
      </c>
      <c r="M956" s="25">
        <f>MIN(0.16,MAX(0.05,NORMINV(RAND(),$C$8,$D$8)))</f>
        <v/>
      </c>
      <c r="N956" s="26">
        <f>MIN(24,MAX(5,NORMINV(RAND(),$C$9,$D$9)))</f>
        <v/>
      </c>
      <c r="O956" s="49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25">
        <f>MAX(-0.05,NORMINV(RAND(),$C$6,$D$6))</f>
        <v/>
      </c>
      <c r="L957" s="25">
        <f>MAX(0.02,NORMINV(RAND(),$C$7,$D$7))</f>
        <v/>
      </c>
      <c r="M957" s="25">
        <f>MIN(0.16,MAX(0.05,NORMINV(RAND(),$C$8,$D$8)))</f>
        <v/>
      </c>
      <c r="N957" s="26">
        <f>MIN(24,MAX(5,NORMINV(RAND(),$C$9,$D$9)))</f>
        <v/>
      </c>
      <c r="O957" s="49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25">
        <f>MAX(-0.05,NORMINV(RAND(),$C$6,$D$6))</f>
        <v/>
      </c>
      <c r="L958" s="25">
        <f>MAX(0.02,NORMINV(RAND(),$C$7,$D$7))</f>
        <v/>
      </c>
      <c r="M958" s="25">
        <f>MIN(0.16,MAX(0.05,NORMINV(RAND(),$C$8,$D$8)))</f>
        <v/>
      </c>
      <c r="N958" s="26">
        <f>MIN(24,MAX(5,NORMINV(RAND(),$C$9,$D$9)))</f>
        <v/>
      </c>
      <c r="O958" s="49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25">
        <f>MAX(-0.05,NORMINV(RAND(),$C$6,$D$6))</f>
        <v/>
      </c>
      <c r="L959" s="25">
        <f>MAX(0.02,NORMINV(RAND(),$C$7,$D$7))</f>
        <v/>
      </c>
      <c r="M959" s="25">
        <f>MIN(0.16,MAX(0.05,NORMINV(RAND(),$C$8,$D$8)))</f>
        <v/>
      </c>
      <c r="N959" s="26">
        <f>MIN(24,MAX(5,NORMINV(RAND(),$C$9,$D$9)))</f>
        <v/>
      </c>
      <c r="O959" s="49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25">
        <f>MAX(-0.05,NORMINV(RAND(),$C$6,$D$6))</f>
        <v/>
      </c>
      <c r="L960" s="25">
        <f>MAX(0.02,NORMINV(RAND(),$C$7,$D$7))</f>
        <v/>
      </c>
      <c r="M960" s="25">
        <f>MIN(0.16,MAX(0.05,NORMINV(RAND(),$C$8,$D$8)))</f>
        <v/>
      </c>
      <c r="N960" s="26">
        <f>MIN(24,MAX(5,NORMINV(RAND(),$C$9,$D$9)))</f>
        <v/>
      </c>
      <c r="O960" s="49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25">
        <f>MAX(-0.05,NORMINV(RAND(),$C$6,$D$6))</f>
        <v/>
      </c>
      <c r="L961" s="25">
        <f>MAX(0.02,NORMINV(RAND(),$C$7,$D$7))</f>
        <v/>
      </c>
      <c r="M961" s="25">
        <f>MIN(0.16,MAX(0.05,NORMINV(RAND(),$C$8,$D$8)))</f>
        <v/>
      </c>
      <c r="N961" s="26">
        <f>MIN(24,MAX(5,NORMINV(RAND(),$C$9,$D$9)))</f>
        <v/>
      </c>
      <c r="O961" s="49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25">
        <f>MAX(-0.05,NORMINV(RAND(),$C$6,$D$6))</f>
        <v/>
      </c>
      <c r="L962" s="25">
        <f>MAX(0.02,NORMINV(RAND(),$C$7,$D$7))</f>
        <v/>
      </c>
      <c r="M962" s="25">
        <f>MIN(0.16,MAX(0.05,NORMINV(RAND(),$C$8,$D$8)))</f>
        <v/>
      </c>
      <c r="N962" s="26">
        <f>MIN(24,MAX(5,NORMINV(RAND(),$C$9,$D$9)))</f>
        <v/>
      </c>
      <c r="O962" s="49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25">
        <f>MAX(-0.05,NORMINV(RAND(),$C$6,$D$6))</f>
        <v/>
      </c>
      <c r="L963" s="25">
        <f>MAX(0.02,NORMINV(RAND(),$C$7,$D$7))</f>
        <v/>
      </c>
      <c r="M963" s="25">
        <f>MIN(0.16,MAX(0.05,NORMINV(RAND(),$C$8,$D$8)))</f>
        <v/>
      </c>
      <c r="N963" s="26">
        <f>MIN(24,MAX(5,NORMINV(RAND(),$C$9,$D$9)))</f>
        <v/>
      </c>
      <c r="O963" s="49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25">
        <f>MAX(-0.05,NORMINV(RAND(),$C$6,$D$6))</f>
        <v/>
      </c>
      <c r="L964" s="25">
        <f>MAX(0.02,NORMINV(RAND(),$C$7,$D$7))</f>
        <v/>
      </c>
      <c r="M964" s="25">
        <f>MIN(0.16,MAX(0.05,NORMINV(RAND(),$C$8,$D$8)))</f>
        <v/>
      </c>
      <c r="N964" s="26">
        <f>MIN(24,MAX(5,NORMINV(RAND(),$C$9,$D$9)))</f>
        <v/>
      </c>
      <c r="O964" s="49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25">
        <f>MAX(-0.05,NORMINV(RAND(),$C$6,$D$6))</f>
        <v/>
      </c>
      <c r="L965" s="25">
        <f>MAX(0.02,NORMINV(RAND(),$C$7,$D$7))</f>
        <v/>
      </c>
      <c r="M965" s="25">
        <f>MIN(0.16,MAX(0.05,NORMINV(RAND(),$C$8,$D$8)))</f>
        <v/>
      </c>
      <c r="N965" s="26">
        <f>MIN(24,MAX(5,NORMINV(RAND(),$C$9,$D$9)))</f>
        <v/>
      </c>
      <c r="O965" s="49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25">
        <f>MAX(-0.05,NORMINV(RAND(),$C$6,$D$6))</f>
        <v/>
      </c>
      <c r="L966" s="25">
        <f>MAX(0.02,NORMINV(RAND(),$C$7,$D$7))</f>
        <v/>
      </c>
      <c r="M966" s="25">
        <f>MIN(0.16,MAX(0.05,NORMINV(RAND(),$C$8,$D$8)))</f>
        <v/>
      </c>
      <c r="N966" s="26">
        <f>MIN(24,MAX(5,NORMINV(RAND(),$C$9,$D$9)))</f>
        <v/>
      </c>
      <c r="O966" s="49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25">
        <f>MAX(-0.05,NORMINV(RAND(),$C$6,$D$6))</f>
        <v/>
      </c>
      <c r="L967" s="25">
        <f>MAX(0.02,NORMINV(RAND(),$C$7,$D$7))</f>
        <v/>
      </c>
      <c r="M967" s="25">
        <f>MIN(0.16,MAX(0.05,NORMINV(RAND(),$C$8,$D$8)))</f>
        <v/>
      </c>
      <c r="N967" s="26">
        <f>MIN(24,MAX(5,NORMINV(RAND(),$C$9,$D$9)))</f>
        <v/>
      </c>
      <c r="O967" s="49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25">
        <f>MAX(-0.05,NORMINV(RAND(),$C$6,$D$6))</f>
        <v/>
      </c>
      <c r="L968" s="25">
        <f>MAX(0.02,NORMINV(RAND(),$C$7,$D$7))</f>
        <v/>
      </c>
      <c r="M968" s="25">
        <f>MIN(0.16,MAX(0.05,NORMINV(RAND(),$C$8,$D$8)))</f>
        <v/>
      </c>
      <c r="N968" s="26">
        <f>MIN(24,MAX(5,NORMINV(RAND(),$C$9,$D$9)))</f>
        <v/>
      </c>
      <c r="O968" s="49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25">
        <f>MAX(-0.05,NORMINV(RAND(),$C$6,$D$6))</f>
        <v/>
      </c>
      <c r="L969" s="25">
        <f>MAX(0.02,NORMINV(RAND(),$C$7,$D$7))</f>
        <v/>
      </c>
      <c r="M969" s="25">
        <f>MIN(0.16,MAX(0.05,NORMINV(RAND(),$C$8,$D$8)))</f>
        <v/>
      </c>
      <c r="N969" s="26">
        <f>MIN(24,MAX(5,NORMINV(RAND(),$C$9,$D$9)))</f>
        <v/>
      </c>
      <c r="O969" s="49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25">
        <f>MAX(-0.05,NORMINV(RAND(),$C$6,$D$6))</f>
        <v/>
      </c>
      <c r="L970" s="25">
        <f>MAX(0.02,NORMINV(RAND(),$C$7,$D$7))</f>
        <v/>
      </c>
      <c r="M970" s="25">
        <f>MIN(0.16,MAX(0.05,NORMINV(RAND(),$C$8,$D$8)))</f>
        <v/>
      </c>
      <c r="N970" s="26">
        <f>MIN(24,MAX(5,NORMINV(RAND(),$C$9,$D$9)))</f>
        <v/>
      </c>
      <c r="O970" s="49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25">
        <f>MAX(-0.05,NORMINV(RAND(),$C$6,$D$6))</f>
        <v/>
      </c>
      <c r="L971" s="25">
        <f>MAX(0.02,NORMINV(RAND(),$C$7,$D$7))</f>
        <v/>
      </c>
      <c r="M971" s="25">
        <f>MIN(0.16,MAX(0.05,NORMINV(RAND(),$C$8,$D$8)))</f>
        <v/>
      </c>
      <c r="N971" s="26">
        <f>MIN(24,MAX(5,NORMINV(RAND(),$C$9,$D$9)))</f>
        <v/>
      </c>
      <c r="O971" s="49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25">
        <f>MAX(-0.05,NORMINV(RAND(),$C$6,$D$6))</f>
        <v/>
      </c>
      <c r="L972" s="25">
        <f>MAX(0.02,NORMINV(RAND(),$C$7,$D$7))</f>
        <v/>
      </c>
      <c r="M972" s="25">
        <f>MIN(0.16,MAX(0.05,NORMINV(RAND(),$C$8,$D$8)))</f>
        <v/>
      </c>
      <c r="N972" s="26">
        <f>MIN(24,MAX(5,NORMINV(RAND(),$C$9,$D$9)))</f>
        <v/>
      </c>
      <c r="O972" s="49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25">
        <f>MAX(-0.05,NORMINV(RAND(),$C$6,$D$6))</f>
        <v/>
      </c>
      <c r="L973" s="25">
        <f>MAX(0.02,NORMINV(RAND(),$C$7,$D$7))</f>
        <v/>
      </c>
      <c r="M973" s="25">
        <f>MIN(0.16,MAX(0.05,NORMINV(RAND(),$C$8,$D$8)))</f>
        <v/>
      </c>
      <c r="N973" s="26">
        <f>MIN(24,MAX(5,NORMINV(RAND(),$C$9,$D$9)))</f>
        <v/>
      </c>
      <c r="O973" s="49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25">
        <f>MAX(-0.05,NORMINV(RAND(),$C$6,$D$6))</f>
        <v/>
      </c>
      <c r="L974" s="25">
        <f>MAX(0.02,NORMINV(RAND(),$C$7,$D$7))</f>
        <v/>
      </c>
      <c r="M974" s="25">
        <f>MIN(0.16,MAX(0.05,NORMINV(RAND(),$C$8,$D$8)))</f>
        <v/>
      </c>
      <c r="N974" s="26">
        <f>MIN(24,MAX(5,NORMINV(RAND(),$C$9,$D$9)))</f>
        <v/>
      </c>
      <c r="O974" s="49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25">
        <f>MAX(-0.05,NORMINV(RAND(),$C$6,$D$6))</f>
        <v/>
      </c>
      <c r="L975" s="25">
        <f>MAX(0.02,NORMINV(RAND(),$C$7,$D$7))</f>
        <v/>
      </c>
      <c r="M975" s="25">
        <f>MIN(0.16,MAX(0.05,NORMINV(RAND(),$C$8,$D$8)))</f>
        <v/>
      </c>
      <c r="N975" s="26">
        <f>MIN(24,MAX(5,NORMINV(RAND(),$C$9,$D$9)))</f>
        <v/>
      </c>
      <c r="O975" s="49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25">
        <f>MAX(-0.05,NORMINV(RAND(),$C$6,$D$6))</f>
        <v/>
      </c>
      <c r="L976" s="25">
        <f>MAX(0.02,NORMINV(RAND(),$C$7,$D$7))</f>
        <v/>
      </c>
      <c r="M976" s="25">
        <f>MIN(0.16,MAX(0.05,NORMINV(RAND(),$C$8,$D$8)))</f>
        <v/>
      </c>
      <c r="N976" s="26">
        <f>MIN(24,MAX(5,NORMINV(RAND(),$C$9,$D$9)))</f>
        <v/>
      </c>
      <c r="O976" s="49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25">
        <f>MAX(-0.05,NORMINV(RAND(),$C$6,$D$6))</f>
        <v/>
      </c>
      <c r="L977" s="25">
        <f>MAX(0.02,NORMINV(RAND(),$C$7,$D$7))</f>
        <v/>
      </c>
      <c r="M977" s="25">
        <f>MIN(0.16,MAX(0.05,NORMINV(RAND(),$C$8,$D$8)))</f>
        <v/>
      </c>
      <c r="N977" s="26">
        <f>MIN(24,MAX(5,NORMINV(RAND(),$C$9,$D$9)))</f>
        <v/>
      </c>
      <c r="O977" s="49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25">
        <f>MAX(-0.05,NORMINV(RAND(),$C$6,$D$6))</f>
        <v/>
      </c>
      <c r="L978" s="25">
        <f>MAX(0.02,NORMINV(RAND(),$C$7,$D$7))</f>
        <v/>
      </c>
      <c r="M978" s="25">
        <f>MIN(0.16,MAX(0.05,NORMINV(RAND(),$C$8,$D$8)))</f>
        <v/>
      </c>
      <c r="N978" s="26">
        <f>MIN(24,MAX(5,NORMINV(RAND(),$C$9,$D$9)))</f>
        <v/>
      </c>
      <c r="O978" s="49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25">
        <f>MAX(-0.05,NORMINV(RAND(),$C$6,$D$6))</f>
        <v/>
      </c>
      <c r="L979" s="25">
        <f>MAX(0.02,NORMINV(RAND(),$C$7,$D$7))</f>
        <v/>
      </c>
      <c r="M979" s="25">
        <f>MIN(0.16,MAX(0.05,NORMINV(RAND(),$C$8,$D$8)))</f>
        <v/>
      </c>
      <c r="N979" s="26">
        <f>MIN(24,MAX(5,NORMINV(RAND(),$C$9,$D$9)))</f>
        <v/>
      </c>
      <c r="O979" s="49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25">
        <f>MAX(-0.05,NORMINV(RAND(),$C$6,$D$6))</f>
        <v/>
      </c>
      <c r="L980" s="25">
        <f>MAX(0.02,NORMINV(RAND(),$C$7,$D$7))</f>
        <v/>
      </c>
      <c r="M980" s="25">
        <f>MIN(0.16,MAX(0.05,NORMINV(RAND(),$C$8,$D$8)))</f>
        <v/>
      </c>
      <c r="N980" s="26">
        <f>MIN(24,MAX(5,NORMINV(RAND(),$C$9,$D$9)))</f>
        <v/>
      </c>
      <c r="O980" s="49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25">
        <f>MAX(-0.05,NORMINV(RAND(),$C$6,$D$6))</f>
        <v/>
      </c>
      <c r="L981" s="25">
        <f>MAX(0.02,NORMINV(RAND(),$C$7,$D$7))</f>
        <v/>
      </c>
      <c r="M981" s="25">
        <f>MIN(0.16,MAX(0.05,NORMINV(RAND(),$C$8,$D$8)))</f>
        <v/>
      </c>
      <c r="N981" s="26">
        <f>MIN(24,MAX(5,NORMINV(RAND(),$C$9,$D$9)))</f>
        <v/>
      </c>
      <c r="O981" s="49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25">
        <f>MAX(-0.05,NORMINV(RAND(),$C$6,$D$6))</f>
        <v/>
      </c>
      <c r="L982" s="25">
        <f>MAX(0.02,NORMINV(RAND(),$C$7,$D$7))</f>
        <v/>
      </c>
      <c r="M982" s="25">
        <f>MIN(0.16,MAX(0.05,NORMINV(RAND(),$C$8,$D$8)))</f>
        <v/>
      </c>
      <c r="N982" s="26">
        <f>MIN(24,MAX(5,NORMINV(RAND(),$C$9,$D$9)))</f>
        <v/>
      </c>
      <c r="O982" s="49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25">
        <f>MAX(-0.05,NORMINV(RAND(),$C$6,$D$6))</f>
        <v/>
      </c>
      <c r="L983" s="25">
        <f>MAX(0.02,NORMINV(RAND(),$C$7,$D$7))</f>
        <v/>
      </c>
      <c r="M983" s="25">
        <f>MIN(0.16,MAX(0.05,NORMINV(RAND(),$C$8,$D$8)))</f>
        <v/>
      </c>
      <c r="N983" s="26">
        <f>MIN(24,MAX(5,NORMINV(RAND(),$C$9,$D$9)))</f>
        <v/>
      </c>
      <c r="O983" s="49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25">
        <f>MAX(-0.05,NORMINV(RAND(),$C$6,$D$6))</f>
        <v/>
      </c>
      <c r="L984" s="25">
        <f>MAX(0.02,NORMINV(RAND(),$C$7,$D$7))</f>
        <v/>
      </c>
      <c r="M984" s="25">
        <f>MIN(0.16,MAX(0.05,NORMINV(RAND(),$C$8,$D$8)))</f>
        <v/>
      </c>
      <c r="N984" s="26">
        <f>MIN(24,MAX(5,NORMINV(RAND(),$C$9,$D$9)))</f>
        <v/>
      </c>
      <c r="O984" s="49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25">
        <f>MAX(-0.05,NORMINV(RAND(),$C$6,$D$6))</f>
        <v/>
      </c>
      <c r="L985" s="25">
        <f>MAX(0.02,NORMINV(RAND(),$C$7,$D$7))</f>
        <v/>
      </c>
      <c r="M985" s="25">
        <f>MIN(0.16,MAX(0.05,NORMINV(RAND(),$C$8,$D$8)))</f>
        <v/>
      </c>
      <c r="N985" s="26">
        <f>MIN(24,MAX(5,NORMINV(RAND(),$C$9,$D$9)))</f>
        <v/>
      </c>
      <c r="O985" s="49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25">
        <f>MAX(-0.05,NORMINV(RAND(),$C$6,$D$6))</f>
        <v/>
      </c>
      <c r="L986" s="25">
        <f>MAX(0.02,NORMINV(RAND(),$C$7,$D$7))</f>
        <v/>
      </c>
      <c r="M986" s="25">
        <f>MIN(0.16,MAX(0.05,NORMINV(RAND(),$C$8,$D$8)))</f>
        <v/>
      </c>
      <c r="N986" s="26">
        <f>MIN(24,MAX(5,NORMINV(RAND(),$C$9,$D$9)))</f>
        <v/>
      </c>
      <c r="O986" s="49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25">
        <f>MAX(-0.05,NORMINV(RAND(),$C$6,$D$6))</f>
        <v/>
      </c>
      <c r="L987" s="25">
        <f>MAX(0.02,NORMINV(RAND(),$C$7,$D$7))</f>
        <v/>
      </c>
      <c r="M987" s="25">
        <f>MIN(0.16,MAX(0.05,NORMINV(RAND(),$C$8,$D$8)))</f>
        <v/>
      </c>
      <c r="N987" s="26">
        <f>MIN(24,MAX(5,NORMINV(RAND(),$C$9,$D$9)))</f>
        <v/>
      </c>
      <c r="O987" s="49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25">
        <f>MAX(-0.05,NORMINV(RAND(),$C$6,$D$6))</f>
        <v/>
      </c>
      <c r="L988" s="25">
        <f>MAX(0.02,NORMINV(RAND(),$C$7,$D$7))</f>
        <v/>
      </c>
      <c r="M988" s="25">
        <f>MIN(0.16,MAX(0.05,NORMINV(RAND(),$C$8,$D$8)))</f>
        <v/>
      </c>
      <c r="N988" s="26">
        <f>MIN(24,MAX(5,NORMINV(RAND(),$C$9,$D$9)))</f>
        <v/>
      </c>
      <c r="O988" s="49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25">
        <f>MAX(-0.05,NORMINV(RAND(),$C$6,$D$6))</f>
        <v/>
      </c>
      <c r="L989" s="25">
        <f>MAX(0.02,NORMINV(RAND(),$C$7,$D$7))</f>
        <v/>
      </c>
      <c r="M989" s="25">
        <f>MIN(0.16,MAX(0.05,NORMINV(RAND(),$C$8,$D$8)))</f>
        <v/>
      </c>
      <c r="N989" s="26">
        <f>MIN(24,MAX(5,NORMINV(RAND(),$C$9,$D$9)))</f>
        <v/>
      </c>
      <c r="O989" s="49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25">
        <f>MAX(-0.05,NORMINV(RAND(),$C$6,$D$6))</f>
        <v/>
      </c>
      <c r="L990" s="25">
        <f>MAX(0.02,NORMINV(RAND(),$C$7,$D$7))</f>
        <v/>
      </c>
      <c r="M990" s="25">
        <f>MIN(0.16,MAX(0.05,NORMINV(RAND(),$C$8,$D$8)))</f>
        <v/>
      </c>
      <c r="N990" s="26">
        <f>MIN(24,MAX(5,NORMINV(RAND(),$C$9,$D$9)))</f>
        <v/>
      </c>
      <c r="O990" s="49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25">
        <f>MAX(-0.05,NORMINV(RAND(),$C$6,$D$6))</f>
        <v/>
      </c>
      <c r="L991" s="25">
        <f>MAX(0.02,NORMINV(RAND(),$C$7,$D$7))</f>
        <v/>
      </c>
      <c r="M991" s="25">
        <f>MIN(0.16,MAX(0.05,NORMINV(RAND(),$C$8,$D$8)))</f>
        <v/>
      </c>
      <c r="N991" s="26">
        <f>MIN(24,MAX(5,NORMINV(RAND(),$C$9,$D$9)))</f>
        <v/>
      </c>
      <c r="O991" s="49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25">
        <f>MAX(-0.05,NORMINV(RAND(),$C$6,$D$6))</f>
        <v/>
      </c>
      <c r="L992" s="25">
        <f>MAX(0.02,NORMINV(RAND(),$C$7,$D$7))</f>
        <v/>
      </c>
      <c r="M992" s="25">
        <f>MIN(0.16,MAX(0.05,NORMINV(RAND(),$C$8,$D$8)))</f>
        <v/>
      </c>
      <c r="N992" s="26">
        <f>MIN(24,MAX(5,NORMINV(RAND(),$C$9,$D$9)))</f>
        <v/>
      </c>
      <c r="O992" s="49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25">
        <f>MAX(-0.05,NORMINV(RAND(),$C$6,$D$6))</f>
        <v/>
      </c>
      <c r="L993" s="25">
        <f>MAX(0.02,NORMINV(RAND(),$C$7,$D$7))</f>
        <v/>
      </c>
      <c r="M993" s="25">
        <f>MIN(0.16,MAX(0.05,NORMINV(RAND(),$C$8,$D$8)))</f>
        <v/>
      </c>
      <c r="N993" s="26">
        <f>MIN(24,MAX(5,NORMINV(RAND(),$C$9,$D$9)))</f>
        <v/>
      </c>
      <c r="O993" s="49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25">
        <f>MAX(-0.05,NORMINV(RAND(),$C$6,$D$6))</f>
        <v/>
      </c>
      <c r="L994" s="25">
        <f>MAX(0.02,NORMINV(RAND(),$C$7,$D$7))</f>
        <v/>
      </c>
      <c r="M994" s="25">
        <f>MIN(0.16,MAX(0.05,NORMINV(RAND(),$C$8,$D$8)))</f>
        <v/>
      </c>
      <c r="N994" s="26">
        <f>MIN(24,MAX(5,NORMINV(RAND(),$C$9,$D$9)))</f>
        <v/>
      </c>
      <c r="O994" s="49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25">
        <f>MAX(-0.05,NORMINV(RAND(),$C$6,$D$6))</f>
        <v/>
      </c>
      <c r="L995" s="25">
        <f>MAX(0.02,NORMINV(RAND(),$C$7,$D$7))</f>
        <v/>
      </c>
      <c r="M995" s="25">
        <f>MIN(0.16,MAX(0.05,NORMINV(RAND(),$C$8,$D$8)))</f>
        <v/>
      </c>
      <c r="N995" s="26">
        <f>MIN(24,MAX(5,NORMINV(RAND(),$C$9,$D$9)))</f>
        <v/>
      </c>
      <c r="O995" s="49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25">
        <f>MAX(-0.05,NORMINV(RAND(),$C$6,$D$6))</f>
        <v/>
      </c>
      <c r="L996" s="25">
        <f>MAX(0.02,NORMINV(RAND(),$C$7,$D$7))</f>
        <v/>
      </c>
      <c r="M996" s="25">
        <f>MIN(0.16,MAX(0.05,NORMINV(RAND(),$C$8,$D$8)))</f>
        <v/>
      </c>
      <c r="N996" s="26">
        <f>MIN(24,MAX(5,NORMINV(RAND(),$C$9,$D$9)))</f>
        <v/>
      </c>
      <c r="O996" s="49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25">
        <f>MAX(-0.05,NORMINV(RAND(),$C$6,$D$6))</f>
        <v/>
      </c>
      <c r="L997" s="25">
        <f>MAX(0.02,NORMINV(RAND(),$C$7,$D$7))</f>
        <v/>
      </c>
      <c r="M997" s="25">
        <f>MIN(0.16,MAX(0.05,NORMINV(RAND(),$C$8,$D$8)))</f>
        <v/>
      </c>
      <c r="N997" s="26">
        <f>MIN(24,MAX(5,NORMINV(RAND(),$C$9,$D$9)))</f>
        <v/>
      </c>
      <c r="O997" s="49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25">
        <f>MAX(-0.05,NORMINV(RAND(),$C$6,$D$6))</f>
        <v/>
      </c>
      <c r="L998" s="25">
        <f>MAX(0.02,NORMINV(RAND(),$C$7,$D$7))</f>
        <v/>
      </c>
      <c r="M998" s="25">
        <f>MIN(0.16,MAX(0.05,NORMINV(RAND(),$C$8,$D$8)))</f>
        <v/>
      </c>
      <c r="N998" s="26">
        <f>MIN(24,MAX(5,NORMINV(RAND(),$C$9,$D$9)))</f>
        <v/>
      </c>
      <c r="O998" s="49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25">
        <f>MAX(-0.05,NORMINV(RAND(),$C$6,$D$6))</f>
        <v/>
      </c>
      <c r="L999" s="25">
        <f>MAX(0.02,NORMINV(RAND(),$C$7,$D$7))</f>
        <v/>
      </c>
      <c r="M999" s="25">
        <f>MIN(0.16,MAX(0.05,NORMINV(RAND(),$C$8,$D$8)))</f>
        <v/>
      </c>
      <c r="N999" s="26">
        <f>MIN(24,MAX(5,NORMINV(RAND(),$C$9,$D$9)))</f>
        <v/>
      </c>
      <c r="O999" s="49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25">
        <f>MAX(-0.05,NORMINV(RAND(),$C$6,$D$6))</f>
        <v/>
      </c>
      <c r="L1000" s="25">
        <f>MAX(0.02,NORMINV(RAND(),$C$7,$D$7))</f>
        <v/>
      </c>
      <c r="M1000" s="25">
        <f>MIN(0.16,MAX(0.05,NORMINV(RAND(),$C$8,$D$8)))</f>
        <v/>
      </c>
      <c r="N1000" s="26">
        <f>MIN(24,MAX(5,NORMINV(RAND(),$C$9,$D$9)))</f>
        <v/>
      </c>
      <c r="O1000" s="49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25">
        <f>MAX(-0.05,NORMINV(RAND(),$C$6,$D$6))</f>
        <v/>
      </c>
      <c r="L1001" s="25">
        <f>MAX(0.02,NORMINV(RAND(),$C$7,$D$7))</f>
        <v/>
      </c>
      <c r="M1001" s="25">
        <f>MIN(0.16,MAX(0.05,NORMINV(RAND(),$C$8,$D$8)))</f>
        <v/>
      </c>
      <c r="N1001" s="26">
        <f>MIN(24,MAX(5,NORMINV(RAND(),$C$9,$D$9)))</f>
        <v/>
      </c>
      <c r="O1001" s="49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2026-07-06T20:35:28Z</dcterms:created>
  <dcterms:modified xmlns:dcterms="http://purl.org/dc/terms/" xmlns:xsi="http://www.w3.org/2001/XMLSchema-instance" xsi:type="dcterms:W3CDTF">2026-07-06T20:35:28Z</dcterms:modified>
</cp:coreProperties>
</file>