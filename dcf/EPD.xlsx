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Enterprise Products Partners L.P. (EPD)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Enterprise Products Partners L.P. (EPD)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NGL Pipelines and Services</t>
        </is>
      </c>
      <c r="B20" s="15" t="n">
        <v>-0.054654658167401</v>
      </c>
      <c r="C20" s="15" t="n">
        <v>0.05</v>
      </c>
      <c r="D20" s="16" t="n">
        <v>-0.054654658167401</v>
      </c>
      <c r="E20" s="2" t="inlineStr"/>
    </row>
    <row r="21">
      <c r="A21" s="4" t="inlineStr">
        <is>
          <t>Onshore Natural Gas Pipelines and Services</t>
        </is>
      </c>
      <c r="B21" s="15" t="n">
        <v>0.006718399743906894</v>
      </c>
      <c r="C21" s="15" t="n">
        <v>0.05</v>
      </c>
      <c r="D21" s="16" t="n">
        <v>0.006718399743906894</v>
      </c>
      <c r="E21" s="2" t="inlineStr"/>
    </row>
    <row r="22">
      <c r="A22" s="4" t="inlineStr">
        <is>
          <t>Petrochemical And Refined Products Services</t>
        </is>
      </c>
      <c r="B22" s="15" t="n">
        <v>-0.1799482669227598</v>
      </c>
      <c r="C22" s="15" t="n">
        <v>0.05</v>
      </c>
      <c r="D22" s="16" t="n">
        <v>-0.1799482669227598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0.1521243308890081</v>
      </c>
      <c r="D29" s="16" t="n">
        <v>0.1521243308890081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0.1781406736522773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6182.000000000001</v>
      </c>
      <c r="D34" s="18" t="n">
        <v>6182.000000000001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0.495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36.75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80.06339105766986</v>
      </c>
      <c r="C58" s="28" t="n">
        <v>123.3920534610143</v>
      </c>
      <c r="D58" s="28" t="n">
        <v>48.95432619895693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EPD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NGL Pipelines and Services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NGL Pipelines and Services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Onshore Natural Gas Pipelines and Services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Onshore Natural Gas Pipelines and Services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Petrochemical And Refined Products Services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Petrochemical And Refined Products Services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NGL Pipelines and Services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Onshore Natural Gas Pipelines and Services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Petrochemical And Refined Products Services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SUM(Financials!I5:L5)</f>
        <v/>
      </c>
      <c r="C14" s="33">
        <f>SUM(Financials!M5:P5)</f>
        <v/>
      </c>
      <c r="D14" s="33">
        <f>SUM(Financials!Q5:T5)</f>
        <v/>
      </c>
      <c r="E14" s="33">
        <f>SUM(Financials!U5:X5)</f>
        <v/>
      </c>
      <c r="F14" s="33">
        <f>SUM(Financials!Y5:AB5)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0.8637538976348011</v>
      </c>
      <c r="H15" s="15" t="n">
        <v>0.8637538976348011</v>
      </c>
      <c r="I15" s="15" t="n">
        <v>0.8637538976348011</v>
      </c>
      <c r="J15" s="15" t="n">
        <v>0.8637538976348011</v>
      </c>
      <c r="K15" s="15" t="n">
        <v>0.8637538976348011</v>
      </c>
      <c r="L15" s="15" t="n">
        <v>0.8637538976348011</v>
      </c>
      <c r="M15" s="15" t="n">
        <v>0.8637538976348011</v>
      </c>
      <c r="N15" s="15" t="n">
        <v>0.8637538976348011</v>
      </c>
      <c r="O15" s="15" t="n">
        <v>0.8637538976348011</v>
      </c>
      <c r="P15" s="15" t="n">
        <v>0.8637538976348011</v>
      </c>
    </row>
    <row r="16">
      <c r="A16" s="4" t="inlineStr">
        <is>
          <t>R&amp;D / Technology</t>
        </is>
      </c>
      <c r="B16" s="33">
        <f>SUM(Financials!I7:L7)</f>
        <v/>
      </c>
      <c r="C16" s="33">
        <f>SUM(Financials!M7:P7)</f>
        <v/>
      </c>
      <c r="D16" s="33">
        <f>SUM(Financials!Q7:T7)</f>
        <v/>
      </c>
      <c r="E16" s="33">
        <f>SUM(Financials!U7:X7)</f>
        <v/>
      </c>
      <c r="F16" s="33">
        <f>SUM(Financials!Y7:AB7)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SG&amp;A</t>
        </is>
      </c>
      <c r="B18" s="33">
        <f>SUM(Financials!I9:L9)</f>
        <v/>
      </c>
      <c r="C18" s="33">
        <f>SUM(Financials!M9:P9)</f>
        <v/>
      </c>
      <c r="D18" s="33">
        <f>SUM(Financials!Q9:T9)</f>
        <v/>
      </c>
      <c r="E18" s="33">
        <f>SUM(Financials!U9:X9)</f>
        <v/>
      </c>
      <c r="F18" s="33">
        <f>SUM(Financials!Y9:AB9)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0.00477222602479276</v>
      </c>
      <c r="H19" s="15" t="n">
        <v>0.00477222602479276</v>
      </c>
      <c r="I19" s="15" t="n">
        <v>0.00477222602479276</v>
      </c>
      <c r="J19" s="15" t="n">
        <v>0.00477222602479276</v>
      </c>
      <c r="K19" s="15" t="n">
        <v>0.00477222602479276</v>
      </c>
      <c r="L19" s="15" t="n">
        <v>0.00477222602479276</v>
      </c>
      <c r="M19" s="15" t="n">
        <v>0.00477222602479276</v>
      </c>
      <c r="N19" s="15" t="n">
        <v>0.00477222602479276</v>
      </c>
      <c r="O19" s="15" t="n">
        <v>0.00477222602479276</v>
      </c>
      <c r="P19" s="15" t="n">
        <v>0.00477222602479276</v>
      </c>
    </row>
    <row r="20">
      <c r="A20" s="4" t="inlineStr">
        <is>
          <t>Other opex (fulfilment, etc.)</t>
        </is>
      </c>
      <c r="B20" s="33">
        <f>B10-(B14+B16+B18)-SUM(Financials!I13:L13)</f>
        <v/>
      </c>
      <c r="C20" s="33">
        <f>C10-(C14+C16+C18)-SUM(Financials!M13:P13)</f>
        <v/>
      </c>
      <c r="D20" s="33">
        <f>D10-(D14+D16+D18)-SUM(Financials!Q13:T13)</f>
        <v/>
      </c>
      <c r="E20" s="33">
        <f>E10-(E14+E16+E18)-SUM(Financials!U13:X13)</f>
        <v/>
      </c>
      <c r="F20" s="33">
        <f>F10-(F14+F16+F18)-SUM(Financials!Y13:AB13)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SUM(Financials!I37:L37)</f>
        <v/>
      </c>
      <c r="C28" s="33">
        <f>SUM(Financials!M37:P37)</f>
        <v/>
      </c>
      <c r="D28" s="33">
        <f>SUM(Financials!Q37:T37)</f>
        <v/>
      </c>
      <c r="E28" s="33">
        <f>SUM(Financials!U37:X37)</f>
        <v/>
      </c>
      <c r="F28" s="33">
        <f>SUM(Financials!Y37:AB37)</f>
        <v/>
      </c>
      <c r="G28" s="41">
        <f>G10*0.0442</f>
        <v/>
      </c>
      <c r="H28" s="41">
        <f>H10*0.0442</f>
        <v/>
      </c>
      <c r="I28" s="41">
        <f>I10*0.0442</f>
        <v/>
      </c>
      <c r="J28" s="41">
        <f>J10*0.0442</f>
        <v/>
      </c>
      <c r="K28" s="41">
        <f>K10*0.0442</f>
        <v/>
      </c>
      <c r="L28" s="41">
        <f>L10*0.0442</f>
        <v/>
      </c>
      <c r="M28" s="41">
        <f>M10*0.0442</f>
        <v/>
      </c>
      <c r="N28" s="41">
        <f>N10*0.0442</f>
        <v/>
      </c>
      <c r="O28" s="41">
        <f>O10*0.0442</f>
        <v/>
      </c>
      <c r="P28" s="41">
        <f>P10*0.0442</f>
        <v/>
      </c>
    </row>
    <row r="29">
      <c r="A29" s="4" t="inlineStr">
        <is>
          <t>+ SBC (non-cash)</t>
        </is>
      </c>
      <c r="B29" s="33">
        <f>SUM(Financials!I38:L38)</f>
        <v/>
      </c>
      <c r="C29" s="33">
        <f>SUM(Financials!M38:P38)</f>
        <v/>
      </c>
      <c r="D29" s="33">
        <f>SUM(Financials!Q38:T38)</f>
        <v/>
      </c>
      <c r="E29" s="33">
        <f>SUM(Financials!U38:X38)</f>
        <v/>
      </c>
      <c r="F29" s="33">
        <f>SUM(Financials!Y38:AB38)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-SUM(Financials!I41:L41)</f>
        <v/>
      </c>
      <c r="C31" s="33">
        <f>-SUM(Financials!M41:P41)</f>
        <v/>
      </c>
      <c r="D31" s="33">
        <f>-SUM(Financials!Q41:T41)</f>
        <v/>
      </c>
      <c r="E31" s="33">
        <f>-SUM(Financials!U41:X41)</f>
        <v/>
      </c>
      <c r="F31" s="33">
        <f>-SUM(Financials!Y41:AB41)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Financials!L35+Financials!L34-Financials!L29</f>
        <v/>
      </c>
      <c r="C38" s="33">
        <f>Financials!P35+Financials!P34-Financials!P29</f>
        <v/>
      </c>
      <c r="D38" s="33">
        <f>Financials!T35+Financials!T34-Financials!T29</f>
        <v/>
      </c>
      <c r="E38" s="33">
        <f>Financials!X35+Financials!X34-Financials!X29</f>
        <v/>
      </c>
      <c r="F38" s="33">
        <f>Financials!AB35+Financials!AB34-Financials!AB29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Financials!L35</f>
        <v/>
      </c>
      <c r="C39" s="33">
        <f>Financials!P35</f>
        <v/>
      </c>
      <c r="D39" s="33">
        <f>Financials!T35</f>
        <v/>
      </c>
      <c r="E39" s="33">
        <f>Financials!X35</f>
        <v/>
      </c>
      <c r="F39" s="33">
        <f>Financials!AB35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8276.299999000001</v>
      </c>
      <c r="C3" s="18" t="n">
        <v>7964.1</v>
      </c>
      <c r="D3" s="18" t="n">
        <v>8005.3</v>
      </c>
      <c r="E3" s="18" t="n">
        <v>7482.5</v>
      </c>
      <c r="F3" s="18" t="n">
        <v>5751</v>
      </c>
      <c r="G3" s="18" t="n">
        <v>6922</v>
      </c>
      <c r="H3" s="18" t="n">
        <v>7044.2</v>
      </c>
      <c r="I3" s="18" t="n">
        <v>9155</v>
      </c>
      <c r="J3" s="18" t="n">
        <v>9450</v>
      </c>
      <c r="K3" s="18" t="n">
        <v>10832</v>
      </c>
      <c r="L3" s="18" t="n">
        <v>11370</v>
      </c>
      <c r="M3" s="18" t="n">
        <v>13008</v>
      </c>
      <c r="N3" s="18" t="n">
        <v>16060</v>
      </c>
      <c r="O3" s="18" t="n">
        <v>15468</v>
      </c>
      <c r="P3" s="18" t="n">
        <v>13650</v>
      </c>
      <c r="Q3" s="18" t="n">
        <v>12444</v>
      </c>
      <c r="R3" s="18" t="n">
        <v>10651</v>
      </c>
      <c r="S3" s="18" t="n">
        <v>11998</v>
      </c>
      <c r="T3" s="18" t="n">
        <v>14622</v>
      </c>
      <c r="U3" s="18" t="n">
        <v>14760</v>
      </c>
      <c r="V3" s="18" t="n">
        <v>13483</v>
      </c>
      <c r="W3" s="18" t="n">
        <v>13775</v>
      </c>
      <c r="X3" s="18" t="n">
        <v>14201</v>
      </c>
      <c r="Y3" s="18" t="n">
        <v>15417</v>
      </c>
      <c r="Z3" s="18" t="n">
        <v>11363</v>
      </c>
      <c r="AA3" s="18" t="n">
        <v>12023</v>
      </c>
      <c r="AB3" s="18" t="n">
        <v>13793</v>
      </c>
      <c r="AC3" s="18" t="n">
        <v>14386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6793.9</v>
      </c>
      <c r="C5" s="18" t="n">
        <v>6534.3</v>
      </c>
      <c r="D5" s="18" t="n">
        <v>6667.7</v>
      </c>
      <c r="E5" s="18" t="n">
        <v>6058.7</v>
      </c>
      <c r="F5" s="18" t="n">
        <v>4358.6</v>
      </c>
      <c r="G5" s="18" t="n">
        <v>5494.2</v>
      </c>
      <c r="H5" s="18" t="n">
        <v>5573.5</v>
      </c>
      <c r="I5" s="18" t="n">
        <v>7487</v>
      </c>
      <c r="J5" s="18" t="n">
        <v>8049</v>
      </c>
      <c r="K5" s="18" t="n">
        <v>9380</v>
      </c>
      <c r="L5" s="18" t="n">
        <v>9944</v>
      </c>
      <c r="M5" s="18" t="n">
        <v>11383</v>
      </c>
      <c r="N5" s="18" t="n">
        <v>14336</v>
      </c>
      <c r="O5" s="18" t="n">
        <v>13783</v>
      </c>
      <c r="P5" s="18" t="n">
        <v>11959</v>
      </c>
      <c r="Q5" s="18" t="n">
        <v>10744</v>
      </c>
      <c r="R5" s="18" t="n">
        <v>9134</v>
      </c>
      <c r="S5" s="18" t="n">
        <v>10355</v>
      </c>
      <c r="T5" s="18" t="n">
        <v>12766</v>
      </c>
      <c r="U5" s="18" t="n">
        <v>12954</v>
      </c>
      <c r="V5" s="18" t="n">
        <v>11758</v>
      </c>
      <c r="W5" s="18" t="n">
        <v>12006</v>
      </c>
      <c r="X5" s="18" t="n">
        <v>12277</v>
      </c>
      <c r="Y5" s="18" t="n">
        <v>13680</v>
      </c>
      <c r="Z5" s="18" t="n">
        <v>9592</v>
      </c>
      <c r="AA5" s="18" t="n">
        <v>10366</v>
      </c>
      <c r="AB5" s="18" t="n">
        <v>11792</v>
      </c>
      <c r="AC5" s="18" t="n">
        <v>12503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52.5</v>
      </c>
      <c r="C9" s="18" t="n">
        <v>55.5</v>
      </c>
      <c r="D9" s="18" t="n">
        <v>51.4</v>
      </c>
      <c r="E9" s="18" t="n">
        <v>55.5</v>
      </c>
      <c r="F9" s="18" t="n">
        <v>57</v>
      </c>
      <c r="G9" s="18" t="n">
        <v>50.3</v>
      </c>
      <c r="H9" s="18" t="n">
        <v>56.8</v>
      </c>
      <c r="I9" s="18" t="n">
        <v>56</v>
      </c>
      <c r="J9" s="18" t="n">
        <v>52</v>
      </c>
      <c r="K9" s="18" t="n">
        <v>47</v>
      </c>
      <c r="L9" s="18" t="n">
        <v>54</v>
      </c>
      <c r="M9" s="18" t="n">
        <v>62</v>
      </c>
      <c r="N9" s="18" t="n">
        <v>62</v>
      </c>
      <c r="O9" s="18" t="n">
        <v>55</v>
      </c>
      <c r="P9" s="18" t="n">
        <v>62</v>
      </c>
      <c r="Q9" s="18" t="n">
        <v>57</v>
      </c>
      <c r="R9" s="18" t="n">
        <v>56</v>
      </c>
      <c r="S9" s="18" t="n">
        <v>59</v>
      </c>
      <c r="T9" s="18" t="n">
        <v>57</v>
      </c>
      <c r="U9" s="18" t="n">
        <v>66</v>
      </c>
      <c r="V9" s="18" t="n">
        <v>57</v>
      </c>
      <c r="W9" s="18" t="n">
        <v>61</v>
      </c>
      <c r="X9" s="18" t="n">
        <v>60</v>
      </c>
      <c r="Y9" s="18" t="n">
        <v>60</v>
      </c>
      <c r="Z9" s="18" t="n">
        <v>68</v>
      </c>
      <c r="AA9" s="18" t="n">
        <v>61</v>
      </c>
      <c r="AB9" s="18" t="n">
        <v>62</v>
      </c>
      <c r="AC9" s="18" t="n">
        <v>64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1482.4</v>
      </c>
      <c r="C11" s="18" t="n">
        <v>1429.8</v>
      </c>
      <c r="D11" s="18" t="n">
        <v>1337.6</v>
      </c>
      <c r="E11" s="18" t="n">
        <v>1423.8</v>
      </c>
      <c r="F11" s="18" t="n">
        <v>1392.4</v>
      </c>
      <c r="G11" s="18" t="n">
        <v>1427.8</v>
      </c>
      <c r="H11" s="18" t="n">
        <v>1470.7</v>
      </c>
      <c r="I11" s="18" t="n">
        <v>1668</v>
      </c>
      <c r="J11" s="18" t="n">
        <v>1401</v>
      </c>
      <c r="K11" s="18" t="n">
        <v>1452</v>
      </c>
      <c r="L11" s="18" t="n">
        <v>1426</v>
      </c>
      <c r="M11" s="18" t="n">
        <v>1625</v>
      </c>
      <c r="N11" s="18" t="n">
        <v>1724</v>
      </c>
      <c r="O11" s="18" t="n">
        <v>1685</v>
      </c>
      <c r="P11" s="18" t="n">
        <v>1691</v>
      </c>
      <c r="Q11" s="18" t="n">
        <v>1700</v>
      </c>
      <c r="R11" s="18" t="n">
        <v>1517</v>
      </c>
      <c r="S11" s="18" t="n">
        <v>1643</v>
      </c>
      <c r="T11" s="18" t="n">
        <v>1856</v>
      </c>
      <c r="U11" s="18" t="n">
        <v>1806</v>
      </c>
      <c r="V11" s="18" t="n">
        <v>1725</v>
      </c>
      <c r="W11" s="18" t="n">
        <v>1769</v>
      </c>
      <c r="X11" s="18" t="n">
        <v>1924</v>
      </c>
      <c r="Y11" s="18" t="n">
        <v>1737</v>
      </c>
      <c r="Z11" s="18" t="n">
        <v>1771</v>
      </c>
      <c r="AA11" s="18" t="n">
        <v>1657</v>
      </c>
      <c r="AB11" s="18" t="n">
        <v>2001</v>
      </c>
      <c r="AC11" s="18" t="n">
        <v>1883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1560.3</v>
      </c>
      <c r="C13" s="18" t="n">
        <v>1474.2</v>
      </c>
      <c r="D13" s="18" t="n">
        <v>1418</v>
      </c>
      <c r="E13" s="18" t="n">
        <v>1507.5</v>
      </c>
      <c r="F13" s="18" t="n">
        <v>1436.9</v>
      </c>
      <c r="G13" s="18" t="n">
        <v>1382.5</v>
      </c>
      <c r="H13" s="18" t="n">
        <v>708.2</v>
      </c>
      <c r="I13" s="18" t="n">
        <v>1695</v>
      </c>
      <c r="J13" s="18" t="n">
        <v>1492</v>
      </c>
      <c r="K13" s="18" t="n">
        <v>1513</v>
      </c>
      <c r="L13" s="18" t="n">
        <v>1403</v>
      </c>
      <c r="M13" s="18" t="n">
        <v>1666</v>
      </c>
      <c r="N13" s="18" t="n">
        <v>1764</v>
      </c>
      <c r="O13" s="18" t="n">
        <v>1712</v>
      </c>
      <c r="P13" s="18" t="n">
        <v>1765</v>
      </c>
      <c r="Q13" s="18" t="n">
        <v>1734</v>
      </c>
      <c r="R13" s="18" t="n">
        <v>1579</v>
      </c>
      <c r="S13" s="18" t="n">
        <v>1695</v>
      </c>
      <c r="T13" s="18" t="n">
        <v>1921</v>
      </c>
      <c r="U13" s="18" t="n">
        <v>1822</v>
      </c>
      <c r="V13" s="18" t="n">
        <v>1765</v>
      </c>
      <c r="W13" s="18" t="n">
        <v>1780</v>
      </c>
      <c r="X13" s="18" t="n">
        <v>1971</v>
      </c>
      <c r="Y13" s="18" t="n">
        <v>1761</v>
      </c>
      <c r="Z13" s="18" t="n">
        <v>1703</v>
      </c>
      <c r="AA13" s="18" t="n">
        <v>1686</v>
      </c>
      <c r="AB13" s="18" t="n">
        <v>1939</v>
      </c>
      <c r="AC13" s="18" t="n">
        <v>1819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1214.7</v>
      </c>
      <c r="C15" s="18" t="n">
        <v>1019.2</v>
      </c>
      <c r="D15" s="18" t="n">
        <v>1096.9</v>
      </c>
      <c r="E15" s="18" t="n">
        <v>1350.1</v>
      </c>
      <c r="F15" s="18" t="n">
        <v>1034.7</v>
      </c>
      <c r="G15" s="18" t="n">
        <v>1052.599999</v>
      </c>
      <c r="H15" s="18" t="n">
        <v>338.2</v>
      </c>
      <c r="I15" s="18" t="n">
        <v>1342</v>
      </c>
      <c r="J15" s="18" t="n">
        <v>1113</v>
      </c>
      <c r="K15" s="18" t="n">
        <v>1154</v>
      </c>
      <c r="L15" s="18" t="n">
        <v>1029</v>
      </c>
      <c r="M15" s="18" t="n">
        <v>1297</v>
      </c>
      <c r="N15" s="18" t="n">
        <v>1412</v>
      </c>
      <c r="O15" s="18" t="n">
        <v>1361</v>
      </c>
      <c r="P15" s="18" t="n">
        <v>1420</v>
      </c>
      <c r="Q15" s="18" t="n">
        <v>1390</v>
      </c>
      <c r="R15" s="18" t="n">
        <v>1253</v>
      </c>
      <c r="S15" s="18" t="n">
        <v>1318</v>
      </c>
      <c r="T15" s="18" t="n">
        <v>1571</v>
      </c>
      <c r="U15" s="18" t="n">
        <v>1457</v>
      </c>
      <c r="V15" s="18" t="n">
        <v>1405</v>
      </c>
      <c r="W15" s="18" t="n">
        <v>1417</v>
      </c>
      <c r="X15" s="18" t="n">
        <v>1623</v>
      </c>
      <c r="Y15" s="18" t="n">
        <v>1394</v>
      </c>
      <c r="Z15" s="18" t="n">
        <v>1436</v>
      </c>
      <c r="AA15" s="18" t="n">
        <v>1327</v>
      </c>
      <c r="AB15" s="18" t="n">
        <v>1644</v>
      </c>
      <c r="AC15" s="18" t="n">
        <v>1483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2202.6</v>
      </c>
      <c r="C17" s="18" t="n">
        <v>2202.3</v>
      </c>
      <c r="D17" s="18" t="n">
        <v>2202.2</v>
      </c>
      <c r="E17" s="18" t="n">
        <v>2204</v>
      </c>
      <c r="F17" s="18" t="n">
        <v>2201.9</v>
      </c>
      <c r="G17" s="18" t="n">
        <v>2201.4</v>
      </c>
      <c r="H17" s="18" t="n">
        <v>2201.4</v>
      </c>
      <c r="I17" s="18" t="n">
        <v>2203</v>
      </c>
      <c r="J17" s="18" t="n">
        <v>2205</v>
      </c>
      <c r="K17" s="18" t="n">
        <v>2204</v>
      </c>
      <c r="L17" s="18" t="n">
        <v>2200.4</v>
      </c>
      <c r="M17" s="18" t="n">
        <v>2199</v>
      </c>
      <c r="N17" s="18" t="n">
        <v>2201</v>
      </c>
      <c r="O17" s="18" t="n">
        <v>2199</v>
      </c>
      <c r="P17" s="18" t="n">
        <v>2194</v>
      </c>
      <c r="Q17" s="18" t="n">
        <v>2195</v>
      </c>
      <c r="R17" s="18" t="n">
        <v>2196</v>
      </c>
      <c r="S17" s="18" t="n">
        <v>2194</v>
      </c>
      <c r="T17" s="18" t="n">
        <v>2192</v>
      </c>
      <c r="U17" s="18" t="n">
        <v>2193</v>
      </c>
      <c r="V17" s="18" t="n">
        <v>2194</v>
      </c>
      <c r="W17" s="18" t="n">
        <v>2192</v>
      </c>
      <c r="X17" s="18" t="n">
        <v>2190</v>
      </c>
      <c r="Y17" s="18" t="n">
        <v>2191</v>
      </c>
      <c r="Z17" s="18" t="n">
        <v>2190</v>
      </c>
      <c r="AA17" s="18" t="n">
        <v>2186</v>
      </c>
      <c r="AB17" s="18" t="n">
        <v>2185</v>
      </c>
      <c r="AC17" s="18" t="n">
        <v>2187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NGL Pipelines and Services</t>
        </is>
      </c>
      <c r="B19" s="18" t="n">
        <v>7779.5</v>
      </c>
      <c r="C19" s="18" t="n">
        <v>7981.4</v>
      </c>
      <c r="D19" s="18" t="n">
        <v>9744.4</v>
      </c>
      <c r="E19" s="18" t="n">
        <v>8748.799999999999</v>
      </c>
      <c r="F19" s="18" t="n">
        <v>8424</v>
      </c>
      <c r="G19" s="18" t="n">
        <v>9712.200000000001</v>
      </c>
      <c r="H19" s="18" t="n">
        <v>13302.5</v>
      </c>
      <c r="I19" s="18" t="n">
        <v>16672.1</v>
      </c>
      <c r="J19" s="18" t="n">
        <v>13885.3</v>
      </c>
      <c r="K19" s="18" t="n">
        <v>17570.1</v>
      </c>
      <c r="L19" s="18" t="n">
        <v>23971.4</v>
      </c>
      <c r="M19" s="18" t="n">
        <v>24069</v>
      </c>
      <c r="N19" s="18" t="n">
        <v>25478</v>
      </c>
      <c r="O19" s="18" t="n">
        <v>20903</v>
      </c>
      <c r="P19" s="18" t="n">
        <v>19569</v>
      </c>
      <c r="Q19" s="18" t="n">
        <v>17625</v>
      </c>
      <c r="R19" s="18" t="n">
        <v>12973</v>
      </c>
      <c r="S19" s="18" t="n">
        <v>16124</v>
      </c>
      <c r="T19" s="18" t="n">
        <v>16413</v>
      </c>
      <c r="U19" s="18" t="n">
        <v>16695</v>
      </c>
      <c r="V19" s="18" t="n">
        <v>15823</v>
      </c>
      <c r="W19" s="18" t="n">
        <v>15875</v>
      </c>
      <c r="X19" s="18" t="n">
        <v>20705</v>
      </c>
      <c r="Y19" s="18" t="n">
        <v>22417</v>
      </c>
      <c r="Z19" s="18" t="n">
        <v>-17004</v>
      </c>
      <c r="AA19" s="18" t="n">
        <v>21048</v>
      </c>
      <c r="AB19" s="18" t="n">
        <v>57914</v>
      </c>
      <c r="AC19" s="18" t="n">
        <v>20580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Onshore Natural Gas Pipelines and Services</t>
        </is>
      </c>
      <c r="B22" s="18" t="n">
        <v>982.4</v>
      </c>
      <c r="C22" s="18" t="n">
        <v>857.2</v>
      </c>
      <c r="D22" s="18" t="n">
        <v>831.6</v>
      </c>
      <c r="E22" s="18" t="n">
        <v>785.7</v>
      </c>
      <c r="F22" s="18" t="n">
        <v>678.1</v>
      </c>
      <c r="G22" s="18" t="n">
        <v>723.9</v>
      </c>
      <c r="H22" s="18" t="n">
        <v>825.5</v>
      </c>
      <c r="I22" s="18" t="n">
        <v>1732.6</v>
      </c>
      <c r="J22" s="18" t="n">
        <v>858.4</v>
      </c>
      <c r="K22" s="18" t="n">
        <v>1125.8</v>
      </c>
      <c r="L22" s="18" t="n">
        <v>1332.8</v>
      </c>
      <c r="M22" s="18" t="n">
        <v>1352</v>
      </c>
      <c r="N22" s="18" t="n">
        <v>1879</v>
      </c>
      <c r="O22" s="18" t="n">
        <v>2148</v>
      </c>
      <c r="P22" s="18" t="n">
        <v>1769</v>
      </c>
      <c r="Q22" s="18" t="n">
        <v>1351</v>
      </c>
      <c r="R22" s="18" t="n">
        <v>892</v>
      </c>
      <c r="S22" s="18" t="n">
        <v>1017</v>
      </c>
      <c r="T22" s="18" t="n">
        <v>1043</v>
      </c>
      <c r="U22" s="18" t="n">
        <v>1031</v>
      </c>
      <c r="V22" s="18" t="n">
        <v>750</v>
      </c>
      <c r="W22" s="18" t="n">
        <v>815</v>
      </c>
      <c r="X22" s="18" t="n">
        <v>1075</v>
      </c>
      <c r="Y22" s="18" t="n">
        <v>1453</v>
      </c>
      <c r="AA22" s="18" t="n">
        <v>1167</v>
      </c>
      <c r="AB22" s="18" t="n">
        <v>2507</v>
      </c>
      <c r="AC22" s="18" t="n">
        <v>1459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Petrochemical And Refined Products Services</t>
        </is>
      </c>
      <c r="AC25" s="18" t="n">
        <v>-4918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107.3</v>
      </c>
      <c r="C29" s="18" t="n">
        <v>1207.8</v>
      </c>
      <c r="D29" s="18" t="n">
        <v>334.7</v>
      </c>
      <c r="E29" s="18" t="n">
        <v>2025.7</v>
      </c>
      <c r="F29" s="18" t="n">
        <v>1298.5</v>
      </c>
      <c r="G29" s="18" t="n">
        <v>1032.2</v>
      </c>
      <c r="H29" s="18" t="n">
        <v>1059.9</v>
      </c>
      <c r="I29" s="18" t="n">
        <v>229.4</v>
      </c>
      <c r="J29" s="18" t="n">
        <v>404.5</v>
      </c>
      <c r="K29" s="18" t="n">
        <v>2213.5</v>
      </c>
      <c r="L29" s="18" t="n">
        <v>2820</v>
      </c>
      <c r="M29" s="18" t="n">
        <v>231</v>
      </c>
      <c r="N29" s="18" t="n">
        <v>231</v>
      </c>
      <c r="O29" s="18" t="n">
        <v>167</v>
      </c>
      <c r="P29" s="18" t="n">
        <v>76</v>
      </c>
      <c r="Q29" s="18" t="n">
        <v>76</v>
      </c>
      <c r="R29" s="18" t="n">
        <v>183</v>
      </c>
      <c r="S29" s="18" t="n">
        <v>171</v>
      </c>
      <c r="T29" s="18" t="n">
        <v>180</v>
      </c>
      <c r="U29" s="18" t="n">
        <v>283</v>
      </c>
      <c r="V29" s="18" t="n">
        <v>138</v>
      </c>
      <c r="W29" s="18" t="n">
        <v>1434</v>
      </c>
      <c r="X29" s="18" t="n">
        <v>583</v>
      </c>
      <c r="Y29" s="18" t="n">
        <v>220</v>
      </c>
      <c r="Z29" s="18" t="n">
        <v>870</v>
      </c>
      <c r="AA29" s="18" t="n">
        <v>884</v>
      </c>
      <c r="AB29" s="18" t="n">
        <v>1679</v>
      </c>
      <c r="AC29" s="18" t="n">
        <v>1385</v>
      </c>
    </row>
    <row r="30">
      <c r="A30" s="4" t="inlineStr">
        <is>
          <t>Total Current Assets</t>
        </is>
      </c>
      <c r="B30" s="18" t="n">
        <v>6258.9</v>
      </c>
      <c r="C30" s="18" t="n">
        <v>7913.8</v>
      </c>
      <c r="D30" s="18" t="n">
        <v>7862.9</v>
      </c>
      <c r="E30" s="18" t="n">
        <v>7719.1</v>
      </c>
      <c r="F30" s="18" t="n">
        <v>7116.3</v>
      </c>
      <c r="G30" s="18" t="n">
        <v>8793.299999999999</v>
      </c>
      <c r="H30" s="18" t="n">
        <v>9909.4</v>
      </c>
      <c r="I30" s="18" t="n">
        <v>10584.1</v>
      </c>
      <c r="J30" s="18" t="n">
        <v>10311.2</v>
      </c>
      <c r="K30" s="18" t="n">
        <v>12828.4</v>
      </c>
      <c r="L30" s="18" t="n">
        <v>13270</v>
      </c>
      <c r="M30" s="18" t="n">
        <v>12978</v>
      </c>
      <c r="N30" s="18" t="n">
        <v>12961</v>
      </c>
      <c r="O30" s="18" t="n">
        <v>11082</v>
      </c>
      <c r="P30" s="18" t="n">
        <v>10598</v>
      </c>
      <c r="Q30" s="18" t="n">
        <v>9687</v>
      </c>
      <c r="R30" s="18" t="n">
        <v>9704</v>
      </c>
      <c r="S30" s="18" t="n">
        <v>11432</v>
      </c>
      <c r="T30" s="18" t="n">
        <v>12248</v>
      </c>
      <c r="U30" s="18" t="n">
        <v>12093</v>
      </c>
      <c r="V30" s="18" t="n">
        <v>13453</v>
      </c>
      <c r="W30" s="18" t="n">
        <v>14385</v>
      </c>
      <c r="X30" s="18" t="n">
        <v>15133</v>
      </c>
      <c r="Y30" s="18" t="n">
        <v>12763</v>
      </c>
      <c r="Z30" s="18" t="n">
        <v>14160</v>
      </c>
      <c r="AA30" s="18" t="n">
        <v>13237</v>
      </c>
      <c r="AB30" s="18" t="n">
        <v>13360</v>
      </c>
      <c r="AC30" s="18" t="n">
        <v>15677</v>
      </c>
    </row>
    <row r="31">
      <c r="A31" s="4" t="inlineStr">
        <is>
          <t>PP&amp;E (net)</t>
        </is>
      </c>
      <c r="B31" s="18" t="n">
        <v>40089.1</v>
      </c>
      <c r="C31" s="18" t="n">
        <v>40763.3</v>
      </c>
      <c r="D31" s="18" t="n">
        <v>41603.4</v>
      </c>
      <c r="E31" s="18" t="n">
        <v>42159.1</v>
      </c>
      <c r="F31" s="18" t="n">
        <v>42538.4</v>
      </c>
      <c r="G31" s="18" t="n">
        <v>42360.1</v>
      </c>
      <c r="H31" s="18" t="n">
        <v>41912.8</v>
      </c>
      <c r="I31" s="18" t="n">
        <v>42102.4</v>
      </c>
      <c r="J31" s="18" t="n">
        <v>42233.1</v>
      </c>
      <c r="K31" s="18" t="n">
        <v>42253.8</v>
      </c>
      <c r="L31" s="18" t="n">
        <v>42088</v>
      </c>
      <c r="M31" s="18" t="n">
        <v>44033</v>
      </c>
      <c r="N31" s="18" t="n">
        <v>44129</v>
      </c>
      <c r="O31" s="18" t="n">
        <v>44167</v>
      </c>
      <c r="P31" s="18" t="n">
        <v>44401</v>
      </c>
      <c r="Q31" s="18" t="n">
        <v>44597</v>
      </c>
      <c r="R31" s="18" t="n">
        <v>45054</v>
      </c>
      <c r="S31" s="18" t="n">
        <v>45340</v>
      </c>
      <c r="T31" s="18" t="n">
        <v>45804</v>
      </c>
      <c r="U31" s="18" t="n">
        <v>46431</v>
      </c>
      <c r="V31" s="18" t="n">
        <v>47436</v>
      </c>
      <c r="W31" s="18" t="n">
        <v>48099</v>
      </c>
      <c r="X31" s="18" t="n">
        <v>49062</v>
      </c>
      <c r="Y31" s="18" t="n">
        <v>49715</v>
      </c>
      <c r="Z31" s="18" t="n">
        <v>50495</v>
      </c>
      <c r="AA31" s="18" t="n">
        <v>51511</v>
      </c>
      <c r="AB31" s="18" t="n">
        <v>51796</v>
      </c>
      <c r="AC31" s="18" t="n">
        <v>52148</v>
      </c>
    </row>
    <row r="32">
      <c r="A32" s="4" t="inlineStr">
        <is>
          <t>Total Assets</t>
        </is>
      </c>
      <c r="B32" s="18" t="n">
        <v>58721.8</v>
      </c>
      <c r="C32" s="18" t="n">
        <v>61015.3</v>
      </c>
      <c r="D32" s="18" t="n">
        <v>61733.2</v>
      </c>
      <c r="E32" s="18" t="n">
        <v>62265.3</v>
      </c>
      <c r="F32" s="18" t="n">
        <v>61944.5</v>
      </c>
      <c r="G32" s="18" t="n">
        <v>63736.2</v>
      </c>
      <c r="H32" s="18" t="n">
        <v>64106.7</v>
      </c>
      <c r="I32" s="18" t="n">
        <v>64983.5</v>
      </c>
      <c r="J32" s="18" t="n">
        <v>64805.1</v>
      </c>
      <c r="K32" s="18" t="n">
        <v>67319.89999999999</v>
      </c>
      <c r="L32" s="18" t="n">
        <v>67526</v>
      </c>
      <c r="M32" s="18" t="n">
        <v>70319</v>
      </c>
      <c r="N32" s="18" t="n">
        <v>70350</v>
      </c>
      <c r="O32" s="18" t="n">
        <v>68437</v>
      </c>
      <c r="P32" s="18" t="n">
        <v>68108</v>
      </c>
      <c r="Q32" s="18" t="n">
        <v>67325</v>
      </c>
      <c r="R32" s="18" t="n">
        <v>67729</v>
      </c>
      <c r="S32" s="18" t="n">
        <v>69804</v>
      </c>
      <c r="T32" s="18" t="n">
        <v>70982</v>
      </c>
      <c r="U32" s="18" t="n">
        <v>71373</v>
      </c>
      <c r="V32" s="18" t="n">
        <v>73561</v>
      </c>
      <c r="W32" s="18" t="n">
        <v>75062</v>
      </c>
      <c r="X32" s="18" t="n">
        <v>77168</v>
      </c>
      <c r="Y32" s="18" t="n">
        <v>75406</v>
      </c>
      <c r="Z32" s="18" t="n">
        <v>77442</v>
      </c>
      <c r="AA32" s="18" t="n">
        <v>77822</v>
      </c>
      <c r="AB32" s="18" t="n">
        <v>77902</v>
      </c>
      <c r="AC32" s="18" t="n">
        <v>80638</v>
      </c>
    </row>
    <row r="33">
      <c r="A33" s="4" t="inlineStr">
        <is>
          <t>Total Current Liabilities</t>
        </is>
      </c>
      <c r="B33" s="18" t="n">
        <v>6264.1</v>
      </c>
      <c r="C33" s="18" t="n">
        <v>8669.5</v>
      </c>
      <c r="D33" s="18" t="n">
        <v>9129.700000000001</v>
      </c>
      <c r="E33" s="18" t="n">
        <v>6915.4</v>
      </c>
      <c r="F33" s="18" t="n">
        <v>7482.4</v>
      </c>
      <c r="G33" s="18" t="n">
        <v>7846.9</v>
      </c>
      <c r="H33" s="18" t="n">
        <v>8988</v>
      </c>
      <c r="I33" s="18" t="n">
        <v>10538.9</v>
      </c>
      <c r="J33" s="18" t="n">
        <v>10528.6</v>
      </c>
      <c r="K33" s="18" t="n">
        <v>11870.7</v>
      </c>
      <c r="L33" s="18" t="n">
        <v>11624.5</v>
      </c>
      <c r="M33" s="18" t="n">
        <v>15374</v>
      </c>
      <c r="N33" s="18" t="n">
        <v>14978</v>
      </c>
      <c r="O33" s="18" t="n">
        <v>12897</v>
      </c>
      <c r="P33" s="18" t="n">
        <v>12265</v>
      </c>
      <c r="Q33" s="18" t="n">
        <v>10410</v>
      </c>
      <c r="R33" s="18" t="n">
        <v>10709</v>
      </c>
      <c r="S33" s="18" t="n">
        <v>12475</v>
      </c>
      <c r="T33" s="18" t="n">
        <v>13131</v>
      </c>
      <c r="U33" s="18" t="n">
        <v>13030</v>
      </c>
      <c r="V33" s="18" t="n">
        <v>14809</v>
      </c>
      <c r="W33" s="18" t="n">
        <v>13404</v>
      </c>
      <c r="X33" s="18" t="n">
        <v>15177</v>
      </c>
      <c r="Y33" s="18" t="n">
        <v>14872</v>
      </c>
      <c r="Z33" s="18" t="n">
        <v>14757</v>
      </c>
      <c r="AA33" s="18" t="n">
        <v>15050</v>
      </c>
      <c r="AB33" s="18" t="n">
        <v>12832</v>
      </c>
      <c r="AC33" s="18" t="n">
        <v>17222</v>
      </c>
    </row>
    <row r="34">
      <c r="A34" s="4" t="inlineStr">
        <is>
          <t>Long-term Debt</t>
        </is>
      </c>
      <c r="B34" s="18" t="n">
        <v>26385</v>
      </c>
      <c r="C34" s="18" t="n">
        <v>25639.2</v>
      </c>
      <c r="D34" s="18" t="n">
        <v>25643.2</v>
      </c>
      <c r="E34" s="18" t="n">
        <v>27855.9</v>
      </c>
      <c r="F34" s="18" t="n">
        <v>27285.2</v>
      </c>
      <c r="G34" s="18" t="n">
        <v>28537</v>
      </c>
      <c r="H34" s="18" t="n">
        <v>28540.7</v>
      </c>
      <c r="I34" s="18" t="n">
        <v>27145.9</v>
      </c>
      <c r="J34" s="18" t="n">
        <v>27148.6</v>
      </c>
      <c r="K34" s="18" t="n">
        <v>28132.8</v>
      </c>
      <c r="L34" s="18" t="n">
        <v>28135</v>
      </c>
      <c r="M34" s="18" t="n">
        <v>26889</v>
      </c>
      <c r="N34" s="18" t="n">
        <v>26892</v>
      </c>
      <c r="O34" s="18" t="n">
        <v>26548</v>
      </c>
      <c r="P34" s="18" t="n">
        <v>26551</v>
      </c>
      <c r="Q34" s="18" t="n">
        <v>27439</v>
      </c>
      <c r="R34" s="18" t="n">
        <v>27443</v>
      </c>
      <c r="S34" s="18" t="n">
        <v>27446</v>
      </c>
      <c r="T34" s="18" t="n">
        <v>27448</v>
      </c>
      <c r="U34" s="18" t="n">
        <v>28285</v>
      </c>
      <c r="V34" s="18" t="n">
        <v>28289</v>
      </c>
      <c r="W34" s="18" t="n">
        <v>30756</v>
      </c>
      <c r="X34" s="18" t="n">
        <v>30746</v>
      </c>
      <c r="Y34" s="18" t="n">
        <v>29127</v>
      </c>
      <c r="Z34" s="18" t="n">
        <v>31110</v>
      </c>
      <c r="AA34" s="18" t="n">
        <v>31479</v>
      </c>
      <c r="AB34" s="18" t="n">
        <v>32814</v>
      </c>
      <c r="AC34" s="18" t="n">
        <v>31246</v>
      </c>
    </row>
    <row r="35">
      <c r="A35" s="4" t="inlineStr">
        <is>
          <t>Total Equity</t>
        </is>
      </c>
      <c r="B35" s="18" t="n">
        <v>24439.8</v>
      </c>
      <c r="C35" s="18" t="n">
        <v>24496</v>
      </c>
      <c r="D35" s="18" t="n">
        <v>24764</v>
      </c>
      <c r="E35" s="18" t="n">
        <v>25050.4</v>
      </c>
      <c r="F35" s="18" t="n">
        <v>24876.7</v>
      </c>
      <c r="G35" s="18" t="n">
        <v>25035.3</v>
      </c>
      <c r="H35" s="18" t="n">
        <v>24353.4</v>
      </c>
      <c r="I35" s="18" t="n">
        <v>24992.3</v>
      </c>
      <c r="J35" s="18" t="n">
        <v>24772.8</v>
      </c>
      <c r="K35" s="18" t="n">
        <v>24921.2</v>
      </c>
      <c r="L35" s="18" t="n">
        <v>25328.9</v>
      </c>
      <c r="M35" s="18" t="n">
        <v>25553</v>
      </c>
      <c r="N35" s="18" t="n">
        <v>25883</v>
      </c>
      <c r="O35" s="18" t="n">
        <v>26348</v>
      </c>
      <c r="P35" s="18" t="n">
        <v>26623</v>
      </c>
      <c r="Q35" s="18" t="n">
        <v>26787</v>
      </c>
      <c r="R35" s="18" t="n">
        <v>26951</v>
      </c>
      <c r="S35" s="18" t="n">
        <v>27150</v>
      </c>
      <c r="T35" s="18" t="n">
        <v>27673</v>
      </c>
      <c r="U35" s="18" t="n">
        <v>27677</v>
      </c>
      <c r="V35" s="18" t="n">
        <v>27989</v>
      </c>
      <c r="W35" s="18" t="n">
        <v>28349</v>
      </c>
      <c r="X35" s="18" t="n">
        <v>28732</v>
      </c>
      <c r="Y35" s="18" t="n">
        <v>28915</v>
      </c>
      <c r="Z35" s="18" t="n">
        <v>29066</v>
      </c>
      <c r="AA35" s="18" t="n">
        <v>29209</v>
      </c>
      <c r="AB35" s="18" t="n">
        <v>29739</v>
      </c>
      <c r="AC35" s="18" t="n">
        <v>29526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488.6</v>
      </c>
      <c r="C37" s="18" t="n">
        <v>493.6</v>
      </c>
      <c r="D37" s="18" t="n">
        <v>492.6</v>
      </c>
      <c r="E37" s="18" t="n">
        <v>519</v>
      </c>
      <c r="F37" s="18" t="n">
        <v>532.5</v>
      </c>
      <c r="G37" s="18" t="n">
        <v>523.2</v>
      </c>
      <c r="H37" s="18" t="n">
        <v>526.8</v>
      </c>
      <c r="I37" s="18" t="n">
        <v>531.7</v>
      </c>
      <c r="J37" s="18" t="n">
        <v>544</v>
      </c>
      <c r="K37" s="18" t="n">
        <v>537.2</v>
      </c>
      <c r="L37" s="18" t="n">
        <v>558</v>
      </c>
      <c r="M37" s="18" t="n">
        <v>564</v>
      </c>
      <c r="N37" s="18" t="n">
        <v>580</v>
      </c>
      <c r="O37" s="18" t="n">
        <v>499</v>
      </c>
      <c r="P37" s="18" t="n">
        <v>506</v>
      </c>
      <c r="Q37" s="18" t="n">
        <v>500</v>
      </c>
      <c r="R37" s="18" t="n">
        <v>579</v>
      </c>
      <c r="S37" s="18" t="n">
        <v>602</v>
      </c>
      <c r="T37" s="18" t="n">
        <v>548</v>
      </c>
      <c r="U37" s="18" t="n">
        <v>626</v>
      </c>
      <c r="V37" s="18" t="n">
        <v>622</v>
      </c>
      <c r="W37" s="18" t="n">
        <v>552</v>
      </c>
      <c r="X37" s="18" t="n">
        <v>655</v>
      </c>
      <c r="Y37" s="18" t="n">
        <v>653</v>
      </c>
      <c r="Z37" s="18" t="n">
        <v>571</v>
      </c>
      <c r="AA37" s="18" t="n">
        <v>496</v>
      </c>
      <c r="AB37" s="18" t="n">
        <v>603</v>
      </c>
      <c r="AC37" s="18" t="n">
        <v>613</v>
      </c>
    </row>
    <row r="38">
      <c r="A38" s="4" t="inlineStr">
        <is>
          <t>Stock-based Compensation</t>
        </is>
      </c>
      <c r="B38" s="18" t="n">
        <v>38.5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39.5</v>
      </c>
      <c r="H38" s="18" t="n">
        <v>0</v>
      </c>
      <c r="I38" s="18" t="n">
        <v>0</v>
      </c>
      <c r="J38" s="18" t="n">
        <v>0</v>
      </c>
      <c r="K38" s="18" t="n">
        <v>36</v>
      </c>
      <c r="L38" s="18" t="n">
        <v>36</v>
      </c>
      <c r="M38" s="18" t="n">
        <v>39</v>
      </c>
      <c r="N38" s="18" t="n">
        <v>41</v>
      </c>
      <c r="O38" s="18" t="n">
        <v>40</v>
      </c>
      <c r="P38" s="18" t="n">
        <v>37</v>
      </c>
      <c r="Q38" s="18" t="n">
        <v>0</v>
      </c>
      <c r="R38" s="18" t="n">
        <v>0</v>
      </c>
      <c r="S38" s="18" t="n">
        <v>43</v>
      </c>
      <c r="T38" s="18" t="n">
        <v>43</v>
      </c>
      <c r="U38" s="18" t="n">
        <v>56</v>
      </c>
      <c r="V38" s="18" t="n">
        <v>45</v>
      </c>
      <c r="W38" s="18" t="n">
        <v>44</v>
      </c>
      <c r="X38" s="18" t="n">
        <v>0</v>
      </c>
      <c r="Y38" s="18" t="n">
        <v>49</v>
      </c>
      <c r="Z38" s="18" t="n">
        <v>0</v>
      </c>
      <c r="AA38" s="18" t="n">
        <v>-49</v>
      </c>
      <c r="AB38" s="18" t="n">
        <v>0</v>
      </c>
      <c r="AC38" s="18" t="n">
        <v>0</v>
      </c>
    </row>
    <row r="39">
      <c r="A39" s="4" t="inlineStr">
        <is>
          <t>Change in Working Capital</t>
        </is>
      </c>
      <c r="B39" s="18" t="n">
        <v>227.8</v>
      </c>
      <c r="C39" s="18" t="n">
        <v>-77</v>
      </c>
      <c r="D39" s="18" t="n">
        <v>-48.4</v>
      </c>
      <c r="E39" s="18" t="n">
        <v>341.7</v>
      </c>
      <c r="F39" s="18" t="n">
        <v>-430.7</v>
      </c>
      <c r="G39" s="18" t="n">
        <v>-603</v>
      </c>
      <c r="H39" s="18" t="n">
        <v>-75.5</v>
      </c>
      <c r="I39" s="18" t="n">
        <v>97.7</v>
      </c>
      <c r="J39" s="18" t="n">
        <v>300.2</v>
      </c>
      <c r="K39" s="18" t="n">
        <v>647.9</v>
      </c>
      <c r="L39" s="18" t="n">
        <v>319.6</v>
      </c>
      <c r="M39" s="18" t="n">
        <v>191</v>
      </c>
      <c r="N39" s="18" t="n">
        <v>27</v>
      </c>
      <c r="O39" s="18" t="n">
        <v>-900</v>
      </c>
      <c r="P39" s="18" t="n">
        <v>628</v>
      </c>
      <c r="Q39" s="18" t="n">
        <v>-439</v>
      </c>
      <c r="R39" s="18" t="n">
        <v>36</v>
      </c>
      <c r="S39" s="18" t="n">
        <v>-303</v>
      </c>
      <c r="T39" s="18" t="n">
        <v>151</v>
      </c>
      <c r="U39" s="18" t="n">
        <v>-36</v>
      </c>
      <c r="V39" s="18" t="n">
        <v>-491</v>
      </c>
      <c r="W39" s="18" t="n">
        <v>-36</v>
      </c>
      <c r="X39" s="18" t="n">
        <v>57</v>
      </c>
      <c r="Y39" s="18" t="n">
        <v>203</v>
      </c>
      <c r="Z39" s="18" t="n">
        <v>-50</v>
      </c>
      <c r="AA39" s="18" t="n">
        <v>-153</v>
      </c>
      <c r="AB39" s="18" t="n">
        <v>45</v>
      </c>
      <c r="AC39" s="18" t="n">
        <v>-861</v>
      </c>
    </row>
    <row r="40">
      <c r="A40" s="4" t="inlineStr">
        <is>
          <t>Operating Cash Flow</t>
        </is>
      </c>
      <c r="B40" s="18" t="n">
        <v>2023.3</v>
      </c>
      <c r="C40" s="18" t="n">
        <v>1642.5</v>
      </c>
      <c r="D40" s="18" t="n">
        <v>1694.3</v>
      </c>
      <c r="E40" s="18" t="n">
        <v>2012.2</v>
      </c>
      <c r="F40" s="18" t="n">
        <v>1181.6</v>
      </c>
      <c r="G40" s="18" t="n">
        <v>1097.8</v>
      </c>
      <c r="H40" s="18" t="n">
        <v>1599.9</v>
      </c>
      <c r="I40" s="18" t="n">
        <v>2041.7</v>
      </c>
      <c r="J40" s="18" t="n">
        <v>1993.9</v>
      </c>
      <c r="K40" s="18" t="n">
        <v>2370.3</v>
      </c>
      <c r="L40" s="18" t="n">
        <v>2125.2</v>
      </c>
      <c r="M40" s="18" t="n">
        <v>2145</v>
      </c>
      <c r="N40" s="18" t="n">
        <v>2119</v>
      </c>
      <c r="O40" s="18" t="n">
        <v>1050</v>
      </c>
      <c r="P40" s="18" t="n">
        <v>2725</v>
      </c>
      <c r="Q40" s="18" t="n">
        <v>1583</v>
      </c>
      <c r="R40" s="18" t="n">
        <v>1902</v>
      </c>
      <c r="S40" s="18" t="n">
        <v>1725</v>
      </c>
      <c r="T40" s="18" t="n">
        <v>2366</v>
      </c>
      <c r="U40" s="18" t="n">
        <v>2111</v>
      </c>
      <c r="V40" s="18" t="n">
        <v>1574</v>
      </c>
      <c r="W40" s="18" t="n">
        <v>2072</v>
      </c>
      <c r="X40" s="18" t="n">
        <v>2358</v>
      </c>
      <c r="Y40" s="18" t="n">
        <v>2314</v>
      </c>
      <c r="Z40" s="18" t="n">
        <v>2061</v>
      </c>
      <c r="AA40" s="18" t="n">
        <v>1738</v>
      </c>
      <c r="AB40" s="18" t="n">
        <v>2472</v>
      </c>
      <c r="AC40" s="18" t="n">
        <v>1469</v>
      </c>
    </row>
    <row r="41">
      <c r="A41" s="4" t="inlineStr">
        <is>
          <t>Capex</t>
        </is>
      </c>
      <c r="B41" s="18" t="n">
        <v>-1111.9</v>
      </c>
      <c r="C41" s="18" t="n">
        <v>-1041.3</v>
      </c>
      <c r="D41" s="18" t="n">
        <v>-1229.6</v>
      </c>
      <c r="E41" s="18" t="n">
        <v>-1079.5</v>
      </c>
      <c r="F41" s="18" t="n">
        <v>-896.4</v>
      </c>
      <c r="G41" s="18" t="n">
        <v>-695.7</v>
      </c>
      <c r="H41" s="18" t="n">
        <v>-616.3</v>
      </c>
      <c r="I41" s="18" t="n">
        <v>-679</v>
      </c>
      <c r="J41" s="18" t="n">
        <v>-622.2</v>
      </c>
      <c r="K41" s="18" t="n">
        <v>-504.5</v>
      </c>
      <c r="L41" s="18" t="n">
        <v>-417.5</v>
      </c>
      <c r="M41" s="18" t="n">
        <v>-349</v>
      </c>
      <c r="N41" s="18" t="n">
        <v>-382</v>
      </c>
      <c r="O41" s="18" t="n">
        <v>-472</v>
      </c>
      <c r="P41" s="18" t="n">
        <v>-761</v>
      </c>
      <c r="Q41" s="18" t="n">
        <v>-653</v>
      </c>
      <c r="R41" s="18" t="n">
        <v>-780</v>
      </c>
      <c r="S41" s="18" t="n">
        <v>-821</v>
      </c>
      <c r="T41" s="18" t="n">
        <v>-1012</v>
      </c>
      <c r="U41" s="18" t="n">
        <v>-1047</v>
      </c>
      <c r="V41" s="18" t="n">
        <v>-1264</v>
      </c>
      <c r="W41" s="18" t="n">
        <v>-1174</v>
      </c>
      <c r="X41" s="18" t="n">
        <v>-1059</v>
      </c>
      <c r="Y41" s="18" t="n">
        <v>-1062</v>
      </c>
      <c r="Z41" s="18" t="n">
        <v>-1299</v>
      </c>
      <c r="AA41" s="18" t="n">
        <v>-1958</v>
      </c>
      <c r="AB41" s="18" t="n">
        <v>-1301</v>
      </c>
      <c r="AC41" s="18" t="n">
        <v>-983</v>
      </c>
    </row>
    <row r="42">
      <c r="A42" s="4" t="inlineStr">
        <is>
          <t>Free Cash Flow</t>
        </is>
      </c>
      <c r="B42" s="18" t="n">
        <v>911.4</v>
      </c>
      <c r="C42" s="18" t="n">
        <v>601.2</v>
      </c>
      <c r="D42" s="18" t="n">
        <v>464.7</v>
      </c>
      <c r="E42" s="18" t="n">
        <v>932.7</v>
      </c>
      <c r="F42" s="18" t="n">
        <v>285.2</v>
      </c>
      <c r="G42" s="18" t="n">
        <v>402.1</v>
      </c>
      <c r="H42" s="18" t="n">
        <v>983.6</v>
      </c>
      <c r="I42" s="18" t="n">
        <v>1362.7</v>
      </c>
      <c r="J42" s="18" t="n">
        <v>1371.7</v>
      </c>
      <c r="K42" s="18" t="n">
        <v>1865.8</v>
      </c>
      <c r="L42" s="18" t="n">
        <v>1707.7</v>
      </c>
      <c r="M42" s="18" t="n">
        <v>1796</v>
      </c>
      <c r="N42" s="18" t="n">
        <v>1737</v>
      </c>
      <c r="O42" s="18" t="n">
        <v>578</v>
      </c>
      <c r="P42" s="18" t="n">
        <v>1964</v>
      </c>
      <c r="Q42" s="18" t="n">
        <v>930</v>
      </c>
      <c r="R42" s="18" t="n">
        <v>1122</v>
      </c>
      <c r="S42" s="18" t="n">
        <v>904</v>
      </c>
      <c r="T42" s="18" t="n">
        <v>1354</v>
      </c>
      <c r="U42" s="18" t="n">
        <v>1064</v>
      </c>
      <c r="V42" s="18" t="n">
        <v>310</v>
      </c>
      <c r="W42" s="18" t="n">
        <v>898</v>
      </c>
      <c r="X42" s="18" t="n">
        <v>1299</v>
      </c>
      <c r="Y42" s="18" t="n">
        <v>1252</v>
      </c>
      <c r="Z42" s="18" t="n">
        <v>762</v>
      </c>
      <c r="AA42" s="18" t="n">
        <v>-220</v>
      </c>
      <c r="AB42" s="18" t="n">
        <v>1171</v>
      </c>
      <c r="AC42" s="18" t="n">
        <v>486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54279.041666</v>
      </c>
      <c r="C4" s="18" t="n">
        <v>57179.750885</v>
      </c>
      <c r="D4" s="18" t="n">
        <v>59631.131474</v>
      </c>
      <c r="E4" s="18" t="n">
        <v>60959.5</v>
      </c>
      <c r="F4" s="18" t="n">
        <v>62301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9661.567257999999</v>
      </c>
      <c r="C8" s="18" t="n">
        <v>10177.888039</v>
      </c>
      <c r="D8" s="18" t="n">
        <v>10614.22917</v>
      </c>
      <c r="E8" s="18" t="n">
        <v>10850.676268</v>
      </c>
      <c r="F8" s="18" t="n">
        <v>11089.460743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7377.251084</v>
      </c>
      <c r="C12" s="18" t="n">
        <v>7771.496442</v>
      </c>
      <c r="D12" s="18" t="n">
        <v>8104.672002</v>
      </c>
      <c r="E12" s="18" t="n">
        <v>8285.215133</v>
      </c>
      <c r="F12" s="18" t="n">
        <v>8467.543008000001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249.490482</v>
      </c>
      <c r="C16" s="18" t="n">
        <v>262.823425</v>
      </c>
      <c r="D16" s="18" t="n">
        <v>274.091054</v>
      </c>
      <c r="E16" s="18" t="n">
        <v>280.196824</v>
      </c>
      <c r="F16" s="18" t="n">
        <v>286.362951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6275.4438</v>
      </c>
      <c r="C20" s="18" t="n">
        <v>6899.92994</v>
      </c>
      <c r="D20" s="18" t="n">
        <v>7346.6357</v>
      </c>
      <c r="E20" s="18" t="n">
        <v>8044.553963</v>
      </c>
      <c r="F20" s="18" t="n">
        <v>8434.740003000001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2.88138</v>
      </c>
      <c r="C24" s="47" t="n">
        <v>3.1939</v>
      </c>
      <c r="D24" s="47" t="n">
        <v>3.41858</v>
      </c>
      <c r="E24" s="47" t="n">
        <v>3.67667</v>
      </c>
      <c r="F24" s="47" t="n">
        <v>3.855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Enterprise Products Partners L.P.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0.04157597945452468</v>
      </c>
      <c r="C4" s="51" t="n">
        <v>0.04657597945452468</v>
      </c>
      <c r="D4" s="51" t="n">
        <v>0.05157597945452468</v>
      </c>
      <c r="E4" s="51" t="n">
        <v>0.05657597945452468</v>
      </c>
      <c r="F4" s="51" t="n">
        <v>0.06157597945452468</v>
      </c>
      <c r="G4" s="51" t="n">
        <v>0.06657597945452468</v>
      </c>
      <c r="H4" s="51" t="n">
        <v>0.07157597945452468</v>
      </c>
    </row>
    <row r="5">
      <c r="A5" s="52" t="n">
        <v>9</v>
      </c>
      <c r="B5" s="8" t="n">
        <v>74.22028201174032</v>
      </c>
      <c r="C5" s="8" t="n">
        <v>70.80519162069896</v>
      </c>
      <c r="D5" s="8" t="n">
        <v>67.5528923365338</v>
      </c>
      <c r="E5" s="8" t="n">
        <v>64.45467261000933</v>
      </c>
      <c r="F5" s="8" t="n">
        <v>61.50233086795379</v>
      </c>
      <c r="G5" s="8" t="n">
        <v>58.6881432692641</v>
      </c>
      <c r="H5" s="8" t="n">
        <v>56.00483364483713</v>
      </c>
    </row>
    <row r="6">
      <c r="A6" s="52" t="n">
        <v>10</v>
      </c>
      <c r="B6" s="8" t="n">
        <v>80.22294229218052</v>
      </c>
      <c r="C6" s="8" t="n">
        <v>76.52716318143625</v>
      </c>
      <c r="D6" s="8" t="n">
        <v>73.00854547400554</v>
      </c>
      <c r="E6" s="8" t="n">
        <v>69.65757875922949</v>
      </c>
      <c r="F6" s="8" t="n">
        <v>66.46531049033555</v>
      </c>
      <c r="G6" s="8" t="n">
        <v>63.4233106632224</v>
      </c>
      <c r="H6" s="8" t="n">
        <v>60.52363889006295</v>
      </c>
    </row>
    <row r="7">
      <c r="A7" s="52" t="n">
        <v>11</v>
      </c>
      <c r="B7" s="8" t="n">
        <v>86.22560257262067</v>
      </c>
      <c r="C7" s="8" t="n">
        <v>82.24913474217355</v>
      </c>
      <c r="D7" s="8" t="n">
        <v>78.4641986114773</v>
      </c>
      <c r="E7" s="8" t="n">
        <v>74.86048490844968</v>
      </c>
      <c r="F7" s="8" t="n">
        <v>71.42829011271731</v>
      </c>
      <c r="G7" s="8" t="n">
        <v>68.1584780571807</v>
      </c>
      <c r="H7" s="8" t="n">
        <v>65.04244413528878</v>
      </c>
    </row>
    <row r="8">
      <c r="A8" s="52" t="n">
        <v>12</v>
      </c>
      <c r="B8" s="8" t="n">
        <v>92.22826285306087</v>
      </c>
      <c r="C8" s="8" t="n">
        <v>87.97110630291083</v>
      </c>
      <c r="D8" s="8" t="n">
        <v>83.91985174894907</v>
      </c>
      <c r="E8" s="53" t="n">
        <v>80.06339105766986</v>
      </c>
      <c r="F8" s="8" t="n">
        <v>76.39126973509906</v>
      </c>
      <c r="G8" s="8" t="n">
        <v>72.89364545113899</v>
      </c>
      <c r="H8" s="8" t="n">
        <v>69.5612493805146</v>
      </c>
    </row>
    <row r="9">
      <c r="A9" s="52" t="n">
        <v>13</v>
      </c>
      <c r="B9" s="8" t="n">
        <v>98.23092313350105</v>
      </c>
      <c r="C9" s="8" t="n">
        <v>93.69307786364813</v>
      </c>
      <c r="D9" s="8" t="n">
        <v>89.37550488642084</v>
      </c>
      <c r="E9" s="8" t="n">
        <v>85.26629720689004</v>
      </c>
      <c r="F9" s="8" t="n">
        <v>81.35424935748082</v>
      </c>
      <c r="G9" s="8" t="n">
        <v>77.6288128450973</v>
      </c>
      <c r="H9" s="8" t="n">
        <v>74.08005462574043</v>
      </c>
    </row>
    <row r="10">
      <c r="A10" s="52" t="n">
        <v>14</v>
      </c>
      <c r="B10" s="8" t="n">
        <v>104.2335834139412</v>
      </c>
      <c r="C10" s="8" t="n">
        <v>99.41504942438542</v>
      </c>
      <c r="D10" s="8" t="n">
        <v>94.83115802389258</v>
      </c>
      <c r="E10" s="8" t="n">
        <v>90.46920335611021</v>
      </c>
      <c r="F10" s="8" t="n">
        <v>86.31722897986258</v>
      </c>
      <c r="G10" s="8" t="n">
        <v>82.36398023905561</v>
      </c>
      <c r="H10" s="8" t="n">
        <v>78.59885987096624</v>
      </c>
    </row>
    <row r="11">
      <c r="A11" s="52" t="n">
        <v>15</v>
      </c>
      <c r="B11" s="8" t="n">
        <v>110.2362436943814</v>
      </c>
      <c r="C11" s="8" t="n">
        <v>105.1370209851227</v>
      </c>
      <c r="D11" s="8" t="n">
        <v>100.2868111613643</v>
      </c>
      <c r="E11" s="8" t="n">
        <v>95.6721095053304</v>
      </c>
      <c r="F11" s="8" t="n">
        <v>91.28020860224434</v>
      </c>
      <c r="G11" s="8" t="n">
        <v>87.09914763301391</v>
      </c>
      <c r="H11" s="8" t="n">
        <v>83.11766511619207</v>
      </c>
    </row>
    <row r="13">
      <c r="A13" s="3" t="inlineStr">
        <is>
          <t>Current price</t>
        </is>
      </c>
      <c r="B13" s="54" t="n">
        <v>36.75</v>
      </c>
    </row>
    <row r="14">
      <c r="A14" s="3" t="inlineStr">
        <is>
          <t>Base WACC / multiple</t>
        </is>
      </c>
      <c r="B14" s="55" t="n">
        <v>0.05657597945452468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0.04416685679519355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2.578697126655857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1.06205282702093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2026-07-06T20:34:44Z</dcterms:created>
  <dcterms:modified xmlns:dcterms="http://purl.org/dc/terms/" xmlns:xsi="http://www.w3.org/2001/XMLSchema-instance" xsi:type="dcterms:W3CDTF">2026-07-06T20:34:45Z</dcterms:modified>
</cp:coreProperties>
</file>