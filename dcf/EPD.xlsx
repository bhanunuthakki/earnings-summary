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2" authorId="0" shapeId="0">
      <text>
        <t>builder default</t>
      </text>
    </comment>
    <comment ref="C22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Enterprise Products Partners L.P. (EPD)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Enterprise Products Partners L.P. (EPD)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NGL Pipelines and Services</t>
        </is>
      </c>
      <c r="B20" s="15" t="n">
        <v>-0.054654658167401</v>
      </c>
      <c r="C20" s="15" t="n">
        <v>0.05</v>
      </c>
      <c r="D20" s="16" t="n">
        <v>-0.054654658167401</v>
      </c>
      <c r="E20" s="2" t="inlineStr"/>
    </row>
    <row r="21">
      <c r="A21" s="4" t="inlineStr">
        <is>
          <t>Onshore Natural Gas Pipelines and Services</t>
        </is>
      </c>
      <c r="B21" s="15" t="n">
        <v>0.006718399743906894</v>
      </c>
      <c r="C21" s="15" t="n">
        <v>0.05</v>
      </c>
      <c r="D21" s="16" t="n">
        <v>0.006718399743906894</v>
      </c>
      <c r="E21" s="2" t="inlineStr"/>
    </row>
    <row r="22">
      <c r="A22" s="4" t="inlineStr">
        <is>
          <t>Petrochemical And Refined Products Services</t>
        </is>
      </c>
      <c r="B22" s="15" t="n">
        <v>-0.1799482669227598</v>
      </c>
      <c r="C22" s="15" t="n">
        <v>0.05</v>
      </c>
      <c r="D22" s="16" t="n">
        <v>-0.1799482669227598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0.1521243308890081</v>
      </c>
      <c r="D29" s="16" t="n">
        <v>0.1521243308890081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0.1781406736522773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6182.000000000001</v>
      </c>
      <c r="D34" s="18" t="n">
        <v>6182.000000000001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0.495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37.01499938964844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80.02958439993309</v>
      </c>
      <c r="C58" s="28" t="n">
        <v>123.3412619737263</v>
      </c>
      <c r="D58" s="28" t="n">
        <v>48.93250611557799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EPD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NGL Pipelines and Services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NGL Pipelines and Services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Onshore Natural Gas Pipelines and Services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Onshore Natural Gas Pipelines and Services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Petrochemical And Refined Products Services — near-term growth</t>
        </is>
      </c>
      <c r="B12" t="inlineStr">
        <is>
          <t>B22</t>
        </is>
      </c>
      <c r="C12" s="11">
        <f>Dashboard!B22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Petrochemical And Refined Products Services — terminal growth</t>
        </is>
      </c>
      <c r="B13" t="inlineStr">
        <is>
          <t>C22</t>
        </is>
      </c>
      <c r="C13" s="11">
        <f>Dashboard!C22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Near-term operating margin</t>
        </is>
      </c>
      <c r="B14" t="inlineStr">
        <is>
          <t>B29</t>
        </is>
      </c>
      <c r="C14" s="11">
        <f>Dashboard!B29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Terminal operating margin</t>
        </is>
      </c>
      <c r="B15" t="inlineStr">
        <is>
          <t>B30</t>
        </is>
      </c>
      <c r="C15" s="11">
        <f>Dashboard!B30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Tax rate</t>
        </is>
      </c>
      <c r="B16" t="inlineStr">
        <is>
          <t>B31</t>
        </is>
      </c>
      <c r="C16" s="11">
        <f>Dashboard!B31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Terminal capex / D&amp;A</t>
        </is>
      </c>
      <c r="B17" t="inlineStr">
        <is>
          <t>B35</t>
        </is>
      </c>
      <c r="C17" s="13">
        <f>Dashboard!B35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Risk-free rate (10Y)</t>
        </is>
      </c>
      <c r="B18" t="inlineStr">
        <is>
          <t>B38</t>
        </is>
      </c>
      <c r="C18" s="11">
        <f>Dashboard!B38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Equity risk premium</t>
        </is>
      </c>
      <c r="B19" t="inlineStr">
        <is>
          <t>B39</t>
        </is>
      </c>
      <c r="C19" s="11">
        <f>Dashboard!B39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Beta (levered)</t>
        </is>
      </c>
      <c r="B20" t="inlineStr">
        <is>
          <t>B40</t>
        </is>
      </c>
      <c r="C20" s="32">
        <f>Dashboard!B40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Pre-tax cost of debt</t>
        </is>
      </c>
      <c r="B21" t="inlineStr">
        <is>
          <t>B41</t>
        </is>
      </c>
      <c r="C21" s="11">
        <f>Dashboard!B41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Terminal method</t>
        </is>
      </c>
      <c r="B22" t="inlineStr">
        <is>
          <t>B43</t>
        </is>
      </c>
      <c r="C22" s="12">
        <f>Dashboard!B43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Exit basis</t>
        </is>
      </c>
      <c r="B23" t="inlineStr">
        <is>
          <t>B44</t>
        </is>
      </c>
      <c r="C23" s="12">
        <f>Dashboard!B44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Exit multiple</t>
        </is>
      </c>
      <c r="B24" t="inlineStr">
        <is>
          <t>B45</t>
        </is>
      </c>
      <c r="C24" s="13">
        <f>Dashboard!B45</f>
        <v/>
      </c>
      <c r="D24" t="inlineStr">
        <is>
          <t>builder default</t>
        </is>
      </c>
      <c r="E24" t="inlineStr">
        <is>
          <t>—</t>
        </is>
      </c>
      <c r="F24" s="31" t="inlineStr"/>
    </row>
    <row r="25">
      <c r="A25" t="inlineStr">
        <is>
          <t>Terminal growth (g)</t>
        </is>
      </c>
      <c r="B25" t="inlineStr">
        <is>
          <t>B46</t>
        </is>
      </c>
      <c r="C25" s="11">
        <f>Dashboard!B46</f>
        <v/>
      </c>
      <c r="D25" t="inlineStr">
        <is>
          <t>builder default</t>
        </is>
      </c>
      <c r="E25" t="inlineStr">
        <is>
          <t>—</t>
        </is>
      </c>
      <c r="F25" s="31" t="inlineStr"/>
    </row>
    <row r="26">
      <c r="A26" t="inlineStr">
        <is>
          <t>2026 capex ($M)</t>
        </is>
      </c>
      <c r="B26" t="inlineStr">
        <is>
          <t>B34</t>
        </is>
      </c>
      <c r="C26" s="33">
        <f>Dashboard!B34</f>
        <v/>
      </c>
      <c r="D26" t="inlineStr">
        <is>
          <t>builder default</t>
        </is>
      </c>
      <c r="E26" t="inlineStr">
        <is>
          <t>—</t>
        </is>
      </c>
      <c r="F26" s="31" t="inlineStr">
        <is>
          <t>last-year capex +10% unless set to guidance; edits not tracked</t>
        </is>
      </c>
    </row>
    <row r="27">
      <c r="A27" t="inlineStr">
        <is>
          <t>Bull Δ — segment growth, near-term</t>
        </is>
      </c>
      <c r="B27" t="inlineStr">
        <is>
          <t>C52</t>
        </is>
      </c>
      <c r="C27" s="34">
        <f>Dashboard!C52</f>
        <v/>
      </c>
      <c r="D27" t="inlineStr">
        <is>
          <t>seed default</t>
        </is>
      </c>
      <c r="E27" t="inlineStr">
        <is>
          <t>3.0%</t>
        </is>
      </c>
      <c r="F27" s="31" t="inlineStr"/>
    </row>
    <row r="28">
      <c r="A28" t="inlineStr">
        <is>
          <t>Bear Δ — segment growth, near-term</t>
        </is>
      </c>
      <c r="B28" t="inlineStr">
        <is>
          <t>D52</t>
        </is>
      </c>
      <c r="C28" s="34">
        <f>Dashboard!D52</f>
        <v/>
      </c>
      <c r="D28" t="inlineStr">
        <is>
          <t>seed default</t>
        </is>
      </c>
      <c r="E28" t="inlineStr">
        <is>
          <t>-3.0%</t>
        </is>
      </c>
      <c r="F28" s="31" t="inlineStr"/>
    </row>
    <row r="29">
      <c r="A29" t="inlineStr">
        <is>
          <t>Bull Δ — segment growth, terminal</t>
        </is>
      </c>
      <c r="B29" t="inlineStr">
        <is>
          <t>C53</t>
        </is>
      </c>
      <c r="C29" s="34">
        <f>Dashboard!C53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segment growth, terminal</t>
        </is>
      </c>
      <c r="B30" t="inlineStr">
        <is>
          <t>D53</t>
        </is>
      </c>
      <c r="C30" s="34">
        <f>Dashboard!D53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near-term</t>
        </is>
      </c>
      <c r="B31" t="inlineStr">
        <is>
          <t>C54</t>
        </is>
      </c>
      <c r="C31" s="34">
        <f>Dashboard!C54</f>
        <v/>
      </c>
      <c r="D31" t="inlineStr">
        <is>
          <t>seed default</t>
        </is>
      </c>
      <c r="E31" t="inlineStr">
        <is>
          <t>1.0%</t>
        </is>
      </c>
      <c r="F31" s="31" t="inlineStr"/>
    </row>
    <row r="32">
      <c r="A32" t="inlineStr">
        <is>
          <t>Bear Δ — operating margin, near-term</t>
        </is>
      </c>
      <c r="B32" t="inlineStr">
        <is>
          <t>D54</t>
        </is>
      </c>
      <c r="C32" s="34">
        <f>Dashboard!D54</f>
        <v/>
      </c>
      <c r="D32" t="inlineStr">
        <is>
          <t>seed default</t>
        </is>
      </c>
      <c r="E32" t="inlineStr">
        <is>
          <t>-1.0%</t>
        </is>
      </c>
      <c r="F32" s="31" t="inlineStr"/>
    </row>
    <row r="33">
      <c r="A33" t="inlineStr">
        <is>
          <t>Bull Δ — operating margin, terminal</t>
        </is>
      </c>
      <c r="B33" t="inlineStr">
        <is>
          <t>C55</t>
        </is>
      </c>
      <c r="C33" s="34">
        <f>Dashboard!C55</f>
        <v/>
      </c>
      <c r="D33" t="inlineStr">
        <is>
          <t>seed default</t>
        </is>
      </c>
      <c r="E33" t="inlineStr">
        <is>
          <t>2.0%</t>
        </is>
      </c>
      <c r="F33" s="31" t="inlineStr"/>
    </row>
    <row r="34">
      <c r="A34" t="inlineStr">
        <is>
          <t>Bear Δ — operating margin, terminal</t>
        </is>
      </c>
      <c r="B34" t="inlineStr">
        <is>
          <t>D55</t>
        </is>
      </c>
      <c r="C34" s="34">
        <f>Dashboard!D55</f>
        <v/>
      </c>
      <c r="D34" t="inlineStr">
        <is>
          <t>seed default</t>
        </is>
      </c>
      <c r="E34" t="inlineStr">
        <is>
          <t>-2.0%</t>
        </is>
      </c>
      <c r="F34" s="31" t="inlineStr"/>
    </row>
    <row r="35">
      <c r="A35" t="inlineStr">
        <is>
          <t>Bull Δ — exit multiple</t>
        </is>
      </c>
      <c r="B35" t="inlineStr">
        <is>
          <t>C56</t>
        </is>
      </c>
      <c r="C35" s="35">
        <f>Dashboard!C56</f>
        <v/>
      </c>
      <c r="D35" t="inlineStr">
        <is>
          <t>seed default</t>
        </is>
      </c>
      <c r="E35" t="inlineStr">
        <is>
          <t>2.0x</t>
        </is>
      </c>
      <c r="F35" s="31" t="inlineStr"/>
    </row>
    <row r="36">
      <c r="A36" t="inlineStr">
        <is>
          <t>Bear Δ — exit multiple</t>
        </is>
      </c>
      <c r="B36" t="inlineStr">
        <is>
          <t>D56</t>
        </is>
      </c>
      <c r="C36" s="35">
        <f>Dashboard!D56</f>
        <v/>
      </c>
      <c r="D36" t="inlineStr">
        <is>
          <t>seed default</t>
        </is>
      </c>
      <c r="E36" t="inlineStr">
        <is>
          <t>-2.0x</t>
        </is>
      </c>
      <c r="F36" s="31" t="inlineStr"/>
    </row>
    <row r="37">
      <c r="A37" t="inlineStr">
        <is>
          <t>Bull Δ — terminal growth (g)</t>
        </is>
      </c>
      <c r="B37" t="inlineStr">
        <is>
          <t>C57</t>
        </is>
      </c>
      <c r="C37" s="34">
        <f>Dashboard!C57</f>
        <v/>
      </c>
      <c r="D37" t="inlineStr">
        <is>
          <t>seed default</t>
        </is>
      </c>
      <c r="E37" t="inlineStr">
        <is>
          <t>0.5%</t>
        </is>
      </c>
      <c r="F37" s="31" t="inlineStr"/>
    </row>
    <row r="38">
      <c r="A38" t="inlineStr">
        <is>
          <t>Bear Δ — terminal growth (g)</t>
        </is>
      </c>
      <c r="B38" t="inlineStr">
        <is>
          <t>D57</t>
        </is>
      </c>
      <c r="C38" s="34">
        <f>Dashboard!D57</f>
        <v/>
      </c>
      <c r="D38" t="inlineStr">
        <is>
          <t>seed default</t>
        </is>
      </c>
      <c r="E38" t="inlineStr">
        <is>
          <t>-0.5%</t>
        </is>
      </c>
      <c r="F38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NGL Pipelines and Services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Onshore Natural Gas Pipelines and Services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Petrochemical And Refined Products Services</t>
        </is>
      </c>
      <c r="B8" s="33">
        <f>SUM(Financials!I25:L25)</f>
        <v/>
      </c>
      <c r="C8" s="33">
        <f>SUM(Financials!M25:P25)</f>
        <v/>
      </c>
      <c r="D8" s="33">
        <f>SUM(Financials!Q25:T25)</f>
        <v/>
      </c>
      <c r="E8" s="33">
        <f>SUM(Financials!U25:X25)</f>
        <v/>
      </c>
      <c r="F8" s="33">
        <f>SUM(Financials!Y25:AB25)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2">
        <f>B4+B6+B8</f>
        <v/>
      </c>
      <c r="C10" s="42">
        <f>C4+C6+C8</f>
        <v/>
      </c>
      <c r="D10" s="42">
        <f>D4+D6+D8</f>
        <v/>
      </c>
      <c r="E10" s="42">
        <f>E4+E6+E8</f>
        <v/>
      </c>
      <c r="F10" s="42">
        <f>F4+F6+F8</f>
        <v/>
      </c>
      <c r="G10" s="42">
        <f>G4+G6+G8</f>
        <v/>
      </c>
      <c r="H10" s="42">
        <f>H4+H6+H8</f>
        <v/>
      </c>
      <c r="I10" s="42">
        <f>I4+I6+I8</f>
        <v/>
      </c>
      <c r="J10" s="42">
        <f>J4+J6+J8</f>
        <v/>
      </c>
      <c r="K10" s="42">
        <f>K4+K6+K8</f>
        <v/>
      </c>
      <c r="L10" s="42">
        <f>L4+L6+L8</f>
        <v/>
      </c>
      <c r="M10" s="42">
        <f>M4+M6+M8</f>
        <v/>
      </c>
      <c r="N10" s="42">
        <f>N4+N6+N8</f>
        <v/>
      </c>
      <c r="O10" s="42">
        <f>O4+O6+O8</f>
        <v/>
      </c>
      <c r="P10" s="42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3">
        <f>SUM(Financials!I5:L5)</f>
        <v/>
      </c>
      <c r="C14" s="33">
        <f>SUM(Financials!M5:P5)</f>
        <v/>
      </c>
      <c r="D14" s="33">
        <f>SUM(Financials!Q5:T5)</f>
        <v/>
      </c>
      <c r="E14" s="33">
        <f>SUM(Financials!U5:X5)</f>
        <v/>
      </c>
      <c r="F14" s="33">
        <f>SUM(Financials!Y5:AB5)</f>
        <v/>
      </c>
      <c r="G14" s="41">
        <f>G10*G15</f>
        <v/>
      </c>
      <c r="H14" s="41">
        <f>H10*H15</f>
        <v/>
      </c>
      <c r="I14" s="41">
        <f>I10*I15</f>
        <v/>
      </c>
      <c r="J14" s="41">
        <f>J10*J15</f>
        <v/>
      </c>
      <c r="K14" s="41">
        <f>K10*K15</f>
        <v/>
      </c>
      <c r="L14" s="41">
        <f>L10*L15</f>
        <v/>
      </c>
      <c r="M14" s="41">
        <f>M10*M15</f>
        <v/>
      </c>
      <c r="N14" s="41">
        <f>N10*N15</f>
        <v/>
      </c>
      <c r="O14" s="41">
        <f>O10*O15</f>
        <v/>
      </c>
      <c r="P14" s="41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0.8637538976348011</v>
      </c>
      <c r="H15" s="15" t="n">
        <v>0.8637538976348011</v>
      </c>
      <c r="I15" s="15" t="n">
        <v>0.8637538976348011</v>
      </c>
      <c r="J15" s="15" t="n">
        <v>0.8637538976348011</v>
      </c>
      <c r="K15" s="15" t="n">
        <v>0.8637538976348011</v>
      </c>
      <c r="L15" s="15" t="n">
        <v>0.8637538976348011</v>
      </c>
      <c r="M15" s="15" t="n">
        <v>0.8637538976348011</v>
      </c>
      <c r="N15" s="15" t="n">
        <v>0.8637538976348011</v>
      </c>
      <c r="O15" s="15" t="n">
        <v>0.8637538976348011</v>
      </c>
      <c r="P15" s="15" t="n">
        <v>0.8637538976348011</v>
      </c>
    </row>
    <row r="16">
      <c r="A16" s="4" t="inlineStr">
        <is>
          <t>R&amp;D / Technology</t>
        </is>
      </c>
      <c r="B16" s="33">
        <f>SUM(Financials!I7:L7)</f>
        <v/>
      </c>
      <c r="C16" s="33">
        <f>SUM(Financials!M7:P7)</f>
        <v/>
      </c>
      <c r="D16" s="33">
        <f>SUM(Financials!Q7:T7)</f>
        <v/>
      </c>
      <c r="E16" s="33">
        <f>SUM(Financials!U7:X7)</f>
        <v/>
      </c>
      <c r="F16" s="33">
        <f>SUM(Financials!Y7:AB7)</f>
        <v/>
      </c>
      <c r="G16" s="41">
        <f>G10*G17</f>
        <v/>
      </c>
      <c r="H16" s="41">
        <f>H10*H17</f>
        <v/>
      </c>
      <c r="I16" s="41">
        <f>I10*I17</f>
        <v/>
      </c>
      <c r="J16" s="41">
        <f>J10*J17</f>
        <v/>
      </c>
      <c r="K16" s="41">
        <f>K10*K17</f>
        <v/>
      </c>
      <c r="L16" s="41">
        <f>L10*L17</f>
        <v/>
      </c>
      <c r="M16" s="41">
        <f>M10*M17</f>
        <v/>
      </c>
      <c r="N16" s="41">
        <f>N10*N17</f>
        <v/>
      </c>
      <c r="O16" s="41">
        <f>O10*O17</f>
        <v/>
      </c>
      <c r="P16" s="41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</row>
    <row r="18">
      <c r="A18" s="4" t="inlineStr">
        <is>
          <t>SG&amp;A</t>
        </is>
      </c>
      <c r="B18" s="33">
        <f>SUM(Financials!I9:L9)</f>
        <v/>
      </c>
      <c r="C18" s="33">
        <f>SUM(Financials!M9:P9)</f>
        <v/>
      </c>
      <c r="D18" s="33">
        <f>SUM(Financials!Q9:T9)</f>
        <v/>
      </c>
      <c r="E18" s="33">
        <f>SUM(Financials!U9:X9)</f>
        <v/>
      </c>
      <c r="F18" s="33">
        <f>SUM(Financials!Y9:AB9)</f>
        <v/>
      </c>
      <c r="G18" s="41">
        <f>G10*G19</f>
        <v/>
      </c>
      <c r="H18" s="41">
        <f>H10*H19</f>
        <v/>
      </c>
      <c r="I18" s="41">
        <f>I10*I19</f>
        <v/>
      </c>
      <c r="J18" s="41">
        <f>J10*J19</f>
        <v/>
      </c>
      <c r="K18" s="41">
        <f>K10*K19</f>
        <v/>
      </c>
      <c r="L18" s="41">
        <f>L10*L19</f>
        <v/>
      </c>
      <c r="M18" s="41">
        <f>M10*M19</f>
        <v/>
      </c>
      <c r="N18" s="41">
        <f>N10*N19</f>
        <v/>
      </c>
      <c r="O18" s="41">
        <f>O10*O19</f>
        <v/>
      </c>
      <c r="P18" s="41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0.00477222602479276</v>
      </c>
      <c r="H19" s="15" t="n">
        <v>0.00477222602479276</v>
      </c>
      <c r="I19" s="15" t="n">
        <v>0.00477222602479276</v>
      </c>
      <c r="J19" s="15" t="n">
        <v>0.00477222602479276</v>
      </c>
      <c r="K19" s="15" t="n">
        <v>0.00477222602479276</v>
      </c>
      <c r="L19" s="15" t="n">
        <v>0.00477222602479276</v>
      </c>
      <c r="M19" s="15" t="n">
        <v>0.00477222602479276</v>
      </c>
      <c r="N19" s="15" t="n">
        <v>0.00477222602479276</v>
      </c>
      <c r="O19" s="15" t="n">
        <v>0.00477222602479276</v>
      </c>
      <c r="P19" s="15" t="n">
        <v>0.00477222602479276</v>
      </c>
    </row>
    <row r="20">
      <c r="A20" s="4" t="inlineStr">
        <is>
          <t>Other opex (fulfilment, etc.)</t>
        </is>
      </c>
      <c r="B20" s="33">
        <f>B10-(B14+B16+B18)-SUM(Financials!I13:L13)</f>
        <v/>
      </c>
      <c r="C20" s="33">
        <f>C10-(C14+C16+C18)-SUM(Financials!M13:P13)</f>
        <v/>
      </c>
      <c r="D20" s="33">
        <f>D10-(D14+D16+D18)-SUM(Financials!Q13:T13)</f>
        <v/>
      </c>
      <c r="E20" s="33">
        <f>E10-(E14+E16+E18)-SUM(Financials!U13:X13)</f>
        <v/>
      </c>
      <c r="F20" s="33">
        <f>F10-(F14+F16+F18)-SUM(Financials!Y13:AB13)</f>
        <v/>
      </c>
      <c r="G20" s="33">
        <f>G10*(1-(Dashboard!$B$29+(Dashboard!$B$30-Dashboard!$B$29)*MIN(1,0/4)))-(G14+G16+G18)</f>
        <v/>
      </c>
      <c r="H20" s="33">
        <f>H10*(1-(Dashboard!$B$29+(Dashboard!$B$30-Dashboard!$B$29)*MIN(1,1/4)))-(H14+H16+H18)</f>
        <v/>
      </c>
      <c r="I20" s="33">
        <f>I10*(1-(Dashboard!$B$29+(Dashboard!$B$30-Dashboard!$B$29)*MIN(1,2/4)))-(I14+I16+I18)</f>
        <v/>
      </c>
      <c r="J20" s="33">
        <f>J10*(1-(Dashboard!$B$29+(Dashboard!$B$30-Dashboard!$B$29)*MIN(1,3/4)))-(J14+J16+J18)</f>
        <v/>
      </c>
      <c r="K20" s="33">
        <f>K10*(1-(Dashboard!$B$29+(Dashboard!$B$30-Dashboard!$B$29)*MIN(1,4/4)))-(K14+K16+K18)</f>
        <v/>
      </c>
      <c r="L20" s="33">
        <f>L10*(1-(Dashboard!$B$29+(Dashboard!$B$30-Dashboard!$B$29)*MIN(1,5/4)))-(L14+L16+L18)</f>
        <v/>
      </c>
      <c r="M20" s="33">
        <f>M10*(1-(Dashboard!$B$29+(Dashboard!$B$30-Dashboard!$B$29)*MIN(1,6/4)))-(M14+M16+M18)</f>
        <v/>
      </c>
      <c r="N20" s="33">
        <f>N10*(1-(Dashboard!$B$29+(Dashboard!$B$30-Dashboard!$B$29)*MIN(1,7/4)))-(N14+N16+N18)</f>
        <v/>
      </c>
      <c r="O20" s="33">
        <f>O10*(1-(Dashboard!$B$29+(Dashboard!$B$30-Dashboard!$B$29)*MIN(1,8/4)))-(O14+O16+O18)</f>
        <v/>
      </c>
      <c r="P20" s="33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2">
        <f>B10-(B14+B16+B18)-B20</f>
        <v/>
      </c>
      <c r="C23" s="42">
        <f>C10-(C14+C16+C18)-C20</f>
        <v/>
      </c>
      <c r="D23" s="42">
        <f>D10-(D14+D16+D18)-D20</f>
        <v/>
      </c>
      <c r="E23" s="42">
        <f>E10-(E14+E16+E18)-E20</f>
        <v/>
      </c>
      <c r="F23" s="42">
        <f>F10-(F14+F16+F18)-F20</f>
        <v/>
      </c>
      <c r="G23" s="42">
        <f>G10-(G14+G16+G18)-G20</f>
        <v/>
      </c>
      <c r="H23" s="42">
        <f>H10-(H14+H16+H18)-H20</f>
        <v/>
      </c>
      <c r="I23" s="42">
        <f>I10-(I14+I16+I18)-I20</f>
        <v/>
      </c>
      <c r="J23" s="42">
        <f>J10-(J14+J16+J18)-J20</f>
        <v/>
      </c>
      <c r="K23" s="42">
        <f>K10-(K14+K16+K18)-K20</f>
        <v/>
      </c>
      <c r="L23" s="42">
        <f>L10-(L14+L16+L18)-L20</f>
        <v/>
      </c>
      <c r="M23" s="42">
        <f>M10-(M14+M16+M18)-M20</f>
        <v/>
      </c>
      <c r="N23" s="42">
        <f>N10-(N14+N16+N18)-N20</f>
        <v/>
      </c>
      <c r="O23" s="42">
        <f>O10-(O14+O16+O18)-O20</f>
        <v/>
      </c>
      <c r="P23" s="42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3">
        <f>B23*(1-Valuation!$B$5)</f>
        <v/>
      </c>
      <c r="C27" s="33">
        <f>C23*(1-Valuation!$B$5)</f>
        <v/>
      </c>
      <c r="D27" s="33">
        <f>D23*(1-Valuation!$B$5)</f>
        <v/>
      </c>
      <c r="E27" s="33">
        <f>E23*(1-Valuation!$B$5)</f>
        <v/>
      </c>
      <c r="F27" s="33">
        <f>F23*(1-Valuation!$B$5)</f>
        <v/>
      </c>
      <c r="G27" s="33">
        <f>G23*(1-Valuation!$B$5)</f>
        <v/>
      </c>
      <c r="H27" s="33">
        <f>H23*(1-Valuation!$B$5)</f>
        <v/>
      </c>
      <c r="I27" s="33">
        <f>I23*(1-Valuation!$B$5)</f>
        <v/>
      </c>
      <c r="J27" s="33">
        <f>J23*(1-Valuation!$B$5)</f>
        <v/>
      </c>
      <c r="K27" s="33">
        <f>K23*(1-Valuation!$B$5)</f>
        <v/>
      </c>
      <c r="L27" s="33">
        <f>L23*(1-Valuation!$B$5)</f>
        <v/>
      </c>
      <c r="M27" s="33">
        <f>M23*(1-Valuation!$B$5)</f>
        <v/>
      </c>
      <c r="N27" s="33">
        <f>N23*(1-Valuation!$B$5)</f>
        <v/>
      </c>
      <c r="O27" s="33">
        <f>O23*(1-Valuation!$B$5)</f>
        <v/>
      </c>
      <c r="P27" s="33">
        <f>P23*(1-Valuation!$B$5)</f>
        <v/>
      </c>
    </row>
    <row r="28">
      <c r="A28" s="4" t="inlineStr">
        <is>
          <t>+ D&amp;A</t>
        </is>
      </c>
      <c r="B28" s="33">
        <f>SUM(Financials!I37:L37)</f>
        <v/>
      </c>
      <c r="C28" s="33">
        <f>SUM(Financials!M37:P37)</f>
        <v/>
      </c>
      <c r="D28" s="33">
        <f>SUM(Financials!Q37:T37)</f>
        <v/>
      </c>
      <c r="E28" s="33">
        <f>SUM(Financials!U37:X37)</f>
        <v/>
      </c>
      <c r="F28" s="33">
        <f>SUM(Financials!Y37:AB37)</f>
        <v/>
      </c>
      <c r="G28" s="41">
        <f>G10*0.0442</f>
        <v/>
      </c>
      <c r="H28" s="41">
        <f>H10*0.0442</f>
        <v/>
      </c>
      <c r="I28" s="41">
        <f>I10*0.0442</f>
        <v/>
      </c>
      <c r="J28" s="41">
        <f>J10*0.0442</f>
        <v/>
      </c>
      <c r="K28" s="41">
        <f>K10*0.0442</f>
        <v/>
      </c>
      <c r="L28" s="41">
        <f>L10*0.0442</f>
        <v/>
      </c>
      <c r="M28" s="41">
        <f>M10*0.0442</f>
        <v/>
      </c>
      <c r="N28" s="41">
        <f>N10*0.0442</f>
        <v/>
      </c>
      <c r="O28" s="41">
        <f>O10*0.0442</f>
        <v/>
      </c>
      <c r="P28" s="41">
        <f>P10*0.0442</f>
        <v/>
      </c>
    </row>
    <row r="29">
      <c r="A29" s="4" t="inlineStr">
        <is>
          <t>+ SBC (non-cash)</t>
        </is>
      </c>
      <c r="B29" s="33">
        <f>SUM(Financials!I38:L38)</f>
        <v/>
      </c>
      <c r="C29" s="33">
        <f>SUM(Financials!M38:P38)</f>
        <v/>
      </c>
      <c r="D29" s="33">
        <f>SUM(Financials!Q38:T38)</f>
        <v/>
      </c>
      <c r="E29" s="33">
        <f>SUM(Financials!U38:X38)</f>
        <v/>
      </c>
      <c r="F29" s="33">
        <f>SUM(Financials!Y38:AB38)</f>
        <v/>
      </c>
      <c r="G29" s="33">
        <f>G10*(Dashboard!$B$65+(Dashboard!$B$66-Dashboard!$B$65)*0/9)</f>
        <v/>
      </c>
      <c r="H29" s="33">
        <f>H10*(Dashboard!$B$65+(Dashboard!$B$66-Dashboard!$B$65)*1/9)</f>
        <v/>
      </c>
      <c r="I29" s="33">
        <f>I10*(Dashboard!$B$65+(Dashboard!$B$66-Dashboard!$B$65)*2/9)</f>
        <v/>
      </c>
      <c r="J29" s="33">
        <f>J10*(Dashboard!$B$65+(Dashboard!$B$66-Dashboard!$B$65)*3/9)</f>
        <v/>
      </c>
      <c r="K29" s="33">
        <f>K10*(Dashboard!$B$65+(Dashboard!$B$66-Dashboard!$B$65)*4/9)</f>
        <v/>
      </c>
      <c r="L29" s="33">
        <f>L10*(Dashboard!$B$65+(Dashboard!$B$66-Dashboard!$B$65)*5/9)</f>
        <v/>
      </c>
      <c r="M29" s="33">
        <f>M10*(Dashboard!$B$65+(Dashboard!$B$66-Dashboard!$B$65)*6/9)</f>
        <v/>
      </c>
      <c r="N29" s="33">
        <f>N10*(Dashboard!$B$65+(Dashboard!$B$66-Dashboard!$B$65)*7/9)</f>
        <v/>
      </c>
      <c r="O29" s="33">
        <f>O10*(Dashboard!$B$65+(Dashboard!$B$66-Dashboard!$B$65)*8/9)</f>
        <v/>
      </c>
      <c r="P29" s="33">
        <f>P10*(Dashboard!$B$65+(Dashboard!$B$66-Dashboard!$B$65)*9/9)</f>
        <v/>
      </c>
    </row>
    <row r="30">
      <c r="A30" s="4" t="inlineStr">
        <is>
          <t>- dNWC</t>
        </is>
      </c>
      <c r="G30" s="41">
        <f>(G10-F10)*0.0050</f>
        <v/>
      </c>
      <c r="H30" s="41">
        <f>(H10-G10)*0.0050</f>
        <v/>
      </c>
      <c r="I30" s="41">
        <f>(I10-H10)*0.0050</f>
        <v/>
      </c>
      <c r="J30" s="41">
        <f>(J10-I10)*0.0050</f>
        <v/>
      </c>
      <c r="K30" s="41">
        <f>(K10-J10)*0.0050</f>
        <v/>
      </c>
      <c r="L30" s="41">
        <f>(L10-K10)*0.0050</f>
        <v/>
      </c>
      <c r="M30" s="41">
        <f>(M10-L10)*0.0050</f>
        <v/>
      </c>
      <c r="N30" s="41">
        <f>(N10-M10)*0.0050</f>
        <v/>
      </c>
      <c r="O30" s="41">
        <f>(O10-N10)*0.0050</f>
        <v/>
      </c>
      <c r="P30" s="41">
        <f>(P10-O10)*0.0050</f>
        <v/>
      </c>
    </row>
    <row r="31">
      <c r="A31" s="4" t="inlineStr">
        <is>
          <t>- Capex</t>
        </is>
      </c>
      <c r="B31" s="33">
        <f>-SUM(Financials!I41:L41)</f>
        <v/>
      </c>
      <c r="C31" s="33">
        <f>-SUM(Financials!M41:P41)</f>
        <v/>
      </c>
      <c r="D31" s="33">
        <f>-SUM(Financials!Q41:T41)</f>
        <v/>
      </c>
      <c r="E31" s="33">
        <f>-SUM(Financials!U41:X41)</f>
        <v/>
      </c>
      <c r="F31" s="33">
        <f>-SUM(Financials!Y41:AB41)</f>
        <v/>
      </c>
      <c r="G31" s="41">
        <f>G28*G32</f>
        <v/>
      </c>
      <c r="H31" s="41">
        <f>H28*H32</f>
        <v/>
      </c>
      <c r="I31" s="41">
        <f>I28*I32</f>
        <v/>
      </c>
      <c r="J31" s="41">
        <f>J28*J32</f>
        <v/>
      </c>
      <c r="K31" s="41">
        <f>K28*K32</f>
        <v/>
      </c>
      <c r="L31" s="41">
        <f>L28*L32</f>
        <v/>
      </c>
      <c r="M31" s="41">
        <f>M28*M32</f>
        <v/>
      </c>
      <c r="N31" s="41">
        <f>N28*N32</f>
        <v/>
      </c>
      <c r="O31" s="41">
        <f>O28*O32</f>
        <v/>
      </c>
      <c r="P31" s="41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2">
        <f>B27+B28+B29-B30-B31</f>
        <v/>
      </c>
      <c r="C34" s="42">
        <f>C27+C28+C29-C30-C31</f>
        <v/>
      </c>
      <c r="D34" s="42">
        <f>D27+D28+D29-D30-D31</f>
        <v/>
      </c>
      <c r="E34" s="42">
        <f>E27+E28+E29-E30-E31</f>
        <v/>
      </c>
      <c r="F34" s="42">
        <f>F27+F28+F29-F30-F31</f>
        <v/>
      </c>
      <c r="G34" s="42">
        <f>G27+G28+G29-G30-G31</f>
        <v/>
      </c>
      <c r="H34" s="42">
        <f>H27+H28+H29-H30-H31</f>
        <v/>
      </c>
      <c r="I34" s="42">
        <f>I27+I28+I29-I30-I31</f>
        <v/>
      </c>
      <c r="J34" s="42">
        <f>J27+J28+J29-J30-J31</f>
        <v/>
      </c>
      <c r="K34" s="42">
        <f>K27+K28+K29-K30-K31</f>
        <v/>
      </c>
      <c r="L34" s="42">
        <f>L27+L28+L29-L30-L31</f>
        <v/>
      </c>
      <c r="M34" s="42">
        <f>M27+M28+M29-M30-M31</f>
        <v/>
      </c>
      <c r="N34" s="42">
        <f>N27+N28+N29-N30-N31</f>
        <v/>
      </c>
      <c r="O34" s="42">
        <f>O27+O28+O29-O30-O31</f>
        <v/>
      </c>
      <c r="P34" s="42">
        <f>P27+P28+P29-P30-P31</f>
        <v/>
      </c>
    </row>
    <row r="35">
      <c r="A35" s="3" t="inlineStr">
        <is>
          <t>Valuation FCF (NOPAT + D&amp;A - dNWC - Capex - after-tax SBC)</t>
        </is>
      </c>
      <c r="B35" s="43">
        <f>B34-B29-B29*(1-Valuation!$B$5)</f>
        <v/>
      </c>
      <c r="C35" s="43">
        <f>C34-C29-C29*(1-Valuation!$B$5)</f>
        <v/>
      </c>
      <c r="D35" s="43">
        <f>D34-D29-D29*(1-Valuation!$B$5)</f>
        <v/>
      </c>
      <c r="E35" s="43">
        <f>E34-E29-E29*(1-Valuation!$B$5)</f>
        <v/>
      </c>
      <c r="F35" s="43">
        <f>F34-F29-F29*(1-Valuation!$B$5)</f>
        <v/>
      </c>
      <c r="G35" s="43">
        <f>G34-G29-G29*(1-Valuation!$B$5)</f>
        <v/>
      </c>
      <c r="H35" s="43">
        <f>H34-H29-H29*(1-Valuation!$B$5)</f>
        <v/>
      </c>
      <c r="I35" s="43">
        <f>I34-I29-I29*(1-Valuation!$B$5)</f>
        <v/>
      </c>
      <c r="J35" s="43">
        <f>J34-J29-J29*(1-Valuation!$B$5)</f>
        <v/>
      </c>
      <c r="K35" s="43">
        <f>K34-K29-K29*(1-Valuation!$B$5)</f>
        <v/>
      </c>
      <c r="L35" s="43">
        <f>L34-L29-L29*(1-Valuation!$B$5)</f>
        <v/>
      </c>
      <c r="M35" s="43">
        <f>M34-M29-M29*(1-Valuation!$B$5)</f>
        <v/>
      </c>
      <c r="N35" s="43">
        <f>N34-N29-N29*(1-Valuation!$B$5)</f>
        <v/>
      </c>
      <c r="O35" s="43">
        <f>O34-O29-O29*(1-Valuation!$B$5)</f>
        <v/>
      </c>
      <c r="P35" s="43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3">
        <f>Financials!L35+Financials!L34-Financials!L29</f>
        <v/>
      </c>
      <c r="C38" s="33">
        <f>Financials!P35+Financials!P34-Financials!P29</f>
        <v/>
      </c>
      <c r="D38" s="33">
        <f>Financials!T35+Financials!T34-Financials!T29</f>
        <v/>
      </c>
      <c r="E38" s="33">
        <f>Financials!X35+Financials!X34-Financials!X29</f>
        <v/>
      </c>
      <c r="F38" s="33">
        <f>Financials!AB35+Financials!AB34-Financials!AB29</f>
        <v/>
      </c>
      <c r="G38" s="41">
        <f>F38+G31-G28+G30</f>
        <v/>
      </c>
      <c r="H38" s="41">
        <f>G38+H31-H28+H30</f>
        <v/>
      </c>
      <c r="I38" s="41">
        <f>H38+I31-I28+I30</f>
        <v/>
      </c>
      <c r="J38" s="41">
        <f>I38+J31-J28+J30</f>
        <v/>
      </c>
      <c r="K38" s="41">
        <f>J38+K31-K28+K30</f>
        <v/>
      </c>
      <c r="L38" s="41">
        <f>K38+L31-L28+L30</f>
        <v/>
      </c>
      <c r="M38" s="41">
        <f>L38+M31-M28+M30</f>
        <v/>
      </c>
      <c r="N38" s="41">
        <f>M38+N31-N28+N30</f>
        <v/>
      </c>
      <c r="O38" s="41">
        <f>N38+O31-O28+O30</f>
        <v/>
      </c>
      <c r="P38" s="41">
        <f>O38+P31-P28+P30</f>
        <v/>
      </c>
    </row>
    <row r="39">
      <c r="A39" s="4" t="inlineStr">
        <is>
          <t>Book equity (year-end)</t>
        </is>
      </c>
      <c r="B39" s="33">
        <f>Financials!L35</f>
        <v/>
      </c>
      <c r="C39" s="33">
        <f>Financials!P35</f>
        <v/>
      </c>
      <c r="D39" s="33">
        <f>Financials!T35</f>
        <v/>
      </c>
      <c r="E39" s="33">
        <f>Financials!X35</f>
        <v/>
      </c>
      <c r="F39" s="33">
        <f>Financials!AB35</f>
        <v/>
      </c>
      <c r="G39" s="41">
        <f>F39+G27</f>
        <v/>
      </c>
      <c r="H39" s="41">
        <f>G39+H27</f>
        <v/>
      </c>
      <c r="I39" s="41">
        <f>H39+I27</f>
        <v/>
      </c>
      <c r="J39" s="41">
        <f>I39+J27</f>
        <v/>
      </c>
      <c r="K39" s="41">
        <f>J39+K27</f>
        <v/>
      </c>
      <c r="L39" s="41">
        <f>K39+L27</f>
        <v/>
      </c>
      <c r="M39" s="41">
        <f>L39+M27</f>
        <v/>
      </c>
      <c r="N39" s="41">
        <f>M39+N27</f>
        <v/>
      </c>
      <c r="O39" s="41">
        <f>N39+O27</f>
        <v/>
      </c>
      <c r="P39" s="41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4">
        <f>IFERROR((C10-B10)/(C38-B38),"")</f>
        <v/>
      </c>
      <c r="D45" s="44">
        <f>IFERROR((D10-C10)/(D38-C38),"")</f>
        <v/>
      </c>
      <c r="E45" s="44">
        <f>IFERROR((E10-D10)/(E38-D38),"")</f>
        <v/>
      </c>
      <c r="F45" s="44">
        <f>IFERROR((F10-E10)/(F38-E38),"")</f>
        <v/>
      </c>
      <c r="G45" s="44">
        <f>IFERROR((G10-F10)/(G38-F38),"")</f>
        <v/>
      </c>
      <c r="H45" s="44">
        <f>IFERROR((H10-G10)/(H38-G38),"")</f>
        <v/>
      </c>
      <c r="I45" s="44">
        <f>IFERROR((I10-H10)/(I38-H38),"")</f>
        <v/>
      </c>
      <c r="J45" s="44">
        <f>IFERROR((J10-I10)/(J38-I38),"")</f>
        <v/>
      </c>
      <c r="K45" s="44">
        <f>IFERROR((K10-J10)/(K38-J38),"")</f>
        <v/>
      </c>
      <c r="L45" s="44">
        <f>IFERROR((L10-K10)/(L38-K38),"")</f>
        <v/>
      </c>
      <c r="M45" s="44">
        <f>IFERROR((M10-L10)/(M38-L38),"")</f>
        <v/>
      </c>
      <c r="N45" s="44">
        <f>IFERROR((N10-M10)/(N38-M38),"")</f>
        <v/>
      </c>
      <c r="O45" s="44">
        <f>IFERROR((O10-N10)/(O38-N38),"")</f>
        <v/>
      </c>
      <c r="P45" s="44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8276.299999000001</v>
      </c>
      <c r="C3" s="18" t="n">
        <v>7964.1</v>
      </c>
      <c r="D3" s="18" t="n">
        <v>8005.3</v>
      </c>
      <c r="E3" s="18" t="n">
        <v>7482.5</v>
      </c>
      <c r="F3" s="18" t="n">
        <v>5751</v>
      </c>
      <c r="G3" s="18" t="n">
        <v>6922</v>
      </c>
      <c r="H3" s="18" t="n">
        <v>7044.2</v>
      </c>
      <c r="I3" s="18" t="n">
        <v>9155</v>
      </c>
      <c r="J3" s="18" t="n">
        <v>9450</v>
      </c>
      <c r="K3" s="18" t="n">
        <v>10832</v>
      </c>
      <c r="L3" s="18" t="n">
        <v>11370</v>
      </c>
      <c r="M3" s="18" t="n">
        <v>13008</v>
      </c>
      <c r="N3" s="18" t="n">
        <v>16060</v>
      </c>
      <c r="O3" s="18" t="n">
        <v>15468</v>
      </c>
      <c r="P3" s="18" t="n">
        <v>13650</v>
      </c>
      <c r="Q3" s="18" t="n">
        <v>12444</v>
      </c>
      <c r="R3" s="18" t="n">
        <v>10651</v>
      </c>
      <c r="S3" s="18" t="n">
        <v>11998</v>
      </c>
      <c r="T3" s="18" t="n">
        <v>14622</v>
      </c>
      <c r="U3" s="18" t="n">
        <v>14760</v>
      </c>
      <c r="V3" s="18" t="n">
        <v>13483</v>
      </c>
      <c r="W3" s="18" t="n">
        <v>13775</v>
      </c>
      <c r="X3" s="18" t="n">
        <v>14201</v>
      </c>
      <c r="Y3" s="18" t="n">
        <v>15417</v>
      </c>
      <c r="Z3" s="18" t="n">
        <v>11363</v>
      </c>
      <c r="AA3" s="18" t="n">
        <v>12023</v>
      </c>
      <c r="AB3" s="18" t="n">
        <v>13793</v>
      </c>
      <c r="AC3" s="18" t="n">
        <v>14386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6793.9</v>
      </c>
      <c r="C5" s="18" t="n">
        <v>6534.3</v>
      </c>
      <c r="D5" s="18" t="n">
        <v>6667.7</v>
      </c>
      <c r="E5" s="18" t="n">
        <v>6058.7</v>
      </c>
      <c r="F5" s="18" t="n">
        <v>4358.6</v>
      </c>
      <c r="G5" s="18" t="n">
        <v>5494.2</v>
      </c>
      <c r="H5" s="18" t="n">
        <v>5573.5</v>
      </c>
      <c r="I5" s="18" t="n">
        <v>7487</v>
      </c>
      <c r="J5" s="18" t="n">
        <v>8049</v>
      </c>
      <c r="K5" s="18" t="n">
        <v>9380</v>
      </c>
      <c r="L5" s="18" t="n">
        <v>9944</v>
      </c>
      <c r="M5" s="18" t="n">
        <v>11383</v>
      </c>
      <c r="N5" s="18" t="n">
        <v>14336</v>
      </c>
      <c r="O5" s="18" t="n">
        <v>13783</v>
      </c>
      <c r="P5" s="18" t="n">
        <v>11959</v>
      </c>
      <c r="Q5" s="18" t="n">
        <v>10744</v>
      </c>
      <c r="R5" s="18" t="n">
        <v>9134</v>
      </c>
      <c r="S5" s="18" t="n">
        <v>10355</v>
      </c>
      <c r="T5" s="18" t="n">
        <v>12766</v>
      </c>
      <c r="U5" s="18" t="n">
        <v>12954</v>
      </c>
      <c r="V5" s="18" t="n">
        <v>11758</v>
      </c>
      <c r="W5" s="18" t="n">
        <v>12006</v>
      </c>
      <c r="X5" s="18" t="n">
        <v>12277</v>
      </c>
      <c r="Y5" s="18" t="n">
        <v>13680</v>
      </c>
      <c r="Z5" s="18" t="n">
        <v>9592</v>
      </c>
      <c r="AA5" s="18" t="n">
        <v>10366</v>
      </c>
      <c r="AB5" s="18" t="n">
        <v>11792</v>
      </c>
      <c r="AC5" s="18" t="n">
        <v>12503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52.5</v>
      </c>
      <c r="C9" s="18" t="n">
        <v>55.5</v>
      </c>
      <c r="D9" s="18" t="n">
        <v>51.4</v>
      </c>
      <c r="E9" s="18" t="n">
        <v>55.5</v>
      </c>
      <c r="F9" s="18" t="n">
        <v>57</v>
      </c>
      <c r="G9" s="18" t="n">
        <v>50.3</v>
      </c>
      <c r="H9" s="18" t="n">
        <v>56.8</v>
      </c>
      <c r="I9" s="18" t="n">
        <v>56</v>
      </c>
      <c r="J9" s="18" t="n">
        <v>52</v>
      </c>
      <c r="K9" s="18" t="n">
        <v>47</v>
      </c>
      <c r="L9" s="18" t="n">
        <v>54</v>
      </c>
      <c r="M9" s="18" t="n">
        <v>62</v>
      </c>
      <c r="N9" s="18" t="n">
        <v>62</v>
      </c>
      <c r="O9" s="18" t="n">
        <v>55</v>
      </c>
      <c r="P9" s="18" t="n">
        <v>62</v>
      </c>
      <c r="Q9" s="18" t="n">
        <v>57</v>
      </c>
      <c r="R9" s="18" t="n">
        <v>56</v>
      </c>
      <c r="S9" s="18" t="n">
        <v>59</v>
      </c>
      <c r="T9" s="18" t="n">
        <v>57</v>
      </c>
      <c r="U9" s="18" t="n">
        <v>66</v>
      </c>
      <c r="V9" s="18" t="n">
        <v>57</v>
      </c>
      <c r="W9" s="18" t="n">
        <v>61</v>
      </c>
      <c r="X9" s="18" t="n">
        <v>60</v>
      </c>
      <c r="Y9" s="18" t="n">
        <v>60</v>
      </c>
      <c r="Z9" s="18" t="n">
        <v>68</v>
      </c>
      <c r="AA9" s="18" t="n">
        <v>61</v>
      </c>
      <c r="AB9" s="18" t="n">
        <v>62</v>
      </c>
      <c r="AC9" s="18" t="n">
        <v>64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1482.4</v>
      </c>
      <c r="C11" s="18" t="n">
        <v>1429.8</v>
      </c>
      <c r="D11" s="18" t="n">
        <v>1337.6</v>
      </c>
      <c r="E11" s="18" t="n">
        <v>1423.8</v>
      </c>
      <c r="F11" s="18" t="n">
        <v>1392.4</v>
      </c>
      <c r="G11" s="18" t="n">
        <v>1427.8</v>
      </c>
      <c r="H11" s="18" t="n">
        <v>1470.7</v>
      </c>
      <c r="I11" s="18" t="n">
        <v>1668</v>
      </c>
      <c r="J11" s="18" t="n">
        <v>1401</v>
      </c>
      <c r="K11" s="18" t="n">
        <v>1452</v>
      </c>
      <c r="L11" s="18" t="n">
        <v>1426</v>
      </c>
      <c r="M11" s="18" t="n">
        <v>1625</v>
      </c>
      <c r="N11" s="18" t="n">
        <v>1724</v>
      </c>
      <c r="O11" s="18" t="n">
        <v>1685</v>
      </c>
      <c r="P11" s="18" t="n">
        <v>1691</v>
      </c>
      <c r="Q11" s="18" t="n">
        <v>1700</v>
      </c>
      <c r="R11" s="18" t="n">
        <v>1517</v>
      </c>
      <c r="S11" s="18" t="n">
        <v>1643</v>
      </c>
      <c r="T11" s="18" t="n">
        <v>1856</v>
      </c>
      <c r="U11" s="18" t="n">
        <v>1806</v>
      </c>
      <c r="V11" s="18" t="n">
        <v>1725</v>
      </c>
      <c r="W11" s="18" t="n">
        <v>1769</v>
      </c>
      <c r="X11" s="18" t="n">
        <v>1924</v>
      </c>
      <c r="Y11" s="18" t="n">
        <v>1737</v>
      </c>
      <c r="Z11" s="18" t="n">
        <v>1771</v>
      </c>
      <c r="AA11" s="18" t="n">
        <v>1657</v>
      </c>
      <c r="AB11" s="18" t="n">
        <v>2001</v>
      </c>
      <c r="AC11" s="18" t="n">
        <v>1883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1560.3</v>
      </c>
      <c r="C13" s="18" t="n">
        <v>1474.2</v>
      </c>
      <c r="D13" s="18" t="n">
        <v>1418</v>
      </c>
      <c r="E13" s="18" t="n">
        <v>1507.5</v>
      </c>
      <c r="F13" s="18" t="n">
        <v>1436.9</v>
      </c>
      <c r="G13" s="18" t="n">
        <v>1382.5</v>
      </c>
      <c r="H13" s="18" t="n">
        <v>708.2</v>
      </c>
      <c r="I13" s="18" t="n">
        <v>1695</v>
      </c>
      <c r="J13" s="18" t="n">
        <v>1492</v>
      </c>
      <c r="K13" s="18" t="n">
        <v>1513</v>
      </c>
      <c r="L13" s="18" t="n">
        <v>1403</v>
      </c>
      <c r="M13" s="18" t="n">
        <v>1666</v>
      </c>
      <c r="N13" s="18" t="n">
        <v>1764</v>
      </c>
      <c r="O13" s="18" t="n">
        <v>1712</v>
      </c>
      <c r="P13" s="18" t="n">
        <v>1765</v>
      </c>
      <c r="Q13" s="18" t="n">
        <v>1734</v>
      </c>
      <c r="R13" s="18" t="n">
        <v>1579</v>
      </c>
      <c r="S13" s="18" t="n">
        <v>1695</v>
      </c>
      <c r="T13" s="18" t="n">
        <v>1921</v>
      </c>
      <c r="U13" s="18" t="n">
        <v>1822</v>
      </c>
      <c r="V13" s="18" t="n">
        <v>1765</v>
      </c>
      <c r="W13" s="18" t="n">
        <v>1780</v>
      </c>
      <c r="X13" s="18" t="n">
        <v>1971</v>
      </c>
      <c r="Y13" s="18" t="n">
        <v>1761</v>
      </c>
      <c r="Z13" s="18" t="n">
        <v>1703</v>
      </c>
      <c r="AA13" s="18" t="n">
        <v>1686</v>
      </c>
      <c r="AB13" s="18" t="n">
        <v>1939</v>
      </c>
      <c r="AC13" s="18" t="n">
        <v>1819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1214.7</v>
      </c>
      <c r="C15" s="18" t="n">
        <v>1019.2</v>
      </c>
      <c r="D15" s="18" t="n">
        <v>1096.9</v>
      </c>
      <c r="E15" s="18" t="n">
        <v>1350.1</v>
      </c>
      <c r="F15" s="18" t="n">
        <v>1034.7</v>
      </c>
      <c r="G15" s="18" t="n">
        <v>1052.599999</v>
      </c>
      <c r="H15" s="18" t="n">
        <v>338.2</v>
      </c>
      <c r="I15" s="18" t="n">
        <v>1342</v>
      </c>
      <c r="J15" s="18" t="n">
        <v>1113</v>
      </c>
      <c r="K15" s="18" t="n">
        <v>1154</v>
      </c>
      <c r="L15" s="18" t="n">
        <v>1029</v>
      </c>
      <c r="M15" s="18" t="n">
        <v>1297</v>
      </c>
      <c r="N15" s="18" t="n">
        <v>1412</v>
      </c>
      <c r="O15" s="18" t="n">
        <v>1361</v>
      </c>
      <c r="P15" s="18" t="n">
        <v>1420</v>
      </c>
      <c r="Q15" s="18" t="n">
        <v>1390</v>
      </c>
      <c r="R15" s="18" t="n">
        <v>1253</v>
      </c>
      <c r="S15" s="18" t="n">
        <v>1318</v>
      </c>
      <c r="T15" s="18" t="n">
        <v>1571</v>
      </c>
      <c r="U15" s="18" t="n">
        <v>1457</v>
      </c>
      <c r="V15" s="18" t="n">
        <v>1405</v>
      </c>
      <c r="W15" s="18" t="n">
        <v>1417</v>
      </c>
      <c r="X15" s="18" t="n">
        <v>1623</v>
      </c>
      <c r="Y15" s="18" t="n">
        <v>1394</v>
      </c>
      <c r="Z15" s="18" t="n">
        <v>1436</v>
      </c>
      <c r="AA15" s="18" t="n">
        <v>1327</v>
      </c>
      <c r="AB15" s="18" t="n">
        <v>1644</v>
      </c>
      <c r="AC15" s="18" t="n">
        <v>1483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2202.6</v>
      </c>
      <c r="C17" s="18" t="n">
        <v>2202.3</v>
      </c>
      <c r="D17" s="18" t="n">
        <v>2202.2</v>
      </c>
      <c r="E17" s="18" t="n">
        <v>2204</v>
      </c>
      <c r="F17" s="18" t="n">
        <v>2201.9</v>
      </c>
      <c r="G17" s="18" t="n">
        <v>2201.4</v>
      </c>
      <c r="H17" s="18" t="n">
        <v>2201.4</v>
      </c>
      <c r="I17" s="18" t="n">
        <v>2203</v>
      </c>
      <c r="J17" s="18" t="n">
        <v>2205</v>
      </c>
      <c r="K17" s="18" t="n">
        <v>2204</v>
      </c>
      <c r="L17" s="18" t="n">
        <v>2200.4</v>
      </c>
      <c r="M17" s="18" t="n">
        <v>2199</v>
      </c>
      <c r="N17" s="18" t="n">
        <v>2201</v>
      </c>
      <c r="O17" s="18" t="n">
        <v>2199</v>
      </c>
      <c r="P17" s="18" t="n">
        <v>2194</v>
      </c>
      <c r="Q17" s="18" t="n">
        <v>2195</v>
      </c>
      <c r="R17" s="18" t="n">
        <v>2196</v>
      </c>
      <c r="S17" s="18" t="n">
        <v>2194</v>
      </c>
      <c r="T17" s="18" t="n">
        <v>2192</v>
      </c>
      <c r="U17" s="18" t="n">
        <v>2193</v>
      </c>
      <c r="V17" s="18" t="n">
        <v>2194</v>
      </c>
      <c r="W17" s="18" t="n">
        <v>2192</v>
      </c>
      <c r="X17" s="18" t="n">
        <v>2190</v>
      </c>
      <c r="Y17" s="18" t="n">
        <v>2191</v>
      </c>
      <c r="Z17" s="18" t="n">
        <v>2190</v>
      </c>
      <c r="AA17" s="18" t="n">
        <v>2186</v>
      </c>
      <c r="AB17" s="18" t="n">
        <v>2185</v>
      </c>
      <c r="AC17" s="18" t="n">
        <v>2187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NGL Pipelines and Services</t>
        </is>
      </c>
      <c r="B19" s="18" t="n">
        <v>7779.5</v>
      </c>
      <c r="C19" s="18" t="n">
        <v>7981.4</v>
      </c>
      <c r="D19" s="18" t="n">
        <v>9744.4</v>
      </c>
      <c r="E19" s="18" t="n">
        <v>8748.799999999999</v>
      </c>
      <c r="F19" s="18" t="n">
        <v>8424</v>
      </c>
      <c r="G19" s="18" t="n">
        <v>9712.200000000001</v>
      </c>
      <c r="H19" s="18" t="n">
        <v>13302.5</v>
      </c>
      <c r="I19" s="18" t="n">
        <v>16672.1</v>
      </c>
      <c r="J19" s="18" t="n">
        <v>13885.3</v>
      </c>
      <c r="K19" s="18" t="n">
        <v>17570.1</v>
      </c>
      <c r="L19" s="18" t="n">
        <v>23971.4</v>
      </c>
      <c r="M19" s="18" t="n">
        <v>24069</v>
      </c>
      <c r="N19" s="18" t="n">
        <v>25478</v>
      </c>
      <c r="O19" s="18" t="n">
        <v>20903</v>
      </c>
      <c r="P19" s="18" t="n">
        <v>19569</v>
      </c>
      <c r="Q19" s="18" t="n">
        <v>17625</v>
      </c>
      <c r="R19" s="18" t="n">
        <v>12973</v>
      </c>
      <c r="S19" s="18" t="n">
        <v>16124</v>
      </c>
      <c r="T19" s="18" t="n">
        <v>16413</v>
      </c>
      <c r="U19" s="18" t="n">
        <v>16695</v>
      </c>
      <c r="V19" s="18" t="n">
        <v>15823</v>
      </c>
      <c r="W19" s="18" t="n">
        <v>15875</v>
      </c>
      <c r="X19" s="18" t="n">
        <v>20705</v>
      </c>
      <c r="Y19" s="18" t="n">
        <v>22417</v>
      </c>
      <c r="Z19" s="18" t="n">
        <v>-17004</v>
      </c>
      <c r="AA19" s="18" t="n">
        <v>21048</v>
      </c>
      <c r="AB19" s="18" t="n">
        <v>57914</v>
      </c>
      <c r="AC19" s="18" t="n">
        <v>20580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Onshore Natural Gas Pipelines and Services</t>
        </is>
      </c>
      <c r="B22" s="18" t="n">
        <v>982.4</v>
      </c>
      <c r="C22" s="18" t="n">
        <v>857.2</v>
      </c>
      <c r="D22" s="18" t="n">
        <v>831.6</v>
      </c>
      <c r="E22" s="18" t="n">
        <v>785.7</v>
      </c>
      <c r="F22" s="18" t="n">
        <v>678.1</v>
      </c>
      <c r="G22" s="18" t="n">
        <v>723.9</v>
      </c>
      <c r="H22" s="18" t="n">
        <v>825.5</v>
      </c>
      <c r="I22" s="18" t="n">
        <v>1732.6</v>
      </c>
      <c r="J22" s="18" t="n">
        <v>858.4</v>
      </c>
      <c r="K22" s="18" t="n">
        <v>1125.8</v>
      </c>
      <c r="L22" s="18" t="n">
        <v>1332.8</v>
      </c>
      <c r="M22" s="18" t="n">
        <v>1352</v>
      </c>
      <c r="N22" s="18" t="n">
        <v>1879</v>
      </c>
      <c r="O22" s="18" t="n">
        <v>2148</v>
      </c>
      <c r="P22" s="18" t="n">
        <v>1769</v>
      </c>
      <c r="Q22" s="18" t="n">
        <v>1351</v>
      </c>
      <c r="R22" s="18" t="n">
        <v>892</v>
      </c>
      <c r="S22" s="18" t="n">
        <v>1017</v>
      </c>
      <c r="T22" s="18" t="n">
        <v>1043</v>
      </c>
      <c r="U22" s="18" t="n">
        <v>1031</v>
      </c>
      <c r="V22" s="18" t="n">
        <v>750</v>
      </c>
      <c r="W22" s="18" t="n">
        <v>815</v>
      </c>
      <c r="X22" s="18" t="n">
        <v>1075</v>
      </c>
      <c r="Y22" s="18" t="n">
        <v>1453</v>
      </c>
      <c r="AA22" s="18" t="n">
        <v>1167</v>
      </c>
      <c r="AB22" s="18" t="n">
        <v>2507</v>
      </c>
      <c r="AC22" s="18" t="n">
        <v>1459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Petrochemical And Refined Products Services</t>
        </is>
      </c>
      <c r="AC25" s="18" t="n">
        <v>-4918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BALANCE SHEET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Cash &amp; ST Investments</t>
        </is>
      </c>
      <c r="B29" s="18" t="n">
        <v>107.3</v>
      </c>
      <c r="C29" s="18" t="n">
        <v>1207.8</v>
      </c>
      <c r="D29" s="18" t="n">
        <v>334.7</v>
      </c>
      <c r="E29" s="18" t="n">
        <v>2025.7</v>
      </c>
      <c r="F29" s="18" t="n">
        <v>1298.5</v>
      </c>
      <c r="G29" s="18" t="n">
        <v>1032.2</v>
      </c>
      <c r="H29" s="18" t="n">
        <v>1059.9</v>
      </c>
      <c r="I29" s="18" t="n">
        <v>229.4</v>
      </c>
      <c r="J29" s="18" t="n">
        <v>404.5</v>
      </c>
      <c r="K29" s="18" t="n">
        <v>2213.5</v>
      </c>
      <c r="L29" s="18" t="n">
        <v>2820</v>
      </c>
      <c r="M29" s="18" t="n">
        <v>231</v>
      </c>
      <c r="N29" s="18" t="n">
        <v>231</v>
      </c>
      <c r="O29" s="18" t="n">
        <v>167</v>
      </c>
      <c r="P29" s="18" t="n">
        <v>76</v>
      </c>
      <c r="Q29" s="18" t="n">
        <v>76</v>
      </c>
      <c r="R29" s="18" t="n">
        <v>183</v>
      </c>
      <c r="S29" s="18" t="n">
        <v>171</v>
      </c>
      <c r="T29" s="18" t="n">
        <v>180</v>
      </c>
      <c r="U29" s="18" t="n">
        <v>283</v>
      </c>
      <c r="V29" s="18" t="n">
        <v>138</v>
      </c>
      <c r="W29" s="18" t="n">
        <v>1434</v>
      </c>
      <c r="X29" s="18" t="n">
        <v>583</v>
      </c>
      <c r="Y29" s="18" t="n">
        <v>220</v>
      </c>
      <c r="Z29" s="18" t="n">
        <v>870</v>
      </c>
      <c r="AA29" s="18" t="n">
        <v>884</v>
      </c>
      <c r="AB29" s="18" t="n">
        <v>1679</v>
      </c>
      <c r="AC29" s="18" t="n">
        <v>1385</v>
      </c>
    </row>
    <row r="30">
      <c r="A30" s="4" t="inlineStr">
        <is>
          <t>Total Current Assets</t>
        </is>
      </c>
      <c r="B30" s="18" t="n">
        <v>6258.9</v>
      </c>
      <c r="C30" s="18" t="n">
        <v>7913.8</v>
      </c>
      <c r="D30" s="18" t="n">
        <v>7862.9</v>
      </c>
      <c r="E30" s="18" t="n">
        <v>7719.1</v>
      </c>
      <c r="F30" s="18" t="n">
        <v>7116.3</v>
      </c>
      <c r="G30" s="18" t="n">
        <v>8793.299999999999</v>
      </c>
      <c r="H30" s="18" t="n">
        <v>9909.4</v>
      </c>
      <c r="I30" s="18" t="n">
        <v>10584.1</v>
      </c>
      <c r="J30" s="18" t="n">
        <v>10311.2</v>
      </c>
      <c r="K30" s="18" t="n">
        <v>12828.4</v>
      </c>
      <c r="L30" s="18" t="n">
        <v>13270</v>
      </c>
      <c r="M30" s="18" t="n">
        <v>12978</v>
      </c>
      <c r="N30" s="18" t="n">
        <v>12961</v>
      </c>
      <c r="O30" s="18" t="n">
        <v>11082</v>
      </c>
      <c r="P30" s="18" t="n">
        <v>10598</v>
      </c>
      <c r="Q30" s="18" t="n">
        <v>9687</v>
      </c>
      <c r="R30" s="18" t="n">
        <v>9704</v>
      </c>
      <c r="S30" s="18" t="n">
        <v>11432</v>
      </c>
      <c r="T30" s="18" t="n">
        <v>12248</v>
      </c>
      <c r="U30" s="18" t="n">
        <v>12093</v>
      </c>
      <c r="V30" s="18" t="n">
        <v>13453</v>
      </c>
      <c r="W30" s="18" t="n">
        <v>14385</v>
      </c>
      <c r="X30" s="18" t="n">
        <v>15133</v>
      </c>
      <c r="Y30" s="18" t="n">
        <v>12763</v>
      </c>
      <c r="Z30" s="18" t="n">
        <v>14160</v>
      </c>
      <c r="AA30" s="18" t="n">
        <v>13237</v>
      </c>
      <c r="AB30" s="18" t="n">
        <v>13360</v>
      </c>
      <c r="AC30" s="18" t="n">
        <v>15677</v>
      </c>
    </row>
    <row r="31">
      <c r="A31" s="4" t="inlineStr">
        <is>
          <t>PP&amp;E (net)</t>
        </is>
      </c>
      <c r="B31" s="18" t="n">
        <v>40089.1</v>
      </c>
      <c r="C31" s="18" t="n">
        <v>40763.3</v>
      </c>
      <c r="D31" s="18" t="n">
        <v>41603.4</v>
      </c>
      <c r="E31" s="18" t="n">
        <v>42159.1</v>
      </c>
      <c r="F31" s="18" t="n">
        <v>42538.4</v>
      </c>
      <c r="G31" s="18" t="n">
        <v>42360.1</v>
      </c>
      <c r="H31" s="18" t="n">
        <v>41912.8</v>
      </c>
      <c r="I31" s="18" t="n">
        <v>42102.4</v>
      </c>
      <c r="J31" s="18" t="n">
        <v>42233.1</v>
      </c>
      <c r="K31" s="18" t="n">
        <v>42253.8</v>
      </c>
      <c r="L31" s="18" t="n">
        <v>42088</v>
      </c>
      <c r="M31" s="18" t="n">
        <v>44033</v>
      </c>
      <c r="N31" s="18" t="n">
        <v>44129</v>
      </c>
      <c r="O31" s="18" t="n">
        <v>44167</v>
      </c>
      <c r="P31" s="18" t="n">
        <v>44401</v>
      </c>
      <c r="Q31" s="18" t="n">
        <v>44597</v>
      </c>
      <c r="R31" s="18" t="n">
        <v>45054</v>
      </c>
      <c r="S31" s="18" t="n">
        <v>45340</v>
      </c>
      <c r="T31" s="18" t="n">
        <v>45804</v>
      </c>
      <c r="U31" s="18" t="n">
        <v>46431</v>
      </c>
      <c r="V31" s="18" t="n">
        <v>47436</v>
      </c>
      <c r="W31" s="18" t="n">
        <v>48099</v>
      </c>
      <c r="X31" s="18" t="n">
        <v>49062</v>
      </c>
      <c r="Y31" s="18" t="n">
        <v>49715</v>
      </c>
      <c r="Z31" s="18" t="n">
        <v>50495</v>
      </c>
      <c r="AA31" s="18" t="n">
        <v>51511</v>
      </c>
      <c r="AB31" s="18" t="n">
        <v>51796</v>
      </c>
      <c r="AC31" s="18" t="n">
        <v>52148</v>
      </c>
    </row>
    <row r="32">
      <c r="A32" s="4" t="inlineStr">
        <is>
          <t>Total Assets</t>
        </is>
      </c>
      <c r="B32" s="18" t="n">
        <v>58721.8</v>
      </c>
      <c r="C32" s="18" t="n">
        <v>61015.3</v>
      </c>
      <c r="D32" s="18" t="n">
        <v>61733.2</v>
      </c>
      <c r="E32" s="18" t="n">
        <v>62265.3</v>
      </c>
      <c r="F32" s="18" t="n">
        <v>61944.5</v>
      </c>
      <c r="G32" s="18" t="n">
        <v>63736.2</v>
      </c>
      <c r="H32" s="18" t="n">
        <v>64106.7</v>
      </c>
      <c r="I32" s="18" t="n">
        <v>64983.5</v>
      </c>
      <c r="J32" s="18" t="n">
        <v>64805.1</v>
      </c>
      <c r="K32" s="18" t="n">
        <v>67319.89999999999</v>
      </c>
      <c r="L32" s="18" t="n">
        <v>67526</v>
      </c>
      <c r="M32" s="18" t="n">
        <v>70319</v>
      </c>
      <c r="N32" s="18" t="n">
        <v>70350</v>
      </c>
      <c r="O32" s="18" t="n">
        <v>68437</v>
      </c>
      <c r="P32" s="18" t="n">
        <v>68108</v>
      </c>
      <c r="Q32" s="18" t="n">
        <v>67325</v>
      </c>
      <c r="R32" s="18" t="n">
        <v>67729</v>
      </c>
      <c r="S32" s="18" t="n">
        <v>69804</v>
      </c>
      <c r="T32" s="18" t="n">
        <v>70982</v>
      </c>
      <c r="U32" s="18" t="n">
        <v>71373</v>
      </c>
      <c r="V32" s="18" t="n">
        <v>73561</v>
      </c>
      <c r="W32" s="18" t="n">
        <v>75062</v>
      </c>
      <c r="X32" s="18" t="n">
        <v>77168</v>
      </c>
      <c r="Y32" s="18" t="n">
        <v>75406</v>
      </c>
      <c r="Z32" s="18" t="n">
        <v>77442</v>
      </c>
      <c r="AA32" s="18" t="n">
        <v>77822</v>
      </c>
      <c r="AB32" s="18" t="n">
        <v>77902</v>
      </c>
      <c r="AC32" s="18" t="n">
        <v>80638</v>
      </c>
    </row>
    <row r="33">
      <c r="A33" s="4" t="inlineStr">
        <is>
          <t>Total Current Liabilities</t>
        </is>
      </c>
      <c r="B33" s="18" t="n">
        <v>6264.1</v>
      </c>
      <c r="C33" s="18" t="n">
        <v>8669.5</v>
      </c>
      <c r="D33" s="18" t="n">
        <v>9129.700000000001</v>
      </c>
      <c r="E33" s="18" t="n">
        <v>6915.4</v>
      </c>
      <c r="F33" s="18" t="n">
        <v>7482.4</v>
      </c>
      <c r="G33" s="18" t="n">
        <v>7846.9</v>
      </c>
      <c r="H33" s="18" t="n">
        <v>8988</v>
      </c>
      <c r="I33" s="18" t="n">
        <v>10538.9</v>
      </c>
      <c r="J33" s="18" t="n">
        <v>10528.6</v>
      </c>
      <c r="K33" s="18" t="n">
        <v>11870.7</v>
      </c>
      <c r="L33" s="18" t="n">
        <v>11624.5</v>
      </c>
      <c r="M33" s="18" t="n">
        <v>15374</v>
      </c>
      <c r="N33" s="18" t="n">
        <v>14978</v>
      </c>
      <c r="O33" s="18" t="n">
        <v>12897</v>
      </c>
      <c r="P33" s="18" t="n">
        <v>12265</v>
      </c>
      <c r="Q33" s="18" t="n">
        <v>10410</v>
      </c>
      <c r="R33" s="18" t="n">
        <v>10709</v>
      </c>
      <c r="S33" s="18" t="n">
        <v>12475</v>
      </c>
      <c r="T33" s="18" t="n">
        <v>13131</v>
      </c>
      <c r="U33" s="18" t="n">
        <v>13030</v>
      </c>
      <c r="V33" s="18" t="n">
        <v>14809</v>
      </c>
      <c r="W33" s="18" t="n">
        <v>13404</v>
      </c>
      <c r="X33" s="18" t="n">
        <v>15177</v>
      </c>
      <c r="Y33" s="18" t="n">
        <v>14872</v>
      </c>
      <c r="Z33" s="18" t="n">
        <v>14757</v>
      </c>
      <c r="AA33" s="18" t="n">
        <v>15050</v>
      </c>
      <c r="AB33" s="18" t="n">
        <v>12832</v>
      </c>
      <c r="AC33" s="18" t="n">
        <v>17222</v>
      </c>
    </row>
    <row r="34">
      <c r="A34" s="4" t="inlineStr">
        <is>
          <t>Long-term Debt</t>
        </is>
      </c>
      <c r="B34" s="18" t="n">
        <v>26385</v>
      </c>
      <c r="C34" s="18" t="n">
        <v>25639.2</v>
      </c>
      <c r="D34" s="18" t="n">
        <v>25643.2</v>
      </c>
      <c r="E34" s="18" t="n">
        <v>27855.9</v>
      </c>
      <c r="F34" s="18" t="n">
        <v>27285.2</v>
      </c>
      <c r="G34" s="18" t="n">
        <v>28537</v>
      </c>
      <c r="H34" s="18" t="n">
        <v>28540.7</v>
      </c>
      <c r="I34" s="18" t="n">
        <v>27145.9</v>
      </c>
      <c r="J34" s="18" t="n">
        <v>27148.6</v>
      </c>
      <c r="K34" s="18" t="n">
        <v>28132.8</v>
      </c>
      <c r="L34" s="18" t="n">
        <v>28135</v>
      </c>
      <c r="M34" s="18" t="n">
        <v>26889</v>
      </c>
      <c r="N34" s="18" t="n">
        <v>26892</v>
      </c>
      <c r="O34" s="18" t="n">
        <v>26548</v>
      </c>
      <c r="P34" s="18" t="n">
        <v>26551</v>
      </c>
      <c r="Q34" s="18" t="n">
        <v>27439</v>
      </c>
      <c r="R34" s="18" t="n">
        <v>27443</v>
      </c>
      <c r="S34" s="18" t="n">
        <v>27446</v>
      </c>
      <c r="T34" s="18" t="n">
        <v>27448</v>
      </c>
      <c r="U34" s="18" t="n">
        <v>28285</v>
      </c>
      <c r="V34" s="18" t="n">
        <v>28289</v>
      </c>
      <c r="W34" s="18" t="n">
        <v>30756</v>
      </c>
      <c r="X34" s="18" t="n">
        <v>30746</v>
      </c>
      <c r="Y34" s="18" t="n">
        <v>29127</v>
      </c>
      <c r="Z34" s="18" t="n">
        <v>31110</v>
      </c>
      <c r="AA34" s="18" t="n">
        <v>31479</v>
      </c>
      <c r="AB34" s="18" t="n">
        <v>32814</v>
      </c>
      <c r="AC34" s="18" t="n">
        <v>31246</v>
      </c>
    </row>
    <row r="35">
      <c r="A35" s="4" t="inlineStr">
        <is>
          <t>Total Equity</t>
        </is>
      </c>
      <c r="B35" s="18" t="n">
        <v>24439.8</v>
      </c>
      <c r="C35" s="18" t="n">
        <v>24496</v>
      </c>
      <c r="D35" s="18" t="n">
        <v>24764</v>
      </c>
      <c r="E35" s="18" t="n">
        <v>25050.4</v>
      </c>
      <c r="F35" s="18" t="n">
        <v>24876.7</v>
      </c>
      <c r="G35" s="18" t="n">
        <v>25035.3</v>
      </c>
      <c r="H35" s="18" t="n">
        <v>24353.4</v>
      </c>
      <c r="I35" s="18" t="n">
        <v>24992.3</v>
      </c>
      <c r="J35" s="18" t="n">
        <v>24772.8</v>
      </c>
      <c r="K35" s="18" t="n">
        <v>24921.2</v>
      </c>
      <c r="L35" s="18" t="n">
        <v>25328.9</v>
      </c>
      <c r="M35" s="18" t="n">
        <v>25553</v>
      </c>
      <c r="N35" s="18" t="n">
        <v>25883</v>
      </c>
      <c r="O35" s="18" t="n">
        <v>26348</v>
      </c>
      <c r="P35" s="18" t="n">
        <v>26623</v>
      </c>
      <c r="Q35" s="18" t="n">
        <v>26787</v>
      </c>
      <c r="R35" s="18" t="n">
        <v>26951</v>
      </c>
      <c r="S35" s="18" t="n">
        <v>27150</v>
      </c>
      <c r="T35" s="18" t="n">
        <v>27673</v>
      </c>
      <c r="U35" s="18" t="n">
        <v>27677</v>
      </c>
      <c r="V35" s="18" t="n">
        <v>27989</v>
      </c>
      <c r="W35" s="18" t="n">
        <v>28349</v>
      </c>
      <c r="X35" s="18" t="n">
        <v>28732</v>
      </c>
      <c r="Y35" s="18" t="n">
        <v>28915</v>
      </c>
      <c r="Z35" s="18" t="n">
        <v>29066</v>
      </c>
      <c r="AA35" s="18" t="n">
        <v>29209</v>
      </c>
      <c r="AB35" s="18" t="n">
        <v>29739</v>
      </c>
      <c r="AC35" s="18" t="n">
        <v>29526</v>
      </c>
    </row>
    <row r="36">
      <c r="A36" s="5" t="inlineStr">
        <is>
          <t xml:space="preserve">  CASH FLOW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4" t="inlineStr">
        <is>
          <t>D&amp;A</t>
        </is>
      </c>
      <c r="B37" s="18" t="n">
        <v>488.6</v>
      </c>
      <c r="C37" s="18" t="n">
        <v>493.6</v>
      </c>
      <c r="D37" s="18" t="n">
        <v>492.6</v>
      </c>
      <c r="E37" s="18" t="n">
        <v>519</v>
      </c>
      <c r="F37" s="18" t="n">
        <v>532.5</v>
      </c>
      <c r="G37" s="18" t="n">
        <v>523.2</v>
      </c>
      <c r="H37" s="18" t="n">
        <v>526.8</v>
      </c>
      <c r="I37" s="18" t="n">
        <v>531.7</v>
      </c>
      <c r="J37" s="18" t="n">
        <v>544</v>
      </c>
      <c r="K37" s="18" t="n">
        <v>537.2</v>
      </c>
      <c r="L37" s="18" t="n">
        <v>558</v>
      </c>
      <c r="M37" s="18" t="n">
        <v>564</v>
      </c>
      <c r="N37" s="18" t="n">
        <v>580</v>
      </c>
      <c r="O37" s="18" t="n">
        <v>499</v>
      </c>
      <c r="P37" s="18" t="n">
        <v>506</v>
      </c>
      <c r="Q37" s="18" t="n">
        <v>500</v>
      </c>
      <c r="R37" s="18" t="n">
        <v>579</v>
      </c>
      <c r="S37" s="18" t="n">
        <v>602</v>
      </c>
      <c r="T37" s="18" t="n">
        <v>548</v>
      </c>
      <c r="U37" s="18" t="n">
        <v>626</v>
      </c>
      <c r="V37" s="18" t="n">
        <v>622</v>
      </c>
      <c r="W37" s="18" t="n">
        <v>552</v>
      </c>
      <c r="X37" s="18" t="n">
        <v>655</v>
      </c>
      <c r="Y37" s="18" t="n">
        <v>653</v>
      </c>
      <c r="Z37" s="18" t="n">
        <v>571</v>
      </c>
      <c r="AA37" s="18" t="n">
        <v>496</v>
      </c>
      <c r="AB37" s="18" t="n">
        <v>603</v>
      </c>
      <c r="AC37" s="18" t="n">
        <v>613</v>
      </c>
    </row>
    <row r="38">
      <c r="A38" s="4" t="inlineStr">
        <is>
          <t>Stock-based Compensation</t>
        </is>
      </c>
      <c r="B38" s="18" t="n">
        <v>38.5</v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39.5</v>
      </c>
      <c r="H38" s="18" t="n">
        <v>0</v>
      </c>
      <c r="I38" s="18" t="n">
        <v>0</v>
      </c>
      <c r="J38" s="18" t="n">
        <v>0</v>
      </c>
      <c r="K38" s="18" t="n">
        <v>36</v>
      </c>
      <c r="L38" s="18" t="n">
        <v>36</v>
      </c>
      <c r="M38" s="18" t="n">
        <v>39</v>
      </c>
      <c r="N38" s="18" t="n">
        <v>41</v>
      </c>
      <c r="O38" s="18" t="n">
        <v>40</v>
      </c>
      <c r="P38" s="18" t="n">
        <v>37</v>
      </c>
      <c r="Q38" s="18" t="n">
        <v>0</v>
      </c>
      <c r="R38" s="18" t="n">
        <v>0</v>
      </c>
      <c r="S38" s="18" t="n">
        <v>43</v>
      </c>
      <c r="T38" s="18" t="n">
        <v>43</v>
      </c>
      <c r="U38" s="18" t="n">
        <v>56</v>
      </c>
      <c r="V38" s="18" t="n">
        <v>45</v>
      </c>
      <c r="W38" s="18" t="n">
        <v>44</v>
      </c>
      <c r="X38" s="18" t="n">
        <v>0</v>
      </c>
      <c r="Y38" s="18" t="n">
        <v>49</v>
      </c>
      <c r="Z38" s="18" t="n">
        <v>0</v>
      </c>
      <c r="AA38" s="18" t="n">
        <v>-49</v>
      </c>
      <c r="AB38" s="18" t="n">
        <v>0</v>
      </c>
      <c r="AC38" s="18" t="n">
        <v>0</v>
      </c>
    </row>
    <row r="39">
      <c r="A39" s="4" t="inlineStr">
        <is>
          <t>Change in Working Capital</t>
        </is>
      </c>
      <c r="B39" s="18" t="n">
        <v>227.8</v>
      </c>
      <c r="C39" s="18" t="n">
        <v>-77</v>
      </c>
      <c r="D39" s="18" t="n">
        <v>-48.4</v>
      </c>
      <c r="E39" s="18" t="n">
        <v>341.7</v>
      </c>
      <c r="F39" s="18" t="n">
        <v>-430.7</v>
      </c>
      <c r="G39" s="18" t="n">
        <v>-603</v>
      </c>
      <c r="H39" s="18" t="n">
        <v>-75.5</v>
      </c>
      <c r="I39" s="18" t="n">
        <v>97.7</v>
      </c>
      <c r="J39" s="18" t="n">
        <v>300.2</v>
      </c>
      <c r="K39" s="18" t="n">
        <v>647.9</v>
      </c>
      <c r="L39" s="18" t="n">
        <v>319.6</v>
      </c>
      <c r="M39" s="18" t="n">
        <v>191</v>
      </c>
      <c r="N39" s="18" t="n">
        <v>27</v>
      </c>
      <c r="O39" s="18" t="n">
        <v>-900</v>
      </c>
      <c r="P39" s="18" t="n">
        <v>628</v>
      </c>
      <c r="Q39" s="18" t="n">
        <v>-439</v>
      </c>
      <c r="R39" s="18" t="n">
        <v>36</v>
      </c>
      <c r="S39" s="18" t="n">
        <v>-303</v>
      </c>
      <c r="T39" s="18" t="n">
        <v>151</v>
      </c>
      <c r="U39" s="18" t="n">
        <v>-36</v>
      </c>
      <c r="V39" s="18" t="n">
        <v>-491</v>
      </c>
      <c r="W39" s="18" t="n">
        <v>-36</v>
      </c>
      <c r="X39" s="18" t="n">
        <v>57</v>
      </c>
      <c r="Y39" s="18" t="n">
        <v>203</v>
      </c>
      <c r="Z39" s="18" t="n">
        <v>-50</v>
      </c>
      <c r="AA39" s="18" t="n">
        <v>-153</v>
      </c>
      <c r="AB39" s="18" t="n">
        <v>45</v>
      </c>
      <c r="AC39" s="18" t="n">
        <v>-861</v>
      </c>
    </row>
    <row r="40">
      <c r="A40" s="4" t="inlineStr">
        <is>
          <t>Operating Cash Flow</t>
        </is>
      </c>
      <c r="B40" s="18" t="n">
        <v>2023.3</v>
      </c>
      <c r="C40" s="18" t="n">
        <v>1642.5</v>
      </c>
      <c r="D40" s="18" t="n">
        <v>1694.3</v>
      </c>
      <c r="E40" s="18" t="n">
        <v>2012.2</v>
      </c>
      <c r="F40" s="18" t="n">
        <v>1181.6</v>
      </c>
      <c r="G40" s="18" t="n">
        <v>1097.8</v>
      </c>
      <c r="H40" s="18" t="n">
        <v>1599.9</v>
      </c>
      <c r="I40" s="18" t="n">
        <v>2041.7</v>
      </c>
      <c r="J40" s="18" t="n">
        <v>1993.9</v>
      </c>
      <c r="K40" s="18" t="n">
        <v>2370.3</v>
      </c>
      <c r="L40" s="18" t="n">
        <v>2125.2</v>
      </c>
      <c r="M40" s="18" t="n">
        <v>2145</v>
      </c>
      <c r="N40" s="18" t="n">
        <v>2119</v>
      </c>
      <c r="O40" s="18" t="n">
        <v>1050</v>
      </c>
      <c r="P40" s="18" t="n">
        <v>2725</v>
      </c>
      <c r="Q40" s="18" t="n">
        <v>1583</v>
      </c>
      <c r="R40" s="18" t="n">
        <v>1902</v>
      </c>
      <c r="S40" s="18" t="n">
        <v>1725</v>
      </c>
      <c r="T40" s="18" t="n">
        <v>2366</v>
      </c>
      <c r="U40" s="18" t="n">
        <v>2111</v>
      </c>
      <c r="V40" s="18" t="n">
        <v>1574</v>
      </c>
      <c r="W40" s="18" t="n">
        <v>2072</v>
      </c>
      <c r="X40" s="18" t="n">
        <v>2358</v>
      </c>
      <c r="Y40" s="18" t="n">
        <v>2314</v>
      </c>
      <c r="Z40" s="18" t="n">
        <v>2061</v>
      </c>
      <c r="AA40" s="18" t="n">
        <v>1738</v>
      </c>
      <c r="AB40" s="18" t="n">
        <v>2472</v>
      </c>
      <c r="AC40" s="18" t="n">
        <v>1469</v>
      </c>
    </row>
    <row r="41">
      <c r="A41" s="4" t="inlineStr">
        <is>
          <t>Capex</t>
        </is>
      </c>
      <c r="B41" s="18" t="n">
        <v>-1111.9</v>
      </c>
      <c r="C41" s="18" t="n">
        <v>-1041.3</v>
      </c>
      <c r="D41" s="18" t="n">
        <v>-1229.6</v>
      </c>
      <c r="E41" s="18" t="n">
        <v>-1079.5</v>
      </c>
      <c r="F41" s="18" t="n">
        <v>-896.4</v>
      </c>
      <c r="G41" s="18" t="n">
        <v>-695.7</v>
      </c>
      <c r="H41" s="18" t="n">
        <v>-616.3</v>
      </c>
      <c r="I41" s="18" t="n">
        <v>-679</v>
      </c>
      <c r="J41" s="18" t="n">
        <v>-622.2</v>
      </c>
      <c r="K41" s="18" t="n">
        <v>-504.5</v>
      </c>
      <c r="L41" s="18" t="n">
        <v>-417.5</v>
      </c>
      <c r="M41" s="18" t="n">
        <v>-349</v>
      </c>
      <c r="N41" s="18" t="n">
        <v>-382</v>
      </c>
      <c r="O41" s="18" t="n">
        <v>-472</v>
      </c>
      <c r="P41" s="18" t="n">
        <v>-761</v>
      </c>
      <c r="Q41" s="18" t="n">
        <v>-653</v>
      </c>
      <c r="R41" s="18" t="n">
        <v>-780</v>
      </c>
      <c r="S41" s="18" t="n">
        <v>-821</v>
      </c>
      <c r="T41" s="18" t="n">
        <v>-1012</v>
      </c>
      <c r="U41" s="18" t="n">
        <v>-1047</v>
      </c>
      <c r="V41" s="18" t="n">
        <v>-1264</v>
      </c>
      <c r="W41" s="18" t="n">
        <v>-1174</v>
      </c>
      <c r="X41" s="18" t="n">
        <v>-1059</v>
      </c>
      <c r="Y41" s="18" t="n">
        <v>-1062</v>
      </c>
      <c r="Z41" s="18" t="n">
        <v>-1299</v>
      </c>
      <c r="AA41" s="18" t="n">
        <v>-1958</v>
      </c>
      <c r="AB41" s="18" t="n">
        <v>-1301</v>
      </c>
      <c r="AC41" s="18" t="n">
        <v>-983</v>
      </c>
    </row>
    <row r="42">
      <c r="A42" s="4" t="inlineStr">
        <is>
          <t>Free Cash Flow</t>
        </is>
      </c>
      <c r="B42" s="18" t="n">
        <v>911.4</v>
      </c>
      <c r="C42" s="18" t="n">
        <v>601.2</v>
      </c>
      <c r="D42" s="18" t="n">
        <v>464.7</v>
      </c>
      <c r="E42" s="18" t="n">
        <v>932.7</v>
      </c>
      <c r="F42" s="18" t="n">
        <v>285.2</v>
      </c>
      <c r="G42" s="18" t="n">
        <v>402.1</v>
      </c>
      <c r="H42" s="18" t="n">
        <v>983.6</v>
      </c>
      <c r="I42" s="18" t="n">
        <v>1362.7</v>
      </c>
      <c r="J42" s="18" t="n">
        <v>1371.7</v>
      </c>
      <c r="K42" s="18" t="n">
        <v>1865.8</v>
      </c>
      <c r="L42" s="18" t="n">
        <v>1707.7</v>
      </c>
      <c r="M42" s="18" t="n">
        <v>1796</v>
      </c>
      <c r="N42" s="18" t="n">
        <v>1737</v>
      </c>
      <c r="O42" s="18" t="n">
        <v>578</v>
      </c>
      <c r="P42" s="18" t="n">
        <v>1964</v>
      </c>
      <c r="Q42" s="18" t="n">
        <v>930</v>
      </c>
      <c r="R42" s="18" t="n">
        <v>1122</v>
      </c>
      <c r="S42" s="18" t="n">
        <v>904</v>
      </c>
      <c r="T42" s="18" t="n">
        <v>1354</v>
      </c>
      <c r="U42" s="18" t="n">
        <v>1064</v>
      </c>
      <c r="V42" s="18" t="n">
        <v>310</v>
      </c>
      <c r="W42" s="18" t="n">
        <v>898</v>
      </c>
      <c r="X42" s="18" t="n">
        <v>1299</v>
      </c>
      <c r="Y42" s="18" t="n">
        <v>1252</v>
      </c>
      <c r="Z42" s="18" t="n">
        <v>762</v>
      </c>
      <c r="AA42" s="18" t="n">
        <v>-220</v>
      </c>
      <c r="AB42" s="18" t="n">
        <v>1171</v>
      </c>
      <c r="AC42" s="18" t="n">
        <v>486</v>
      </c>
    </row>
    <row r="44">
      <c r="A4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54279.041666</v>
      </c>
      <c r="C4" s="18" t="n">
        <v>57179.750885</v>
      </c>
      <c r="D4" s="18" t="n">
        <v>59631.131474</v>
      </c>
      <c r="E4" s="18" t="n">
        <v>60959.5</v>
      </c>
      <c r="F4" s="18" t="n">
        <v>62301</v>
      </c>
    </row>
    <row r="5">
      <c r="A5" s="4" t="inlineStr">
        <is>
          <t xml:space="preserve">  model</t>
        </is>
      </c>
      <c r="B5" s="33">
        <f>Model!G10</f>
        <v/>
      </c>
      <c r="C5" s="33">
        <f>Model!H10</f>
        <v/>
      </c>
      <c r="D5" s="33">
        <f>Model!I10</f>
        <v/>
      </c>
      <c r="E5" s="33">
        <f>Model!J10</f>
        <v/>
      </c>
      <c r="F5" s="33">
        <f>Model!K10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9661.567257999999</v>
      </c>
      <c r="C8" s="18" t="n">
        <v>10177.888039</v>
      </c>
      <c r="D8" s="18" t="n">
        <v>10614.22917</v>
      </c>
      <c r="E8" s="18" t="n">
        <v>10850.676268</v>
      </c>
      <c r="F8" s="18" t="n">
        <v>11089.460743</v>
      </c>
    </row>
    <row r="9">
      <c r="A9" s="4" t="inlineStr">
        <is>
          <t xml:space="preserve">  model</t>
        </is>
      </c>
      <c r="B9" s="33">
        <f>Model!G23+Model!G28</f>
        <v/>
      </c>
      <c r="C9" s="33">
        <f>Model!H23+Model!H28</f>
        <v/>
      </c>
      <c r="D9" s="33">
        <f>Model!I23+Model!I28</f>
        <v/>
      </c>
      <c r="E9" s="33">
        <f>Model!J23+Model!J28</f>
        <v/>
      </c>
      <c r="F9" s="33">
        <f>Model!K23+Model!K28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7377.251084</v>
      </c>
      <c r="C12" s="18" t="n">
        <v>7771.496442</v>
      </c>
      <c r="D12" s="18" t="n">
        <v>8104.672002</v>
      </c>
      <c r="E12" s="18" t="n">
        <v>8285.215133</v>
      </c>
      <c r="F12" s="18" t="n">
        <v>8467.543008000001</v>
      </c>
    </row>
    <row r="13">
      <c r="A13" s="4" t="inlineStr">
        <is>
          <t xml:space="preserve">  model</t>
        </is>
      </c>
      <c r="B13" s="33">
        <f>Model!G23</f>
        <v/>
      </c>
      <c r="C13" s="33">
        <f>Model!H23</f>
        <v/>
      </c>
      <c r="D13" s="33">
        <f>Model!I23</f>
        <v/>
      </c>
      <c r="E13" s="33">
        <f>Model!J23</f>
        <v/>
      </c>
      <c r="F13" s="33">
        <f>Model!K23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249.490482</v>
      </c>
      <c r="C16" s="18" t="n">
        <v>262.823425</v>
      </c>
      <c r="D16" s="18" t="n">
        <v>274.091054</v>
      </c>
      <c r="E16" s="18" t="n">
        <v>280.196824</v>
      </c>
      <c r="F16" s="18" t="n">
        <v>286.362951</v>
      </c>
    </row>
    <row r="17">
      <c r="A17" s="4" t="inlineStr">
        <is>
          <t xml:space="preserve">  model</t>
        </is>
      </c>
      <c r="B17" s="33">
        <f>Model!G18</f>
        <v/>
      </c>
      <c r="C17" s="33">
        <f>Model!H18</f>
        <v/>
      </c>
      <c r="D17" s="33">
        <f>Model!I18</f>
        <v/>
      </c>
      <c r="E17" s="33">
        <f>Model!J18</f>
        <v/>
      </c>
      <c r="F17" s="33">
        <f>Model!K18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6275.4438</v>
      </c>
      <c r="C20" s="18" t="n">
        <v>6899.92994</v>
      </c>
      <c r="D20" s="18" t="n">
        <v>7346.6357</v>
      </c>
      <c r="E20" s="18" t="n">
        <v>8044.553963</v>
      </c>
      <c r="F20" s="18" t="n">
        <v>8434.740003000001</v>
      </c>
    </row>
    <row r="21">
      <c r="A21" s="4" t="inlineStr">
        <is>
          <t xml:space="preserve">  model</t>
        </is>
      </c>
      <c r="B21" s="33">
        <f>Model!G27</f>
        <v/>
      </c>
      <c r="C21" s="33">
        <f>Model!H27</f>
        <v/>
      </c>
      <c r="D21" s="33">
        <f>Model!I27</f>
        <v/>
      </c>
      <c r="E21" s="33">
        <f>Model!J27</f>
        <v/>
      </c>
      <c r="F21" s="33">
        <f>Model!K27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2.88138</v>
      </c>
      <c r="C24" s="47" t="n">
        <v>3.1939</v>
      </c>
      <c r="D24" s="47" t="n">
        <v>3.41858</v>
      </c>
      <c r="E24" s="47" t="n">
        <v>3.67667</v>
      </c>
      <c r="F24" s="47" t="n">
        <v>3.855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Enterprise Products Partners L.P.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Model!G35</f>
        <v/>
      </c>
      <c r="D12" s="33">
        <f>Model!H35</f>
        <v/>
      </c>
      <c r="E12" s="33">
        <f>Model!I35</f>
        <v/>
      </c>
      <c r="F12" s="33">
        <f>Model!J35</f>
        <v/>
      </c>
      <c r="G12" s="33">
        <f>Model!K35</f>
        <v/>
      </c>
      <c r="H12" s="33">
        <f>Model!L35</f>
        <v/>
      </c>
      <c r="I12" s="33">
        <f>Model!M35</f>
        <v/>
      </c>
      <c r="J12" s="33">
        <f>Model!N35</f>
        <v/>
      </c>
      <c r="K12" s="33">
        <f>Model!O35</f>
        <v/>
      </c>
      <c r="L12" s="33">
        <f>Model!P35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Model!P10</f>
        <v/>
      </c>
    </row>
    <row r="21">
      <c r="A21" s="4" t="inlineStr">
        <is>
          <t>Terminal EBIT</t>
        </is>
      </c>
      <c r="B21" s="33">
        <f>Model!P23</f>
        <v/>
      </c>
    </row>
    <row r="22">
      <c r="A22" s="4" t="inlineStr">
        <is>
          <t>Terminal EBITDA (SBC-burdened)</t>
        </is>
      </c>
      <c r="B22" s="33">
        <f>Model!P23+Model!P28-Model!P29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Financials!AC29</f>
        <v/>
      </c>
    </row>
    <row r="33">
      <c r="A33" s="4" t="inlineStr">
        <is>
          <t>- Long-term debt</t>
        </is>
      </c>
      <c r="B33" s="33">
        <f>-Financials!AC34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0.04162091392806828</v>
      </c>
      <c r="C4" s="51" t="n">
        <v>0.04662091392806828</v>
      </c>
      <c r="D4" s="51" t="n">
        <v>0.05162091392806829</v>
      </c>
      <c r="E4" s="51" t="n">
        <v>0.05662091392806828</v>
      </c>
      <c r="F4" s="51" t="n">
        <v>0.06162091392806828</v>
      </c>
      <c r="G4" s="51" t="n">
        <v>0.06662091392806828</v>
      </c>
      <c r="H4" s="51" t="n">
        <v>0.07162091392806828</v>
      </c>
    </row>
    <row r="5">
      <c r="A5" s="52" t="n">
        <v>9</v>
      </c>
      <c r="B5" s="8" t="n">
        <v>74.18883910142212</v>
      </c>
      <c r="C5" s="8" t="n">
        <v>70.77525207253812</v>
      </c>
      <c r="D5" s="8" t="n">
        <v>67.52437548938192</v>
      </c>
      <c r="E5" s="8" t="n">
        <v>64.427502536229</v>
      </c>
      <c r="F5" s="8" t="n">
        <v>61.47643607342601</v>
      </c>
      <c r="G5" s="8" t="n">
        <v>58.66345641376186</v>
      </c>
      <c r="H5" s="8" t="n">
        <v>55.98129128129267</v>
      </c>
    </row>
    <row r="6">
      <c r="A6" s="52" t="n">
        <v>10</v>
      </c>
      <c r="B6" s="8" t="n">
        <v>80.18891039750893</v>
      </c>
      <c r="C6" s="8" t="n">
        <v>76.49476749936775</v>
      </c>
      <c r="D6" s="8" t="n">
        <v>72.97769794127134</v>
      </c>
      <c r="E6" s="8" t="n">
        <v>69.62819649079702</v>
      </c>
      <c r="F6" s="8" t="n">
        <v>66.43731545077409</v>
      </c>
      <c r="G6" s="8" t="n">
        <v>63.39662936040201</v>
      </c>
      <c r="H6" s="8" t="n">
        <v>60.49820208957097</v>
      </c>
    </row>
    <row r="7">
      <c r="A7" s="52" t="n">
        <v>11</v>
      </c>
      <c r="B7" s="8" t="n">
        <v>86.18898169359574</v>
      </c>
      <c r="C7" s="8" t="n">
        <v>82.21428292619738</v>
      </c>
      <c r="D7" s="8" t="n">
        <v>78.43102039316076</v>
      </c>
      <c r="E7" s="8" t="n">
        <v>74.82889044536506</v>
      </c>
      <c r="F7" s="8" t="n">
        <v>71.39819482812219</v>
      </c>
      <c r="G7" s="8" t="n">
        <v>68.12980230704217</v>
      </c>
      <c r="H7" s="8" t="n">
        <v>65.01511289784926</v>
      </c>
    </row>
    <row r="8">
      <c r="A8" s="52" t="n">
        <v>12</v>
      </c>
      <c r="B8" s="8" t="n">
        <v>92.18905298968255</v>
      </c>
      <c r="C8" s="8" t="n">
        <v>87.93379835302704</v>
      </c>
      <c r="D8" s="8" t="n">
        <v>83.88434284505017</v>
      </c>
      <c r="E8" s="53" t="n">
        <v>80.02958439993309</v>
      </c>
      <c r="F8" s="8" t="n">
        <v>76.35907420547029</v>
      </c>
      <c r="G8" s="8" t="n">
        <v>72.86297525368235</v>
      </c>
      <c r="H8" s="8" t="n">
        <v>69.53202370612759</v>
      </c>
    </row>
    <row r="9">
      <c r="A9" s="52" t="n">
        <v>13</v>
      </c>
      <c r="B9" s="8" t="n">
        <v>98.18912428576937</v>
      </c>
      <c r="C9" s="8" t="n">
        <v>93.65331377985666</v>
      </c>
      <c r="D9" s="8" t="n">
        <v>89.33766529693959</v>
      </c>
      <c r="E9" s="8" t="n">
        <v>85.23027835450114</v>
      </c>
      <c r="F9" s="8" t="n">
        <v>81.31995358281837</v>
      </c>
      <c r="G9" s="8" t="n">
        <v>77.59614820032252</v>
      </c>
      <c r="H9" s="8" t="n">
        <v>74.0489345144059</v>
      </c>
    </row>
    <row r="10">
      <c r="A10" s="52" t="n">
        <v>14</v>
      </c>
      <c r="B10" s="8" t="n">
        <v>104.1891955818562</v>
      </c>
      <c r="C10" s="8" t="n">
        <v>99.37282920668629</v>
      </c>
      <c r="D10" s="8" t="n">
        <v>94.790987748829</v>
      </c>
      <c r="E10" s="8" t="n">
        <v>90.43097230906915</v>
      </c>
      <c r="F10" s="8" t="n">
        <v>86.28083296016646</v>
      </c>
      <c r="G10" s="8" t="n">
        <v>82.32932114696267</v>
      </c>
      <c r="H10" s="8" t="n">
        <v>78.5658453226842</v>
      </c>
    </row>
    <row r="11">
      <c r="A11" s="52" t="n">
        <v>15</v>
      </c>
      <c r="B11" s="8" t="n">
        <v>110.189266877943</v>
      </c>
      <c r="C11" s="8" t="n">
        <v>105.0923446335159</v>
      </c>
      <c r="D11" s="8" t="n">
        <v>100.2443102007184</v>
      </c>
      <c r="E11" s="8" t="n">
        <v>95.6316662636372</v>
      </c>
      <c r="F11" s="8" t="n">
        <v>91.24171233751456</v>
      </c>
      <c r="G11" s="8" t="n">
        <v>87.06249409360284</v>
      </c>
      <c r="H11" s="8" t="n">
        <v>83.08275613096249</v>
      </c>
    </row>
    <row r="13">
      <c r="A13" s="3" t="inlineStr">
        <is>
          <t>Current price</t>
        </is>
      </c>
      <c r="B13" s="54" t="n">
        <v>37.01499938964844</v>
      </c>
    </row>
    <row r="14">
      <c r="A14" s="3" t="inlineStr">
        <is>
          <t>Base WACC / multiple</t>
        </is>
      </c>
      <c r="B14" s="55" t="n">
        <v>0.05662091392806828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0.04416685679519355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2.578697126655857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1.0620714438066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2026-07-08T07:03:36Z</dcterms:created>
  <dcterms:modified xmlns:dcterms="http://purl.org/dc/terms/" xmlns:xsi="http://www.w3.org/2001/XMLSchema-instance" xsi:type="dcterms:W3CDTF">2026-07-08T07:03:36Z</dcterms:modified>
</cp:coreProperties>
</file>